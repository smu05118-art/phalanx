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SLS" sheetId="6" state="visible" r:id="rId6"/>
    <sheet name="시나리오" sheetId="7" state="visible" r:id="rId7"/>
    <sheet name="분기" sheetId="8" state="visible" r:id="rId8"/>
    <sheet name="연간예상" sheetId="9" state="visible" r:id="rId9"/>
    <sheet name="TP" sheetId="10" state="visible" r:id="rId10"/>
    <sheet name="외화" sheetId="11" state="visible" r:id="rId11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BS연결!$C$5:$AO$112</definedName>
    <definedName name="BS별도H">BS별도!$C$1:$AO$1</definedName>
    <definedName name="BS별도">BS별도!$C$5:$AO$95</definedName>
    <definedName name="SUBQH">subQ!$A$1:$AO$1</definedName>
    <definedName name="subQ">subQ!$A$5:$AO$48</definedName>
    <definedName name="SLS_H">SLS!$A$1:$BE$1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6" borderId="0" pivotButton="0" quotePrefix="0" xfId="0"/>
    <xf numFmtId="164" fontId="1" fillId="5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3" fontId="0" fillId="5" borderId="1" pivotButton="0" quotePrefix="0" xfId="0"/>
    <xf numFmtId="166" fontId="0" fillId="0" borderId="0" pivotButton="0" quotePrefix="0" xfId="0"/>
    <xf numFmtId="3" fontId="0" fillId="6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3절 스칼라 '판관비율' 참조 — 숫자로 덮어쓰면 이 분기만 바뀐다
매출액 × 판관비율 4.88%(최근 4분기 중위)</t>
      </text>
    </comment>
    <comment ref="AD21" authorId="0" shapeId="0">
      <text>
        <t>3절 스칼라 '판관비율' 참조 — 숫자로 덮어쓰면 이 분기만 바뀐다
매출액 × 판관비율 4.88%(최근 4분기 중위)</t>
      </text>
    </comment>
    <comment ref="AF21" authorId="0" shapeId="0">
      <text>
        <t>3절 스칼라 '판관비율' 참조 — 숫자로 덮어쓰면 이 분기만 바뀐다
매출액 × 판관비율 4.88%(최근 4분기 중위)</t>
      </text>
    </comment>
    <comment ref="AG21" authorId="0" shapeId="0">
      <text>
        <t>3절 스칼라 '판관비율' 참조 — 숫자로 덮어쓰면 이 분기만 바뀐다
매출액 × 판관비율 4.88%(최근 4분기 중위)</t>
      </text>
    </comment>
    <comment ref="AH21" authorId="0" shapeId="0">
      <text>
        <t>3절 스칼라 '판관비율' 참조 — 숫자로 덮어쓰면 이 분기만 바뀐다
매출액 × 판관비율 4.88%(최근 4분기 중위)</t>
      </text>
    </comment>
    <comment ref="AI21" authorId="0" shapeId="0">
      <text>
        <t>3절 스칼라 '판관비율' 참조 — 숫자로 덮어쓰면 이 분기만 바뀐다
매출액 × 판관비율 4.88%(최근 4분기 중위)</t>
      </text>
    </comment>
    <comment ref="AK21" authorId="0" shapeId="0">
      <text>
        <t>3절 스칼라 '판관비율' 참조 — 숫자로 덮어쓰면 이 분기만 바뀐다
매출액 × 판관비율 4.88%(최근 4분기 중위)</t>
      </text>
    </comment>
    <comment ref="AL21" authorId="0" shapeId="0">
      <text>
        <t>3절 스칼라 '판관비율' 참조 — 숫자로 덮어쓰면 이 분기만 바뀐다
매출액 × 판관비율 4.88%(최근 4분기 중위)</t>
      </text>
    </comment>
    <comment ref="AM21" authorId="0" shapeId="0">
      <text>
        <t>3절 스칼라 '판관비율' 참조 — 숫자로 덮어쓰면 이 분기만 바뀐다
매출액 × 판관비율 4.88%(최근 4분기 중위)</t>
      </text>
    </comment>
    <comment ref="AN21" authorId="0" shapeId="0">
      <text>
        <t>3절 스칼라 '판관비율' 참조 — 숫자로 덮어쓰면 이 분기만 바뀐다
매출액 × 판관비율 4.88%(최근 4분기 중위)</t>
      </text>
    </comment>
    <comment ref="AC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3" authorId="0" shapeId="0">
      <text>
        <t>모델값 역산(implied): 모델 v 그대로
파생상품 평가·거래손익 0 가정</t>
      </text>
    </comment>
    <comment ref="AD23" authorId="0" shapeId="0">
      <text>
        <t>모델값 역산(implied): 모델 v 그대로
파생상품 평가·거래손익 0 가정</t>
      </text>
    </comment>
    <comment ref="AF23" authorId="0" shapeId="0">
      <text>
        <t>모델값 역산(implied): 모델 v 그대로
파생상품 평가·거래손익 0 가정</t>
      </text>
    </comment>
    <comment ref="AG23" authorId="0" shapeId="0">
      <text>
        <t>모델값 역산(implied): 모델 v 그대로
파생상품 평가·거래손익 0 가정</t>
      </text>
    </comment>
    <comment ref="AH23" authorId="0" shapeId="0">
      <text>
        <t>모델값 역산(implied): 모델 v 그대로
파생상품 평가·거래손익 0 가정</t>
      </text>
    </comment>
    <comment ref="AI23" authorId="0" shapeId="0">
      <text>
        <t>모델값 역산(implied): 모델 v 그대로
파생상품 평가·거래손익 0 가정</t>
      </text>
    </comment>
    <comment ref="AK23" authorId="0" shapeId="0">
      <text>
        <t>모델값 역산(implied): 모델 v 그대로
파생상품 평가·거래손익 0 가정</t>
      </text>
    </comment>
    <comment ref="AL23" authorId="0" shapeId="0">
      <text>
        <t>모델값 역산(implied): 모델 v 그대로
파생상품 평가·거래손익 0 가정</t>
      </text>
    </comment>
    <comment ref="AM23" authorId="0" shapeId="0">
      <text>
        <t>모델값 역산(implied): 모델 v 그대로
파생상품 평가·거래손익 0 가정</t>
      </text>
    </comment>
    <comment ref="AN23" authorId="0" shapeId="0">
      <text>
        <t>모델값 역산(implied): 모델 v 그대로
파생상품 평가·거래손익 0 가정</t>
      </text>
    </comment>
    <comment ref="AC24" authorId="0" shapeId="0">
      <text>
        <t>모델값 역산(implied): 모델 v 그대로
최근 4분기(2025Q3~2026Q2) 잔차 중위</t>
      </text>
    </comment>
    <comment ref="AD24" authorId="0" shapeId="0">
      <text>
        <t>모델값 역산(implied): 모델 v 그대로
최근 4분기(2025Q3~2026Q2) 잔차 중위</t>
      </text>
    </comment>
    <comment ref="AF24" authorId="0" shapeId="0">
      <text>
        <t>모델값 역산(implied): 모델 v 그대로
최근 4분기(2025Q3~2026Q2) 잔차 중위</t>
      </text>
    </comment>
    <comment ref="AG24" authorId="0" shapeId="0">
      <text>
        <t>모델값 역산(implied): 모델 v 그대로
최근 4분기(2025Q3~2026Q2) 잔차 중위</t>
      </text>
    </comment>
    <comment ref="AH24" authorId="0" shapeId="0">
      <text>
        <t>모델값 역산(implied): 모델 v 그대로
최근 4분기(2025Q3~2026Q2) 잔차 중위</t>
      </text>
    </comment>
    <comment ref="AI24" authorId="0" shapeId="0">
      <text>
        <t>모델값 역산(implied): 모델 v 그대로
최근 4분기(2025Q3~2026Q2) 잔차 중위</t>
      </text>
    </comment>
    <comment ref="AK24" authorId="0" shapeId="0">
      <text>
        <t>모델값 역산(implied): 모델 v 그대로
최근 4분기(2025Q3~2026Q2) 잔차 중위</t>
      </text>
    </comment>
    <comment ref="AL24" authorId="0" shapeId="0">
      <text>
        <t>모델값 역산(implied): 모델 v 그대로
최근 4분기(2025Q3~2026Q2) 잔차 중위</t>
      </text>
    </comment>
    <comment ref="AM24" authorId="0" shapeId="0">
      <text>
        <t>모델값 역산(implied): 모델 v 그대로
최근 4분기(2025Q3~2026Q2) 잔차 중위</t>
      </text>
    </comment>
    <comment ref="AN24" authorId="0" shapeId="0">
      <text>
        <t>모델값 역산(implied): 모델 v 그대로
최근 4분기(2025Q3~2026Q2) 잔차 중위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모델값 역산(implied): 모델 v 그대로
최근 4분기 중위</t>
      </text>
    </comment>
    <comment ref="AD26" authorId="0" shapeId="0">
      <text>
        <t>모델값 역산(implied): 모델 v 그대로
최근 4분기 중위</t>
      </text>
    </comment>
    <comment ref="AF26" authorId="0" shapeId="0">
      <text>
        <t>모델값 역산(implied): 모델 v 그대로
최근 4분기 중위</t>
      </text>
    </comment>
    <comment ref="AG26" authorId="0" shapeId="0">
      <text>
        <t>모델값 역산(implied): 모델 v 그대로
최근 4분기 중위</t>
      </text>
    </comment>
    <comment ref="AH26" authorId="0" shapeId="0">
      <text>
        <t>모델값 역산(implied): 모델 v 그대로
최근 4분기 중위</t>
      </text>
    </comment>
    <comment ref="AI26" authorId="0" shapeId="0">
      <text>
        <t>모델값 역산(implied): 모델 v 그대로
최근 4분기 중위</t>
      </text>
    </comment>
    <comment ref="AK26" authorId="0" shapeId="0">
      <text>
        <t>모델값 역산(implied): 모델 v 그대로
최근 4분기 중위</t>
      </text>
    </comment>
    <comment ref="AL26" authorId="0" shapeId="0">
      <text>
        <t>모델값 역산(implied): 모델 v 그대로
최근 4분기 중위</t>
      </text>
    </comment>
    <comment ref="AM26" authorId="0" shapeId="0">
      <text>
        <t>모델값 역산(implied): 모델 v 그대로
최근 4분기 중위</t>
      </text>
    </comment>
    <comment ref="AN26" authorId="0" shapeId="0">
      <text>
        <t>모델값 역산(implied): 모델 v 그대로
최근 4분기 중위</t>
      </text>
    </comment>
    <comment ref="AC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D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F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G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H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I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K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L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M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N27" authorId="0" shapeId="0">
      <text>
        <t>3절 스칼라 '세율' 참조 — 숫자로 덮어쓰면 이 분기만 바뀐다
max(세전, 0) × 세율 24.5%(최근 12분기 유효세율 24.5%(5~27% 안 — 그대로))</t>
      </text>
    </comment>
    <comment ref="AC28" authorId="0" shapeId="0">
      <text>
        <t>3절 스칼라 '지배주주비중' 참조 — 숫자로 덮어쓰면 이 분기만 바뀐다
당기순이익 × (1 − 비지배 비중 0.0%, 최근 8분기 실측)</t>
      </text>
    </comment>
    <comment ref="AD28" authorId="0" shapeId="0">
      <text>
        <t>3절 스칼라 '지배주주비중' 참조 — 숫자로 덮어쓰면 이 분기만 바뀐다
당기순이익 × (1 − 비지배 비중 0.0%, 최근 8분기 실측)</t>
      </text>
    </comment>
    <comment ref="AF28" authorId="0" shapeId="0">
      <text>
        <t>3절 스칼라 '지배주주비중' 참조 — 숫자로 덮어쓰면 이 분기만 바뀐다
당기순이익 × (1 − 비지배 비중 0.0%, 최근 8분기 실측)</t>
      </text>
    </comment>
    <comment ref="AG28" authorId="0" shapeId="0">
      <text>
        <t>3절 스칼라 '지배주주비중' 참조 — 숫자로 덮어쓰면 이 분기만 바뀐다
당기순이익 × (1 − 비지배 비중 0.0%, 최근 8분기 실측)</t>
      </text>
    </comment>
    <comment ref="AH28" authorId="0" shapeId="0">
      <text>
        <t>3절 스칼라 '지배주주비중' 참조 — 숫자로 덮어쓰면 이 분기만 바뀐다
당기순이익 × (1 − 비지배 비중 0.0%, 최근 8분기 실측)</t>
      </text>
    </comment>
    <comment ref="AI28" authorId="0" shapeId="0">
      <text>
        <t>3절 스칼라 '지배주주비중' 참조 — 숫자로 덮어쓰면 이 분기만 바뀐다
당기순이익 × (1 − 비지배 비중 0.0%, 최근 8분기 실측)</t>
      </text>
    </comment>
    <comment ref="AK28" authorId="0" shapeId="0">
      <text>
        <t>3절 스칼라 '지배주주비중' 참조 — 숫자로 덮어쓰면 이 분기만 바뀐다
당기순이익 × (1 − 비지배 비중 0.0%, 최근 8분기 실측)</t>
      </text>
    </comment>
    <comment ref="AL28" authorId="0" shapeId="0">
      <text>
        <t>3절 스칼라 '지배주주비중' 참조 — 숫자로 덮어쓰면 이 분기만 바뀐다
당기순이익 × (1 − 비지배 비중 0.0%, 최근 8분기 실측)</t>
      </text>
    </comment>
    <comment ref="AM28" authorId="0" shapeId="0">
      <text>
        <t>3절 스칼라 '지배주주비중' 참조 — 숫자로 덮어쓰면 이 분기만 바뀐다
당기순이익 × (1 − 비지배 비중 0.0%, 최근 8분기 실측)</t>
      </text>
    </comment>
    <comment ref="AN28" authorId="0" shapeId="0">
      <text>
        <t>3절 스칼라 '지배주주비중' 참조 — 숫자로 덮어쓰면 이 분기만 바뀐다
당기순이익 × (1 − 비지배 비중 0.0%, 최근 8분기 실측)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D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F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G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H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I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K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L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M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N33" authorId="0" shapeId="0">
      <text>
        <t>모델값 역산(implied): v / 전분기 − 1
전분기 − FCF 근사[순이익 − 배당(감가상각비 없음 → CAPEX≈감가 가정, CAPEX 중위 1232억은 행에만)]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5,661원 유지</t>
      </text>
    </comment>
    <comment ref="AI39" authorId="0" shapeId="0">
      <text>
        <t>모델값 역산(implied): 모델 v 그대로
직전 결산 DPS 5,661원 유지</t>
      </text>
    </comment>
    <comment ref="AN39" authorId="0" shapeId="0">
      <text>
        <t>모델값 역산(implied): 모델 v 그대로
직전 결산 DPS 5,661원 유지</t>
      </text>
    </comment>
    <comment ref="AC40" authorId="0" shapeId="0">
      <text>
        <t>역산: 모델 매출조선 − SLS 재구성 원화/100 − 매출조선신규 (모델 runoff_per_q 34822.26; 계약 스케줄 소수 3자리 반올림 차 포함)
SLS 해양 원화 21752억(sls.by_quarter.marine_hedged_krw_m(헤지 70% 적용; origin 2026Q2 이후 체결 3건 SLS 유지 — 패널 신규수주와 체결 분기별 상계(net_panel))) + 원장 밖 잔고 소진 34822억(최근 4분기 '부문매출−SLS' 중위 34822억/분기, 잔여 321340억) + 신규수주 매출 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556억 유지(패널 신규수주 체결 분기별 상계, net_panel)</t>
      </text>
    </comment>
    <comment ref="AD40" authorId="0" shapeId="0">
      <text>
        <t>역산: 모델 매출조선 − SLS 재구성 원화/100 − 매출조선신규 (모델 runoff_per_q 34822.26; 계약 스케줄 소수 3자리 반올림 차 포함)
SLS 해양 원화 21868억(sls.by_quarter.marine_hedged_krw_m(헤지 70% 적용; origin 2026Q2 이후 체결 3건 SLS 유지 — 패널 신규수주와 체결 분기별 상계(net_panel))) + 원장 밖 잔고 소진 34822억(최근 4분기 '부문매출−SLS' 중위 34822억/분기, 잔여 286518억) + 신규수주 매출 714억(forecast_panel.json.gz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</t>
      </text>
    </comment>
    <comment ref="AF40" authorId="0" shapeId="0">
      <text>
        <t>역산: 모델 매출조선 − SLS 재구성 원화/100 − 매출조선신규 (모델 runoff_per_q 34822.26; 계약 스케줄 소수 3자리 반올림 차 포함)
SLS 해양 원화 21384억(sls.by_quarter.marine_hedged_krw_m(헤지 70% 적용; origin 2026Q2 이후 체결 3건 SLS 유지 — 패널 신규수주와 체결 분기별 상계(net_panel))) + 원장 밖 잔고 소진 34822억(최근 4분기 '부문매출−SLS' 중위 34822억/분기, 잔여 251696억) + 신규수주 매출 2954억(forecast_panel.json.gz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983억 유지(패널 신규수주 체결 분기별 상계, net_panel)</t>
      </text>
    </comment>
    <comment ref="AG40" authorId="0" shapeId="0">
      <text>
        <t>역산: 모델 매출조선 − SLS 재구성 원화/100 − 매출조선신규 (모델 runoff_per_q 34822.26; 계약 스케줄 소수 3자리 반올림 차 포함)
SLS 해양 원화 21221억(sls.by_quarter.marine_hedged_krw_m(헤지 70% 적용; origin 2026Q2 이후 체결 3건 SLS 유지 — 패널 신규수주와 체결 분기별 상계(net_panel))) + 원장 밖 잔고 소진 34822억(최근 4분기 '부문매출−SLS' 중위 34822억/분기, 잔여 216874억) + 신규수주 매출 6662억(forecast_panel.json.gz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994억 유지(패널 신규수주 체결 분기별 상계, net_panel)</t>
      </text>
    </comment>
    <comment ref="AH40" authorId="0" shapeId="0">
      <text>
        <t>역산: 모델 매출조선 − SLS 재구성 원화/100 − 매출조선신규 (모델 runoff_per_q 34822.26; 계약 스케줄 소수 3자리 반올림 차 포함)
SLS 해양 원화 20392억(sls.by_quarter.marine_hedged_krw_m(헤지 70% 적용; origin 2026Q2 이후 체결 3건 SLS 유지 — 패널 신규수주와 체결 분기별 상계(net_panel))) + 원장 밖 잔고 소진 34822억(최근 4분기 '부문매출−SLS' 중위 34822억/분기, 잔여 182051억) + 신규수주 매출 11469억(forecast_panel.json.gz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</t>
      </text>
    </comment>
    <comment ref="AI40" authorId="0" shapeId="0">
      <text>
        <t>역산: 모델 매출조선 − SLS 재구성 원화/100 − 매출조선신규 (모델 runoff_per_q 34822.26; 계약 스케줄 소수 3자리 반올림 차 포함)
SLS 해양 원화 19641억(sls.by_quarter.marine_hedged_krw_m(헤지 70% 적용; origin 2026Q2 이후 체결 3건 SLS 유지 — 패널 신규수주와 체결 분기별 상계(net_panel))) + 원장 밖 잔고 소진 34822억(최근 4분기 '부문매출−SLS' 중위 34822억/분기, 잔여 147229억) + 신규수주 매출 17008억(forecast_panel.json.gz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</t>
      </text>
    </comment>
    <comment ref="AK40" authorId="0" shapeId="0">
      <text>
        <t>역산: 모델 매출조선 − SLS 재구성 원화/100 − 매출조선신규 (모델 runoff_per_q 34822.26; 계약 스케줄 소수 3자리 반올림 차 포함)
SLS 해양 원화 18740억(sls.by_quarter.marine_hedged_krw_m(헤지 70% 적용; origin 2026Q2 이후 체결 3건 SLS 유지 — 패널 신규수주와 체결 분기별 상계(net_panel))) + 원장 밖 잔고 소진 34822억(최근 4분기 '부문매출−SLS' 중위 34822억/분기, 잔여 112407억) + 신규수주 매출 22910억(forecast_panel.json.gz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994억 유지(패널 신규수주 체결 분기별 상계, net_panel)</t>
      </text>
    </comment>
    <comment ref="AL40" authorId="0" shapeId="0">
      <text>
        <t>역산: 모델 매출조선 − SLS 재구성 원화/100 − 매출조선신규 (모델 runoff_per_q 34822.26; 계약 스케줄 소수 3자리 반올림 차 포함)
SLS 해양 원화 18100억(sls.by_quarter.marine_hedged_krw_m(헤지 70% 적용; origin 2026Q2 이후 체결 3건 SLS 유지 — 패널 신규수주와 체결 분기별 상계(net_panel))) + 원장 밖 잔고 소진 34822억(최근 4분기 '부문매출−SLS' 중위 34822억/분기, 잔여 77585억) + 신규수주 매출 28807억(forecast_panel.json.gz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994억 유지(패널 신규수주 체결 분기별 상계, net_panel)</t>
      </text>
    </comment>
    <comment ref="AM40" authorId="0" shapeId="0">
      <text>
        <t>역산: 모델 매출조선 − SLS 재구성 원화/100 − 매출조선신규 (모델 runoff_per_q 34822.26; 계약 스케줄 소수 3자리 반올림 차 포함)
SLS 해양 원화 16770억(sls.by_quarter.marine_hedged_krw_m(헤지 70% 적용; origin 2026Q2 이후 체결 3건 SLS 유지 — 패널 신규수주와 체결 분기별 상계(net_panel))) + 원장 밖 잔고 소진 34822억(최근 4분기 '부문매출−SLS' 중위 34822억/분기, 잔여 42762억) + 신규수주 매출 34332억(forecast_panel.json.gz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</t>
      </text>
    </comment>
    <comment ref="AN40" authorId="0" shapeId="0">
      <text>
        <t>역산: 모델 매출조선 − SLS 재구성 원화/100 − 매출조선신규 (모델 runoff_per_q 34822.26; 계약 스케줄 소수 3자리 반올림 차 포함)
SLS 해양 원화 14988억(sls.by_quarter.marine_hedged_krw_m(헤지 70% 적용; origin 2026Q2 이후 체결 3건 SLS 유지 — 패널 신규수주와 체결 분기별 상계(net_panel))) + 원장 밖 잔고 소진 34822억(최근 4분기 '부문매출−SLS' 중위 34822억/분기, 잔여 7940억) + 신규수주 매출 39116억(forecast_panel.json.gz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</t>
      </text>
    </comment>
    <comment ref="AC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D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F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G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H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I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K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L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M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N41" authorId="0" shapeId="0">
      <text>
        <t>모델값 역산(implied): 모델 v 그대로
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</t>
      </text>
    </comment>
    <comment ref="AC42" authorId="0" shapeId="0">
      <text>
        <t>모델값 역산(implied): v / 매출조선
매출조선 × 타겟 OPM(부문 OP 미공시 → 회사 OPM 적용; 신규수주분 포함)</t>
      </text>
    </comment>
    <comment ref="AD42" authorId="0" shapeId="0">
      <text>
        <t>모델값 역산(implied): v / 매출조선
매출조선 × 타겟 OPM(부문 OP 미공시 → 회사 OPM 적용; 신규수주분 포함)</t>
      </text>
    </comment>
    <comment ref="AF42" authorId="0" shapeId="0">
      <text>
        <t>모델값 역산(implied): v / 매출조선
매출조선 × 타겟 OPM(부문 OP 미공시 → 회사 OPM 적용; 신규수주분 포함)</t>
      </text>
    </comment>
    <comment ref="AG42" authorId="0" shapeId="0">
      <text>
        <t>모델값 역산(implied): v / 매출조선
매출조선 × 타겟 OPM(부문 OP 미공시 → 회사 OPM 적용; 신규수주분 포함)</t>
      </text>
    </comment>
    <comment ref="AH42" authorId="0" shapeId="0">
      <text>
        <t>모델값 역산(implied): v / 매출조선
매출조선 × 타겟 OPM(부문 OP 미공시 → 회사 OPM 적용; 신규수주분 포함)</t>
      </text>
    </comment>
    <comment ref="AI42" authorId="0" shapeId="0">
      <text>
        <t>모델값 역산(implied): v / 매출조선
매출조선 × 타겟 OPM(부문 OP 미공시 → 회사 OPM 적용; 신규수주분 포함)</t>
      </text>
    </comment>
    <comment ref="AK42" authorId="0" shapeId="0">
      <text>
        <t>모델값 역산(implied): v / 매출조선
매출조선 × 타겟 OPM(부문 OP 미공시 → 회사 OPM 적용; 신규수주분 포함)</t>
      </text>
    </comment>
    <comment ref="AL42" authorId="0" shapeId="0">
      <text>
        <t>모델값 역산(implied): v / 매출조선
매출조선 × 타겟 OPM(부문 OP 미공시 → 회사 OPM 적용; 신규수주분 포함)</t>
      </text>
    </comment>
    <comment ref="AM42" authorId="0" shapeId="0">
      <text>
        <t>모델값 역산(implied): v / 매출조선
매출조선 × 타겟 OPM(부문 OP 미공시 → 회사 OPM 적용; 신규수주분 포함)</t>
      </text>
    </comment>
    <comment ref="AN42" authorId="0" shapeId="0">
      <text>
        <t>모델값 역산(implied): v / 매출조선
매출조선 × 타겟 OPM(부문 OP 미공시 → 회사 OPM 적용; 신규수주분 포함)</t>
      </text>
    </comment>
    <comment ref="AC43" authorId="0" shapeId="0">
      <text>
        <t>모델값 역산(implied): v / 전년동기 − 1
기타 부문(연결 − 조선 부문) 최근 4분기 중위 9376억 유지</t>
      </text>
    </comment>
    <comment ref="AD43" authorId="0" shapeId="0">
      <text>
        <t>모델값 역산(implied): v / 전년동기 − 1
기타 부문(연결 − 조선 부문) 최근 4분기 중위 9376억 유지</t>
      </text>
    </comment>
    <comment ref="AF43" authorId="0" shapeId="0">
      <text>
        <t>모델값 역산(implied): v / 전년동기 − 1
기타 부문(연결 − 조선 부문) 최근 4분기 중위 9376억 유지</t>
      </text>
    </comment>
    <comment ref="AG43" authorId="0" shapeId="0">
      <text>
        <t>모델값 역산(implied): v / 전년동기 − 1
기타 부문(연결 − 조선 부문) 최근 4분기 중위 9376억 유지</t>
      </text>
    </comment>
    <comment ref="AH43" authorId="0" shapeId="0">
      <text>
        <t>모델값 역산(implied): v / 전년동기 − 1
기타 부문(연결 − 조선 부문) 최근 4분기 중위 9376억 유지</t>
      </text>
    </comment>
    <comment ref="AI43" authorId="0" shapeId="0">
      <text>
        <t>모델값 역산(implied): v / 전년동기 − 1
기타 부문(연결 − 조선 부문) 최근 4분기 중위 9376억 유지</t>
      </text>
    </comment>
    <comment ref="AK43" authorId="0" shapeId="0">
      <text>
        <t>모델값 역산(implied): v / 전년동기 − 1
기타 부문(연결 − 조선 부문) 최근 4분기 중위 9376억 유지</t>
      </text>
    </comment>
    <comment ref="AL43" authorId="0" shapeId="0">
      <text>
        <t>모델값 역산(implied): v / 전년동기 − 1
기타 부문(연결 − 조선 부문) 최근 4분기 중위 9376억 유지</t>
      </text>
    </comment>
    <comment ref="AM43" authorId="0" shapeId="0">
      <text>
        <t>모델값 역산(implied): v / 전년동기 − 1
기타 부문(연결 − 조선 부문) 최근 4분기 중위 9376억 유지</t>
      </text>
    </comment>
    <comment ref="AN43" authorId="0" shapeId="0">
      <text>
        <t>모델값 역산(implied): v / 전년동기 − 1
기타 부문(연결 − 조선 부문) 최근 4분기 중위 9376억 유지</t>
      </text>
    </comment>
    <comment ref="AC44" authorId="0" shapeId="0">
      <text>
        <t>모델값 역산(implied): v / 매출기타
매출기타 × 회사 OPM(부문 OP 미공시)</t>
      </text>
    </comment>
    <comment ref="AD44" authorId="0" shapeId="0">
      <text>
        <t>모델값 역산(implied): v / 매출기타
매출기타 × 회사 OPM(부문 OP 미공시)</t>
      </text>
    </comment>
    <comment ref="AF44" authorId="0" shapeId="0">
      <text>
        <t>모델값 역산(implied): v / 매출기타
매출기타 × 회사 OPM(부문 OP 미공시)</t>
      </text>
    </comment>
    <comment ref="AG44" authorId="0" shapeId="0">
      <text>
        <t>모델값 역산(implied): v / 매출기타
매출기타 × 회사 OPM(부문 OP 미공시)</t>
      </text>
    </comment>
    <comment ref="AH44" authorId="0" shapeId="0">
      <text>
        <t>모델값 역산(implied): v / 매출기타
매출기타 × 회사 OPM(부문 OP 미공시)</t>
      </text>
    </comment>
    <comment ref="AI44" authorId="0" shapeId="0">
      <text>
        <t>모델값 역산(implied): v / 매출기타
매출기타 × 회사 OPM(부문 OP 미공시)</t>
      </text>
    </comment>
    <comment ref="AK44" authorId="0" shapeId="0">
      <text>
        <t>모델값 역산(implied): v / 매출기타
매출기타 × 회사 OPM(부문 OP 미공시)</t>
      </text>
    </comment>
    <comment ref="AL44" authorId="0" shapeId="0">
      <text>
        <t>모델값 역산(implied): v / 매출기타
매출기타 × 회사 OPM(부문 OP 미공시)</t>
      </text>
    </comment>
    <comment ref="AM44" authorId="0" shapeId="0">
      <text>
        <t>모델값 역산(implied): v / 매출기타
매출기타 × 회사 OPM(부문 OP 미공시)</t>
      </text>
    </comment>
    <comment ref="AN44" authorId="0" shapeId="0">
      <text>
        <t>모델값 역산(implied): v / 매출기타
매출기타 × 회사 OPM(부문 OP 미공시)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매출조선 + 매출기타
[identity]</t>
      </text>
    </comment>
    <comment ref="AD5" authorId="0" shapeId="0">
      <text>
        <t>추정: 매출조선 + 매출기타
[identity]</t>
      </text>
    </comment>
    <comment ref="AF5" authorId="0" shapeId="0">
      <text>
        <t>추정: 매출조선 + 매출기타
[identity]</t>
      </text>
    </comment>
    <comment ref="AG5" authorId="0" shapeId="0">
      <text>
        <t>추정: 매출조선 + 매출기타
[identity]</t>
      </text>
    </comment>
    <comment ref="AH5" authorId="0" shapeId="0">
      <text>
        <t>추정: 매출조선 + 매출기타
[identity]</t>
      </text>
    </comment>
    <comment ref="AI5" authorId="0" shapeId="0">
      <text>
        <t>추정: 매출조선 + 매출기타
[identity]</t>
      </text>
    </comment>
    <comment ref="AK5" authorId="0" shapeId="0">
      <text>
        <t>추정: 매출조선 + 매출기타
[identity]</t>
      </text>
    </comment>
    <comment ref="AL5" authorId="0" shapeId="0">
      <text>
        <t>추정: 매출조선 + 매출기타
[identity]</t>
      </text>
    </comment>
    <comment ref="AM5" authorId="0" shapeId="0">
      <text>
        <t>추정: 매출조선 + 매출기타
[identity]</t>
      </text>
    </comment>
    <comment ref="AN5" authorId="0" shapeId="0">
      <text>
        <t>추정: 매출조선 + 매출기타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4.88%(최근 4분기 중위)
[ratio]</t>
      </text>
    </comment>
    <comment ref="AD8" authorId="0" shapeId="0">
      <text>
        <t>추정: 매출액 × 판관비율 4.88%(최근 4분기 중위)
[ratio]</t>
      </text>
    </comment>
    <comment ref="AF8" authorId="0" shapeId="0">
      <text>
        <t>추정: 매출액 × 판관비율 4.88%(최근 4분기 중위)
[ratio]</t>
      </text>
    </comment>
    <comment ref="AG8" authorId="0" shapeId="0">
      <text>
        <t>추정: 매출액 × 판관비율 4.88%(최근 4분기 중위)
[ratio]</t>
      </text>
    </comment>
    <comment ref="AH8" authorId="0" shapeId="0">
      <text>
        <t>추정: 매출액 × 판관비율 4.88%(최근 4분기 중위)
[ratio]</t>
      </text>
    </comment>
    <comment ref="AI8" authorId="0" shapeId="0">
      <text>
        <t>추정: 매출액 × 판관비율 4.88%(최근 4분기 중위)
[ratio]</t>
      </text>
    </comment>
    <comment ref="AK8" authorId="0" shapeId="0">
      <text>
        <t>추정: 매출액 × 판관비율 4.88%(최근 4분기 중위)
[ratio]</t>
      </text>
    </comment>
    <comment ref="AL8" authorId="0" shapeId="0">
      <text>
        <t>추정: 매출액 × 판관비율 4.88%(최근 4분기 중위)
[ratio]</t>
      </text>
    </comment>
    <comment ref="AM8" authorId="0" shapeId="0">
      <text>
        <t>추정: 매출액 × 판관비율 4.88%(최근 4분기 중위)
[ratio]</t>
      </text>
    </comment>
    <comment ref="AN8" authorId="0" shapeId="0">
      <text>
        <t>추정: 매출액 × 판관비율 4.88%(최근 4분기 중위)
[ratio]</t>
      </text>
    </comment>
    <comment ref="AC9" authorId="0" shapeId="0">
      <text>
        <t>추정: 매출액 × OPM(SLS 코호트 타겟 10.9%(코호트 모드 reference_anchor; 등급 비중 96% × 코호트 10.8% + 등급없음 4%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D9" authorId="0" shapeId="0">
      <text>
        <t>추정: 매출액 × OPM(SLS 코호트 타겟 10.9%(코호트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F9" authorId="0" shapeId="0">
      <text>
        <t>추정: 매출액 × OPM(SLS 코호트 타겟 10.9%(코호트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G9" authorId="0" shapeId="0">
      <text>
        <t>추정: 매출액 × OPM(SLS 코호트 타겟 11.0%(코호트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H9" authorId="0" shapeId="0">
      <text>
        <t>추정: 매출액 × OPM(SLS 코호트 타겟 11.0%(코호트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I9" authorId="0" shapeId="0">
      <text>
        <t>추정: 매출액 × OPM(SLS 코호트 타겟 11.0%(코호트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K9" authorId="0" shapeId="0">
      <text>
        <t>추정: 매출액 × OPM(SLS 코호트 타겟 11.0%(코호트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L9" authorId="0" shapeId="0">
      <text>
        <t>추정: 매출액 × OPM(SLS 코호트 타겟 11.0%(코호트 모드 reference_anchor; 등급 비중 94% × 코호트 10.8% + 등급없음 6%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M9" authorId="0" shapeId="0">
      <text>
        <t>추정: 매출액 × OPM(SLS 코호트 타겟 11.0%(코호트 모드 reference_anchor; 등급 비중 94% × 코호트 10.8% + 등급없음 6%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N9" authorId="0" shapeId="0">
      <text>
        <t>추정: 매출액 × OPM(SLS 코호트 타겟 11.0%(코호트 모드 reference_anchor; 등급 비중 93% × 코호트 10.8% + 등급없음 7%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10.92%→11.02%))
[identity]</t>
      </text>
    </comment>
    <comment ref="AC10" authorId="0" shapeId="0">
      <text>
        <t>추정: SLS 코호트 타겟 10.9%(코호트 모드 reference_anchor; 등급 비중 96% × 코호트 10.8% + 등급없음 4%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D10" authorId="0" shapeId="0">
      <text>
        <t>추정: SLS 코호트 타겟 10.9%(코호트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F10" authorId="0" shapeId="0">
      <text>
        <t>추정: SLS 코호트 타겟 10.9%(코호트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G10" authorId="0" shapeId="0">
      <text>
        <t>추정: SLS 코호트 타겟 11.0%(코호트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H10" authorId="0" shapeId="0">
      <text>
        <t>추정: SLS 코호트 타겟 11.0%(코호트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I10" authorId="0" shapeId="0">
      <text>
        <t>추정: SLS 코호트 타겟 11.0%(코호트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K10" authorId="0" shapeId="0">
      <text>
        <t>추정: SLS 코호트 타겟 11.0%(코호트 모드 reference_anchor; 등급 비중 95% × 코호트 10.8% + 등급없음 5%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L10" authorId="0" shapeId="0">
      <text>
        <t>추정: SLS 코호트 타겟 11.0%(코호트 모드 reference_anchor; 등급 비중 94% × 코호트 10.8% + 등급없음 6%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M10" authorId="0" shapeId="0">
      <text>
        <t>추정: SLS 코호트 타겟 11.0%(코호트 모드 reference_anchor; 등급 비중 94% × 코호트 10.8% + 등급없음 6%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N10" authorId="0" shapeId="0">
      <text>
        <t>추정: SLS 코호트 타겟 11.0%(코호트 모드 reference_anchor; 등급 비중 93% × 코호트 10.8% + 등급없음 7% × 최근 4분기 실측 OPM 중위 14.0%) + 회사 캘리브레이션 +3.1%p(최근 4분기 실측−타겟 중위) — 신규수주 매출에도 같은 타겟 — 코호트 경로 없음 → 실측 중위 고정(원 타겟 전 분기 10.8% 상수(코호트 모드 reference_anchor); 경로 변화는 등급 없는 비중의 실측 중위 14.0% 채움에서만, 추정 구간 타겟 10.92%→11.02%)
[divide]</t>
      </text>
    </comment>
    <comment ref="AC11" authorId="0" shapeId="0">
      <text>
        <t>추정: 이자손익 + 외환손익 0 + 파생상품손익 0 + 기타금융손익 +0.00억(최근 4분기(2025Q3~2026Q2) 잔차 중위) (항등식); 이자손익 = 이자발생자산 66082억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4분기(2025Q3~2026Q2) 잔차 중위) (항등식); 이자손익 = 이자발생자산 73354억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4분기(2025Q3~2026Q2) 잔차 중위) (항등식); 이자손익 = 이자발생자산 80671억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4분기(2025Q3~2026Q2) 잔차 중위) (항등식); 이자손익 = 이자발생자산 88202억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4분기(2025Q3~2026Q2) 잔차 중위) (항등식); 이자손익 = 이자발생자산 90206억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4분기(2025Q3~2026Q2) 잔차 중위) (항등식); 이자손익 = 이자발생자산 98588억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4분기(2025Q3~2026Q2) 잔차 중위) (항등식); 이자손익 = 이자발생자산 107523억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4분기(2025Q3~2026Q2) 잔차 중위) (항등식); 이자손익 = 이자발생자산 117036억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4분기(2025Q3~2026Q2) 잔차 중위) (항등식); 이자손익 = 이자발생자산 121217억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4분기(2025Q3~2026Q2) 잔차 중위) (항등식); 이자손익 = 이자발생자산 131817억 × 2.47%(주석 이자수익 ÷ 평균 이자발생자산(2025Q3~2026Q2)) − 총차입금 5234억 × 13.90%(주석 이자비용 ÷ 평균 총차입금(2025Q3~2026Q2)) (연율) ÷ 4; 환율 효과는 환관련손익 행 별도
[identity]</t>
      </text>
    </comment>
    <comment ref="AC12" authorId="0" shapeId="0">
      <text>
        <t>추정: 이자발생자산 66082억 × 2.47%(주석 이자수익 ÷ 평균 이자발생자산(2025Q3~2026Q2)) − 총차입금 5234억 × 13.90%(주석 이자비용 ÷ 평균 총차입금(2025Q3~2026Q2)) (연율) ÷ 4
[interest]</t>
      </text>
    </comment>
    <comment ref="AD12" authorId="0" shapeId="0">
      <text>
        <t>추정: 이자발생자산 73354억 × 2.47%(주석 이자수익 ÷ 평균 이자발생자산(2025Q3~2026Q2)) − 총차입금 5234억 × 13.90%(주석 이자비용 ÷ 평균 총차입금(2025Q3~2026Q2)) (연율) ÷ 4
[interest]</t>
      </text>
    </comment>
    <comment ref="AF12" authorId="0" shapeId="0">
      <text>
        <t>추정: 이자발생자산 80671억 × 2.47%(주석 이자수익 ÷ 평균 이자발생자산(2025Q3~2026Q2)) − 총차입금 5234억 × 13.90%(주석 이자비용 ÷ 평균 총차입금(2025Q3~2026Q2)) (연율) ÷ 4
[interest]</t>
      </text>
    </comment>
    <comment ref="AG12" authorId="0" shapeId="0">
      <text>
        <t>추정: 이자발생자산 88202억 × 2.47%(주석 이자수익 ÷ 평균 이자발생자산(2025Q3~2026Q2)) − 총차입금 5234억 × 13.90%(주석 이자비용 ÷ 평균 총차입금(2025Q3~2026Q2)) (연율) ÷ 4
[interest]</t>
      </text>
    </comment>
    <comment ref="AH12" authorId="0" shapeId="0">
      <text>
        <t>추정: 이자발생자산 90206억 × 2.47%(주석 이자수익 ÷ 평균 이자발생자산(2025Q3~2026Q2)) − 총차입금 5234억 × 13.90%(주석 이자비용 ÷ 평균 총차입금(2025Q3~2026Q2)) (연율) ÷ 4
[interest]</t>
      </text>
    </comment>
    <comment ref="AI12" authorId="0" shapeId="0">
      <text>
        <t>추정: 이자발생자산 98588억 × 2.47%(주석 이자수익 ÷ 평균 이자발생자산(2025Q3~2026Q2)) − 총차입금 5234억 × 13.90%(주석 이자비용 ÷ 평균 총차입금(2025Q3~2026Q2)) (연율) ÷ 4
[interest]</t>
      </text>
    </comment>
    <comment ref="AK12" authorId="0" shapeId="0">
      <text>
        <t>추정: 이자발생자산 107523억 × 2.47%(주석 이자수익 ÷ 평균 이자발생자산(2025Q3~2026Q2)) − 총차입금 5234억 × 13.90%(주석 이자비용 ÷ 평균 총차입금(2025Q3~2026Q2)) (연율) ÷ 4
[interest]</t>
      </text>
    </comment>
    <comment ref="AL12" authorId="0" shapeId="0">
      <text>
        <t>추정: 이자발생자산 117036억 × 2.47%(주석 이자수익 ÷ 평균 이자발생자산(2025Q3~2026Q2)) − 총차입금 5234억 × 13.90%(주석 이자비용 ÷ 평균 총차입금(2025Q3~2026Q2)) (연율) ÷ 4
[interest]</t>
      </text>
    </comment>
    <comment ref="AM12" authorId="0" shapeId="0">
      <text>
        <t>추정: 이자발생자산 121217억 × 2.47%(주석 이자수익 ÷ 평균 이자발생자산(2025Q3~2026Q2)) − 총차입금 5234억 × 13.90%(주석 이자비용 ÷ 평균 총차입금(2025Q3~2026Q2)) (연율) ÷ 4
[interest]</t>
      </text>
    </comment>
    <comment ref="AN12" authorId="0" shapeId="0">
      <text>
        <t>추정: 이자발생자산 131817억 × 2.47%(주석 이자수익 ÷ 평균 이자발생자산(2025Q3~2026Q2)) − 총차입금 5234억 × 13.90%(주석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G14" authorId="0" shapeId="0">
      <text>
        <t>BS 계정 합·차: +파생상품이익 -파생상품손실</t>
      </text>
    </comment>
    <comment ref="H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BS 계정 합·차: +파생상품이익 -파생상품손실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Q14" authorId="0" shapeId="0">
      <text>
        <t>BS 계정 합·차: +파생상품이익 -파생상품손실</t>
      </text>
    </comment>
    <comment ref="R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T14" authorId="0" shapeId="0">
      <text>
        <t>BS 계정 합·차: +파생상품이익 -파생상품손실</t>
      </text>
    </comment>
    <comment ref="V14" authorId="0" shapeId="0">
      <text>
        <t>BS 계정 합·차: +파생상품이익 -파생상품손실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4분기(2025Q3~2026Q2) 잔차 중위
[abs]</t>
      </text>
    </comment>
    <comment ref="AD15" authorId="0" shapeId="0">
      <text>
        <t>추정: 최근 4분기(2025Q3~2026Q2) 잔차 중위
[abs]</t>
      </text>
    </comment>
    <comment ref="AF15" authorId="0" shapeId="0">
      <text>
        <t>추정: 최근 4분기(2025Q3~2026Q2) 잔차 중위
[abs]</t>
      </text>
    </comment>
    <comment ref="AG15" authorId="0" shapeId="0">
      <text>
        <t>추정: 최근 4분기(2025Q3~2026Q2) 잔차 중위
[abs]</t>
      </text>
    </comment>
    <comment ref="AH15" authorId="0" shapeId="0">
      <text>
        <t>추정: 최근 4분기(2025Q3~2026Q2) 잔차 중위
[abs]</t>
      </text>
    </comment>
    <comment ref="AI15" authorId="0" shapeId="0">
      <text>
        <t>추정: 최근 4분기(2025Q3~2026Q2) 잔차 중위
[abs]</t>
      </text>
    </comment>
    <comment ref="AK15" authorId="0" shapeId="0">
      <text>
        <t>추정: 최근 4분기(2025Q3~2026Q2) 잔차 중위
[abs]</t>
      </text>
    </comment>
    <comment ref="AL15" authorId="0" shapeId="0">
      <text>
        <t>추정: 최근 4분기(2025Q3~2026Q2) 잔차 중위
[abs]</t>
      </text>
    </comment>
    <comment ref="AM15" authorId="0" shapeId="0">
      <text>
        <t>추정: 최근 4분기(2025Q3~2026Q2) 잔차 중위
[abs]</t>
      </text>
    </comment>
    <comment ref="AN15" authorId="0" shapeId="0">
      <text>
        <t>추정: 최근 4분기(2025Q3~2026Q2) 잔차 중위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D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F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G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H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I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K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L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M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N18" authorId="0" shapeId="0">
      <text>
        <t>추정: 외화 순노출 -67백만$ × Δ기말 원/달러(가정 — 마지막 ECB 관측치를 2028Q4 까지 평평하게 둔다. 선도환율·컨센서스 아님.) — 실적 외환손익(금융손익 안)과 별개, 추정 외환손익은 0
[fxpnl]</t>
      </text>
    </comment>
    <comment ref="AC19" authorId="0" shapeId="0">
      <text>
        <t>추정: 영업이익 + 금융손익 + 기타영업외 + 지분법 + 환관련(항등식)
[identity]</t>
      </text>
    </comment>
    <comment ref="AD19" authorId="0" shapeId="0">
      <text>
        <t>추정: 영업이익 + 금융손익 + 기타영업외 + 지분법 + 환관련(항등식)
[identity]</t>
      </text>
    </comment>
    <comment ref="AF19" authorId="0" shapeId="0">
      <text>
        <t>추정: 영업이익 + 금융손익 + 기타영업외 + 지분법 + 환관련(항등식)
[identity]</t>
      </text>
    </comment>
    <comment ref="AG19" authorId="0" shapeId="0">
      <text>
        <t>추정: 영업이익 + 금융손익 + 기타영업외 + 지분법 + 환관련(항등식)
[identity]</t>
      </text>
    </comment>
    <comment ref="AH19" authorId="0" shapeId="0">
      <text>
        <t>추정: 영업이익 + 금융손익 + 기타영업외 + 지분법 + 환관련(항등식)
[identity]</t>
      </text>
    </comment>
    <comment ref="AI19" authorId="0" shapeId="0">
      <text>
        <t>추정: 영업이익 + 금융손익 + 기타영업외 + 지분법 + 환관련(항등식)
[identity]</t>
      </text>
    </comment>
    <comment ref="AK19" authorId="0" shapeId="0">
      <text>
        <t>추정: 영업이익 + 금융손익 + 기타영업외 + 지분법 + 환관련(항등식)
[identity]</t>
      </text>
    </comment>
    <comment ref="AL19" authorId="0" shapeId="0">
      <text>
        <t>추정: 영업이익 + 금융손익 + 기타영업외 + 지분법 + 환관련(항등식)
[identity]</t>
      </text>
    </comment>
    <comment ref="AM19" authorId="0" shapeId="0">
      <text>
        <t>추정: 영업이익 + 금융손익 + 기타영업외 + 지분법 + 환관련(항등식)
[identity]</t>
      </text>
    </comment>
    <comment ref="AN19" authorId="0" shapeId="0">
      <text>
        <t>추정: 영업이익 + 금융손익 + 기타영업외 + 지분법 + 환관련(항등식)
[identity]</t>
      </text>
    </comment>
    <comment ref="AC20" authorId="0" shapeId="0">
      <text>
        <t>추정: max(세전, 0) × 세율 24.5%(최근 12분기 유효세율 24.5%(5~27% 안 — 그대로))
[tax]</t>
      </text>
    </comment>
    <comment ref="AD20" authorId="0" shapeId="0">
      <text>
        <t>추정: max(세전, 0) × 세율 24.5%(최근 12분기 유효세율 24.5%(5~27% 안 — 그대로))
[tax]</t>
      </text>
    </comment>
    <comment ref="AF20" authorId="0" shapeId="0">
      <text>
        <t>추정: max(세전, 0) × 세율 24.5%(최근 12분기 유효세율 24.5%(5~27% 안 — 그대로))
[tax]</t>
      </text>
    </comment>
    <comment ref="AG20" authorId="0" shapeId="0">
      <text>
        <t>추정: max(세전, 0) × 세율 24.5%(최근 12분기 유효세율 24.5%(5~27% 안 — 그대로))
[tax]</t>
      </text>
    </comment>
    <comment ref="AH20" authorId="0" shapeId="0">
      <text>
        <t>추정: max(세전, 0) × 세율 24.5%(최근 12분기 유효세율 24.5%(5~27% 안 — 그대로))
[tax]</t>
      </text>
    </comment>
    <comment ref="AI20" authorId="0" shapeId="0">
      <text>
        <t>추정: max(세전, 0) × 세율 24.5%(최근 12분기 유효세율 24.5%(5~27% 안 — 그대로))
[tax]</t>
      </text>
    </comment>
    <comment ref="AK20" authorId="0" shapeId="0">
      <text>
        <t>추정: max(세전, 0) × 세율 24.5%(최근 12분기 유효세율 24.5%(5~27% 안 — 그대로))
[tax]</t>
      </text>
    </comment>
    <comment ref="AL20" authorId="0" shapeId="0">
      <text>
        <t>추정: max(세전, 0) × 세율 24.5%(최근 12분기 유효세율 24.5%(5~27% 안 — 그대로))
[tax]</t>
      </text>
    </comment>
    <comment ref="AM20" authorId="0" shapeId="0">
      <text>
        <t>추정: max(세전, 0) × 세율 24.5%(최근 12분기 유효세율 24.5%(5~27% 안 — 그대로))
[tax]</t>
      </text>
    </comment>
    <comment ref="AN20" authorId="0" shapeId="0">
      <text>
        <t>추정: max(세전, 0) × 세율 24.5%(최근 12분기 유효세율 24.5%(5~27% 안 — 그대로))
[tax]</t>
      </text>
    </comment>
    <comment ref="AC21" authorId="0" shapeId="0">
      <text>
        <t>추정: 세전이익 − 법인세비용(항등식)
[identity]</t>
      </text>
    </comment>
    <comment ref="AD21" authorId="0" shapeId="0">
      <text>
        <t>추정: 세전이익 − 법인세비용(항등식)
[identity]</t>
      </text>
    </comment>
    <comment ref="AF21" authorId="0" shapeId="0">
      <text>
        <t>추정: 세전이익 − 법인세비용(항등식)
[identity]</t>
      </text>
    </comment>
    <comment ref="AG21" authorId="0" shapeId="0">
      <text>
        <t>추정: 세전이익 − 법인세비용(항등식)
[identity]</t>
      </text>
    </comment>
    <comment ref="AH21" authorId="0" shapeId="0">
      <text>
        <t>추정: 세전이익 − 법인세비용(항등식)
[identity]</t>
      </text>
    </comment>
    <comment ref="AI21" authorId="0" shapeId="0">
      <text>
        <t>추정: 세전이익 − 법인세비용(항등식)
[identity]</t>
      </text>
    </comment>
    <comment ref="AK21" authorId="0" shapeId="0">
      <text>
        <t>추정: 세전이익 − 법인세비용(항등식)
[identity]</t>
      </text>
    </comment>
    <comment ref="AL21" authorId="0" shapeId="0">
      <text>
        <t>추정: 세전이익 − 법인세비용(항등식)
[identity]</t>
      </text>
    </comment>
    <comment ref="AM21" authorId="0" shapeId="0">
      <text>
        <t>추정: 세전이익 − 법인세비용(항등식)
[identity]</t>
      </text>
    </comment>
    <comment ref="AN21" authorId="0" shapeId="0">
      <text>
        <t>추정: 세전이익 − 법인세비용(항등식)
[identity]</t>
      </text>
    </comment>
    <comment ref="AC22" authorId="0" shapeId="0">
      <text>
        <t>추정: 당기순이익 × (1 − 비지배 비중 0.0%, 최근 8분기 실측)
[ratio]</t>
      </text>
    </comment>
    <comment ref="AD22" authorId="0" shapeId="0">
      <text>
        <t>추정: 당기순이익 × (1 − 비지배 비중 0.0%, 최근 8분기 실측)
[ratio]</t>
      </text>
    </comment>
    <comment ref="AF22" authorId="0" shapeId="0">
      <text>
        <t>추정: 당기순이익 × (1 − 비지배 비중 0.0%, 최근 8분기 실측)
[ratio]</t>
      </text>
    </comment>
    <comment ref="AG22" authorId="0" shapeId="0">
      <text>
        <t>추정: 당기순이익 × (1 − 비지배 비중 0.0%, 최근 8분기 실측)
[ratio]</t>
      </text>
    </comment>
    <comment ref="AH22" authorId="0" shapeId="0">
      <text>
        <t>추정: 당기순이익 × (1 − 비지배 비중 0.0%, 최근 8분기 실측)
[ratio]</t>
      </text>
    </comment>
    <comment ref="AI22" authorId="0" shapeId="0">
      <text>
        <t>추정: 당기순이익 × (1 − 비지배 비중 0.0%, 최근 8분기 실측)
[ratio]</t>
      </text>
    </comment>
    <comment ref="AK22" authorId="0" shapeId="0">
      <text>
        <t>추정: 당기순이익 × (1 − 비지배 비중 0.0%, 최근 8분기 실측)
[ratio]</t>
      </text>
    </comment>
    <comment ref="AL22" authorId="0" shapeId="0">
      <text>
        <t>추정: 당기순이익 × (1 − 비지배 비중 0.0%, 최근 8분기 실측)
[ratio]</t>
      </text>
    </comment>
    <comment ref="AM22" authorId="0" shapeId="0">
      <text>
        <t>추정: 당기순이익 × (1 − 비지배 비중 0.0%, 최근 8분기 실측)
[ratio]</t>
      </text>
    </comment>
    <comment ref="AN22" authorId="0" shapeId="0">
      <text>
        <t>추정: 당기순이익 × (1 − 비지배 비중 0.0%, 최근 8분기 실측)
[ratio]</t>
      </text>
    </comment>
    <comment ref="AC23" authorId="0" shapeId="0">
      <text>
        <t>추정: 부채총계 + 자본총계(항등식)
[identity]</t>
      </text>
    </comment>
    <comment ref="AD23" authorId="0" shapeId="0">
      <text>
        <t>추정: 부채총계 + 자본총계(항등식)
[identity]</t>
      </text>
    </comment>
    <comment ref="AF23" authorId="0" shapeId="0">
      <text>
        <t>추정: 부채총계 + 자본총계(항등식)
[identity]</t>
      </text>
    </comment>
    <comment ref="AG23" authorId="0" shapeId="0">
      <text>
        <t>추정: 부채총계 + 자본총계(항등식)
[identity]</t>
      </text>
    </comment>
    <comment ref="AH23" authorId="0" shapeId="0">
      <text>
        <t>추정: 부채총계 + 자본총계(항등식)
[identity]</t>
      </text>
    </comment>
    <comment ref="AI23" authorId="0" shapeId="0">
      <text>
        <t>추정: 부채총계 + 자본총계(항등식)
[identity]</t>
      </text>
    </comment>
    <comment ref="AK23" authorId="0" shapeId="0">
      <text>
        <t>추정: 부채총계 + 자본총계(항등식)
[identity]</t>
      </text>
    </comment>
    <comment ref="AL23" authorId="0" shapeId="0">
      <text>
        <t>추정: 부채총계 + 자본총계(항등식)
[identity]</t>
      </text>
    </comment>
    <comment ref="AM23" authorId="0" shapeId="0">
      <text>
        <t>추정: 부채총계 + 자본총계(항등식)
[identity]</t>
      </text>
    </comment>
    <comment ref="AN23" authorId="0" shapeId="0">
      <text>
        <t>추정: 부채총계 + 자본총계(항등식)
[identity]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+ 당기순이익 − 배당(Q2 지급 가정)
[roll]</t>
      </text>
    </comment>
    <comment ref="AD25" authorId="0" shapeId="0">
      <text>
        <t>추정: 전분기 + 당기순이익 − 배당(Q2 지급 가정)
[roll]</t>
      </text>
    </comment>
    <comment ref="AF25" authorId="0" shapeId="0">
      <text>
        <t>추정: 전분기 + 당기순이익 − 배당(Q2 지급 가정)
[roll]</t>
      </text>
    </comment>
    <comment ref="AG25" authorId="0" shapeId="0">
      <text>
        <t>추정: 전분기 + 당기순이익 − 배당(Q2 지급 가정)
[roll]</t>
      </text>
    </comment>
    <comment ref="AH25" authorId="0" shapeId="0">
      <text>
        <t>추정: 전분기 + 당기순이익 − 배당(Q2 지급 가정)
[roll]</t>
      </text>
    </comment>
    <comment ref="AI25" authorId="0" shapeId="0">
      <text>
        <t>추정: 전분기 + 당기순이익 − 배당(Q2 지급 가정)
[roll]</t>
      </text>
    </comment>
    <comment ref="AK25" authorId="0" shapeId="0">
      <text>
        <t>추정: 전분기 + 당기순이익 − 배당(Q2 지급 가정)
[roll]</t>
      </text>
    </comment>
    <comment ref="AL25" authorId="0" shapeId="0">
      <text>
        <t>추정: 전분기 + 당기순이익 − 배당(Q2 지급 가정)
[roll]</t>
      </text>
    </comment>
    <comment ref="AM25" authorId="0" shapeId="0">
      <text>
        <t>추정: 전분기 + 당기순이익 − 배당(Q2 지급 가정)
[roll]</t>
      </text>
    </comment>
    <comment ref="AN25" authorId="0" shapeId="0">
      <text>
        <t>추정: 전분기 + 당기순이익 − 배당(Q2 지급 가정)
[roll]</t>
      </text>
    </comment>
    <comment ref="AC26" authorId="0" shapeId="0">
      <text>
        <t>추정: 전분기 + 지배주주순이익 − 배당
[roll]</t>
      </text>
    </comment>
    <comment ref="AD26" authorId="0" shapeId="0">
      <text>
        <t>추정: 전분기 + 지배주주순이익 − 배당
[roll]</t>
      </text>
    </comment>
    <comment ref="AF26" authorId="0" shapeId="0">
      <text>
        <t>추정: 전분기 + 지배주주순이익 − 배당
[roll]</t>
      </text>
    </comment>
    <comment ref="AG26" authorId="0" shapeId="0">
      <text>
        <t>추정: 전분기 + 지배주주순이익 − 배당
[roll]</t>
      </text>
    </comment>
    <comment ref="AH26" authorId="0" shapeId="0">
      <text>
        <t>추정: 전분기 + 지배주주순이익 − 배당
[roll]</t>
      </text>
    </comment>
    <comment ref="AI26" authorId="0" shapeId="0">
      <text>
        <t>추정: 전분기 + 지배주주순이익 − 배당
[roll]</t>
      </text>
    </comment>
    <comment ref="AK26" authorId="0" shapeId="0">
      <text>
        <t>추정: 전분기 + 지배주주순이익 − 배당
[roll]</t>
      </text>
    </comment>
    <comment ref="AL26" authorId="0" shapeId="0">
      <text>
        <t>추정: 전분기 + 지배주주순이익 − 배당
[roll]</t>
      </text>
    </comment>
    <comment ref="AM26" authorId="0" shapeId="0">
      <text>
        <t>추정: 전분기 + 지배주주순이익 − 배당
[roll]</t>
      </text>
    </comment>
    <comment ref="AN26" authorId="0" shapeId="0">
      <text>
        <t>추정: 전분기 + 지배주주순이익 − 배당
[roll]</t>
      </text>
    </comment>
    <comment ref="AC27" authorId="0" shapeId="0">
      <text>
        <t>추정: 마지막 실적 유지(가정)
[qoq]</t>
      </text>
    </comment>
    <comment ref="AD27" authorId="0" shapeId="0">
      <text>
        <t>추정: 마지막 실적 유지(가정)
[qoq]</t>
      </text>
    </comment>
    <comment ref="AF27" authorId="0" shapeId="0">
      <text>
        <t>추정: 마지막 실적 유지(가정)
[qoq]</t>
      </text>
    </comment>
    <comment ref="AG27" authorId="0" shapeId="0">
      <text>
        <t>추정: 마지막 실적 유지(가정)
[qoq]</t>
      </text>
    </comment>
    <comment ref="AH27" authorId="0" shapeId="0">
      <text>
        <t>추정: 마지막 실적 유지(가정)
[qoq]</t>
      </text>
    </comment>
    <comment ref="AI27" authorId="0" shapeId="0">
      <text>
        <t>추정: 마지막 실적 유지(가정)
[qoq]</t>
      </text>
    </comment>
    <comment ref="AK27" authorId="0" shapeId="0">
      <text>
        <t>추정: 마지막 실적 유지(가정)
[qoq]</t>
      </text>
    </comment>
    <comment ref="AL27" authorId="0" shapeId="0">
      <text>
        <t>추정: 마지막 실적 유지(가정)
[qoq]</t>
      </text>
    </comment>
    <comment ref="AM27" authorId="0" shapeId="0">
      <text>
        <t>추정: 마지막 실적 유지(가정)
[qoq]</t>
      </text>
    </comment>
    <comment ref="AN27" authorId="0" shapeId="0">
      <text>
        <t>추정: 마지막 실적 유지(가정)
[qoq]</t>
      </text>
    </comment>
    <comment ref="AC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D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F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G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H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I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K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L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M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N28" authorId="0" shapeId="0">
      <text>
        <t>추정: 전분기 − FCF 근사[순이익 − 배당(감가상각비 없음 → CAPEX≈감가 가정, CAPEX 중위 1232억은 행에만)] (운전자본 불변·총차입금 유지 가정 → 변동은 전부 현금)
[qoq]</t>
      </text>
    </comment>
    <comment ref="AC29" authorId="0" shapeId="0">
      <text>
        <t>추정: 전분기 + FCF 근사 — 순차입금 롤과 같은 가정
[qoq]</t>
      </text>
    </comment>
    <comment ref="AD29" authorId="0" shapeId="0">
      <text>
        <t>추정: 전분기 + FCF 근사 — 순차입금 롤과 같은 가정
[qoq]</t>
      </text>
    </comment>
    <comment ref="AF29" authorId="0" shapeId="0">
      <text>
        <t>추정: 전분기 + FCF 근사 — 순차입금 롤과 같은 가정
[qoq]</t>
      </text>
    </comment>
    <comment ref="AG29" authorId="0" shapeId="0">
      <text>
        <t>추정: 전분기 + FCF 근사 — 순차입금 롤과 같은 가정
[qoq]</t>
      </text>
    </comment>
    <comment ref="AH29" authorId="0" shapeId="0">
      <text>
        <t>추정: 전분기 + FCF 근사 — 순차입금 롤과 같은 가정
[qoq]</t>
      </text>
    </comment>
    <comment ref="AI29" authorId="0" shapeId="0">
      <text>
        <t>추정: 전분기 + FCF 근사 — 순차입금 롤과 같은 가정
[qoq]</t>
      </text>
    </comment>
    <comment ref="AK29" authorId="0" shapeId="0">
      <text>
        <t>추정: 전분기 + FCF 근사 — 순차입금 롤과 같은 가정
[qoq]</t>
      </text>
    </comment>
    <comment ref="AL29" authorId="0" shapeId="0">
      <text>
        <t>추정: 전분기 + FCF 근사 — 순차입금 롤과 같은 가정
[qoq]</t>
      </text>
    </comment>
    <comment ref="AM29" authorId="0" shapeId="0">
      <text>
        <t>추정: 전분기 + FCF 근사 — 순차입금 롤과 같은 가정
[qoq]</t>
      </text>
    </comment>
    <comment ref="AN29" authorId="0" shapeId="0">
      <text>
        <t>추정: 전분기 + FCF 근사 — 순차입금 롤과 같은 가정
[qoq]</t>
      </text>
    </comment>
    <comment ref="AC31" authorId="0" shapeId="0">
      <text>
        <t>추정: 최근 4분기(2025Q3~2026Q2) CAPEX 중위 유지 — 순차입금 롤에 미반영(감가상각비 없음 → CAPEX≈감가 가정)
[yoy]</t>
      </text>
    </comment>
    <comment ref="AD31" authorId="0" shapeId="0">
      <text>
        <t>추정: 최근 4분기(2025Q3~2026Q2) CAPEX 중위 유지 — 순차입금 롤에 미반영(감가상각비 없음 → CAPEX≈감가 가정)
[yoy]</t>
      </text>
    </comment>
    <comment ref="AF31" authorId="0" shapeId="0">
      <text>
        <t>추정: 최근 4분기(2025Q3~2026Q2) CAPEX 중위 유지 — 순차입금 롤에 미반영(감가상각비 없음 → CAPEX≈감가 가정)
[yoy]</t>
      </text>
    </comment>
    <comment ref="AG31" authorId="0" shapeId="0">
      <text>
        <t>추정: 최근 4분기(2025Q3~2026Q2) CAPEX 중위 유지 — 순차입금 롤에 미반영(감가상각비 없음 → CAPEX≈감가 가정)
[yoy]</t>
      </text>
    </comment>
    <comment ref="AH31" authorId="0" shapeId="0">
      <text>
        <t>추정: 최근 4분기(2025Q3~2026Q2) CAPEX 중위 유지 — 순차입금 롤에 미반영(감가상각비 없음 → CAPEX≈감가 가정)
[yoy]</t>
      </text>
    </comment>
    <comment ref="AI31" authorId="0" shapeId="0">
      <text>
        <t>추정: 최근 4분기(2025Q3~2026Q2) CAPEX 중위 유지 — 순차입금 롤에 미반영(감가상각비 없음 → CAPEX≈감가 가정)
[yoy]</t>
      </text>
    </comment>
    <comment ref="AK31" authorId="0" shapeId="0">
      <text>
        <t>추정: 최근 4분기(2025Q3~2026Q2) CAPEX 중위 유지 — 순차입금 롤에 미반영(감가상각비 없음 → CAPEX≈감가 가정)
[yoy]</t>
      </text>
    </comment>
    <comment ref="AL31" authorId="0" shapeId="0">
      <text>
        <t>추정: 최근 4분기(2025Q3~2026Q2) CAPEX 중위 유지 — 순차입금 롤에 미반영(감가상각비 없음 → CAPEX≈감가 가정)
[yoy]</t>
      </text>
    </comment>
    <comment ref="AM31" authorId="0" shapeId="0">
      <text>
        <t>추정: 최근 4분기(2025Q3~2026Q2) CAPEX 중위 유지 — 순차입금 롤에 미반영(감가상각비 없음 → CAPEX≈감가 가정)
[yoy]</t>
      </text>
    </comment>
    <comment ref="AN31" authorId="0" shapeId="0">
      <text>
        <t>추정: 최근 4분기(2025Q3~2026Q2) CAPEX 중위 유지 — 순차입금 롤에 미반영(감가상각비 없음 → CAPEX≈감가 가정)
[yoy]</t>
      </text>
    </comment>
    <comment ref="E33" authorId="0" shapeId="0">
      <text>
        <t>실측(계정 매핑 없음(파생·부문·시세 행) — 모델값 직접) — fin.shares.common_outstanding</t>
      </text>
    </comment>
    <comment ref="G33" authorId="0" shapeId="0">
      <text>
        <t>실측(계정 매핑 없음(파생·부문·시세 행) — 모델값 직접) — fin.shares.common_outstanding</t>
      </text>
    </comment>
    <comment ref="H33" authorId="0" shapeId="0">
      <text>
        <t>실측(계정 매핑 없음(파생·부문·시세 행) — 모델값 직접) — fin.shares.common_outstanding</t>
      </text>
    </comment>
    <comment ref="I33" authorId="0" shapeId="0">
      <text>
        <t>실측(계정 매핑 없음(파생·부문·시세 행) — 모델값 직접) — fin.shares.common_outstanding</t>
      </text>
    </comment>
    <comment ref="J33" authorId="0" shapeId="0">
      <text>
        <t>실측(계정 매핑 없음(파생·부문·시세 행) — 모델값 직접) — fin.shares.common_outstanding</t>
      </text>
    </comment>
    <comment ref="L33" authorId="0" shapeId="0">
      <text>
        <t>실측(계정 매핑 없음(파생·부문·시세 행) — 모델값 직접) — fin.shares.common_outstanding</t>
      </text>
    </comment>
    <comment ref="M33" authorId="0" shapeId="0">
      <text>
        <t>실측(계정 매핑 없음(파생·부문·시세 행) — 모델값 직접) — fin.shares.common_outstanding</t>
      </text>
    </comment>
    <comment ref="N33" authorId="0" shapeId="0">
      <text>
        <t>실측(계정 매핑 없음(파생·부문·시세 행) — 모델값 직접) — fin.shares.common_outstanding</t>
      </text>
    </comment>
    <comment ref="O33" authorId="0" shapeId="0">
      <text>
        <t>실측(계정 매핑 없음(파생·부문·시세 행) — 모델값 직접) — fin.shares.common_outstanding</t>
      </text>
    </comment>
    <comment ref="Q33" authorId="0" shapeId="0">
      <text>
        <t>실측(계정 매핑 없음(파생·부문·시세 행) — 모델값 직접) — fin.shares.common_outstanding</t>
      </text>
    </comment>
    <comment ref="R33" authorId="0" shapeId="0">
      <text>
        <t>실측(계정 매핑 없음(파생·부문·시세 행) — 모델값 직접) — fin.shares.common_outstanding</t>
      </text>
    </comment>
    <comment ref="S33" authorId="0" shapeId="0">
      <text>
        <t>실측(계정 매핑 없음(파생·부문·시세 행) — 모델값 직접) — fin.shares.common_outstanding</t>
      </text>
    </comment>
    <comment ref="T33" authorId="0" shapeId="0">
      <text>
        <t>실측(계정 매핑 없음(파생·부문·시세 행) — 모델값 직접) — fin.shares.common_outstanding</t>
      </text>
    </comment>
    <comment ref="V33" authorId="0" shapeId="0">
      <text>
        <t>실측(계정 매핑 없음(파생·부문·시세 행) — 모델값 직접) — fin.shares.common_outstanding</t>
      </text>
    </comment>
    <comment ref="W33" authorId="0" shapeId="0">
      <text>
        <t>실측(계정 매핑 없음(파생·부문·시세 행) — 모델값 직접) — fin.shares.common_outstanding</t>
      </text>
    </comment>
    <comment ref="X33" authorId="0" shapeId="0">
      <text>
        <t>실측(계정 매핑 없음(파생·부문·시세 행) — 모델값 직접) — fin.shares.common_outstanding</t>
      </text>
    </comment>
    <comment ref="Y33" authorId="0" shapeId="0">
      <text>
        <t>실측(계정 매핑 없음(파생·부문·시세 행) — 모델값 직접) — fin.shares.common_outstanding</t>
      </text>
    </comment>
    <comment ref="AA33" authorId="0" shapeId="0">
      <text>
        <t>실측(계정 매핑 없음(파생·부문·시세 행) — 모델값 직접) — fin.shares.common_outstanding</t>
      </text>
    </comment>
    <comment ref="AB33" authorId="0" shapeId="0">
      <text>
        <t>실측(계정 매핑 없음(파생·부문·시세 행) — 모델값 직접) — fin.shares.common_outstanding</t>
      </text>
    </comment>
    <comment ref="AC33" authorId="0" shapeId="0">
      <text>
        <t>추정: 유통주식수 유지 — fin.shares.common_outstanding(2026Q2)
[qoq]</t>
      </text>
    </comment>
    <comment ref="AD33" authorId="0" shapeId="0">
      <text>
        <t>추정: 유통주식수 유지 — fin.shares.common_outstanding(2026Q2)
[qoq]</t>
      </text>
    </comment>
    <comment ref="AF33" authorId="0" shapeId="0">
      <text>
        <t>추정: 유통주식수 유지 — fin.shares.common_outstanding(2026Q2)
[qoq]</t>
      </text>
    </comment>
    <comment ref="AG33" authorId="0" shapeId="0">
      <text>
        <t>추정: 유통주식수 유지 — fin.shares.common_outstanding(2026Q2)
[qoq]</t>
      </text>
    </comment>
    <comment ref="AH33" authorId="0" shapeId="0">
      <text>
        <t>추정: 유통주식수 유지 — fin.shares.common_outstanding(2026Q2)
[qoq]</t>
      </text>
    </comment>
    <comment ref="AI33" authorId="0" shapeId="0">
      <text>
        <t>추정: 유통주식수 유지 — fin.shares.common_outstanding(2026Q2)
[qoq]</t>
      </text>
    </comment>
    <comment ref="AK33" authorId="0" shapeId="0">
      <text>
        <t>추정: 유통주식수 유지 — fin.shares.common_outstanding(2026Q2)
[qoq]</t>
      </text>
    </comment>
    <comment ref="AL33" authorId="0" shapeId="0">
      <text>
        <t>추정: 유통주식수 유지 — fin.shares.common_outstanding(2026Q2)
[qoq]</t>
      </text>
    </comment>
    <comment ref="AM33" authorId="0" shapeId="0">
      <text>
        <t>추정: 유통주식수 유지 — fin.shares.common_outstanding(2026Q2)
[qoq]</t>
      </text>
    </comment>
    <comment ref="AN33" authorId="0" shapeId="0">
      <text>
        <t>추정: 유통주식수 유지 — fin.shares.common_outstanding(2026Q2)
[qoq]</t>
      </text>
    </comment>
    <comment ref="AC34" authorId="0" shapeId="0">
      <text>
        <t>추정: 지배주주순이익 ÷ 유통주식수
[per_share]</t>
      </text>
    </comment>
    <comment ref="AD34" authorId="0" shapeId="0">
      <text>
        <t>추정: 지배주주순이익 ÷ 유통주식수
[per_share]</t>
      </text>
    </comment>
    <comment ref="AF34" authorId="0" shapeId="0">
      <text>
        <t>추정: 지배주주순이익 ÷ 유통주식수
[per_share]</t>
      </text>
    </comment>
    <comment ref="AG34" authorId="0" shapeId="0">
      <text>
        <t>추정: 지배주주순이익 ÷ 유통주식수
[per_share]</t>
      </text>
    </comment>
    <comment ref="AH34" authorId="0" shapeId="0">
      <text>
        <t>추정: 지배주주순이익 ÷ 유통주식수
[per_share]</t>
      </text>
    </comment>
    <comment ref="AI34" authorId="0" shapeId="0">
      <text>
        <t>추정: 지배주주순이익 ÷ 유통주식수
[per_share]</t>
      </text>
    </comment>
    <comment ref="AK34" authorId="0" shapeId="0">
      <text>
        <t>추정: 지배주주순이익 ÷ 유통주식수
[per_share]</t>
      </text>
    </comment>
    <comment ref="AL34" authorId="0" shapeId="0">
      <text>
        <t>추정: 지배주주순이익 ÷ 유통주식수
[per_share]</t>
      </text>
    </comment>
    <comment ref="AM34" authorId="0" shapeId="0">
      <text>
        <t>추정: 지배주주순이익 ÷ 유통주식수
[per_share]</t>
      </text>
    </comment>
    <comment ref="AN34" authorId="0" shapeId="0">
      <text>
        <t>추정: 지배주주순이익 ÷ 유통주식수
[per_share]</t>
      </text>
    </comment>
    <comment ref="AC35" authorId="0" shapeId="0">
      <text>
        <t>추정: 지배주주지분 ÷ 유통주식수
[per_share]</t>
      </text>
    </comment>
    <comment ref="AD35" authorId="0" shapeId="0">
      <text>
        <t>추정: 지배주주지분 ÷ 유통주식수
[per_share]</t>
      </text>
    </comment>
    <comment ref="AF35" authorId="0" shapeId="0">
      <text>
        <t>추정: 지배주주지분 ÷ 유통주식수
[per_share]</t>
      </text>
    </comment>
    <comment ref="AG35" authorId="0" shapeId="0">
      <text>
        <t>추정: 지배주주지분 ÷ 유통주식수
[per_share]</t>
      </text>
    </comment>
    <comment ref="AH35" authorId="0" shapeId="0">
      <text>
        <t>추정: 지배주주지분 ÷ 유통주식수
[per_share]</t>
      </text>
    </comment>
    <comment ref="AI35" authorId="0" shapeId="0">
      <text>
        <t>추정: 지배주주지분 ÷ 유통주식수
[per_share]</t>
      </text>
    </comment>
    <comment ref="AK35" authorId="0" shapeId="0">
      <text>
        <t>추정: 지배주주지분 ÷ 유통주식수
[per_share]</t>
      </text>
    </comment>
    <comment ref="AL35" authorId="0" shapeId="0">
      <text>
        <t>추정: 지배주주지분 ÷ 유통주식수
[per_share]</t>
      </text>
    </comment>
    <comment ref="AM35" authorId="0" shapeId="0">
      <text>
        <t>추정: 지배주주지분 ÷ 유통주식수
[per_share]</t>
      </text>
    </comment>
    <comment ref="AN35" authorId="0" shapeId="0">
      <text>
        <t>추정: 지배주주지분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실측(계정 매핑 없음(파생·부문·시세 행) — 모델값 직접) — fin.dividend.dps_common(연간, Q4 에 표기)</t>
      </text>
    </comment>
    <comment ref="Y36" authorId="0" shapeId="0">
      <text>
        <t>실측(계정 매핑 없음(파생·부문·시세 행) — 모델값 직접) — fin.dividend.dps_common(연간, Q4 에 표기)</t>
      </text>
    </comment>
    <comment ref="AD36" authorId="0" shapeId="0">
      <text>
        <t>추정: 직전 결산 DPS 5,661원 유지
[abs]</t>
      </text>
    </comment>
    <comment ref="AI36" authorId="0" shapeId="0">
      <text>
        <t>추정: 직전 결산 DPS 5,661원 유지
[abs]</t>
      </text>
    </comment>
    <comment ref="AN36" authorId="0" shapeId="0">
      <text>
        <t>추정: 직전 결산 DPS 5,661원 유지
[abs]</t>
      </text>
    </comment>
    <comment ref="AC37" authorId="0" shapeId="0">
      <text>
        <t>추정: 현재 종가 ÷ TTM EPS(추정 포함)
[valuation]</t>
      </text>
    </comment>
    <comment ref="AD37" authorId="0" shapeId="0">
      <text>
        <t>추정: 현재 종가 ÷ TTM EPS(추정 포함)
[valuation]</t>
      </text>
    </comment>
    <comment ref="AF37" authorId="0" shapeId="0">
      <text>
        <t>추정: 현재 종가 ÷ TTM EPS(추정 포함)
[valuation]</t>
      </text>
    </comment>
    <comment ref="AG37" authorId="0" shapeId="0">
      <text>
        <t>추정: 현재 종가 ÷ TTM EPS(추정 포함)
[valuation]</t>
      </text>
    </comment>
    <comment ref="AH37" authorId="0" shapeId="0">
      <text>
        <t>추정: 현재 종가 ÷ TTM EPS(추정 포함)
[valuation]</t>
      </text>
    </comment>
    <comment ref="AI37" authorId="0" shapeId="0">
      <text>
        <t>추정: 현재 종가 ÷ TTM EPS(추정 포함)
[valuation]</t>
      </text>
    </comment>
    <comment ref="AK37" authorId="0" shapeId="0">
      <text>
        <t>추정: 현재 종가 ÷ TTM EPS(추정 포함)
[valuation]</t>
      </text>
    </comment>
    <comment ref="AL37" authorId="0" shapeId="0">
      <text>
        <t>추정: 현재 종가 ÷ TTM EPS(추정 포함)
[valuation]</t>
      </text>
    </comment>
    <comment ref="AM37" authorId="0" shapeId="0">
      <text>
        <t>추정: 현재 종가 ÷ TTM EPS(추정 포함)
[valuation]</t>
      </text>
    </comment>
    <comment ref="AN37" authorId="0" shapeId="0">
      <text>
        <t>추정: 현재 종가 ÷ TTM EPS(추정 포함)
[valuation]</t>
      </text>
    </comment>
    <comment ref="AC38" authorId="0" shapeId="0">
      <text>
        <t>추정: 현재 종가 ÷ BPS(추정 포함)
[valuation]</t>
      </text>
    </comment>
    <comment ref="AD38" authorId="0" shapeId="0">
      <text>
        <t>추정: 현재 종가 ÷ BPS(추정 포함)
[valuation]</t>
      </text>
    </comment>
    <comment ref="AF38" authorId="0" shapeId="0">
      <text>
        <t>추정: 현재 종가 ÷ BPS(추정 포함)
[valuation]</t>
      </text>
    </comment>
    <comment ref="AG38" authorId="0" shapeId="0">
      <text>
        <t>추정: 현재 종가 ÷ BPS(추정 포함)
[valuation]</t>
      </text>
    </comment>
    <comment ref="AH38" authorId="0" shapeId="0">
      <text>
        <t>추정: 현재 종가 ÷ BPS(추정 포함)
[valuation]</t>
      </text>
    </comment>
    <comment ref="AI38" authorId="0" shapeId="0">
      <text>
        <t>추정: 현재 종가 ÷ BPS(추정 포함)
[valuation]</t>
      </text>
    </comment>
    <comment ref="AK38" authorId="0" shapeId="0">
      <text>
        <t>추정: 현재 종가 ÷ BPS(추정 포함)
[valuation]</t>
      </text>
    </comment>
    <comment ref="AL38" authorId="0" shapeId="0">
      <text>
        <t>추정: 현재 종가 ÷ BPS(추정 포함)
[valuation]</t>
      </text>
    </comment>
    <comment ref="AM38" authorId="0" shapeId="0">
      <text>
        <t>추정: 현재 종가 ÷ BPS(추정 포함)
[valuation]</t>
      </text>
    </comment>
    <comment ref="AN38" authorId="0" shapeId="0">
      <text>
        <t>추정: 현재 종가 ÷ BPS(추정 포함)
[valuation]</t>
      </text>
    </comment>
    <comment ref="N39" authorId="0" shapeId="0">
      <text>
        <t>실측(계정 매핑 없음(파생·부문·시세 행) — 모델값 직접) — sls.reconcile.reported_segment_rev_m ← yards_cache 부문표(3개월분)</t>
      </text>
    </comment>
    <comment ref="O39" authorId="0" shapeId="0">
      <text>
        <t>실측(계정 매핑 없음(파생·부문·시세 행) — 모델값 직접) — sls.reconcile.reported_segment_rev_m ← yards_cache 부문표(3개월분)</t>
      </text>
    </comment>
    <comment ref="Q39" authorId="0" shapeId="0">
      <text>
        <t>실측(계정 매핑 없음(파생·부문·시세 행) — 모델값 직접) — sls.reconcile.reported_segment_rev_m ← yards_cache 부문표(3개월분)</t>
      </text>
    </comment>
    <comment ref="R39" authorId="0" shapeId="0">
      <text>
        <t>실측(계정 매핑 없음(파생·부문·시세 행) — 모델값 직접) — sls.reconcile.reported_segment_rev_m ← yards_cache 부문표(3개월분)</t>
      </text>
    </comment>
    <comment ref="S39" authorId="0" shapeId="0">
      <text>
        <t>실측(계정 매핑 없음(파생·부문·시세 행) — 모델값 직접) — sls.reconcile.reported_segment_rev_m ← yards_cache 부문표(3개월분)</t>
      </text>
    </comment>
    <comment ref="T39" authorId="0" shapeId="0">
      <text>
        <t>실측(계정 매핑 없음(파생·부문·시세 행) — 모델값 직접) — sls.reconcile.reported_segment_rev_m ← yards_cache 부문표(3개월분)</t>
      </text>
    </comment>
    <comment ref="V39" authorId="0" shapeId="0">
      <text>
        <t>실측(계정 매핑 없음(파생·부문·시세 행) — 모델값 직접) — sls.reconcile.reported_segment_rev_m ← yards_cache 부문표(3개월분)</t>
      </text>
    </comment>
    <comment ref="W39" authorId="0" shapeId="0">
      <text>
        <t>실측(계정 매핑 없음(파생·부문·시세 행) — 모델값 직접) — sls.reconcile.reported_segment_rev_m ← yards_cache 부문표(3개월분)</t>
      </text>
    </comment>
    <comment ref="X39" authorId="0" shapeId="0">
      <text>
        <t>실측(계정 매핑 없음(파생·부문·시세 행) — 모델값 직접) — sls.reconcile.reported_segment_rev_m ← yards_cache 부문표(3개월분)</t>
      </text>
    </comment>
    <comment ref="Y39" authorId="0" shapeId="0">
      <text>
        <t>실측(계정 매핑 없음(파생·부문·시세 행) — 모델값 직접) — sls.reconcile.reported_segment_rev_m ← yards_cache 부문표(3개월분)</t>
      </text>
    </comment>
    <comment ref="AA39" authorId="0" shapeId="0">
      <text>
        <t>실측(계정 매핑 없음(파생·부문·시세 행) — 모델값 직접) — sls.reconcile.reported_segment_rev_m ← yards_cache 부문표(3개월분)</t>
      </text>
    </comment>
    <comment ref="AB39" authorId="0" shapeId="0">
      <text>
        <t>실측(계정 매핑 없음(파생·부문·시세 행) — 모델값 직접) — sls.reconcile.reported_segment_rev_m ← yards_cache 부문표(3개월분)</t>
      </text>
    </comment>
    <comment ref="AC39" authorId="0" shapeId="0">
      <text>
        <t>추정: SLS 해양 원화 21752억(sls.by_quarter.marine_hedged_krw_m(헤지 70% 적용; origin 2026Q2 이후 체결 3건 SLS 유지 — 패널 신규수주와 체결 분기별 상계(net_panel))) + 원장 밖 잔고 소진 34822억(최근 4분기 '부문매출−SLS' 중위 34822억/분기, 잔여 321340억) + 신규수주 매출 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556억 유지(패널 신규수주 체결 분기별 상계, net_panel)
[sls_link]</t>
      </text>
    </comment>
    <comment ref="AD39" authorId="0" shapeId="0">
      <text>
        <t>추정: SLS 해양 원화 21868억(sls.by_quarter.marine_hedged_krw_m(헤지 70% 적용; origin 2026Q2 이후 체결 3건 SLS 유지 — 패널 신규수주와 체결 분기별 상계(net_panel))) + 원장 밖 잔고 소진 34822억(최근 4분기 '부문매출−SLS' 중위 34822억/분기, 잔여 286518억) + 신규수주 매출 714억(forecast_panel.json.gz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
[sls_link]</t>
      </text>
    </comment>
    <comment ref="AF39" authorId="0" shapeId="0">
      <text>
        <t>추정: SLS 해양 원화 21384억(sls.by_quarter.marine_hedged_krw_m(헤지 70% 적용; origin 2026Q2 이후 체결 3건 SLS 유지 — 패널 신규수주와 체결 분기별 상계(net_panel))) + 원장 밖 잔고 소진 34822억(최근 4분기 '부문매출−SLS' 중위 34822억/분기, 잔여 251696억) + 신규수주 매출 2954억(forecast_panel.json.gz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983억 유지(패널 신규수주 체결 분기별 상계, net_panel)
[sls_link]</t>
      </text>
    </comment>
    <comment ref="AG39" authorId="0" shapeId="0">
      <text>
        <t>추정: SLS 해양 원화 21221억(sls.by_quarter.marine_hedged_krw_m(헤지 70% 적용; origin 2026Q2 이후 체결 3건 SLS 유지 — 패널 신규수주와 체결 분기별 상계(net_panel))) + 원장 밖 잔고 소진 34822억(최근 4분기 '부문매출−SLS' 중위 34822억/분기, 잔여 216874억) + 신규수주 매출 6662억(forecast_panel.json.gz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994억 유지(패널 신규수주 체결 분기별 상계, net_panel)
[sls_link]</t>
      </text>
    </comment>
    <comment ref="AH39" authorId="0" shapeId="0">
      <text>
        <t>추정: SLS 해양 원화 20392억(sls.by_quarter.marine_hedged_krw_m(헤지 70% 적용; origin 2026Q2 이후 체결 3건 SLS 유지 — 패널 신규수주와 체결 분기별 상계(net_panel))) + 원장 밖 잔고 소진 34822억(최근 4분기 '부문매출−SLS' 중위 34822억/분기, 잔여 182051억) + 신규수주 매출 11469억(forecast_panel.json.gz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
[sls_link]</t>
      </text>
    </comment>
    <comment ref="AI39" authorId="0" shapeId="0">
      <text>
        <t>추정: SLS 해양 원화 19641억(sls.by_quarter.marine_hedged_krw_m(헤지 70% 적용; origin 2026Q2 이후 체결 3건 SLS 유지 — 패널 신규수주와 체결 분기별 상계(net_panel))) + 원장 밖 잔고 소진 34822억(최근 4분기 '부문매출−SLS' 중위 34822억/분기, 잔여 147229억) + 신규수주 매출 17008억(forecast_panel.json.gz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
[sls_link]</t>
      </text>
    </comment>
    <comment ref="AK39" authorId="0" shapeId="0">
      <text>
        <t>추정: SLS 해양 원화 18740억(sls.by_quarter.marine_hedged_krw_m(헤지 70% 적용; origin 2026Q2 이후 체결 3건 SLS 유지 — 패널 신규수주와 체결 분기별 상계(net_panel))) + 원장 밖 잔고 소진 34822억(최근 4분기 '부문매출−SLS' 중위 34822억/분기, 잔여 112407억) + 신규수주 매출 22910억(forecast_panel.json.gz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994억 유지(패널 신규수주 체결 분기별 상계, net_panel)
[sls_link]</t>
      </text>
    </comment>
    <comment ref="AL39" authorId="0" shapeId="0">
      <text>
        <t>추정: SLS 해양 원화 18100억(sls.by_quarter.marine_hedged_krw_m(헤지 70% 적용; origin 2026Q2 이후 체결 3건 SLS 유지 — 패널 신규수주와 체결 분기별 상계(net_panel))) + 원장 밖 잔고 소진 34822억(최근 4분기 '부문매출−SLS' 중위 34822억/분기, 잔여 77585억) + 신규수주 매출 28807억(forecast_panel.json.gz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994억 유지(패널 신규수주 체결 분기별 상계, net_panel)
[sls_link]</t>
      </text>
    </comment>
    <comment ref="AM39" authorId="0" shapeId="0">
      <text>
        <t>추정: SLS 해양 원화 16770억(sls.by_quarter.marine_hedged_krw_m(헤지 70% 적용; origin 2026Q2 이후 체결 3건 SLS 유지 — 패널 신규수주와 체결 분기별 상계(net_panel))) + 원장 밖 잔고 소진 34822억(최근 4분기 '부문매출−SLS' 중위 34822억/분기, 잔여 42762억) + 신규수주 매출 34332억(forecast_panel.json.gz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
[sls_link]</t>
      </text>
    </comment>
    <comment ref="AN39" authorId="0" shapeId="0">
      <text>
        <t>추정: SLS 해양 원화 14988억(sls.by_quarter.marine_hedged_krw_m(헤지 70% 적용; origin 2026Q2 이후 체결 3건 SLS 유지 — 패널 신규수주와 체결 분기별 상계(net_panel))) + 원장 밖 잔고 소진 34822억(최근 4분기 '부문매출−SLS' 중위 34822억/분기, 잔여 7940억) + 신규수주 매출 39116억(forecast_panel.json.gz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34,260억)) · origin 이후 공시 수주 SLS 1005억 유지(패널 신규수주 체결 분기별 상계, net_panel)
[sls_link]</t>
      </text>
    </comment>
    <comment ref="AA40" authorId="0" shapeId="0">
      <text>
        <t>추정(실적 구간 갭필): 정의상 0 — origin 2026Q2 이전 실적 분기, origin 이후 신규수주 매출(fin 값 아님)</t>
      </text>
    </comment>
    <comment ref="AB40" authorId="0" shapeId="0">
      <text>
        <t>추정(실적 구간 갭필): 정의상 0 — origin 2026Q2 이전 실적 분기, origin 이후 신규수주 매출(fin 값 아님)</t>
      </text>
    </comment>
    <comment ref="AC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D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F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G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H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I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K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L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M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N40" authorId="0" shapeId="0">
      <text>
        <t>추정: forecast_panel.json.gz scenarios.base new_order_revenue(KRW_million÷100), status partial, calibrated=false, book-value proxy; 출처 사슬 new_order_revenue→covered_scope_new_revenue→ledger_signing_rate; origin 이후 공시 수주 체결 분기별 상계(net_panel: 2026Q3 패널 47,475억 − 공시 13,215억 = 34,260억) — 매출조선에 포함(합산 금지)
[abs]</t>
      </text>
    </comment>
    <comment ref="AC41" authorId="0" shapeId="0">
      <text>
        <t>추정: 매출조선 × 타겟 OPM(부문 OP 미공시 → 회사 OPM 적용; 신규수주분 포함)
[ratio]</t>
      </text>
    </comment>
    <comment ref="AD41" authorId="0" shapeId="0">
      <text>
        <t>추정: 매출조선 × 타겟 OPM(부문 OP 미공시 → 회사 OPM 적용; 신규수주분 포함)
[ratio]</t>
      </text>
    </comment>
    <comment ref="AF41" authorId="0" shapeId="0">
      <text>
        <t>추정: 매출조선 × 타겟 OPM(부문 OP 미공시 → 회사 OPM 적용; 신규수주분 포함)
[ratio]</t>
      </text>
    </comment>
    <comment ref="AG41" authorId="0" shapeId="0">
      <text>
        <t>추정: 매출조선 × 타겟 OPM(부문 OP 미공시 → 회사 OPM 적용; 신규수주분 포함)
[ratio]</t>
      </text>
    </comment>
    <comment ref="AH41" authorId="0" shapeId="0">
      <text>
        <t>추정: 매출조선 × 타겟 OPM(부문 OP 미공시 → 회사 OPM 적용; 신규수주분 포함)
[ratio]</t>
      </text>
    </comment>
    <comment ref="AI41" authorId="0" shapeId="0">
      <text>
        <t>추정: 매출조선 × 타겟 OPM(부문 OP 미공시 → 회사 OPM 적용; 신규수주분 포함)
[ratio]</t>
      </text>
    </comment>
    <comment ref="AK41" authorId="0" shapeId="0">
      <text>
        <t>추정: 매출조선 × 타겟 OPM(부문 OP 미공시 → 회사 OPM 적용; 신규수주분 포함)
[ratio]</t>
      </text>
    </comment>
    <comment ref="AL41" authorId="0" shapeId="0">
      <text>
        <t>추정: 매출조선 × 타겟 OPM(부문 OP 미공시 → 회사 OPM 적용; 신규수주분 포함)
[ratio]</t>
      </text>
    </comment>
    <comment ref="AM41" authorId="0" shapeId="0">
      <text>
        <t>추정: 매출조선 × 타겟 OPM(부문 OP 미공시 → 회사 OPM 적용; 신규수주분 포함)
[ratio]</t>
      </text>
    </comment>
    <comment ref="AN41" authorId="0" shapeId="0">
      <text>
        <t>추정: 매출조선 × 타겟 OPM(부문 OP 미공시 → 회사 OPM 적용; 신규수주분 포함)
[ratio]</t>
      </text>
    </comment>
    <comment ref="AA42" authorId="0" shapeId="0">
      <text>
        <t>추정(실적 구간 갭필): 정의상 0 — origin 2026Q2 이전 실적 분기(fin 값 아님)</t>
      </text>
    </comment>
    <comment ref="AB42" authorId="0" shapeId="0">
      <text>
        <t>추정(실적 구간 갭필): 정의상 0 — origin 2026Q2 이전 실적 분기(fin 값 아님)</t>
      </text>
    </comment>
    <comment ref="AC42" authorId="0" shapeId="0">
      <text>
        <t>추정: 매출조선신규 × 타겟 OPM(신규분에도 같은 타겟) — OP조선에 포함
[ratio_parent]</t>
      </text>
    </comment>
    <comment ref="AD42" authorId="0" shapeId="0">
      <text>
        <t>추정: 매출조선신규 × 타겟 OPM(신규분에도 같은 타겟) — OP조선에 포함
[ratio_parent]</t>
      </text>
    </comment>
    <comment ref="AF42" authorId="0" shapeId="0">
      <text>
        <t>추정: 매출조선신규 × 타겟 OPM(신규분에도 같은 타겟) — OP조선에 포함
[ratio_parent]</t>
      </text>
    </comment>
    <comment ref="AG42" authorId="0" shapeId="0">
      <text>
        <t>추정: 매출조선신규 × 타겟 OPM(신규분에도 같은 타겟) — OP조선에 포함
[ratio_parent]</t>
      </text>
    </comment>
    <comment ref="AH42" authorId="0" shapeId="0">
      <text>
        <t>추정: 매출조선신규 × 타겟 OPM(신규분에도 같은 타겟) — OP조선에 포함
[ratio_parent]</t>
      </text>
    </comment>
    <comment ref="AI42" authorId="0" shapeId="0">
      <text>
        <t>추정: 매출조선신규 × 타겟 OPM(신규분에도 같은 타겟) — OP조선에 포함
[ratio_parent]</t>
      </text>
    </comment>
    <comment ref="AK42" authorId="0" shapeId="0">
      <text>
        <t>추정: 매출조선신규 × 타겟 OPM(신규분에도 같은 타겟) — OP조선에 포함
[ratio_parent]</t>
      </text>
    </comment>
    <comment ref="AL42" authorId="0" shapeId="0">
      <text>
        <t>추정: 매출조선신규 × 타겟 OPM(신규분에도 같은 타겟) — OP조선에 포함
[ratio_parent]</t>
      </text>
    </comment>
    <comment ref="AM42" authorId="0" shapeId="0">
      <text>
        <t>추정: 매출조선신규 × 타겟 OPM(신규분에도 같은 타겟) — OP조선에 포함
[ratio_parent]</t>
      </text>
    </comment>
    <comment ref="AN42" authorId="0" shapeId="0">
      <text>
        <t>추정: 매출조선신규 × 타겟 OPM(신규분에도 같은 타겟) — OP조선에 포함
[ratio_parent]</t>
      </text>
    </comment>
    <comment ref="N43" authorId="0" shapeId="0">
      <text>
        <t>실측(계정 매핑 없음(파생·부문·시세 행) — 모델값 직접) — 연결 매출 − 조선 부문(파생)</t>
      </text>
    </comment>
    <comment ref="O43" authorId="0" shapeId="0">
      <text>
        <t>실측(계정 매핑 없음(파생·부문·시세 행) — 모델값 직접) — 연결 매출 − 조선 부문(파생)</t>
      </text>
    </comment>
    <comment ref="Q43" authorId="0" shapeId="0">
      <text>
        <t>실측(계정 매핑 없음(파생·부문·시세 행) — 모델값 직접) — 연결 매출 − 조선 부문(파생)</t>
      </text>
    </comment>
    <comment ref="R43" authorId="0" shapeId="0">
      <text>
        <t>실측(계정 매핑 없음(파생·부문·시세 행) — 모델값 직접) — 연결 매출 − 조선 부문(파생)</t>
      </text>
    </comment>
    <comment ref="S43" authorId="0" shapeId="0">
      <text>
        <t>실측(계정 매핑 없음(파생·부문·시세 행) — 모델값 직접) — 연결 매출 − 조선 부문(파생)</t>
      </text>
    </comment>
    <comment ref="T43" authorId="0" shapeId="0">
      <text>
        <t>실측(계정 매핑 없음(파생·부문·시세 행) — 모델값 직접) — 연결 매출 − 조선 부문(파생)</t>
      </text>
    </comment>
    <comment ref="V43" authorId="0" shapeId="0">
      <text>
        <t>실측(계정 매핑 없음(파생·부문·시세 행) — 모델값 직접) — 연결 매출 − 조선 부문(파생)</t>
      </text>
    </comment>
    <comment ref="W43" authorId="0" shapeId="0">
      <text>
        <t>실측(계정 매핑 없음(파생·부문·시세 행) — 모델값 직접) — 연결 매출 − 조선 부문(파생)</t>
      </text>
    </comment>
    <comment ref="X43" authorId="0" shapeId="0">
      <text>
        <t>실측(계정 매핑 없음(파생·부문·시세 행) — 모델값 직접) — 연결 매출 − 조선 부문(파생)</t>
      </text>
    </comment>
    <comment ref="Y43" authorId="0" shapeId="0">
      <text>
        <t>실측(계정 매핑 없음(파생·부문·시세 행) — 모델값 직접) — 연결 매출 − 조선 부문(파생)</t>
      </text>
    </comment>
    <comment ref="AA43" authorId="0" shapeId="0">
      <text>
        <t>실측(계정 매핑 없음(파생·부문·시세 행) — 모델값 직접) — 연결 매출 − 조선 부문(파생)</t>
      </text>
    </comment>
    <comment ref="AB43" authorId="0" shapeId="0">
      <text>
        <t>실측(계정 매핑 없음(파생·부문·시세 행) — 모델값 직접) — 연결 매출 − 조선 부문(파생)</t>
      </text>
    </comment>
    <comment ref="AC43" authorId="0" shapeId="0">
      <text>
        <t>추정: 기타 부문(연결 − 조선 부문) 최근 4분기 중위 9376억 유지
[yoy]</t>
      </text>
    </comment>
    <comment ref="AD43" authorId="0" shapeId="0">
      <text>
        <t>추정: 기타 부문(연결 − 조선 부문) 최근 4분기 중위 9376억 유지
[yoy]</t>
      </text>
    </comment>
    <comment ref="AF43" authorId="0" shapeId="0">
      <text>
        <t>추정: 기타 부문(연결 − 조선 부문) 최근 4분기 중위 9376억 유지
[yoy]</t>
      </text>
    </comment>
    <comment ref="AG43" authorId="0" shapeId="0">
      <text>
        <t>추정: 기타 부문(연결 − 조선 부문) 최근 4분기 중위 9376억 유지
[yoy]</t>
      </text>
    </comment>
    <comment ref="AH43" authorId="0" shapeId="0">
      <text>
        <t>추정: 기타 부문(연결 − 조선 부문) 최근 4분기 중위 9376억 유지
[yoy]</t>
      </text>
    </comment>
    <comment ref="AI43" authorId="0" shapeId="0">
      <text>
        <t>추정: 기타 부문(연결 − 조선 부문) 최근 4분기 중위 9376억 유지
[yoy]</t>
      </text>
    </comment>
    <comment ref="AK43" authorId="0" shapeId="0">
      <text>
        <t>추정: 기타 부문(연결 − 조선 부문) 최근 4분기 중위 9376억 유지
[yoy]</t>
      </text>
    </comment>
    <comment ref="AL43" authorId="0" shapeId="0">
      <text>
        <t>추정: 기타 부문(연결 − 조선 부문) 최근 4분기 중위 9376억 유지
[yoy]</t>
      </text>
    </comment>
    <comment ref="AM43" authorId="0" shapeId="0">
      <text>
        <t>추정: 기타 부문(연결 − 조선 부문) 최근 4분기 중위 9376억 유지
[yoy]</t>
      </text>
    </comment>
    <comment ref="AN43" authorId="0" shapeId="0">
      <text>
        <t>추정: 기타 부문(연결 − 조선 부문) 최근 4분기 중위 9376억 유지
[yoy]</t>
      </text>
    </comment>
    <comment ref="AC44" authorId="0" shapeId="0">
      <text>
        <t>추정: 매출기타 × 회사 OPM(부문 OP 미공시)
[ratio]</t>
      </text>
    </comment>
    <comment ref="AD44" authorId="0" shapeId="0">
      <text>
        <t>추정: 매출기타 × 회사 OPM(부문 OP 미공시)
[ratio]</t>
      </text>
    </comment>
    <comment ref="AF44" authorId="0" shapeId="0">
      <text>
        <t>추정: 매출기타 × 회사 OPM(부문 OP 미공시)
[ratio]</t>
      </text>
    </comment>
    <comment ref="AG44" authorId="0" shapeId="0">
      <text>
        <t>추정: 매출기타 × 회사 OPM(부문 OP 미공시)
[ratio]</t>
      </text>
    </comment>
    <comment ref="AH44" authorId="0" shapeId="0">
      <text>
        <t>추정: 매출기타 × 회사 OPM(부문 OP 미공시)
[ratio]</t>
      </text>
    </comment>
    <comment ref="AI44" authorId="0" shapeId="0">
      <text>
        <t>추정: 매출기타 × 회사 OPM(부문 OP 미공시)
[ratio]</t>
      </text>
    </comment>
    <comment ref="AK44" authorId="0" shapeId="0">
      <text>
        <t>추정: 매출기타 × 회사 OPM(부문 OP 미공시)
[ratio]</t>
      </text>
    </comment>
    <comment ref="AL44" authorId="0" shapeId="0">
      <text>
        <t>추정: 매출기타 × 회사 OPM(부문 OP 미공시)
[ratio]</t>
      </text>
    </comment>
    <comment ref="AM44" authorId="0" shapeId="0">
      <text>
        <t>추정: 매출기타 × 회사 OPM(부문 OP 미공시)
[ratio]</t>
      </text>
    </comment>
    <comment ref="AN44" authorId="0" shapeId="0">
      <text>
        <t>추정: 매출기타 × 회사 OPM(부문 OP 미공시)
[ratio]</t>
      </text>
    </comment>
  </commentList>
</comments>
</file>

<file path=xl/comments/comment3.xml><?xml version="1.0" encoding="utf-8"?>
<comments xmlns="http://schemas.openxmlformats.org/spreadsheetml/2006/main">
  <authors>
    <author>kship</author>
  </authors>
  <commentList>
    <comment ref="BG3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3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3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3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3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4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5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6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7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7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7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7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7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7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7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G77" authorId="0" shapeId="0">
      <text>
        <t>모델 포함 규칙: 해양(type≠OTHER) · origin 분기말까지 체결분(이후 체결은 패널 신규수주에 포함으로 봄). 0 으로 바꾸면 그 계약을 매출에서 뺀다</t>
      </text>
    </comment>
  </commentList>
</comments>
</file>

<file path=xl/comments/comment4.xml><?xml version="1.0" encoding="utf-8"?>
<comments xmlns="http://schemas.openxmlformats.org/spreadsheetml/2006/main">
  <authors>
    <author>kship</author>
  </authors>
  <commentList>
    <comment ref="E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F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H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I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J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K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M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N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O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P12" authorId="0" shapeId="0">
      <text>
        <t>forecast_panel existing_only new_order_revenue(억원) — forecast_panel.json.gz scenarios.{conservative,base,optimistic}.quarterly[].new_order_revenue (KRW_million → 억원 ÷100) — 공시 수주 체결 분기별 상계 후(net_panel)</t>
      </text>
    </comment>
    <comment ref="E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F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H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I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J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K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M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N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O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P18" authorId="0" shapeId="0">
      <text>
        <t>forecast_panel conservative new_order_revenue(억원) — forecast_panel.json.gz scenarios.{conservative,base,optimistic}.quarterly[].new_order_revenue (KRW_million → 억원 ÷100) — 공시 수주 체결 분기별 상계 후(net_panel)</t>
      </text>
    </comment>
    <comment ref="E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F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H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I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J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K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M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N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O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  <comment ref="P24" authorId="0" shapeId="0">
      <text>
        <t>forecast_panel optimistic new_order_revenue(억원) — forecast_panel.json.gz scenarios.{conservative,base,optimistic}.quarterly[].new_order_revenue (KRW_million → 억원 ÷100) — 공시 수주 체결 분기별 상계 후(net_panel)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HD현대중공업(329180)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24.49% — 법인세 = MAX(세전,0) × 세율, 추정 전 분기 연결(Σ법인세/Σmax(세전,0) 역산, 재현 오차 ≤ 0.05억). 모델 가정 24.49% · 근거: 최근 12분기 유효세율 24.5%(5~27% 안 — 그대로)</t>
        </is>
      </c>
    </row>
    <row r="23">
      <c r="A23" t="inlineStr">
        <is>
          <t>· 판관비율 4.88%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2.47% / 부채 13.90% — 이자손익 = (전분기 이자발생자산 × 자산이자율 − 전분기 총차입금 × 부채이자율)/4, 최소자승 역산(모델 assumptions [0.0247, 0.139]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= 외화 순노출 -67.18백만$ × Δ기말/100 (연결)</t>
        </is>
      </c>
    </row>
    <row r="27">
      <c r="A27" t="inlineStr">
        <is>
          <t>· 선표(SLS) — 헤지비율 70.0%(estimate) · 헤지환율 계약별 수주시점 환율 · 코호트 모드 reference_anchor · 잔고 캡 미적용 · subQ 매출조선 = SLS 합계/100 + 원장 밖 잔고 소진(변수 drv:매출조선, 역산) + 매출조선신규 — 계약 43건 중 포함 38건(marine_hedged_krw_m_signed_by_origin), 재구성 최대차 8.2 백만원</t>
        </is>
      </c>
    </row>
    <row r="28">
      <c r="A28" t="inlineStr">
        <is>
          <t>· 신규수주 — forecast_panel base 시나리오를 매출조선신규 행에 포함(calibrated=False, status partial — 공시 계약은 체결 분기별로 패널 신규수주와 상계(SLS 일정 유지)). 보수/낙관/기존만 은 시나리오 시트에만(합산 안 함)</t>
        </is>
      </c>
    </row>
    <row r="29">
      <c r="A29" t="inlineStr">
        <is>
          <t>· 연결된 가정: 세율, 판관비율, 지배주주비중, 이자율, 환관련손익, 선표 · 연결 안 된 가정(모델값·분기별 역산 그대로): 없음</t>
        </is>
      </c>
    </row>
    <row r="30">
      <c r="A30" t="inlineStr">
        <is>
          <t>· 밸류에이션 — PER 밴드 10.0/15.0/20.0배(sector_default(레퍼런스 TP_PE PB 예시 10/15/20배; 과거 PER 중위 36.3배가 캡 5~30 밖 — 턴어라운드 초기 TTM EPS 왜곡)) · COE 9.0% · 12M fwd EPS 가중 0.5(가정). 모델 산출값 구간이며 추천이 아니다</t>
        </is>
      </c>
    </row>
    <row r="31">
      <c r="A31" t="inlineStr"/>
    </row>
    <row r="32">
      <c r="A32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3">
      <c r="A33" t="inlineStr">
        <is>
          <t>재현: cd argus/kship/tools &amp;&amp; python3 kship_model_xlsx.py --model assets/models/329180.json --verify   (모델 json 부터: kship_model.py --build --all --xlsx · xlsx 58사 일괄: kship_model_xlsx.py --all --verify)</t>
        </is>
      </c>
    </row>
    <row r="34">
      <c r="A34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5">
      <c r="A35" t="inlineStr">
        <is>
          <t>한계: 모델 quality.warnings — OPM 경로: 코호트 경로 없음 → 실측 중위 고정(원 타겟 전 분기 10.8% 상수(코호트 모드 reference_anchor); 경로 변화는 등급 없는 비중의 실측 중위 14.0% 채움에서만, 추정 구간 타겟 10.92%→11.02%) / 추정 매출조선 = 2026Q2 기준 잔고 소진분 + forecast_panel base new_order_revenue 신규수주 매출(미보정 book-value proxy, status partial; FY합 163,971억) — 보수/낙관은 scenarios 블록(합산 안 함) / origin 이후 공시 수주 3건 13,215억은 SLS 일정으로 전부 유지, 패널 신규수주에서 체결 분기별 상계(2026Q3 패널 47,475억 − 공시 13,215억 = 34,260억) — 패널 base 신규 매출 −11,241억(2026 275억 · 2027 4,902억 · 2028 6,064억) · 패널 new_order_revenue 정의 불확실 — order_basis=positive_part_of_empirical_net_replenishment; includes_unseparated_FX_cancellations(경험적 순보충 분위의 통계 흐름, 공시 계약을 개별 반영하지 않음) · new_order_arrival=quarter_end; first_recognition_next_quarter · progress_curve=R1_smoothstep_unfitted; contract_period_not_actual_build_stage; 패널 기존잔고는 origin 이후 공시 6건을 제외(industry_axes.schedule_exclusions.not_known_at_origin); 2026Q3 공시 수주 13,215억 vs 패널 base 신규수주 47,475억(28%). 공시 수주의 인식 시점·진행률(선형, 체결 분기부터)은 패널 가정과 다르다(calibrated=false) — FY 유지 SLS(공시) vs 패널 base 신규 매출(상계 후): 2026 1,561억 vs 714억 · 2027 3,986억 vs 38,092억 · 2028 3,997억 vs 125,165억 / 총차입금 이자율: 주석 연율 13.9% 가 CF 연율 4.5% 의 3.1배 — 최근 4분기 연속 주석이라 유지(차입금 외 이자 포함 가능 — 주석 확인). 클립 조건: stale 또는 &gt; 20% / 감가상각비가 face·CF 에 없음(주석 미파싱) → EBITDA·EV/EBITDA 미산출 / 금융손익 실적→추정 단절: 최근 4분기 실적 -6595/-4926/-10269/-4298(중위 -5761억) → 추정 2026Q3 +227억(차 +5987억, +104%) — 추정은 이자손익 + 기타금융 중위, 외환·파생 평가손익 0 가정(환율 효과는 환관련손익 행). 값은 바꾸지 않음 — 지배NI·EPS 해석 시 참고</t>
        </is>
      </c>
    </row>
    <row r="36">
      <c r="A36" t="inlineStr">
        <is>
          <t>백테스트: {"freeze": "2025Q2", "horizon": 4, "revenue_wape_pct": 24.0, "op_wape_pct": 50.3, "n": 4, "note": "단일 회사 4분기 — 통계 아님", "driver_at_freeze": "sls_marine_plus_uncovered_backlog_runoff",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41613.18, "rev_act": 44178.98, "op_pred": 3826.68, "op_act": 5572.85}, {"q": "2025Q4", "rev_pred": 41613.18, "rev_act": 51930.94, "op_pred": 3826.68, "op_act": 5750.35}, {"q": "2026Q1", "rev_pred": 41460.55, "rev_act": 59163.32, "op_pred": 3812.64, "op_act": 9053.86}, {"q": "2026Q2", "rev_pred": 41536.85, "rev_act": 63321.55, "op_pred": 3819.66, "op_act": 10399.38}]}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95200</v>
      </c>
      <c r="F15" s="9" t="n"/>
      <c r="G15" s="18" t="n">
        <v>119500</v>
      </c>
      <c r="H15" s="18" t="n">
        <v>143000</v>
      </c>
      <c r="I15" s="18" t="n">
        <v>115000</v>
      </c>
      <c r="J15" s="18" t="n">
        <v>116000</v>
      </c>
      <c r="K15" s="9" t="n"/>
      <c r="L15" s="18" t="n">
        <v>100000</v>
      </c>
      <c r="M15" s="18" t="n">
        <v>131700</v>
      </c>
      <c r="N15" s="18" t="n">
        <v>121200</v>
      </c>
      <c r="O15" s="18" t="n">
        <v>129000</v>
      </c>
      <c r="P15" s="9" t="n"/>
      <c r="Q15" s="18" t="n">
        <v>118000</v>
      </c>
      <c r="R15" s="18" t="n">
        <v>155700</v>
      </c>
      <c r="S15" s="18" t="n">
        <v>184600</v>
      </c>
      <c r="T15" s="18" t="n">
        <v>287500</v>
      </c>
      <c r="U15" s="9" t="n"/>
      <c r="V15" s="18" t="n">
        <v>279000</v>
      </c>
      <c r="W15" s="18" t="n">
        <v>428500</v>
      </c>
      <c r="X15" s="18" t="n">
        <v>515000</v>
      </c>
      <c r="Y15" s="18" t="n">
        <v>509000</v>
      </c>
      <c r="Z15" s="9" t="n"/>
      <c r="AA15" s="18" t="n">
        <v>465000</v>
      </c>
      <c r="AB15" s="19" t="n">
        <v>592000</v>
      </c>
      <c r="AC15" s="20" t="n">
        <v>434500</v>
      </c>
      <c r="AD15" s="20" t="n">
        <v>369000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119500</v>
      </c>
      <c r="F16" s="9" t="n"/>
      <c r="G16" s="18" t="n">
        <v>124000</v>
      </c>
      <c r="H16" s="18" t="n">
        <v>161500</v>
      </c>
      <c r="I16" s="18" t="n">
        <v>151000</v>
      </c>
      <c r="J16" s="18" t="n">
        <v>125500</v>
      </c>
      <c r="K16" s="9" t="n"/>
      <c r="L16" s="18" t="n">
        <v>119500</v>
      </c>
      <c r="M16" s="18" t="n">
        <v>131900</v>
      </c>
      <c r="N16" s="18" t="n">
        <v>149700</v>
      </c>
      <c r="O16" s="18" t="n">
        <v>135900</v>
      </c>
      <c r="P16" s="9" t="n"/>
      <c r="Q16" s="18" t="n">
        <v>128500</v>
      </c>
      <c r="R16" s="18" t="n">
        <v>158500</v>
      </c>
      <c r="S16" s="18" t="n">
        <v>222500</v>
      </c>
      <c r="T16" s="18" t="n">
        <v>299000</v>
      </c>
      <c r="U16" s="9" t="n"/>
      <c r="V16" s="18" t="n">
        <v>371500</v>
      </c>
      <c r="W16" s="18" t="n">
        <v>476000</v>
      </c>
      <c r="X16" s="18" t="n">
        <v>535000</v>
      </c>
      <c r="Y16" s="18" t="n">
        <v>640000</v>
      </c>
      <c r="Z16" s="9" t="n"/>
      <c r="AA16" s="18" t="n">
        <v>652000</v>
      </c>
      <c r="AB16" s="19" t="n">
        <v>765000</v>
      </c>
      <c r="AC16" s="20" t="n">
        <v>622000</v>
      </c>
      <c r="AD16" s="20" t="n">
        <v>435500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89700</v>
      </c>
      <c r="F17" s="9" t="n"/>
      <c r="G17" s="18" t="n">
        <v>92700</v>
      </c>
      <c r="H17" s="18" t="n">
        <v>111000</v>
      </c>
      <c r="I17" s="18" t="n">
        <v>112500</v>
      </c>
      <c r="J17" s="18" t="n">
        <v>101500</v>
      </c>
      <c r="K17" s="9" t="n"/>
      <c r="L17" s="18" t="n">
        <v>91500</v>
      </c>
      <c r="M17" s="18" t="n">
        <v>96900</v>
      </c>
      <c r="N17" s="18" t="n">
        <v>118400</v>
      </c>
      <c r="O17" s="18" t="n">
        <v>101500</v>
      </c>
      <c r="P17" s="9" t="n"/>
      <c r="Q17" s="18" t="n">
        <v>107900</v>
      </c>
      <c r="R17" s="18" t="n">
        <v>110800</v>
      </c>
      <c r="S17" s="18" t="n">
        <v>147400</v>
      </c>
      <c r="T17" s="18" t="n">
        <v>168900</v>
      </c>
      <c r="U17" s="9" t="n"/>
      <c r="V17" s="18" t="n">
        <v>271500</v>
      </c>
      <c r="W17" s="18" t="n">
        <v>275500</v>
      </c>
      <c r="X17" s="18" t="n">
        <v>370000</v>
      </c>
      <c r="Y17" s="18" t="n">
        <v>489500</v>
      </c>
      <c r="Z17" s="9" t="n"/>
      <c r="AA17" s="18" t="n">
        <v>460500</v>
      </c>
      <c r="AB17" s="19" t="n">
        <v>428000</v>
      </c>
      <c r="AC17" s="20" t="n">
        <v>411500</v>
      </c>
      <c r="AD17" s="20" t="n">
        <v>347000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105952.4</v>
      </c>
      <c r="F18" s="9" t="n"/>
      <c r="G18" s="18" t="n">
        <v>106772.9</v>
      </c>
      <c r="H18" s="18" t="n">
        <v>131112.9</v>
      </c>
      <c r="I18" s="18" t="n">
        <v>129166.7</v>
      </c>
      <c r="J18" s="18" t="n">
        <v>115338.7</v>
      </c>
      <c r="K18" s="9" t="n"/>
      <c r="L18" s="18" t="n">
        <v>105532.3</v>
      </c>
      <c r="M18" s="18" t="n">
        <v>115295.1</v>
      </c>
      <c r="N18" s="18" t="n">
        <v>131943.5</v>
      </c>
      <c r="O18" s="18" t="n">
        <v>117131.7</v>
      </c>
      <c r="P18" s="9" t="n"/>
      <c r="Q18" s="18" t="n">
        <v>116886.9</v>
      </c>
      <c r="R18" s="18" t="n">
        <v>131906.7</v>
      </c>
      <c r="S18" s="18" t="n">
        <v>185524.2</v>
      </c>
      <c r="T18" s="18" t="n">
        <v>214772.1</v>
      </c>
      <c r="U18" s="9" t="n"/>
      <c r="V18" s="18" t="n">
        <v>307482.8</v>
      </c>
      <c r="W18" s="18" t="n">
        <v>391666.7</v>
      </c>
      <c r="X18" s="18" t="n">
        <v>463830.8</v>
      </c>
      <c r="Y18" s="18" t="n">
        <v>547372.9</v>
      </c>
      <c r="Z18" s="9" t="n"/>
      <c r="AA18" s="18" t="n">
        <v>571906.8</v>
      </c>
      <c r="AB18" s="19" t="n">
        <v>616245.9</v>
      </c>
      <c r="AC18" s="20" t="n">
        <v>478298.4</v>
      </c>
      <c r="AD18" s="20" t="n">
        <v>395062.5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drv:판관비</t>
        </is>
      </c>
      <c r="B21" s="2" t="inlineStr">
        <is>
          <t>ratio</t>
        </is>
      </c>
      <c r="C21" t="inlineStr">
        <is>
          <t>판관비율(/매출)</t>
        </is>
      </c>
      <c r="E21" s="21">
        <f>IFERROR(subQ!E8/subQ!E5,"")</f>
        <v/>
      </c>
      <c r="F21" s="22">
        <f>IFERROR(subQ!F8/subQ!F5,"")</f>
        <v/>
      </c>
      <c r="G21" s="21">
        <f>IFERROR(subQ!G8/subQ!G5,"")</f>
        <v/>
      </c>
      <c r="H21" s="21">
        <f>IFERROR(subQ!H8/subQ!H5,"")</f>
        <v/>
      </c>
      <c r="I21" s="21">
        <f>IFERROR(subQ!I8/subQ!I5,"")</f>
        <v/>
      </c>
      <c r="J21" s="21">
        <f>IFERROR(subQ!J8/subQ!J5,"")</f>
        <v/>
      </c>
      <c r="K21" s="22">
        <f>IFERROR(subQ!K8/subQ!K5,"")</f>
        <v/>
      </c>
      <c r="L21" s="21">
        <f>IFERROR(subQ!L8/subQ!L5,"")</f>
        <v/>
      </c>
      <c r="M21" s="21">
        <f>IFERROR(subQ!M8/subQ!M5,"")</f>
        <v/>
      </c>
      <c r="N21" s="21">
        <f>IFERROR(subQ!N8/subQ!N5,"")</f>
        <v/>
      </c>
      <c r="O21" s="21">
        <f>IFERROR(subQ!O8/subQ!O5,"")</f>
        <v/>
      </c>
      <c r="P21" s="22">
        <f>IFERROR(subQ!P8/subQ!P5,"")</f>
        <v/>
      </c>
      <c r="Q21" s="21">
        <f>IFERROR(subQ!Q8/subQ!Q5,"")</f>
        <v/>
      </c>
      <c r="R21" s="21">
        <f>IFERROR(subQ!R8/subQ!R5,"")</f>
        <v/>
      </c>
      <c r="S21" s="21">
        <f>IFERROR(subQ!S8/subQ!S5,"")</f>
        <v/>
      </c>
      <c r="T21" s="21">
        <f>IFERROR(subQ!T8/subQ!T5,"")</f>
        <v/>
      </c>
      <c r="U21" s="22">
        <f>IFERROR(subQ!U8/subQ!U5,"")</f>
        <v/>
      </c>
      <c r="V21" s="21">
        <f>IFERROR(subQ!V8/subQ!V5,"")</f>
        <v/>
      </c>
      <c r="W21" s="21">
        <f>IFERROR(subQ!W8/subQ!W5,"")</f>
        <v/>
      </c>
      <c r="X21" s="21">
        <f>IFERROR(subQ!X8/subQ!X5,"")</f>
        <v/>
      </c>
      <c r="Y21" s="21">
        <f>IFERROR(subQ!Y8/subQ!Y5,"")</f>
        <v/>
      </c>
      <c r="Z21" s="22">
        <f>IFERROR(subQ!Z8/subQ!Z5,"")</f>
        <v/>
      </c>
      <c r="AA21" s="21">
        <f>IFERROR(subQ!AA8/subQ!AA5,"")</f>
        <v/>
      </c>
      <c r="AB21" s="23">
        <f>IFERROR(subQ!AB8/subQ!AB5,"")</f>
        <v/>
      </c>
      <c r="AC21" s="24">
        <f>$D$55</f>
        <v/>
      </c>
      <c r="AD21" s="24">
        <f>$D$55</f>
        <v/>
      </c>
      <c r="AE21" s="25">
        <f>IFERROR(subQ!AE8/subQ!AE5,"")</f>
        <v/>
      </c>
      <c r="AF21" s="24">
        <f>$D$55</f>
        <v/>
      </c>
      <c r="AG21" s="24">
        <f>$D$55</f>
        <v/>
      </c>
      <c r="AH21" s="24">
        <f>$D$55</f>
        <v/>
      </c>
      <c r="AI21" s="24">
        <f>$D$55</f>
        <v/>
      </c>
      <c r="AJ21" s="25">
        <f>IFERROR(subQ!AJ8/subQ!AJ5,"")</f>
        <v/>
      </c>
      <c r="AK21" s="24">
        <f>$D$55</f>
        <v/>
      </c>
      <c r="AL21" s="24">
        <f>$D$55</f>
        <v/>
      </c>
      <c r="AM21" s="24">
        <f>$D$55</f>
        <v/>
      </c>
      <c r="AN21" s="24">
        <f>$D$55</f>
        <v/>
      </c>
      <c r="AO21" s="25">
        <f>IFERROR(subQ!AO8/subQ!AO5,"")</f>
        <v/>
      </c>
    </row>
    <row r="22">
      <c r="A22" s="12" t="inlineStr">
        <is>
          <t>drv:외환손익</t>
        </is>
      </c>
      <c r="B22" s="2" t="inlineStr">
        <is>
          <t>abs</t>
        </is>
      </c>
      <c r="C22" t="inlineStr">
        <is>
          <t>외환손익 (가정, 억원)</t>
        </is>
      </c>
      <c r="E22" s="26">
        <f>subQ!E13</f>
        <v/>
      </c>
      <c r="F22" s="27">
        <f>subQ!F13</f>
        <v/>
      </c>
      <c r="G22" s="26">
        <f>subQ!G13</f>
        <v/>
      </c>
      <c r="H22" s="26">
        <f>subQ!H13</f>
        <v/>
      </c>
      <c r="I22" s="26">
        <f>subQ!I13</f>
        <v/>
      </c>
      <c r="J22" s="26">
        <f>subQ!J13</f>
        <v/>
      </c>
      <c r="K22" s="27">
        <f>subQ!K13</f>
        <v/>
      </c>
      <c r="L22" s="26">
        <f>subQ!L13</f>
        <v/>
      </c>
      <c r="M22" s="26">
        <f>subQ!M13</f>
        <v/>
      </c>
      <c r="N22" s="26">
        <f>subQ!N13</f>
        <v/>
      </c>
      <c r="O22" s="26">
        <f>subQ!O13</f>
        <v/>
      </c>
      <c r="P22" s="27">
        <f>subQ!P13</f>
        <v/>
      </c>
      <c r="Q22" s="26">
        <f>subQ!Q13</f>
        <v/>
      </c>
      <c r="R22" s="26">
        <f>subQ!R13</f>
        <v/>
      </c>
      <c r="S22" s="26">
        <f>subQ!S13</f>
        <v/>
      </c>
      <c r="T22" s="26">
        <f>subQ!T13</f>
        <v/>
      </c>
      <c r="U22" s="27">
        <f>subQ!U13</f>
        <v/>
      </c>
      <c r="V22" s="26">
        <f>subQ!V13</f>
        <v/>
      </c>
      <c r="W22" s="26">
        <f>subQ!W13</f>
        <v/>
      </c>
      <c r="X22" s="26">
        <f>subQ!X13</f>
        <v/>
      </c>
      <c r="Y22" s="26">
        <f>subQ!Y13</f>
        <v/>
      </c>
      <c r="Z22" s="27">
        <f>subQ!Z13</f>
        <v/>
      </c>
      <c r="AA22" s="26">
        <f>subQ!AA13</f>
        <v/>
      </c>
      <c r="AB22" s="28">
        <f>subQ!AB13</f>
        <v/>
      </c>
      <c r="AC22" s="29" t="n">
        <v>0</v>
      </c>
      <c r="AD22" s="29" t="n">
        <v>0</v>
      </c>
      <c r="AE22" s="30">
        <f>subQ!AE13</f>
        <v/>
      </c>
      <c r="AF22" s="29" t="n">
        <v>0</v>
      </c>
      <c r="AG22" s="29" t="n">
        <v>0</v>
      </c>
      <c r="AH22" s="29" t="n">
        <v>0</v>
      </c>
      <c r="AI22" s="29" t="n">
        <v>0</v>
      </c>
      <c r="AJ22" s="30">
        <f>subQ!AJ13</f>
        <v/>
      </c>
      <c r="AK22" s="29" t="n">
        <v>0</v>
      </c>
      <c r="AL22" s="29" t="n">
        <v>0</v>
      </c>
      <c r="AM22" s="29" t="n">
        <v>0</v>
      </c>
      <c r="AN22" s="29" t="n">
        <v>0</v>
      </c>
      <c r="AO22" s="30">
        <f>subQ!AO13</f>
        <v/>
      </c>
    </row>
    <row r="23">
      <c r="A23" s="12" t="inlineStr">
        <is>
          <t>drv:파생상품손익</t>
        </is>
      </c>
      <c r="B23" s="2" t="inlineStr">
        <is>
          <t>abs</t>
        </is>
      </c>
      <c r="C23" t="inlineStr">
        <is>
          <t>파생상품손익 (가정, 억원)</t>
        </is>
      </c>
      <c r="E23" s="26">
        <f>subQ!E14</f>
        <v/>
      </c>
      <c r="F23" s="27">
        <f>subQ!F14</f>
        <v/>
      </c>
      <c r="G23" s="26">
        <f>subQ!G14</f>
        <v/>
      </c>
      <c r="H23" s="26">
        <f>subQ!H14</f>
        <v/>
      </c>
      <c r="I23" s="26">
        <f>subQ!I14</f>
        <v/>
      </c>
      <c r="J23" s="26">
        <f>subQ!J14</f>
        <v/>
      </c>
      <c r="K23" s="27">
        <f>subQ!K14</f>
        <v/>
      </c>
      <c r="L23" s="26">
        <f>subQ!L14</f>
        <v/>
      </c>
      <c r="M23" s="26">
        <f>subQ!M14</f>
        <v/>
      </c>
      <c r="N23" s="26">
        <f>subQ!N14</f>
        <v/>
      </c>
      <c r="O23" s="26">
        <f>subQ!O14</f>
        <v/>
      </c>
      <c r="P23" s="27">
        <f>subQ!P14</f>
        <v/>
      </c>
      <c r="Q23" s="26">
        <f>subQ!Q14</f>
        <v/>
      </c>
      <c r="R23" s="26">
        <f>subQ!R14</f>
        <v/>
      </c>
      <c r="S23" s="26">
        <f>subQ!S14</f>
        <v/>
      </c>
      <c r="T23" s="26">
        <f>subQ!T14</f>
        <v/>
      </c>
      <c r="U23" s="27">
        <f>subQ!U14</f>
        <v/>
      </c>
      <c r="V23" s="26">
        <f>subQ!V14</f>
        <v/>
      </c>
      <c r="W23" s="26">
        <f>subQ!W14</f>
        <v/>
      </c>
      <c r="X23" s="26">
        <f>subQ!X14</f>
        <v/>
      </c>
      <c r="Y23" s="26">
        <f>subQ!Y14</f>
        <v/>
      </c>
      <c r="Z23" s="27">
        <f>subQ!Z14</f>
        <v/>
      </c>
      <c r="AA23" s="26">
        <f>subQ!AA14</f>
        <v/>
      </c>
      <c r="AB23" s="28">
        <f>subQ!AB14</f>
        <v/>
      </c>
      <c r="AC23" s="29" t="n">
        <v>0</v>
      </c>
      <c r="AD23" s="29" t="n">
        <v>0</v>
      </c>
      <c r="AE23" s="30">
        <f>subQ!AE14</f>
        <v/>
      </c>
      <c r="AF23" s="29" t="n">
        <v>0</v>
      </c>
      <c r="AG23" s="29" t="n">
        <v>0</v>
      </c>
      <c r="AH23" s="29" t="n">
        <v>0</v>
      </c>
      <c r="AI23" s="29" t="n">
        <v>0</v>
      </c>
      <c r="AJ23" s="30">
        <f>subQ!AJ14</f>
        <v/>
      </c>
      <c r="AK23" s="29" t="n">
        <v>0</v>
      </c>
      <c r="AL23" s="29" t="n">
        <v>0</v>
      </c>
      <c r="AM23" s="29" t="n">
        <v>0</v>
      </c>
      <c r="AN23" s="29" t="n">
        <v>0</v>
      </c>
      <c r="AO23" s="30">
        <f>subQ!AO14</f>
        <v/>
      </c>
    </row>
    <row r="24">
      <c r="A24" s="12" t="inlineStr">
        <is>
          <t>drv:기타금융손익</t>
        </is>
      </c>
      <c r="B24" s="2" t="inlineStr">
        <is>
          <t>abs</t>
        </is>
      </c>
      <c r="C24" t="inlineStr">
        <is>
          <t>기타금융손익 (가정, 억원)</t>
        </is>
      </c>
      <c r="E24" s="26">
        <f>subQ!E15</f>
        <v/>
      </c>
      <c r="F24" s="27">
        <f>subQ!F15</f>
        <v/>
      </c>
      <c r="G24" s="26">
        <f>subQ!G15</f>
        <v/>
      </c>
      <c r="H24" s="26">
        <f>subQ!H15</f>
        <v/>
      </c>
      <c r="I24" s="26">
        <f>subQ!I15</f>
        <v/>
      </c>
      <c r="J24" s="26">
        <f>subQ!J15</f>
        <v/>
      </c>
      <c r="K24" s="27">
        <f>subQ!K15</f>
        <v/>
      </c>
      <c r="L24" s="26">
        <f>subQ!L15</f>
        <v/>
      </c>
      <c r="M24" s="26">
        <f>subQ!M15</f>
        <v/>
      </c>
      <c r="N24" s="26">
        <f>subQ!N15</f>
        <v/>
      </c>
      <c r="O24" s="26">
        <f>subQ!O15</f>
        <v/>
      </c>
      <c r="P24" s="27">
        <f>subQ!P15</f>
        <v/>
      </c>
      <c r="Q24" s="26">
        <f>subQ!Q15</f>
        <v/>
      </c>
      <c r="R24" s="26">
        <f>subQ!R15</f>
        <v/>
      </c>
      <c r="S24" s="26">
        <f>subQ!S15</f>
        <v/>
      </c>
      <c r="T24" s="26">
        <f>subQ!T15</f>
        <v/>
      </c>
      <c r="U24" s="27">
        <f>subQ!U15</f>
        <v/>
      </c>
      <c r="V24" s="26">
        <f>subQ!V15</f>
        <v/>
      </c>
      <c r="W24" s="26">
        <f>subQ!W15</f>
        <v/>
      </c>
      <c r="X24" s="26">
        <f>subQ!X15</f>
        <v/>
      </c>
      <c r="Y24" s="26">
        <f>subQ!Y15</f>
        <v/>
      </c>
      <c r="Z24" s="27">
        <f>subQ!Z15</f>
        <v/>
      </c>
      <c r="AA24" s="26">
        <f>subQ!AA15</f>
        <v/>
      </c>
      <c r="AB24" s="28">
        <f>subQ!AB15</f>
        <v/>
      </c>
      <c r="AC24" s="29" t="n">
        <v>0</v>
      </c>
      <c r="AD24" s="29" t="n">
        <v>0</v>
      </c>
      <c r="AE24" s="30">
        <f>subQ!AE15</f>
        <v/>
      </c>
      <c r="AF24" s="29" t="n">
        <v>0</v>
      </c>
      <c r="AG24" s="29" t="n">
        <v>0</v>
      </c>
      <c r="AH24" s="29" t="n">
        <v>0</v>
      </c>
      <c r="AI24" s="29" t="n">
        <v>0</v>
      </c>
      <c r="AJ24" s="30">
        <f>subQ!AJ15</f>
        <v/>
      </c>
      <c r="AK24" s="29" t="n">
        <v>0</v>
      </c>
      <c r="AL24" s="29" t="n">
        <v>0</v>
      </c>
      <c r="AM24" s="29" t="n">
        <v>0</v>
      </c>
      <c r="AN24" s="29" t="n">
        <v>0</v>
      </c>
      <c r="AO24" s="30">
        <f>subQ!AO15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6">
        <f>subQ!E16</f>
        <v/>
      </c>
      <c r="F25" s="27">
        <f>subQ!F16</f>
        <v/>
      </c>
      <c r="G25" s="26">
        <f>subQ!G16</f>
        <v/>
      </c>
      <c r="H25" s="26">
        <f>subQ!H16</f>
        <v/>
      </c>
      <c r="I25" s="26">
        <f>subQ!I16</f>
        <v/>
      </c>
      <c r="J25" s="26">
        <f>subQ!J16</f>
        <v/>
      </c>
      <c r="K25" s="27">
        <f>subQ!K16</f>
        <v/>
      </c>
      <c r="L25" s="26">
        <f>subQ!L16</f>
        <v/>
      </c>
      <c r="M25" s="26">
        <f>subQ!M16</f>
        <v/>
      </c>
      <c r="N25" s="26">
        <f>subQ!N16</f>
        <v/>
      </c>
      <c r="O25" s="26">
        <f>subQ!O16</f>
        <v/>
      </c>
      <c r="P25" s="27">
        <f>subQ!P16</f>
        <v/>
      </c>
      <c r="Q25" s="26">
        <f>subQ!Q16</f>
        <v/>
      </c>
      <c r="R25" s="26">
        <f>subQ!R16</f>
        <v/>
      </c>
      <c r="S25" s="26">
        <f>subQ!S16</f>
        <v/>
      </c>
      <c r="T25" s="26">
        <f>subQ!T16</f>
        <v/>
      </c>
      <c r="U25" s="27">
        <f>subQ!U16</f>
        <v/>
      </c>
      <c r="V25" s="26">
        <f>subQ!V16</f>
        <v/>
      </c>
      <c r="W25" s="26">
        <f>subQ!W16</f>
        <v/>
      </c>
      <c r="X25" s="26">
        <f>subQ!X16</f>
        <v/>
      </c>
      <c r="Y25" s="26">
        <f>subQ!Y16</f>
        <v/>
      </c>
      <c r="Z25" s="27">
        <f>subQ!Z16</f>
        <v/>
      </c>
      <c r="AA25" s="26">
        <f>subQ!AA16</f>
        <v/>
      </c>
      <c r="AB25" s="28">
        <f>subQ!AB16</f>
        <v/>
      </c>
      <c r="AC25" s="29" t="n">
        <v>0</v>
      </c>
      <c r="AD25" s="29" t="n">
        <v>0</v>
      </c>
      <c r="AE25" s="30">
        <f>subQ!AE16</f>
        <v/>
      </c>
      <c r="AF25" s="29" t="n">
        <v>0</v>
      </c>
      <c r="AG25" s="29" t="n">
        <v>0</v>
      </c>
      <c r="AH25" s="29" t="n">
        <v>0</v>
      </c>
      <c r="AI25" s="29" t="n">
        <v>0</v>
      </c>
      <c r="AJ25" s="30">
        <f>subQ!AJ16</f>
        <v/>
      </c>
      <c r="AK25" s="29" t="n">
        <v>0</v>
      </c>
      <c r="AL25" s="29" t="n">
        <v>0</v>
      </c>
      <c r="AM25" s="29" t="n">
        <v>0</v>
      </c>
      <c r="AN25" s="29" t="n">
        <v>0</v>
      </c>
      <c r="AO25" s="30">
        <f>subQ!AO16</f>
        <v/>
      </c>
    </row>
    <row r="26">
      <c r="A26" s="12" t="inlineStr">
        <is>
          <t>drv:지분법손익</t>
        </is>
      </c>
      <c r="B26" s="2" t="inlineStr">
        <is>
          <t>abs</t>
        </is>
      </c>
      <c r="C26" t="inlineStr">
        <is>
          <t>지분법손익 (가정, 억원)</t>
        </is>
      </c>
      <c r="E26" s="26">
        <f>subQ!E17</f>
        <v/>
      </c>
      <c r="F26" s="27">
        <f>subQ!F17</f>
        <v/>
      </c>
      <c r="G26" s="26">
        <f>subQ!G17</f>
        <v/>
      </c>
      <c r="H26" s="26">
        <f>subQ!H17</f>
        <v/>
      </c>
      <c r="I26" s="26">
        <f>subQ!I17</f>
        <v/>
      </c>
      <c r="J26" s="26">
        <f>subQ!J17</f>
        <v/>
      </c>
      <c r="K26" s="27">
        <f>subQ!K17</f>
        <v/>
      </c>
      <c r="L26" s="26">
        <f>subQ!L17</f>
        <v/>
      </c>
      <c r="M26" s="26">
        <f>subQ!M17</f>
        <v/>
      </c>
      <c r="N26" s="26">
        <f>subQ!N17</f>
        <v/>
      </c>
      <c r="O26" s="26">
        <f>subQ!O17</f>
        <v/>
      </c>
      <c r="P26" s="27">
        <f>subQ!P17</f>
        <v/>
      </c>
      <c r="Q26" s="26">
        <f>subQ!Q17</f>
        <v/>
      </c>
      <c r="R26" s="26">
        <f>subQ!R17</f>
        <v/>
      </c>
      <c r="S26" s="26">
        <f>subQ!S17</f>
        <v/>
      </c>
      <c r="T26" s="26">
        <f>subQ!T17</f>
        <v/>
      </c>
      <c r="U26" s="27">
        <f>subQ!U17</f>
        <v/>
      </c>
      <c r="V26" s="26">
        <f>subQ!V17</f>
        <v/>
      </c>
      <c r="W26" s="26">
        <f>subQ!W17</f>
        <v/>
      </c>
      <c r="X26" s="26">
        <f>subQ!X17</f>
        <v/>
      </c>
      <c r="Y26" s="26">
        <f>subQ!Y17</f>
        <v/>
      </c>
      <c r="Z26" s="27">
        <f>subQ!Z17</f>
        <v/>
      </c>
      <c r="AA26" s="26">
        <f>subQ!AA17</f>
        <v/>
      </c>
      <c r="AB26" s="28">
        <f>subQ!AB17</f>
        <v/>
      </c>
      <c r="AC26" s="29" t="n">
        <v>-0.07000000000000001</v>
      </c>
      <c r="AD26" s="29" t="n">
        <v>-0.07000000000000001</v>
      </c>
      <c r="AE26" s="30">
        <f>subQ!AE17</f>
        <v/>
      </c>
      <c r="AF26" s="29" t="n">
        <v>-0.07000000000000001</v>
      </c>
      <c r="AG26" s="29" t="n">
        <v>-0.07000000000000001</v>
      </c>
      <c r="AH26" s="29" t="n">
        <v>-0.07000000000000001</v>
      </c>
      <c r="AI26" s="29" t="n">
        <v>-0.07000000000000001</v>
      </c>
      <c r="AJ26" s="30">
        <f>subQ!AJ17</f>
        <v/>
      </c>
      <c r="AK26" s="29" t="n">
        <v>-0.07000000000000001</v>
      </c>
      <c r="AL26" s="29" t="n">
        <v>-0.07000000000000001</v>
      </c>
      <c r="AM26" s="29" t="n">
        <v>-0.07000000000000001</v>
      </c>
      <c r="AN26" s="29" t="n">
        <v>-0.07000000000000001</v>
      </c>
      <c r="AO26" s="30">
        <f>subQ!AO17</f>
        <v/>
      </c>
    </row>
    <row r="27">
      <c r="A27" s="12" t="inlineStr">
        <is>
          <t>drv:법인세비용</t>
        </is>
      </c>
      <c r="B27" s="2" t="inlineStr">
        <is>
          <t>tax</t>
        </is>
      </c>
      <c r="C27" t="inlineStr">
        <is>
          <t>법인세율(/세전) — 법인세 = MAX(세전,0) × 세율</t>
        </is>
      </c>
      <c r="E27" s="21">
        <f>IFERROR(subQ!E20/subQ!E19,"")</f>
        <v/>
      </c>
      <c r="F27" s="22">
        <f>IFERROR(subQ!F20/subQ!F19,"")</f>
        <v/>
      </c>
      <c r="G27" s="21">
        <f>IFERROR(subQ!G20/subQ!G19,"")</f>
        <v/>
      </c>
      <c r="H27" s="21">
        <f>IFERROR(subQ!H20/subQ!H19,"")</f>
        <v/>
      </c>
      <c r="I27" s="21">
        <f>IFERROR(subQ!I20/subQ!I19,"")</f>
        <v/>
      </c>
      <c r="J27" s="21">
        <f>IFERROR(subQ!J20/subQ!J19,"")</f>
        <v/>
      </c>
      <c r="K27" s="22">
        <f>IFERROR(subQ!K20/subQ!K19,"")</f>
        <v/>
      </c>
      <c r="L27" s="21">
        <f>IFERROR(subQ!L20/subQ!L19,"")</f>
        <v/>
      </c>
      <c r="M27" s="21">
        <f>IFERROR(subQ!M20/subQ!M19,"")</f>
        <v/>
      </c>
      <c r="N27" s="21">
        <f>IFERROR(subQ!N20/subQ!N19,"")</f>
        <v/>
      </c>
      <c r="O27" s="21">
        <f>IFERROR(subQ!O20/subQ!O19,"")</f>
        <v/>
      </c>
      <c r="P27" s="22">
        <f>IFERROR(subQ!P20/subQ!P19,"")</f>
        <v/>
      </c>
      <c r="Q27" s="21">
        <f>IFERROR(subQ!Q20/subQ!Q19,"")</f>
        <v/>
      </c>
      <c r="R27" s="21">
        <f>IFERROR(subQ!R20/subQ!R19,"")</f>
        <v/>
      </c>
      <c r="S27" s="21">
        <f>IFERROR(subQ!S20/subQ!S19,"")</f>
        <v/>
      </c>
      <c r="T27" s="21">
        <f>IFERROR(subQ!T20/subQ!T19,"")</f>
        <v/>
      </c>
      <c r="U27" s="22">
        <f>IFERROR(subQ!U20/subQ!U19,"")</f>
        <v/>
      </c>
      <c r="V27" s="21">
        <f>IFERROR(subQ!V20/subQ!V19,"")</f>
        <v/>
      </c>
      <c r="W27" s="21">
        <f>IFERROR(subQ!W20/subQ!W19,"")</f>
        <v/>
      </c>
      <c r="X27" s="21">
        <f>IFERROR(subQ!X20/subQ!X19,"")</f>
        <v/>
      </c>
      <c r="Y27" s="21">
        <f>IFERROR(subQ!Y20/subQ!Y19,"")</f>
        <v/>
      </c>
      <c r="Z27" s="22">
        <f>IFERROR(subQ!Z20/subQ!Z19,"")</f>
        <v/>
      </c>
      <c r="AA27" s="21">
        <f>IFERROR(subQ!AA20/subQ!AA19,"")</f>
        <v/>
      </c>
      <c r="AB27" s="23">
        <f>IFERROR(subQ!AB20/subQ!AB19,"")</f>
        <v/>
      </c>
      <c r="AC27" s="24">
        <f>$D$54</f>
        <v/>
      </c>
      <c r="AD27" s="24">
        <f>$D$54</f>
        <v/>
      </c>
      <c r="AE27" s="25">
        <f>IFERROR(subQ!AE20/subQ!AE19,"")</f>
        <v/>
      </c>
      <c r="AF27" s="24">
        <f>$D$54</f>
        <v/>
      </c>
      <c r="AG27" s="24">
        <f>$D$54</f>
        <v/>
      </c>
      <c r="AH27" s="24">
        <f>$D$54</f>
        <v/>
      </c>
      <c r="AI27" s="24">
        <f>$D$54</f>
        <v/>
      </c>
      <c r="AJ27" s="25">
        <f>IFERROR(subQ!AJ20/subQ!AJ19,"")</f>
        <v/>
      </c>
      <c r="AK27" s="24">
        <f>$D$54</f>
        <v/>
      </c>
      <c r="AL27" s="24">
        <f>$D$54</f>
        <v/>
      </c>
      <c r="AM27" s="24">
        <f>$D$54</f>
        <v/>
      </c>
      <c r="AN27" s="24">
        <f>$D$54</f>
        <v/>
      </c>
      <c r="AO27" s="25">
        <f>IFERROR(subQ!AO20/subQ!AO19,"")</f>
        <v/>
      </c>
    </row>
    <row r="28">
      <c r="A28" s="12" t="inlineStr">
        <is>
          <t>drv:지배주주순이익</t>
        </is>
      </c>
      <c r="B28" s="2" t="inlineStr">
        <is>
          <t>ratio</t>
        </is>
      </c>
      <c r="C28" t="inlineStr">
        <is>
          <t>지배주주 비중(/당기순이익)</t>
        </is>
      </c>
      <c r="E28" s="21">
        <f>IFERROR(subQ!E22/subQ!E21,"")</f>
        <v/>
      </c>
      <c r="F28" s="22">
        <f>IFERROR(subQ!F22/subQ!F21,"")</f>
        <v/>
      </c>
      <c r="G28" s="21">
        <f>IFERROR(subQ!G22/subQ!G21,"")</f>
        <v/>
      </c>
      <c r="H28" s="21">
        <f>IFERROR(subQ!H22/subQ!H21,"")</f>
        <v/>
      </c>
      <c r="I28" s="21">
        <f>IFERROR(subQ!I22/subQ!I21,"")</f>
        <v/>
      </c>
      <c r="J28" s="21">
        <f>IFERROR(subQ!J22/subQ!J21,"")</f>
        <v/>
      </c>
      <c r="K28" s="22">
        <f>IFERROR(subQ!K22/subQ!K21,"")</f>
        <v/>
      </c>
      <c r="L28" s="21">
        <f>IFERROR(subQ!L22/subQ!L21,"")</f>
        <v/>
      </c>
      <c r="M28" s="21">
        <f>IFERROR(subQ!M22/subQ!M21,"")</f>
        <v/>
      </c>
      <c r="N28" s="21">
        <f>IFERROR(subQ!N22/subQ!N21,"")</f>
        <v/>
      </c>
      <c r="O28" s="21">
        <f>IFERROR(subQ!O22/subQ!O21,"")</f>
        <v/>
      </c>
      <c r="P28" s="22">
        <f>IFERROR(subQ!P22/subQ!P21,"")</f>
        <v/>
      </c>
      <c r="Q28" s="21">
        <f>IFERROR(subQ!Q22/subQ!Q21,"")</f>
        <v/>
      </c>
      <c r="R28" s="21">
        <f>IFERROR(subQ!R22/subQ!R21,"")</f>
        <v/>
      </c>
      <c r="S28" s="21">
        <f>IFERROR(subQ!S22/subQ!S21,"")</f>
        <v/>
      </c>
      <c r="T28" s="21">
        <f>IFERROR(subQ!T22/subQ!T21,"")</f>
        <v/>
      </c>
      <c r="U28" s="22">
        <f>IFERROR(subQ!U22/subQ!U21,"")</f>
        <v/>
      </c>
      <c r="V28" s="21">
        <f>IFERROR(subQ!V22/subQ!V21,"")</f>
        <v/>
      </c>
      <c r="W28" s="21">
        <f>IFERROR(subQ!W22/subQ!W21,"")</f>
        <v/>
      </c>
      <c r="X28" s="21">
        <f>IFERROR(subQ!X22/subQ!X21,"")</f>
        <v/>
      </c>
      <c r="Y28" s="21">
        <f>IFERROR(subQ!Y22/subQ!Y21,"")</f>
        <v/>
      </c>
      <c r="Z28" s="22">
        <f>IFERROR(subQ!Z22/subQ!Z21,"")</f>
        <v/>
      </c>
      <c r="AA28" s="21">
        <f>IFERROR(subQ!AA22/subQ!AA21,"")</f>
        <v/>
      </c>
      <c r="AB28" s="23">
        <f>IFERROR(subQ!AB22/subQ!AB21,"")</f>
        <v/>
      </c>
      <c r="AC28" s="24">
        <f>$D$56</f>
        <v/>
      </c>
      <c r="AD28" s="24">
        <f>$D$56</f>
        <v/>
      </c>
      <c r="AE28" s="25">
        <f>IFERROR(subQ!AE22/subQ!AE21,"")</f>
        <v/>
      </c>
      <c r="AF28" s="24">
        <f>$D$56</f>
        <v/>
      </c>
      <c r="AG28" s="24">
        <f>$D$56</f>
        <v/>
      </c>
      <c r="AH28" s="24">
        <f>$D$56</f>
        <v/>
      </c>
      <c r="AI28" s="24">
        <f>$D$56</f>
        <v/>
      </c>
      <c r="AJ28" s="25">
        <f>IFERROR(subQ!AJ22/subQ!AJ21,"")</f>
        <v/>
      </c>
      <c r="AK28" s="24">
        <f>$D$56</f>
        <v/>
      </c>
      <c r="AL28" s="24">
        <f>$D$56</f>
        <v/>
      </c>
      <c r="AM28" s="24">
        <f>$D$56</f>
        <v/>
      </c>
      <c r="AN28" s="24">
        <f>$D$56</f>
        <v/>
      </c>
      <c r="AO28" s="25">
        <f>IFERROR(subQ!AO22/subQ!AO21,"")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IFERROR(subQ!G24/subQ!E24-1,"")</f>
        <v/>
      </c>
      <c r="H29" s="21">
        <f>IFERROR(subQ!H24/subQ!G24-1,"")</f>
        <v/>
      </c>
      <c r="I29" s="21">
        <f>IFERROR(subQ!I24/subQ!H24-1,"")</f>
        <v/>
      </c>
      <c r="J29" s="21">
        <f>IFERROR(subQ!J24/subQ!I24-1,"")</f>
        <v/>
      </c>
      <c r="K29" s="22" t="n"/>
      <c r="L29" s="21">
        <f>IFERROR(subQ!L24/subQ!J24-1,"")</f>
        <v/>
      </c>
      <c r="M29" s="21">
        <f>IFERROR(subQ!M24/subQ!L24-1,"")</f>
        <v/>
      </c>
      <c r="N29" s="21">
        <f>IFERROR(subQ!N24/subQ!M24-1,"")</f>
        <v/>
      </c>
      <c r="O29" s="21">
        <f>IFERROR(subQ!O24/subQ!N24-1,"")</f>
        <v/>
      </c>
      <c r="P29" s="22" t="n"/>
      <c r="Q29" s="21">
        <f>IFERROR(subQ!Q24/subQ!O24-1,"")</f>
        <v/>
      </c>
      <c r="R29" s="21">
        <f>IFERROR(subQ!R24/subQ!Q24-1,"")</f>
        <v/>
      </c>
      <c r="S29" s="21">
        <f>IFERROR(subQ!S24/subQ!R24-1,"")</f>
        <v/>
      </c>
      <c r="T29" s="21">
        <f>IFERROR(subQ!T24/subQ!S24-1,"")</f>
        <v/>
      </c>
      <c r="U29" s="22" t="n"/>
      <c r="V29" s="21">
        <f>IFERROR(subQ!V24/subQ!T24-1,"")</f>
        <v/>
      </c>
      <c r="W29" s="21">
        <f>IFERROR(subQ!W24/subQ!V24-1,"")</f>
        <v/>
      </c>
      <c r="X29" s="21">
        <f>IFERROR(subQ!X24/subQ!W24-1,"")</f>
        <v/>
      </c>
      <c r="Y29" s="21">
        <f>IFERROR(subQ!Y24/subQ!X24-1,"")</f>
        <v/>
      </c>
      <c r="Z29" s="22" t="n"/>
      <c r="AA29" s="21">
        <f>IFERROR(subQ!AA24/subQ!Y24-1,"")</f>
        <v/>
      </c>
      <c r="AB29" s="23">
        <f>IFERROR(subQ!AB24/subQ!AA24-1,"")</f>
        <v/>
      </c>
      <c r="AC29" s="31" t="n">
        <v>-2e-09</v>
      </c>
      <c r="AD29" s="31" t="n">
        <v>0</v>
      </c>
      <c r="AE29" s="25" t="n"/>
      <c r="AF29" s="31" t="n">
        <v>0</v>
      </c>
      <c r="AG29" s="31" t="n">
        <v>0</v>
      </c>
      <c r="AH29" s="31" t="n">
        <v>0</v>
      </c>
      <c r="AI29" s="31" t="n">
        <v>0</v>
      </c>
      <c r="AJ29" s="25" t="n"/>
      <c r="AK29" s="31" t="n">
        <v>0</v>
      </c>
      <c r="AL29" s="31" t="n">
        <v>0</v>
      </c>
      <c r="AM29" s="31" t="n">
        <v>0</v>
      </c>
      <c r="AN29" s="31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6" t="n"/>
      <c r="F30" s="27" t="n"/>
      <c r="G30" s="26">
        <f>IFERROR(subQ!E25+subQ!G21-subQ!G25,"")</f>
        <v/>
      </c>
      <c r="H30" s="26">
        <f>IFERROR(subQ!G25+subQ!H21-subQ!H25,"")</f>
        <v/>
      </c>
      <c r="I30" s="26">
        <f>IFERROR(subQ!H25+subQ!I21-subQ!I25,"")</f>
        <v/>
      </c>
      <c r="J30" s="26">
        <f>IFERROR(subQ!I25+subQ!J21-subQ!J25,"")</f>
        <v/>
      </c>
      <c r="K30" s="27" t="n"/>
      <c r="L30" s="26">
        <f>IFERROR(subQ!J25+subQ!L21-subQ!L25,"")</f>
        <v/>
      </c>
      <c r="M30" s="26">
        <f>IFERROR(subQ!L25+subQ!M21-subQ!M25,"")</f>
        <v/>
      </c>
      <c r="N30" s="26">
        <f>IFERROR(subQ!M25+subQ!N21-subQ!N25,"")</f>
        <v/>
      </c>
      <c r="O30" s="26">
        <f>IFERROR(subQ!N25+subQ!O21-subQ!O25,"")</f>
        <v/>
      </c>
      <c r="P30" s="27" t="n"/>
      <c r="Q30" s="26">
        <f>IFERROR(subQ!O25+subQ!Q21-subQ!Q25,"")</f>
        <v/>
      </c>
      <c r="R30" s="26">
        <f>IFERROR(subQ!Q25+subQ!R21-subQ!R25,"")</f>
        <v/>
      </c>
      <c r="S30" s="26">
        <f>IFERROR(subQ!R25+subQ!S21-subQ!S25,"")</f>
        <v/>
      </c>
      <c r="T30" s="26">
        <f>IFERROR(subQ!S25+subQ!T21-subQ!T25,"")</f>
        <v/>
      </c>
      <c r="U30" s="27" t="n"/>
      <c r="V30" s="26">
        <f>IFERROR(subQ!T25+subQ!V21-subQ!V25,"")</f>
        <v/>
      </c>
      <c r="W30" s="26">
        <f>IFERROR(subQ!V25+subQ!W21-subQ!W25,"")</f>
        <v/>
      </c>
      <c r="X30" s="26">
        <f>IFERROR(subQ!W25+subQ!X21-subQ!X25,"")</f>
        <v/>
      </c>
      <c r="Y30" s="26">
        <f>IFERROR(subQ!X25+subQ!Y21-subQ!Y25,"")</f>
        <v/>
      </c>
      <c r="Z30" s="27" t="n"/>
      <c r="AA30" s="26">
        <f>IFERROR(subQ!Y25+subQ!AA21-subQ!AA25,"")</f>
        <v/>
      </c>
      <c r="AB30" s="28">
        <f>IFERROR(subQ!AA25+subQ!AB21-subQ!AB25,"")</f>
        <v/>
      </c>
      <c r="AC30" s="29" t="n">
        <v>0.001846638</v>
      </c>
      <c r="AD30" s="29" t="n">
        <v>-0.003953463</v>
      </c>
      <c r="AE30" s="30" t="n"/>
      <c r="AF30" s="29" t="n">
        <v>0.000615447</v>
      </c>
      <c r="AG30" s="29" t="n">
        <v>5940.240644472</v>
      </c>
      <c r="AH30" s="29" t="n">
        <v>0.009846201000000001</v>
      </c>
      <c r="AI30" s="29" t="n">
        <v>-0.003687078</v>
      </c>
      <c r="AJ30" s="30" t="n"/>
      <c r="AK30" s="29" t="n">
        <v>0.00723402</v>
      </c>
      <c r="AL30" s="29" t="n">
        <v>5940.251009216</v>
      </c>
      <c r="AM30" s="29" t="n">
        <v>0.004250544</v>
      </c>
      <c r="AN30" s="29" t="n">
        <v>-0.003765865</v>
      </c>
      <c r="AO30" s="30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6" t="n"/>
      <c r="F31" s="27" t="n"/>
      <c r="G31" s="26">
        <f>IFERROR(subQ!E26+subQ!G22-subQ!G26,"")</f>
        <v/>
      </c>
      <c r="H31" s="26">
        <f>IFERROR(subQ!G26+subQ!H22-subQ!H26,"")</f>
        <v/>
      </c>
      <c r="I31" s="26">
        <f>IFERROR(subQ!H26+subQ!I22-subQ!I26,"")</f>
        <v/>
      </c>
      <c r="J31" s="26">
        <f>IFERROR(subQ!I26+subQ!J22-subQ!J26,"")</f>
        <v/>
      </c>
      <c r="K31" s="27" t="n"/>
      <c r="L31" s="26">
        <f>IFERROR(subQ!J26+subQ!L22-subQ!L26,"")</f>
        <v/>
      </c>
      <c r="M31" s="26">
        <f>IFERROR(subQ!L26+subQ!M22-subQ!M26,"")</f>
        <v/>
      </c>
      <c r="N31" s="26">
        <f>IFERROR(subQ!M26+subQ!N22-subQ!N26,"")</f>
        <v/>
      </c>
      <c r="O31" s="26">
        <f>IFERROR(subQ!N26+subQ!O22-subQ!O26,"")</f>
        <v/>
      </c>
      <c r="P31" s="27" t="n"/>
      <c r="Q31" s="26">
        <f>IFERROR(subQ!O26+subQ!Q22-subQ!Q26,"")</f>
        <v/>
      </c>
      <c r="R31" s="26">
        <f>IFERROR(subQ!Q26+subQ!R22-subQ!R26,"")</f>
        <v/>
      </c>
      <c r="S31" s="26">
        <f>IFERROR(subQ!R26+subQ!S22-subQ!S26,"")</f>
        <v/>
      </c>
      <c r="T31" s="26">
        <f>IFERROR(subQ!S26+subQ!T22-subQ!T26,"")</f>
        <v/>
      </c>
      <c r="U31" s="27" t="n"/>
      <c r="V31" s="26">
        <f>IFERROR(subQ!T26+subQ!V22-subQ!V26,"")</f>
        <v/>
      </c>
      <c r="W31" s="26">
        <f>IFERROR(subQ!V26+subQ!W22-subQ!W26,"")</f>
        <v/>
      </c>
      <c r="X31" s="26">
        <f>IFERROR(subQ!W26+subQ!X22-subQ!X26,"")</f>
        <v/>
      </c>
      <c r="Y31" s="26">
        <f>IFERROR(subQ!X26+subQ!Y22-subQ!Y26,"")</f>
        <v/>
      </c>
      <c r="Z31" s="27" t="n"/>
      <c r="AA31" s="26">
        <f>IFERROR(subQ!Y26+subQ!AA22-subQ!AA26,"")</f>
        <v/>
      </c>
      <c r="AB31" s="28">
        <f>IFERROR(subQ!AA26+subQ!AB22-subQ!AB26,"")</f>
        <v/>
      </c>
      <c r="AC31" s="29" t="n">
        <v>-0.0015741</v>
      </c>
      <c r="AD31" s="29" t="n">
        <v>-0.004779296</v>
      </c>
      <c r="AE31" s="30" t="n"/>
      <c r="AF31" s="29" t="n">
        <v>-0.000234528</v>
      </c>
      <c r="AG31" s="29" t="n">
        <v>5940.249747787</v>
      </c>
      <c r="AH31" s="29" t="n">
        <v>-0.001099846</v>
      </c>
      <c r="AI31" s="29" t="n">
        <v>0.005304503</v>
      </c>
      <c r="AJ31" s="30" t="n"/>
      <c r="AK31" s="29" t="n">
        <v>0.006160329</v>
      </c>
      <c r="AL31" s="29" t="n">
        <v>5940.249866814</v>
      </c>
      <c r="AM31" s="29" t="n">
        <v>0.003054234</v>
      </c>
      <c r="AN31" s="29" t="n">
        <v>-0.005005766</v>
      </c>
      <c r="AO31" s="30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IFERROR(subQ!G27/subQ!E27-1,"")</f>
        <v/>
      </c>
      <c r="H32" s="21">
        <f>IFERROR(subQ!H27/subQ!G27-1,"")</f>
        <v/>
      </c>
      <c r="I32" s="21">
        <f>IFERROR(subQ!I27/subQ!H27-1,"")</f>
        <v/>
      </c>
      <c r="J32" s="21">
        <f>IFERROR(subQ!J27/subQ!I27-1,"")</f>
        <v/>
      </c>
      <c r="K32" s="22" t="n"/>
      <c r="L32" s="21">
        <f>IFERROR(subQ!L27/subQ!J27-1,"")</f>
        <v/>
      </c>
      <c r="M32" s="21">
        <f>IFERROR(subQ!M27/subQ!L27-1,"")</f>
        <v/>
      </c>
      <c r="N32" s="21">
        <f>IFERROR(subQ!N27/subQ!M27-1,"")</f>
        <v/>
      </c>
      <c r="O32" s="21">
        <f>IFERROR(subQ!O27/subQ!N27-1,"")</f>
        <v/>
      </c>
      <c r="P32" s="22" t="n"/>
      <c r="Q32" s="21">
        <f>IFERROR(subQ!Q27/subQ!O27-1,"")</f>
        <v/>
      </c>
      <c r="R32" s="21">
        <f>IFERROR(subQ!R27/subQ!Q27-1,"")</f>
        <v/>
      </c>
      <c r="S32" s="21">
        <f>IFERROR(subQ!S27/subQ!R27-1,"")</f>
        <v/>
      </c>
      <c r="T32" s="21">
        <f>IFERROR(subQ!T27/subQ!S27-1,"")</f>
        <v/>
      </c>
      <c r="U32" s="22" t="n"/>
      <c r="V32" s="21">
        <f>IFERROR(subQ!V27/subQ!T27-1,"")</f>
        <v/>
      </c>
      <c r="W32" s="21">
        <f>IFERROR(subQ!W27/subQ!V27-1,"")</f>
        <v/>
      </c>
      <c r="X32" s="21">
        <f>IFERROR(subQ!X27/subQ!W27-1,"")</f>
        <v/>
      </c>
      <c r="Y32" s="21">
        <f>IFERROR(subQ!Y27/subQ!X27-1,"")</f>
        <v/>
      </c>
      <c r="Z32" s="22" t="n"/>
      <c r="AA32" s="21">
        <f>IFERROR(subQ!AA27/subQ!Y27-1,"")</f>
        <v/>
      </c>
      <c r="AB32" s="23">
        <f>IFERROR(subQ!AB27/subQ!AA27-1,"")</f>
        <v/>
      </c>
      <c r="AC32" s="31" t="n">
        <v>8.22e-07</v>
      </c>
      <c r="AD32" s="31" t="n">
        <v>0</v>
      </c>
      <c r="AE32" s="25" t="n"/>
      <c r="AF32" s="31" t="n">
        <v>0</v>
      </c>
      <c r="AG32" s="31" t="n">
        <v>0</v>
      </c>
      <c r="AH32" s="31" t="n">
        <v>0</v>
      </c>
      <c r="AI32" s="31" t="n">
        <v>0</v>
      </c>
      <c r="AJ32" s="25" t="n"/>
      <c r="AK32" s="31" t="n">
        <v>0</v>
      </c>
      <c r="AL32" s="31" t="n">
        <v>0</v>
      </c>
      <c r="AM32" s="31" t="n">
        <v>0</v>
      </c>
      <c r="AN32" s="31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IFERROR(subQ!G28/subQ!E28-1,"")</f>
        <v/>
      </c>
      <c r="H33" s="21">
        <f>IFERROR(subQ!H28/subQ!G28-1,"")</f>
        <v/>
      </c>
      <c r="I33" s="21">
        <f>IFERROR(subQ!I28/subQ!H28-1,"")</f>
        <v/>
      </c>
      <c r="J33" s="21">
        <f>IFERROR(subQ!J28/subQ!I28-1,"")</f>
        <v/>
      </c>
      <c r="K33" s="22" t="n"/>
      <c r="L33" s="21">
        <f>IFERROR(subQ!L28/subQ!J28-1,"")</f>
        <v/>
      </c>
      <c r="M33" s="21">
        <f>IFERROR(subQ!M28/subQ!L28-1,"")</f>
        <v/>
      </c>
      <c r="N33" s="21">
        <f>IFERROR(subQ!N28/subQ!M28-1,"")</f>
        <v/>
      </c>
      <c r="O33" s="21">
        <f>IFERROR(subQ!O28/subQ!N28-1,"")</f>
        <v/>
      </c>
      <c r="P33" s="22" t="n"/>
      <c r="Q33" s="21">
        <f>IFERROR(subQ!Q28/subQ!O28-1,"")</f>
        <v/>
      </c>
      <c r="R33" s="21">
        <f>IFERROR(subQ!R28/subQ!Q28-1,"")</f>
        <v/>
      </c>
      <c r="S33" s="21">
        <f>IFERROR(subQ!S28/subQ!R28-1,"")</f>
        <v/>
      </c>
      <c r="T33" s="21">
        <f>IFERROR(subQ!T28/subQ!S28-1,"")</f>
        <v/>
      </c>
      <c r="U33" s="22" t="n"/>
      <c r="V33" s="21">
        <f>IFERROR(subQ!V28/subQ!T28-1,"")</f>
        <v/>
      </c>
      <c r="W33" s="21">
        <f>IFERROR(subQ!W28/subQ!V28-1,"")</f>
        <v/>
      </c>
      <c r="X33" s="21">
        <f>IFERROR(subQ!X28/subQ!W28-1,"")</f>
        <v/>
      </c>
      <c r="Y33" s="21">
        <f>IFERROR(subQ!Y28/subQ!X28-1,"")</f>
        <v/>
      </c>
      <c r="Z33" s="22" t="n"/>
      <c r="AA33" s="21">
        <f>IFERROR(subQ!AA28/subQ!Y28-1,"")</f>
        <v/>
      </c>
      <c r="AB33" s="23">
        <f>IFERROR(subQ!AB28/subQ!AA28-1,"")</f>
        <v/>
      </c>
      <c r="AC33" s="31" t="n">
        <v>0.120009282</v>
      </c>
      <c r="AD33" s="31" t="n">
        <v>0.10781562</v>
      </c>
      <c r="AE33" s="25" t="n"/>
      <c r="AF33" s="31" t="n">
        <v>0.100167673</v>
      </c>
      <c r="AG33" s="31" t="n">
        <v>0.024233599</v>
      </c>
      <c r="AH33" s="31" t="n">
        <v>0.09894085399999999</v>
      </c>
      <c r="AI33" s="31" t="n">
        <v>0.095968948</v>
      </c>
      <c r="AJ33" s="25" t="n"/>
      <c r="AK33" s="31" t="n">
        <v>0.09323311300000001</v>
      </c>
      <c r="AL33" s="31" t="n">
        <v>0.037486219</v>
      </c>
      <c r="AM33" s="31" t="n">
        <v>0.091588291</v>
      </c>
      <c r="AN33" s="31" t="n">
        <v>0.08696090300000001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IFERROR(subQ!G29/subQ!E29-1,"")</f>
        <v/>
      </c>
      <c r="H34" s="21">
        <f>IFERROR(subQ!H29/subQ!G29-1,"")</f>
        <v/>
      </c>
      <c r="I34" s="21">
        <f>IFERROR(subQ!I29/subQ!H29-1,"")</f>
        <v/>
      </c>
      <c r="J34" s="21">
        <f>IFERROR(subQ!J29/subQ!I29-1,"")</f>
        <v/>
      </c>
      <c r="K34" s="22" t="n"/>
      <c r="L34" s="21">
        <f>IFERROR(subQ!L29/subQ!J29-1,"")</f>
        <v/>
      </c>
      <c r="M34" s="21">
        <f>IFERROR(subQ!M29/subQ!L29-1,"")</f>
        <v/>
      </c>
      <c r="N34" s="21">
        <f>IFERROR(subQ!N29/subQ!M29-1,"")</f>
        <v/>
      </c>
      <c r="O34" s="21">
        <f>IFERROR(subQ!O29/subQ!N29-1,"")</f>
        <v/>
      </c>
      <c r="P34" s="22" t="n"/>
      <c r="Q34" s="21">
        <f>IFERROR(subQ!Q29/subQ!O29-1,"")</f>
        <v/>
      </c>
      <c r="R34" s="21">
        <f>IFERROR(subQ!R29/subQ!Q29-1,"")</f>
        <v/>
      </c>
      <c r="S34" s="21">
        <f>IFERROR(subQ!S29/subQ!R29-1,"")</f>
        <v/>
      </c>
      <c r="T34" s="21">
        <f>IFERROR(subQ!T29/subQ!S29-1,"")</f>
        <v/>
      </c>
      <c r="U34" s="22" t="n"/>
      <c r="V34" s="21">
        <f>IFERROR(subQ!V29/subQ!T29-1,"")</f>
        <v/>
      </c>
      <c r="W34" s="21">
        <f>IFERROR(subQ!W29/subQ!V29-1,"")</f>
        <v/>
      </c>
      <c r="X34" s="21">
        <f>IFERROR(subQ!X29/subQ!W29-1,"")</f>
        <v/>
      </c>
      <c r="Y34" s="21">
        <f>IFERROR(subQ!Y29/subQ!X29-1,"")</f>
        <v/>
      </c>
      <c r="Z34" s="22" t="n"/>
      <c r="AA34" s="21">
        <f>IFERROR(subQ!AA29/subQ!Y29-1,"")</f>
        <v/>
      </c>
      <c r="AB34" s="23">
        <f>IFERROR(subQ!AB29/subQ!AA29-1,"")</f>
        <v/>
      </c>
      <c r="AC34" s="31" t="n">
        <v>0.110040742</v>
      </c>
      <c r="AD34" s="31" t="n">
        <v>0.09974773100000001</v>
      </c>
      <c r="AE34" s="25" t="n"/>
      <c r="AF34" s="31" t="n">
        <v>0.093351937</v>
      </c>
      <c r="AG34" s="31" t="n">
        <v>0.022725454</v>
      </c>
      <c r="AH34" s="31" t="n">
        <v>0.09292022599999999</v>
      </c>
      <c r="AI34" s="31" t="n">
        <v>0.090625663</v>
      </c>
      <c r="AJ34" s="25" t="n"/>
      <c r="AK34" s="31" t="n">
        <v>0.088473495</v>
      </c>
      <c r="AL34" s="31" t="n">
        <v>0.03572807</v>
      </c>
      <c r="AM34" s="31" t="n">
        <v>0.087440869</v>
      </c>
      <c r="AN34" s="31" t="n">
        <v>0.08333966800000001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IFERROR(subQ!G30/subQ!E30-1,"")</f>
        <v/>
      </c>
      <c r="H35" s="21">
        <f>IFERROR(subQ!H30/subQ!G30-1,"")</f>
        <v/>
      </c>
      <c r="I35" s="21">
        <f>IFERROR(subQ!I30/subQ!H30-1,"")</f>
        <v/>
      </c>
      <c r="J35" s="21">
        <f>IFERROR(subQ!J30/subQ!I30-1,"")</f>
        <v/>
      </c>
      <c r="K35" s="22" t="n"/>
      <c r="L35" s="21">
        <f>IFERROR(subQ!L30/subQ!J30-1,"")</f>
        <v/>
      </c>
      <c r="M35" s="21">
        <f>IFERROR(subQ!M30/subQ!L30-1,"")</f>
        <v/>
      </c>
      <c r="N35" s="21">
        <f>IFERROR(subQ!N30/subQ!M30-1,"")</f>
        <v/>
      </c>
      <c r="O35" s="21">
        <f>IFERROR(subQ!O30/subQ!N30-1,"")</f>
        <v/>
      </c>
      <c r="P35" s="22" t="n"/>
      <c r="Q35" s="21">
        <f>IFERROR(subQ!Q30/subQ!O30-1,"")</f>
        <v/>
      </c>
      <c r="R35" s="21">
        <f>IFERROR(subQ!R30/subQ!Q30-1,"")</f>
        <v/>
      </c>
      <c r="S35" s="21">
        <f>IFERROR(subQ!S30/subQ!R30-1,"")</f>
        <v/>
      </c>
      <c r="T35" s="21">
        <f>IFERROR(subQ!T30/subQ!S30-1,"")</f>
        <v/>
      </c>
      <c r="U35" s="22" t="n"/>
      <c r="V35" s="21">
        <f>IFERROR(subQ!V30/subQ!T30-1,"")</f>
        <v/>
      </c>
      <c r="W35" s="21">
        <f>IFERROR(subQ!W30/subQ!V30-1,"")</f>
        <v/>
      </c>
      <c r="X35" s="21">
        <f>IFERROR(subQ!X30/subQ!W30-1,"")</f>
        <v/>
      </c>
      <c r="Y35" s="21">
        <f>IFERROR(subQ!Y30/subQ!X30-1,"")</f>
        <v/>
      </c>
      <c r="Z35" s="22" t="n"/>
      <c r="AA35" s="21">
        <f>IFERROR(subQ!AA30/subQ!Y30-1,"")</f>
        <v/>
      </c>
      <c r="AB35" s="23">
        <f>IFERROR(subQ!AB30/subQ!AA30-1,"")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IFERROR(subQ!J31/subQ!E31-1,"")</f>
        <v/>
      </c>
      <c r="K36" s="22" t="n"/>
      <c r="L36" s="21">
        <f>IFERROR(subQ!L31/subQ!G31-1,"")</f>
        <v/>
      </c>
      <c r="M36" s="21">
        <f>IFERROR(subQ!M31/subQ!H31-1,"")</f>
        <v/>
      </c>
      <c r="N36" s="21">
        <f>IFERROR(subQ!N31/subQ!I31-1,"")</f>
        <v/>
      </c>
      <c r="O36" s="21">
        <f>IFERROR(subQ!O31/subQ!J31-1,"")</f>
        <v/>
      </c>
      <c r="P36" s="22" t="n"/>
      <c r="Q36" s="21">
        <f>IFERROR(subQ!Q31/subQ!L31-1,"")</f>
        <v/>
      </c>
      <c r="R36" s="21">
        <f>IFERROR(subQ!R31/subQ!M31-1,"")</f>
        <v/>
      </c>
      <c r="S36" s="21">
        <f>IFERROR(subQ!S31/subQ!N31-1,"")</f>
        <v/>
      </c>
      <c r="T36" s="21">
        <f>IFERROR(subQ!T31/subQ!O31-1,"")</f>
        <v/>
      </c>
      <c r="U36" s="22" t="n"/>
      <c r="V36" s="21">
        <f>IFERROR(subQ!V31/subQ!Q31-1,"")</f>
        <v/>
      </c>
      <c r="W36" s="21">
        <f>IFERROR(subQ!W31/subQ!R31-1,"")</f>
        <v/>
      </c>
      <c r="X36" s="21">
        <f>IFERROR(subQ!X31/subQ!S31-1,"")</f>
        <v/>
      </c>
      <c r="Y36" s="21">
        <f>IFERROR(subQ!Y31/subQ!T31-1,"")</f>
        <v/>
      </c>
      <c r="Z36" s="22" t="n"/>
      <c r="AA36" s="21">
        <f>IFERROR(subQ!AA31/subQ!V31-1,"")</f>
        <v/>
      </c>
      <c r="AB36" s="23">
        <f>IFERROR(subQ!AB31/subQ!W31-1,"")</f>
        <v/>
      </c>
      <c r="AC36" s="31" t="n">
        <v>-0.060772002</v>
      </c>
      <c r="AD36" s="31" t="n">
        <v>0.022962206</v>
      </c>
      <c r="AE36" s="25" t="n"/>
      <c r="AF36" s="31" t="n">
        <v>-0.021958407</v>
      </c>
      <c r="AG36" s="31" t="n">
        <v>0.027331156</v>
      </c>
      <c r="AH36" s="31" t="n">
        <v>0</v>
      </c>
      <c r="AI36" s="31" t="n">
        <v>0</v>
      </c>
      <c r="AJ36" s="25" t="n"/>
      <c r="AK36" s="31" t="n">
        <v>0</v>
      </c>
      <c r="AL36" s="31" t="n">
        <v>0</v>
      </c>
      <c r="AM36" s="31" t="n">
        <v>0</v>
      </c>
      <c r="AN36" s="31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IFERROR(subQ!J32/subQ!E32-1,"")</f>
        <v/>
      </c>
      <c r="K37" s="22" t="n"/>
      <c r="L37" s="21">
        <f>IFERROR(subQ!L32/subQ!G32-1,"")</f>
        <v/>
      </c>
      <c r="M37" s="21">
        <f>IFERROR(subQ!M32/subQ!H32-1,"")</f>
        <v/>
      </c>
      <c r="N37" s="21">
        <f>IFERROR(subQ!N32/subQ!I32-1,"")</f>
        <v/>
      </c>
      <c r="O37" s="21">
        <f>IFERROR(subQ!O32/subQ!J32-1,"")</f>
        <v/>
      </c>
      <c r="P37" s="22" t="n"/>
      <c r="Q37" s="21">
        <f>IFERROR(subQ!Q32/subQ!L32-1,"")</f>
        <v/>
      </c>
      <c r="R37" s="21">
        <f>IFERROR(subQ!R32/subQ!M32-1,"")</f>
        <v/>
      </c>
      <c r="S37" s="21">
        <f>IFERROR(subQ!S32/subQ!N32-1,"")</f>
        <v/>
      </c>
      <c r="T37" s="21">
        <f>IFERROR(subQ!T32/subQ!O32-1,"")</f>
        <v/>
      </c>
      <c r="U37" s="22" t="n"/>
      <c r="V37" s="21">
        <f>IFERROR(subQ!V32/subQ!Q32-1,"")</f>
        <v/>
      </c>
      <c r="W37" s="21">
        <f>IFERROR(subQ!W32/subQ!R32-1,"")</f>
        <v/>
      </c>
      <c r="X37" s="21">
        <f>IFERROR(subQ!X32/subQ!S32-1,"")</f>
        <v/>
      </c>
      <c r="Y37" s="21">
        <f>IFERROR(subQ!Y32/subQ!T32-1,"")</f>
        <v/>
      </c>
      <c r="Z37" s="22" t="n"/>
      <c r="AA37" s="21">
        <f>IFERROR(subQ!AA32/subQ!V32-1,"")</f>
        <v/>
      </c>
      <c r="AB37" s="23">
        <f>IFERROR(subQ!AB32/subQ!W32-1,"")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IFERROR(subQ!G33/subQ!E33-1,"")</f>
        <v/>
      </c>
      <c r="H38" s="21">
        <f>IFERROR(subQ!H33/subQ!G33-1,"")</f>
        <v/>
      </c>
      <c r="I38" s="21">
        <f>IFERROR(subQ!I33/subQ!H33-1,"")</f>
        <v/>
      </c>
      <c r="J38" s="21">
        <f>IFERROR(subQ!J33/subQ!I33-1,"")</f>
        <v/>
      </c>
      <c r="K38" s="22" t="n"/>
      <c r="L38" s="21">
        <f>IFERROR(subQ!L33/subQ!J33-1,"")</f>
        <v/>
      </c>
      <c r="M38" s="21">
        <f>IFERROR(subQ!M33/subQ!L33-1,"")</f>
        <v/>
      </c>
      <c r="N38" s="21">
        <f>IFERROR(subQ!N33/subQ!M33-1,"")</f>
        <v/>
      </c>
      <c r="O38" s="21">
        <f>IFERROR(subQ!O33/subQ!N33-1,"")</f>
        <v/>
      </c>
      <c r="P38" s="22" t="n"/>
      <c r="Q38" s="21">
        <f>IFERROR(subQ!Q33/subQ!O33-1,"")</f>
        <v/>
      </c>
      <c r="R38" s="21">
        <f>IFERROR(subQ!R33/subQ!Q33-1,"")</f>
        <v/>
      </c>
      <c r="S38" s="21">
        <f>IFERROR(subQ!S33/subQ!R33-1,"")</f>
        <v/>
      </c>
      <c r="T38" s="21">
        <f>IFERROR(subQ!T33/subQ!S33-1,"")</f>
        <v/>
      </c>
      <c r="U38" s="22" t="n"/>
      <c r="V38" s="21">
        <f>IFERROR(subQ!V33/subQ!T33-1,"")</f>
        <v/>
      </c>
      <c r="W38" s="21">
        <f>IFERROR(subQ!W33/subQ!V33-1,"")</f>
        <v/>
      </c>
      <c r="X38" s="21">
        <f>IFERROR(subQ!X33/subQ!W33-1,"")</f>
        <v/>
      </c>
      <c r="Y38" s="21">
        <f>IFERROR(subQ!Y33/subQ!X33-1,"")</f>
        <v/>
      </c>
      <c r="Z38" s="22" t="n"/>
      <c r="AA38" s="21">
        <f>IFERROR(subQ!AA33/subQ!Y33-1,"")</f>
        <v/>
      </c>
      <c r="AB38" s="23">
        <f>IFERROR(subQ!AB33/subQ!AA33-1,"")</f>
        <v/>
      </c>
      <c r="AC38" s="31" t="n">
        <v>0</v>
      </c>
      <c r="AD38" s="31" t="n">
        <v>0</v>
      </c>
      <c r="AE38" s="25" t="n"/>
      <c r="AF38" s="31" t="n">
        <v>0</v>
      </c>
      <c r="AG38" s="31" t="n">
        <v>0</v>
      </c>
      <c r="AH38" s="31" t="n">
        <v>0</v>
      </c>
      <c r="AI38" s="31" t="n">
        <v>0</v>
      </c>
      <c r="AJ38" s="25" t="n"/>
      <c r="AK38" s="31" t="n">
        <v>0</v>
      </c>
      <c r="AL38" s="31" t="n">
        <v>0</v>
      </c>
      <c r="AM38" s="31" t="n">
        <v>0</v>
      </c>
      <c r="AN38" s="31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6">
        <f>subQ!E36</f>
        <v/>
      </c>
      <c r="F39" s="27">
        <f>subQ!F36</f>
        <v/>
      </c>
      <c r="G39" s="26">
        <f>subQ!G36</f>
        <v/>
      </c>
      <c r="H39" s="26">
        <f>subQ!H36</f>
        <v/>
      </c>
      <c r="I39" s="26">
        <f>subQ!I36</f>
        <v/>
      </c>
      <c r="J39" s="26">
        <f>subQ!J36</f>
        <v/>
      </c>
      <c r="K39" s="27">
        <f>subQ!K36</f>
        <v/>
      </c>
      <c r="L39" s="26">
        <f>subQ!L36</f>
        <v/>
      </c>
      <c r="M39" s="26">
        <f>subQ!M36</f>
        <v/>
      </c>
      <c r="N39" s="26">
        <f>subQ!N36</f>
        <v/>
      </c>
      <c r="O39" s="26">
        <f>subQ!O36</f>
        <v/>
      </c>
      <c r="P39" s="27">
        <f>subQ!P36</f>
        <v/>
      </c>
      <c r="Q39" s="26">
        <f>subQ!Q36</f>
        <v/>
      </c>
      <c r="R39" s="26">
        <f>subQ!R36</f>
        <v/>
      </c>
      <c r="S39" s="26">
        <f>subQ!S36</f>
        <v/>
      </c>
      <c r="T39" s="26">
        <f>subQ!T36</f>
        <v/>
      </c>
      <c r="U39" s="27">
        <f>subQ!U36</f>
        <v/>
      </c>
      <c r="V39" s="26">
        <f>subQ!V36</f>
        <v/>
      </c>
      <c r="W39" s="26">
        <f>subQ!W36</f>
        <v/>
      </c>
      <c r="X39" s="26">
        <f>subQ!X36</f>
        <v/>
      </c>
      <c r="Y39" s="26">
        <f>subQ!Y36</f>
        <v/>
      </c>
      <c r="Z39" s="27">
        <f>subQ!Z36</f>
        <v/>
      </c>
      <c r="AA39" s="26">
        <f>subQ!AA36</f>
        <v/>
      </c>
      <c r="AB39" s="28">
        <f>subQ!AB36</f>
        <v/>
      </c>
      <c r="AC39" s="33" t="n"/>
      <c r="AD39" s="29" t="n">
        <v>5661</v>
      </c>
      <c r="AE39" s="30">
        <f>subQ!AE36</f>
        <v/>
      </c>
      <c r="AF39" s="33" t="n"/>
      <c r="AG39" s="33" t="n"/>
      <c r="AH39" s="33" t="n"/>
      <c r="AI39" s="29" t="n">
        <v>5661</v>
      </c>
      <c r="AJ39" s="30">
        <f>subQ!AJ36</f>
        <v/>
      </c>
      <c r="AK39" s="33" t="n"/>
      <c r="AL39" s="33" t="n"/>
      <c r="AM39" s="33" t="n"/>
      <c r="AN39" s="29" t="n">
        <v>5661</v>
      </c>
      <c r="AO39" s="30">
        <f>subQ!AO36</f>
        <v/>
      </c>
    </row>
    <row r="40">
      <c r="A40" s="12" t="inlineStr">
        <is>
          <t>drv:매출조선</t>
        </is>
      </c>
      <c r="B40" s="2" t="inlineStr">
        <is>
          <t>sls_link</t>
        </is>
      </c>
      <c r="C40" t="inlineStr">
        <is>
          <t>원장 밖 잔고 소진(억원) — 매출조선 = SLS 원화/100 + 이 행 + 매출조선신규</t>
        </is>
      </c>
      <c r="E40" s="26" t="n"/>
      <c r="F40" s="27" t="n"/>
      <c r="G40" s="26" t="n"/>
      <c r="H40" s="26" t="n"/>
      <c r="I40" s="26" t="n"/>
      <c r="J40" s="26" t="n"/>
      <c r="K40" s="27" t="n"/>
      <c r="L40" s="26" t="n"/>
      <c r="M40" s="26" t="n"/>
      <c r="N40" s="26">
        <f>IFERROR(subQ!N39-SLS!E124/100,"")</f>
        <v/>
      </c>
      <c r="O40" s="26">
        <f>IFERROR(subQ!O39-SLS!F124/100,"")</f>
        <v/>
      </c>
      <c r="P40" s="27" t="n"/>
      <c r="Q40" s="26">
        <f>IFERROR(subQ!Q39-SLS!G124/100,"")</f>
        <v/>
      </c>
      <c r="R40" s="26">
        <f>IFERROR(subQ!R39-SLS!H124/100,"")</f>
        <v/>
      </c>
      <c r="S40" s="26">
        <f>IFERROR(subQ!S39-SLS!I124/100,"")</f>
        <v/>
      </c>
      <c r="T40" s="26">
        <f>IFERROR(subQ!T39-SLS!J124/100,"")</f>
        <v/>
      </c>
      <c r="U40" s="27" t="n"/>
      <c r="V40" s="26">
        <f>IFERROR(subQ!V39-SLS!K124/100,"")</f>
        <v/>
      </c>
      <c r="W40" s="26">
        <f>IFERROR(subQ!W39-SLS!L124/100,"")</f>
        <v/>
      </c>
      <c r="X40" s="26">
        <f>IFERROR(subQ!X39-SLS!M124/100,"")</f>
        <v/>
      </c>
      <c r="Y40" s="26">
        <f>IFERROR(subQ!Y39-SLS!N124/100,"")</f>
        <v/>
      </c>
      <c r="Z40" s="27" t="n"/>
      <c r="AA40" s="26">
        <f>IFERROR(subQ!AA39-SLS!O124/100,"")</f>
        <v/>
      </c>
      <c r="AB40" s="28">
        <f>IFERROR(subQ!AB39-SLS!P124/100,"")</f>
        <v/>
      </c>
      <c r="AC40" s="29" t="n">
        <v>35378.050384</v>
      </c>
      <c r="AD40" s="29" t="n">
        <v>35827.501186</v>
      </c>
      <c r="AE40" s="30" t="n"/>
      <c r="AF40" s="29" t="n">
        <v>35805.242859</v>
      </c>
      <c r="AG40" s="29" t="n">
        <v>35816.093722</v>
      </c>
      <c r="AH40" s="29" t="n">
        <v>35827.015767</v>
      </c>
      <c r="AI40" s="29" t="n">
        <v>35827.091132</v>
      </c>
      <c r="AJ40" s="30" t="n"/>
      <c r="AK40" s="29" t="n">
        <v>35816.104884</v>
      </c>
      <c r="AL40" s="29" t="n">
        <v>35816.105987</v>
      </c>
      <c r="AM40" s="29" t="n">
        <v>35827.089886</v>
      </c>
      <c r="AN40" s="29" t="n">
        <v>35827.149926</v>
      </c>
      <c r="AO40" s="30" t="n"/>
    </row>
    <row r="41">
      <c r="A41" s="12" t="inlineStr">
        <is>
          <t>drv:매출조선신규</t>
        </is>
      </c>
      <c r="B41" s="2" t="inlineStr">
        <is>
          <t>abs</t>
        </is>
      </c>
      <c r="C41" t="inlineStr">
        <is>
          <t>매출조선신규 (forecast_panel base · 공시 상계 신규수주 매출, 억원 — 가정)</t>
        </is>
      </c>
      <c r="E41" s="26">
        <f>subQ!E40</f>
        <v/>
      </c>
      <c r="F41" s="27">
        <f>subQ!F40</f>
        <v/>
      </c>
      <c r="G41" s="26">
        <f>subQ!G40</f>
        <v/>
      </c>
      <c r="H41" s="26">
        <f>subQ!H40</f>
        <v/>
      </c>
      <c r="I41" s="26">
        <f>subQ!I40</f>
        <v/>
      </c>
      <c r="J41" s="26">
        <f>subQ!J40</f>
        <v/>
      </c>
      <c r="K41" s="27">
        <f>subQ!K40</f>
        <v/>
      </c>
      <c r="L41" s="26">
        <f>subQ!L40</f>
        <v/>
      </c>
      <c r="M41" s="26">
        <f>subQ!M40</f>
        <v/>
      </c>
      <c r="N41" s="26">
        <f>subQ!N40</f>
        <v/>
      </c>
      <c r="O41" s="26">
        <f>subQ!O40</f>
        <v/>
      </c>
      <c r="P41" s="27">
        <f>subQ!P40</f>
        <v/>
      </c>
      <c r="Q41" s="26">
        <f>subQ!Q40</f>
        <v/>
      </c>
      <c r="R41" s="26">
        <f>subQ!R40</f>
        <v/>
      </c>
      <c r="S41" s="26">
        <f>subQ!S40</f>
        <v/>
      </c>
      <c r="T41" s="26">
        <f>subQ!T40</f>
        <v/>
      </c>
      <c r="U41" s="27">
        <f>subQ!U40</f>
        <v/>
      </c>
      <c r="V41" s="26">
        <f>subQ!V40</f>
        <v/>
      </c>
      <c r="W41" s="26">
        <f>subQ!W40</f>
        <v/>
      </c>
      <c r="X41" s="26">
        <f>subQ!X40</f>
        <v/>
      </c>
      <c r="Y41" s="26">
        <f>subQ!Y40</f>
        <v/>
      </c>
      <c r="Z41" s="27">
        <f>subQ!Z40</f>
        <v/>
      </c>
      <c r="AA41" s="26">
        <f>subQ!AA40</f>
        <v/>
      </c>
      <c r="AB41" s="28">
        <f>subQ!AB40</f>
        <v/>
      </c>
      <c r="AC41" s="29" t="n">
        <v>0</v>
      </c>
      <c r="AD41" s="29" t="n">
        <v>713.92</v>
      </c>
      <c r="AE41" s="30">
        <f>subQ!AE40</f>
        <v/>
      </c>
      <c r="AF41" s="29" t="n">
        <v>2954</v>
      </c>
      <c r="AG41" s="29" t="n">
        <v>6661.68</v>
      </c>
      <c r="AH41" s="29" t="n">
        <v>11468.92</v>
      </c>
      <c r="AI41" s="29" t="n">
        <v>17007.63</v>
      </c>
      <c r="AJ41" s="30">
        <f>subQ!AJ40</f>
        <v/>
      </c>
      <c r="AK41" s="29" t="n">
        <v>22909.76</v>
      </c>
      <c r="AL41" s="29" t="n">
        <v>28807.24</v>
      </c>
      <c r="AM41" s="29" t="n">
        <v>34331.99</v>
      </c>
      <c r="AN41" s="29" t="n">
        <v>39115.96</v>
      </c>
      <c r="AO41" s="30">
        <f>subQ!AO40</f>
        <v/>
      </c>
    </row>
    <row r="42">
      <c r="A42" s="12" t="inlineStr">
        <is>
          <t>drv:OP조선</t>
        </is>
      </c>
      <c r="B42" s="2" t="inlineStr">
        <is>
          <t>ratio</t>
        </is>
      </c>
      <c r="C42" t="inlineStr">
        <is>
          <t>OP조선 마진(/매출조선)</t>
        </is>
      </c>
      <c r="E42" s="21">
        <f>IFERROR(subQ!E41/subQ!E39,"")</f>
        <v/>
      </c>
      <c r="F42" s="22">
        <f>IFERROR(subQ!F41/subQ!F39,"")</f>
        <v/>
      </c>
      <c r="G42" s="21">
        <f>IFERROR(subQ!G41/subQ!G39,"")</f>
        <v/>
      </c>
      <c r="H42" s="21">
        <f>IFERROR(subQ!H41/subQ!H39,"")</f>
        <v/>
      </c>
      <c r="I42" s="21">
        <f>IFERROR(subQ!I41/subQ!I39,"")</f>
        <v/>
      </c>
      <c r="J42" s="21">
        <f>IFERROR(subQ!J41/subQ!J39,"")</f>
        <v/>
      </c>
      <c r="K42" s="22">
        <f>IFERROR(subQ!K41/subQ!K39,"")</f>
        <v/>
      </c>
      <c r="L42" s="21">
        <f>IFERROR(subQ!L41/subQ!L39,"")</f>
        <v/>
      </c>
      <c r="M42" s="21">
        <f>IFERROR(subQ!M41/subQ!M39,"")</f>
        <v/>
      </c>
      <c r="N42" s="21">
        <f>IFERROR(subQ!N41/subQ!N39,"")</f>
        <v/>
      </c>
      <c r="O42" s="21">
        <f>IFERROR(subQ!O41/subQ!O39,"")</f>
        <v/>
      </c>
      <c r="P42" s="22">
        <f>IFERROR(subQ!P41/subQ!P39,"")</f>
        <v/>
      </c>
      <c r="Q42" s="21">
        <f>IFERROR(subQ!Q41/subQ!Q39,"")</f>
        <v/>
      </c>
      <c r="R42" s="21">
        <f>IFERROR(subQ!R41/subQ!R39,"")</f>
        <v/>
      </c>
      <c r="S42" s="21">
        <f>IFERROR(subQ!S41/subQ!S39,"")</f>
        <v/>
      </c>
      <c r="T42" s="21">
        <f>IFERROR(subQ!T41/subQ!T39,"")</f>
        <v/>
      </c>
      <c r="U42" s="22">
        <f>IFERROR(subQ!U41/subQ!U39,"")</f>
        <v/>
      </c>
      <c r="V42" s="21">
        <f>IFERROR(subQ!V41/subQ!V39,"")</f>
        <v/>
      </c>
      <c r="W42" s="21">
        <f>IFERROR(subQ!W41/subQ!W39,"")</f>
        <v/>
      </c>
      <c r="X42" s="21">
        <f>IFERROR(subQ!X41/subQ!X39,"")</f>
        <v/>
      </c>
      <c r="Y42" s="21">
        <f>IFERROR(subQ!Y41/subQ!Y39,"")</f>
        <v/>
      </c>
      <c r="Z42" s="22">
        <f>IFERROR(subQ!Z41/subQ!Z39,"")</f>
        <v/>
      </c>
      <c r="AA42" s="21">
        <f>IFERROR(subQ!AA41/subQ!AA39,"")</f>
        <v/>
      </c>
      <c r="AB42" s="23">
        <f>IFERROR(subQ!AB41/subQ!AB39,"")</f>
        <v/>
      </c>
      <c r="AC42" s="31" t="n">
        <v>0.140604336</v>
      </c>
      <c r="AD42" s="31" t="n">
        <v>0.140904231</v>
      </c>
      <c r="AE42" s="25">
        <f>IFERROR(subQ!AE41/subQ!AE39,"")</f>
        <v/>
      </c>
      <c r="AF42" s="31" t="n">
        <v>0.140904384</v>
      </c>
      <c r="AG42" s="31" t="n">
        <v>0.140932722</v>
      </c>
      <c r="AH42" s="31" t="n">
        <v>0.141014947</v>
      </c>
      <c r="AI42" s="31" t="n">
        <v>0.141074947</v>
      </c>
      <c r="AJ42" s="25">
        <f>IFERROR(subQ!AJ41/subQ!AJ39,"")</f>
        <v/>
      </c>
      <c r="AK42" s="31" t="n">
        <v>0.141134895</v>
      </c>
      <c r="AL42" s="31" t="n">
        <v>0.141194953</v>
      </c>
      <c r="AM42" s="31" t="n">
        <v>0.141346596</v>
      </c>
      <c r="AN42" s="31" t="n">
        <v>0.141567672</v>
      </c>
      <c r="AO42" s="25">
        <f>IFERROR(subQ!AO41/subQ!AO39,"")</f>
        <v/>
      </c>
    </row>
    <row r="43">
      <c r="A43" s="12" t="inlineStr">
        <is>
          <t>drv:매출기타</t>
        </is>
      </c>
      <c r="B43" s="2" t="inlineStr">
        <is>
          <t>yoy</t>
        </is>
      </c>
      <c r="C43" t="inlineStr">
        <is>
          <t>매출기타 YoY</t>
        </is>
      </c>
      <c r="E43" s="21" t="n"/>
      <c r="F43" s="22" t="n"/>
      <c r="G43" s="21" t="n"/>
      <c r="H43" s="21" t="n"/>
      <c r="I43" s="21" t="n"/>
      <c r="J43" s="21">
        <f>IFERROR(subQ!J43/subQ!E43-1,"")</f>
        <v/>
      </c>
      <c r="K43" s="22" t="n"/>
      <c r="L43" s="21">
        <f>IFERROR(subQ!L43/subQ!G43-1,"")</f>
        <v/>
      </c>
      <c r="M43" s="21">
        <f>IFERROR(subQ!M43/subQ!H43-1,"")</f>
        <v/>
      </c>
      <c r="N43" s="21">
        <f>IFERROR(subQ!N43/subQ!I43-1,"")</f>
        <v/>
      </c>
      <c r="O43" s="21">
        <f>IFERROR(subQ!O43/subQ!J43-1,"")</f>
        <v/>
      </c>
      <c r="P43" s="22" t="n"/>
      <c r="Q43" s="21">
        <f>IFERROR(subQ!Q43/subQ!L43-1,"")</f>
        <v/>
      </c>
      <c r="R43" s="21">
        <f>IFERROR(subQ!R43/subQ!M43-1,"")</f>
        <v/>
      </c>
      <c r="S43" s="21">
        <f>IFERROR(subQ!S43/subQ!N43-1,"")</f>
        <v/>
      </c>
      <c r="T43" s="21">
        <f>IFERROR(subQ!T43/subQ!O43-1,"")</f>
        <v/>
      </c>
      <c r="U43" s="22" t="n"/>
      <c r="V43" s="21">
        <f>IFERROR(subQ!V43/subQ!Q43-1,"")</f>
        <v/>
      </c>
      <c r="W43" s="21">
        <f>IFERROR(subQ!W43/subQ!R43-1,"")</f>
        <v/>
      </c>
      <c r="X43" s="21">
        <f>IFERROR(subQ!X43/subQ!S43-1,"")</f>
        <v/>
      </c>
      <c r="Y43" s="21">
        <f>IFERROR(subQ!Y43/subQ!T43-1,"")</f>
        <v/>
      </c>
      <c r="Z43" s="22" t="n"/>
      <c r="AA43" s="21">
        <f>IFERROR(subQ!AA43/subQ!V43-1,"")</f>
        <v/>
      </c>
      <c r="AB43" s="23">
        <f>IFERROR(subQ!AB43/subQ!W43-1,"")</f>
        <v/>
      </c>
      <c r="AC43" s="31" t="n">
        <v>-0.133698788</v>
      </c>
      <c r="AD43" s="31" t="n">
        <v>0.137049429</v>
      </c>
      <c r="AE43" s="25" t="n"/>
      <c r="AF43" s="31" t="n">
        <v>0.043469212</v>
      </c>
      <c r="AG43" s="31" t="n">
        <v>-0.039993324</v>
      </c>
      <c r="AH43" s="31" t="n">
        <v>0</v>
      </c>
      <c r="AI43" s="31" t="n">
        <v>0</v>
      </c>
      <c r="AJ43" s="25" t="n"/>
      <c r="AK43" s="31" t="n">
        <v>0</v>
      </c>
      <c r="AL43" s="31" t="n">
        <v>0</v>
      </c>
      <c r="AM43" s="31" t="n">
        <v>0</v>
      </c>
      <c r="AN43" s="31" t="n">
        <v>0</v>
      </c>
      <c r="AO43" s="25" t="n"/>
    </row>
    <row r="44">
      <c r="A44" s="12" t="inlineStr">
        <is>
          <t>drv:OP기타</t>
        </is>
      </c>
      <c r="B44" s="2" t="inlineStr">
        <is>
          <t>ratio</t>
        </is>
      </c>
      <c r="C44" t="inlineStr">
        <is>
          <t>OP기타 마진(/매출기타)</t>
        </is>
      </c>
      <c r="E44" s="21">
        <f>IFERROR(subQ!E44/subQ!E43,"")</f>
        <v/>
      </c>
      <c r="F44" s="22">
        <f>IFERROR(subQ!F44/subQ!F43,"")</f>
        <v/>
      </c>
      <c r="G44" s="21">
        <f>IFERROR(subQ!G44/subQ!G43,"")</f>
        <v/>
      </c>
      <c r="H44" s="21">
        <f>IFERROR(subQ!H44/subQ!H43,"")</f>
        <v/>
      </c>
      <c r="I44" s="21">
        <f>IFERROR(subQ!I44/subQ!I43,"")</f>
        <v/>
      </c>
      <c r="J44" s="21">
        <f>IFERROR(subQ!J44/subQ!J43,"")</f>
        <v/>
      </c>
      <c r="K44" s="22">
        <f>IFERROR(subQ!K44/subQ!K43,"")</f>
        <v/>
      </c>
      <c r="L44" s="21">
        <f>IFERROR(subQ!L44/subQ!L43,"")</f>
        <v/>
      </c>
      <c r="M44" s="21">
        <f>IFERROR(subQ!M44/subQ!M43,"")</f>
        <v/>
      </c>
      <c r="N44" s="21">
        <f>IFERROR(subQ!N44/subQ!N43,"")</f>
        <v/>
      </c>
      <c r="O44" s="21">
        <f>IFERROR(subQ!O44/subQ!O43,"")</f>
        <v/>
      </c>
      <c r="P44" s="22">
        <f>IFERROR(subQ!P44/subQ!P43,"")</f>
        <v/>
      </c>
      <c r="Q44" s="21">
        <f>IFERROR(subQ!Q44/subQ!Q43,"")</f>
        <v/>
      </c>
      <c r="R44" s="21">
        <f>IFERROR(subQ!R44/subQ!R43,"")</f>
        <v/>
      </c>
      <c r="S44" s="21">
        <f>IFERROR(subQ!S44/subQ!S43,"")</f>
        <v/>
      </c>
      <c r="T44" s="21">
        <f>IFERROR(subQ!T44/subQ!T43,"")</f>
        <v/>
      </c>
      <c r="U44" s="22">
        <f>IFERROR(subQ!U44/subQ!U43,"")</f>
        <v/>
      </c>
      <c r="V44" s="21">
        <f>IFERROR(subQ!V44/subQ!V43,"")</f>
        <v/>
      </c>
      <c r="W44" s="21">
        <f>IFERROR(subQ!W44/subQ!W43,"")</f>
        <v/>
      </c>
      <c r="X44" s="21">
        <f>IFERROR(subQ!X44/subQ!X43,"")</f>
        <v/>
      </c>
      <c r="Y44" s="21">
        <f>IFERROR(subQ!Y44/subQ!Y43,"")</f>
        <v/>
      </c>
      <c r="Z44" s="22">
        <f>IFERROR(subQ!Z44/subQ!Z43,"")</f>
        <v/>
      </c>
      <c r="AA44" s="21">
        <f>IFERROR(subQ!AA44/subQ!AA43,"")</f>
        <v/>
      </c>
      <c r="AB44" s="23">
        <f>IFERROR(subQ!AB44/subQ!AB43,"")</f>
        <v/>
      </c>
      <c r="AC44" s="31" t="n">
        <v>0.140604286</v>
      </c>
      <c r="AD44" s="31" t="n">
        <v>0.140903986</v>
      </c>
      <c r="AE44" s="25">
        <f>IFERROR(subQ!AE44/subQ!AE43,"")</f>
        <v/>
      </c>
      <c r="AF44" s="31" t="n">
        <v>0.140903986</v>
      </c>
      <c r="AG44" s="31" t="n">
        <v>0.140932783</v>
      </c>
      <c r="AH44" s="31" t="n">
        <v>0.141014907</v>
      </c>
      <c r="AI44" s="31" t="n">
        <v>0.141074634</v>
      </c>
      <c r="AJ44" s="25">
        <f>IFERROR(subQ!AJ44/subQ!AJ43,"")</f>
        <v/>
      </c>
      <c r="AK44" s="31" t="n">
        <v>0.141135427</v>
      </c>
      <c r="AL44" s="31" t="n">
        <v>0.141195154</v>
      </c>
      <c r="AM44" s="31" t="n">
        <v>0.141346604</v>
      </c>
      <c r="AN44" s="31" t="n">
        <v>0.14156738</v>
      </c>
      <c r="AO44" s="25">
        <f>IFERROR(subQ!AO44/subQ!AO43,"")</f>
        <v/>
      </c>
    </row>
    <row r="45"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B46" s="1" t="inlineStr">
        <is>
          <t>3. 밸류에이션·스칼라</t>
        </is>
      </c>
      <c r="C46" s="2" t="inlineStr">
        <is>
          <t>노란 셀 = 가정. '연결' 표시는 추정 전 분기 수식이 이 셀을 참조한다는 뜻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sc:종가</t>
        </is>
      </c>
      <c r="C47" t="inlineStr">
        <is>
          <t>종가</t>
        </is>
      </c>
      <c r="D47" s="34" t="n">
        <v>369000</v>
      </c>
      <c r="E47" s="2" t="inlineStr">
        <is>
          <t>원 — 네이버 정규장 종가(aik 확정종가 대조 · aik 365,500원)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sc:기준일</t>
        </is>
      </c>
      <c r="C48" t="inlineStr">
        <is>
          <t>기준일</t>
        </is>
      </c>
      <c r="D48" s="35" t="inlineStr">
        <is>
          <t>20261014</t>
        </is>
      </c>
      <c r="E48" s="2" t="inlineStr">
        <is>
          <t>종가 기준일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sc:COE</t>
        </is>
      </c>
      <c r="C49" t="inlineStr">
        <is>
          <t>COE</t>
        </is>
      </c>
      <c r="D49" s="31" t="n">
        <v>0.09</v>
      </c>
      <c r="E49" s="2" t="inlineStr">
        <is>
          <t>자기자본비용(가정) — TP 적정 PBR = ROE/COE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sc:PER_lo</t>
        </is>
      </c>
      <c r="C50" t="inlineStr">
        <is>
          <t>PER_lo</t>
        </is>
      </c>
      <c r="D50" s="29" t="n">
        <v>10</v>
      </c>
      <c r="E50" s="2" t="inlineStr">
        <is>
          <t>PER 밴드 하단(배) — sector_default(레퍼런스 TP_PE PB 예시 10/15/20배; 과거 PER 중위 36.3배가 캡 5~30 밖 — 턴어라운드 초기 TTM EPS 왜곡)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sc:PER_mid</t>
        </is>
      </c>
      <c r="C51" t="inlineStr">
        <is>
          <t>PER_mid</t>
        </is>
      </c>
      <c r="D51" s="29" t="n">
        <v>15</v>
      </c>
      <c r="E51" s="2" t="inlineStr">
        <is>
          <t>PER 밴드 중단(배)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sc:PER_hi</t>
        </is>
      </c>
      <c r="C52" t="inlineStr">
        <is>
          <t>PER_hi</t>
        </is>
      </c>
      <c r="D52" s="29" t="n">
        <v>20</v>
      </c>
      <c r="E52" s="2" t="inlineStr">
        <is>
          <t>PER 밴드 상단(배)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sc:EPS_Y1가중</t>
        </is>
      </c>
      <c r="C53" t="inlineStr">
        <is>
          <t>EPS_Y1가중</t>
        </is>
      </c>
      <c r="D53" s="31" t="n">
        <v>0.5</v>
      </c>
      <c r="E53" s="2" t="inlineStr">
        <is>
          <t>12M fwd EPS = FY(last_actual연도)E × w + FY+1E × (1−w) — 기준 분기 2Q 이면 0.5(가정)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sc:세율</t>
        </is>
      </c>
      <c r="C54" t="inlineStr">
        <is>
          <t>세율</t>
        </is>
      </c>
      <c r="D54" s="36" t="n">
        <v>0.2449402043715052</v>
      </c>
      <c r="E54" s="2" t="inlineStr">
        <is>
          <t>연결 — 법인세 = MAX(세전,0) × 세율(역산, 재현 오차 ≤ 0.05억 · 모델 assumptions 0.2449) · 최근 12분기 유효세율 24.5%(5~27% 안 — 그대로)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sc:판관비율</t>
        </is>
      </c>
      <c r="C55" t="inlineStr">
        <is>
          <t>판관비율</t>
        </is>
      </c>
      <c r="D55" s="36" t="n">
        <v>0.04875936834022133</v>
      </c>
      <c r="E55" s="2" t="inlineStr">
        <is>
          <t>연결 — 판관비 = 매출액 × 판관비율(역산, 재현 오차 ≤ 0.05억 · 모델 assumptions 0.0488)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sc:지배주주비중</t>
        </is>
      </c>
      <c r="C56" t="inlineStr">
        <is>
          <t>지배주주비중</t>
        </is>
      </c>
      <c r="D56" s="36" t="n">
        <v>0.9999998871336923</v>
      </c>
      <c r="E56" s="2" t="inlineStr">
        <is>
          <t>연결 — 지배주주순이익 = 당기순이익 × 비중(역산, 재현 오차 ≤ 0.05억)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sc:이자율_자산</t>
        </is>
      </c>
      <c r="C57" t="inlineStr">
        <is>
          <t>이자율_자산</t>
        </is>
      </c>
      <c r="D57" s="36" t="n">
        <v>0.02472803672282592</v>
      </c>
      <c r="E57" s="2" t="inlineStr">
        <is>
          <t>연결 — 이자손익 = (전분기 이자발생자산 × 자산이자율 − 전분기 총차입금 × 부채이자율)/4(역산, 재현 오차 ≤ 0.05억 · 모델 assumptions 0.0247)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sc:이자율_부채</t>
        </is>
      </c>
      <c r="C58" t="inlineStr">
        <is>
          <t>이자율_부채</t>
        </is>
      </c>
      <c r="D58" s="36" t="n">
        <v>0.1390178359129366</v>
      </c>
      <c r="E58" s="2" t="inlineStr">
        <is>
          <t>연결 — 같은 수식의 부채 쪽(총차입금 행이 없으면 0)(역산, 재현 오차 ≤ 0.05억 · 모델 assumptions 0.139)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sc:배당성향</t>
        </is>
      </c>
      <c r="C59" t="inlineStr">
        <is>
          <t>배당성향</t>
        </is>
      </c>
      <c r="D59" s="31" t="n">
        <v>0.4197</v>
      </c>
      <c r="E59" s="2" t="inlineStr">
        <is>
          <t>배당성향(참고 — 모델은 직전 DPS 유지·Q2 지급 가정)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sc:외화순노출_백만$</t>
        </is>
      </c>
      <c r="C60" t="inlineStr">
        <is>
          <t>외화순노출_백만$</t>
        </is>
      </c>
      <c r="D60" s="29" t="n">
        <v>-67.18000000000001</v>
      </c>
      <c r="E60" s="2" t="inlineStr">
        <is>
          <t>외화 순노출 × Δ기말환율 (외화 시트 방식) — 연결: subQ 환관련손익 = 노출 × Δ원/달러(기말)/100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s="12" t="inlineStr">
        <is>
          <t>sc:헤지비율</t>
        </is>
      </c>
      <c r="C61" t="inlineStr">
        <is>
          <t>헤지비율</t>
        </is>
      </c>
      <c r="D61" s="31" t="n">
        <v>0.7</v>
      </c>
      <c r="E61" s="2" t="inlineStr">
        <is>
          <t>SLS 원화 = Σ 스케줄 × (헤지비율 × 헤지환율 + (1−헤지비율) × 건조시점 환율[원/달러(평균)]) — estimate · 약정환율 미공시 → HEDGE 70% 가정(레퍼런스 SLS 시트 HEDGE 행은 미포 65%·삼성重 100% — 그 사이에 둔 설정값). hedge_rate 는 계약별 수주시점 환율로 대체</t>
        </is>
      </c>
      <c r="F61" s="9" t="n"/>
      <c r="K61" s="9" t="n"/>
      <c r="P61" s="9" t="n"/>
      <c r="U61" s="9" t="n"/>
      <c r="Z61" s="9" t="n"/>
      <c r="AB61" s="5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s="12" t="inlineStr">
        <is>
          <t>sc:헤지환율_약정</t>
        </is>
      </c>
      <c r="C62" t="inlineStr">
        <is>
          <t>헤지환율_약정</t>
        </is>
      </c>
      <c r="D62" s="16" t="n"/>
      <c r="E62" s="2" t="inlineStr">
        <is>
          <t>정기보고서 평균 약정환율(measured) — 비어 있으면 계약별 수주시점 환율(fx_at_sign)을 쓴다</t>
        </is>
      </c>
      <c r="F62" s="9" t="n"/>
      <c r="K62" s="9" t="n"/>
      <c r="P62" s="9" t="n"/>
      <c r="U62" s="9" t="n"/>
      <c r="Z62" s="9" t="n"/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HD현대중공업(연)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7886064.93</v>
      </c>
      <c r="F5" s="37" t="n">
        <v>7886064.93</v>
      </c>
      <c r="G5" s="18" t="n">
        <v>7731369.69</v>
      </c>
      <c r="H5" s="18" t="n">
        <v>8371718.14</v>
      </c>
      <c r="I5" s="18" t="n">
        <v>9009512.279999999</v>
      </c>
      <c r="J5" s="18" t="n">
        <v>8000865.93</v>
      </c>
      <c r="K5" s="37" t="n">
        <v>8000865.93</v>
      </c>
      <c r="L5" s="18" t="n">
        <v>8644922.85</v>
      </c>
      <c r="M5" s="18" t="n">
        <v>8900996.93</v>
      </c>
      <c r="N5" s="18" t="n">
        <v>9459114.189999999</v>
      </c>
      <c r="O5" s="18" t="n">
        <v>8799684.119999999</v>
      </c>
      <c r="P5" s="37" t="n">
        <v>8799684.119999999</v>
      </c>
      <c r="Q5" s="18" t="n">
        <v>8984373.699999999</v>
      </c>
      <c r="R5" s="18" t="n">
        <v>9085824.699999999</v>
      </c>
      <c r="S5" s="18" t="n">
        <v>8505588.57</v>
      </c>
      <c r="T5" s="18" t="n">
        <v>10403121.88</v>
      </c>
      <c r="U5" s="37" t="n">
        <v>10403121.88</v>
      </c>
      <c r="V5" s="18" t="n">
        <v>11956275.68</v>
      </c>
      <c r="W5" s="18" t="n">
        <v>11299361.32</v>
      </c>
      <c r="X5" s="18" t="n">
        <v>12293516.19</v>
      </c>
      <c r="Y5" s="18" t="n">
        <v>14980009.48</v>
      </c>
      <c r="Z5" s="37" t="n">
        <v>14980009.48</v>
      </c>
      <c r="AA5" s="18" t="n">
        <v>16185174.68</v>
      </c>
      <c r="AB5" s="19" t="n">
        <v>17952609.4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2137391.42</v>
      </c>
      <c r="F6" s="37" t="n">
        <v>2137391.42</v>
      </c>
      <c r="G6" s="18" t="n">
        <v>1778545.24</v>
      </c>
      <c r="H6" s="18" t="n">
        <v>1647639.88</v>
      </c>
      <c r="I6" s="18" t="n">
        <v>1514079.75</v>
      </c>
      <c r="J6" s="18" t="n">
        <v>744148.12</v>
      </c>
      <c r="K6" s="37" t="n">
        <v>744148.12</v>
      </c>
      <c r="L6" s="18" t="n">
        <v>844743.65</v>
      </c>
      <c r="M6" s="18" t="n">
        <v>763327.15</v>
      </c>
      <c r="N6" s="18" t="n">
        <v>1014008.43</v>
      </c>
      <c r="O6" s="18" t="n">
        <v>928043.11</v>
      </c>
      <c r="P6" s="37" t="n">
        <v>928043.11</v>
      </c>
      <c r="Q6" s="18" t="n">
        <v>728591.78</v>
      </c>
      <c r="R6" s="18" t="n">
        <v>770024.38</v>
      </c>
      <c r="S6" s="18" t="n">
        <v>268526.5</v>
      </c>
      <c r="T6" s="18" t="n">
        <v>1257867.15</v>
      </c>
      <c r="U6" s="37" t="n">
        <v>1257867.15</v>
      </c>
      <c r="V6" s="18" t="n">
        <v>2736801.91</v>
      </c>
      <c r="W6" s="18" t="n">
        <v>2354964.64</v>
      </c>
      <c r="X6" s="18" t="n">
        <v>2355097.88</v>
      </c>
      <c r="Y6" s="18" t="n">
        <v>1869917.7</v>
      </c>
      <c r="Z6" s="37" t="n">
        <v>1869917.7</v>
      </c>
      <c r="AA6" s="18" t="n">
        <v>2975455.83</v>
      </c>
      <c r="AB6" s="19" t="n">
        <v>4550913.23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151000</v>
      </c>
      <c r="F7" s="37" t="n">
        <v>151000</v>
      </c>
      <c r="G7" s="18" t="n">
        <v>151000</v>
      </c>
      <c r="H7" s="18" t="n">
        <v>181017.42</v>
      </c>
      <c r="I7" s="18" t="n">
        <v>151026.42</v>
      </c>
      <c r="J7" s="18" t="n">
        <v>161000</v>
      </c>
      <c r="K7" s="37" t="n">
        <v>161000</v>
      </c>
      <c r="L7" s="18" t="n">
        <v>161000</v>
      </c>
      <c r="M7" s="18" t="n">
        <v>131000</v>
      </c>
      <c r="N7" s="18" t="n">
        <v>131000</v>
      </c>
      <c r="O7" s="18" t="n">
        <v>131000</v>
      </c>
      <c r="P7" s="37" t="n">
        <v>131000</v>
      </c>
      <c r="Q7" s="18" t="n">
        <v>131000.01</v>
      </c>
      <c r="R7" s="18" t="n">
        <v>131000</v>
      </c>
      <c r="S7" s="18" t="n">
        <v>131000</v>
      </c>
      <c r="T7" s="18" t="n">
        <v>131000</v>
      </c>
      <c r="U7" s="37" t="n">
        <v>131000</v>
      </c>
      <c r="V7" s="18" t="n">
        <v>131000</v>
      </c>
      <c r="W7" s="18" t="n">
        <v>481000</v>
      </c>
      <c r="X7" s="18" t="n">
        <v>1671000</v>
      </c>
      <c r="Y7" s="18" t="n">
        <v>1702500</v>
      </c>
      <c r="Z7" s="37" t="n">
        <v>1702500</v>
      </c>
      <c r="AA7" s="18" t="n">
        <v>1284000</v>
      </c>
      <c r="AB7" s="19" t="n">
        <v>922000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259137.32</v>
      </c>
      <c r="F8" s="37" t="n">
        <v>259137.32</v>
      </c>
      <c r="G8" s="18" t="n">
        <v>314512.06</v>
      </c>
      <c r="H8" s="18" t="n">
        <v>548823.98</v>
      </c>
      <c r="I8" s="18" t="n">
        <v>974210.98</v>
      </c>
      <c r="J8" s="18" t="n">
        <v>485992.28</v>
      </c>
      <c r="K8" s="37" t="n">
        <v>485992.28</v>
      </c>
      <c r="L8" s="18" t="n">
        <v>547844.55</v>
      </c>
      <c r="M8" s="18" t="n">
        <v>526571.39</v>
      </c>
      <c r="N8" s="18" t="n">
        <v>608327.41</v>
      </c>
      <c r="O8" s="18" t="n">
        <v>432686.75</v>
      </c>
      <c r="P8" s="37" t="n">
        <v>432686.75</v>
      </c>
      <c r="Q8" s="18" t="n">
        <v>559683.45</v>
      </c>
      <c r="R8" s="18" t="n">
        <v>673414.52</v>
      </c>
      <c r="S8" s="18" t="n">
        <v>462191.31</v>
      </c>
      <c r="T8" s="18" t="n">
        <v>954876.65</v>
      </c>
      <c r="U8" s="37" t="n">
        <v>954876.65</v>
      </c>
      <c r="V8" s="18" t="n">
        <v>804978.33</v>
      </c>
      <c r="W8" s="18" t="n">
        <v>771947.75</v>
      </c>
      <c r="X8" s="18" t="n">
        <v>2012261.35</v>
      </c>
      <c r="Y8" s="18" t="n">
        <v>2211181.15</v>
      </c>
      <c r="Z8" s="37" t="n">
        <v>2211181.15</v>
      </c>
      <c r="AA8" s="18" t="n">
        <v>2212931.52</v>
      </c>
      <c r="AB8" s="19" t="n">
        <v>2031825.84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1032431.19</v>
      </c>
      <c r="F9" s="37" t="n">
        <v>1032431.19</v>
      </c>
      <c r="G9" s="18" t="n">
        <v>873375.34</v>
      </c>
      <c r="H9" s="18" t="n">
        <v>1534385.57</v>
      </c>
      <c r="I9" s="18" t="n">
        <v>1091182.41</v>
      </c>
      <c r="J9" s="18" t="n">
        <v>1135986.61</v>
      </c>
      <c r="K9" s="37" t="n">
        <v>1135986.61</v>
      </c>
      <c r="L9" s="18" t="n">
        <v>1416503.23</v>
      </c>
      <c r="M9" s="18" t="n">
        <v>1391656.7</v>
      </c>
      <c r="N9" s="18" t="n">
        <v>1409062.31</v>
      </c>
      <c r="O9" s="18" t="n">
        <v>1386425.05</v>
      </c>
      <c r="P9" s="37" t="n">
        <v>1386425.05</v>
      </c>
      <c r="Q9" s="18" t="n">
        <v>1380041</v>
      </c>
      <c r="R9" s="18" t="n">
        <v>1552926.92</v>
      </c>
      <c r="S9" s="18" t="n">
        <v>1583631.55</v>
      </c>
      <c r="T9" s="18" t="n">
        <v>1659562.96</v>
      </c>
      <c r="U9" s="37" t="n">
        <v>1659562.96</v>
      </c>
      <c r="V9" s="18" t="n">
        <v>1872571.45</v>
      </c>
      <c r="W9" s="18" t="n">
        <v>1713157.52</v>
      </c>
      <c r="X9" s="18" t="n">
        <v>1702043.83</v>
      </c>
      <c r="Y9" s="18" t="n">
        <v>1713176.55</v>
      </c>
      <c r="Z9" s="37" t="n">
        <v>1713176.55</v>
      </c>
      <c r="AA9" s="18" t="n">
        <v>1629663.12</v>
      </c>
      <c r="AB9" s="19" t="n">
        <v>1773669.66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2836711.44</v>
      </c>
      <c r="F10" s="37" t="n">
        <v>2836711.44</v>
      </c>
      <c r="G10" s="18" t="n">
        <v>3073532.58</v>
      </c>
      <c r="H10" s="18" t="n">
        <v>2863561.32</v>
      </c>
      <c r="I10" s="18" t="n">
        <v>3254217.37</v>
      </c>
      <c r="J10" s="18" t="n">
        <v>3180079.66</v>
      </c>
      <c r="K10" s="37" t="n">
        <v>3180079.66</v>
      </c>
      <c r="L10" s="18" t="n">
        <v>3232105.68</v>
      </c>
      <c r="M10" s="18" t="n">
        <v>3494267.75</v>
      </c>
      <c r="N10" s="18" t="n">
        <v>3647358.59</v>
      </c>
      <c r="O10" s="18" t="n">
        <v>3458668.85</v>
      </c>
      <c r="P10" s="37" t="n">
        <v>3458668.85</v>
      </c>
      <c r="Q10" s="18" t="n">
        <v>3515123.44</v>
      </c>
      <c r="R10" s="18" t="n">
        <v>3396530.98</v>
      </c>
      <c r="S10" s="18" t="n">
        <v>3397567.12</v>
      </c>
      <c r="T10" s="18" t="n">
        <v>3573015.73</v>
      </c>
      <c r="U10" s="37" t="n">
        <v>3573015.73</v>
      </c>
      <c r="V10" s="18" t="n">
        <v>3273711.07</v>
      </c>
      <c r="W10" s="18" t="n">
        <v>3118247.47</v>
      </c>
      <c r="X10" s="18" t="n">
        <v>2988952.83</v>
      </c>
      <c r="Y10" s="18" t="n">
        <v>5131962.92</v>
      </c>
      <c r="Z10" s="37" t="n">
        <v>5131962.92</v>
      </c>
      <c r="AA10" s="18" t="n">
        <v>5344888.01</v>
      </c>
      <c r="AB10" s="19" t="n">
        <v>5656017.11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898666.74</v>
      </c>
      <c r="F11" s="37" t="n">
        <v>898666.74</v>
      </c>
      <c r="G11" s="18" t="n">
        <v>955114.3199999999</v>
      </c>
      <c r="H11" s="18" t="n">
        <v>1011856.17</v>
      </c>
      <c r="I11" s="18" t="n">
        <v>1289281.18</v>
      </c>
      <c r="J11" s="18" t="n">
        <v>1377137.5</v>
      </c>
      <c r="K11" s="37" t="n">
        <v>1377137.5</v>
      </c>
      <c r="L11" s="18" t="n">
        <v>1453476.15</v>
      </c>
      <c r="M11" s="18" t="n">
        <v>1433760.16</v>
      </c>
      <c r="N11" s="18" t="n">
        <v>1433016.42</v>
      </c>
      <c r="O11" s="18" t="n">
        <v>1309807.34</v>
      </c>
      <c r="P11" s="37" t="n">
        <v>1309807.34</v>
      </c>
      <c r="Q11" s="18" t="n">
        <v>1517713.43</v>
      </c>
      <c r="R11" s="18" t="n">
        <v>1447893.49</v>
      </c>
      <c r="S11" s="18" t="n">
        <v>1544622.2</v>
      </c>
      <c r="T11" s="18" t="n">
        <v>1510905.57</v>
      </c>
      <c r="U11" s="37" t="n">
        <v>1510905.57</v>
      </c>
      <c r="V11" s="18" t="n">
        <v>1662745.5</v>
      </c>
      <c r="W11" s="18" t="n">
        <v>1711077.66</v>
      </c>
      <c r="X11" s="18" t="n">
        <v>1764922.79</v>
      </c>
      <c r="Y11" s="18" t="n">
        <v>2016750.85</v>
      </c>
      <c r="Z11" s="37" t="n">
        <v>2016750.85</v>
      </c>
      <c r="AA11" s="18" t="n">
        <v>1981798.22</v>
      </c>
      <c r="AB11" s="19" t="n">
        <v>2020764.5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유동파생상품자산</t>
        </is>
      </c>
      <c r="E12" s="18" t="n">
        <v>11368.27</v>
      </c>
      <c r="F12" s="37" t="n">
        <v>11368.27</v>
      </c>
      <c r="G12" s="18" t="n">
        <v>39634.66</v>
      </c>
      <c r="H12" s="18" t="n">
        <v>69702.84</v>
      </c>
      <c r="I12" s="18" t="n">
        <v>131045.43</v>
      </c>
      <c r="J12" s="18" t="n">
        <v>106450.66</v>
      </c>
      <c r="K12" s="37" t="n">
        <v>106450.66</v>
      </c>
      <c r="L12" s="18" t="n">
        <v>102084.18</v>
      </c>
      <c r="M12" s="18" t="n">
        <v>104796.3</v>
      </c>
      <c r="N12" s="18" t="n">
        <v>99587.14999999999</v>
      </c>
      <c r="O12" s="18" t="n">
        <v>104488.45</v>
      </c>
      <c r="P12" s="37" t="n">
        <v>104488.45</v>
      </c>
      <c r="Q12" s="18" t="n">
        <v>24628.9</v>
      </c>
      <c r="R12" s="18" t="n">
        <v>3770.28</v>
      </c>
      <c r="S12" s="18" t="n">
        <v>72075.84</v>
      </c>
      <c r="T12" s="18" t="n">
        <v>927.29</v>
      </c>
      <c r="U12" s="37" t="n">
        <v>927.29</v>
      </c>
      <c r="V12" s="18" t="n">
        <v>2644.75</v>
      </c>
      <c r="W12" s="18" t="n">
        <v>66289.10000000001</v>
      </c>
      <c r="X12" s="18" t="n">
        <v>11211.79</v>
      </c>
      <c r="Y12" s="18" t="n">
        <v>8611.82</v>
      </c>
      <c r="Z12" s="37" t="n">
        <v>8611.82</v>
      </c>
      <c r="AA12" s="18" t="n">
        <v>88344.33</v>
      </c>
      <c r="AB12" s="19" t="n">
        <v>99217.49000000001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유동확정계약자산</t>
        </is>
      </c>
      <c r="E13" s="18" t="n">
        <v>96769.05</v>
      </c>
      <c r="F13" s="37" t="n">
        <v>96769.05</v>
      </c>
      <c r="G13" s="18" t="n">
        <v>123877.4</v>
      </c>
      <c r="H13" s="18" t="n">
        <v>298103.72</v>
      </c>
      <c r="I13" s="18" t="n">
        <v>692139.13</v>
      </c>
      <c r="J13" s="18" t="n">
        <v>218541.62</v>
      </c>
      <c r="K13" s="37" t="n">
        <v>218541.62</v>
      </c>
      <c r="L13" s="18" t="n">
        <v>284760.37</v>
      </c>
      <c r="M13" s="18" t="n">
        <v>290775.09</v>
      </c>
      <c r="N13" s="18" t="n">
        <v>377740.26</v>
      </c>
      <c r="O13" s="18" t="n">
        <v>197198.3</v>
      </c>
      <c r="P13" s="37" t="n">
        <v>197198.3</v>
      </c>
      <c r="Q13" s="18" t="n">
        <v>404054.54</v>
      </c>
      <c r="R13" s="18" t="n">
        <v>538644.24</v>
      </c>
      <c r="S13" s="18" t="n">
        <v>259115.47</v>
      </c>
      <c r="T13" s="18" t="n">
        <v>822949.36</v>
      </c>
      <c r="U13" s="37" t="n">
        <v>822949.36</v>
      </c>
      <c r="V13" s="18" t="n">
        <v>671333.58</v>
      </c>
      <c r="W13" s="18" t="n">
        <v>224658.65</v>
      </c>
      <c r="X13" s="18" t="n">
        <v>330049.56</v>
      </c>
      <c r="Y13" s="18" t="n">
        <v>500069.33</v>
      </c>
      <c r="Z13" s="37" t="n">
        <v>500069.33</v>
      </c>
      <c r="AA13" s="18" t="n">
        <v>840587.1899999999</v>
      </c>
      <c r="AB13" s="19" t="n">
        <v>1010608.35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당기법인세자산(선급법인세)</t>
        </is>
      </c>
      <c r="E14" s="18" t="n">
        <v>2447.05</v>
      </c>
      <c r="F14" s="37" t="n">
        <v>2447.05</v>
      </c>
      <c r="G14" s="18" t="n">
        <v>3543.2</v>
      </c>
      <c r="H14" s="18" t="n">
        <v>2225.52</v>
      </c>
      <c r="I14" s="18" t="n">
        <v>3567.84</v>
      </c>
      <c r="J14" s="18" t="n">
        <v>5192.93</v>
      </c>
      <c r="K14" s="37" t="n">
        <v>5192.93</v>
      </c>
      <c r="L14" s="18" t="n">
        <v>6561.62</v>
      </c>
      <c r="M14" s="18" t="n">
        <v>2724.72</v>
      </c>
      <c r="N14" s="18" t="n">
        <v>3872.75</v>
      </c>
      <c r="O14" s="18" t="n">
        <v>5481.78</v>
      </c>
      <c r="P14" s="37" t="n">
        <v>5481.78</v>
      </c>
      <c r="Q14" s="18" t="n">
        <v>7337.46</v>
      </c>
      <c r="R14" s="18" t="n">
        <v>140.7</v>
      </c>
      <c r="S14" s="18" t="n">
        <v>66.70999999999999</v>
      </c>
      <c r="T14" s="18" t="n">
        <v>45.45</v>
      </c>
      <c r="U14" s="37" t="n">
        <v>45.45</v>
      </c>
      <c r="V14" s="18" t="n">
        <v>71.56</v>
      </c>
      <c r="W14" s="18" t="n">
        <v>0</v>
      </c>
      <c r="X14" s="18" t="n">
        <v>0</v>
      </c>
      <c r="Y14" s="18" t="n">
        <v>0</v>
      </c>
      <c r="Z14" s="37" t="n">
        <v>0</v>
      </c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매각예정비유동자산및처분자산</t>
        </is>
      </c>
      <c r="E15" s="18" t="n">
        <v>4719.32</v>
      </c>
      <c r="F15" s="37" t="n">
        <v>4719.32</v>
      </c>
      <c r="K15" s="9" t="n"/>
      <c r="O15" s="18" t="n">
        <v>0</v>
      </c>
      <c r="P15" s="37" t="n">
        <v>0</v>
      </c>
      <c r="U15" s="9" t="n"/>
      <c r="Z15" s="9" t="n"/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기타유동자산</t>
        </is>
      </c>
      <c r="E16" s="18" t="n">
        <v>714560.46</v>
      </c>
      <c r="F16" s="37" t="n">
        <v>714560.46</v>
      </c>
      <c r="G16" s="18" t="n">
        <v>732746.95</v>
      </c>
      <c r="H16" s="18" t="n">
        <v>763225.7</v>
      </c>
      <c r="I16" s="18" t="n">
        <v>882972.75</v>
      </c>
      <c r="J16" s="18" t="n">
        <v>1072328.83</v>
      </c>
      <c r="K16" s="37" t="n">
        <v>1072328.83</v>
      </c>
      <c r="L16" s="18" t="n">
        <v>1143687.98</v>
      </c>
      <c r="M16" s="18" t="n">
        <v>1288689.06</v>
      </c>
      <c r="N16" s="18" t="n">
        <v>1343468.27</v>
      </c>
      <c r="O16" s="18" t="n">
        <v>1278571.25</v>
      </c>
      <c r="P16" s="37" t="n">
        <v>1278571.25</v>
      </c>
      <c r="Q16" s="18" t="n">
        <v>1275883.13</v>
      </c>
      <c r="R16" s="18" t="n">
        <v>1244893.72</v>
      </c>
      <c r="S16" s="18" t="n">
        <v>1248983.16</v>
      </c>
      <c r="T16" s="18" t="n">
        <v>1446848.37</v>
      </c>
      <c r="U16" s="37" t="n">
        <v>1446848.37</v>
      </c>
      <c r="V16" s="18" t="n">
        <v>1605395.86</v>
      </c>
      <c r="W16" s="18" t="n">
        <v>1629966.28</v>
      </c>
      <c r="X16" s="18" t="n">
        <v>1470237.51</v>
      </c>
      <c r="Y16" s="18" t="n">
        <v>2037020.31</v>
      </c>
      <c r="Z16" s="37" t="n">
        <v>2037020.31</v>
      </c>
      <c r="AA16" s="18" t="n">
        <v>2040437.98</v>
      </c>
      <c r="AB16" s="19" t="n">
        <v>1919419.07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비유동자산</t>
        </is>
      </c>
      <c r="E17" s="18" t="n">
        <v>7192606.56</v>
      </c>
      <c r="F17" s="37" t="n">
        <v>7192606.56</v>
      </c>
      <c r="G17" s="18" t="n">
        <v>7326280.15</v>
      </c>
      <c r="H17" s="18" t="n">
        <v>7853155.56</v>
      </c>
      <c r="I17" s="18" t="n">
        <v>8860497.630000001</v>
      </c>
      <c r="J17" s="18" t="n">
        <v>8288532.12</v>
      </c>
      <c r="K17" s="37" t="n">
        <v>8288532.12</v>
      </c>
      <c r="L17" s="18" t="n">
        <v>8338649.25</v>
      </c>
      <c r="M17" s="18" t="n">
        <v>8340330.33</v>
      </c>
      <c r="N17" s="18" t="n">
        <v>8493865.57</v>
      </c>
      <c r="O17" s="18" t="n">
        <v>8333933.99</v>
      </c>
      <c r="P17" s="37" t="n">
        <v>8333933.99</v>
      </c>
      <c r="Q17" s="18" t="n">
        <v>8442535.16</v>
      </c>
      <c r="R17" s="18" t="n">
        <v>8612612.73</v>
      </c>
      <c r="S17" s="18" t="n">
        <v>8350275.5</v>
      </c>
      <c r="T17" s="18" t="n">
        <v>8987824.869999999</v>
      </c>
      <c r="U17" s="37" t="n">
        <v>8987824.869999999</v>
      </c>
      <c r="V17" s="18" t="n">
        <v>8948270.42</v>
      </c>
      <c r="W17" s="18" t="n">
        <v>8442078.15</v>
      </c>
      <c r="X17" s="18" t="n">
        <v>8500096.609999999</v>
      </c>
      <c r="Y17" s="18" t="n">
        <v>11183035.06</v>
      </c>
      <c r="Z17" s="37" t="n">
        <v>11183035.06</v>
      </c>
      <c r="AA17" s="18" t="n">
        <v>11392012.68</v>
      </c>
      <c r="AB17" s="19" t="n">
        <v>11419496.13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2789.84</v>
      </c>
      <c r="F18" s="37" t="n">
        <v>2789.84</v>
      </c>
      <c r="G18" s="18" t="n">
        <v>2691.61</v>
      </c>
      <c r="H18" s="18" t="n">
        <v>2502.7</v>
      </c>
      <c r="I18" s="18" t="n">
        <v>2374.96</v>
      </c>
      <c r="J18" s="18" t="n">
        <v>1345.76</v>
      </c>
      <c r="K18" s="37" t="n">
        <v>1345.76</v>
      </c>
      <c r="L18" s="18" t="n">
        <v>1245.92</v>
      </c>
      <c r="M18" s="18" t="n">
        <v>1144.92</v>
      </c>
      <c r="N18" s="18" t="n">
        <v>1057.93</v>
      </c>
      <c r="O18" s="18" t="n">
        <v>1331.63</v>
      </c>
      <c r="P18" s="37" t="n">
        <v>1331.63</v>
      </c>
      <c r="Q18" s="18" t="n">
        <v>1191.87</v>
      </c>
      <c r="R18" s="18" t="n">
        <v>1061.4</v>
      </c>
      <c r="S18" s="18" t="n">
        <v>933.23</v>
      </c>
      <c r="T18" s="18" t="n">
        <v>1132.87</v>
      </c>
      <c r="U18" s="37" t="n">
        <v>1132.87</v>
      </c>
      <c r="V18" s="18" t="n">
        <v>1030.49</v>
      </c>
      <c r="W18" s="18" t="n">
        <v>936.91</v>
      </c>
      <c r="X18" s="18" t="n">
        <v>0</v>
      </c>
      <c r="Y18" s="18" t="n">
        <v>305260.99</v>
      </c>
      <c r="Z18" s="37" t="n">
        <v>305260.99</v>
      </c>
      <c r="AA18" s="18" t="n">
        <v>322053.8</v>
      </c>
      <c r="AB18" s="19" t="n">
        <v>328762.4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201161.17</v>
      </c>
      <c r="F19" s="37" t="n">
        <v>201161.17</v>
      </c>
      <c r="G19" s="18" t="n">
        <v>199975.28</v>
      </c>
      <c r="H19" s="18" t="n">
        <v>604415.13</v>
      </c>
      <c r="I19" s="18" t="n">
        <v>1474644.82</v>
      </c>
      <c r="J19" s="18" t="n">
        <v>494994.5</v>
      </c>
      <c r="K19" s="37" t="n">
        <v>494994.5</v>
      </c>
      <c r="L19" s="18" t="n">
        <v>469291.6</v>
      </c>
      <c r="M19" s="18" t="n">
        <v>399784.34</v>
      </c>
      <c r="N19" s="18" t="n">
        <v>483788.98</v>
      </c>
      <c r="O19" s="18" t="n">
        <v>308240.49</v>
      </c>
      <c r="P19" s="37" t="n">
        <v>308240.49</v>
      </c>
      <c r="Q19" s="18" t="n">
        <v>392144.48</v>
      </c>
      <c r="R19" s="18" t="n">
        <v>556170.77</v>
      </c>
      <c r="S19" s="18" t="n">
        <v>274295.41</v>
      </c>
      <c r="T19" s="18" t="n">
        <v>1070170.83</v>
      </c>
      <c r="U19" s="37" t="n">
        <v>1070170.83</v>
      </c>
      <c r="V19" s="18" t="n">
        <v>1070020.3</v>
      </c>
      <c r="W19" s="18" t="n">
        <v>438371.68</v>
      </c>
      <c r="X19" s="18" t="n">
        <v>590583</v>
      </c>
      <c r="Y19" s="18" t="n">
        <v>1214175.2</v>
      </c>
      <c r="Z19" s="37" t="n">
        <v>1214175.2</v>
      </c>
      <c r="AA19" s="18" t="n">
        <v>1691578.7</v>
      </c>
      <c r="AB19" s="19" t="n">
        <v>1722652.14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장기금융자산</t>
        </is>
      </c>
      <c r="E20" s="18" t="n">
        <v>9560.27</v>
      </c>
      <c r="F20" s="37" t="n">
        <v>9560.27</v>
      </c>
      <c r="G20" s="18" t="n">
        <v>9560.27</v>
      </c>
      <c r="H20" s="18" t="n">
        <v>9554.27</v>
      </c>
      <c r="I20" s="18" t="n">
        <v>9554.27</v>
      </c>
      <c r="J20" s="18" t="n">
        <v>9554.27</v>
      </c>
      <c r="K20" s="37" t="n">
        <v>9554.27</v>
      </c>
      <c r="L20" s="18" t="n">
        <v>9554.27</v>
      </c>
      <c r="M20" s="18" t="n">
        <v>10554.27</v>
      </c>
      <c r="N20" s="18" t="n">
        <v>10554.27</v>
      </c>
      <c r="O20" s="18" t="n">
        <v>10562.23</v>
      </c>
      <c r="P20" s="37" t="n">
        <v>10562.23</v>
      </c>
      <c r="Q20" s="18" t="n">
        <v>10562.23</v>
      </c>
      <c r="R20" s="18" t="n">
        <v>10562.23</v>
      </c>
      <c r="S20" s="18" t="n">
        <v>10562.23</v>
      </c>
      <c r="T20" s="18" t="n">
        <v>10562.23</v>
      </c>
      <c r="U20" s="37" t="n">
        <v>10562.23</v>
      </c>
      <c r="V20" s="18" t="n">
        <v>10562.23</v>
      </c>
      <c r="W20" s="18" t="n">
        <v>10562.23</v>
      </c>
      <c r="X20" s="18" t="n">
        <v>10562.23</v>
      </c>
      <c r="Y20" s="18" t="n">
        <v>25480.06</v>
      </c>
      <c r="Z20" s="37" t="n">
        <v>25480.06</v>
      </c>
      <c r="AA20" s="18" t="n">
        <v>25494.18</v>
      </c>
      <c r="AB20" s="19" t="n">
        <v>25509.37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장기매출채권및기타채권</t>
        </is>
      </c>
      <c r="E21" s="18" t="n">
        <v>38942.19</v>
      </c>
      <c r="F21" s="37" t="n">
        <v>38942.19</v>
      </c>
      <c r="G21" s="18" t="n">
        <v>47787.87</v>
      </c>
      <c r="H21" s="18" t="n">
        <v>97432.14999999999</v>
      </c>
      <c r="I21" s="18" t="n">
        <v>168877.73</v>
      </c>
      <c r="J21" s="18" t="n">
        <v>176766.79</v>
      </c>
      <c r="K21" s="37" t="n">
        <v>176766.79</v>
      </c>
      <c r="L21" s="18" t="n">
        <v>205534.06</v>
      </c>
      <c r="M21" s="18" t="n">
        <v>199004.31</v>
      </c>
      <c r="N21" s="18" t="n">
        <v>216154.11</v>
      </c>
      <c r="O21" s="18" t="n">
        <v>168216.13</v>
      </c>
      <c r="P21" s="37" t="n">
        <v>168216.13</v>
      </c>
      <c r="Q21" s="18" t="n">
        <v>176985.59</v>
      </c>
      <c r="R21" s="18" t="n">
        <v>161036.32</v>
      </c>
      <c r="S21" s="18" t="n">
        <v>137038.47</v>
      </c>
      <c r="T21" s="18" t="n">
        <v>125839.47</v>
      </c>
      <c r="U21" s="37" t="n">
        <v>125839.47</v>
      </c>
      <c r="V21" s="18" t="n">
        <v>100074.38</v>
      </c>
      <c r="W21" s="18" t="n">
        <v>89806.83</v>
      </c>
      <c r="X21" s="18" t="n">
        <v>83283.23</v>
      </c>
      <c r="Y21" s="18" t="n">
        <v>92825.89</v>
      </c>
      <c r="Z21" s="37" t="n">
        <v>92825.89</v>
      </c>
      <c r="AA21" s="18" t="n">
        <v>91716.34</v>
      </c>
      <c r="AB21" s="19" t="n">
        <v>94035.67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투자부동산</t>
        </is>
      </c>
      <c r="E22" s="18" t="n">
        <v>4108.68</v>
      </c>
      <c r="F22" s="37" t="n">
        <v>4108.68</v>
      </c>
      <c r="G22" s="18" t="n">
        <v>1486.97</v>
      </c>
      <c r="H22" s="18" t="n">
        <v>1477.15</v>
      </c>
      <c r="I22" s="18" t="n">
        <v>1467.33</v>
      </c>
      <c r="J22" s="18" t="n">
        <v>1457.52</v>
      </c>
      <c r="K22" s="37" t="n">
        <v>1457.52</v>
      </c>
      <c r="L22" s="18" t="n">
        <v>1447.7</v>
      </c>
      <c r="M22" s="18" t="n">
        <v>1437.88</v>
      </c>
      <c r="N22" s="18" t="n">
        <v>1428.07</v>
      </c>
      <c r="O22" s="18" t="n">
        <v>1418.25</v>
      </c>
      <c r="P22" s="37" t="n">
        <v>1418.25</v>
      </c>
      <c r="Q22" s="18" t="n">
        <v>1408.43</v>
      </c>
      <c r="R22" s="18" t="n">
        <v>1398.61</v>
      </c>
      <c r="S22" s="18" t="n">
        <v>1388.8</v>
      </c>
      <c r="T22" s="18" t="n">
        <v>1378.98</v>
      </c>
      <c r="U22" s="37" t="n">
        <v>1378.98</v>
      </c>
      <c r="V22" s="18" t="n">
        <v>1369.16</v>
      </c>
      <c r="W22" s="18" t="n">
        <v>1359.35</v>
      </c>
      <c r="X22" s="18" t="n">
        <v>1349.53</v>
      </c>
      <c r="Y22" s="18" t="n">
        <v>1339.71</v>
      </c>
      <c r="Z22" s="37" t="n">
        <v>1339.71</v>
      </c>
      <c r="AA22" s="18" t="n">
        <v>1329.89</v>
      </c>
      <c r="AB22" s="19" t="n">
        <v>1320.08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유형자산</t>
        </is>
      </c>
      <c r="E23" s="18" t="n">
        <v>5986254.76</v>
      </c>
      <c r="F23" s="37" t="n">
        <v>5986254.76</v>
      </c>
      <c r="G23" s="18" t="n">
        <v>6034621.15</v>
      </c>
      <c r="H23" s="18" t="n">
        <v>6063618.41</v>
      </c>
      <c r="I23" s="18" t="n">
        <v>6155308.86</v>
      </c>
      <c r="J23" s="18" t="n">
        <v>6237402.57</v>
      </c>
      <c r="K23" s="37" t="n">
        <v>6237402.57</v>
      </c>
      <c r="L23" s="18" t="n">
        <v>6285258.81</v>
      </c>
      <c r="M23" s="18" t="n">
        <v>6345666.09</v>
      </c>
      <c r="N23" s="18" t="n">
        <v>6402169.25</v>
      </c>
      <c r="O23" s="18" t="n">
        <v>6452067.65</v>
      </c>
      <c r="P23" s="37" t="n">
        <v>6452067.65</v>
      </c>
      <c r="Q23" s="18" t="n">
        <v>6476802.91</v>
      </c>
      <c r="R23" s="18" t="n">
        <v>6519937.56</v>
      </c>
      <c r="S23" s="18" t="n">
        <v>6566633.28</v>
      </c>
      <c r="T23" s="18" t="n">
        <v>6609789</v>
      </c>
      <c r="U23" s="37" t="n">
        <v>6609789</v>
      </c>
      <c r="V23" s="18" t="n">
        <v>6709772.41</v>
      </c>
      <c r="W23" s="18" t="n">
        <v>6969670.57</v>
      </c>
      <c r="X23" s="18" t="n">
        <v>7020680.74</v>
      </c>
      <c r="Y23" s="18" t="n">
        <v>8780697.060000001</v>
      </c>
      <c r="Z23" s="37" t="n">
        <v>8780697.060000001</v>
      </c>
      <c r="AA23" s="18" t="n">
        <v>8778998.390000001</v>
      </c>
      <c r="AB23" s="19" t="n">
        <v>8853605.539999999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무형자산</t>
        </is>
      </c>
      <c r="E24" s="18" t="n">
        <v>79457.82000000001</v>
      </c>
      <c r="F24" s="37" t="n">
        <v>79457.82000000001</v>
      </c>
      <c r="G24" s="18" t="n">
        <v>80867.62</v>
      </c>
      <c r="H24" s="18" t="n">
        <v>82648.44</v>
      </c>
      <c r="I24" s="18" t="n">
        <v>89452.56</v>
      </c>
      <c r="J24" s="18" t="n">
        <v>100465.28</v>
      </c>
      <c r="K24" s="37" t="n">
        <v>100465.28</v>
      </c>
      <c r="L24" s="18" t="n">
        <v>104102.2</v>
      </c>
      <c r="M24" s="18" t="n">
        <v>107161.67</v>
      </c>
      <c r="N24" s="18" t="n">
        <v>111859.43</v>
      </c>
      <c r="O24" s="18" t="n">
        <v>108419.95</v>
      </c>
      <c r="P24" s="37" t="n">
        <v>108419.95</v>
      </c>
      <c r="Q24" s="18" t="n">
        <v>111949.57</v>
      </c>
      <c r="R24" s="18" t="n">
        <v>115445.26</v>
      </c>
      <c r="S24" s="18" t="n">
        <v>118152.46</v>
      </c>
      <c r="T24" s="18" t="n">
        <v>128126.18</v>
      </c>
      <c r="U24" s="37" t="n">
        <v>128126.18</v>
      </c>
      <c r="V24" s="18" t="n">
        <v>127920.59</v>
      </c>
      <c r="W24" s="18" t="n">
        <v>133293.01</v>
      </c>
      <c r="X24" s="18" t="n">
        <v>127612.81</v>
      </c>
      <c r="Y24" s="18" t="n">
        <v>161134.67</v>
      </c>
      <c r="Z24" s="37" t="n">
        <v>161134.67</v>
      </c>
      <c r="AA24" s="18" t="n">
        <v>160918.55</v>
      </c>
      <c r="AB24" s="19" t="n">
        <v>161245.31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사용권자산</t>
        </is>
      </c>
      <c r="E25" s="18" t="n">
        <v>17906.01</v>
      </c>
      <c r="F25" s="37" t="n">
        <v>17906.01</v>
      </c>
      <c r="G25" s="18" t="n">
        <v>21299.24</v>
      </c>
      <c r="H25" s="18" t="n">
        <v>22944.07</v>
      </c>
      <c r="I25" s="18" t="n">
        <v>22153.53</v>
      </c>
      <c r="J25" s="18" t="n">
        <v>43390.37</v>
      </c>
      <c r="K25" s="37" t="n">
        <v>43390.37</v>
      </c>
      <c r="L25" s="18" t="n">
        <v>41511.66</v>
      </c>
      <c r="M25" s="18" t="n">
        <v>41047.61</v>
      </c>
      <c r="N25" s="18" t="n">
        <v>38281.29</v>
      </c>
      <c r="O25" s="18" t="n">
        <v>37417.51</v>
      </c>
      <c r="P25" s="37" t="n">
        <v>37417.51</v>
      </c>
      <c r="Q25" s="18" t="n">
        <v>37699.22</v>
      </c>
      <c r="R25" s="18" t="n">
        <v>35477.32</v>
      </c>
      <c r="S25" s="18" t="n">
        <v>33064.2</v>
      </c>
      <c r="T25" s="18" t="n">
        <v>31509.95</v>
      </c>
      <c r="U25" s="37" t="n">
        <v>31509.95</v>
      </c>
      <c r="V25" s="18" t="n">
        <v>28723.11</v>
      </c>
      <c r="W25" s="18" t="n">
        <v>25667.03</v>
      </c>
      <c r="X25" s="18" t="n">
        <v>25221.9</v>
      </c>
      <c r="Y25" s="18" t="n">
        <v>34922.12</v>
      </c>
      <c r="Z25" s="37" t="n">
        <v>34922.12</v>
      </c>
      <c r="AA25" s="18" t="n">
        <v>36259.92</v>
      </c>
      <c r="AB25" s="19" t="n">
        <v>32815.06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기타비유동자산</t>
        </is>
      </c>
      <c r="E26" s="18" t="n">
        <v>45026.2</v>
      </c>
      <c r="F26" s="37" t="n">
        <v>45026.2</v>
      </c>
      <c r="G26" s="18" t="n">
        <v>73425.53999999999</v>
      </c>
      <c r="H26" s="18" t="n">
        <v>89183.99000000001</v>
      </c>
      <c r="I26" s="18" t="n">
        <v>76374</v>
      </c>
      <c r="J26" s="18" t="n">
        <v>383826.18</v>
      </c>
      <c r="K26" s="37" t="n">
        <v>383826.18</v>
      </c>
      <c r="L26" s="18" t="n">
        <v>371677.17</v>
      </c>
      <c r="M26" s="18" t="n">
        <v>392593.78</v>
      </c>
      <c r="N26" s="18" t="n">
        <v>380910.02</v>
      </c>
      <c r="O26" s="18" t="n">
        <v>372204.41</v>
      </c>
      <c r="P26" s="37" t="n">
        <v>372204.41</v>
      </c>
      <c r="Q26" s="18" t="n">
        <v>360369.53</v>
      </c>
      <c r="R26" s="18" t="n">
        <v>378525.06</v>
      </c>
      <c r="S26" s="18" t="n">
        <v>377579.69</v>
      </c>
      <c r="T26" s="18" t="n">
        <v>243632.3</v>
      </c>
      <c r="U26" s="37" t="n">
        <v>243632.3</v>
      </c>
      <c r="V26" s="18" t="n">
        <v>206745.12</v>
      </c>
      <c r="W26" s="18" t="n">
        <v>185502.49</v>
      </c>
      <c r="X26" s="18" t="n">
        <v>166110.41</v>
      </c>
      <c r="Y26" s="18" t="n">
        <v>461064.31</v>
      </c>
      <c r="Z26" s="37" t="n">
        <v>461064.31</v>
      </c>
      <c r="AA26" s="18" t="n">
        <v>441039.99</v>
      </c>
      <c r="AB26" s="19" t="n">
        <v>414643.67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비유동파생상품자산</t>
        </is>
      </c>
      <c r="E27" s="18" t="n">
        <v>43123.04</v>
      </c>
      <c r="F27" s="37" t="n">
        <v>43123.04</v>
      </c>
      <c r="G27" s="18" t="n">
        <v>59450.95</v>
      </c>
      <c r="H27" s="18" t="n">
        <v>89605.37</v>
      </c>
      <c r="I27" s="18" t="n">
        <v>168106.53</v>
      </c>
      <c r="J27" s="18" t="n">
        <v>293924.05</v>
      </c>
      <c r="K27" s="37" t="n">
        <v>293924.05</v>
      </c>
      <c r="L27" s="18" t="n">
        <v>138341.71</v>
      </c>
      <c r="M27" s="18" t="n">
        <v>158160.86</v>
      </c>
      <c r="N27" s="18" t="n">
        <v>100114.82</v>
      </c>
      <c r="O27" s="18" t="n">
        <v>191895.22</v>
      </c>
      <c r="P27" s="37" t="n">
        <v>191895.22</v>
      </c>
      <c r="Q27" s="18" t="n">
        <v>74200.08</v>
      </c>
      <c r="R27" s="18" t="n">
        <v>52575.75</v>
      </c>
      <c r="S27" s="18" t="n">
        <v>103871.68</v>
      </c>
      <c r="T27" s="18" t="n">
        <v>64055.7</v>
      </c>
      <c r="U27" s="37" t="n">
        <v>64055.7</v>
      </c>
      <c r="V27" s="18" t="n">
        <v>66259.55</v>
      </c>
      <c r="W27" s="18" t="n">
        <v>216190.71</v>
      </c>
      <c r="X27" s="18" t="n">
        <v>90721.64</v>
      </c>
      <c r="Y27" s="18" t="n">
        <v>81469.69</v>
      </c>
      <c r="Z27" s="37" t="n">
        <v>81469.69</v>
      </c>
      <c r="AA27" s="18" t="n">
        <v>2366.41</v>
      </c>
      <c r="AB27" s="19" t="n">
        <v>7453.98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비유동확정계약자산</t>
        </is>
      </c>
      <c r="E28" s="18" t="n">
        <v>145688.02</v>
      </c>
      <c r="F28" s="37" t="n">
        <v>145688.02</v>
      </c>
      <c r="G28" s="18" t="n">
        <v>128272.45</v>
      </c>
      <c r="H28" s="18" t="n">
        <v>502752.79</v>
      </c>
      <c r="I28" s="18" t="n">
        <v>1294609.06</v>
      </c>
      <c r="J28" s="18" t="n">
        <v>190170.42</v>
      </c>
      <c r="K28" s="37" t="n">
        <v>190170.42</v>
      </c>
      <c r="L28" s="18" t="n">
        <v>320149.7</v>
      </c>
      <c r="M28" s="18" t="n">
        <v>229924.29</v>
      </c>
      <c r="N28" s="18" t="n">
        <v>372061.96</v>
      </c>
      <c r="O28" s="18" t="n">
        <v>104451.41</v>
      </c>
      <c r="P28" s="37" t="n">
        <v>104451.41</v>
      </c>
      <c r="Q28" s="18" t="n">
        <v>306190.3</v>
      </c>
      <c r="R28" s="18" t="n">
        <v>491971.39</v>
      </c>
      <c r="S28" s="18" t="n">
        <v>158928.27</v>
      </c>
      <c r="T28" s="18" t="n">
        <v>994420.03</v>
      </c>
      <c r="U28" s="37" t="n">
        <v>994420.03</v>
      </c>
      <c r="V28" s="18" t="n">
        <v>992168.03</v>
      </c>
      <c r="W28" s="18" t="n">
        <v>210681.83</v>
      </c>
      <c r="X28" s="18" t="n">
        <v>489299.13</v>
      </c>
      <c r="Y28" s="18" t="n">
        <v>801964.46</v>
      </c>
      <c r="Z28" s="37" t="n">
        <v>801964.46</v>
      </c>
      <c r="AA28" s="18" t="n">
        <v>1341664.31</v>
      </c>
      <c r="AB28" s="19" t="n">
        <v>1360926.39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이연법인세자산</t>
        </is>
      </c>
      <c r="E29" s="18" t="n">
        <v>837655.73</v>
      </c>
      <c r="F29" s="37" t="n">
        <v>837655.73</v>
      </c>
      <c r="G29" s="18" t="n">
        <v>888115.73</v>
      </c>
      <c r="H29" s="18" t="n">
        <v>914380.29</v>
      </c>
      <c r="I29" s="18" t="n">
        <v>894372.3199999999</v>
      </c>
      <c r="J29" s="18" t="n">
        <v>893619.3</v>
      </c>
      <c r="K29" s="37" t="n">
        <v>893619.3</v>
      </c>
      <c r="L29" s="18" t="n">
        <v>901337.7</v>
      </c>
      <c r="M29" s="18" t="n">
        <v>894682.25</v>
      </c>
      <c r="N29" s="18" t="n">
        <v>897555.71</v>
      </c>
      <c r="O29" s="18" t="n">
        <v>923367.12</v>
      </c>
      <c r="P29" s="37" t="n">
        <v>923367.12</v>
      </c>
      <c r="Q29" s="18" t="n">
        <v>922874.65</v>
      </c>
      <c r="R29" s="18" t="n">
        <v>880099.16</v>
      </c>
      <c r="S29" s="18" t="n">
        <v>875187.39</v>
      </c>
      <c r="T29" s="18" t="n">
        <v>808888.12</v>
      </c>
      <c r="U29" s="37" t="n">
        <v>808888.12</v>
      </c>
      <c r="V29" s="18" t="n">
        <v>732368.45</v>
      </c>
      <c r="W29" s="18" t="n">
        <v>624074.22</v>
      </c>
      <c r="X29" s="18" t="n">
        <v>510476.89</v>
      </c>
      <c r="Y29" s="18" t="n">
        <v>471798.23</v>
      </c>
      <c r="Z29" s="37" t="n">
        <v>471798.23</v>
      </c>
      <c r="AA29" s="18" t="n">
        <v>226430.81</v>
      </c>
      <c r="AB29" s="19" t="n">
        <v>171993.73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자산총계</t>
        </is>
      </c>
      <c r="E30" s="18" t="n">
        <v>15078671.49</v>
      </c>
      <c r="F30" s="37" t="n">
        <v>15078671.49</v>
      </c>
      <c r="G30" s="18" t="n">
        <v>15057649.84</v>
      </c>
      <c r="H30" s="18" t="n">
        <v>16224873.7</v>
      </c>
      <c r="I30" s="18" t="n">
        <v>17870009.9</v>
      </c>
      <c r="J30" s="18" t="n">
        <v>16289398.05</v>
      </c>
      <c r="K30" s="37" t="n">
        <v>16289398.05</v>
      </c>
      <c r="L30" s="18" t="n">
        <v>16983572.1</v>
      </c>
      <c r="M30" s="18" t="n">
        <v>17241327.26</v>
      </c>
      <c r="N30" s="18" t="n">
        <v>17952979.76</v>
      </c>
      <c r="O30" s="18" t="n">
        <v>17133618.11</v>
      </c>
      <c r="P30" s="37" t="n">
        <v>17133618.11</v>
      </c>
      <c r="Q30" s="18" t="n">
        <v>17426908.86</v>
      </c>
      <c r="R30" s="18" t="n">
        <v>17698437.43</v>
      </c>
      <c r="S30" s="18" t="n">
        <v>16855864.06</v>
      </c>
      <c r="T30" s="18" t="n">
        <v>19390946.75</v>
      </c>
      <c r="U30" s="37" t="n">
        <v>19390946.75</v>
      </c>
      <c r="V30" s="18" t="n">
        <v>20904546.09</v>
      </c>
      <c r="W30" s="18" t="n">
        <v>19741439.47</v>
      </c>
      <c r="X30" s="18" t="n">
        <v>20793612.8</v>
      </c>
      <c r="Y30" s="18" t="n">
        <v>26163044.54</v>
      </c>
      <c r="Z30" s="37" t="n">
        <v>26163044.54</v>
      </c>
      <c r="AA30" s="18" t="n">
        <v>27577187.36</v>
      </c>
      <c r="AB30" s="19" t="n">
        <v>29372105.53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유동부채</t>
        </is>
      </c>
      <c r="E31" s="18" t="n">
        <v>7048607.45</v>
      </c>
      <c r="F31" s="37" t="n">
        <v>7048607.45</v>
      </c>
      <c r="G31" s="18" t="n">
        <v>7486914.39</v>
      </c>
      <c r="H31" s="18" t="n">
        <v>8774412.539999999</v>
      </c>
      <c r="I31" s="18" t="n">
        <v>9495040.76</v>
      </c>
      <c r="J31" s="18" t="n">
        <v>9072004.189999999</v>
      </c>
      <c r="K31" s="37" t="n">
        <v>9072004.189999999</v>
      </c>
      <c r="L31" s="18" t="n">
        <v>9717761.779999999</v>
      </c>
      <c r="M31" s="18" t="n">
        <v>9446198.51</v>
      </c>
      <c r="N31" s="18" t="n">
        <v>10275937.33</v>
      </c>
      <c r="O31" s="18" t="n">
        <v>9945027.49</v>
      </c>
      <c r="P31" s="37" t="n">
        <v>9945027.49</v>
      </c>
      <c r="Q31" s="18" t="n">
        <v>10377045.11</v>
      </c>
      <c r="R31" s="18" t="n">
        <v>10459005.71</v>
      </c>
      <c r="S31" s="18" t="n">
        <v>10205261.17</v>
      </c>
      <c r="T31" s="18" t="n">
        <v>11796215.8</v>
      </c>
      <c r="U31" s="37" t="n">
        <v>11796215.8</v>
      </c>
      <c r="V31" s="18" t="n">
        <v>13269617.69</v>
      </c>
      <c r="W31" s="18" t="n">
        <v>12558575.61</v>
      </c>
      <c r="X31" s="18" t="n">
        <v>13168257.36</v>
      </c>
      <c r="Y31" s="18" t="n">
        <v>15332586.08</v>
      </c>
      <c r="Z31" s="37" t="n">
        <v>15332586.08</v>
      </c>
      <c r="AA31" s="18" t="n">
        <v>16334856.34</v>
      </c>
      <c r="AB31" s="19" t="n">
        <v>17277061.08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단기차입금</t>
        </is>
      </c>
      <c r="E32" s="18" t="n">
        <v>661538</v>
      </c>
      <c r="F32" s="37" t="n">
        <v>661538</v>
      </c>
      <c r="G32" s="18" t="n">
        <v>725935</v>
      </c>
      <c r="H32" s="18" t="n">
        <v>629653</v>
      </c>
      <c r="I32" s="18" t="n">
        <v>553107</v>
      </c>
      <c r="J32" s="18" t="n">
        <v>218465</v>
      </c>
      <c r="K32" s="37" t="n">
        <v>218465</v>
      </c>
      <c r="L32" s="18" t="n">
        <v>385321</v>
      </c>
      <c r="M32" s="18" t="n">
        <v>735192</v>
      </c>
      <c r="N32" s="18" t="n">
        <v>896017</v>
      </c>
      <c r="O32" s="18" t="n">
        <v>1560030.67</v>
      </c>
      <c r="P32" s="37" t="n">
        <v>1560030.67</v>
      </c>
      <c r="Q32" s="18" t="n">
        <v>1444122.44</v>
      </c>
      <c r="R32" s="18" t="n">
        <v>687243.41</v>
      </c>
      <c r="S32" s="18" t="n">
        <v>655904.62</v>
      </c>
      <c r="T32" s="18" t="n">
        <v>27640</v>
      </c>
      <c r="U32" s="37" t="n">
        <v>27640</v>
      </c>
      <c r="V32" s="18" t="n">
        <v>19184</v>
      </c>
      <c r="W32" s="18" t="n">
        <v>25102</v>
      </c>
      <c r="X32" s="18" t="n">
        <v>8000</v>
      </c>
      <c r="Y32" s="18" t="n">
        <v>156966.8</v>
      </c>
      <c r="Z32" s="37" t="n">
        <v>156966.8</v>
      </c>
      <c r="AA32" s="18" t="n">
        <v>4000</v>
      </c>
      <c r="AB32" s="19" t="n">
        <v>3000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유동리스부채</t>
        </is>
      </c>
      <c r="E33" s="18" t="n">
        <v>6052.1</v>
      </c>
      <c r="F33" s="37" t="n">
        <v>6052.1</v>
      </c>
      <c r="G33" s="18" t="n">
        <v>8383.440000000001</v>
      </c>
      <c r="H33" s="18" t="n">
        <v>8261.68</v>
      </c>
      <c r="I33" s="18" t="n">
        <v>7741.63</v>
      </c>
      <c r="J33" s="18" t="n">
        <v>13173.65</v>
      </c>
      <c r="K33" s="37" t="n">
        <v>13173.65</v>
      </c>
      <c r="L33" s="18" t="n">
        <v>13810.58</v>
      </c>
      <c r="M33" s="18" t="n">
        <v>13459.48</v>
      </c>
      <c r="N33" s="18" t="n">
        <v>12756.53</v>
      </c>
      <c r="O33" s="18" t="n">
        <v>12077.2</v>
      </c>
      <c r="P33" s="37" t="n">
        <v>12077.2</v>
      </c>
      <c r="Q33" s="18" t="n">
        <v>13438.8</v>
      </c>
      <c r="R33" s="18" t="n">
        <v>12797.16</v>
      </c>
      <c r="S33" s="18" t="n">
        <v>12460.62</v>
      </c>
      <c r="T33" s="18" t="n">
        <v>13192.17</v>
      </c>
      <c r="U33" s="37" t="n">
        <v>13192.17</v>
      </c>
      <c r="V33" s="18" t="n">
        <v>12996.89</v>
      </c>
      <c r="W33" s="18" t="n">
        <v>12154.09</v>
      </c>
      <c r="X33" s="18" t="n">
        <v>12640.64</v>
      </c>
      <c r="Y33" s="18" t="n">
        <v>16149.94</v>
      </c>
      <c r="Z33" s="37" t="n">
        <v>16149.94</v>
      </c>
      <c r="AA33" s="18" t="n">
        <v>17894.8</v>
      </c>
      <c r="AB33" s="19" t="n">
        <v>15474.01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리스부채</t>
        </is>
      </c>
      <c r="E34" s="18" t="n">
        <v>18798.27</v>
      </c>
      <c r="F34" s="37" t="n">
        <v>18798.27</v>
      </c>
      <c r="G34" s="18" t="n">
        <v>22656.07</v>
      </c>
      <c r="H34" s="18" t="n">
        <v>23970.65</v>
      </c>
      <c r="I34" s="18" t="n">
        <v>23861.68</v>
      </c>
      <c r="J34" s="18" t="n">
        <v>44451.13</v>
      </c>
      <c r="K34" s="37" t="n">
        <v>44451.13</v>
      </c>
      <c r="L34" s="18" t="n">
        <v>43378.48</v>
      </c>
      <c r="M34" s="18" t="n">
        <v>42060.67</v>
      </c>
      <c r="N34" s="18" t="n">
        <v>39347.47</v>
      </c>
      <c r="O34" s="18" t="n">
        <v>39086.56</v>
      </c>
      <c r="P34" s="37" t="n">
        <v>39086.56</v>
      </c>
      <c r="Q34" s="18" t="n">
        <v>39635.57</v>
      </c>
      <c r="R34" s="18" t="n">
        <v>36167.96</v>
      </c>
      <c r="S34" s="18" t="n">
        <v>33570.55</v>
      </c>
      <c r="T34" s="18" t="n">
        <v>33322.41</v>
      </c>
      <c r="U34" s="37" t="n">
        <v>33322.41</v>
      </c>
      <c r="V34" s="18" t="n">
        <v>30061.15</v>
      </c>
      <c r="W34" s="18" t="n">
        <v>25806.24</v>
      </c>
      <c r="X34" s="18" t="n">
        <v>25331.7</v>
      </c>
      <c r="Y34" s="18" t="n">
        <v>36743.75</v>
      </c>
      <c r="Z34" s="37" t="n">
        <v>36743.75</v>
      </c>
      <c r="AA34" s="18" t="n">
        <v>38333.83</v>
      </c>
      <c r="AB34" s="19" t="n">
        <v>34393.17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단기금융부채</t>
        </is>
      </c>
      <c r="E35" s="18" t="n">
        <v>160149.88</v>
      </c>
      <c r="F35" s="37" t="n">
        <v>160149.88</v>
      </c>
      <c r="G35" s="18" t="n">
        <v>221007.97</v>
      </c>
      <c r="H35" s="18" t="n">
        <v>451273.81</v>
      </c>
      <c r="I35" s="18" t="n">
        <v>977948.2</v>
      </c>
      <c r="J35" s="18" t="n">
        <v>387951.37</v>
      </c>
      <c r="K35" s="37" t="n">
        <v>387951.37</v>
      </c>
      <c r="L35" s="18" t="n">
        <v>463222.6</v>
      </c>
      <c r="M35" s="18" t="n">
        <v>493399.85</v>
      </c>
      <c r="N35" s="18" t="n">
        <v>593946.6</v>
      </c>
      <c r="O35" s="18" t="n">
        <v>368273.04</v>
      </c>
      <c r="P35" s="37" t="n">
        <v>368273.04</v>
      </c>
      <c r="Q35" s="18" t="n">
        <v>587376.37</v>
      </c>
      <c r="R35" s="18" t="n">
        <v>716883.5</v>
      </c>
      <c r="S35" s="18" t="n">
        <v>420550.32</v>
      </c>
      <c r="T35" s="18" t="n">
        <v>1114641.08</v>
      </c>
      <c r="U35" s="37" t="n">
        <v>1114641.08</v>
      </c>
      <c r="V35" s="18" t="n">
        <v>874290.74</v>
      </c>
      <c r="W35" s="18" t="n">
        <v>355693.78</v>
      </c>
      <c r="X35" s="18" t="n">
        <v>459757.86</v>
      </c>
      <c r="Y35" s="18" t="n">
        <v>700194.24</v>
      </c>
      <c r="Z35" s="37" t="n">
        <v>700194.24</v>
      </c>
      <c r="AA35" s="18" t="n">
        <v>1216731.81</v>
      </c>
      <c r="AB35" s="19" t="n">
        <v>1451807.7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매입채무및기타채무</t>
        </is>
      </c>
      <c r="E36" s="18" t="n">
        <v>1745928.95</v>
      </c>
      <c r="F36" s="37" t="n">
        <v>1745928.95</v>
      </c>
      <c r="G36" s="18" t="n">
        <v>1683830.73</v>
      </c>
      <c r="H36" s="18" t="n">
        <v>1646145.33</v>
      </c>
      <c r="I36" s="18" t="n">
        <v>1778423.28</v>
      </c>
      <c r="J36" s="18" t="n">
        <v>1573600.24</v>
      </c>
      <c r="K36" s="37" t="n">
        <v>1573600.24</v>
      </c>
      <c r="L36" s="18" t="n">
        <v>2048249.54</v>
      </c>
      <c r="M36" s="18" t="n">
        <v>1959883.69</v>
      </c>
      <c r="N36" s="18" t="n">
        <v>1873190.64</v>
      </c>
      <c r="O36" s="18" t="n">
        <v>2024927.96</v>
      </c>
      <c r="P36" s="37" t="n">
        <v>2024927.96</v>
      </c>
      <c r="Q36" s="18" t="n">
        <v>2089368.6</v>
      </c>
      <c r="R36" s="18" t="n">
        <v>2125587.47</v>
      </c>
      <c r="S36" s="18" t="n">
        <v>2162037.93</v>
      </c>
      <c r="T36" s="18" t="n">
        <v>2310897.49</v>
      </c>
      <c r="U36" s="37" t="n">
        <v>2310897.49</v>
      </c>
      <c r="V36" s="18" t="n">
        <v>2392256.42</v>
      </c>
      <c r="W36" s="18" t="n">
        <v>2248744.32</v>
      </c>
      <c r="X36" s="18" t="n">
        <v>2223546.29</v>
      </c>
      <c r="Y36" s="18" t="n">
        <v>3294779.52</v>
      </c>
      <c r="Z36" s="37" t="n">
        <v>3294779.52</v>
      </c>
      <c r="AA36" s="18" t="n">
        <v>3541524.6</v>
      </c>
      <c r="AB36" s="19" t="n">
        <v>3547797.37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계약부채</t>
        </is>
      </c>
      <c r="E37" s="18" t="n">
        <v>2607770.74</v>
      </c>
      <c r="F37" s="37" t="n">
        <v>2607770.74</v>
      </c>
      <c r="G37" s="18" t="n">
        <v>2777308.17</v>
      </c>
      <c r="H37" s="18" t="n">
        <v>3555167.76</v>
      </c>
      <c r="I37" s="18" t="n">
        <v>3728042.33</v>
      </c>
      <c r="J37" s="18" t="n">
        <v>4764892.82</v>
      </c>
      <c r="K37" s="37" t="n">
        <v>4764892.82</v>
      </c>
      <c r="L37" s="18" t="n">
        <v>5457920.06</v>
      </c>
      <c r="M37" s="18" t="n">
        <v>5439540.73</v>
      </c>
      <c r="N37" s="18" t="n">
        <v>5931686.3</v>
      </c>
      <c r="O37" s="18" t="n">
        <v>5811350.02</v>
      </c>
      <c r="P37" s="37" t="n">
        <v>5811350.02</v>
      </c>
      <c r="Q37" s="18" t="n">
        <v>6019828.2</v>
      </c>
      <c r="R37" s="18" t="n">
        <v>6661910.76</v>
      </c>
      <c r="S37" s="18" t="n">
        <v>6718545.66</v>
      </c>
      <c r="T37" s="18" t="n">
        <v>7710290.58</v>
      </c>
      <c r="U37" s="37" t="n">
        <v>7710290.58</v>
      </c>
      <c r="V37" s="18" t="n">
        <v>9316111.73</v>
      </c>
      <c r="W37" s="18" t="n">
        <v>9284458.369999999</v>
      </c>
      <c r="X37" s="18" t="n">
        <v>9911399.869999999</v>
      </c>
      <c r="Y37" s="18" t="n">
        <v>10807768.39</v>
      </c>
      <c r="Z37" s="37" t="n">
        <v>10807768.39</v>
      </c>
      <c r="AA37" s="18" t="n">
        <v>10568739.68</v>
      </c>
      <c r="AB37" s="19" t="n">
        <v>11084548.31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단기충당부채</t>
        </is>
      </c>
      <c r="E38" s="18" t="n">
        <v>1027990.06</v>
      </c>
      <c r="F38" s="37" t="n">
        <v>1027990.06</v>
      </c>
      <c r="G38" s="18" t="n">
        <v>1030205.79</v>
      </c>
      <c r="H38" s="18" t="n">
        <v>977388.6800000001</v>
      </c>
      <c r="I38" s="18" t="n">
        <v>880266.1899999999</v>
      </c>
      <c r="J38" s="18" t="n">
        <v>900927.59</v>
      </c>
      <c r="K38" s="37" t="n">
        <v>900927.59</v>
      </c>
      <c r="L38" s="18" t="n">
        <v>219595.39</v>
      </c>
      <c r="M38" s="18" t="n">
        <v>151714.93</v>
      </c>
      <c r="N38" s="18" t="n">
        <v>136045.81</v>
      </c>
      <c r="O38" s="18" t="n">
        <v>180445.8</v>
      </c>
      <c r="P38" s="37" t="n">
        <v>180445.8</v>
      </c>
      <c r="Q38" s="18" t="n">
        <v>236344.54</v>
      </c>
      <c r="R38" s="18" t="n">
        <v>267073.39</v>
      </c>
      <c r="S38" s="18" t="n">
        <v>238391.09</v>
      </c>
      <c r="T38" s="18" t="n">
        <v>247337.77</v>
      </c>
      <c r="U38" s="37" t="n">
        <v>247337.77</v>
      </c>
      <c r="V38" s="18" t="n">
        <v>256530.1</v>
      </c>
      <c r="W38" s="18" t="n">
        <v>281851.08</v>
      </c>
      <c r="X38" s="18" t="n">
        <v>280589.43</v>
      </c>
      <c r="Y38" s="18" t="n">
        <v>333747.01</v>
      </c>
      <c r="Z38" s="37" t="n">
        <v>333747.01</v>
      </c>
      <c r="AA38" s="18" t="n">
        <v>345286.84</v>
      </c>
      <c r="AB38" s="19" t="n">
        <v>355465.35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단기파생상품부채</t>
        </is>
      </c>
      <c r="E39" s="18" t="n">
        <v>154097.78</v>
      </c>
      <c r="F39" s="37" t="n">
        <v>154097.78</v>
      </c>
      <c r="G39" s="18" t="n">
        <v>212624.53</v>
      </c>
      <c r="H39" s="18" t="n">
        <v>443012.13</v>
      </c>
      <c r="I39" s="18" t="n">
        <v>970206.5699999999</v>
      </c>
      <c r="J39" s="18" t="n">
        <v>374777.72</v>
      </c>
      <c r="K39" s="37" t="n">
        <v>374777.72</v>
      </c>
      <c r="L39" s="18" t="n">
        <v>449412.02</v>
      </c>
      <c r="M39" s="18" t="n">
        <v>479940.37</v>
      </c>
      <c r="N39" s="18" t="n">
        <v>581190.0699999999</v>
      </c>
      <c r="O39" s="18" t="n">
        <v>356195.84</v>
      </c>
      <c r="P39" s="37" t="n">
        <v>356195.84</v>
      </c>
      <c r="Q39" s="18" t="n">
        <v>573937.5699999999</v>
      </c>
      <c r="R39" s="18" t="n">
        <v>704086.34</v>
      </c>
      <c r="S39" s="18" t="n">
        <v>408089.7</v>
      </c>
      <c r="T39" s="18" t="n">
        <v>1101448.91</v>
      </c>
      <c r="U39" s="37" t="n">
        <v>1101448.91</v>
      </c>
      <c r="V39" s="18" t="n">
        <v>861293.85</v>
      </c>
      <c r="W39" s="18" t="n">
        <v>343539.69</v>
      </c>
      <c r="X39" s="18" t="n">
        <v>447117.22</v>
      </c>
      <c r="Y39" s="18" t="n">
        <v>684044.3</v>
      </c>
      <c r="Z39" s="37" t="n">
        <v>684044.3</v>
      </c>
      <c r="AA39" s="18" t="n">
        <v>1198837.01</v>
      </c>
      <c r="AB39" s="19" t="n">
        <v>1436333.69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비유동부채</t>
        </is>
      </c>
      <c r="E40" s="18" t="n">
        <v>2436039.09</v>
      </c>
      <c r="F40" s="37" t="n">
        <v>2436039.09</v>
      </c>
      <c r="G40" s="18" t="n">
        <v>2119784.99</v>
      </c>
      <c r="H40" s="18" t="n">
        <v>2064664.66</v>
      </c>
      <c r="I40" s="18" t="n">
        <v>2936892.72</v>
      </c>
      <c r="J40" s="18" t="n">
        <v>1929574.38</v>
      </c>
      <c r="K40" s="37" t="n">
        <v>1929574.38</v>
      </c>
      <c r="L40" s="18" t="n">
        <v>2002224.45</v>
      </c>
      <c r="M40" s="18" t="n">
        <v>2506244.58</v>
      </c>
      <c r="N40" s="18" t="n">
        <v>2400876.85</v>
      </c>
      <c r="O40" s="18" t="n">
        <v>1981150.31</v>
      </c>
      <c r="P40" s="37" t="n">
        <v>1981150.31</v>
      </c>
      <c r="Q40" s="18" t="n">
        <v>1820248.69</v>
      </c>
      <c r="R40" s="18" t="n">
        <v>1857096.55</v>
      </c>
      <c r="S40" s="18" t="n">
        <v>1190233.2</v>
      </c>
      <c r="T40" s="18" t="n">
        <v>1890282.45</v>
      </c>
      <c r="U40" s="37" t="n">
        <v>1890282.45</v>
      </c>
      <c r="V40" s="18" t="n">
        <v>1828864.19</v>
      </c>
      <c r="W40" s="18" t="n">
        <v>1000139.31</v>
      </c>
      <c r="X40" s="18" t="n">
        <v>1160357.29</v>
      </c>
      <c r="Y40" s="18" t="n">
        <v>1488838.35</v>
      </c>
      <c r="Z40" s="37" t="n">
        <v>1488838.35</v>
      </c>
      <c r="AA40" s="18" t="n">
        <v>1529094</v>
      </c>
      <c r="AB40" s="19" t="n">
        <v>1552167.96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장기차입금</t>
        </is>
      </c>
      <c r="E41" s="18" t="n">
        <v>1422700</v>
      </c>
      <c r="F41" s="37" t="n">
        <v>1422700</v>
      </c>
      <c r="G41" s="18" t="n">
        <v>781350</v>
      </c>
      <c r="H41" s="18" t="n">
        <v>311613</v>
      </c>
      <c r="I41" s="18" t="n">
        <v>302480</v>
      </c>
      <c r="J41" s="18" t="n">
        <v>285730</v>
      </c>
      <c r="K41" s="37" t="n">
        <v>285730</v>
      </c>
      <c r="L41" s="18" t="n">
        <v>854570</v>
      </c>
      <c r="M41" s="18" t="n">
        <v>1155920</v>
      </c>
      <c r="N41" s="18" t="n">
        <v>959000</v>
      </c>
      <c r="O41" s="18" t="n">
        <v>1568942.82</v>
      </c>
      <c r="P41" s="37" t="n">
        <v>1568942.82</v>
      </c>
      <c r="Q41" s="18" t="n">
        <v>1335593.75</v>
      </c>
      <c r="R41" s="18" t="n">
        <v>1215680.26</v>
      </c>
      <c r="S41" s="18" t="n">
        <v>809134.1899999999</v>
      </c>
      <c r="T41" s="18" t="n">
        <v>751605.74</v>
      </c>
      <c r="U41" s="37" t="n">
        <v>751605.74</v>
      </c>
      <c r="V41" s="18" t="n">
        <v>685730.58</v>
      </c>
      <c r="W41" s="18" t="n">
        <v>464790.16</v>
      </c>
      <c r="X41" s="18" t="n">
        <v>478555.37</v>
      </c>
      <c r="Y41" s="18" t="n">
        <v>488384.39</v>
      </c>
      <c r="Z41" s="37" t="n">
        <v>488384.39</v>
      </c>
      <c r="AA41" s="18" t="n">
        <v>0</v>
      </c>
      <c r="AB41" s="19" t="n">
        <v>0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비유동리스부채</t>
        </is>
      </c>
      <c r="E42" s="18" t="n">
        <v>12746.17</v>
      </c>
      <c r="F42" s="37" t="n">
        <v>12746.17</v>
      </c>
      <c r="G42" s="18" t="n">
        <v>14272.63</v>
      </c>
      <c r="H42" s="18" t="n">
        <v>15708.97</v>
      </c>
      <c r="I42" s="18" t="n">
        <v>16120.05</v>
      </c>
      <c r="J42" s="18" t="n">
        <v>31277.48</v>
      </c>
      <c r="K42" s="37" t="n">
        <v>31277.48</v>
      </c>
      <c r="L42" s="18" t="n">
        <v>29567.9</v>
      </c>
      <c r="M42" s="18" t="n">
        <v>28601.19</v>
      </c>
      <c r="N42" s="18" t="n">
        <v>26590.94</v>
      </c>
      <c r="O42" s="18" t="n">
        <v>27009.36</v>
      </c>
      <c r="P42" s="37" t="n">
        <v>27009.36</v>
      </c>
      <c r="Q42" s="18" t="n">
        <v>26196.77</v>
      </c>
      <c r="R42" s="18" t="n">
        <v>23370.8</v>
      </c>
      <c r="S42" s="18" t="n">
        <v>21109.93</v>
      </c>
      <c r="T42" s="18" t="n">
        <v>20130.24</v>
      </c>
      <c r="U42" s="37" t="n">
        <v>20130.24</v>
      </c>
      <c r="V42" s="18" t="n">
        <v>17064.26</v>
      </c>
      <c r="W42" s="18" t="n">
        <v>13652.15</v>
      </c>
      <c r="X42" s="18" t="n">
        <v>12691.06</v>
      </c>
      <c r="Y42" s="18" t="n">
        <v>20593.81</v>
      </c>
      <c r="Z42" s="37" t="n">
        <v>20593.81</v>
      </c>
      <c r="AA42" s="18" t="n">
        <v>20439.03</v>
      </c>
      <c r="AB42" s="19" t="n">
        <v>18919.16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장기금융부채</t>
        </is>
      </c>
      <c r="E43" s="18" t="n">
        <v>163221.98</v>
      </c>
      <c r="F43" s="37" t="n">
        <v>163221.98</v>
      </c>
      <c r="G43" s="18" t="n">
        <v>169575.13</v>
      </c>
      <c r="H43" s="18" t="n">
        <v>526040.46</v>
      </c>
      <c r="I43" s="18" t="n">
        <v>1310729.11</v>
      </c>
      <c r="J43" s="18" t="n">
        <v>451407.02</v>
      </c>
      <c r="K43" s="37" t="n">
        <v>451407.02</v>
      </c>
      <c r="L43" s="18" t="n">
        <v>470853.59</v>
      </c>
      <c r="M43" s="18" t="n">
        <v>400464</v>
      </c>
      <c r="N43" s="18" t="n">
        <v>473892.22</v>
      </c>
      <c r="O43" s="18" t="n">
        <v>315039.59</v>
      </c>
      <c r="P43" s="37" t="n">
        <v>315039.59</v>
      </c>
      <c r="Q43" s="18" t="n">
        <v>382663.31</v>
      </c>
      <c r="R43" s="18" t="n">
        <v>529489.36</v>
      </c>
      <c r="S43" s="18" t="n">
        <v>259102.52</v>
      </c>
      <c r="T43" s="18" t="n">
        <v>1014637.26</v>
      </c>
      <c r="U43" s="37" t="n">
        <v>1014637.26</v>
      </c>
      <c r="V43" s="18" t="n">
        <v>1012318.5</v>
      </c>
      <c r="W43" s="18" t="n">
        <v>407508.69</v>
      </c>
      <c r="X43" s="18" t="n">
        <v>550271.7</v>
      </c>
      <c r="Y43" s="18" t="n">
        <v>852644.37</v>
      </c>
      <c r="Z43" s="37" t="n">
        <v>852644.37</v>
      </c>
      <c r="AA43" s="18" t="n">
        <v>1374536.46</v>
      </c>
      <c r="AB43" s="19" t="n">
        <v>1394360.71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장기매입채무및기타채무</t>
        </is>
      </c>
      <c r="E44" s="18" t="n">
        <v>248.8</v>
      </c>
      <c r="F44" s="37" t="n">
        <v>248.8</v>
      </c>
      <c r="G44" s="18" t="n">
        <v>249.68</v>
      </c>
      <c r="H44" s="18" t="n">
        <v>253.81</v>
      </c>
      <c r="I44" s="18" t="n">
        <v>329.61</v>
      </c>
      <c r="J44" s="18" t="n">
        <v>381</v>
      </c>
      <c r="K44" s="37" t="n">
        <v>381</v>
      </c>
      <c r="L44" s="18" t="n">
        <v>388.77</v>
      </c>
      <c r="M44" s="18" t="n">
        <v>583.75</v>
      </c>
      <c r="N44" s="18" t="n">
        <v>673.66</v>
      </c>
      <c r="O44" s="18" t="n">
        <v>3790.81</v>
      </c>
      <c r="P44" s="37" t="n">
        <v>3790.81</v>
      </c>
      <c r="Q44" s="18" t="n">
        <v>2967.37</v>
      </c>
      <c r="R44" s="18" t="n">
        <v>4170.42</v>
      </c>
      <c r="S44" s="18" t="n">
        <v>4974.65</v>
      </c>
      <c r="T44" s="18" t="n">
        <v>8909.030000000001</v>
      </c>
      <c r="U44" s="37" t="n">
        <v>8909.030000000001</v>
      </c>
      <c r="V44" s="18" t="n">
        <v>10280.47</v>
      </c>
      <c r="W44" s="18" t="n">
        <v>11424.25</v>
      </c>
      <c r="X44" s="18" t="n">
        <v>12674.93</v>
      </c>
      <c r="Y44" s="18" t="n">
        <v>16148.02</v>
      </c>
      <c r="Z44" s="37" t="n">
        <v>16148.02</v>
      </c>
      <c r="AA44" s="18" t="n">
        <v>18711.05</v>
      </c>
      <c r="AB44" s="19" t="n">
        <v>19959.74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확정급여부채</t>
        </is>
      </c>
      <c r="E45" s="18" t="n">
        <v>33198.09</v>
      </c>
      <c r="F45" s="37" t="n">
        <v>33198.09</v>
      </c>
      <c r="G45" s="18" t="n">
        <v>33198.09</v>
      </c>
      <c r="H45" s="18" t="n">
        <v>33198.09</v>
      </c>
      <c r="I45" s="18" t="n">
        <v>33198.09</v>
      </c>
      <c r="J45" s="18" t="n">
        <v>28462.25</v>
      </c>
      <c r="K45" s="37" t="n">
        <v>28462.25</v>
      </c>
      <c r="L45" s="18" t="n">
        <v>28471.37</v>
      </c>
      <c r="M45" s="18" t="n">
        <v>28491.73</v>
      </c>
      <c r="N45" s="18" t="n">
        <v>28514.73</v>
      </c>
      <c r="O45" s="18" t="n">
        <v>31630.73</v>
      </c>
      <c r="P45" s="37" t="n">
        <v>31630.73</v>
      </c>
      <c r="Q45" s="18" t="n">
        <v>31672.21</v>
      </c>
      <c r="R45" s="18" t="n">
        <v>31721.88</v>
      </c>
      <c r="S45" s="18" t="n">
        <v>31773.89</v>
      </c>
      <c r="T45" s="18" t="n">
        <v>33647.53</v>
      </c>
      <c r="U45" s="37" t="n">
        <v>33647.53</v>
      </c>
      <c r="V45" s="18" t="n">
        <v>26254.58</v>
      </c>
      <c r="W45" s="18" t="n">
        <v>26353.6</v>
      </c>
      <c r="X45" s="18" t="n">
        <v>26494.22</v>
      </c>
      <c r="Y45" s="18" t="n">
        <v>31153.15</v>
      </c>
      <c r="Z45" s="37" t="n">
        <v>31153.15</v>
      </c>
      <c r="AA45" s="18" t="n">
        <v>31153.15</v>
      </c>
      <c r="AB45" s="19" t="n">
        <v>31206.27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장기충당부채</t>
        </is>
      </c>
      <c r="E46" s="18" t="n">
        <v>269562.66</v>
      </c>
      <c r="F46" s="37" t="n">
        <v>269562.66</v>
      </c>
      <c r="G46" s="18" t="n">
        <v>279839.61</v>
      </c>
      <c r="H46" s="18" t="n">
        <v>296930.2</v>
      </c>
      <c r="I46" s="18" t="n">
        <v>322568.42</v>
      </c>
      <c r="J46" s="18" t="n">
        <v>279748.7</v>
      </c>
      <c r="K46" s="37" t="n">
        <v>279748.7</v>
      </c>
      <c r="L46" s="18" t="n">
        <v>246317.72</v>
      </c>
      <c r="M46" s="18" t="n">
        <v>267195.68</v>
      </c>
      <c r="N46" s="18" t="n">
        <v>275578.73</v>
      </c>
      <c r="O46" s="18" t="n">
        <v>51468.15</v>
      </c>
      <c r="P46" s="37" t="n">
        <v>51468.15</v>
      </c>
      <c r="Q46" s="18" t="n">
        <v>57144.46</v>
      </c>
      <c r="R46" s="18" t="n">
        <v>65897.66</v>
      </c>
      <c r="S46" s="18" t="n">
        <v>75181.58</v>
      </c>
      <c r="T46" s="18" t="n">
        <v>71487.14</v>
      </c>
      <c r="U46" s="37" t="n">
        <v>71487.14</v>
      </c>
      <c r="V46" s="18" t="n">
        <v>84357.35000000001</v>
      </c>
      <c r="W46" s="18" t="n">
        <v>80212.96000000001</v>
      </c>
      <c r="X46" s="18" t="n">
        <v>82584.45</v>
      </c>
      <c r="Y46" s="18" t="n">
        <v>90049.59</v>
      </c>
      <c r="Z46" s="37" t="n">
        <v>90049.59</v>
      </c>
      <c r="AA46" s="18" t="n">
        <v>94310.06</v>
      </c>
      <c r="AB46" s="19" t="n">
        <v>96333.50999999999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장기파생상품부채</t>
        </is>
      </c>
      <c r="E47" s="18" t="n">
        <v>150475.81</v>
      </c>
      <c r="F47" s="37" t="n">
        <v>150475.81</v>
      </c>
      <c r="G47" s="18" t="n">
        <v>155302.5</v>
      </c>
      <c r="H47" s="18" t="n">
        <v>510331.49</v>
      </c>
      <c r="I47" s="18" t="n">
        <v>1294609.06</v>
      </c>
      <c r="J47" s="18" t="n">
        <v>420129.54</v>
      </c>
      <c r="K47" s="37" t="n">
        <v>420129.54</v>
      </c>
      <c r="L47" s="18" t="n">
        <v>441285.69</v>
      </c>
      <c r="M47" s="18" t="n">
        <v>371862.81</v>
      </c>
      <c r="N47" s="18" t="n">
        <v>447301.28</v>
      </c>
      <c r="O47" s="18" t="n">
        <v>288030.23</v>
      </c>
      <c r="P47" s="37" t="n">
        <v>288030.23</v>
      </c>
      <c r="Q47" s="18" t="n">
        <v>356466.54</v>
      </c>
      <c r="R47" s="18" t="n">
        <v>506118.56</v>
      </c>
      <c r="S47" s="18" t="n">
        <v>237992.59</v>
      </c>
      <c r="T47" s="18" t="n">
        <v>994507.02</v>
      </c>
      <c r="U47" s="37" t="n">
        <v>994507.02</v>
      </c>
      <c r="V47" s="18" t="n">
        <v>995254.24</v>
      </c>
      <c r="W47" s="18" t="n">
        <v>393856.54</v>
      </c>
      <c r="X47" s="18" t="n">
        <v>537580.64</v>
      </c>
      <c r="Y47" s="18" t="n">
        <v>832050.5600000001</v>
      </c>
      <c r="Z47" s="37" t="n">
        <v>832050.5600000001</v>
      </c>
      <c r="AA47" s="18" t="n">
        <v>1354097.43</v>
      </c>
      <c r="AB47" s="19" t="n">
        <v>1375441.55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부채총계</t>
        </is>
      </c>
      <c r="E48" s="18" t="n">
        <v>9484646.539999999</v>
      </c>
      <c r="F48" s="37" t="n">
        <v>9484646.539999999</v>
      </c>
      <c r="G48" s="18" t="n">
        <v>9606699.380000001</v>
      </c>
      <c r="H48" s="18" t="n">
        <v>10839077.2</v>
      </c>
      <c r="I48" s="18" t="n">
        <v>12431933.48</v>
      </c>
      <c r="J48" s="18" t="n">
        <v>11001578.57</v>
      </c>
      <c r="K48" s="37" t="n">
        <v>11001578.57</v>
      </c>
      <c r="L48" s="18" t="n">
        <v>11719986.23</v>
      </c>
      <c r="M48" s="18" t="n">
        <v>11952443.09</v>
      </c>
      <c r="N48" s="18" t="n">
        <v>12676814.18</v>
      </c>
      <c r="O48" s="18" t="n">
        <v>11926177.8</v>
      </c>
      <c r="P48" s="37" t="n">
        <v>11926177.8</v>
      </c>
      <c r="Q48" s="18" t="n">
        <v>12197293.8</v>
      </c>
      <c r="R48" s="18" t="n">
        <v>12316102.26</v>
      </c>
      <c r="S48" s="18" t="n">
        <v>11395494.37</v>
      </c>
      <c r="T48" s="18" t="n">
        <v>13686498.25</v>
      </c>
      <c r="U48" s="37" t="n">
        <v>13686498.25</v>
      </c>
      <c r="V48" s="18" t="n">
        <v>15098481.88</v>
      </c>
      <c r="W48" s="18" t="n">
        <v>13558714.92</v>
      </c>
      <c r="X48" s="18" t="n">
        <v>14328614.65</v>
      </c>
      <c r="Y48" s="18" t="n">
        <v>16821424.44</v>
      </c>
      <c r="Z48" s="37" t="n">
        <v>16821424.44</v>
      </c>
      <c r="AA48" s="18" t="n">
        <v>17863950.34</v>
      </c>
      <c r="AB48" s="19" t="n">
        <v>18829229.04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자본금</t>
        </is>
      </c>
      <c r="E49" s="18" t="n">
        <v>443865.58</v>
      </c>
      <c r="F49" s="37" t="n">
        <v>443865.58</v>
      </c>
      <c r="G49" s="18" t="n">
        <v>443865.58</v>
      </c>
      <c r="H49" s="18" t="n">
        <v>443865.58</v>
      </c>
      <c r="I49" s="18" t="n">
        <v>443865.58</v>
      </c>
      <c r="J49" s="18" t="n">
        <v>443865.58</v>
      </c>
      <c r="K49" s="37" t="n">
        <v>443865.58</v>
      </c>
      <c r="L49" s="18" t="n">
        <v>443865.58</v>
      </c>
      <c r="M49" s="18" t="n">
        <v>443865.58</v>
      </c>
      <c r="N49" s="18" t="n">
        <v>443865.58</v>
      </c>
      <c r="O49" s="18" t="n">
        <v>443865.58</v>
      </c>
      <c r="P49" s="37" t="n">
        <v>443865.58</v>
      </c>
      <c r="Q49" s="18" t="n">
        <v>443865.58</v>
      </c>
      <c r="R49" s="18" t="n">
        <v>443865.58</v>
      </c>
      <c r="S49" s="18" t="n">
        <v>443865.58</v>
      </c>
      <c r="T49" s="18" t="n">
        <v>443865.58</v>
      </c>
      <c r="U49" s="37" t="n">
        <v>443865.58</v>
      </c>
      <c r="V49" s="18" t="n">
        <v>443865.58</v>
      </c>
      <c r="W49" s="18" t="n">
        <v>443865.58</v>
      </c>
      <c r="X49" s="18" t="n">
        <v>443865.58</v>
      </c>
      <c r="Y49" s="18" t="n">
        <v>524806.12</v>
      </c>
      <c r="Z49" s="37" t="n">
        <v>524806.12</v>
      </c>
      <c r="AA49" s="18" t="n">
        <v>524806.12</v>
      </c>
      <c r="AB49" s="19" t="n">
        <v>524806.12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자본잉여금</t>
        </is>
      </c>
      <c r="E50" s="18" t="n">
        <v>3118364.96</v>
      </c>
      <c r="F50" s="37" t="n">
        <v>3118364.96</v>
      </c>
      <c r="G50" s="18" t="n">
        <v>3118364.96</v>
      </c>
      <c r="H50" s="18" t="n">
        <v>3118364.96</v>
      </c>
      <c r="I50" s="18" t="n">
        <v>3118364.96</v>
      </c>
      <c r="J50" s="18" t="n">
        <v>3118364.96</v>
      </c>
      <c r="K50" s="37" t="n">
        <v>3118364.96</v>
      </c>
      <c r="L50" s="18" t="n">
        <v>3118364.96</v>
      </c>
      <c r="M50" s="18" t="n">
        <v>3123097.09</v>
      </c>
      <c r="N50" s="18" t="n">
        <v>3122805.17</v>
      </c>
      <c r="O50" s="18" t="n">
        <v>3123227.19</v>
      </c>
      <c r="P50" s="37" t="n">
        <v>3123227.19</v>
      </c>
      <c r="Q50" s="18" t="n">
        <v>3122522.7</v>
      </c>
      <c r="R50" s="18" t="n">
        <v>3122522.7</v>
      </c>
      <c r="S50" s="18" t="n">
        <v>3122522.7</v>
      </c>
      <c r="T50" s="18" t="n">
        <v>3122522.7</v>
      </c>
      <c r="U50" s="37" t="n">
        <v>3122522.7</v>
      </c>
      <c r="V50" s="18" t="n">
        <v>3122522.77</v>
      </c>
      <c r="W50" s="18" t="n">
        <v>3122522.77</v>
      </c>
      <c r="X50" s="18" t="n">
        <v>3122522.77</v>
      </c>
      <c r="Y50" s="18" t="n">
        <v>5129601.24</v>
      </c>
      <c r="Z50" s="37" t="n">
        <v>5129601.24</v>
      </c>
      <c r="AA50" s="18" t="n">
        <v>5129601.24</v>
      </c>
      <c r="AB50" s="19" t="n">
        <v>5129601.24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기타자본</t>
        </is>
      </c>
      <c r="E51" s="18" t="n">
        <v>-1411</v>
      </c>
      <c r="F51" s="37" t="n">
        <v>-1411</v>
      </c>
      <c r="G51" s="18" t="n">
        <v>-1642.93</v>
      </c>
      <c r="H51" s="18" t="n">
        <v>-1642.93</v>
      </c>
      <c r="I51" s="18" t="n">
        <v>-1642.93</v>
      </c>
      <c r="J51" s="18" t="n">
        <v>-1642.93</v>
      </c>
      <c r="K51" s="37" t="n">
        <v>-1642.93</v>
      </c>
      <c r="L51" s="18" t="n">
        <v>-1642.93</v>
      </c>
      <c r="M51" s="18" t="n">
        <v>-1642.93</v>
      </c>
      <c r="N51" s="18" t="n">
        <v>-1642.93</v>
      </c>
      <c r="O51" s="18" t="n">
        <v>-1642.93</v>
      </c>
      <c r="P51" s="37" t="n">
        <v>-1642.93</v>
      </c>
      <c r="Q51" s="18" t="n">
        <v>-1642.93</v>
      </c>
      <c r="R51" s="18" t="n">
        <v>-1642.93</v>
      </c>
      <c r="S51" s="18" t="n">
        <v>-1642.93</v>
      </c>
      <c r="T51" s="18" t="n">
        <v>-1642.93</v>
      </c>
      <c r="U51" s="37" t="n">
        <v>-1642.93</v>
      </c>
      <c r="V51" s="18" t="n">
        <v>-1642.93</v>
      </c>
      <c r="W51" s="18" t="n">
        <v>-1642.93</v>
      </c>
      <c r="X51" s="18" t="n">
        <v>-1642.93</v>
      </c>
      <c r="Y51" s="18" t="n">
        <v>-42928.72</v>
      </c>
      <c r="Z51" s="37" t="n">
        <v>-42928.72</v>
      </c>
      <c r="AA51" s="18" t="n">
        <v>-42928.72</v>
      </c>
      <c r="AB51" s="19" t="n">
        <v>-42928.72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기타포괄이익누계액</t>
        </is>
      </c>
      <c r="E52" s="18" t="n">
        <v>881487.62</v>
      </c>
      <c r="F52" s="37" t="n">
        <v>881487.62</v>
      </c>
      <c r="G52" s="18" t="n">
        <v>881507.22</v>
      </c>
      <c r="H52" s="18" t="n">
        <v>881866.16</v>
      </c>
      <c r="I52" s="18" t="n">
        <v>883762.8199999999</v>
      </c>
      <c r="J52" s="18" t="n">
        <v>881829.1</v>
      </c>
      <c r="K52" s="37" t="n">
        <v>881829.1</v>
      </c>
      <c r="L52" s="18" t="n">
        <v>877983.16</v>
      </c>
      <c r="M52" s="18" t="n">
        <v>874488.25</v>
      </c>
      <c r="N52" s="18" t="n">
        <v>871926.75</v>
      </c>
      <c r="O52" s="18" t="n">
        <v>869146.27</v>
      </c>
      <c r="P52" s="37" t="n">
        <v>869146.27</v>
      </c>
      <c r="Q52" s="18" t="n">
        <v>851704.15</v>
      </c>
      <c r="R52" s="18" t="n">
        <v>850314.48</v>
      </c>
      <c r="S52" s="18" t="n">
        <v>856150.95</v>
      </c>
      <c r="T52" s="18" t="n">
        <v>851361.41</v>
      </c>
      <c r="U52" s="37" t="n">
        <v>851361.41</v>
      </c>
      <c r="V52" s="18" t="n">
        <v>854282.64</v>
      </c>
      <c r="W52" s="18" t="n">
        <v>1020031.72</v>
      </c>
      <c r="X52" s="18" t="n">
        <v>1019854.75</v>
      </c>
      <c r="Y52" s="18" t="n">
        <v>1336277.09</v>
      </c>
      <c r="Z52" s="37" t="n">
        <v>1336277.09</v>
      </c>
      <c r="AA52" s="18" t="n">
        <v>1352752.33</v>
      </c>
      <c r="AB52" s="19" t="n">
        <v>1360248.69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이익잉여금</t>
        </is>
      </c>
      <c r="E53" s="18" t="n">
        <v>1151717.79</v>
      </c>
      <c r="F53" s="37" t="n">
        <v>1151717.79</v>
      </c>
      <c r="G53" s="18" t="n">
        <v>1008855.63</v>
      </c>
      <c r="H53" s="18" t="n">
        <v>943342.73</v>
      </c>
      <c r="I53" s="18" t="n">
        <v>993725.98</v>
      </c>
      <c r="J53" s="18" t="n">
        <v>845402.77</v>
      </c>
      <c r="K53" s="37" t="n">
        <v>845402.77</v>
      </c>
      <c r="L53" s="18" t="n">
        <v>824971.61</v>
      </c>
      <c r="M53" s="18" t="n">
        <v>849037.5699999999</v>
      </c>
      <c r="N53" s="18" t="n">
        <v>839210.38</v>
      </c>
      <c r="O53" s="18" t="n">
        <v>772843.97</v>
      </c>
      <c r="P53" s="37" t="n">
        <v>772843.97</v>
      </c>
      <c r="Q53" s="18" t="n">
        <v>813165.59</v>
      </c>
      <c r="R53" s="18" t="n">
        <v>967275.1</v>
      </c>
      <c r="S53" s="18" t="n">
        <v>1039472.84</v>
      </c>
      <c r="T53" s="18" t="n">
        <v>1288341.19</v>
      </c>
      <c r="U53" s="37" t="n">
        <v>1288341.19</v>
      </c>
      <c r="V53" s="18" t="n">
        <v>1387035.78</v>
      </c>
      <c r="W53" s="18" t="n">
        <v>1597947.08</v>
      </c>
      <c r="X53" s="18" t="n">
        <v>1880397.8</v>
      </c>
      <c r="Y53" s="18" t="n">
        <v>2393864.23</v>
      </c>
      <c r="Z53" s="37" t="n">
        <v>2393864.23</v>
      </c>
      <c r="AA53" s="18" t="n">
        <v>2749005.85</v>
      </c>
      <c r="AB53" s="19" t="n">
        <v>3571148.9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자본총계</t>
        </is>
      </c>
      <c r="E54" s="18" t="n">
        <v>5594024.95</v>
      </c>
      <c r="F54" s="37" t="n">
        <v>5594024.95</v>
      </c>
      <c r="G54" s="18" t="n">
        <v>5450950.46</v>
      </c>
      <c r="H54" s="18" t="n">
        <v>5385796.5</v>
      </c>
      <c r="I54" s="18" t="n">
        <v>5438076.42</v>
      </c>
      <c r="J54" s="18" t="n">
        <v>5287819.49</v>
      </c>
      <c r="K54" s="37" t="n">
        <v>5287819.49</v>
      </c>
      <c r="L54" s="18" t="n">
        <v>5263585.87</v>
      </c>
      <c r="M54" s="18" t="n">
        <v>5288884.17</v>
      </c>
      <c r="N54" s="18" t="n">
        <v>5276165.58</v>
      </c>
      <c r="O54" s="18" t="n">
        <v>5207440.31</v>
      </c>
      <c r="P54" s="37" t="n">
        <v>5207440.31</v>
      </c>
      <c r="Q54" s="18" t="n">
        <v>5229615.06</v>
      </c>
      <c r="R54" s="18" t="n">
        <v>5382335.17</v>
      </c>
      <c r="S54" s="18" t="n">
        <v>5460369.69</v>
      </c>
      <c r="T54" s="18" t="n">
        <v>5704448.5</v>
      </c>
      <c r="U54" s="37" t="n">
        <v>5704448.5</v>
      </c>
      <c r="V54" s="18" t="n">
        <v>5806064.22</v>
      </c>
      <c r="W54" s="18" t="n">
        <v>6182724.55</v>
      </c>
      <c r="X54" s="18" t="n">
        <v>6464998.15</v>
      </c>
      <c r="Y54" s="18" t="n">
        <v>9341620.1</v>
      </c>
      <c r="Z54" s="37" t="n">
        <v>9341620.1</v>
      </c>
      <c r="AA54" s="18" t="n">
        <v>9713237.01</v>
      </c>
      <c r="AB54" s="19" t="n">
        <v>10542876.49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부채와자본총계</t>
        </is>
      </c>
      <c r="E55" s="18" t="n">
        <v>15078671.49</v>
      </c>
      <c r="F55" s="37" t="n">
        <v>15078671.49</v>
      </c>
      <c r="G55" s="18" t="n">
        <v>15057649.84</v>
      </c>
      <c r="H55" s="18" t="n">
        <v>16224873.7</v>
      </c>
      <c r="I55" s="18" t="n">
        <v>17870009.9</v>
      </c>
      <c r="J55" s="18" t="n">
        <v>16289398.05</v>
      </c>
      <c r="K55" s="37" t="n">
        <v>16289398.05</v>
      </c>
      <c r="L55" s="18" t="n">
        <v>16983572.1</v>
      </c>
      <c r="M55" s="18" t="n">
        <v>17241327.26</v>
      </c>
      <c r="N55" s="18" t="n">
        <v>17952979.76</v>
      </c>
      <c r="O55" s="18" t="n">
        <v>17133618.11</v>
      </c>
      <c r="P55" s="37" t="n">
        <v>17133618.11</v>
      </c>
      <c r="Q55" s="18" t="n">
        <v>17426908.86</v>
      </c>
      <c r="R55" s="18" t="n">
        <v>17698437.43</v>
      </c>
      <c r="S55" s="18" t="n">
        <v>16855864.06</v>
      </c>
      <c r="T55" s="18" t="n">
        <v>19390946.75</v>
      </c>
      <c r="U55" s="37" t="n">
        <v>19390946.75</v>
      </c>
      <c r="V55" s="18" t="n">
        <v>20904546.09</v>
      </c>
      <c r="W55" s="18" t="n">
        <v>19741439.47</v>
      </c>
      <c r="X55" s="18" t="n">
        <v>20793612.8</v>
      </c>
      <c r="Y55" s="18" t="n">
        <v>26163044.54</v>
      </c>
      <c r="Z55" s="37" t="n">
        <v>26163044.54</v>
      </c>
      <c r="AA55" s="18" t="n">
        <v>27577187.36</v>
      </c>
      <c r="AB55" s="19" t="n">
        <v>29372105.53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지배주주지분</t>
        </is>
      </c>
      <c r="E56" s="18" t="n">
        <v>5594024.95</v>
      </c>
      <c r="F56" s="37" t="n">
        <v>5594024.95</v>
      </c>
      <c r="G56" s="18" t="n">
        <v>5450950.46</v>
      </c>
      <c r="H56" s="18" t="n">
        <v>5385796.5</v>
      </c>
      <c r="I56" s="18" t="n">
        <v>5438076.42</v>
      </c>
      <c r="J56" s="18" t="n">
        <v>5287819.49</v>
      </c>
      <c r="K56" s="37" t="n">
        <v>5287819.49</v>
      </c>
      <c r="L56" s="18" t="n">
        <v>5263542.38</v>
      </c>
      <c r="M56" s="18" t="n">
        <v>5288845.56</v>
      </c>
      <c r="N56" s="18" t="n">
        <v>5276164.95</v>
      </c>
      <c r="O56" s="18" t="n">
        <v>5207440.08</v>
      </c>
      <c r="P56" s="37" t="n">
        <v>5207440.08</v>
      </c>
      <c r="Q56" s="18" t="n">
        <v>5229615.09</v>
      </c>
      <c r="R56" s="18" t="n">
        <v>5382334.94</v>
      </c>
      <c r="S56" s="18" t="n">
        <v>5460369.14</v>
      </c>
      <c r="T56" s="18" t="n">
        <v>5704447.95</v>
      </c>
      <c r="U56" s="37" t="n">
        <v>5704447.95</v>
      </c>
      <c r="V56" s="18" t="n">
        <v>5806063.84</v>
      </c>
      <c r="W56" s="18" t="n">
        <v>6182724.22</v>
      </c>
      <c r="X56" s="18" t="n">
        <v>6464997.97</v>
      </c>
      <c r="Y56" s="18" t="n">
        <v>9341619.960000001</v>
      </c>
      <c r="Z56" s="37" t="n">
        <v>9341619.960000001</v>
      </c>
      <c r="AA56" s="18" t="n">
        <v>9713236.83</v>
      </c>
      <c r="AB56" s="19" t="n">
        <v>10542876.23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총차입금</t>
        </is>
      </c>
      <c r="E57" s="18" t="n">
        <v>3465760.14</v>
      </c>
      <c r="F57" s="37" t="n">
        <v>3465760.14</v>
      </c>
      <c r="G57" s="18" t="n">
        <v>3400734.73</v>
      </c>
      <c r="H57" s="18" t="n">
        <v>3341995.97</v>
      </c>
      <c r="I57" s="18" t="n">
        <v>3389810.75</v>
      </c>
      <c r="J57" s="18" t="n">
        <v>2603656.17</v>
      </c>
      <c r="K57" s="37" t="n">
        <v>2603656.17</v>
      </c>
      <c r="L57" s="18" t="n">
        <v>2774484.19</v>
      </c>
      <c r="M57" s="18" t="n">
        <v>3200739.81</v>
      </c>
      <c r="N57" s="18" t="n">
        <v>3352917.23</v>
      </c>
      <c r="O57" s="18" t="n">
        <v>3128973.49</v>
      </c>
      <c r="P57" s="37" t="n">
        <v>3128973.49</v>
      </c>
      <c r="Q57" s="18" t="n">
        <v>2779716.19</v>
      </c>
      <c r="R57" s="18" t="n">
        <v>1902923.67</v>
      </c>
      <c r="S57" s="18" t="n">
        <v>1465038.81</v>
      </c>
      <c r="T57" s="18" t="n">
        <v>1150859.05</v>
      </c>
      <c r="U57" s="37" t="n">
        <v>1150859.05</v>
      </c>
      <c r="V57" s="18" t="n">
        <v>1091581.45</v>
      </c>
      <c r="W57" s="18" t="n">
        <v>822657.25</v>
      </c>
      <c r="X57" s="18" t="n">
        <v>742453.91</v>
      </c>
      <c r="Y57" s="18" t="n">
        <v>645351.1899999999</v>
      </c>
      <c r="Z57" s="37" t="n">
        <v>645351.1899999999</v>
      </c>
      <c r="AA57" s="18" t="n">
        <v>603939.45</v>
      </c>
      <c r="AB57" s="19" t="n">
        <v>523403.57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순차입금</t>
        </is>
      </c>
      <c r="E58" s="18" t="n">
        <v>1069231.4</v>
      </c>
      <c r="F58" s="37" t="n">
        <v>1069231.4</v>
      </c>
      <c r="G58" s="18" t="n">
        <v>1307677.43</v>
      </c>
      <c r="H58" s="18" t="n">
        <v>1145532.11</v>
      </c>
      <c r="I58" s="18" t="n">
        <v>901520.02</v>
      </c>
      <c r="J58" s="18" t="n">
        <v>1373515.77</v>
      </c>
      <c r="K58" s="37" t="n">
        <v>1373515.77</v>
      </c>
      <c r="L58" s="18" t="n">
        <v>1381895.99</v>
      </c>
      <c r="M58" s="18" t="n">
        <v>1910841.27</v>
      </c>
      <c r="N58" s="18" t="n">
        <v>1730581.39</v>
      </c>
      <c r="O58" s="18" t="n">
        <v>1768243.63</v>
      </c>
      <c r="P58" s="37" t="n">
        <v>1768243.63</v>
      </c>
      <c r="Q58" s="18" t="n">
        <v>1491440.96</v>
      </c>
      <c r="R58" s="18" t="n">
        <v>459484.77</v>
      </c>
      <c r="S58" s="18" t="n">
        <v>734321</v>
      </c>
      <c r="T58" s="18" t="n">
        <v>-1061884.75</v>
      </c>
      <c r="U58" s="37" t="n">
        <v>-1061884.75</v>
      </c>
      <c r="V58" s="18" t="n">
        <v>-2450198.79</v>
      </c>
      <c r="W58" s="18" t="n">
        <v>-2304255.14</v>
      </c>
      <c r="X58" s="18" t="n">
        <v>-3624905.32</v>
      </c>
      <c r="Y58" s="18" t="n">
        <v>-3435747.66</v>
      </c>
      <c r="Z58" s="37" t="n">
        <v>-3435747.66</v>
      </c>
      <c r="AA58" s="18" t="n">
        <v>-4584447.9</v>
      </c>
      <c r="AB58" s="19" t="n">
        <v>-6059335.5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이자발생자산</t>
        </is>
      </c>
      <c r="E59" s="18" t="n">
        <v>2406089.01</v>
      </c>
      <c r="F59" s="37" t="n">
        <v>2406089.01</v>
      </c>
      <c r="G59" s="18" t="n">
        <v>2102617.57</v>
      </c>
      <c r="H59" s="18" t="n">
        <v>2206018.13</v>
      </c>
      <c r="I59" s="18" t="n">
        <v>2497845</v>
      </c>
      <c r="J59" s="18" t="n">
        <v>1239694.67</v>
      </c>
      <c r="K59" s="37" t="n">
        <v>1239694.67</v>
      </c>
      <c r="L59" s="18" t="n">
        <v>1402142.47</v>
      </c>
      <c r="M59" s="18" t="n">
        <v>1300452.81</v>
      </c>
      <c r="N59" s="18" t="n">
        <v>1632890.11</v>
      </c>
      <c r="O59" s="18" t="n">
        <v>1371292.09</v>
      </c>
      <c r="P59" s="37" t="n">
        <v>1371292.09</v>
      </c>
      <c r="Q59" s="18" t="n">
        <v>1298837.46</v>
      </c>
      <c r="R59" s="18" t="n">
        <v>1454001.13</v>
      </c>
      <c r="S59" s="18" t="n">
        <v>741280.04</v>
      </c>
      <c r="T59" s="18" t="n">
        <v>2223306.03</v>
      </c>
      <c r="U59" s="37" t="n">
        <v>2223306.03</v>
      </c>
      <c r="V59" s="18" t="n">
        <v>3552342.47</v>
      </c>
      <c r="W59" s="18" t="n">
        <v>3137474.62</v>
      </c>
      <c r="X59" s="18" t="n">
        <v>4377921.46</v>
      </c>
      <c r="Y59" s="18" t="n">
        <v>4106578.91</v>
      </c>
      <c r="Z59" s="37" t="n">
        <v>4106578.91</v>
      </c>
      <c r="AA59" s="18" t="n">
        <v>5213881.53</v>
      </c>
      <c r="AB59" s="19" t="n">
        <v>6608248.44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사채</t>
        </is>
      </c>
      <c r="E60" s="18" t="n">
        <v>536292.3100000001</v>
      </c>
      <c r="F60" s="37" t="n">
        <v>536292.3100000001</v>
      </c>
      <c r="G60" s="18" t="n">
        <v>844823</v>
      </c>
      <c r="H60" s="18" t="n">
        <v>885946</v>
      </c>
      <c r="I60" s="18" t="n">
        <v>956970</v>
      </c>
      <c r="J60" s="18" t="n">
        <v>873294</v>
      </c>
      <c r="K60" s="37" t="n">
        <v>873294</v>
      </c>
      <c r="L60" s="18" t="n">
        <v>391140</v>
      </c>
      <c r="M60" s="18" t="n">
        <v>643175</v>
      </c>
      <c r="N60" s="18" t="n">
        <v>652871</v>
      </c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유동성장기부채</t>
        </is>
      </c>
      <c r="E61" s="18" t="n">
        <v>845229.83</v>
      </c>
      <c r="F61" s="37" t="n">
        <v>845229.83</v>
      </c>
      <c r="G61" s="18" t="n">
        <v>1048626.73</v>
      </c>
      <c r="H61" s="18" t="n">
        <v>1514783.97</v>
      </c>
      <c r="I61" s="18" t="n">
        <v>1577253.75</v>
      </c>
      <c r="J61" s="18" t="n">
        <v>1226167.17</v>
      </c>
      <c r="K61" s="37" t="n">
        <v>1226167.17</v>
      </c>
      <c r="L61" s="18" t="n">
        <v>1143453.19</v>
      </c>
      <c r="M61" s="18" t="n">
        <v>666452.8100000001</v>
      </c>
      <c r="N61" s="18" t="n">
        <v>845029.23</v>
      </c>
      <c r="P61" s="9" t="n"/>
      <c r="T61" s="18" t="n">
        <v>371613.31</v>
      </c>
      <c r="U61" s="37" t="n">
        <v>371613.31</v>
      </c>
      <c r="V61" s="18" t="n">
        <v>386666.87</v>
      </c>
      <c r="W61" s="18" t="n">
        <v>332765.09</v>
      </c>
      <c r="X61" s="18" t="n">
        <v>255898.54</v>
      </c>
      <c r="Z61" s="9" t="n"/>
      <c r="AA61" s="18" t="n">
        <v>599939.45</v>
      </c>
      <c r="AB61" s="19" t="n">
        <v>520403.57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비지배주주지분</t>
        </is>
      </c>
      <c r="F62" s="9" t="n"/>
      <c r="K62" s="9" t="n"/>
      <c r="L62" s="18" t="n">
        <v>43.5</v>
      </c>
      <c r="M62" s="18" t="n">
        <v>38.62</v>
      </c>
      <c r="N62" s="18" t="n">
        <v>0.63</v>
      </c>
      <c r="O62" s="18" t="n">
        <v>0.23</v>
      </c>
      <c r="P62" s="37" t="n">
        <v>0.23</v>
      </c>
      <c r="Q62" s="18" t="n">
        <v>-0.03</v>
      </c>
      <c r="R62" s="18" t="n">
        <v>0.24</v>
      </c>
      <c r="S62" s="18" t="n">
        <v>0.55</v>
      </c>
      <c r="T62" s="18" t="n">
        <v>0.55</v>
      </c>
      <c r="U62" s="37" t="n">
        <v>0.55</v>
      </c>
      <c r="V62" s="18" t="n">
        <v>0.38</v>
      </c>
      <c r="W62" s="18" t="n">
        <v>0.34</v>
      </c>
      <c r="X62" s="18" t="n">
        <v>0.18</v>
      </c>
      <c r="Y62" s="18" t="n">
        <v>0.14</v>
      </c>
      <c r="Z62" s="37" t="n">
        <v>0.14</v>
      </c>
      <c r="AA62" s="18" t="n">
        <v>0.18</v>
      </c>
      <c r="AB62" s="19" t="n">
        <v>0.25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당기법인세부채(미지급법인세)</t>
        </is>
      </c>
      <c r="F63" s="9" t="n"/>
      <c r="K63" s="9" t="n"/>
      <c r="M63" s="18" t="n">
        <v>14.5</v>
      </c>
      <c r="N63" s="18" t="n">
        <v>21.75</v>
      </c>
      <c r="P63" s="9" t="n"/>
      <c r="Q63" s="18" t="n">
        <v>4.95</v>
      </c>
      <c r="R63" s="18" t="n">
        <v>307.18</v>
      </c>
      <c r="S63" s="18" t="n">
        <v>9831.549999999999</v>
      </c>
      <c r="T63" s="18" t="n">
        <v>13795.56</v>
      </c>
      <c r="U63" s="37" t="n">
        <v>13795.56</v>
      </c>
      <c r="V63" s="18" t="n">
        <v>24577.83</v>
      </c>
      <c r="W63" s="18" t="n">
        <v>29960.97</v>
      </c>
      <c r="X63" s="18" t="n">
        <v>29065.36</v>
      </c>
      <c r="Y63" s="18" t="n">
        <v>39130.11</v>
      </c>
      <c r="Z63" s="37" t="n">
        <v>39130.11</v>
      </c>
      <c r="AA63" s="18" t="n">
        <v>58633.97</v>
      </c>
      <c r="AB63" s="19" t="n">
        <v>314038.78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단기금융부채(face)</t>
        </is>
      </c>
      <c r="F64" s="9" t="n"/>
      <c r="K64" s="9" t="n"/>
      <c r="O64" s="18" t="n">
        <v>1560030.67</v>
      </c>
      <c r="P64" s="37" t="n">
        <v>1560030.67</v>
      </c>
      <c r="Q64" s="18" t="n">
        <v>1444122.44</v>
      </c>
      <c r="R64" s="18" t="n">
        <v>687243.41</v>
      </c>
      <c r="S64" s="18" t="n">
        <v>655904.62</v>
      </c>
      <c r="U64" s="9" t="n"/>
      <c r="Y64" s="18" t="n">
        <v>156966.8</v>
      </c>
      <c r="Z64" s="37" t="n">
        <v>156966.8</v>
      </c>
      <c r="AB64" s="5" t="n"/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장기금융부채(face)</t>
        </is>
      </c>
      <c r="F65" s="9" t="n"/>
      <c r="K65" s="9" t="n"/>
      <c r="O65" s="18" t="n">
        <v>1568942.82</v>
      </c>
      <c r="P65" s="37" t="n">
        <v>1568942.82</v>
      </c>
      <c r="Q65" s="18" t="n">
        <v>1335593.75</v>
      </c>
      <c r="R65" s="18" t="n">
        <v>1215680.26</v>
      </c>
      <c r="S65" s="18" t="n">
        <v>809134.1899999999</v>
      </c>
      <c r="T65" s="18" t="n">
        <v>751605.74</v>
      </c>
      <c r="U65" s="37" t="n">
        <v>751605.74</v>
      </c>
      <c r="V65" s="18" t="n">
        <v>685730.58</v>
      </c>
      <c r="W65" s="18" t="n">
        <v>464790.16</v>
      </c>
      <c r="X65" s="18" t="n">
        <v>478555.37</v>
      </c>
      <c r="Y65" s="18" t="n">
        <v>488384.39</v>
      </c>
      <c r="Z65" s="37" t="n">
        <v>488384.39</v>
      </c>
      <c r="AA65" s="18" t="n">
        <v>0</v>
      </c>
      <c r="AB65" s="19" t="n">
        <v>0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이연법인세부채</t>
        </is>
      </c>
      <c r="F66" s="9" t="n"/>
      <c r="K66" s="9" t="n"/>
      <c r="P66" s="9" t="n"/>
      <c r="U66" s="9" t="n"/>
      <c r="Y66" s="18" t="n">
        <v>755.27</v>
      </c>
      <c r="Z66" s="37" t="n">
        <v>755.27</v>
      </c>
      <c r="AA66" s="18" t="n">
        <v>755.27</v>
      </c>
      <c r="AB66" s="19" t="n">
        <v>755.27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매출액(수익)</t>
        </is>
      </c>
      <c r="E67" s="18" t="n">
        <v>2475866.72</v>
      </c>
      <c r="F67" s="9" t="n"/>
      <c r="G67" s="18" t="n">
        <v>2001636.46</v>
      </c>
      <c r="H67" s="18" t="n">
        <v>2166032.39</v>
      </c>
      <c r="I67" s="18" t="n">
        <v>2203563.73</v>
      </c>
      <c r="J67" s="18" t="n">
        <v>2674247.91</v>
      </c>
      <c r="K67" s="37" t="n">
        <v>9045480.49</v>
      </c>
      <c r="L67" s="18" t="n">
        <v>2632890.26</v>
      </c>
      <c r="M67" s="18" t="n">
        <v>3064397.81</v>
      </c>
      <c r="N67" s="18" t="n">
        <v>2853526.39</v>
      </c>
      <c r="O67" s="18" t="n">
        <v>3413111.53</v>
      </c>
      <c r="P67" s="37" t="n">
        <v>11963925.99</v>
      </c>
      <c r="Q67" s="18" t="n">
        <v>2987745.01</v>
      </c>
      <c r="R67" s="18" t="n">
        <v>3883982.54</v>
      </c>
      <c r="S67" s="18" t="n">
        <v>3609175.68</v>
      </c>
      <c r="T67" s="18" t="n">
        <v>4005550.3</v>
      </c>
      <c r="U67" s="37" t="n">
        <v>14486453.53</v>
      </c>
      <c r="V67" s="18" t="n">
        <v>3822515.74</v>
      </c>
      <c r="W67" s="18" t="n">
        <v>4147124.84</v>
      </c>
      <c r="X67" s="18" t="n">
        <v>4417898.2</v>
      </c>
      <c r="Y67" s="18" t="n">
        <v>5193094.48</v>
      </c>
      <c r="Z67" s="37" t="n">
        <v>17580633.26</v>
      </c>
      <c r="AA67" s="18" t="n">
        <v>5916331.79</v>
      </c>
      <c r="AB67" s="19" t="n">
        <v>6332155.04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매출원가</t>
        </is>
      </c>
      <c r="E68" s="18" t="n">
        <v>2727132.94</v>
      </c>
      <c r="F68" s="9" t="n"/>
      <c r="G68" s="18" t="n">
        <v>2089477.63</v>
      </c>
      <c r="H68" s="18" t="n">
        <v>2151534.36</v>
      </c>
      <c r="I68" s="18" t="n">
        <v>2067127.49</v>
      </c>
      <c r="J68" s="18" t="n">
        <v>2574479.96</v>
      </c>
      <c r="K68" s="37" t="n">
        <v>8882619.439999999</v>
      </c>
      <c r="L68" s="18" t="n">
        <v>2506895.08</v>
      </c>
      <c r="M68" s="18" t="n">
        <v>2866040.48</v>
      </c>
      <c r="N68" s="18" t="n">
        <v>2692363.76</v>
      </c>
      <c r="O68" s="18" t="n">
        <v>3243763.16</v>
      </c>
      <c r="P68" s="37" t="n">
        <v>11309062.48</v>
      </c>
      <c r="Q68" s="18" t="n">
        <v>2837657.53</v>
      </c>
      <c r="R68" s="18" t="n">
        <v>3443086.28</v>
      </c>
      <c r="S68" s="18" t="n">
        <v>3202405.41</v>
      </c>
      <c r="T68" s="18" t="n">
        <v>3509373.45</v>
      </c>
      <c r="U68" s="37" t="n">
        <v>12992522.67</v>
      </c>
      <c r="V68" s="18" t="n">
        <v>3193437.91</v>
      </c>
      <c r="W68" s="18" t="n">
        <v>3453430.96</v>
      </c>
      <c r="X68" s="18" t="n">
        <v>3650707.08</v>
      </c>
      <c r="Y68" s="18" t="n">
        <v>4318840.99</v>
      </c>
      <c r="Z68" s="37" t="n">
        <v>14616416.94</v>
      </c>
      <c r="AA68" s="18" t="n">
        <v>4743761.11</v>
      </c>
      <c r="AB68" s="19" t="n">
        <v>4975570.5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매출총이익</t>
        </is>
      </c>
      <c r="E69" s="18" t="n">
        <v>-251266.21</v>
      </c>
      <c r="F69" s="9" t="n"/>
      <c r="G69" s="18" t="n">
        <v>-87841.17</v>
      </c>
      <c r="H69" s="18" t="n">
        <v>14498.03</v>
      </c>
      <c r="I69" s="18" t="n">
        <v>136436.24</v>
      </c>
      <c r="J69" s="18" t="n">
        <v>99767.95</v>
      </c>
      <c r="K69" s="37" t="n">
        <v>162861.05</v>
      </c>
      <c r="L69" s="18" t="n">
        <v>125995.18</v>
      </c>
      <c r="M69" s="18" t="n">
        <v>198357.33</v>
      </c>
      <c r="N69" s="18" t="n">
        <v>161162.62</v>
      </c>
      <c r="O69" s="18" t="n">
        <v>169348.38</v>
      </c>
      <c r="P69" s="37" t="n">
        <v>654863.51</v>
      </c>
      <c r="Q69" s="18" t="n">
        <v>150087.48</v>
      </c>
      <c r="R69" s="18" t="n">
        <v>440896.26</v>
      </c>
      <c r="S69" s="18" t="n">
        <v>406770.28</v>
      </c>
      <c r="T69" s="18" t="n">
        <v>496176.86</v>
      </c>
      <c r="U69" s="37" t="n">
        <v>1493930.88</v>
      </c>
      <c r="V69" s="18" t="n">
        <v>629077.83</v>
      </c>
      <c r="W69" s="18" t="n">
        <v>693693.87</v>
      </c>
      <c r="X69" s="18" t="n">
        <v>767191.13</v>
      </c>
      <c r="Y69" s="18" t="n">
        <v>874253.49</v>
      </c>
      <c r="Z69" s="37" t="n">
        <v>2964216.32</v>
      </c>
      <c r="AA69" s="18" t="n">
        <v>1172570.68</v>
      </c>
      <c r="AB69" s="19" t="n">
        <v>1356584.54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판관비</t>
        </is>
      </c>
      <c r="E70" s="18" t="n">
        <v>229430.52</v>
      </c>
      <c r="F70" s="9" t="n"/>
      <c r="G70" s="18" t="n">
        <v>129577.42</v>
      </c>
      <c r="H70" s="18" t="n">
        <v>122749.78</v>
      </c>
      <c r="I70" s="18" t="n">
        <v>122096.1</v>
      </c>
      <c r="J70" s="18" t="n">
        <v>77588.89999999999</v>
      </c>
      <c r="K70" s="37" t="n">
        <v>452012.2</v>
      </c>
      <c r="L70" s="18" t="n">
        <v>167463.91</v>
      </c>
      <c r="M70" s="18" t="n">
        <v>129823.11</v>
      </c>
      <c r="N70" s="18" t="n">
        <v>148254.87</v>
      </c>
      <c r="O70" s="18" t="n">
        <v>30681.66</v>
      </c>
      <c r="P70" s="37" t="n">
        <v>476223.55</v>
      </c>
      <c r="Q70" s="18" t="n">
        <v>128823.57</v>
      </c>
      <c r="R70" s="18" t="n">
        <v>245266.13</v>
      </c>
      <c r="S70" s="18" t="n">
        <v>200625.27</v>
      </c>
      <c r="T70" s="18" t="n">
        <v>213992.42</v>
      </c>
      <c r="U70" s="37" t="n">
        <v>788707.39</v>
      </c>
      <c r="V70" s="18" t="n">
        <v>195343.66</v>
      </c>
      <c r="W70" s="18" t="n">
        <v>222237.89</v>
      </c>
      <c r="X70" s="18" t="n">
        <v>209905.74</v>
      </c>
      <c r="Y70" s="18" t="n">
        <v>299218.92</v>
      </c>
      <c r="Z70" s="37" t="n">
        <v>926706.21</v>
      </c>
      <c r="AA70" s="18" t="n">
        <v>267184.78</v>
      </c>
      <c r="AB70" s="19" t="n">
        <v>316646.91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영업이익</t>
        </is>
      </c>
      <c r="E71" s="18" t="n">
        <v>-480696.74</v>
      </c>
      <c r="F71" s="9" t="n"/>
      <c r="G71" s="18" t="n">
        <v>-217418.59</v>
      </c>
      <c r="H71" s="18" t="n">
        <v>-108251.75</v>
      </c>
      <c r="I71" s="18" t="n">
        <v>14340.14</v>
      </c>
      <c r="J71" s="18" t="n">
        <v>22179.05</v>
      </c>
      <c r="K71" s="37" t="n">
        <v>-289151.15</v>
      </c>
      <c r="L71" s="18" t="n">
        <v>-41468.73</v>
      </c>
      <c r="M71" s="18" t="n">
        <v>68534.23</v>
      </c>
      <c r="N71" s="18" t="n">
        <v>12907.76</v>
      </c>
      <c r="O71" s="18" t="n">
        <v>138666.71</v>
      </c>
      <c r="P71" s="37" t="n">
        <v>178639.97</v>
      </c>
      <c r="Q71" s="18" t="n">
        <v>21263.91</v>
      </c>
      <c r="R71" s="18" t="n">
        <v>195630.12</v>
      </c>
      <c r="S71" s="18" t="n">
        <v>206145</v>
      </c>
      <c r="T71" s="18" t="n">
        <v>282184.44</v>
      </c>
      <c r="U71" s="37" t="n">
        <v>705223.47</v>
      </c>
      <c r="V71" s="18" t="n">
        <v>433734.17</v>
      </c>
      <c r="W71" s="18" t="n">
        <v>471455.98</v>
      </c>
      <c r="X71" s="18" t="n">
        <v>557285.39</v>
      </c>
      <c r="Y71" s="18" t="n">
        <v>575034.55</v>
      </c>
      <c r="Z71" s="37" t="n">
        <v>2037510.09</v>
      </c>
      <c r="AA71" s="18" t="n">
        <v>905385.91</v>
      </c>
      <c r="AB71" s="19" t="n">
        <v>1039937.63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금융수익</t>
        </is>
      </c>
      <c r="E72" s="18" t="n">
        <v>64421.62</v>
      </c>
      <c r="F72" s="9" t="n"/>
      <c r="G72" s="18" t="n">
        <v>166207.39</v>
      </c>
      <c r="H72" s="18" t="n">
        <v>379445.01</v>
      </c>
      <c r="I72" s="18" t="n">
        <v>595500.3199999999</v>
      </c>
      <c r="J72" s="18" t="n">
        <v>-1798.22</v>
      </c>
      <c r="K72" s="37" t="n">
        <v>1139354.5</v>
      </c>
      <c r="L72" s="18" t="n">
        <v>284345.31</v>
      </c>
      <c r="M72" s="18" t="n">
        <v>225030.58</v>
      </c>
      <c r="N72" s="18" t="n">
        <v>185104.36</v>
      </c>
      <c r="O72" s="18" t="n">
        <v>37012.45</v>
      </c>
      <c r="P72" s="37" t="n">
        <v>731492.7</v>
      </c>
      <c r="Q72" s="18" t="n">
        <v>287572.76</v>
      </c>
      <c r="R72" s="18" t="n">
        <v>219895.85</v>
      </c>
      <c r="S72" s="18" t="n">
        <v>861737.86</v>
      </c>
      <c r="T72" s="18" t="n">
        <v>400396.43</v>
      </c>
      <c r="U72" s="37" t="n">
        <v>1769602.9</v>
      </c>
      <c r="V72" s="18" t="n">
        <v>156428.53</v>
      </c>
      <c r="W72" s="18" t="n">
        <v>1576490.64</v>
      </c>
      <c r="X72" s="18" t="n">
        <v>388797.51</v>
      </c>
      <c r="Y72" s="18" t="n">
        <v>-43230.08</v>
      </c>
      <c r="Z72" s="37" t="n">
        <v>2078486.6</v>
      </c>
      <c r="AA72" s="18" t="n">
        <v>547979</v>
      </c>
      <c r="AB72" s="19" t="n">
        <v>321873.67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금융비용</t>
        </is>
      </c>
      <c r="E73" s="18" t="n">
        <v>79456.99000000001</v>
      </c>
      <c r="F73" s="9" t="n"/>
      <c r="G73" s="18" t="n">
        <v>199629.38</v>
      </c>
      <c r="H73" s="18" t="n">
        <v>1020739.9</v>
      </c>
      <c r="I73" s="18" t="n">
        <v>1846819.97</v>
      </c>
      <c r="J73" s="18" t="n">
        <v>-1475499.04</v>
      </c>
      <c r="K73" s="37" t="n">
        <v>1591690.21</v>
      </c>
      <c r="L73" s="18" t="n">
        <v>659565.86</v>
      </c>
      <c r="M73" s="18" t="n">
        <v>298520.23</v>
      </c>
      <c r="N73" s="18" t="n">
        <v>617540.7</v>
      </c>
      <c r="O73" s="18" t="n">
        <v>-351128.91</v>
      </c>
      <c r="P73" s="37" t="n">
        <v>1224497.88</v>
      </c>
      <c r="Q73" s="18" t="n">
        <v>918985.28</v>
      </c>
      <c r="R73" s="18" t="n">
        <v>762185.29</v>
      </c>
      <c r="S73" s="18" t="n">
        <v>390887.9</v>
      </c>
      <c r="T73" s="18" t="n">
        <v>1977654.51</v>
      </c>
      <c r="U73" s="37" t="n">
        <v>4049712.98</v>
      </c>
      <c r="V73" s="18" t="n">
        <v>309801.1</v>
      </c>
      <c r="W73" s="18" t="n">
        <v>517499.37</v>
      </c>
      <c r="X73" s="18" t="n">
        <v>1048267.69</v>
      </c>
      <c r="Y73" s="18" t="n">
        <v>449402.76</v>
      </c>
      <c r="Z73" s="37" t="n">
        <v>2324970.92</v>
      </c>
      <c r="AA73" s="18" t="n">
        <v>1574878.16</v>
      </c>
      <c r="AB73" s="19" t="n">
        <v>751693.09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기타영업외수익</t>
        </is>
      </c>
      <c r="E74" s="18" t="n">
        <v>11020.64</v>
      </c>
      <c r="F74" s="9" t="n"/>
      <c r="G74" s="18" t="n">
        <v>67849.39999999999</v>
      </c>
      <c r="H74" s="18" t="n">
        <v>688736.49</v>
      </c>
      <c r="I74" s="18" t="n">
        <v>1398739.53</v>
      </c>
      <c r="J74" s="18" t="n">
        <v>-1342235.17</v>
      </c>
      <c r="K74" s="37" t="n">
        <v>813090.25</v>
      </c>
      <c r="L74" s="18" t="n">
        <v>456424.18</v>
      </c>
      <c r="M74" s="18" t="n">
        <v>75969.63</v>
      </c>
      <c r="N74" s="18" t="n">
        <v>423777.48</v>
      </c>
      <c r="O74" s="18" t="n">
        <v>-375757.88</v>
      </c>
      <c r="P74" s="37" t="n">
        <v>580413.41</v>
      </c>
      <c r="Q74" s="18" t="n">
        <v>693574.16</v>
      </c>
      <c r="R74" s="18" t="n">
        <v>575022.13</v>
      </c>
      <c r="S74" s="18" t="n">
        <v>9531.84</v>
      </c>
      <c r="T74" s="18" t="n">
        <v>1762567.1</v>
      </c>
      <c r="U74" s="37" t="n">
        <v>3040695.23</v>
      </c>
      <c r="V74" s="18" t="n">
        <v>143086.67</v>
      </c>
      <c r="W74" s="18" t="n">
        <v>34654.73</v>
      </c>
      <c r="X74" s="18" t="n">
        <v>710986.8199999999</v>
      </c>
      <c r="Y74" s="18" t="n">
        <v>276717.84</v>
      </c>
      <c r="Z74" s="37" t="n">
        <v>1165446.06</v>
      </c>
      <c r="AA74" s="18" t="n">
        <v>1238178.41</v>
      </c>
      <c r="AB74" s="19" t="n">
        <v>598442.74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기타영업외비용</t>
        </is>
      </c>
      <c r="E75" s="18" t="n">
        <v>221748.27</v>
      </c>
      <c r="F75" s="9" t="n"/>
      <c r="G75" s="18" t="n">
        <v>55092.36</v>
      </c>
      <c r="H75" s="18" t="n">
        <v>32642.91</v>
      </c>
      <c r="I75" s="18" t="n">
        <v>90900.34</v>
      </c>
      <c r="J75" s="18" t="n">
        <v>313007.47</v>
      </c>
      <c r="K75" s="37" t="n">
        <v>491643.08</v>
      </c>
      <c r="L75" s="18" t="n">
        <v>66346.53999999999</v>
      </c>
      <c r="M75" s="18" t="n">
        <v>37463.21</v>
      </c>
      <c r="N75" s="18" t="n">
        <v>17537.84</v>
      </c>
      <c r="O75" s="18" t="n">
        <v>110323.49</v>
      </c>
      <c r="P75" s="37" t="n">
        <v>231671.08</v>
      </c>
      <c r="Q75" s="18" t="n">
        <v>53885.31</v>
      </c>
      <c r="R75" s="18" t="n">
        <v>26234.73</v>
      </c>
      <c r="S75" s="18" t="n">
        <v>599306.41</v>
      </c>
      <c r="T75" s="18" t="n">
        <v>-11954.28</v>
      </c>
      <c r="U75" s="37" t="n">
        <v>667472.17</v>
      </c>
      <c r="V75" s="18" t="n">
        <v>47081.21</v>
      </c>
      <c r="W75" s="18" t="n">
        <v>1284823.23</v>
      </c>
      <c r="X75" s="18" t="n">
        <v>37906.37</v>
      </c>
      <c r="Y75" s="18" t="n">
        <v>-218657.51</v>
      </c>
      <c r="Z75" s="37" t="n">
        <v>1151153.3</v>
      </c>
      <c r="AA75" s="18" t="n">
        <v>60273.4</v>
      </c>
      <c r="AB75" s="19" t="n">
        <v>52879.79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종속기업,공동지배기업및관계기업관련손익</t>
        </is>
      </c>
      <c r="E76" s="18" t="n">
        <v>-146.01</v>
      </c>
      <c r="F76" s="9" t="n"/>
      <c r="G76" s="18" t="n">
        <v>-98.23</v>
      </c>
      <c r="H76" s="18" t="n">
        <v>-188.91</v>
      </c>
      <c r="I76" s="18" t="n">
        <v>-127.73</v>
      </c>
      <c r="J76" s="18" t="n">
        <v>-1029.21</v>
      </c>
      <c r="K76" s="37" t="n">
        <v>-1444.08</v>
      </c>
      <c r="L76" s="18" t="n">
        <v>-99.84</v>
      </c>
      <c r="M76" s="18" t="n">
        <v>-101</v>
      </c>
      <c r="N76" s="18" t="n">
        <v>-86.98</v>
      </c>
      <c r="O76" s="18" t="n">
        <v>273.69</v>
      </c>
      <c r="P76" s="37" t="n">
        <v>-14.13</v>
      </c>
      <c r="Q76" s="18" t="n">
        <v>-139.75</v>
      </c>
      <c r="R76" s="18" t="n">
        <v>-130.47</v>
      </c>
      <c r="S76" s="18" t="n">
        <v>-128.17</v>
      </c>
      <c r="T76" s="18" t="n">
        <v>199.64</v>
      </c>
      <c r="U76" s="37" t="n">
        <v>-198.75</v>
      </c>
      <c r="V76" s="18" t="n">
        <v>-102.38</v>
      </c>
      <c r="W76" s="18" t="n">
        <v>-93.58</v>
      </c>
      <c r="X76" s="18" t="n">
        <v>-81.64</v>
      </c>
      <c r="Y76" s="18" t="n">
        <v>-4124.4</v>
      </c>
      <c r="Z76" s="37" t="n">
        <v>-4402</v>
      </c>
      <c r="AA76" s="18" t="n">
        <v>66.79000000000001</v>
      </c>
      <c r="AB76" s="19" t="n">
        <v>693.84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지분법관련손익</t>
        </is>
      </c>
      <c r="E77" s="18" t="n">
        <v>-146.01</v>
      </c>
      <c r="F77" s="9" t="n"/>
      <c r="G77" s="18" t="n">
        <v>-98.23</v>
      </c>
      <c r="H77" s="18" t="n">
        <v>-188.91</v>
      </c>
      <c r="I77" s="18" t="n">
        <v>-127.73</v>
      </c>
      <c r="J77" s="18" t="n">
        <v>-1029.21</v>
      </c>
      <c r="K77" s="37" t="n">
        <v>-1444.08</v>
      </c>
      <c r="L77" s="18" t="n">
        <v>-99.84</v>
      </c>
      <c r="M77" s="18" t="n">
        <v>-101</v>
      </c>
      <c r="N77" s="18" t="n">
        <v>-86.98</v>
      </c>
      <c r="O77" s="18" t="n">
        <v>273.69</v>
      </c>
      <c r="P77" s="37" t="n">
        <v>-14.13</v>
      </c>
      <c r="Q77" s="18" t="n">
        <v>-139.75</v>
      </c>
      <c r="R77" s="18" t="n">
        <v>-130.47</v>
      </c>
      <c r="S77" s="18" t="n">
        <v>-128.17</v>
      </c>
      <c r="T77" s="18" t="n">
        <v>199.64</v>
      </c>
      <c r="U77" s="37" t="n">
        <v>-198.75</v>
      </c>
      <c r="V77" s="18" t="n">
        <v>-102.38</v>
      </c>
      <c r="W77" s="18" t="n">
        <v>-93.58</v>
      </c>
      <c r="X77" s="18" t="n">
        <v>-81.64</v>
      </c>
      <c r="Y77" s="18" t="n">
        <v>-4124.4</v>
      </c>
      <c r="Z77" s="37" t="n">
        <v>-4402</v>
      </c>
      <c r="AA77" s="18" t="n">
        <v>66.79000000000001</v>
      </c>
      <c r="AB77" s="19" t="n">
        <v>693.84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법인세비용차감전계속사업이익</t>
        </is>
      </c>
      <c r="E78" s="18" t="n">
        <v>-706605.74</v>
      </c>
      <c r="F78" s="9" t="n"/>
      <c r="G78" s="18" t="n">
        <v>-238181.78</v>
      </c>
      <c r="H78" s="18" t="n">
        <v>-93641.98</v>
      </c>
      <c r="I78" s="18" t="n">
        <v>70731.95</v>
      </c>
      <c r="J78" s="18" t="n">
        <v>-160391.98</v>
      </c>
      <c r="K78" s="37" t="n">
        <v>-421483.79</v>
      </c>
      <c r="L78" s="18" t="n">
        <v>-26711.47</v>
      </c>
      <c r="M78" s="18" t="n">
        <v>33449.99</v>
      </c>
      <c r="N78" s="18" t="n">
        <v>-13375.92</v>
      </c>
      <c r="O78" s="18" t="n">
        <v>41000.4</v>
      </c>
      <c r="P78" s="37" t="n">
        <v>34363</v>
      </c>
      <c r="Q78" s="18" t="n">
        <v>29400.49</v>
      </c>
      <c r="R78" s="18" t="n">
        <v>201997.62</v>
      </c>
      <c r="S78" s="18" t="n">
        <v>87092.22</v>
      </c>
      <c r="T78" s="18" t="n">
        <v>479647.38</v>
      </c>
      <c r="U78" s="37" t="n">
        <v>798137.71</v>
      </c>
      <c r="V78" s="18" t="n">
        <v>376264.68</v>
      </c>
      <c r="W78" s="18" t="n">
        <v>280185.18</v>
      </c>
      <c r="X78" s="18" t="n">
        <v>570814.02</v>
      </c>
      <c r="Y78" s="18" t="n">
        <v>573652.66</v>
      </c>
      <c r="Z78" s="37" t="n">
        <v>1800916.54</v>
      </c>
      <c r="AA78" s="18" t="n">
        <v>1056458.55</v>
      </c>
      <c r="AB78" s="19" t="n">
        <v>1156375.01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법인세비용</t>
        </is>
      </c>
      <c r="E79" s="18" t="n">
        <v>-186492.21</v>
      </c>
      <c r="F79" s="9" t="n"/>
      <c r="G79" s="18" t="n">
        <v>-62271.66</v>
      </c>
      <c r="H79" s="18" t="n">
        <v>-28912.96</v>
      </c>
      <c r="I79" s="18" t="n">
        <v>20348.7</v>
      </c>
      <c r="J79" s="18" t="n">
        <v>1416.77</v>
      </c>
      <c r="K79" s="37" t="n">
        <v>-69419.14999999999</v>
      </c>
      <c r="L79" s="18" t="n">
        <v>-6159.72</v>
      </c>
      <c r="M79" s="18" t="n">
        <v>9381.18</v>
      </c>
      <c r="N79" s="18" t="n">
        <v>-3547.78</v>
      </c>
      <c r="O79" s="18" t="n">
        <v>10000.11</v>
      </c>
      <c r="P79" s="37" t="n">
        <v>9673.790000000001</v>
      </c>
      <c r="Q79" s="18" t="n">
        <v>776.76</v>
      </c>
      <c r="R79" s="18" t="n">
        <v>47887.83</v>
      </c>
      <c r="S79" s="18" t="n">
        <v>14894.1</v>
      </c>
      <c r="T79" s="18" t="n">
        <v>113069.61</v>
      </c>
      <c r="U79" s="37" t="n">
        <v>176628.3</v>
      </c>
      <c r="V79" s="18" t="n">
        <v>92034.37</v>
      </c>
      <c r="W79" s="18" t="n">
        <v>69273.84</v>
      </c>
      <c r="X79" s="18" t="n">
        <v>140023.55</v>
      </c>
      <c r="Y79" s="18" t="n">
        <v>84100.2</v>
      </c>
      <c r="Z79" s="37" t="n">
        <v>385431.96</v>
      </c>
      <c r="AA79" s="18" t="n">
        <v>282646.2</v>
      </c>
      <c r="AB79" s="19" t="n">
        <v>334231.88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금융손익</t>
        </is>
      </c>
      <c r="E80" s="18" t="n">
        <v>-15035.37</v>
      </c>
      <c r="F80" s="9" t="n"/>
      <c r="G80" s="18" t="n">
        <v>-33421.99</v>
      </c>
      <c r="H80" s="18" t="n">
        <v>-641294.89</v>
      </c>
      <c r="I80" s="18" t="n">
        <v>-1251319.65</v>
      </c>
      <c r="J80" s="18" t="n">
        <v>1473700.82</v>
      </c>
      <c r="K80" s="37" t="n">
        <v>-452335.71</v>
      </c>
      <c r="L80" s="18" t="n">
        <v>-375220.55</v>
      </c>
      <c r="M80" s="18" t="n">
        <v>-73489.64999999999</v>
      </c>
      <c r="N80" s="18" t="n">
        <v>-432436.34</v>
      </c>
      <c r="O80" s="18" t="n">
        <v>388141.36</v>
      </c>
      <c r="P80" s="37" t="n">
        <v>-493005.18</v>
      </c>
      <c r="Q80" s="18" t="n">
        <v>-631412.52</v>
      </c>
      <c r="R80" s="18" t="n">
        <v>-542289.4399999999</v>
      </c>
      <c r="S80" s="18" t="n">
        <v>470849.96</v>
      </c>
      <c r="T80" s="18" t="n">
        <v>-1577258.08</v>
      </c>
      <c r="U80" s="37" t="n">
        <v>-2280110.08</v>
      </c>
      <c r="V80" s="18" t="n">
        <v>-153372.57</v>
      </c>
      <c r="W80" s="18" t="n">
        <v>1058991.27</v>
      </c>
      <c r="X80" s="18" t="n">
        <v>-659470.1800000001</v>
      </c>
      <c r="Y80" s="18" t="n">
        <v>-492632.84</v>
      </c>
      <c r="Z80" s="37" t="n">
        <v>-246484.32</v>
      </c>
      <c r="AA80" s="18" t="n">
        <v>-1026899.16</v>
      </c>
      <c r="AB80" s="19" t="n">
        <v>-429819.42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기타영업외손익</t>
        </is>
      </c>
      <c r="E81" s="18" t="n">
        <v>-210727.63</v>
      </c>
      <c r="F81" s="9" t="n"/>
      <c r="G81" s="18" t="n">
        <v>12757.04</v>
      </c>
      <c r="H81" s="18" t="n">
        <v>656093.58</v>
      </c>
      <c r="I81" s="18" t="n">
        <v>1307839.19</v>
      </c>
      <c r="J81" s="18" t="n">
        <v>-1655242.64</v>
      </c>
      <c r="K81" s="37" t="n">
        <v>321447.17</v>
      </c>
      <c r="L81" s="18" t="n">
        <v>390077.64</v>
      </c>
      <c r="M81" s="18" t="n">
        <v>38506.42</v>
      </c>
      <c r="N81" s="18" t="n">
        <v>406239.64</v>
      </c>
      <c r="O81" s="18" t="n">
        <v>-486081.37</v>
      </c>
      <c r="P81" s="37" t="n">
        <v>348742.33</v>
      </c>
      <c r="Q81" s="18" t="n">
        <v>639688.85</v>
      </c>
      <c r="R81" s="18" t="n">
        <v>548787.4</v>
      </c>
      <c r="S81" s="18" t="n">
        <v>-589774.5699999999</v>
      </c>
      <c r="T81" s="18" t="n">
        <v>1774521.38</v>
      </c>
      <c r="U81" s="37" t="n">
        <v>2373223.06</v>
      </c>
      <c r="V81" s="18" t="n">
        <v>96005.46000000001</v>
      </c>
      <c r="W81" s="18" t="n">
        <v>-1250168.5</v>
      </c>
      <c r="X81" s="18" t="n">
        <v>673080.45</v>
      </c>
      <c r="Y81" s="18" t="n">
        <v>495375.35</v>
      </c>
      <c r="Z81" s="37" t="n">
        <v>14292.76</v>
      </c>
      <c r="AA81" s="18" t="n">
        <v>1177905.01</v>
      </c>
      <c r="AB81" s="19" t="n">
        <v>545562.95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당기순이익</t>
        </is>
      </c>
      <c r="F82" s="9" t="n"/>
      <c r="G82" s="18" t="n">
        <v>-175910.12</v>
      </c>
      <c r="H82" s="18" t="n">
        <v>-64729.02</v>
      </c>
      <c r="I82" s="18" t="n">
        <v>50383.25</v>
      </c>
      <c r="J82" s="18" t="n">
        <v>-161808.74</v>
      </c>
      <c r="K82" s="37" t="n">
        <v>-352064.63</v>
      </c>
      <c r="L82" s="18" t="n">
        <v>-20551.75</v>
      </c>
      <c r="M82" s="18" t="n">
        <v>24068.8</v>
      </c>
      <c r="N82" s="18" t="n">
        <v>-9828.129999999999</v>
      </c>
      <c r="O82" s="18" t="n">
        <v>31000.29</v>
      </c>
      <c r="P82" s="37" t="n">
        <v>24689.21</v>
      </c>
      <c r="Q82" s="18" t="n">
        <v>28623.73</v>
      </c>
      <c r="R82" s="18" t="n">
        <v>154109.79</v>
      </c>
      <c r="S82" s="18" t="n">
        <v>72198.12</v>
      </c>
      <c r="T82" s="18" t="n">
        <v>366577.77</v>
      </c>
      <c r="U82" s="37" t="n">
        <v>621509.41</v>
      </c>
      <c r="V82" s="18" t="n">
        <v>284230.31</v>
      </c>
      <c r="W82" s="18" t="n">
        <v>210911.34</v>
      </c>
      <c r="X82" s="18" t="n">
        <v>430790.46</v>
      </c>
      <c r="Y82" s="18" t="n">
        <v>489552.45</v>
      </c>
      <c r="Z82" s="37" t="n">
        <v>1415484.56</v>
      </c>
      <c r="AA82" s="18" t="n">
        <v>773812.34</v>
      </c>
      <c r="AB82" s="19" t="n">
        <v>822143.13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총포괄손익</t>
        </is>
      </c>
      <c r="F83" s="9" t="n"/>
      <c r="G83" s="18" t="n">
        <v>-142842.56</v>
      </c>
      <c r="H83" s="18" t="n">
        <v>-65153.97</v>
      </c>
      <c r="I83" s="18" t="n">
        <v>52279.92</v>
      </c>
      <c r="J83" s="18" t="n">
        <v>-150256.94</v>
      </c>
      <c r="K83" s="37" t="n">
        <v>-305973.55</v>
      </c>
      <c r="L83" s="18" t="n">
        <v>-24277.11</v>
      </c>
      <c r="M83" s="18" t="n">
        <v>20566.17</v>
      </c>
      <c r="N83" s="18" t="n">
        <v>-12388.83</v>
      </c>
      <c r="O83" s="18" t="n">
        <v>-69147.03999999999</v>
      </c>
      <c r="P83" s="37" t="n">
        <v>-85246.81</v>
      </c>
      <c r="Q83" s="18" t="n">
        <v>22879.24</v>
      </c>
      <c r="R83" s="18" t="n">
        <v>152720.11</v>
      </c>
      <c r="S83" s="18" t="n">
        <v>78034.52</v>
      </c>
      <c r="T83" s="18" t="n">
        <v>244078.81</v>
      </c>
      <c r="U83" s="37" t="n">
        <v>497712.68</v>
      </c>
      <c r="V83" s="18" t="n">
        <v>287151.53</v>
      </c>
      <c r="W83" s="18" t="n">
        <v>376660.34</v>
      </c>
      <c r="X83" s="18" t="n">
        <v>430613.48</v>
      </c>
      <c r="Y83" s="18" t="n">
        <v>487602.58</v>
      </c>
      <c r="Z83" s="37" t="n">
        <v>1582027.93</v>
      </c>
      <c r="AA83" s="18" t="n">
        <v>790298.6800000001</v>
      </c>
      <c r="AB83" s="19" t="n">
        <v>829639.47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(지배주주지분)당기순이익</t>
        </is>
      </c>
      <c r="F84" s="9" t="n"/>
      <c r="G84" s="18" t="n">
        <v>-175910.12</v>
      </c>
      <c r="H84" s="18" t="n">
        <v>-64729.02</v>
      </c>
      <c r="I84" s="18" t="n">
        <v>50383.25</v>
      </c>
      <c r="J84" s="18" t="n">
        <v>-161808.74</v>
      </c>
      <c r="K84" s="37" t="n">
        <v>-352064.63</v>
      </c>
      <c r="L84" s="18" t="n">
        <v>-20551.75</v>
      </c>
      <c r="M84" s="18" t="n">
        <v>24065.96</v>
      </c>
      <c r="N84" s="18" t="n">
        <v>-9828.129999999999</v>
      </c>
      <c r="O84" s="18" t="n">
        <v>30999.99</v>
      </c>
      <c r="P84" s="37" t="n">
        <v>24686.07</v>
      </c>
      <c r="Q84" s="18" t="n">
        <v>28623.99</v>
      </c>
      <c r="R84" s="18" t="n">
        <v>154109.51</v>
      </c>
      <c r="S84" s="18" t="n">
        <v>72197.74000000001</v>
      </c>
      <c r="T84" s="18" t="n">
        <v>366577.81</v>
      </c>
      <c r="U84" s="37" t="n">
        <v>621509.05</v>
      </c>
      <c r="V84" s="18" t="n">
        <v>284230.4</v>
      </c>
      <c r="W84" s="18" t="n">
        <v>210911.29</v>
      </c>
      <c r="X84" s="18" t="n">
        <v>430790.6</v>
      </c>
      <c r="Y84" s="18" t="n">
        <v>489552.47</v>
      </c>
      <c r="Z84" s="37" t="n">
        <v>1415484.76</v>
      </c>
      <c r="AA84" s="18" t="n">
        <v>773812.3199999999</v>
      </c>
      <c r="AB84" s="19" t="n">
        <v>822143.05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계속사업이익</t>
        </is>
      </c>
      <c r="F85" s="9" t="n"/>
      <c r="G85" s="18" t="n">
        <v>-175910.12</v>
      </c>
      <c r="H85" s="18" t="n">
        <v>-64729.02</v>
      </c>
      <c r="I85" s="18" t="n">
        <v>50383.25</v>
      </c>
      <c r="J85" s="18" t="n">
        <v>-161808.74</v>
      </c>
      <c r="K85" s="37" t="n">
        <v>-352064.63</v>
      </c>
      <c r="L85" s="18" t="n">
        <v>-20551.75</v>
      </c>
      <c r="M85" s="18" t="n">
        <v>24068.8</v>
      </c>
      <c r="N85" s="18" t="n">
        <v>-9828.129999999999</v>
      </c>
      <c r="O85" s="18" t="n">
        <v>31000.29</v>
      </c>
      <c r="P85" s="37" t="n">
        <v>24689.21</v>
      </c>
      <c r="Q85" s="18" t="n">
        <v>28623.73</v>
      </c>
      <c r="R85" s="18" t="n">
        <v>154109.79</v>
      </c>
      <c r="S85" s="18" t="n">
        <v>72198.12</v>
      </c>
      <c r="T85" s="18" t="n">
        <v>366577.77</v>
      </c>
      <c r="U85" s="37" t="n">
        <v>621509.41</v>
      </c>
      <c r="V85" s="18" t="n">
        <v>284230.31</v>
      </c>
      <c r="W85" s="18" t="n">
        <v>210911.34</v>
      </c>
      <c r="X85" s="18" t="n">
        <v>430790.46</v>
      </c>
      <c r="Y85" s="18" t="n">
        <v>489552.45</v>
      </c>
      <c r="Z85" s="37" t="n">
        <v>1415484.56</v>
      </c>
      <c r="AA85" s="18" t="n">
        <v>773812.34</v>
      </c>
      <c r="AB85" s="19" t="n">
        <v>822143.13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이자수익</t>
        </is>
      </c>
      <c r="F86" s="9" t="n"/>
      <c r="G86" s="18" t="n">
        <v>8082</v>
      </c>
      <c r="H86" s="18" t="n">
        <v>10390</v>
      </c>
      <c r="I86" s="18" t="n">
        <v>13453</v>
      </c>
      <c r="J86" s="18" t="n">
        <v>13685</v>
      </c>
      <c r="K86" s="37" t="n">
        <v>45610</v>
      </c>
      <c r="L86" s="18" t="n">
        <v>13433</v>
      </c>
      <c r="M86" s="18" t="n">
        <v>9877</v>
      </c>
      <c r="N86" s="18" t="n">
        <v>10921</v>
      </c>
      <c r="O86" s="18" t="n">
        <v>14807</v>
      </c>
      <c r="P86" s="37" t="n">
        <v>49038</v>
      </c>
      <c r="Q86" s="18" t="n">
        <v>14552</v>
      </c>
      <c r="R86" s="18" t="n">
        <v>13406</v>
      </c>
      <c r="S86" s="18" t="n">
        <v>10666</v>
      </c>
      <c r="T86" s="18" t="n">
        <v>15139</v>
      </c>
      <c r="U86" s="37" t="n">
        <v>53763</v>
      </c>
      <c r="V86" s="18" t="n">
        <v>17404</v>
      </c>
      <c r="W86" s="18" t="n">
        <v>26010</v>
      </c>
      <c r="X86" s="18" t="n">
        <v>28636</v>
      </c>
      <c r="Y86" s="18" t="n">
        <v>32807</v>
      </c>
      <c r="Z86" s="37" t="n">
        <v>104857</v>
      </c>
      <c r="AA86" s="18" t="n">
        <v>30279</v>
      </c>
      <c r="AB86" s="19" t="n">
        <v>33814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이자비용</t>
        </is>
      </c>
      <c r="F87" s="9" t="n"/>
      <c r="G87" s="18" t="n">
        <v>23822</v>
      </c>
      <c r="H87" s="18" t="n">
        <v>26384</v>
      </c>
      <c r="I87" s="18" t="n">
        <v>28774</v>
      </c>
      <c r="J87" s="18" t="n">
        <v>27161</v>
      </c>
      <c r="K87" s="37" t="n">
        <v>106141</v>
      </c>
      <c r="L87" s="18" t="n">
        <v>30417</v>
      </c>
      <c r="M87" s="18" t="n">
        <v>40611</v>
      </c>
      <c r="N87" s="18" t="n">
        <v>45508</v>
      </c>
      <c r="O87" s="18" t="n">
        <v>15355</v>
      </c>
      <c r="P87" s="37" t="n">
        <v>131891</v>
      </c>
      <c r="Q87" s="18" t="n">
        <v>44943</v>
      </c>
      <c r="R87" s="18" t="n">
        <v>41039</v>
      </c>
      <c r="S87" s="18" t="n">
        <v>29412</v>
      </c>
      <c r="T87" s="18" t="n">
        <v>34275</v>
      </c>
      <c r="U87" s="37" t="n">
        <v>149669</v>
      </c>
      <c r="V87" s="18" t="n">
        <v>24366</v>
      </c>
      <c r="W87" s="18" t="n">
        <v>28626</v>
      </c>
      <c r="X87" s="18" t="n">
        <v>25961</v>
      </c>
      <c r="Y87" s="18" t="n">
        <v>17595</v>
      </c>
      <c r="Z87" s="37" t="n">
        <v>96548</v>
      </c>
      <c r="AA87" s="18" t="n">
        <v>21874</v>
      </c>
      <c r="AB87" s="19" t="n">
        <v>21983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외환차익</t>
        </is>
      </c>
      <c r="F88" s="9" t="n"/>
      <c r="G88" s="18" t="n">
        <v>48052</v>
      </c>
      <c r="H88" s="18" t="n">
        <v>132047</v>
      </c>
      <c r="I88" s="18" t="n">
        <v>193513</v>
      </c>
      <c r="J88" s="18" t="n">
        <v>189513</v>
      </c>
      <c r="K88" s="37" t="n">
        <v>563125</v>
      </c>
      <c r="L88" s="18" t="n">
        <v>66962</v>
      </c>
      <c r="M88" s="18" t="n">
        <v>87838</v>
      </c>
      <c r="N88" s="18" t="n">
        <v>82138</v>
      </c>
      <c r="O88" s="18" t="n">
        <v>91325</v>
      </c>
      <c r="P88" s="37" t="n">
        <v>328263</v>
      </c>
      <c r="Q88" s="18" t="n">
        <v>90906</v>
      </c>
      <c r="R88" s="18" t="n">
        <v>146532</v>
      </c>
      <c r="S88" s="18" t="n">
        <v>77110</v>
      </c>
      <c r="T88" s="18" t="n">
        <v>142518</v>
      </c>
      <c r="U88" s="37" t="n">
        <v>457066</v>
      </c>
      <c r="V88" s="18" t="n">
        <v>73119</v>
      </c>
      <c r="W88" s="18" t="n">
        <v>130920</v>
      </c>
      <c r="X88" s="18" t="n">
        <v>84292</v>
      </c>
      <c r="Y88" s="18" t="n">
        <v>110751</v>
      </c>
      <c r="Z88" s="37" t="n">
        <v>399082</v>
      </c>
      <c r="AA88" s="18" t="n">
        <v>216779</v>
      </c>
      <c r="AB88" s="19" t="n">
        <v>245462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외환차손</t>
        </is>
      </c>
      <c r="F89" s="9" t="n"/>
      <c r="G89" s="18" t="n">
        <v>39613</v>
      </c>
      <c r="H89" s="18" t="n">
        <v>69170</v>
      </c>
      <c r="I89" s="18" t="n">
        <v>80966</v>
      </c>
      <c r="J89" s="18" t="n">
        <v>171339</v>
      </c>
      <c r="K89" s="37" t="n">
        <v>361088</v>
      </c>
      <c r="L89" s="18" t="n">
        <v>75169</v>
      </c>
      <c r="M89" s="18" t="n">
        <v>46919</v>
      </c>
      <c r="N89" s="18" t="n">
        <v>58434</v>
      </c>
      <c r="O89" s="18" t="n">
        <v>71990</v>
      </c>
      <c r="P89" s="37" t="n">
        <v>252512</v>
      </c>
      <c r="Q89" s="18" t="n">
        <v>57133</v>
      </c>
      <c r="R89" s="18" t="n">
        <v>71926</v>
      </c>
      <c r="S89" s="18" t="n">
        <v>59766</v>
      </c>
      <c r="T89" s="18" t="n">
        <v>66197</v>
      </c>
      <c r="U89" s="37" t="n">
        <v>255022</v>
      </c>
      <c r="V89" s="18" t="n">
        <v>120963</v>
      </c>
      <c r="W89" s="18" t="n">
        <v>249944</v>
      </c>
      <c r="X89" s="18" t="n">
        <v>145602</v>
      </c>
      <c r="Y89" s="18" t="n">
        <v>87186</v>
      </c>
      <c r="Z89" s="37" t="n">
        <v>603695</v>
      </c>
      <c r="AA89" s="18" t="n">
        <v>127228</v>
      </c>
      <c r="AB89" s="19" t="n">
        <v>134033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외화환산이익</t>
        </is>
      </c>
      <c r="F90" s="9" t="n"/>
      <c r="G90" s="18" t="n">
        <v>56878</v>
      </c>
      <c r="H90" s="18" t="n">
        <v>141075</v>
      </c>
      <c r="I90" s="18" t="n">
        <v>239912</v>
      </c>
      <c r="J90" s="18" t="n">
        <v>-389345</v>
      </c>
      <c r="K90" s="37" t="n">
        <v>48520</v>
      </c>
      <c r="L90" s="18" t="n">
        <v>100387</v>
      </c>
      <c r="M90" s="18" t="n">
        <v>87036</v>
      </c>
      <c r="N90" s="18" t="n">
        <v>69627</v>
      </c>
      <c r="O90" s="18" t="n">
        <v>-136860</v>
      </c>
      <c r="P90" s="37" t="n">
        <v>120190</v>
      </c>
      <c r="Q90" s="18" t="n">
        <v>136929</v>
      </c>
      <c r="R90" s="18" t="n">
        <v>37940</v>
      </c>
      <c r="S90" s="18" t="n">
        <v>0</v>
      </c>
      <c r="T90" s="18" t="n">
        <v>295499</v>
      </c>
      <c r="U90" s="37" t="n">
        <v>470368</v>
      </c>
      <c r="V90" s="18" t="n">
        <v>30846</v>
      </c>
      <c r="W90" s="18" t="n">
        <v>31759</v>
      </c>
      <c r="X90" s="18" t="n">
        <v>172774</v>
      </c>
      <c r="Y90" s="18" t="n">
        <v>29305</v>
      </c>
      <c r="Z90" s="37" t="n">
        <v>264684</v>
      </c>
      <c r="AA90" s="18" t="n">
        <v>267689</v>
      </c>
      <c r="AB90" s="19" t="n">
        <v>18513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외화환산손실</t>
        </is>
      </c>
      <c r="F91" s="9" t="n"/>
      <c r="G91" s="18" t="n">
        <v>38027</v>
      </c>
      <c r="H91" s="18" t="n">
        <v>127706</v>
      </c>
      <c r="I91" s="18" t="n">
        <v>212312</v>
      </c>
      <c r="J91" s="18" t="n">
        <v>-150196</v>
      </c>
      <c r="K91" s="37" t="n">
        <v>227849</v>
      </c>
      <c r="L91" s="18" t="n">
        <v>42797</v>
      </c>
      <c r="M91" s="18" t="n">
        <v>112071</v>
      </c>
      <c r="N91" s="18" t="n">
        <v>36430</v>
      </c>
      <c r="O91" s="18" t="n">
        <v>-5584</v>
      </c>
      <c r="P91" s="37" t="n">
        <v>185714</v>
      </c>
      <c r="Q91" s="18" t="n">
        <v>53537</v>
      </c>
      <c r="R91" s="18" t="n">
        <v>17573</v>
      </c>
      <c r="S91" s="18" t="n">
        <v>182698</v>
      </c>
      <c r="T91" s="18" t="n">
        <v>6025</v>
      </c>
      <c r="U91" s="37" t="n">
        <v>259833</v>
      </c>
      <c r="V91" s="18" t="n">
        <v>14850</v>
      </c>
      <c r="W91" s="18" t="n">
        <v>220849</v>
      </c>
      <c r="X91" s="18" t="n">
        <v>4255</v>
      </c>
      <c r="Y91" s="18" t="n">
        <v>20952</v>
      </c>
      <c r="Z91" s="37" t="n">
        <v>260906</v>
      </c>
      <c r="AA91" s="18" t="n">
        <v>67250</v>
      </c>
      <c r="AB91" s="19" t="n">
        <v>14840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파생상품이익</t>
        </is>
      </c>
      <c r="F92" s="9" t="n"/>
      <c r="G92" s="18" t="n">
        <v>51902</v>
      </c>
      <c r="H92" s="18" t="n">
        <v>95895</v>
      </c>
      <c r="I92" s="18" t="n">
        <v>148622</v>
      </c>
      <c r="J92" s="18" t="n">
        <v>176516</v>
      </c>
      <c r="K92" s="37" t="n">
        <v>472935</v>
      </c>
      <c r="L92" s="18" t="n">
        <v>64035</v>
      </c>
      <c r="M92" s="18" t="n">
        <v>39816</v>
      </c>
      <c r="N92" s="18" t="n">
        <v>21962</v>
      </c>
      <c r="O92" s="18" t="n">
        <v>67344</v>
      </c>
      <c r="P92" s="37" t="n">
        <v>193157</v>
      </c>
      <c r="Q92" s="18" t="n">
        <v>45000</v>
      </c>
      <c r="R92" s="18" t="n">
        <v>21850</v>
      </c>
      <c r="S92" s="18" t="n">
        <v>773868</v>
      </c>
      <c r="T92" s="18" t="n">
        <v>-52784</v>
      </c>
      <c r="U92" s="37" t="n">
        <v>787934</v>
      </c>
      <c r="V92" s="18" t="n">
        <v>34961</v>
      </c>
      <c r="W92" s="18" t="n">
        <v>1381125</v>
      </c>
      <c r="X92" s="18" t="n">
        <v>103084</v>
      </c>
      <c r="Y92" s="18" t="n">
        <v>-217856</v>
      </c>
      <c r="Z92" s="37" t="n">
        <v>1301314</v>
      </c>
      <c r="AA92" s="18" t="n">
        <v>33126</v>
      </c>
      <c r="AB92" s="19" t="n">
        <v>24078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파생상품손실</t>
        </is>
      </c>
      <c r="F93" s="9" t="n"/>
      <c r="G93" s="18" t="n">
        <v>95249</v>
      </c>
      <c r="H93" s="18" t="n">
        <v>793841</v>
      </c>
      <c r="I93" s="18" t="n">
        <v>1518267</v>
      </c>
      <c r="J93" s="18" t="n">
        <v>-1531665</v>
      </c>
      <c r="K93" s="37" t="n">
        <v>875692</v>
      </c>
      <c r="L93" s="18" t="n">
        <v>511183</v>
      </c>
      <c r="M93" s="18" t="n">
        <v>98778</v>
      </c>
      <c r="N93" s="18" t="n">
        <v>475621</v>
      </c>
      <c r="O93" s="18" t="n">
        <v>-433947</v>
      </c>
      <c r="P93" s="37" t="n">
        <v>651635</v>
      </c>
      <c r="Q93" s="18" t="n">
        <v>763294</v>
      </c>
      <c r="R93" s="18" t="n">
        <v>631552</v>
      </c>
      <c r="S93" s="18" t="n">
        <v>119012</v>
      </c>
      <c r="T93" s="18" t="n">
        <v>1871157</v>
      </c>
      <c r="U93" s="37" t="n">
        <v>3385015</v>
      </c>
      <c r="V93" s="18" t="n">
        <v>149622</v>
      </c>
      <c r="W93" s="18" t="n">
        <v>8315</v>
      </c>
      <c r="X93" s="18" t="n">
        <v>872431</v>
      </c>
      <c r="Y93" s="18" t="n">
        <v>298542</v>
      </c>
      <c r="Z93" s="37" t="n">
        <v>1328910</v>
      </c>
      <c r="AA93" s="18" t="n">
        <v>1358526</v>
      </c>
      <c r="AB93" s="19" t="n">
        <v>580837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이자손익</t>
        </is>
      </c>
      <c r="F94" s="9" t="n"/>
      <c r="G94" s="18" t="n">
        <v>-15740</v>
      </c>
      <c r="H94" s="18" t="n">
        <v>-15994</v>
      </c>
      <c r="I94" s="18" t="n">
        <v>-15321</v>
      </c>
      <c r="J94" s="18" t="n">
        <v>-13476</v>
      </c>
      <c r="K94" s="37" t="n">
        <v>-60531</v>
      </c>
      <c r="L94" s="18" t="n">
        <v>-16984</v>
      </c>
      <c r="M94" s="18" t="n">
        <v>-30734</v>
      </c>
      <c r="N94" s="18" t="n">
        <v>-34587</v>
      </c>
      <c r="O94" s="18" t="n">
        <v>-548</v>
      </c>
      <c r="P94" s="37" t="n">
        <v>-82853</v>
      </c>
      <c r="Q94" s="18" t="n">
        <v>-30391</v>
      </c>
      <c r="R94" s="18" t="n">
        <v>-27633</v>
      </c>
      <c r="S94" s="18" t="n">
        <v>-18746</v>
      </c>
      <c r="T94" s="18" t="n">
        <v>-19136</v>
      </c>
      <c r="U94" s="37" t="n">
        <v>-95906</v>
      </c>
      <c r="V94" s="18" t="n">
        <v>-6962</v>
      </c>
      <c r="W94" s="18" t="n">
        <v>-2616</v>
      </c>
      <c r="X94" s="18" t="n">
        <v>2675</v>
      </c>
      <c r="Y94" s="18" t="n">
        <v>15212</v>
      </c>
      <c r="Z94" s="37" t="n">
        <v>8309</v>
      </c>
      <c r="AA94" s="18" t="n">
        <v>8405</v>
      </c>
      <c r="AB94" s="19" t="n">
        <v>11831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배당금수익</t>
        </is>
      </c>
      <c r="F95" s="9" t="n"/>
      <c r="H95" s="18" t="n">
        <v>38</v>
      </c>
      <c r="I95" s="18" t="n">
        <v>0</v>
      </c>
      <c r="J95" s="18" t="n">
        <v>0</v>
      </c>
      <c r="K95" s="9" t="n"/>
      <c r="M95" s="18" t="n">
        <v>21</v>
      </c>
      <c r="N95" s="18" t="n">
        <v>0</v>
      </c>
      <c r="O95" s="18" t="n">
        <v>0</v>
      </c>
      <c r="P95" s="9" t="n"/>
      <c r="R95" s="18" t="n">
        <v>17</v>
      </c>
      <c r="S95" s="18" t="n">
        <v>0</v>
      </c>
      <c r="T95" s="18" t="n">
        <v>0</v>
      </c>
      <c r="U95" s="9" t="n"/>
      <c r="W95" s="18" t="n">
        <v>0</v>
      </c>
      <c r="X95" s="18" t="n">
        <v>0</v>
      </c>
      <c r="Y95" s="18" t="n">
        <v>0</v>
      </c>
      <c r="Z95" s="9" t="n"/>
      <c r="AA95" s="18" t="n">
        <v>103</v>
      </c>
      <c r="AB95" s="19" t="n">
        <v>0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(비지배주주지분)당기순이익</t>
        </is>
      </c>
      <c r="F96" s="9" t="n"/>
      <c r="K96" s="9" t="n"/>
      <c r="M96" s="18" t="n">
        <v>2.84</v>
      </c>
      <c r="N96" s="18" t="n">
        <v>0</v>
      </c>
      <c r="O96" s="18" t="n">
        <v>0.3</v>
      </c>
      <c r="P96" s="9" t="n"/>
      <c r="Q96" s="18" t="n">
        <v>-0.26</v>
      </c>
      <c r="R96" s="18" t="n">
        <v>0.28</v>
      </c>
      <c r="S96" s="18" t="n">
        <v>0.39</v>
      </c>
      <c r="T96" s="18" t="n">
        <v>-0.04</v>
      </c>
      <c r="U96" s="37" t="n">
        <v>0.37</v>
      </c>
      <c r="V96" s="18" t="n">
        <v>-0.09</v>
      </c>
      <c r="W96" s="18" t="n">
        <v>0.04</v>
      </c>
      <c r="X96" s="18" t="n">
        <v>-0.14</v>
      </c>
      <c r="Y96" s="18" t="n">
        <v>-0.03</v>
      </c>
      <c r="Z96" s="37" t="n">
        <v>-0.22</v>
      </c>
      <c r="AA96" s="18" t="n">
        <v>0.02</v>
      </c>
      <c r="AB96" s="19" t="n">
        <v>0.08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영업활동으로인한현금흐름</t>
        </is>
      </c>
      <c r="E97" s="18" t="n">
        <v>757.66</v>
      </c>
      <c r="F97" s="9" t="n"/>
      <c r="G97" s="18" t="n">
        <v>-160190.51</v>
      </c>
      <c r="H97" s="18" t="n">
        <v>160687.17</v>
      </c>
      <c r="I97" s="18" t="n">
        <v>128905.84</v>
      </c>
      <c r="J97" s="18" t="n">
        <v>-58184.1</v>
      </c>
      <c r="K97" s="37" t="n">
        <v>71218.39999999999</v>
      </c>
      <c r="L97" s="18" t="n">
        <v>67804.62</v>
      </c>
      <c r="M97" s="18" t="n">
        <v>-388546.35</v>
      </c>
      <c r="N97" s="18" t="n">
        <v>268396.48</v>
      </c>
      <c r="O97" s="18" t="n">
        <v>221182.43</v>
      </c>
      <c r="P97" s="37" t="n">
        <v>168837.18</v>
      </c>
      <c r="Q97" s="18" t="n">
        <v>310992.26</v>
      </c>
      <c r="R97" s="18" t="n">
        <v>1054495.9</v>
      </c>
      <c r="S97" s="18" t="n">
        <v>45369.8</v>
      </c>
      <c r="T97" s="18" t="n">
        <v>1473024.75</v>
      </c>
      <c r="U97" s="37" t="n">
        <v>2883882.71</v>
      </c>
      <c r="V97" s="18" t="n">
        <v>1704749.67</v>
      </c>
      <c r="W97" s="18" t="n">
        <v>501374.72</v>
      </c>
      <c r="X97" s="18" t="n">
        <v>1575239.73</v>
      </c>
      <c r="Y97" s="18" t="n">
        <v>-270971.68</v>
      </c>
      <c r="Z97" s="37" t="n">
        <v>3510392.44</v>
      </c>
      <c r="AA97" s="18" t="n">
        <v>883359.8100000001</v>
      </c>
      <c r="AB97" s="19" t="n">
        <v>1842690.08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투자활동으로인한현금흐름</t>
        </is>
      </c>
      <c r="E98" s="18" t="n">
        <v>-20991.58</v>
      </c>
      <c r="F98" s="9" t="n"/>
      <c r="G98" s="18" t="n">
        <v>-103233.82</v>
      </c>
      <c r="H98" s="18" t="n">
        <v>-113097.47</v>
      </c>
      <c r="I98" s="18" t="n">
        <v>-125787.35</v>
      </c>
      <c r="J98" s="18" t="n">
        <v>-175760.51</v>
      </c>
      <c r="K98" s="37" t="n">
        <v>-517879.15</v>
      </c>
      <c r="L98" s="18" t="n">
        <v>-108192.29</v>
      </c>
      <c r="M98" s="18" t="n">
        <v>-104457.52</v>
      </c>
      <c r="N98" s="18" t="n">
        <v>-130448.59</v>
      </c>
      <c r="O98" s="18" t="n">
        <v>-134806.21</v>
      </c>
      <c r="P98" s="37" t="n">
        <v>-477904.61</v>
      </c>
      <c r="Q98" s="18" t="n">
        <v>-118600.37</v>
      </c>
      <c r="R98" s="18" t="n">
        <v>-128453.95</v>
      </c>
      <c r="S98" s="18" t="n">
        <v>-138038.01</v>
      </c>
      <c r="T98" s="18" t="n">
        <v>-114031.64</v>
      </c>
      <c r="U98" s="37" t="n">
        <v>-499123.97</v>
      </c>
      <c r="V98" s="18" t="n">
        <v>-164264.15</v>
      </c>
      <c r="W98" s="18" t="n">
        <v>-459973.87</v>
      </c>
      <c r="X98" s="18" t="n">
        <v>-1318710.66</v>
      </c>
      <c r="Y98" s="18" t="n">
        <v>-96679.2</v>
      </c>
      <c r="Z98" s="37" t="n">
        <v>-2039627.88</v>
      </c>
      <c r="AA98" s="18" t="n">
        <v>293770.24</v>
      </c>
      <c r="AB98" s="19" t="n">
        <v>243632.01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유형자산의감소</t>
        </is>
      </c>
      <c r="E99" s="18" t="n">
        <v>2056.39</v>
      </c>
      <c r="F99" s="9" t="n"/>
      <c r="G99" s="18" t="n">
        <v>2480.8</v>
      </c>
      <c r="H99" s="18" t="n">
        <v>5774.82</v>
      </c>
      <c r="I99" s="18" t="n">
        <v>2620.51</v>
      </c>
      <c r="J99" s="18" t="n">
        <v>2013.74</v>
      </c>
      <c r="K99" s="37" t="n">
        <v>12889.87</v>
      </c>
      <c r="L99" s="18" t="n">
        <v>1966.99</v>
      </c>
      <c r="M99" s="18" t="n">
        <v>4265.44</v>
      </c>
      <c r="N99" s="18" t="n">
        <v>1088.89</v>
      </c>
      <c r="O99" s="18" t="n">
        <v>2335.43</v>
      </c>
      <c r="P99" s="37" t="n">
        <v>9656.75</v>
      </c>
      <c r="Q99" s="18" t="n">
        <v>8087.27</v>
      </c>
      <c r="R99" s="18" t="n">
        <v>1546.34</v>
      </c>
      <c r="S99" s="18" t="n">
        <v>1694.02</v>
      </c>
      <c r="T99" s="18" t="n">
        <v>417.8</v>
      </c>
      <c r="U99" s="37" t="n">
        <v>11745.43</v>
      </c>
      <c r="V99" s="18" t="n">
        <v>1048.17</v>
      </c>
      <c r="W99" s="18" t="n">
        <v>1543.59</v>
      </c>
      <c r="X99" s="18" t="n">
        <v>1570.36</v>
      </c>
      <c r="Y99" s="18" t="n">
        <v>10949</v>
      </c>
      <c r="Z99" s="37" t="n">
        <v>15111.12</v>
      </c>
      <c r="AA99" s="18" t="n">
        <v>1100.54</v>
      </c>
      <c r="AB99" s="19" t="n">
        <v>1288.83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무형자산의감소</t>
        </is>
      </c>
      <c r="E100" s="18" t="n">
        <v>0</v>
      </c>
      <c r="F100" s="9" t="n"/>
      <c r="I100" s="18" t="n">
        <v>0</v>
      </c>
      <c r="J100" s="18" t="n">
        <v>0</v>
      </c>
      <c r="K100" s="9" t="n"/>
      <c r="P100" s="9" t="n"/>
      <c r="U100" s="9" t="n"/>
      <c r="Y100" s="18" t="n">
        <v>4302.04</v>
      </c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유형자산의증가</t>
        </is>
      </c>
      <c r="E101" s="18" t="n">
        <v>62303.9</v>
      </c>
      <c r="F101" s="9" t="n"/>
      <c r="G101" s="18" t="n">
        <v>91812.63</v>
      </c>
      <c r="H101" s="18" t="n">
        <v>87305.67999999999</v>
      </c>
      <c r="I101" s="18" t="n">
        <v>149675.38</v>
      </c>
      <c r="J101" s="18" t="n">
        <v>155684.48</v>
      </c>
      <c r="K101" s="37" t="n">
        <v>484478.17</v>
      </c>
      <c r="L101" s="18" t="n">
        <v>105523.96</v>
      </c>
      <c r="M101" s="18" t="n">
        <v>128091.59</v>
      </c>
      <c r="N101" s="18" t="n">
        <v>123215.53</v>
      </c>
      <c r="O101" s="18" t="n">
        <v>121380.71</v>
      </c>
      <c r="P101" s="37" t="n">
        <v>478211.79</v>
      </c>
      <c r="Q101" s="18" t="n">
        <v>120412.83</v>
      </c>
      <c r="R101" s="18" t="n">
        <v>122820.64</v>
      </c>
      <c r="S101" s="18" t="n">
        <v>120123.25</v>
      </c>
      <c r="T101" s="18" t="n">
        <v>100106.31</v>
      </c>
      <c r="U101" s="37" t="n">
        <v>463463.03</v>
      </c>
      <c r="V101" s="18" t="n">
        <v>175237.16</v>
      </c>
      <c r="W101" s="18" t="n">
        <v>104565.74</v>
      </c>
      <c r="X101" s="18" t="n">
        <v>125453.28</v>
      </c>
      <c r="Y101" s="18" t="n">
        <v>106687.51</v>
      </c>
      <c r="Z101" s="37" t="n">
        <v>511943.69</v>
      </c>
      <c r="AA101" s="18" t="n">
        <v>122048.95</v>
      </c>
      <c r="AB101" s="19" t="n">
        <v>111617.78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CAPEX</t>
        </is>
      </c>
      <c r="E102" s="18" t="n">
        <v>78353.71000000001</v>
      </c>
      <c r="F102" s="9" t="n"/>
      <c r="G102" s="18" t="n">
        <v>95114.82000000001</v>
      </c>
      <c r="H102" s="18" t="n">
        <v>91878.3</v>
      </c>
      <c r="I102" s="18" t="n">
        <v>158409.65</v>
      </c>
      <c r="J102" s="18" t="n">
        <v>168749.16</v>
      </c>
      <c r="K102" s="37" t="n">
        <v>514151.93</v>
      </c>
      <c r="L102" s="18" t="n">
        <v>110954.99</v>
      </c>
      <c r="M102" s="18" t="n">
        <v>135877.15</v>
      </c>
      <c r="N102" s="18" t="n">
        <v>132963.25</v>
      </c>
      <c r="O102" s="18" t="n">
        <v>134110.13</v>
      </c>
      <c r="P102" s="37" t="n">
        <v>513905.52</v>
      </c>
      <c r="Q102" s="18" t="n">
        <v>126871.73</v>
      </c>
      <c r="R102" s="18" t="n">
        <v>129210.58</v>
      </c>
      <c r="S102" s="18" t="n">
        <v>126033.36</v>
      </c>
      <c r="T102" s="18" t="n">
        <v>114482.93</v>
      </c>
      <c r="U102" s="37" t="n">
        <v>496598.6</v>
      </c>
      <c r="V102" s="18" t="n">
        <v>179257.14</v>
      </c>
      <c r="W102" s="18" t="n">
        <v>110604.12</v>
      </c>
      <c r="X102" s="18" t="n">
        <v>131183.27</v>
      </c>
      <c r="Y102" s="18" t="n">
        <v>120445.31</v>
      </c>
      <c r="Z102" s="37" t="n">
        <v>541489.84</v>
      </c>
      <c r="AA102" s="18" t="n">
        <v>125977.26</v>
      </c>
      <c r="AB102" s="19" t="n">
        <v>119933.09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무형자산의증가</t>
        </is>
      </c>
      <c r="E103" s="18" t="n">
        <v>16049.81</v>
      </c>
      <c r="F103" s="9" t="n"/>
      <c r="G103" s="18" t="n">
        <v>3302.19</v>
      </c>
      <c r="H103" s="18" t="n">
        <v>4572.62</v>
      </c>
      <c r="I103" s="18" t="n">
        <v>8734.27</v>
      </c>
      <c r="J103" s="18" t="n">
        <v>13064.68</v>
      </c>
      <c r="K103" s="37" t="n">
        <v>29673.76</v>
      </c>
      <c r="L103" s="18" t="n">
        <v>5431.03</v>
      </c>
      <c r="M103" s="18" t="n">
        <v>7785.56</v>
      </c>
      <c r="N103" s="18" t="n">
        <v>9747.719999999999</v>
      </c>
      <c r="O103" s="18" t="n">
        <v>12729.42</v>
      </c>
      <c r="P103" s="37" t="n">
        <v>35693.73</v>
      </c>
      <c r="Q103" s="18" t="n">
        <v>6458.9</v>
      </c>
      <c r="R103" s="18" t="n">
        <v>6389.94</v>
      </c>
      <c r="S103" s="18" t="n">
        <v>5910.11</v>
      </c>
      <c r="T103" s="18" t="n">
        <v>14376.62</v>
      </c>
      <c r="U103" s="37" t="n">
        <v>33135.57</v>
      </c>
      <c r="V103" s="18" t="n">
        <v>4019.98</v>
      </c>
      <c r="W103" s="18" t="n">
        <v>6038.38</v>
      </c>
      <c r="X103" s="18" t="n">
        <v>5729.99</v>
      </c>
      <c r="Y103" s="18" t="n">
        <v>13757.8</v>
      </c>
      <c r="Z103" s="37" t="n">
        <v>29546.15</v>
      </c>
      <c r="AA103" s="18" t="n">
        <v>3928.31</v>
      </c>
      <c r="AB103" s="19" t="n">
        <v>8315.309999999999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재무활동으로인한현금흐름</t>
        </is>
      </c>
      <c r="E104" s="18" t="n">
        <v>-622870.95</v>
      </c>
      <c r="F104" s="9" t="n"/>
      <c r="G104" s="18" t="n">
        <v>-95362.07000000001</v>
      </c>
      <c r="H104" s="18" t="n">
        <v>-178120.91</v>
      </c>
      <c r="I104" s="18" t="n">
        <v>-135820.98</v>
      </c>
      <c r="J104" s="18" t="n">
        <v>-523535.82</v>
      </c>
      <c r="K104" s="37" t="n">
        <v>-932839.78</v>
      </c>
      <c r="L104" s="18" t="n">
        <v>138322.86</v>
      </c>
      <c r="M104" s="18" t="n">
        <v>414850.68</v>
      </c>
      <c r="N104" s="18" t="n">
        <v>113803.16</v>
      </c>
      <c r="O104" s="18" t="n">
        <v>-164215.61</v>
      </c>
      <c r="P104" s="37" t="n">
        <v>502761.09</v>
      </c>
      <c r="Q104" s="18" t="n">
        <v>-387471.4</v>
      </c>
      <c r="R104" s="18" t="n">
        <v>-887799.77</v>
      </c>
      <c r="S104" s="18" t="n">
        <v>-410559.44</v>
      </c>
      <c r="T104" s="18" t="n">
        <v>-363002.6</v>
      </c>
      <c r="U104" s="37" t="n">
        <v>-2048833.21</v>
      </c>
      <c r="V104" s="18" t="n">
        <v>-62114.37</v>
      </c>
      <c r="W104" s="18" t="n">
        <v>-425025.23</v>
      </c>
      <c r="X104" s="18" t="n">
        <v>-247235.03</v>
      </c>
      <c r="Y104" s="18" t="n">
        <v>-125878.4</v>
      </c>
      <c r="Z104" s="37" t="n">
        <v>-860253.03</v>
      </c>
      <c r="AA104" s="18" t="n">
        <v>-69987.42</v>
      </c>
      <c r="AB104" s="19" t="n">
        <v>-513509.12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리스부채의상환</t>
        </is>
      </c>
      <c r="E105" s="18" t="n">
        <v>2453.37</v>
      </c>
      <c r="F105" s="9" t="n"/>
      <c r="G105" s="18" t="n">
        <v>1886.57</v>
      </c>
      <c r="H105" s="18" t="n">
        <v>3102.07</v>
      </c>
      <c r="I105" s="18" t="n">
        <v>2332.63</v>
      </c>
      <c r="J105" s="18" t="n">
        <v>2315.67</v>
      </c>
      <c r="K105" s="37" t="n">
        <v>9636.940000000001</v>
      </c>
      <c r="L105" s="18" t="n">
        <v>2931.79</v>
      </c>
      <c r="M105" s="18" t="n">
        <v>4393.52</v>
      </c>
      <c r="N105" s="18" t="n">
        <v>3628.15</v>
      </c>
      <c r="O105" s="18" t="n">
        <v>2847.63</v>
      </c>
      <c r="P105" s="37" t="n">
        <v>13801.09</v>
      </c>
      <c r="Q105" s="18" t="n">
        <v>3290.26</v>
      </c>
      <c r="R105" s="18" t="n">
        <v>4426.5</v>
      </c>
      <c r="S105" s="18" t="n">
        <v>3701.96</v>
      </c>
      <c r="T105" s="18" t="n">
        <v>2871.35</v>
      </c>
      <c r="U105" s="37" t="n">
        <v>14290.07</v>
      </c>
      <c r="V105" s="18" t="n">
        <v>3555.6</v>
      </c>
      <c r="W105" s="18" t="n">
        <v>4558.99</v>
      </c>
      <c r="X105" s="18" t="n">
        <v>3744.14</v>
      </c>
      <c r="Y105" s="18" t="n">
        <v>3381.45</v>
      </c>
      <c r="Z105" s="37" t="n">
        <v>15240.18</v>
      </c>
      <c r="AA105" s="18" t="n">
        <v>4987.42</v>
      </c>
      <c r="AB105" s="19" t="n">
        <v>5827.77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현금및현금성자산의증감</t>
        </is>
      </c>
      <c r="E106" s="18" t="n">
        <v>-643001.1</v>
      </c>
      <c r="F106" s="9" t="n"/>
      <c r="G106" s="18" t="n">
        <v>-358846.18</v>
      </c>
      <c r="H106" s="18" t="n">
        <v>-130905.36</v>
      </c>
      <c r="I106" s="18" t="n">
        <v>-133560.13</v>
      </c>
      <c r="J106" s="18" t="n">
        <v>-769931.63</v>
      </c>
      <c r="K106" s="37" t="n">
        <v>-1393243.3</v>
      </c>
      <c r="L106" s="18" t="n">
        <v>100595.53</v>
      </c>
      <c r="M106" s="18" t="n">
        <v>-81416.5</v>
      </c>
      <c r="N106" s="18" t="n">
        <v>250681.28</v>
      </c>
      <c r="O106" s="18" t="n">
        <v>-85965.32000000001</v>
      </c>
      <c r="P106" s="37" t="n">
        <v>183894.99</v>
      </c>
      <c r="Q106" s="18" t="n">
        <v>-199451.33</v>
      </c>
      <c r="R106" s="18" t="n">
        <v>41432.6</v>
      </c>
      <c r="S106" s="18" t="n">
        <v>-501497.87</v>
      </c>
      <c r="T106" s="18" t="n">
        <v>989340.64</v>
      </c>
      <c r="U106" s="37" t="n">
        <v>329824.04</v>
      </c>
      <c r="V106" s="18" t="n">
        <v>1478934.76</v>
      </c>
      <c r="W106" s="18" t="n">
        <v>-381837.27</v>
      </c>
      <c r="X106" s="18" t="n">
        <v>133.24</v>
      </c>
      <c r="Y106" s="18" t="n">
        <v>-485180.19</v>
      </c>
      <c r="Z106" s="37" t="n">
        <v>612050.54</v>
      </c>
      <c r="AA106" s="18" t="n">
        <v>1105538.14</v>
      </c>
      <c r="AB106" s="19" t="n">
        <v>1575457.4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기말현금및현금성자산</t>
        </is>
      </c>
      <c r="E107" s="18" t="n">
        <v>-643001.09</v>
      </c>
      <c r="F107" s="9" t="n"/>
      <c r="G107" s="18" t="n">
        <v>1778545.24</v>
      </c>
      <c r="H107" s="18" t="n">
        <v>-130905.36</v>
      </c>
      <c r="I107" s="18" t="n">
        <v>-133560.13</v>
      </c>
      <c r="J107" s="18" t="n">
        <v>-769931.63</v>
      </c>
      <c r="K107" s="37" t="n">
        <v>744148.12</v>
      </c>
      <c r="L107" s="18" t="n">
        <v>844743.65</v>
      </c>
      <c r="M107" s="18" t="n">
        <v>-81416.5</v>
      </c>
      <c r="N107" s="18" t="n">
        <v>250681.28</v>
      </c>
      <c r="O107" s="18" t="n">
        <v>-85965.32000000001</v>
      </c>
      <c r="P107" s="37" t="n">
        <v>928043.11</v>
      </c>
      <c r="Q107" s="18" t="n">
        <v>728591.78</v>
      </c>
      <c r="R107" s="18" t="n">
        <v>41432.6</v>
      </c>
      <c r="S107" s="18" t="n">
        <v>-501497.88</v>
      </c>
      <c r="T107" s="18" t="n">
        <v>989340.65</v>
      </c>
      <c r="U107" s="37" t="n">
        <v>1257867.15</v>
      </c>
      <c r="V107" s="18" t="n">
        <v>2736801.91</v>
      </c>
      <c r="W107" s="18" t="n">
        <v>-381837.27</v>
      </c>
      <c r="X107" s="18" t="n">
        <v>133.24</v>
      </c>
      <c r="Y107" s="18" t="n">
        <v>-485180.18</v>
      </c>
      <c r="Z107" s="37" t="n">
        <v>1869917.7</v>
      </c>
      <c r="AA107" s="18" t="n">
        <v>2975455.83</v>
      </c>
      <c r="AB107" s="19" t="n">
        <v>1575457.4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이자수취(CF)</t>
        </is>
      </c>
      <c r="F108" s="9" t="n"/>
      <c r="G108" s="18" t="n">
        <v>8594.1</v>
      </c>
      <c r="H108" s="18" t="n">
        <v>7303.85</v>
      </c>
      <c r="I108" s="18" t="n">
        <v>12751.3</v>
      </c>
      <c r="J108" s="18" t="n">
        <v>12732.93</v>
      </c>
      <c r="K108" s="37" t="n">
        <v>41382.18</v>
      </c>
      <c r="L108" s="18" t="n">
        <v>15412.13</v>
      </c>
      <c r="M108" s="18" t="n">
        <v>9332.139999999999</v>
      </c>
      <c r="N108" s="18" t="n">
        <v>5934.15</v>
      </c>
      <c r="O108" s="18" t="n">
        <v>17831.09</v>
      </c>
      <c r="P108" s="37" t="n">
        <v>48509.51</v>
      </c>
      <c r="Q108" s="18" t="n">
        <v>24353.27</v>
      </c>
      <c r="R108" s="18" t="n">
        <v>9311.389999999999</v>
      </c>
      <c r="S108" s="18" t="n">
        <v>13873.98</v>
      </c>
      <c r="T108" s="18" t="n">
        <v>10496.3</v>
      </c>
      <c r="U108" s="37" t="n">
        <v>58034.94</v>
      </c>
      <c r="V108" s="18" t="n">
        <v>19803.26</v>
      </c>
      <c r="W108" s="18" t="n">
        <v>18515.52</v>
      </c>
      <c r="X108" s="18" t="n">
        <v>22576.83</v>
      </c>
      <c r="Y108" s="18" t="n">
        <v>21286.56</v>
      </c>
      <c r="Z108" s="37" t="n">
        <v>82182.17</v>
      </c>
      <c r="AA108" s="18" t="n">
        <v>30770.58</v>
      </c>
      <c r="AB108" s="19" t="n">
        <v>34386.95</v>
      </c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이자지급(CF)</t>
        </is>
      </c>
      <c r="F109" s="9" t="n"/>
      <c r="G109" s="18" t="n">
        <v>-20605.67</v>
      </c>
      <c r="H109" s="18" t="n">
        <v>-12784.61</v>
      </c>
      <c r="I109" s="18" t="n">
        <v>-24186.27</v>
      </c>
      <c r="J109" s="18" t="n">
        <v>-19366.21</v>
      </c>
      <c r="K109" s="37" t="n">
        <v>-76942.75999999999</v>
      </c>
      <c r="L109" s="18" t="n">
        <v>-28830.55</v>
      </c>
      <c r="M109" s="18" t="n">
        <v>-20642.24</v>
      </c>
      <c r="N109" s="18" t="n">
        <v>-21712.23</v>
      </c>
      <c r="O109" s="18" t="n">
        <v>-45460.85</v>
      </c>
      <c r="P109" s="37" t="n">
        <v>-116645.87</v>
      </c>
      <c r="Q109" s="18" t="n">
        <v>-44786.48</v>
      </c>
      <c r="R109" s="18" t="n">
        <v>-26638.68</v>
      </c>
      <c r="S109" s="18" t="n">
        <v>-32189.77</v>
      </c>
      <c r="T109" s="18" t="n">
        <v>-11149.66</v>
      </c>
      <c r="U109" s="37" t="n">
        <v>-114764.59</v>
      </c>
      <c r="V109" s="18" t="n">
        <v>-18438.26</v>
      </c>
      <c r="W109" s="18" t="n">
        <v>-5623.36</v>
      </c>
      <c r="X109" s="18" t="n">
        <v>-14560.83</v>
      </c>
      <c r="Y109" s="18" t="n">
        <v>-753.1799999999999</v>
      </c>
      <c r="Z109" s="37" t="n">
        <v>-39375.63</v>
      </c>
      <c r="AA109" s="18" t="n">
        <v>-11493.62</v>
      </c>
      <c r="AB109" s="19" t="n">
        <v>1638.29</v>
      </c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법인세납부(CF)</t>
        </is>
      </c>
      <c r="F110" s="9" t="n"/>
      <c r="G110" s="18" t="n">
        <v>-1240.81</v>
      </c>
      <c r="H110" s="18" t="n">
        <v>1222.79</v>
      </c>
      <c r="I110" s="18" t="n">
        <v>-2355.24</v>
      </c>
      <c r="J110" s="18" t="n">
        <v>-2375.07</v>
      </c>
      <c r="K110" s="37" t="n">
        <v>-4748.33</v>
      </c>
      <c r="L110" s="18" t="n">
        <v>-1658.95</v>
      </c>
      <c r="M110" s="18" t="n">
        <v>2265.66</v>
      </c>
      <c r="N110" s="18" t="n">
        <v>-1210.13</v>
      </c>
      <c r="O110" s="18" t="n">
        <v>-1867.94</v>
      </c>
      <c r="P110" s="37" t="n">
        <v>-2471.36</v>
      </c>
      <c r="Q110" s="18" t="n">
        <v>-928.64</v>
      </c>
      <c r="R110" s="18" t="n">
        <v>2827.82</v>
      </c>
      <c r="S110" s="18" t="n">
        <v>-2446.18</v>
      </c>
      <c r="T110" s="18" t="n">
        <v>-1677.46</v>
      </c>
      <c r="U110" s="37" t="n">
        <v>-2224.46</v>
      </c>
      <c r="V110" s="18" t="n">
        <v>-6393.32</v>
      </c>
      <c r="W110" s="18" t="n">
        <v>-11760.32</v>
      </c>
      <c r="X110" s="18" t="n">
        <v>-28446.78</v>
      </c>
      <c r="Y110" s="18" t="n">
        <v>-4265.66</v>
      </c>
      <c r="Z110" s="37" t="n">
        <v>-50866.08</v>
      </c>
      <c r="AA110" s="18" t="n">
        <v>-17729.77</v>
      </c>
      <c r="AB110" s="19" t="n">
        <v>-30995.92</v>
      </c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  <row r="111">
      <c r="A111" t="n">
        <v>1</v>
      </c>
      <c r="C111" t="inlineStr">
        <is>
          <t>배당금수취(CF)</t>
        </is>
      </c>
      <c r="F111" s="9" t="n"/>
      <c r="I111" s="18" t="n">
        <v>0</v>
      </c>
      <c r="J111" s="18" t="n">
        <v>0</v>
      </c>
      <c r="K111" s="9" t="n"/>
      <c r="N111" s="18" t="n">
        <v>0</v>
      </c>
      <c r="O111" s="18" t="n">
        <v>0</v>
      </c>
      <c r="P111" s="9" t="n"/>
      <c r="S111" s="18" t="n">
        <v>0</v>
      </c>
      <c r="T111" s="18" t="n">
        <v>0</v>
      </c>
      <c r="U111" s="9" t="n"/>
      <c r="X111" s="18" t="n">
        <v>0</v>
      </c>
      <c r="Y111" s="18" t="n">
        <v>0</v>
      </c>
      <c r="Z111" s="9" t="n"/>
      <c r="AB111" s="5" t="n"/>
      <c r="AC111" s="10" t="n"/>
      <c r="AD111" s="10" t="n"/>
      <c r="AE111" s="11" t="n"/>
      <c r="AF111" s="10" t="n"/>
      <c r="AG111" s="10" t="n"/>
      <c r="AH111" s="10" t="n"/>
      <c r="AI111" s="10" t="n"/>
      <c r="AJ111" s="11" t="n"/>
      <c r="AK111" s="10" t="n"/>
      <c r="AL111" s="10" t="n"/>
      <c r="AM111" s="10" t="n"/>
      <c r="AN111" s="10" t="n"/>
      <c r="AO111" s="11" t="n"/>
    </row>
    <row r="112">
      <c r="A112" t="n">
        <v>1</v>
      </c>
      <c r="C112" t="inlineStr">
        <is>
          <t>배당금지급</t>
        </is>
      </c>
      <c r="F112" s="9" t="n"/>
      <c r="K112" s="9" t="n"/>
      <c r="P112" s="9" t="n"/>
      <c r="U112" s="9" t="n"/>
      <c r="X112" s="18" t="n">
        <v>148339.88</v>
      </c>
      <c r="Y112" s="18" t="n">
        <v>0</v>
      </c>
      <c r="Z112" s="9" t="n"/>
      <c r="AB112" s="5" t="n"/>
      <c r="AC112" s="10" t="n"/>
      <c r="AD112" s="10" t="n"/>
      <c r="AE112" s="11" t="n"/>
      <c r="AF112" s="10" t="n"/>
      <c r="AG112" s="10" t="n"/>
      <c r="AH112" s="10" t="n"/>
      <c r="AI112" s="10" t="n"/>
      <c r="AJ112" s="11" t="n"/>
      <c r="AK112" s="10" t="n"/>
      <c r="AL112" s="10" t="n"/>
      <c r="AM112" s="10" t="n"/>
      <c r="AN112" s="10" t="n"/>
      <c r="AO11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HD현대중공업(별)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7885398.87</v>
      </c>
      <c r="F5" s="37" t="n">
        <v>7885398.87</v>
      </c>
      <c r="G5" s="18" t="n">
        <v>7716074.45</v>
      </c>
      <c r="H5" s="18" t="n">
        <v>8357606.03</v>
      </c>
      <c r="I5" s="18" t="n">
        <v>8992402.07</v>
      </c>
      <c r="J5" s="18" t="n">
        <v>7988297.04</v>
      </c>
      <c r="K5" s="37" t="n">
        <v>7988297.04</v>
      </c>
      <c r="L5" s="18" t="n">
        <v>8634179.640000001</v>
      </c>
      <c r="M5" s="18" t="n">
        <v>8896685.25</v>
      </c>
      <c r="N5" s="18" t="n">
        <v>9425959.35</v>
      </c>
      <c r="O5" s="18" t="n">
        <v>8768341.189999999</v>
      </c>
      <c r="P5" s="37" t="n">
        <v>8768341.189999999</v>
      </c>
      <c r="Q5" s="18" t="n">
        <v>8966573.220000001</v>
      </c>
      <c r="R5" s="18" t="n">
        <v>9065484.390000001</v>
      </c>
      <c r="S5" s="18" t="n">
        <v>8493977.84</v>
      </c>
      <c r="T5" s="18" t="n">
        <v>10398748.03</v>
      </c>
      <c r="U5" s="37" t="n">
        <v>10398748.03</v>
      </c>
      <c r="V5" s="18" t="n">
        <v>11918956.31</v>
      </c>
      <c r="W5" s="18" t="n">
        <v>11283601.4</v>
      </c>
      <c r="X5" s="18" t="n">
        <v>12277537.01</v>
      </c>
      <c r="Y5" s="18" t="n">
        <v>14937274.56</v>
      </c>
      <c r="Z5" s="37" t="n">
        <v>14937274.56</v>
      </c>
      <c r="AA5" s="18" t="n">
        <v>16145796.17</v>
      </c>
      <c r="AB5" s="19" t="n">
        <v>17912015.03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2137125.64</v>
      </c>
      <c r="F6" s="37" t="n">
        <v>2137125.64</v>
      </c>
      <c r="G6" s="18" t="n">
        <v>1763733.06</v>
      </c>
      <c r="H6" s="18" t="n">
        <v>1634136.93</v>
      </c>
      <c r="I6" s="18" t="n">
        <v>1498890.26</v>
      </c>
      <c r="J6" s="18" t="n">
        <v>723249.2</v>
      </c>
      <c r="K6" s="37" t="n">
        <v>723249.2</v>
      </c>
      <c r="L6" s="18" t="n">
        <v>836315.64</v>
      </c>
      <c r="M6" s="18" t="n">
        <v>760729.54</v>
      </c>
      <c r="N6" s="18" t="n">
        <v>981370.99</v>
      </c>
      <c r="O6" s="18" t="n">
        <v>900193.71</v>
      </c>
      <c r="P6" s="37" t="n">
        <v>900193.71</v>
      </c>
      <c r="Q6" s="18" t="n">
        <v>708556.74</v>
      </c>
      <c r="R6" s="18" t="n">
        <v>748727.8</v>
      </c>
      <c r="S6" s="18" t="n">
        <v>254298.5</v>
      </c>
      <c r="T6" s="18" t="n">
        <v>1242675.55</v>
      </c>
      <c r="U6" s="37" t="n">
        <v>1242675.55</v>
      </c>
      <c r="V6" s="18" t="n">
        <v>2708098.33</v>
      </c>
      <c r="W6" s="18" t="n">
        <v>2338193.93</v>
      </c>
      <c r="X6" s="18" t="n">
        <v>2334257.48</v>
      </c>
      <c r="Y6" s="18" t="n">
        <v>1842183.3</v>
      </c>
      <c r="Z6" s="37" t="n">
        <v>1842183.3</v>
      </c>
      <c r="AA6" s="18" t="n">
        <v>2945633</v>
      </c>
      <c r="AB6" s="19" t="n">
        <v>4513006.16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151000</v>
      </c>
      <c r="F7" s="37" t="n">
        <v>151000</v>
      </c>
      <c r="G7" s="18" t="n">
        <v>151000</v>
      </c>
      <c r="H7" s="18" t="n">
        <v>181000</v>
      </c>
      <c r="I7" s="18" t="n">
        <v>151000</v>
      </c>
      <c r="J7" s="18" t="n">
        <v>161000</v>
      </c>
      <c r="K7" s="37" t="n">
        <v>161000</v>
      </c>
      <c r="L7" s="18" t="n">
        <v>161000</v>
      </c>
      <c r="M7" s="18" t="n">
        <v>131000</v>
      </c>
      <c r="N7" s="18" t="n">
        <v>131000</v>
      </c>
      <c r="O7" s="18" t="n">
        <v>131000</v>
      </c>
      <c r="P7" s="37" t="n">
        <v>131000</v>
      </c>
      <c r="Q7" s="18" t="n">
        <v>131000.01</v>
      </c>
      <c r="R7" s="18" t="n">
        <v>131000</v>
      </c>
      <c r="S7" s="18" t="n">
        <v>131000</v>
      </c>
      <c r="T7" s="18" t="n">
        <v>131000</v>
      </c>
      <c r="U7" s="37" t="n">
        <v>131000</v>
      </c>
      <c r="V7" s="18" t="n">
        <v>131000</v>
      </c>
      <c r="W7" s="18" t="n">
        <v>481000</v>
      </c>
      <c r="X7" s="18" t="n">
        <v>1671000</v>
      </c>
      <c r="Y7" s="18" t="n">
        <v>1689000</v>
      </c>
      <c r="Z7" s="37" t="n">
        <v>1689000</v>
      </c>
      <c r="AA7" s="18" t="n">
        <v>1279000</v>
      </c>
      <c r="AB7" s="19" t="n">
        <v>917000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259137.32</v>
      </c>
      <c r="F8" s="37" t="n">
        <v>259137.32</v>
      </c>
      <c r="G8" s="18" t="n">
        <v>314512.06</v>
      </c>
      <c r="H8" s="18" t="n">
        <v>548806.5600000001</v>
      </c>
      <c r="I8" s="18" t="n">
        <v>974184.5600000001</v>
      </c>
      <c r="J8" s="18" t="n">
        <v>485992.28</v>
      </c>
      <c r="K8" s="37" t="n">
        <v>485992.28</v>
      </c>
      <c r="L8" s="18" t="n">
        <v>547844.55</v>
      </c>
      <c r="M8" s="18" t="n">
        <v>526571.39</v>
      </c>
      <c r="N8" s="18" t="n">
        <v>608327.41</v>
      </c>
      <c r="O8" s="18" t="n">
        <v>432686.75</v>
      </c>
      <c r="P8" s="37" t="n">
        <v>432686.75</v>
      </c>
      <c r="Q8" s="18" t="n">
        <v>559683.45</v>
      </c>
      <c r="R8" s="18" t="n">
        <v>673414.52</v>
      </c>
      <c r="S8" s="18" t="n">
        <v>462191.31</v>
      </c>
      <c r="T8" s="18" t="n">
        <v>954876.65</v>
      </c>
      <c r="U8" s="37" t="n">
        <v>954876.65</v>
      </c>
      <c r="V8" s="18" t="n">
        <v>804978.33</v>
      </c>
      <c r="W8" s="18" t="n">
        <v>771947.75</v>
      </c>
      <c r="X8" s="18" t="n">
        <v>2012261.35</v>
      </c>
      <c r="Y8" s="18" t="n">
        <v>2197681.15</v>
      </c>
      <c r="Z8" s="37" t="n">
        <v>2197681.15</v>
      </c>
      <c r="AA8" s="18" t="n">
        <v>2207931.52</v>
      </c>
      <c r="AB8" s="19" t="n">
        <v>2026825.84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1032383.4</v>
      </c>
      <c r="F9" s="37" t="n">
        <v>1032383.4</v>
      </c>
      <c r="G9" s="18" t="n">
        <v>873302.75</v>
      </c>
      <c r="H9" s="18" t="n">
        <v>1534205.89</v>
      </c>
      <c r="I9" s="18" t="n">
        <v>1101477.2</v>
      </c>
      <c r="J9" s="18" t="n">
        <v>1156122.32</v>
      </c>
      <c r="K9" s="37" t="n">
        <v>1156122.32</v>
      </c>
      <c r="L9" s="18" t="n">
        <v>1420480.27</v>
      </c>
      <c r="M9" s="18" t="n">
        <v>1391097.24</v>
      </c>
      <c r="N9" s="18" t="n">
        <v>1408045.24</v>
      </c>
      <c r="O9" s="18" t="n">
        <v>1383651.16</v>
      </c>
      <c r="P9" s="37" t="n">
        <v>1383651.16</v>
      </c>
      <c r="Q9" s="18" t="n">
        <v>1378783.7</v>
      </c>
      <c r="R9" s="18" t="n">
        <v>1551626.08</v>
      </c>
      <c r="S9" s="18" t="n">
        <v>1581293.28</v>
      </c>
      <c r="T9" s="18" t="n">
        <v>1666695.66</v>
      </c>
      <c r="U9" s="37" t="n">
        <v>1666695.66</v>
      </c>
      <c r="V9" s="18" t="n">
        <v>1865479.05</v>
      </c>
      <c r="W9" s="18" t="n">
        <v>1709653.67</v>
      </c>
      <c r="X9" s="18" t="n">
        <v>1697101.65</v>
      </c>
      <c r="Y9" s="18" t="n">
        <v>1700100.19</v>
      </c>
      <c r="Z9" s="37" t="n">
        <v>1700100.19</v>
      </c>
      <c r="AA9" s="18" t="n">
        <v>1617171.22</v>
      </c>
      <c r="AB9" s="19" t="n">
        <v>1761399.84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2836359.42</v>
      </c>
      <c r="F10" s="37" t="n">
        <v>2836359.42</v>
      </c>
      <c r="G10" s="18" t="n">
        <v>3073176.9</v>
      </c>
      <c r="H10" s="18" t="n">
        <v>2863181.19</v>
      </c>
      <c r="I10" s="18" t="n">
        <v>3253811.57</v>
      </c>
      <c r="J10" s="18" t="n">
        <v>3180079.66</v>
      </c>
      <c r="K10" s="37" t="n">
        <v>3180079.66</v>
      </c>
      <c r="L10" s="18" t="n">
        <v>3232105.68</v>
      </c>
      <c r="M10" s="18" t="n">
        <v>3494267.75</v>
      </c>
      <c r="N10" s="18" t="n">
        <v>3647358.59</v>
      </c>
      <c r="O10" s="18" t="n">
        <v>3458668.85</v>
      </c>
      <c r="P10" s="37" t="n">
        <v>3458668.85</v>
      </c>
      <c r="Q10" s="18" t="n">
        <v>3515123.44</v>
      </c>
      <c r="R10" s="18" t="n">
        <v>3396530.98</v>
      </c>
      <c r="S10" s="18" t="n">
        <v>3397567.12</v>
      </c>
      <c r="T10" s="18" t="n">
        <v>3573015.73</v>
      </c>
      <c r="U10" s="37" t="n">
        <v>3573015.73</v>
      </c>
      <c r="V10" s="18" t="n">
        <v>3273711.07</v>
      </c>
      <c r="W10" s="18" t="n">
        <v>3118247.47</v>
      </c>
      <c r="X10" s="18" t="n">
        <v>2988952.83</v>
      </c>
      <c r="Y10" s="18" t="n">
        <v>5131962.92</v>
      </c>
      <c r="Z10" s="37" t="n">
        <v>5131962.92</v>
      </c>
      <c r="AA10" s="18" t="n">
        <v>5344888.01</v>
      </c>
      <c r="AB10" s="19" t="n">
        <v>5656017.11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898666.74</v>
      </c>
      <c r="F11" s="37" t="n">
        <v>898666.74</v>
      </c>
      <c r="G11" s="18" t="n">
        <v>955114.3199999999</v>
      </c>
      <c r="H11" s="18" t="n">
        <v>1011856.17</v>
      </c>
      <c r="I11" s="18" t="n">
        <v>1277538.79</v>
      </c>
      <c r="J11" s="18" t="n">
        <v>1360377.4</v>
      </c>
      <c r="K11" s="37" t="n">
        <v>1360377.4</v>
      </c>
      <c r="L11" s="18" t="n">
        <v>1445702.58</v>
      </c>
      <c r="M11" s="18" t="n">
        <v>1432643.07</v>
      </c>
      <c r="N11" s="18" t="n">
        <v>1432420.23</v>
      </c>
      <c r="O11" s="18" t="n">
        <v>1308520.35</v>
      </c>
      <c r="P11" s="37" t="n">
        <v>1308520.35</v>
      </c>
      <c r="Q11" s="18" t="n">
        <v>1515234.93</v>
      </c>
      <c r="R11" s="18" t="n">
        <v>1445122.37</v>
      </c>
      <c r="S11" s="18" t="n">
        <v>1537922.34</v>
      </c>
      <c r="T11" s="18" t="n">
        <v>1495877.27</v>
      </c>
      <c r="U11" s="37" t="n">
        <v>1495877.27</v>
      </c>
      <c r="V11" s="18" t="n">
        <v>1631668.6</v>
      </c>
      <c r="W11" s="18" t="n">
        <v>1681490.39</v>
      </c>
      <c r="X11" s="18" t="n">
        <v>1730507.68</v>
      </c>
      <c r="Y11" s="18" t="n">
        <v>1979474.01</v>
      </c>
      <c r="Z11" s="37" t="n">
        <v>1979474.01</v>
      </c>
      <c r="AA11" s="18" t="n">
        <v>1945915.41</v>
      </c>
      <c r="AB11" s="19" t="n">
        <v>1982548.66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유동파생상품자산</t>
        </is>
      </c>
      <c r="E12" s="18" t="n">
        <v>11368.27</v>
      </c>
      <c r="F12" s="37" t="n">
        <v>11368.27</v>
      </c>
      <c r="G12" s="18" t="n">
        <v>39634.66</v>
      </c>
      <c r="H12" s="18" t="n">
        <v>69702.84</v>
      </c>
      <c r="I12" s="18" t="n">
        <v>131045.43</v>
      </c>
      <c r="J12" s="18" t="n">
        <v>106450.66</v>
      </c>
      <c r="K12" s="37" t="n">
        <v>106450.66</v>
      </c>
      <c r="L12" s="18" t="n">
        <v>102084.18</v>
      </c>
      <c r="M12" s="18" t="n">
        <v>104796.3</v>
      </c>
      <c r="N12" s="18" t="n">
        <v>99587.14999999999</v>
      </c>
      <c r="O12" s="18" t="n">
        <v>104488.45</v>
      </c>
      <c r="P12" s="37" t="n">
        <v>104488.45</v>
      </c>
      <c r="Q12" s="18" t="n">
        <v>24628.9</v>
      </c>
      <c r="R12" s="18" t="n">
        <v>3770.28</v>
      </c>
      <c r="S12" s="18" t="n">
        <v>72075.84</v>
      </c>
      <c r="T12" s="18" t="n">
        <v>927.29</v>
      </c>
      <c r="U12" s="37" t="n">
        <v>927.29</v>
      </c>
      <c r="V12" s="18" t="n">
        <v>2644.75</v>
      </c>
      <c r="W12" s="18" t="n">
        <v>66289.10000000001</v>
      </c>
      <c r="X12" s="18" t="n">
        <v>11211.79</v>
      </c>
      <c r="Y12" s="18" t="n">
        <v>8611.82</v>
      </c>
      <c r="Z12" s="37" t="n">
        <v>8611.82</v>
      </c>
      <c r="AA12" s="18" t="n">
        <v>88344.33</v>
      </c>
      <c r="AB12" s="19" t="n">
        <v>99217.49000000001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유동확정계약자산</t>
        </is>
      </c>
      <c r="E13" s="18" t="n">
        <v>96769.05</v>
      </c>
      <c r="F13" s="37" t="n">
        <v>96769.05</v>
      </c>
      <c r="G13" s="18" t="n">
        <v>123877.4</v>
      </c>
      <c r="H13" s="18" t="n">
        <v>298103.72</v>
      </c>
      <c r="I13" s="18" t="n">
        <v>692139.13</v>
      </c>
      <c r="J13" s="18" t="n">
        <v>218541.62</v>
      </c>
      <c r="K13" s="37" t="n">
        <v>218541.62</v>
      </c>
      <c r="L13" s="18" t="n">
        <v>284760.37</v>
      </c>
      <c r="M13" s="18" t="n">
        <v>290775.09</v>
      </c>
      <c r="N13" s="18" t="n">
        <v>377740.26</v>
      </c>
      <c r="O13" s="18" t="n">
        <v>197198.3</v>
      </c>
      <c r="P13" s="37" t="n">
        <v>197198.3</v>
      </c>
      <c r="Q13" s="18" t="n">
        <v>404054.54</v>
      </c>
      <c r="R13" s="18" t="n">
        <v>538644.24</v>
      </c>
      <c r="S13" s="18" t="n">
        <v>259115.47</v>
      </c>
      <c r="T13" s="18" t="n">
        <v>822949.36</v>
      </c>
      <c r="U13" s="37" t="n">
        <v>822949.36</v>
      </c>
      <c r="V13" s="18" t="n">
        <v>671333.58</v>
      </c>
      <c r="W13" s="18" t="n">
        <v>224658.65</v>
      </c>
      <c r="X13" s="18" t="n">
        <v>330049.56</v>
      </c>
      <c r="Y13" s="18" t="n">
        <v>500069.33</v>
      </c>
      <c r="Z13" s="37" t="n">
        <v>500069.33</v>
      </c>
      <c r="AA13" s="18" t="n">
        <v>840587.1899999999</v>
      </c>
      <c r="AB13" s="19" t="n">
        <v>1010608.35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당기법인세자산(선급법인세)</t>
        </is>
      </c>
      <c r="E14" s="18" t="n">
        <v>2447.05</v>
      </c>
      <c r="F14" s="37" t="n">
        <v>2447.05</v>
      </c>
      <c r="G14" s="18" t="n">
        <v>3510.83</v>
      </c>
      <c r="H14" s="18" t="n">
        <v>2208.75</v>
      </c>
      <c r="I14" s="18" t="n">
        <v>3534.69</v>
      </c>
      <c r="J14" s="18" t="n">
        <v>5146.87</v>
      </c>
      <c r="K14" s="37" t="n">
        <v>5146.87</v>
      </c>
      <c r="L14" s="18" t="n">
        <v>6504.98</v>
      </c>
      <c r="M14" s="18" t="n">
        <v>2707.69</v>
      </c>
      <c r="N14" s="18" t="n">
        <v>3779.05</v>
      </c>
      <c r="O14" s="18" t="n">
        <v>5401.22</v>
      </c>
      <c r="P14" s="37" t="n">
        <v>5401.22</v>
      </c>
      <c r="Q14" s="18" t="n">
        <v>7227.15</v>
      </c>
      <c r="R14" s="18" t="n">
        <v>92.27</v>
      </c>
      <c r="S14" s="18" t="n">
        <v>0</v>
      </c>
      <c r="T14" s="18" t="n">
        <v>0</v>
      </c>
      <c r="U14" s="37" t="n">
        <v>0</v>
      </c>
      <c r="Y14" s="18" t="n">
        <v>0</v>
      </c>
      <c r="Z14" s="37" t="n">
        <v>0</v>
      </c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매각예정비유동자산및처분자산</t>
        </is>
      </c>
      <c r="E15" s="18" t="n">
        <v>4719.32</v>
      </c>
      <c r="F15" s="37" t="n">
        <v>4719.32</v>
      </c>
      <c r="K15" s="9" t="n"/>
      <c r="O15" s="18" t="n">
        <v>0</v>
      </c>
      <c r="P15" s="37" t="n">
        <v>0</v>
      </c>
      <c r="U15" s="9" t="n"/>
      <c r="Z15" s="9" t="n"/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기타유동자산</t>
        </is>
      </c>
      <c r="E16" s="18" t="n">
        <v>714559.98</v>
      </c>
      <c r="F16" s="37" t="n">
        <v>714559.98</v>
      </c>
      <c r="G16" s="18" t="n">
        <v>732724.52</v>
      </c>
      <c r="H16" s="18" t="n">
        <v>763210.54</v>
      </c>
      <c r="I16" s="18" t="n">
        <v>882965</v>
      </c>
      <c r="J16" s="18" t="n">
        <v>1077329.3</v>
      </c>
      <c r="K16" s="37" t="n">
        <v>1077329.3</v>
      </c>
      <c r="L16" s="18" t="n">
        <v>1145225.94</v>
      </c>
      <c r="M16" s="18" t="n">
        <v>1288668.57</v>
      </c>
      <c r="N16" s="18" t="n">
        <v>1344657.84</v>
      </c>
      <c r="O16" s="18" t="n">
        <v>1279219.15</v>
      </c>
      <c r="P16" s="37" t="n">
        <v>1279219.15</v>
      </c>
      <c r="Q16" s="18" t="n">
        <v>1281963.8</v>
      </c>
      <c r="R16" s="18" t="n">
        <v>1249970.37</v>
      </c>
      <c r="S16" s="18" t="n">
        <v>1260705.29</v>
      </c>
      <c r="T16" s="18" t="n">
        <v>1465607.18</v>
      </c>
      <c r="U16" s="37" t="n">
        <v>1465607.18</v>
      </c>
      <c r="V16" s="18" t="n">
        <v>1635020.93</v>
      </c>
      <c r="W16" s="18" t="n">
        <v>1664068.2</v>
      </c>
      <c r="X16" s="18" t="n">
        <v>1514456.02</v>
      </c>
      <c r="Y16" s="18" t="n">
        <v>2085872.99</v>
      </c>
      <c r="Z16" s="37" t="n">
        <v>2085872.99</v>
      </c>
      <c r="AA16" s="18" t="n">
        <v>2084257.01</v>
      </c>
      <c r="AB16" s="19" t="n">
        <v>1972217.42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비유동자산</t>
        </is>
      </c>
      <c r="E17" s="18" t="n">
        <v>7193370.09</v>
      </c>
      <c r="F17" s="37" t="n">
        <v>7193370.09</v>
      </c>
      <c r="G17" s="18" t="n">
        <v>7341258.7</v>
      </c>
      <c r="H17" s="18" t="n">
        <v>7867597.14</v>
      </c>
      <c r="I17" s="18" t="n">
        <v>8870069.109999999</v>
      </c>
      <c r="J17" s="18" t="n">
        <v>8294797.88</v>
      </c>
      <c r="K17" s="37" t="n">
        <v>8294797.88</v>
      </c>
      <c r="L17" s="18" t="n">
        <v>8344621.47</v>
      </c>
      <c r="M17" s="18" t="n">
        <v>8345253.32</v>
      </c>
      <c r="N17" s="18" t="n">
        <v>8520002.75</v>
      </c>
      <c r="O17" s="18" t="n">
        <v>8355832.91</v>
      </c>
      <c r="P17" s="37" t="n">
        <v>8355832.91</v>
      </c>
      <c r="Q17" s="18" t="n">
        <v>8456151.300000001</v>
      </c>
      <c r="R17" s="18" t="n">
        <v>8626537.68</v>
      </c>
      <c r="S17" s="18" t="n">
        <v>8364703.74</v>
      </c>
      <c r="T17" s="18" t="n">
        <v>9002546.140000001</v>
      </c>
      <c r="U17" s="37" t="n">
        <v>9002546.140000001</v>
      </c>
      <c r="V17" s="18" t="n">
        <v>8987176.050000001</v>
      </c>
      <c r="W17" s="18" t="n">
        <v>8481259.880000001</v>
      </c>
      <c r="X17" s="18" t="n">
        <v>8539167.710000001</v>
      </c>
      <c r="Y17" s="18" t="n">
        <v>11261787.45</v>
      </c>
      <c r="Z17" s="37" t="n">
        <v>11261787.45</v>
      </c>
      <c r="AA17" s="18" t="n">
        <v>11455772.59</v>
      </c>
      <c r="AB17" s="19" t="n">
        <v>11477993.97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3556.2</v>
      </c>
      <c r="F18" s="37" t="n">
        <v>3556.2</v>
      </c>
      <c r="G18" s="18" t="n">
        <v>32556.2</v>
      </c>
      <c r="H18" s="18" t="n">
        <v>32556.2</v>
      </c>
      <c r="I18" s="18" t="n">
        <v>32556.2</v>
      </c>
      <c r="J18" s="18" t="n">
        <v>30345.76</v>
      </c>
      <c r="K18" s="37" t="n">
        <v>30345.76</v>
      </c>
      <c r="L18" s="18" t="n">
        <v>30346.4</v>
      </c>
      <c r="M18" s="18" t="n">
        <v>30346.4</v>
      </c>
      <c r="N18" s="18" t="n">
        <v>56498.92</v>
      </c>
      <c r="O18" s="18" t="n">
        <v>68946.32000000001</v>
      </c>
      <c r="P18" s="37" t="n">
        <v>68946.32000000001</v>
      </c>
      <c r="Q18" s="18" t="n">
        <v>57151.27</v>
      </c>
      <c r="R18" s="18" t="n">
        <v>57151.27</v>
      </c>
      <c r="S18" s="18" t="n">
        <v>57151.27</v>
      </c>
      <c r="T18" s="18" t="n">
        <v>56938.38</v>
      </c>
      <c r="U18" s="37" t="n">
        <v>56938.38</v>
      </c>
      <c r="V18" s="18" t="n">
        <v>154385.95</v>
      </c>
      <c r="W18" s="18" t="n">
        <v>154385.95</v>
      </c>
      <c r="X18" s="18" t="n">
        <v>153253.08</v>
      </c>
      <c r="Y18" s="18" t="n">
        <v>513708.18</v>
      </c>
      <c r="Z18" s="37" t="n">
        <v>513708.18</v>
      </c>
      <c r="AA18" s="18" t="n">
        <v>513708.18</v>
      </c>
      <c r="AB18" s="19" t="n">
        <v>513708.18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201927.53</v>
      </c>
      <c r="F19" s="37" t="n">
        <v>201927.53</v>
      </c>
      <c r="G19" s="18" t="n">
        <v>229839.87</v>
      </c>
      <c r="H19" s="18" t="n">
        <v>634468.63</v>
      </c>
      <c r="I19" s="18" t="n">
        <v>1504826.06</v>
      </c>
      <c r="J19" s="18" t="n">
        <v>523994.5</v>
      </c>
      <c r="K19" s="37" t="n">
        <v>523994.5</v>
      </c>
      <c r="L19" s="18" t="n">
        <v>498392.08</v>
      </c>
      <c r="M19" s="18" t="n">
        <v>428985.82</v>
      </c>
      <c r="N19" s="18" t="n">
        <v>539229.97</v>
      </c>
      <c r="O19" s="18" t="n">
        <v>375855.18</v>
      </c>
      <c r="P19" s="37" t="n">
        <v>375855.18</v>
      </c>
      <c r="Q19" s="18" t="n">
        <v>448103.88</v>
      </c>
      <c r="R19" s="18" t="n">
        <v>612260.64</v>
      </c>
      <c r="S19" s="18" t="n">
        <v>330513.45</v>
      </c>
      <c r="T19" s="18" t="n">
        <v>1125976.34</v>
      </c>
      <c r="U19" s="37" t="n">
        <v>1125976.34</v>
      </c>
      <c r="V19" s="18" t="n">
        <v>1223375.76</v>
      </c>
      <c r="W19" s="18" t="n">
        <v>591820.72</v>
      </c>
      <c r="X19" s="18" t="n">
        <v>743836.08</v>
      </c>
      <c r="Y19" s="18" t="n">
        <v>1422423.75</v>
      </c>
      <c r="Z19" s="37" t="n">
        <v>1422423.75</v>
      </c>
      <c r="AA19" s="18" t="n">
        <v>1883020.32</v>
      </c>
      <c r="AB19" s="19" t="n">
        <v>1907369.97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장기금융자산</t>
        </is>
      </c>
      <c r="E20" s="18" t="n">
        <v>9560.27</v>
      </c>
      <c r="F20" s="37" t="n">
        <v>9560.27</v>
      </c>
      <c r="G20" s="18" t="n">
        <v>9560.27</v>
      </c>
      <c r="H20" s="18" t="n">
        <v>9554.27</v>
      </c>
      <c r="I20" s="18" t="n">
        <v>9554.27</v>
      </c>
      <c r="J20" s="18" t="n">
        <v>9554.27</v>
      </c>
      <c r="K20" s="37" t="n">
        <v>9554.27</v>
      </c>
      <c r="L20" s="18" t="n">
        <v>9554.27</v>
      </c>
      <c r="M20" s="18" t="n">
        <v>10554.27</v>
      </c>
      <c r="N20" s="18" t="n">
        <v>10554.27</v>
      </c>
      <c r="O20" s="18" t="n">
        <v>10562.23</v>
      </c>
      <c r="P20" s="37" t="n">
        <v>10562.23</v>
      </c>
      <c r="Q20" s="18" t="n">
        <v>10562.23</v>
      </c>
      <c r="R20" s="18" t="n">
        <v>10562.23</v>
      </c>
      <c r="S20" s="18" t="n">
        <v>10562.23</v>
      </c>
      <c r="T20" s="18" t="n">
        <v>10562.23</v>
      </c>
      <c r="U20" s="37" t="n">
        <v>10562.23</v>
      </c>
      <c r="V20" s="18" t="n">
        <v>10562.23</v>
      </c>
      <c r="W20" s="18" t="n">
        <v>10562.23</v>
      </c>
      <c r="X20" s="18" t="n">
        <v>10562.23</v>
      </c>
      <c r="Y20" s="18" t="n">
        <v>25281.42</v>
      </c>
      <c r="Z20" s="37" t="n">
        <v>25281.42</v>
      </c>
      <c r="AA20" s="18" t="n">
        <v>25281.42</v>
      </c>
      <c r="AB20" s="19" t="n">
        <v>25281.42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장기매출채권및기타채권</t>
        </is>
      </c>
      <c r="E21" s="18" t="n">
        <v>38942.19</v>
      </c>
      <c r="F21" s="37" t="n">
        <v>38942.19</v>
      </c>
      <c r="G21" s="18" t="n">
        <v>47759.87</v>
      </c>
      <c r="H21" s="18" t="n">
        <v>97404.14999999999</v>
      </c>
      <c r="I21" s="18" t="n">
        <v>168849.73</v>
      </c>
      <c r="J21" s="18" t="n">
        <v>176738.79</v>
      </c>
      <c r="K21" s="37" t="n">
        <v>176738.79</v>
      </c>
      <c r="L21" s="18" t="n">
        <v>205506.06</v>
      </c>
      <c r="M21" s="18" t="n">
        <v>198976.31</v>
      </c>
      <c r="N21" s="18" t="n">
        <v>216126.11</v>
      </c>
      <c r="O21" s="18" t="n">
        <v>168168.13</v>
      </c>
      <c r="P21" s="37" t="n">
        <v>168168.13</v>
      </c>
      <c r="Q21" s="18" t="n">
        <v>176937.59</v>
      </c>
      <c r="R21" s="18" t="n">
        <v>160888.32</v>
      </c>
      <c r="S21" s="18" t="n">
        <v>136890.47</v>
      </c>
      <c r="T21" s="18" t="n">
        <v>125711.47</v>
      </c>
      <c r="U21" s="37" t="n">
        <v>125711.47</v>
      </c>
      <c r="V21" s="18" t="n">
        <v>99946.38</v>
      </c>
      <c r="W21" s="18" t="n">
        <v>89678.83</v>
      </c>
      <c r="X21" s="18" t="n">
        <v>83155.23</v>
      </c>
      <c r="Y21" s="18" t="n">
        <v>91230.78999999999</v>
      </c>
      <c r="Z21" s="37" t="n">
        <v>91230.78999999999</v>
      </c>
      <c r="AA21" s="18" t="n">
        <v>90261.32000000001</v>
      </c>
      <c r="AB21" s="19" t="n">
        <v>92563.73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투자부동산</t>
        </is>
      </c>
      <c r="E22" s="18" t="n">
        <v>4108.68</v>
      </c>
      <c r="F22" s="37" t="n">
        <v>4108.68</v>
      </c>
      <c r="G22" s="18" t="n">
        <v>1486.97</v>
      </c>
      <c r="H22" s="18" t="n">
        <v>1477.15</v>
      </c>
      <c r="I22" s="18" t="n">
        <v>1467.33</v>
      </c>
      <c r="J22" s="18" t="n">
        <v>1457.52</v>
      </c>
      <c r="K22" s="37" t="n">
        <v>1457.52</v>
      </c>
      <c r="L22" s="18" t="n">
        <v>1447.7</v>
      </c>
      <c r="M22" s="18" t="n">
        <v>1437.88</v>
      </c>
      <c r="N22" s="18" t="n">
        <v>1428.07</v>
      </c>
      <c r="O22" s="18" t="n">
        <v>1418.25</v>
      </c>
      <c r="P22" s="37" t="n">
        <v>1418.25</v>
      </c>
      <c r="Q22" s="18" t="n">
        <v>1408.43</v>
      </c>
      <c r="R22" s="18" t="n">
        <v>1398.61</v>
      </c>
      <c r="S22" s="18" t="n">
        <v>1388.8</v>
      </c>
      <c r="T22" s="18" t="n">
        <v>1378.98</v>
      </c>
      <c r="U22" s="37" t="n">
        <v>1378.98</v>
      </c>
      <c r="V22" s="18" t="n">
        <v>1369.16</v>
      </c>
      <c r="W22" s="18" t="n">
        <v>1359.35</v>
      </c>
      <c r="X22" s="18" t="n">
        <v>1349.53</v>
      </c>
      <c r="Y22" s="18" t="n">
        <v>1339.71</v>
      </c>
      <c r="Z22" s="37" t="n">
        <v>1339.71</v>
      </c>
      <c r="AA22" s="18" t="n">
        <v>1329.89</v>
      </c>
      <c r="AB22" s="19" t="n">
        <v>1320.08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유형자산</t>
        </is>
      </c>
      <c r="E23" s="18" t="n">
        <v>5986251.94</v>
      </c>
      <c r="F23" s="37" t="n">
        <v>5986251.94</v>
      </c>
      <c r="G23" s="18" t="n">
        <v>6020784.9</v>
      </c>
      <c r="H23" s="18" t="n">
        <v>6049050.54</v>
      </c>
      <c r="I23" s="18" t="n">
        <v>6135792.77</v>
      </c>
      <c r="J23" s="18" t="n">
        <v>6216100.2</v>
      </c>
      <c r="K23" s="37" t="n">
        <v>6216100.2</v>
      </c>
      <c r="L23" s="18" t="n">
        <v>6264242.69</v>
      </c>
      <c r="M23" s="18" t="n">
        <v>6323567.24</v>
      </c>
      <c r="N23" s="18" t="n">
        <v>6375744</v>
      </c>
      <c r="O23" s="18" t="n">
        <v>6414554.24</v>
      </c>
      <c r="P23" s="37" t="n">
        <v>6414554.24</v>
      </c>
      <c r="Q23" s="18" t="n">
        <v>6437196.55</v>
      </c>
      <c r="R23" s="18" t="n">
        <v>6480780.42</v>
      </c>
      <c r="S23" s="18" t="n">
        <v>6527707.45</v>
      </c>
      <c r="T23" s="18" t="n">
        <v>6571431.56</v>
      </c>
      <c r="U23" s="37" t="n">
        <v>6571431.56</v>
      </c>
      <c r="V23" s="18" t="n">
        <v>6598042.89</v>
      </c>
      <c r="W23" s="18" t="n">
        <v>6858019.61</v>
      </c>
      <c r="X23" s="18" t="n">
        <v>6909098.19</v>
      </c>
      <c r="Y23" s="18" t="n">
        <v>8665345.289999999</v>
      </c>
      <c r="Z23" s="37" t="n">
        <v>8665345.289999999</v>
      </c>
      <c r="AA23" s="18" t="n">
        <v>8664445.890000001</v>
      </c>
      <c r="AB23" s="19" t="n">
        <v>8738314.810000001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무형자산</t>
        </is>
      </c>
      <c r="E24" s="18" t="n">
        <v>79457.82000000001</v>
      </c>
      <c r="F24" s="37" t="n">
        <v>79457.82000000001</v>
      </c>
      <c r="G24" s="18" t="n">
        <v>80867.62</v>
      </c>
      <c r="H24" s="18" t="n">
        <v>82644.42</v>
      </c>
      <c r="I24" s="18" t="n">
        <v>89389.13</v>
      </c>
      <c r="J24" s="18" t="n">
        <v>100046.84</v>
      </c>
      <c r="K24" s="37" t="n">
        <v>100046.84</v>
      </c>
      <c r="L24" s="18" t="n">
        <v>102981.85</v>
      </c>
      <c r="M24" s="18" t="n">
        <v>105997.21</v>
      </c>
      <c r="N24" s="18" t="n">
        <v>109984.01</v>
      </c>
      <c r="O24" s="18" t="n">
        <v>106633.43</v>
      </c>
      <c r="P24" s="37" t="n">
        <v>106633.43</v>
      </c>
      <c r="Q24" s="18" t="n">
        <v>110283.7</v>
      </c>
      <c r="R24" s="18" t="n">
        <v>113590.25</v>
      </c>
      <c r="S24" s="18" t="n">
        <v>116423.02</v>
      </c>
      <c r="T24" s="18" t="n">
        <v>126522.3</v>
      </c>
      <c r="U24" s="37" t="n">
        <v>126522.3</v>
      </c>
      <c r="V24" s="18" t="n">
        <v>126436.2</v>
      </c>
      <c r="W24" s="18" t="n">
        <v>131928.11</v>
      </c>
      <c r="X24" s="18" t="n">
        <v>126367.39</v>
      </c>
      <c r="Y24" s="18" t="n">
        <v>159207.64</v>
      </c>
      <c r="Z24" s="37" t="n">
        <v>159207.64</v>
      </c>
      <c r="AA24" s="18" t="n">
        <v>159179.91</v>
      </c>
      <c r="AB24" s="19" t="n">
        <v>159638.96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사용권자산</t>
        </is>
      </c>
      <c r="E25" s="18" t="n">
        <v>17906.01</v>
      </c>
      <c r="F25" s="37" t="n">
        <v>17906.01</v>
      </c>
      <c r="G25" s="18" t="n">
        <v>20295.85</v>
      </c>
      <c r="H25" s="18" t="n">
        <v>21950.59</v>
      </c>
      <c r="I25" s="18" t="n">
        <v>21169.95</v>
      </c>
      <c r="J25" s="18" t="n">
        <v>42416.69</v>
      </c>
      <c r="K25" s="37" t="n">
        <v>42416.69</v>
      </c>
      <c r="L25" s="18" t="n">
        <v>40547.88</v>
      </c>
      <c r="M25" s="18" t="n">
        <v>40060.44</v>
      </c>
      <c r="N25" s="18" t="n">
        <v>37306.15</v>
      </c>
      <c r="O25" s="18" t="n">
        <v>36432.63</v>
      </c>
      <c r="P25" s="37" t="n">
        <v>36432.63</v>
      </c>
      <c r="Q25" s="18" t="n">
        <v>36676.19</v>
      </c>
      <c r="R25" s="18" t="n">
        <v>34472.54</v>
      </c>
      <c r="S25" s="18" t="n">
        <v>32077.68</v>
      </c>
      <c r="T25" s="18" t="n">
        <v>30541.67</v>
      </c>
      <c r="U25" s="37" t="n">
        <v>30541.67</v>
      </c>
      <c r="V25" s="18" t="n">
        <v>27630.03</v>
      </c>
      <c r="W25" s="18" t="n">
        <v>24556.85</v>
      </c>
      <c r="X25" s="18" t="n">
        <v>24082.86</v>
      </c>
      <c r="Y25" s="18" t="n">
        <v>33716.29</v>
      </c>
      <c r="Z25" s="37" t="n">
        <v>33716.29</v>
      </c>
      <c r="AA25" s="18" t="n">
        <v>34119.66</v>
      </c>
      <c r="AB25" s="19" t="n">
        <v>30995.03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기타비유동자산</t>
        </is>
      </c>
      <c r="E26" s="18" t="n">
        <v>45026.2</v>
      </c>
      <c r="F26" s="37" t="n">
        <v>45026.2</v>
      </c>
      <c r="G26" s="18" t="n">
        <v>72403.75</v>
      </c>
      <c r="H26" s="18" t="n">
        <v>88171.96000000001</v>
      </c>
      <c r="I26" s="18" t="n">
        <v>75371.77</v>
      </c>
      <c r="J26" s="18" t="n">
        <v>382840.74</v>
      </c>
      <c r="K26" s="37" t="n">
        <v>382840.74</v>
      </c>
      <c r="L26" s="18" t="n">
        <v>370713.39</v>
      </c>
      <c r="M26" s="18" t="n">
        <v>391606.61</v>
      </c>
      <c r="N26" s="18" t="n">
        <v>379934.88</v>
      </c>
      <c r="O26" s="18" t="n">
        <v>366871.99</v>
      </c>
      <c r="P26" s="37" t="n">
        <v>366871.99</v>
      </c>
      <c r="Q26" s="18" t="n">
        <v>359346.5</v>
      </c>
      <c r="R26" s="18" t="n">
        <v>377520.28</v>
      </c>
      <c r="S26" s="18" t="n">
        <v>376593.17</v>
      </c>
      <c r="T26" s="18" t="n">
        <v>242637.37</v>
      </c>
      <c r="U26" s="37" t="n">
        <v>242637.37</v>
      </c>
      <c r="V26" s="18" t="n">
        <v>205652.04</v>
      </c>
      <c r="W26" s="18" t="n">
        <v>184392.31</v>
      </c>
      <c r="X26" s="18" t="n">
        <v>164971.37</v>
      </c>
      <c r="Y26" s="18" t="n">
        <v>450919.57</v>
      </c>
      <c r="Z26" s="37" t="n">
        <v>450919.57</v>
      </c>
      <c r="AA26" s="18" t="n">
        <v>431567.94</v>
      </c>
      <c r="AB26" s="19" t="n">
        <v>407103.37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비유동파생상품자산</t>
        </is>
      </c>
      <c r="E27" s="18" t="n">
        <v>43123.04</v>
      </c>
      <c r="F27" s="37" t="n">
        <v>43123.04</v>
      </c>
      <c r="G27" s="18" t="n">
        <v>59450.95</v>
      </c>
      <c r="H27" s="18" t="n">
        <v>89605.37</v>
      </c>
      <c r="I27" s="18" t="n">
        <v>168106.53</v>
      </c>
      <c r="J27" s="18" t="n">
        <v>293924.05</v>
      </c>
      <c r="K27" s="37" t="n">
        <v>293924.05</v>
      </c>
      <c r="L27" s="18" t="n">
        <v>138341.71</v>
      </c>
      <c r="M27" s="18" t="n">
        <v>158160.86</v>
      </c>
      <c r="N27" s="18" t="n">
        <v>100114.82</v>
      </c>
      <c r="O27" s="18" t="n">
        <v>191895.22</v>
      </c>
      <c r="P27" s="37" t="n">
        <v>191895.22</v>
      </c>
      <c r="Q27" s="18" t="n">
        <v>74200.08</v>
      </c>
      <c r="R27" s="18" t="n">
        <v>52575.75</v>
      </c>
      <c r="S27" s="18" t="n">
        <v>103871.68</v>
      </c>
      <c r="T27" s="18" t="n">
        <v>64055.7</v>
      </c>
      <c r="U27" s="37" t="n">
        <v>64055.7</v>
      </c>
      <c r="V27" s="18" t="n">
        <v>66259.55</v>
      </c>
      <c r="W27" s="18" t="n">
        <v>216190.71</v>
      </c>
      <c r="X27" s="18" t="n">
        <v>90721.64</v>
      </c>
      <c r="Y27" s="18" t="n">
        <v>81469.69</v>
      </c>
      <c r="Z27" s="37" t="n">
        <v>81469.69</v>
      </c>
      <c r="AA27" s="18" t="n">
        <v>2366.41</v>
      </c>
      <c r="AB27" s="19" t="n">
        <v>7453.98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비유동확정계약자산</t>
        </is>
      </c>
      <c r="E28" s="18" t="n">
        <v>145688.02</v>
      </c>
      <c r="F28" s="37" t="n">
        <v>145688.02</v>
      </c>
      <c r="G28" s="18" t="n">
        <v>128272.45</v>
      </c>
      <c r="H28" s="18" t="n">
        <v>502752.79</v>
      </c>
      <c r="I28" s="18" t="n">
        <v>1294609.06</v>
      </c>
      <c r="J28" s="18" t="n">
        <v>190170.42</v>
      </c>
      <c r="K28" s="37" t="n">
        <v>190170.42</v>
      </c>
      <c r="L28" s="18" t="n">
        <v>320149.7</v>
      </c>
      <c r="M28" s="18" t="n">
        <v>229924.29</v>
      </c>
      <c r="N28" s="18" t="n">
        <v>372061.96</v>
      </c>
      <c r="O28" s="18" t="n">
        <v>104451.41</v>
      </c>
      <c r="P28" s="37" t="n">
        <v>104451.41</v>
      </c>
      <c r="Q28" s="18" t="n">
        <v>306190.3</v>
      </c>
      <c r="R28" s="18" t="n">
        <v>491971.39</v>
      </c>
      <c r="S28" s="18" t="n">
        <v>158928.27</v>
      </c>
      <c r="T28" s="18" t="n">
        <v>994420.03</v>
      </c>
      <c r="U28" s="37" t="n">
        <v>994420.03</v>
      </c>
      <c r="V28" s="18" t="n">
        <v>992168.03</v>
      </c>
      <c r="W28" s="18" t="n">
        <v>210681.83</v>
      </c>
      <c r="X28" s="18" t="n">
        <v>489299.13</v>
      </c>
      <c r="Y28" s="18" t="n">
        <v>801964.46</v>
      </c>
      <c r="Z28" s="37" t="n">
        <v>801964.46</v>
      </c>
      <c r="AA28" s="18" t="n">
        <v>1341664.31</v>
      </c>
      <c r="AB28" s="19" t="n">
        <v>1360926.39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이연법인세자산</t>
        </is>
      </c>
      <c r="E29" s="18" t="n">
        <v>837655.73</v>
      </c>
      <c r="F29" s="37" t="n">
        <v>837655.73</v>
      </c>
      <c r="G29" s="18" t="n">
        <v>888115.73</v>
      </c>
      <c r="H29" s="18" t="n">
        <v>914380.29</v>
      </c>
      <c r="I29" s="18" t="n">
        <v>894372.3199999999</v>
      </c>
      <c r="J29" s="18" t="n">
        <v>893619.3</v>
      </c>
      <c r="K29" s="37" t="n">
        <v>893619.3</v>
      </c>
      <c r="L29" s="18" t="n">
        <v>901337.7</v>
      </c>
      <c r="M29" s="18" t="n">
        <v>894682.25</v>
      </c>
      <c r="N29" s="18" t="n">
        <v>897555.71</v>
      </c>
      <c r="O29" s="18" t="n">
        <v>922331.6899999999</v>
      </c>
      <c r="P29" s="37" t="n">
        <v>922331.6899999999</v>
      </c>
      <c r="Q29" s="18" t="n">
        <v>922874.65</v>
      </c>
      <c r="R29" s="18" t="n">
        <v>880099.16</v>
      </c>
      <c r="S29" s="18" t="n">
        <v>875187.39</v>
      </c>
      <c r="T29" s="18" t="n">
        <v>808888.12</v>
      </c>
      <c r="U29" s="37" t="n">
        <v>808888.12</v>
      </c>
      <c r="V29" s="18" t="n">
        <v>732353.62</v>
      </c>
      <c r="W29" s="18" t="n">
        <v>624060.96</v>
      </c>
      <c r="X29" s="18" t="n">
        <v>510389.91</v>
      </c>
      <c r="Y29" s="18" t="n">
        <v>471320.68</v>
      </c>
      <c r="Z29" s="37" t="n">
        <v>471320.68</v>
      </c>
      <c r="AA29" s="18" t="n">
        <v>225967.31</v>
      </c>
      <c r="AB29" s="19" t="n">
        <v>171683.05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자산총계</t>
        </is>
      </c>
      <c r="E30" s="18" t="n">
        <v>15078768.96</v>
      </c>
      <c r="F30" s="37" t="n">
        <v>15078768.96</v>
      </c>
      <c r="G30" s="18" t="n">
        <v>15057333.15</v>
      </c>
      <c r="H30" s="18" t="n">
        <v>16225203.17</v>
      </c>
      <c r="I30" s="18" t="n">
        <v>17862471.18</v>
      </c>
      <c r="J30" s="18" t="n">
        <v>16283094.92</v>
      </c>
      <c r="K30" s="37" t="n">
        <v>16283094.92</v>
      </c>
      <c r="L30" s="18" t="n">
        <v>16978801.11</v>
      </c>
      <c r="M30" s="18" t="n">
        <v>17241938.57</v>
      </c>
      <c r="N30" s="18" t="n">
        <v>17945962.1</v>
      </c>
      <c r="O30" s="18" t="n">
        <v>17124174.09</v>
      </c>
      <c r="P30" s="37" t="n">
        <v>17124174.09</v>
      </c>
      <c r="Q30" s="18" t="n">
        <v>17422724.52</v>
      </c>
      <c r="R30" s="18" t="n">
        <v>17692022.07</v>
      </c>
      <c r="S30" s="18" t="n">
        <v>16858681.58</v>
      </c>
      <c r="T30" s="18" t="n">
        <v>19401294.17</v>
      </c>
      <c r="U30" s="37" t="n">
        <v>19401294.17</v>
      </c>
      <c r="V30" s="18" t="n">
        <v>20906132.37</v>
      </c>
      <c r="W30" s="18" t="n">
        <v>19764861.28</v>
      </c>
      <c r="X30" s="18" t="n">
        <v>20816704.72</v>
      </c>
      <c r="Y30" s="18" t="n">
        <v>26199062.01</v>
      </c>
      <c r="Z30" s="37" t="n">
        <v>26199062.01</v>
      </c>
      <c r="AA30" s="18" t="n">
        <v>27601568.76</v>
      </c>
      <c r="AB30" s="19" t="n">
        <v>29390009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유동부채</t>
        </is>
      </c>
      <c r="E31" s="18" t="n">
        <v>7048596.58</v>
      </c>
      <c r="F31" s="37" t="n">
        <v>7048596.58</v>
      </c>
      <c r="G31" s="18" t="n">
        <v>7486848.14</v>
      </c>
      <c r="H31" s="18" t="n">
        <v>8773792.66</v>
      </c>
      <c r="I31" s="18" t="n">
        <v>9494488.52</v>
      </c>
      <c r="J31" s="18" t="n">
        <v>9073546.66</v>
      </c>
      <c r="K31" s="37" t="n">
        <v>9073546.66</v>
      </c>
      <c r="L31" s="18" t="n">
        <v>9722785.470000001</v>
      </c>
      <c r="M31" s="18" t="n">
        <v>9457556.619999999</v>
      </c>
      <c r="N31" s="18" t="n">
        <v>10279682.03</v>
      </c>
      <c r="O31" s="18" t="n">
        <v>9945633.970000001</v>
      </c>
      <c r="P31" s="37" t="n">
        <v>9945633.970000001</v>
      </c>
      <c r="Q31" s="18" t="n">
        <v>10381431.14</v>
      </c>
      <c r="R31" s="18" t="n">
        <v>10463142.22</v>
      </c>
      <c r="S31" s="18" t="n">
        <v>10211468.12</v>
      </c>
      <c r="T31" s="18" t="n">
        <v>11810579.61</v>
      </c>
      <c r="U31" s="37" t="n">
        <v>11810579.61</v>
      </c>
      <c r="V31" s="18" t="n">
        <v>13274781.32</v>
      </c>
      <c r="W31" s="18" t="n">
        <v>12586912.74</v>
      </c>
      <c r="X31" s="18" t="n">
        <v>13195345.93</v>
      </c>
      <c r="Y31" s="18" t="n">
        <v>15332265.09</v>
      </c>
      <c r="Z31" s="37" t="n">
        <v>15332265.09</v>
      </c>
      <c r="AA31" s="18" t="n">
        <v>16346180.8</v>
      </c>
      <c r="AB31" s="19" t="n">
        <v>17292327.54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단기차입금</t>
        </is>
      </c>
      <c r="E32" s="18" t="n">
        <v>1506767.83</v>
      </c>
      <c r="F32" s="37" t="n">
        <v>1506767.83</v>
      </c>
      <c r="G32" s="18" t="n">
        <v>1774561.73</v>
      </c>
      <c r="H32" s="18" t="n">
        <v>2144436.97</v>
      </c>
      <c r="I32" s="18" t="n">
        <v>2130360.75</v>
      </c>
      <c r="J32" s="18" t="n">
        <v>1444632.17</v>
      </c>
      <c r="K32" s="37" t="n">
        <v>1444632.17</v>
      </c>
      <c r="L32" s="18" t="n">
        <v>1528774.19</v>
      </c>
      <c r="M32" s="18" t="n">
        <v>1401644.81</v>
      </c>
      <c r="N32" s="18" t="n">
        <v>1741046.23</v>
      </c>
      <c r="O32" s="18" t="n">
        <v>1560030.67</v>
      </c>
      <c r="P32" s="37" t="n">
        <v>1560030.67</v>
      </c>
      <c r="Q32" s="18" t="n">
        <v>1444122.44</v>
      </c>
      <c r="R32" s="18" t="n">
        <v>687243.41</v>
      </c>
      <c r="S32" s="18" t="n">
        <v>646904.62</v>
      </c>
      <c r="T32" s="18" t="n">
        <v>390253.31</v>
      </c>
      <c r="U32" s="37" t="n">
        <v>390253.31</v>
      </c>
      <c r="V32" s="18" t="n">
        <v>396850.87</v>
      </c>
      <c r="W32" s="18" t="n">
        <v>348867.09</v>
      </c>
      <c r="X32" s="18" t="n">
        <v>255898.54</v>
      </c>
      <c r="Y32" s="18" t="n">
        <v>152966.8</v>
      </c>
      <c r="Z32" s="37" t="n">
        <v>152966.8</v>
      </c>
      <c r="AA32" s="18" t="n">
        <v>599939.45</v>
      </c>
      <c r="AB32" s="19" t="n">
        <v>520403.57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단기금융부채(face)</t>
        </is>
      </c>
      <c r="E33" s="18" t="n">
        <v>1506767.83</v>
      </c>
      <c r="F33" s="37" t="n">
        <v>1506767.83</v>
      </c>
      <c r="G33" s="18" t="n">
        <v>1774561.73</v>
      </c>
      <c r="H33" s="18" t="n">
        <v>2144436.97</v>
      </c>
      <c r="I33" s="18" t="n">
        <v>2130360.75</v>
      </c>
      <c r="J33" s="18" t="n">
        <v>1444632.17</v>
      </c>
      <c r="K33" s="37" t="n">
        <v>1444632.17</v>
      </c>
      <c r="L33" s="18" t="n">
        <v>1528774.19</v>
      </c>
      <c r="M33" s="18" t="n">
        <v>1401644.81</v>
      </c>
      <c r="N33" s="18" t="n">
        <v>1741046.23</v>
      </c>
      <c r="O33" s="18" t="n">
        <v>1560030.67</v>
      </c>
      <c r="P33" s="37" t="n">
        <v>1560030.67</v>
      </c>
      <c r="Q33" s="18" t="n">
        <v>1444122.44</v>
      </c>
      <c r="R33" s="18" t="n">
        <v>687243.41</v>
      </c>
      <c r="S33" s="18" t="n">
        <v>646904.62</v>
      </c>
      <c r="T33" s="18" t="n">
        <v>390253.31</v>
      </c>
      <c r="U33" s="37" t="n">
        <v>390253.31</v>
      </c>
      <c r="V33" s="18" t="n">
        <v>396850.87</v>
      </c>
      <c r="W33" s="18" t="n">
        <v>348867.09</v>
      </c>
      <c r="X33" s="18" t="n">
        <v>255898.54</v>
      </c>
      <c r="Y33" s="18" t="n">
        <v>152966.8</v>
      </c>
      <c r="Z33" s="37" t="n">
        <v>152966.8</v>
      </c>
      <c r="AA33" s="18" t="n">
        <v>599939.45</v>
      </c>
      <c r="AB33" s="19" t="n">
        <v>520403.57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유동리스부채</t>
        </is>
      </c>
      <c r="E34" s="18" t="n">
        <v>6052.1</v>
      </c>
      <c r="F34" s="37" t="n">
        <v>6052.1</v>
      </c>
      <c r="G34" s="18" t="n">
        <v>8330.01</v>
      </c>
      <c r="H34" s="18" t="n">
        <v>8208.620000000001</v>
      </c>
      <c r="I34" s="18" t="n">
        <v>7689.04</v>
      </c>
      <c r="J34" s="18" t="n">
        <v>13121.32</v>
      </c>
      <c r="K34" s="37" t="n">
        <v>13121.32</v>
      </c>
      <c r="L34" s="18" t="n">
        <v>13758.62</v>
      </c>
      <c r="M34" s="18" t="n">
        <v>13398.61</v>
      </c>
      <c r="N34" s="18" t="n">
        <v>12696.14</v>
      </c>
      <c r="O34" s="18" t="n">
        <v>12005.68</v>
      </c>
      <c r="P34" s="37" t="n">
        <v>12005.68</v>
      </c>
      <c r="Q34" s="18" t="n">
        <v>13353.03</v>
      </c>
      <c r="R34" s="18" t="n">
        <v>12712.21</v>
      </c>
      <c r="S34" s="18" t="n">
        <v>12376.49</v>
      </c>
      <c r="T34" s="18" t="n">
        <v>13109.75</v>
      </c>
      <c r="U34" s="37" t="n">
        <v>13109.75</v>
      </c>
      <c r="V34" s="18" t="n">
        <v>12916.92</v>
      </c>
      <c r="W34" s="18" t="n">
        <v>12049.35</v>
      </c>
      <c r="X34" s="18" t="n">
        <v>12526.93</v>
      </c>
      <c r="Y34" s="18" t="n">
        <v>15983.56</v>
      </c>
      <c r="Z34" s="37" t="n">
        <v>15983.56</v>
      </c>
      <c r="AA34" s="18" t="n">
        <v>17393.76</v>
      </c>
      <c r="AB34" s="19" t="n">
        <v>14965.21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리스부채</t>
        </is>
      </c>
      <c r="E35" s="18" t="n">
        <v>18798.27</v>
      </c>
      <c r="F35" s="37" t="n">
        <v>18798.27</v>
      </c>
      <c r="G35" s="18" t="n">
        <v>21636.7</v>
      </c>
      <c r="H35" s="18" t="n">
        <v>22958.13</v>
      </c>
      <c r="I35" s="18" t="n">
        <v>22856.1</v>
      </c>
      <c r="J35" s="18" t="n">
        <v>43452.44</v>
      </c>
      <c r="K35" s="37" t="n">
        <v>43452.44</v>
      </c>
      <c r="L35" s="18" t="n">
        <v>42386.8</v>
      </c>
      <c r="M35" s="18" t="n">
        <v>41042.72</v>
      </c>
      <c r="N35" s="18" t="n">
        <v>38338.57</v>
      </c>
      <c r="O35" s="18" t="n">
        <v>38064.98</v>
      </c>
      <c r="P35" s="37" t="n">
        <v>38064.98</v>
      </c>
      <c r="Q35" s="18" t="n">
        <v>38571.78</v>
      </c>
      <c r="R35" s="18" t="n">
        <v>35119.31</v>
      </c>
      <c r="S35" s="18" t="n">
        <v>32537.21</v>
      </c>
      <c r="T35" s="18" t="n">
        <v>32304.56</v>
      </c>
      <c r="U35" s="37" t="n">
        <v>32304.56</v>
      </c>
      <c r="V35" s="18" t="n">
        <v>28944.71</v>
      </c>
      <c r="W35" s="18" t="n">
        <v>24661.54</v>
      </c>
      <c r="X35" s="18" t="n">
        <v>24146.97</v>
      </c>
      <c r="Y35" s="18" t="n">
        <v>35478.58</v>
      </c>
      <c r="Z35" s="37" t="n">
        <v>35478.58</v>
      </c>
      <c r="AA35" s="18" t="n">
        <v>36491.92</v>
      </c>
      <c r="AB35" s="19" t="n">
        <v>32668.27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단기금융부채</t>
        </is>
      </c>
      <c r="E36" s="18" t="n">
        <v>160149.88</v>
      </c>
      <c r="F36" s="37" t="n">
        <v>160149.88</v>
      </c>
      <c r="G36" s="18" t="n">
        <v>220954.54</v>
      </c>
      <c r="H36" s="18" t="n">
        <v>451220.75</v>
      </c>
      <c r="I36" s="18" t="n">
        <v>977895.61</v>
      </c>
      <c r="J36" s="18" t="n">
        <v>387899.04</v>
      </c>
      <c r="K36" s="37" t="n">
        <v>387899.04</v>
      </c>
      <c r="L36" s="18" t="n">
        <v>463170.64</v>
      </c>
      <c r="M36" s="18" t="n">
        <v>493338.98</v>
      </c>
      <c r="N36" s="18" t="n">
        <v>593886.21</v>
      </c>
      <c r="O36" s="18" t="n">
        <v>368201.52</v>
      </c>
      <c r="P36" s="37" t="n">
        <v>368201.52</v>
      </c>
      <c r="Q36" s="18" t="n">
        <v>587290.6</v>
      </c>
      <c r="R36" s="18" t="n">
        <v>716798.55</v>
      </c>
      <c r="S36" s="18" t="n">
        <v>420466.19</v>
      </c>
      <c r="T36" s="18" t="n">
        <v>1114558.66</v>
      </c>
      <c r="U36" s="37" t="n">
        <v>1114558.66</v>
      </c>
      <c r="V36" s="18" t="n">
        <v>874210.77</v>
      </c>
      <c r="W36" s="18" t="n">
        <v>355589.04</v>
      </c>
      <c r="X36" s="18" t="n">
        <v>459644.15</v>
      </c>
      <c r="Y36" s="18" t="n">
        <v>700027.86</v>
      </c>
      <c r="Z36" s="37" t="n">
        <v>700027.86</v>
      </c>
      <c r="AA36" s="18" t="n">
        <v>1216230.77</v>
      </c>
      <c r="AB36" s="19" t="n">
        <v>1451298.9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매입채무및기타채무</t>
        </is>
      </c>
      <c r="E37" s="18" t="n">
        <v>1745918.08</v>
      </c>
      <c r="F37" s="37" t="n">
        <v>1745918.08</v>
      </c>
      <c r="G37" s="18" t="n">
        <v>1683817.91</v>
      </c>
      <c r="H37" s="18" t="n">
        <v>1645578.51</v>
      </c>
      <c r="I37" s="18" t="n">
        <v>1784627.43</v>
      </c>
      <c r="J37" s="18" t="n">
        <v>1575195.04</v>
      </c>
      <c r="K37" s="37" t="n">
        <v>1575195.04</v>
      </c>
      <c r="L37" s="18" t="n">
        <v>2053325.19</v>
      </c>
      <c r="M37" s="18" t="n">
        <v>1971317.18</v>
      </c>
      <c r="N37" s="18" t="n">
        <v>1877017.48</v>
      </c>
      <c r="O37" s="18" t="n">
        <v>2025746.16</v>
      </c>
      <c r="P37" s="37" t="n">
        <v>2025746.16</v>
      </c>
      <c r="Q37" s="18" t="n">
        <v>2097639.69</v>
      </c>
      <c r="R37" s="18" t="n">
        <v>2132106.12</v>
      </c>
      <c r="S37" s="18" t="n">
        <v>2177646</v>
      </c>
      <c r="T37" s="18" t="n">
        <v>2334623.77</v>
      </c>
      <c r="U37" s="37" t="n">
        <v>2334623.77</v>
      </c>
      <c r="V37" s="18" t="n">
        <v>2407157.76</v>
      </c>
      <c r="W37" s="18" t="n">
        <v>2287147.81</v>
      </c>
      <c r="X37" s="18" t="n">
        <v>2259685.24</v>
      </c>
      <c r="Y37" s="18" t="n">
        <v>3300156.18</v>
      </c>
      <c r="Z37" s="37" t="n">
        <v>3300156.18</v>
      </c>
      <c r="AA37" s="18" t="n">
        <v>3558638.85</v>
      </c>
      <c r="AB37" s="19" t="n">
        <v>3568239.56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계약부채</t>
        </is>
      </c>
      <c r="E38" s="18" t="n">
        <v>2607770.74</v>
      </c>
      <c r="F38" s="37" t="n">
        <v>2607770.74</v>
      </c>
      <c r="G38" s="18" t="n">
        <v>2777308.17</v>
      </c>
      <c r="H38" s="18" t="n">
        <v>3555167.76</v>
      </c>
      <c r="I38" s="18" t="n">
        <v>3721338.54</v>
      </c>
      <c r="J38" s="18" t="n">
        <v>4764892.82</v>
      </c>
      <c r="K38" s="37" t="n">
        <v>4764892.82</v>
      </c>
      <c r="L38" s="18" t="n">
        <v>5457920.06</v>
      </c>
      <c r="M38" s="18" t="n">
        <v>5439540.73</v>
      </c>
      <c r="N38" s="18" t="n">
        <v>5931686.3</v>
      </c>
      <c r="O38" s="18" t="n">
        <v>5811350.02</v>
      </c>
      <c r="P38" s="37" t="n">
        <v>5811350.02</v>
      </c>
      <c r="Q38" s="18" t="n">
        <v>6016183.64</v>
      </c>
      <c r="R38" s="18" t="n">
        <v>6659788.88</v>
      </c>
      <c r="S38" s="18" t="n">
        <v>6718545.66</v>
      </c>
      <c r="T38" s="18" t="n">
        <v>7710290.58</v>
      </c>
      <c r="U38" s="37" t="n">
        <v>7710290.58</v>
      </c>
      <c r="V38" s="18" t="n">
        <v>9316111.73</v>
      </c>
      <c r="W38" s="18" t="n">
        <v>9284458.369999999</v>
      </c>
      <c r="X38" s="18" t="n">
        <v>9911399.869999999</v>
      </c>
      <c r="Y38" s="18" t="n">
        <v>10807768.39</v>
      </c>
      <c r="Z38" s="37" t="n">
        <v>10807768.39</v>
      </c>
      <c r="AA38" s="18" t="n">
        <v>10568739.68</v>
      </c>
      <c r="AB38" s="19" t="n">
        <v>11084548.31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단기충당부채</t>
        </is>
      </c>
      <c r="E39" s="18" t="n">
        <v>1027990.06</v>
      </c>
      <c r="F39" s="37" t="n">
        <v>1027990.06</v>
      </c>
      <c r="G39" s="18" t="n">
        <v>1030205.79</v>
      </c>
      <c r="H39" s="18" t="n">
        <v>977388.6800000001</v>
      </c>
      <c r="I39" s="18" t="n">
        <v>880266.1899999999</v>
      </c>
      <c r="J39" s="18" t="n">
        <v>900927.59</v>
      </c>
      <c r="K39" s="37" t="n">
        <v>900927.59</v>
      </c>
      <c r="L39" s="18" t="n">
        <v>219595.39</v>
      </c>
      <c r="M39" s="18" t="n">
        <v>151714.93</v>
      </c>
      <c r="N39" s="18" t="n">
        <v>136045.81</v>
      </c>
      <c r="O39" s="18" t="n">
        <v>180305.6</v>
      </c>
      <c r="P39" s="37" t="n">
        <v>180305.6</v>
      </c>
      <c r="Q39" s="18" t="n">
        <v>236194.78</v>
      </c>
      <c r="R39" s="18" t="n">
        <v>266907.97</v>
      </c>
      <c r="S39" s="18" t="n">
        <v>238105.15</v>
      </c>
      <c r="T39" s="18" t="n">
        <v>247060.22</v>
      </c>
      <c r="U39" s="37" t="n">
        <v>247060.22</v>
      </c>
      <c r="V39" s="18" t="n">
        <v>255904.1</v>
      </c>
      <c r="W39" s="18" t="n">
        <v>280934.11</v>
      </c>
      <c r="X39" s="18" t="n">
        <v>279728.65</v>
      </c>
      <c r="Y39" s="18" t="n">
        <v>332363.4</v>
      </c>
      <c r="Z39" s="37" t="n">
        <v>332363.4</v>
      </c>
      <c r="AA39" s="18" t="n">
        <v>344229.99</v>
      </c>
      <c r="AB39" s="19" t="n">
        <v>354292.66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단기파생상품부채</t>
        </is>
      </c>
      <c r="E40" s="18" t="n">
        <v>154097.78</v>
      </c>
      <c r="F40" s="37" t="n">
        <v>154097.78</v>
      </c>
      <c r="G40" s="18" t="n">
        <v>212624.53</v>
      </c>
      <c r="H40" s="18" t="n">
        <v>443012.13</v>
      </c>
      <c r="I40" s="18" t="n">
        <v>970206.5699999999</v>
      </c>
      <c r="J40" s="18" t="n">
        <v>374777.72</v>
      </c>
      <c r="K40" s="37" t="n">
        <v>374777.72</v>
      </c>
      <c r="L40" s="18" t="n">
        <v>449412.02</v>
      </c>
      <c r="M40" s="18" t="n">
        <v>479940.37</v>
      </c>
      <c r="N40" s="18" t="n">
        <v>581190.0699999999</v>
      </c>
      <c r="O40" s="18" t="n">
        <v>356195.84</v>
      </c>
      <c r="P40" s="37" t="n">
        <v>356195.84</v>
      </c>
      <c r="Q40" s="18" t="n">
        <v>573937.5699999999</v>
      </c>
      <c r="R40" s="18" t="n">
        <v>704086.34</v>
      </c>
      <c r="S40" s="18" t="n">
        <v>408089.7</v>
      </c>
      <c r="T40" s="18" t="n">
        <v>1101448.91</v>
      </c>
      <c r="U40" s="37" t="n">
        <v>1101448.91</v>
      </c>
      <c r="V40" s="18" t="n">
        <v>861293.85</v>
      </c>
      <c r="W40" s="18" t="n">
        <v>343539.69</v>
      </c>
      <c r="X40" s="18" t="n">
        <v>447117.22</v>
      </c>
      <c r="Y40" s="18" t="n">
        <v>684044.3</v>
      </c>
      <c r="Z40" s="37" t="n">
        <v>684044.3</v>
      </c>
      <c r="AA40" s="18" t="n">
        <v>1198837.01</v>
      </c>
      <c r="AB40" s="19" t="n">
        <v>1436333.69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비유동부채</t>
        </is>
      </c>
      <c r="E41" s="18" t="n">
        <v>2436039.09</v>
      </c>
      <c r="F41" s="37" t="n">
        <v>2436039.09</v>
      </c>
      <c r="G41" s="18" t="n">
        <v>2118819.06</v>
      </c>
      <c r="H41" s="18" t="n">
        <v>2063705.19</v>
      </c>
      <c r="I41" s="18" t="n">
        <v>2926939.74</v>
      </c>
      <c r="J41" s="18" t="n">
        <v>1919429.98</v>
      </c>
      <c r="K41" s="37" t="n">
        <v>1919429.98</v>
      </c>
      <c r="L41" s="18" t="n">
        <v>1991644.83</v>
      </c>
      <c r="M41" s="18" t="n">
        <v>2495330.31</v>
      </c>
      <c r="N41" s="18" t="n">
        <v>2389906.6</v>
      </c>
      <c r="O41" s="18" t="n">
        <v>1969554.41</v>
      </c>
      <c r="P41" s="37" t="n">
        <v>1969554.41</v>
      </c>
      <c r="Q41" s="18" t="n">
        <v>1809162.76</v>
      </c>
      <c r="R41" s="18" t="n">
        <v>1845785.19</v>
      </c>
      <c r="S41" s="18" t="n">
        <v>1187834.93</v>
      </c>
      <c r="T41" s="18" t="n">
        <v>1888114.79</v>
      </c>
      <c r="U41" s="37" t="n">
        <v>1888114.79</v>
      </c>
      <c r="V41" s="18" t="n">
        <v>1826089.49</v>
      </c>
      <c r="W41" s="18" t="n">
        <v>996978.52</v>
      </c>
      <c r="X41" s="18" t="n">
        <v>1156625.07</v>
      </c>
      <c r="Y41" s="18" t="n">
        <v>1484222.25</v>
      </c>
      <c r="Z41" s="37" t="n">
        <v>1484222.25</v>
      </c>
      <c r="AA41" s="18" t="n">
        <v>1523370.86</v>
      </c>
      <c r="AB41" s="19" t="n">
        <v>1546209.27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장기차입금</t>
        </is>
      </c>
      <c r="E42" s="18" t="n">
        <v>1958992.31</v>
      </c>
      <c r="F42" s="37" t="n">
        <v>1958992.31</v>
      </c>
      <c r="G42" s="18" t="n">
        <v>1626173.24</v>
      </c>
      <c r="H42" s="18" t="n">
        <v>1197558.84</v>
      </c>
      <c r="I42" s="18" t="n">
        <v>1250450.25</v>
      </c>
      <c r="J42" s="18" t="n">
        <v>1150024.16</v>
      </c>
      <c r="K42" s="37" t="n">
        <v>1150024.16</v>
      </c>
      <c r="L42" s="18" t="n">
        <v>1236710</v>
      </c>
      <c r="M42" s="18" t="n">
        <v>1790094.69</v>
      </c>
      <c r="N42" s="18" t="n">
        <v>1602871.04</v>
      </c>
      <c r="O42" s="18" t="n">
        <v>1559942.82</v>
      </c>
      <c r="P42" s="37" t="n">
        <v>1559942.82</v>
      </c>
      <c r="Q42" s="18" t="n">
        <v>1326593.75</v>
      </c>
      <c r="R42" s="18" t="n">
        <v>1206680.26</v>
      </c>
      <c r="S42" s="18" t="n">
        <v>809134.1899999999</v>
      </c>
      <c r="U42" s="9" t="n"/>
      <c r="V42" s="18" t="n">
        <v>685730.58</v>
      </c>
      <c r="W42" s="18" t="n">
        <v>464790.16</v>
      </c>
      <c r="X42" s="18" t="n">
        <v>478555.37</v>
      </c>
      <c r="Y42" s="18" t="n">
        <v>488384.39</v>
      </c>
      <c r="Z42" s="37" t="n">
        <v>488384.39</v>
      </c>
      <c r="AA42" s="18" t="n">
        <v>0</v>
      </c>
      <c r="AB42" s="19" t="n">
        <v>0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장기금융부채(face)</t>
        </is>
      </c>
      <c r="E43" s="18" t="n">
        <v>1958992.31</v>
      </c>
      <c r="F43" s="37" t="n">
        <v>1958992.31</v>
      </c>
      <c r="G43" s="18" t="n">
        <v>1626173.24</v>
      </c>
      <c r="H43" s="18" t="n">
        <v>1197558.84</v>
      </c>
      <c r="I43" s="18" t="n">
        <v>1250450.25</v>
      </c>
      <c r="J43" s="18" t="n">
        <v>1150024.16</v>
      </c>
      <c r="K43" s="37" t="n">
        <v>1150024.16</v>
      </c>
      <c r="L43" s="18" t="n">
        <v>1236710</v>
      </c>
      <c r="M43" s="18" t="n">
        <v>1790094.69</v>
      </c>
      <c r="N43" s="18" t="n">
        <v>1602871.04</v>
      </c>
      <c r="O43" s="18" t="n">
        <v>1559942.82</v>
      </c>
      <c r="P43" s="37" t="n">
        <v>1559942.82</v>
      </c>
      <c r="Q43" s="18" t="n">
        <v>1326593.75</v>
      </c>
      <c r="R43" s="18" t="n">
        <v>1206680.26</v>
      </c>
      <c r="S43" s="18" t="n">
        <v>809134.1899999999</v>
      </c>
      <c r="U43" s="9" t="n"/>
      <c r="V43" s="18" t="n">
        <v>685730.58</v>
      </c>
      <c r="W43" s="18" t="n">
        <v>464790.16</v>
      </c>
      <c r="X43" s="18" t="n">
        <v>478555.37</v>
      </c>
      <c r="Y43" s="18" t="n">
        <v>488384.39</v>
      </c>
      <c r="Z43" s="37" t="n">
        <v>488384.39</v>
      </c>
      <c r="AA43" s="18" t="n">
        <v>0</v>
      </c>
      <c r="AB43" s="19" t="n">
        <v>0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비유동리스부채</t>
        </is>
      </c>
      <c r="E44" s="18" t="n">
        <v>12746.17</v>
      </c>
      <c r="F44" s="37" t="n">
        <v>12746.17</v>
      </c>
      <c r="G44" s="18" t="n">
        <v>13306.69</v>
      </c>
      <c r="H44" s="18" t="n">
        <v>14749.51</v>
      </c>
      <c r="I44" s="18" t="n">
        <v>15167.06</v>
      </c>
      <c r="J44" s="18" t="n">
        <v>30331.12</v>
      </c>
      <c r="K44" s="37" t="n">
        <v>30331.12</v>
      </c>
      <c r="L44" s="18" t="n">
        <v>28628.18</v>
      </c>
      <c r="M44" s="18" t="n">
        <v>27644.11</v>
      </c>
      <c r="N44" s="18" t="n">
        <v>25642.43</v>
      </c>
      <c r="O44" s="18" t="n">
        <v>26059.3</v>
      </c>
      <c r="P44" s="37" t="n">
        <v>26059.3</v>
      </c>
      <c r="Q44" s="18" t="n">
        <v>25218.75</v>
      </c>
      <c r="R44" s="18" t="n">
        <v>22407.1</v>
      </c>
      <c r="S44" s="18" t="n">
        <v>20160.72</v>
      </c>
      <c r="T44" s="18" t="n">
        <v>19194.81</v>
      </c>
      <c r="U44" s="37" t="n">
        <v>19194.81</v>
      </c>
      <c r="V44" s="18" t="n">
        <v>16027.79</v>
      </c>
      <c r="W44" s="18" t="n">
        <v>12612.19</v>
      </c>
      <c r="X44" s="18" t="n">
        <v>11620.04</v>
      </c>
      <c r="Y44" s="18" t="n">
        <v>19495.02</v>
      </c>
      <c r="Z44" s="37" t="n">
        <v>19495.02</v>
      </c>
      <c r="AA44" s="18" t="n">
        <v>19098.16</v>
      </c>
      <c r="AB44" s="19" t="n">
        <v>17703.06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장기금융부채</t>
        </is>
      </c>
      <c r="E45" s="18" t="n">
        <v>163221.98</v>
      </c>
      <c r="F45" s="37" t="n">
        <v>163221.98</v>
      </c>
      <c r="G45" s="18" t="n">
        <v>168609.19</v>
      </c>
      <c r="H45" s="18" t="n">
        <v>525081</v>
      </c>
      <c r="I45" s="18" t="n">
        <v>1309776.12</v>
      </c>
      <c r="J45" s="18" t="n">
        <v>450460.66</v>
      </c>
      <c r="K45" s="37" t="n">
        <v>450460.66</v>
      </c>
      <c r="L45" s="18" t="n">
        <v>469913.87</v>
      </c>
      <c r="M45" s="18" t="n">
        <v>399506.92</v>
      </c>
      <c r="N45" s="18" t="n">
        <v>472943.71</v>
      </c>
      <c r="O45" s="18" t="n">
        <v>314089.53</v>
      </c>
      <c r="P45" s="37" t="n">
        <v>314089.53</v>
      </c>
      <c r="Q45" s="18" t="n">
        <v>381685.29</v>
      </c>
      <c r="R45" s="18" t="n">
        <v>528525.66</v>
      </c>
      <c r="S45" s="18" t="n">
        <v>258153.31</v>
      </c>
      <c r="T45" s="18" t="n">
        <v>1013701.83</v>
      </c>
      <c r="U45" s="37" t="n">
        <v>1013701.83</v>
      </c>
      <c r="V45" s="18" t="n">
        <v>1011282.03</v>
      </c>
      <c r="W45" s="18" t="n">
        <v>406468.73</v>
      </c>
      <c r="X45" s="18" t="n">
        <v>549200.6800000001</v>
      </c>
      <c r="Y45" s="18" t="n">
        <v>851545.58</v>
      </c>
      <c r="Z45" s="37" t="n">
        <v>851545.58</v>
      </c>
      <c r="AA45" s="18" t="n">
        <v>1373195.59</v>
      </c>
      <c r="AB45" s="19" t="n">
        <v>1393144.61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장기매입채무및기타채무</t>
        </is>
      </c>
      <c r="E46" s="18" t="n">
        <v>248.8</v>
      </c>
      <c r="F46" s="37" t="n">
        <v>248.8</v>
      </c>
      <c r="G46" s="18" t="n">
        <v>249.68</v>
      </c>
      <c r="H46" s="18" t="n">
        <v>253.81</v>
      </c>
      <c r="I46" s="18" t="n">
        <v>329.61</v>
      </c>
      <c r="J46" s="18" t="n">
        <v>381</v>
      </c>
      <c r="K46" s="37" t="n">
        <v>381</v>
      </c>
      <c r="L46" s="18" t="n">
        <v>388.77</v>
      </c>
      <c r="M46" s="18" t="n">
        <v>583.75</v>
      </c>
      <c r="N46" s="18" t="n">
        <v>673.66</v>
      </c>
      <c r="O46" s="18" t="n">
        <v>3790.81</v>
      </c>
      <c r="P46" s="37" t="n">
        <v>3790.81</v>
      </c>
      <c r="Q46" s="18" t="n">
        <v>2967.37</v>
      </c>
      <c r="R46" s="18" t="n">
        <v>4133.22</v>
      </c>
      <c r="S46" s="18" t="n">
        <v>4911.86</v>
      </c>
      <c r="T46" s="18" t="n">
        <v>8835.74</v>
      </c>
      <c r="U46" s="37" t="n">
        <v>8835.74</v>
      </c>
      <c r="V46" s="18" t="n">
        <v>10196.03</v>
      </c>
      <c r="W46" s="18" t="n">
        <v>11351.53</v>
      </c>
      <c r="X46" s="18" t="n">
        <v>12591.07</v>
      </c>
      <c r="Y46" s="18" t="n">
        <v>15699.25</v>
      </c>
      <c r="Z46" s="37" t="n">
        <v>15699.25</v>
      </c>
      <c r="AA46" s="18" t="n">
        <v>18240.03</v>
      </c>
      <c r="AB46" s="19" t="n">
        <v>19448.75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확정급여부채</t>
        </is>
      </c>
      <c r="E47" s="18" t="n">
        <v>33198.09</v>
      </c>
      <c r="F47" s="37" t="n">
        <v>33198.09</v>
      </c>
      <c r="G47" s="18" t="n">
        <v>33198.09</v>
      </c>
      <c r="H47" s="18" t="n">
        <v>33198.09</v>
      </c>
      <c r="I47" s="18" t="n">
        <v>33198.09</v>
      </c>
      <c r="J47" s="18" t="n">
        <v>28462.25</v>
      </c>
      <c r="K47" s="37" t="n">
        <v>28462.25</v>
      </c>
      <c r="L47" s="18" t="n">
        <v>28462.25</v>
      </c>
      <c r="M47" s="18" t="n">
        <v>28462.25</v>
      </c>
      <c r="N47" s="18" t="n">
        <v>28462.25</v>
      </c>
      <c r="O47" s="18" t="n">
        <v>30857.21</v>
      </c>
      <c r="P47" s="37" t="n">
        <v>30857.21</v>
      </c>
      <c r="Q47" s="18" t="n">
        <v>31477.91</v>
      </c>
      <c r="R47" s="18" t="n">
        <v>31477.91</v>
      </c>
      <c r="S47" s="18" t="n">
        <v>31477.91</v>
      </c>
      <c r="T47" s="18" t="n">
        <v>33647.53</v>
      </c>
      <c r="U47" s="37" t="n">
        <v>33647.53</v>
      </c>
      <c r="V47" s="18" t="n">
        <v>25659.51</v>
      </c>
      <c r="W47" s="18" t="n">
        <v>25659.51</v>
      </c>
      <c r="X47" s="18" t="n">
        <v>25659.51</v>
      </c>
      <c r="Y47" s="18" t="n">
        <v>31153.15</v>
      </c>
      <c r="Z47" s="37" t="n">
        <v>31153.15</v>
      </c>
      <c r="AA47" s="18" t="n">
        <v>31153.15</v>
      </c>
      <c r="AB47" s="19" t="n">
        <v>31153.15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장기충당부채</t>
        </is>
      </c>
      <c r="E48" s="18" t="n">
        <v>269562.66</v>
      </c>
      <c r="F48" s="37" t="n">
        <v>269562.66</v>
      </c>
      <c r="G48" s="18" t="n">
        <v>279839.61</v>
      </c>
      <c r="H48" s="18" t="n">
        <v>296930.2</v>
      </c>
      <c r="I48" s="18" t="n">
        <v>322568.42</v>
      </c>
      <c r="J48" s="18" t="n">
        <v>279550.66</v>
      </c>
      <c r="K48" s="37" t="n">
        <v>279550.66</v>
      </c>
      <c r="L48" s="18" t="n">
        <v>245686.94</v>
      </c>
      <c r="M48" s="18" t="n">
        <v>266267.96</v>
      </c>
      <c r="N48" s="18" t="n">
        <v>274609.47</v>
      </c>
      <c r="O48" s="18" t="n">
        <v>50595.84</v>
      </c>
      <c r="P48" s="37" t="n">
        <v>50595.84</v>
      </c>
      <c r="Q48" s="18" t="n">
        <v>56230.86</v>
      </c>
      <c r="R48" s="18" t="n">
        <v>64831.17</v>
      </c>
      <c r="S48" s="18" t="n">
        <v>74091.3</v>
      </c>
      <c r="T48" s="18" t="n">
        <v>70328.19</v>
      </c>
      <c r="U48" s="37" t="n">
        <v>70328.19</v>
      </c>
      <c r="V48" s="18" t="n">
        <v>83298.64</v>
      </c>
      <c r="W48" s="18" t="n">
        <v>78858.92999999999</v>
      </c>
      <c r="X48" s="18" t="n">
        <v>80841.82000000001</v>
      </c>
      <c r="Y48" s="18" t="n">
        <v>87736.3</v>
      </c>
      <c r="Z48" s="37" t="n">
        <v>87736.3</v>
      </c>
      <c r="AA48" s="18" t="n">
        <v>91154.08</v>
      </c>
      <c r="AB48" s="19" t="n">
        <v>92910.3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장기파생상품부채</t>
        </is>
      </c>
      <c r="E49" s="18" t="n">
        <v>150475.81</v>
      </c>
      <c r="F49" s="37" t="n">
        <v>150475.81</v>
      </c>
      <c r="G49" s="18" t="n">
        <v>155302.5</v>
      </c>
      <c r="H49" s="18" t="n">
        <v>510331.49</v>
      </c>
      <c r="I49" s="18" t="n">
        <v>1294609.06</v>
      </c>
      <c r="J49" s="18" t="n">
        <v>420129.54</v>
      </c>
      <c r="K49" s="37" t="n">
        <v>420129.54</v>
      </c>
      <c r="L49" s="18" t="n">
        <v>441285.69</v>
      </c>
      <c r="M49" s="18" t="n">
        <v>371862.81</v>
      </c>
      <c r="N49" s="18" t="n">
        <v>447301.28</v>
      </c>
      <c r="O49" s="18" t="n">
        <v>288030.23</v>
      </c>
      <c r="P49" s="37" t="n">
        <v>288030.23</v>
      </c>
      <c r="Q49" s="18" t="n">
        <v>356466.54</v>
      </c>
      <c r="R49" s="18" t="n">
        <v>506118.56</v>
      </c>
      <c r="S49" s="18" t="n">
        <v>237992.59</v>
      </c>
      <c r="T49" s="18" t="n">
        <v>994507.02</v>
      </c>
      <c r="U49" s="37" t="n">
        <v>994507.02</v>
      </c>
      <c r="V49" s="18" t="n">
        <v>995254.24</v>
      </c>
      <c r="W49" s="18" t="n">
        <v>393856.54</v>
      </c>
      <c r="X49" s="18" t="n">
        <v>537580.64</v>
      </c>
      <c r="Y49" s="18" t="n">
        <v>832050.5600000001</v>
      </c>
      <c r="Z49" s="37" t="n">
        <v>832050.5600000001</v>
      </c>
      <c r="AA49" s="18" t="n">
        <v>1354097.43</v>
      </c>
      <c r="AB49" s="19" t="n">
        <v>1375441.55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부채총계</t>
        </is>
      </c>
      <c r="E50" s="18" t="n">
        <v>9484635.67</v>
      </c>
      <c r="F50" s="37" t="n">
        <v>9484635.67</v>
      </c>
      <c r="G50" s="18" t="n">
        <v>9605667.199999999</v>
      </c>
      <c r="H50" s="18" t="n">
        <v>10837497.85</v>
      </c>
      <c r="I50" s="18" t="n">
        <v>12421428.26</v>
      </c>
      <c r="J50" s="18" t="n">
        <v>10992976.64</v>
      </c>
      <c r="K50" s="37" t="n">
        <v>10992976.64</v>
      </c>
      <c r="L50" s="18" t="n">
        <v>11714430.3</v>
      </c>
      <c r="M50" s="18" t="n">
        <v>11952886.93</v>
      </c>
      <c r="N50" s="18" t="n">
        <v>12669588.62</v>
      </c>
      <c r="O50" s="18" t="n">
        <v>11915188.38</v>
      </c>
      <c r="P50" s="37" t="n">
        <v>11915188.38</v>
      </c>
      <c r="Q50" s="18" t="n">
        <v>12190593.91</v>
      </c>
      <c r="R50" s="18" t="n">
        <v>12308927.41</v>
      </c>
      <c r="S50" s="18" t="n">
        <v>11399303.05</v>
      </c>
      <c r="T50" s="18" t="n">
        <v>13698694.4</v>
      </c>
      <c r="U50" s="37" t="n">
        <v>13698694.4</v>
      </c>
      <c r="V50" s="18" t="n">
        <v>15100870.81</v>
      </c>
      <c r="W50" s="18" t="n">
        <v>13583891.26</v>
      </c>
      <c r="X50" s="18" t="n">
        <v>14351971</v>
      </c>
      <c r="Y50" s="18" t="n">
        <v>16816487.33</v>
      </c>
      <c r="Z50" s="37" t="n">
        <v>16816487.33</v>
      </c>
      <c r="AA50" s="18" t="n">
        <v>17869551.66</v>
      </c>
      <c r="AB50" s="19" t="n">
        <v>18838536.81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자본금</t>
        </is>
      </c>
      <c r="E51" s="18" t="n">
        <v>443865.58</v>
      </c>
      <c r="F51" s="37" t="n">
        <v>443865.58</v>
      </c>
      <c r="G51" s="18" t="n">
        <v>443865.58</v>
      </c>
      <c r="H51" s="18" t="n">
        <v>443865.58</v>
      </c>
      <c r="I51" s="18" t="n">
        <v>443865.58</v>
      </c>
      <c r="J51" s="18" t="n">
        <v>443865.58</v>
      </c>
      <c r="K51" s="37" t="n">
        <v>443865.58</v>
      </c>
      <c r="L51" s="18" t="n">
        <v>443865.58</v>
      </c>
      <c r="M51" s="18" t="n">
        <v>443865.58</v>
      </c>
      <c r="N51" s="18" t="n">
        <v>443865.58</v>
      </c>
      <c r="O51" s="18" t="n">
        <v>443865.58</v>
      </c>
      <c r="P51" s="37" t="n">
        <v>443865.58</v>
      </c>
      <c r="Q51" s="18" t="n">
        <v>443865.58</v>
      </c>
      <c r="R51" s="18" t="n">
        <v>443865.58</v>
      </c>
      <c r="S51" s="18" t="n">
        <v>443865.58</v>
      </c>
      <c r="T51" s="18" t="n">
        <v>443865.58</v>
      </c>
      <c r="U51" s="37" t="n">
        <v>443865.58</v>
      </c>
      <c r="V51" s="18" t="n">
        <v>443865.58</v>
      </c>
      <c r="W51" s="18" t="n">
        <v>443865.58</v>
      </c>
      <c r="X51" s="18" t="n">
        <v>443865.58</v>
      </c>
      <c r="Y51" s="18" t="n">
        <v>524806.12</v>
      </c>
      <c r="Z51" s="37" t="n">
        <v>524806.12</v>
      </c>
      <c r="AA51" s="18" t="n">
        <v>524806.12</v>
      </c>
      <c r="AB51" s="19" t="n">
        <v>524806.12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자본잉여금</t>
        </is>
      </c>
      <c r="E52" s="18" t="n">
        <v>3118364.96</v>
      </c>
      <c r="F52" s="37" t="n">
        <v>3118364.96</v>
      </c>
      <c r="G52" s="18" t="n">
        <v>3118364.96</v>
      </c>
      <c r="H52" s="18" t="n">
        <v>3118364.96</v>
      </c>
      <c r="I52" s="18" t="n">
        <v>3118364.96</v>
      </c>
      <c r="J52" s="18" t="n">
        <v>3118364.96</v>
      </c>
      <c r="K52" s="37" t="n">
        <v>3118364.96</v>
      </c>
      <c r="L52" s="18" t="n">
        <v>3118364.96</v>
      </c>
      <c r="M52" s="18" t="n">
        <v>3123097.09</v>
      </c>
      <c r="N52" s="18" t="n">
        <v>3122767.32</v>
      </c>
      <c r="O52" s="18" t="n">
        <v>3120677.46</v>
      </c>
      <c r="P52" s="37" t="n">
        <v>3120677.46</v>
      </c>
      <c r="Q52" s="18" t="n">
        <v>3119482.83</v>
      </c>
      <c r="R52" s="18" t="n">
        <v>3119482.83</v>
      </c>
      <c r="S52" s="18" t="n">
        <v>3119482.83</v>
      </c>
      <c r="T52" s="18" t="n">
        <v>3119482.83</v>
      </c>
      <c r="U52" s="37" t="n">
        <v>3119482.83</v>
      </c>
      <c r="V52" s="18" t="n">
        <v>3119482.83</v>
      </c>
      <c r="W52" s="18" t="n">
        <v>3119482.83</v>
      </c>
      <c r="X52" s="18" t="n">
        <v>3119482.83</v>
      </c>
      <c r="Y52" s="18" t="n">
        <v>5124626.2</v>
      </c>
      <c r="Z52" s="37" t="n">
        <v>5124626.2</v>
      </c>
      <c r="AA52" s="18" t="n">
        <v>5124626.2</v>
      </c>
      <c r="AB52" s="19" t="n">
        <v>5124626.2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기타자본</t>
        </is>
      </c>
      <c r="E53" s="18" t="n">
        <v>-1411</v>
      </c>
      <c r="F53" s="37" t="n">
        <v>-1411</v>
      </c>
      <c r="G53" s="18" t="n">
        <v>-1411</v>
      </c>
      <c r="H53" s="18" t="n">
        <v>-1411</v>
      </c>
      <c r="I53" s="18" t="n">
        <v>-1411</v>
      </c>
      <c r="J53" s="18" t="n">
        <v>-1411</v>
      </c>
      <c r="K53" s="37" t="n">
        <v>-1411</v>
      </c>
      <c r="L53" s="18" t="n">
        <v>-1411</v>
      </c>
      <c r="M53" s="18" t="n">
        <v>-1411</v>
      </c>
      <c r="N53" s="18" t="n">
        <v>-1411</v>
      </c>
      <c r="O53" s="18" t="n">
        <v>-1411</v>
      </c>
      <c r="P53" s="37" t="n">
        <v>-1411</v>
      </c>
      <c r="Q53" s="18" t="n">
        <v>-1411</v>
      </c>
      <c r="R53" s="18" t="n">
        <v>-1411</v>
      </c>
      <c r="S53" s="18" t="n">
        <v>-1411</v>
      </c>
      <c r="T53" s="18" t="n">
        <v>-1411</v>
      </c>
      <c r="U53" s="37" t="n">
        <v>-1411</v>
      </c>
      <c r="V53" s="18" t="n">
        <v>-1411</v>
      </c>
      <c r="W53" s="18" t="n">
        <v>-1411</v>
      </c>
      <c r="X53" s="18" t="n">
        <v>-1411</v>
      </c>
      <c r="Y53" s="18" t="n">
        <v>-16907.95</v>
      </c>
      <c r="Z53" s="37" t="n">
        <v>-16907.95</v>
      </c>
      <c r="AA53" s="18" t="n">
        <v>-16907.95</v>
      </c>
      <c r="AB53" s="19" t="n">
        <v>-16907.95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기타포괄이익누계액</t>
        </is>
      </c>
      <c r="E54" s="18" t="n">
        <v>881517.91</v>
      </c>
      <c r="F54" s="37" t="n">
        <v>881517.91</v>
      </c>
      <c r="G54" s="18" t="n">
        <v>881530.73</v>
      </c>
      <c r="H54" s="18" t="n">
        <v>881850.28</v>
      </c>
      <c r="I54" s="18" t="n">
        <v>883705.15</v>
      </c>
      <c r="J54" s="18" t="n">
        <v>881829.1</v>
      </c>
      <c r="K54" s="37" t="n">
        <v>881829.1</v>
      </c>
      <c r="L54" s="18" t="n">
        <v>877983.16</v>
      </c>
      <c r="M54" s="18" t="n">
        <v>874634.97</v>
      </c>
      <c r="N54" s="18" t="n">
        <v>872415.84</v>
      </c>
      <c r="O54" s="18" t="n">
        <v>871875.0699999999</v>
      </c>
      <c r="P54" s="37" t="n">
        <v>871875.0699999999</v>
      </c>
      <c r="Q54" s="18" t="n">
        <v>854444.87</v>
      </c>
      <c r="R54" s="18" t="n">
        <v>853121.39</v>
      </c>
      <c r="S54" s="18" t="n">
        <v>859307.99</v>
      </c>
      <c r="T54" s="18" t="n">
        <v>854334.96</v>
      </c>
      <c r="U54" s="37" t="n">
        <v>854334.96</v>
      </c>
      <c r="V54" s="18" t="n">
        <v>857410.74</v>
      </c>
      <c r="W54" s="18" t="n">
        <v>1024013.3</v>
      </c>
      <c r="X54" s="18" t="n">
        <v>1024050.86</v>
      </c>
      <c r="Y54" s="18" t="n">
        <v>1347172.16</v>
      </c>
      <c r="Z54" s="37" t="n">
        <v>1347172.16</v>
      </c>
      <c r="AA54" s="18" t="n">
        <v>1346718.85</v>
      </c>
      <c r="AB54" s="19" t="n">
        <v>1348306.47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이익잉여금</t>
        </is>
      </c>
      <c r="E55" s="18" t="n">
        <v>1151795.84</v>
      </c>
      <c r="F55" s="37" t="n">
        <v>1151795.84</v>
      </c>
      <c r="G55" s="18" t="n">
        <v>1009315.68</v>
      </c>
      <c r="H55" s="18" t="n">
        <v>945035.5</v>
      </c>
      <c r="I55" s="18" t="n">
        <v>996518.23</v>
      </c>
      <c r="J55" s="18" t="n">
        <v>847469.64</v>
      </c>
      <c r="K55" s="37" t="n">
        <v>847469.64</v>
      </c>
      <c r="L55" s="18" t="n">
        <v>825568.11</v>
      </c>
      <c r="M55" s="18" t="n">
        <v>848865</v>
      </c>
      <c r="N55" s="18" t="n">
        <v>838735.74</v>
      </c>
      <c r="O55" s="18" t="n">
        <v>773978.61</v>
      </c>
      <c r="P55" s="37" t="n">
        <v>773978.61</v>
      </c>
      <c r="Q55" s="18" t="n">
        <v>815748.34</v>
      </c>
      <c r="R55" s="18" t="n">
        <v>968035.86</v>
      </c>
      <c r="S55" s="18" t="n">
        <v>1038133.12</v>
      </c>
      <c r="T55" s="18" t="n">
        <v>1286327.4</v>
      </c>
      <c r="U55" s="37" t="n">
        <v>1286327.4</v>
      </c>
      <c r="V55" s="18" t="n">
        <v>1385913.4</v>
      </c>
      <c r="W55" s="18" t="n">
        <v>1595019.31</v>
      </c>
      <c r="X55" s="18" t="n">
        <v>1878745.44</v>
      </c>
      <c r="Y55" s="18" t="n">
        <v>2402878.14</v>
      </c>
      <c r="Z55" s="37" t="n">
        <v>2402878.14</v>
      </c>
      <c r="AA55" s="18" t="n">
        <v>2752773.88</v>
      </c>
      <c r="AB55" s="19" t="n">
        <v>3570641.34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자본총계</t>
        </is>
      </c>
      <c r="E56" s="18" t="n">
        <v>5594133.29</v>
      </c>
      <c r="F56" s="37" t="n">
        <v>5594133.29</v>
      </c>
      <c r="G56" s="18" t="n">
        <v>5451665.95</v>
      </c>
      <c r="H56" s="18" t="n">
        <v>5387705.32</v>
      </c>
      <c r="I56" s="18" t="n">
        <v>5441042.93</v>
      </c>
      <c r="J56" s="18" t="n">
        <v>5290118.28</v>
      </c>
      <c r="K56" s="37" t="n">
        <v>5290118.28</v>
      </c>
      <c r="L56" s="18" t="n">
        <v>5264370.81</v>
      </c>
      <c r="M56" s="18" t="n">
        <v>5289051.64</v>
      </c>
      <c r="N56" s="18" t="n">
        <v>5276373.48</v>
      </c>
      <c r="O56" s="18" t="n">
        <v>5208985.71</v>
      </c>
      <c r="P56" s="37" t="n">
        <v>5208985.71</v>
      </c>
      <c r="Q56" s="18" t="n">
        <v>5232130.62</v>
      </c>
      <c r="R56" s="18" t="n">
        <v>5383094.66</v>
      </c>
      <c r="S56" s="18" t="n">
        <v>5459378.53</v>
      </c>
      <c r="T56" s="18" t="n">
        <v>5702599.77</v>
      </c>
      <c r="U56" s="37" t="n">
        <v>5702599.77</v>
      </c>
      <c r="V56" s="18" t="n">
        <v>5805261.55</v>
      </c>
      <c r="W56" s="18" t="n">
        <v>6180970.02</v>
      </c>
      <c r="X56" s="18" t="n">
        <v>6464733.72</v>
      </c>
      <c r="Y56" s="18" t="n">
        <v>9382574.67</v>
      </c>
      <c r="Z56" s="37" t="n">
        <v>9382574.67</v>
      </c>
      <c r="AA56" s="18" t="n">
        <v>9732017.1</v>
      </c>
      <c r="AB56" s="19" t="n">
        <v>10551472.18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부채와자본총계</t>
        </is>
      </c>
      <c r="E57" s="18" t="n">
        <v>15078768.96</v>
      </c>
      <c r="F57" s="37" t="n">
        <v>15078768.96</v>
      </c>
      <c r="G57" s="18" t="n">
        <v>15057333.15</v>
      </c>
      <c r="H57" s="18" t="n">
        <v>16225203.17</v>
      </c>
      <c r="I57" s="18" t="n">
        <v>17862471.18</v>
      </c>
      <c r="J57" s="18" t="n">
        <v>16283094.92</v>
      </c>
      <c r="K57" s="37" t="n">
        <v>16283094.92</v>
      </c>
      <c r="L57" s="18" t="n">
        <v>16978801.11</v>
      </c>
      <c r="M57" s="18" t="n">
        <v>17241938.57</v>
      </c>
      <c r="N57" s="18" t="n">
        <v>17945962.1</v>
      </c>
      <c r="O57" s="18" t="n">
        <v>17124174.09</v>
      </c>
      <c r="P57" s="37" t="n">
        <v>17124174.09</v>
      </c>
      <c r="Q57" s="18" t="n">
        <v>17422724.52</v>
      </c>
      <c r="R57" s="18" t="n">
        <v>17692022.07</v>
      </c>
      <c r="S57" s="18" t="n">
        <v>16858681.58</v>
      </c>
      <c r="T57" s="18" t="n">
        <v>19401294.17</v>
      </c>
      <c r="U57" s="37" t="n">
        <v>19401294.17</v>
      </c>
      <c r="V57" s="18" t="n">
        <v>20906132.37</v>
      </c>
      <c r="W57" s="18" t="n">
        <v>19764861.28</v>
      </c>
      <c r="X57" s="18" t="n">
        <v>20816704.72</v>
      </c>
      <c r="Y57" s="18" t="n">
        <v>26199062.01</v>
      </c>
      <c r="Z57" s="37" t="n">
        <v>26199062.01</v>
      </c>
      <c r="AA57" s="18" t="n">
        <v>27601568.76</v>
      </c>
      <c r="AB57" s="19" t="n">
        <v>29390009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지배주주지분</t>
        </is>
      </c>
      <c r="E58" s="18" t="n">
        <v>5594133.29</v>
      </c>
      <c r="F58" s="37" t="n">
        <v>5594133.29</v>
      </c>
      <c r="G58" s="18" t="n">
        <v>5451665.95</v>
      </c>
      <c r="H58" s="18" t="n">
        <v>5387705.32</v>
      </c>
      <c r="I58" s="18" t="n">
        <v>5441042.93</v>
      </c>
      <c r="J58" s="18" t="n">
        <v>5290118.28</v>
      </c>
      <c r="K58" s="37" t="n">
        <v>5290118.28</v>
      </c>
      <c r="L58" s="18" t="n">
        <v>5264370.81</v>
      </c>
      <c r="M58" s="18" t="n">
        <v>5289051.64</v>
      </c>
      <c r="N58" s="18" t="n">
        <v>5276373.48</v>
      </c>
      <c r="O58" s="18" t="n">
        <v>5208985.71</v>
      </c>
      <c r="P58" s="37" t="n">
        <v>5208985.71</v>
      </c>
      <c r="Q58" s="18" t="n">
        <v>5232130.62</v>
      </c>
      <c r="R58" s="18" t="n">
        <v>5383094.66</v>
      </c>
      <c r="S58" s="18" t="n">
        <v>5459378.53</v>
      </c>
      <c r="T58" s="18" t="n">
        <v>5702599.77</v>
      </c>
      <c r="U58" s="37" t="n">
        <v>5702599.77</v>
      </c>
      <c r="V58" s="18" t="n">
        <v>5805261.55</v>
      </c>
      <c r="W58" s="18" t="n">
        <v>6180970.02</v>
      </c>
      <c r="X58" s="18" t="n">
        <v>6464733.72</v>
      </c>
      <c r="Y58" s="18" t="n">
        <v>9382574.67</v>
      </c>
      <c r="Z58" s="37" t="n">
        <v>9382574.67</v>
      </c>
      <c r="AA58" s="18" t="n">
        <v>9732017.1</v>
      </c>
      <c r="AB58" s="19" t="n">
        <v>10551472.18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총차입금</t>
        </is>
      </c>
      <c r="E59" s="18" t="n">
        <v>3465760.14</v>
      </c>
      <c r="F59" s="37" t="n">
        <v>3465760.14</v>
      </c>
      <c r="G59" s="18" t="n">
        <v>3400734.97</v>
      </c>
      <c r="H59" s="18" t="n">
        <v>3341995.81</v>
      </c>
      <c r="I59" s="18" t="n">
        <v>3380811</v>
      </c>
      <c r="J59" s="18" t="n">
        <v>2594656.33</v>
      </c>
      <c r="K59" s="37" t="n">
        <v>2594656.33</v>
      </c>
      <c r="L59" s="18" t="n">
        <v>2765484.19</v>
      </c>
      <c r="M59" s="18" t="n">
        <v>3191739.5</v>
      </c>
      <c r="N59" s="18" t="n">
        <v>3343917.27</v>
      </c>
      <c r="O59" s="18" t="n">
        <v>3119973.49</v>
      </c>
      <c r="P59" s="37" t="n">
        <v>3119973.49</v>
      </c>
      <c r="Q59" s="18" t="n">
        <v>2770716.19</v>
      </c>
      <c r="R59" s="18" t="n">
        <v>1893923.67</v>
      </c>
      <c r="S59" s="18" t="n">
        <v>1456038.81</v>
      </c>
      <c r="T59" s="18" t="n">
        <v>390253.31</v>
      </c>
      <c r="U59" s="37" t="n">
        <v>390253.31</v>
      </c>
      <c r="V59" s="18" t="n">
        <v>1082581.45</v>
      </c>
      <c r="W59" s="18" t="n">
        <v>813657.25</v>
      </c>
      <c r="X59" s="18" t="n">
        <v>734453.91</v>
      </c>
      <c r="Y59" s="18" t="n">
        <v>641351.1899999999</v>
      </c>
      <c r="Z59" s="37" t="n">
        <v>641351.1899999999</v>
      </c>
      <c r="AA59" s="18" t="n">
        <v>599939.45</v>
      </c>
      <c r="AB59" s="19" t="n">
        <v>520403.57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순차입금</t>
        </is>
      </c>
      <c r="E60" s="18" t="n">
        <v>1069497.18</v>
      </c>
      <c r="F60" s="37" t="n">
        <v>1069497.18</v>
      </c>
      <c r="G60" s="18" t="n">
        <v>1322489.85</v>
      </c>
      <c r="H60" s="18" t="n">
        <v>1159052.32</v>
      </c>
      <c r="I60" s="18" t="n">
        <v>907736.1800000001</v>
      </c>
      <c r="J60" s="18" t="n">
        <v>1385414.85</v>
      </c>
      <c r="K60" s="37" t="n">
        <v>1385414.85</v>
      </c>
      <c r="L60" s="18" t="n">
        <v>1381324</v>
      </c>
      <c r="M60" s="18" t="n">
        <v>1904438.57</v>
      </c>
      <c r="N60" s="18" t="n">
        <v>1754218.87</v>
      </c>
      <c r="O60" s="18" t="n">
        <v>1787093.03</v>
      </c>
      <c r="P60" s="37" t="n">
        <v>1787093.03</v>
      </c>
      <c r="Q60" s="18" t="n">
        <v>1502476</v>
      </c>
      <c r="R60" s="18" t="n">
        <v>471781.35</v>
      </c>
      <c r="S60" s="18" t="n">
        <v>739549</v>
      </c>
      <c r="T60" s="18" t="n">
        <v>-1807298.89</v>
      </c>
      <c r="U60" s="37" t="n">
        <v>-1807298.89</v>
      </c>
      <c r="V60" s="18" t="n">
        <v>-2430495.21</v>
      </c>
      <c r="W60" s="18" t="n">
        <v>-2296484.43</v>
      </c>
      <c r="X60" s="18" t="n">
        <v>-3612064.92</v>
      </c>
      <c r="Y60" s="18" t="n">
        <v>-3398513.26</v>
      </c>
      <c r="Z60" s="37" t="n">
        <v>-3398513.26</v>
      </c>
      <c r="AA60" s="18" t="n">
        <v>-4553625.07</v>
      </c>
      <c r="AB60" s="19" t="n">
        <v>-6019428.43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이자발생자산</t>
        </is>
      </c>
      <c r="E61" s="18" t="n">
        <v>2405823.23</v>
      </c>
      <c r="F61" s="37" t="n">
        <v>2405823.23</v>
      </c>
      <c r="G61" s="18" t="n">
        <v>2087805.39</v>
      </c>
      <c r="H61" s="18" t="n">
        <v>2192497.76</v>
      </c>
      <c r="I61" s="18" t="n">
        <v>2482629.09</v>
      </c>
      <c r="J61" s="18" t="n">
        <v>1218795.75</v>
      </c>
      <c r="K61" s="37" t="n">
        <v>1218795.75</v>
      </c>
      <c r="L61" s="18" t="n">
        <v>1393714.46</v>
      </c>
      <c r="M61" s="18" t="n">
        <v>1297855.2</v>
      </c>
      <c r="N61" s="18" t="n">
        <v>1600252.67</v>
      </c>
      <c r="O61" s="18" t="n">
        <v>1343442.69</v>
      </c>
      <c r="P61" s="37" t="n">
        <v>1343442.69</v>
      </c>
      <c r="Q61" s="18" t="n">
        <v>1278802.42</v>
      </c>
      <c r="R61" s="18" t="n">
        <v>1432704.55</v>
      </c>
      <c r="S61" s="18" t="n">
        <v>727052.04</v>
      </c>
      <c r="T61" s="18" t="n">
        <v>2208114.43</v>
      </c>
      <c r="U61" s="37" t="n">
        <v>2208114.43</v>
      </c>
      <c r="V61" s="18" t="n">
        <v>3523638.89</v>
      </c>
      <c r="W61" s="18" t="n">
        <v>3120703.91</v>
      </c>
      <c r="X61" s="18" t="n">
        <v>4357081.06</v>
      </c>
      <c r="Y61" s="18" t="n">
        <v>4065145.87</v>
      </c>
      <c r="Z61" s="37" t="n">
        <v>4065145.87</v>
      </c>
      <c r="AA61" s="18" t="n">
        <v>5178845.94</v>
      </c>
      <c r="AB61" s="19" t="n">
        <v>6565113.42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당기법인세부채(미지급법인세)</t>
        </is>
      </c>
      <c r="F62" s="9" t="n"/>
      <c r="K62" s="9" t="n"/>
      <c r="P62" s="9" t="n"/>
      <c r="R62" s="18" t="n">
        <v>297.28</v>
      </c>
      <c r="S62" s="18" t="n">
        <v>9800.49</v>
      </c>
      <c r="T62" s="18" t="n">
        <v>13793.08</v>
      </c>
      <c r="U62" s="37" t="n">
        <v>13793.08</v>
      </c>
      <c r="V62" s="18" t="n">
        <v>24546.08</v>
      </c>
      <c r="W62" s="18" t="n">
        <v>29916.33</v>
      </c>
      <c r="X62" s="18" t="n">
        <v>28989.47</v>
      </c>
      <c r="Y62" s="18" t="n">
        <v>38982.45</v>
      </c>
      <c r="Z62" s="37" t="n">
        <v>38982.45</v>
      </c>
      <c r="AA62" s="18" t="n">
        <v>58402.08</v>
      </c>
      <c r="AB62" s="19" t="n">
        <v>313544.55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매출액(수익)</t>
        </is>
      </c>
      <c r="E63" s="18" t="n">
        <v>2471789.61</v>
      </c>
      <c r="F63" s="9" t="n"/>
      <c r="G63" s="18" t="n">
        <v>2001656.33</v>
      </c>
      <c r="H63" s="18" t="n">
        <v>2166167.74</v>
      </c>
      <c r="I63" s="18" t="n">
        <v>2214607.64</v>
      </c>
      <c r="J63" s="18" t="n">
        <v>2682916.48</v>
      </c>
      <c r="K63" s="37" t="n">
        <v>9065348.189999999</v>
      </c>
      <c r="L63" s="18" t="n">
        <v>2633059.53</v>
      </c>
      <c r="M63" s="18" t="n">
        <v>3063545</v>
      </c>
      <c r="N63" s="18" t="n">
        <v>2851666.65</v>
      </c>
      <c r="O63" s="18" t="n">
        <v>3409711.77</v>
      </c>
      <c r="P63" s="37" t="n">
        <v>11957982.95</v>
      </c>
      <c r="Q63" s="18" t="n">
        <v>2986727.4</v>
      </c>
      <c r="R63" s="18" t="n">
        <v>3882000.13</v>
      </c>
      <c r="S63" s="18" t="n">
        <v>3604180.23</v>
      </c>
      <c r="T63" s="18" t="n">
        <v>4003482.17</v>
      </c>
      <c r="U63" s="37" t="n">
        <v>14476389.93</v>
      </c>
      <c r="V63" s="18" t="n">
        <v>3819793.4</v>
      </c>
      <c r="W63" s="18" t="n">
        <v>4144984.45</v>
      </c>
      <c r="X63" s="18" t="n">
        <v>4418086.24</v>
      </c>
      <c r="Y63" s="18" t="n">
        <v>5186593.4</v>
      </c>
      <c r="Z63" s="37" t="n">
        <v>17569457.49</v>
      </c>
      <c r="AA63" s="18" t="n">
        <v>5899214.1</v>
      </c>
      <c r="AB63" s="19" t="n">
        <v>6313579.44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매출원가</t>
        </is>
      </c>
      <c r="E64" s="18" t="n">
        <v>2723466.59</v>
      </c>
      <c r="F64" s="9" t="n"/>
      <c r="G64" s="18" t="n">
        <v>2089477.63</v>
      </c>
      <c r="H64" s="18" t="n">
        <v>2151534.36</v>
      </c>
      <c r="I64" s="18" t="n">
        <v>2077837.07</v>
      </c>
      <c r="J64" s="18" t="n">
        <v>2583524.84</v>
      </c>
      <c r="K64" s="37" t="n">
        <v>8902373.9</v>
      </c>
      <c r="L64" s="18" t="n">
        <v>2508843.32</v>
      </c>
      <c r="M64" s="18" t="n">
        <v>2866869.48</v>
      </c>
      <c r="N64" s="18" t="n">
        <v>2691297.91</v>
      </c>
      <c r="O64" s="18" t="n">
        <v>3242458.59</v>
      </c>
      <c r="P64" s="37" t="n">
        <v>11309469.3</v>
      </c>
      <c r="Q64" s="18" t="n">
        <v>2836058.22</v>
      </c>
      <c r="R64" s="18" t="n">
        <v>3444229.46</v>
      </c>
      <c r="S64" s="18" t="n">
        <v>3201377.23</v>
      </c>
      <c r="T64" s="18" t="n">
        <v>3507952.41</v>
      </c>
      <c r="U64" s="37" t="n">
        <v>12989617.32</v>
      </c>
      <c r="V64" s="18" t="n">
        <v>3190751.79</v>
      </c>
      <c r="W64" s="18" t="n">
        <v>3455683.43</v>
      </c>
      <c r="X64" s="18" t="n">
        <v>3650262.37</v>
      </c>
      <c r="Y64" s="18" t="n">
        <v>4312369.57</v>
      </c>
      <c r="Z64" s="37" t="n">
        <v>14609067.16</v>
      </c>
      <c r="AA64" s="18" t="n">
        <v>4735127.18</v>
      </c>
      <c r="AB64" s="19" t="n">
        <v>4964982.21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매출총이익</t>
        </is>
      </c>
      <c r="E65" s="18" t="n">
        <v>-251676.97</v>
      </c>
      <c r="F65" s="9" t="n"/>
      <c r="G65" s="18" t="n">
        <v>-87821.3</v>
      </c>
      <c r="H65" s="18" t="n">
        <v>14633.38</v>
      </c>
      <c r="I65" s="18" t="n">
        <v>136770.57</v>
      </c>
      <c r="J65" s="18" t="n">
        <v>99391.63</v>
      </c>
      <c r="K65" s="37" t="n">
        <v>162974.28</v>
      </c>
      <c r="L65" s="18" t="n">
        <v>124216.21</v>
      </c>
      <c r="M65" s="18" t="n">
        <v>196675.52</v>
      </c>
      <c r="N65" s="18" t="n">
        <v>160368.74</v>
      </c>
      <c r="O65" s="18" t="n">
        <v>167253.18</v>
      </c>
      <c r="P65" s="37" t="n">
        <v>648513.65</v>
      </c>
      <c r="Q65" s="18" t="n">
        <v>150669.18</v>
      </c>
      <c r="R65" s="18" t="n">
        <v>437770.67</v>
      </c>
      <c r="S65" s="18" t="n">
        <v>402803</v>
      </c>
      <c r="T65" s="18" t="n">
        <v>495529.76</v>
      </c>
      <c r="U65" s="37" t="n">
        <v>1486772.61</v>
      </c>
      <c r="V65" s="18" t="n">
        <v>629041.61</v>
      </c>
      <c r="W65" s="18" t="n">
        <v>689301.02</v>
      </c>
      <c r="X65" s="18" t="n">
        <v>767823.87</v>
      </c>
      <c r="Y65" s="18" t="n">
        <v>874223.8199999999</v>
      </c>
      <c r="Z65" s="37" t="n">
        <v>2960390.32</v>
      </c>
      <c r="AA65" s="18" t="n">
        <v>1164086.92</v>
      </c>
      <c r="AB65" s="19" t="n">
        <v>1348597.22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판관비</t>
        </is>
      </c>
      <c r="E66" s="18" t="n">
        <v>229387.11</v>
      </c>
      <c r="F66" s="9" t="n"/>
      <c r="G66" s="18" t="n">
        <v>129224.36</v>
      </c>
      <c r="H66" s="18" t="n">
        <v>121798.87</v>
      </c>
      <c r="I66" s="18" t="n">
        <v>121476.4</v>
      </c>
      <c r="J66" s="18" t="n">
        <v>77271.89999999999</v>
      </c>
      <c r="K66" s="37" t="n">
        <v>449771.53</v>
      </c>
      <c r="L66" s="18" t="n">
        <v>166570.59</v>
      </c>
      <c r="M66" s="18" t="n">
        <v>128878.03</v>
      </c>
      <c r="N66" s="18" t="n">
        <v>147567.92</v>
      </c>
      <c r="O66" s="18" t="n">
        <v>27691.14</v>
      </c>
      <c r="P66" s="37" t="n">
        <v>470707.68</v>
      </c>
      <c r="Q66" s="18" t="n">
        <v>127676.26</v>
      </c>
      <c r="R66" s="18" t="n">
        <v>243973.45</v>
      </c>
      <c r="S66" s="18" t="n">
        <v>199283.78</v>
      </c>
      <c r="T66" s="18" t="n">
        <v>213295.73</v>
      </c>
      <c r="U66" s="37" t="n">
        <v>784229.22</v>
      </c>
      <c r="V66" s="18" t="n">
        <v>193601.76</v>
      </c>
      <c r="W66" s="18" t="n">
        <v>220089.78</v>
      </c>
      <c r="X66" s="18" t="n">
        <v>207684.67</v>
      </c>
      <c r="Y66" s="18" t="n">
        <v>296288.17</v>
      </c>
      <c r="Z66" s="37" t="n">
        <v>917664.38</v>
      </c>
      <c r="AA66" s="18" t="n">
        <v>264042.08</v>
      </c>
      <c r="AB66" s="19" t="n">
        <v>312923.3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영업이익</t>
        </is>
      </c>
      <c r="E67" s="18" t="n">
        <v>-481064.07</v>
      </c>
      <c r="F67" s="9" t="n"/>
      <c r="G67" s="18" t="n">
        <v>-217045.66</v>
      </c>
      <c r="H67" s="18" t="n">
        <v>-107165.5</v>
      </c>
      <c r="I67" s="18" t="n">
        <v>15294.17</v>
      </c>
      <c r="J67" s="18" t="n">
        <v>22119.74</v>
      </c>
      <c r="K67" s="37" t="n">
        <v>-286797.25</v>
      </c>
      <c r="L67" s="18" t="n">
        <v>-42354.38</v>
      </c>
      <c r="M67" s="18" t="n">
        <v>67797.49000000001</v>
      </c>
      <c r="N67" s="18" t="n">
        <v>12800.82</v>
      </c>
      <c r="O67" s="18" t="n">
        <v>139562.05</v>
      </c>
      <c r="P67" s="37" t="n">
        <v>177805.98</v>
      </c>
      <c r="Q67" s="18" t="n">
        <v>22992.92</v>
      </c>
      <c r="R67" s="18" t="n">
        <v>193797.22</v>
      </c>
      <c r="S67" s="18" t="n">
        <v>203519.22</v>
      </c>
      <c r="T67" s="18" t="n">
        <v>282234.04</v>
      </c>
      <c r="U67" s="37" t="n">
        <v>702543.4</v>
      </c>
      <c r="V67" s="18" t="n">
        <v>435439.85</v>
      </c>
      <c r="W67" s="18" t="n">
        <v>469211.25</v>
      </c>
      <c r="X67" s="18" t="n">
        <v>560139.2</v>
      </c>
      <c r="Y67" s="18" t="n">
        <v>577935.66</v>
      </c>
      <c r="Z67" s="37" t="n">
        <v>2042725.96</v>
      </c>
      <c r="AA67" s="18" t="n">
        <v>900044.84</v>
      </c>
      <c r="AB67" s="19" t="n">
        <v>1035673.92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금융수익</t>
        </is>
      </c>
      <c r="E68" s="18" t="n">
        <v>64409.73</v>
      </c>
      <c r="F68" s="9" t="n"/>
      <c r="G68" s="18" t="n">
        <v>166154.62</v>
      </c>
      <c r="H68" s="18" t="n">
        <v>379385.34</v>
      </c>
      <c r="I68" s="18" t="n">
        <v>595409.27</v>
      </c>
      <c r="J68" s="18" t="n">
        <v>-1897.67</v>
      </c>
      <c r="K68" s="37" t="n">
        <v>1139051.56</v>
      </c>
      <c r="L68" s="18" t="n">
        <v>284268.77</v>
      </c>
      <c r="M68" s="18" t="n">
        <v>224734.72</v>
      </c>
      <c r="N68" s="18" t="n">
        <v>184577.68</v>
      </c>
      <c r="O68" s="18" t="n">
        <v>34542.12</v>
      </c>
      <c r="P68" s="37" t="n">
        <v>728123.29</v>
      </c>
      <c r="Q68" s="18" t="n">
        <v>287027.21</v>
      </c>
      <c r="R68" s="18" t="n">
        <v>219527.46</v>
      </c>
      <c r="S68" s="18" t="n">
        <v>861310.8100000001</v>
      </c>
      <c r="T68" s="18" t="n">
        <v>400081.74</v>
      </c>
      <c r="U68" s="37" t="n">
        <v>1767947.22</v>
      </c>
      <c r="V68" s="18" t="n">
        <v>155908.92</v>
      </c>
      <c r="W68" s="18" t="n">
        <v>1576207.34</v>
      </c>
      <c r="X68" s="18" t="n">
        <v>388407.61</v>
      </c>
      <c r="Y68" s="18" t="n">
        <v>-43539.79</v>
      </c>
      <c r="Z68" s="37" t="n">
        <v>2076984.08</v>
      </c>
      <c r="AA68" s="18" t="n">
        <v>547643.4300000001</v>
      </c>
      <c r="AB68" s="19" t="n">
        <v>321473.77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금융비용</t>
        </is>
      </c>
      <c r="E69" s="18" t="n">
        <v>79456.99000000001</v>
      </c>
      <c r="F69" s="9" t="n"/>
      <c r="G69" s="18" t="n">
        <v>199622.14</v>
      </c>
      <c r="H69" s="18" t="n">
        <v>1020732.71</v>
      </c>
      <c r="I69" s="18" t="n">
        <v>1846715.55</v>
      </c>
      <c r="J69" s="18" t="n">
        <v>-1475616.01</v>
      </c>
      <c r="K69" s="37" t="n">
        <v>1591454.39</v>
      </c>
      <c r="L69" s="18" t="n">
        <v>659346.13</v>
      </c>
      <c r="M69" s="18" t="n">
        <v>298374.96</v>
      </c>
      <c r="N69" s="18" t="n">
        <v>617394.39</v>
      </c>
      <c r="O69" s="18" t="n">
        <v>-351303.2</v>
      </c>
      <c r="P69" s="37" t="n">
        <v>1223812.28</v>
      </c>
      <c r="Q69" s="18" t="n">
        <v>918860.14</v>
      </c>
      <c r="R69" s="18" t="n">
        <v>762033.3</v>
      </c>
      <c r="S69" s="18" t="n">
        <v>390725.83</v>
      </c>
      <c r="T69" s="18" t="n">
        <v>1977417.31</v>
      </c>
      <c r="U69" s="37" t="n">
        <v>4049036.58</v>
      </c>
      <c r="V69" s="18" t="n">
        <v>309602.2</v>
      </c>
      <c r="W69" s="18" t="n">
        <v>517295.17</v>
      </c>
      <c r="X69" s="18" t="n">
        <v>1048092.5</v>
      </c>
      <c r="Y69" s="18" t="n">
        <v>449212.98</v>
      </c>
      <c r="Z69" s="37" t="n">
        <v>2324202.85</v>
      </c>
      <c r="AA69" s="18" t="n">
        <v>1574684.37</v>
      </c>
      <c r="AB69" s="19" t="n">
        <v>751548.2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기타영업외수익</t>
        </is>
      </c>
      <c r="E70" s="18" t="n">
        <v>11020.62</v>
      </c>
      <c r="F70" s="9" t="n"/>
      <c r="G70" s="18" t="n">
        <v>67791.74000000001</v>
      </c>
      <c r="H70" s="18" t="n">
        <v>688732.48</v>
      </c>
      <c r="I70" s="18" t="n">
        <v>1398717.37</v>
      </c>
      <c r="J70" s="18" t="n">
        <v>-1342260.02</v>
      </c>
      <c r="K70" s="37" t="n">
        <v>812981.5699999999</v>
      </c>
      <c r="L70" s="18" t="n">
        <v>455596.46</v>
      </c>
      <c r="M70" s="18" t="n">
        <v>75969.52</v>
      </c>
      <c r="N70" s="18" t="n">
        <v>423748.5</v>
      </c>
      <c r="O70" s="18" t="n">
        <v>-375845.03</v>
      </c>
      <c r="P70" s="37" t="n">
        <v>579469.45</v>
      </c>
      <c r="Q70" s="18" t="n">
        <v>693569.23</v>
      </c>
      <c r="R70" s="18" t="n">
        <v>575015.13</v>
      </c>
      <c r="S70" s="18" t="n">
        <v>9531.83</v>
      </c>
      <c r="T70" s="18" t="n">
        <v>1762562.85</v>
      </c>
      <c r="U70" s="37" t="n">
        <v>3040679.04</v>
      </c>
      <c r="V70" s="18" t="n">
        <v>143080.12</v>
      </c>
      <c r="W70" s="18" t="n">
        <v>34599.38</v>
      </c>
      <c r="X70" s="18" t="n">
        <v>710966.29</v>
      </c>
      <c r="Y70" s="18" t="n">
        <v>276700.53</v>
      </c>
      <c r="Z70" s="37" t="n">
        <v>1165346.32</v>
      </c>
      <c r="AA70" s="18" t="n">
        <v>1238147.79</v>
      </c>
      <c r="AB70" s="19" t="n">
        <v>598434.84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기타영업외비용</t>
        </is>
      </c>
      <c r="E71" s="18" t="n">
        <v>221748.15</v>
      </c>
      <c r="F71" s="9" t="n"/>
      <c r="G71" s="18" t="n">
        <v>55078.33</v>
      </c>
      <c r="H71" s="18" t="n">
        <v>32628.88</v>
      </c>
      <c r="I71" s="18" t="n">
        <v>90873.83</v>
      </c>
      <c r="J71" s="18" t="n">
        <v>314695.43</v>
      </c>
      <c r="K71" s="37" t="n">
        <v>493276.47</v>
      </c>
      <c r="L71" s="18" t="n">
        <v>66346.55</v>
      </c>
      <c r="M71" s="18" t="n">
        <v>37463.21</v>
      </c>
      <c r="N71" s="18" t="n">
        <v>17417.84</v>
      </c>
      <c r="O71" s="18" t="n">
        <v>110348.7</v>
      </c>
      <c r="P71" s="37" t="n">
        <v>231576.3</v>
      </c>
      <c r="Q71" s="18" t="n">
        <v>53885.31</v>
      </c>
      <c r="R71" s="18" t="n">
        <v>26147.99</v>
      </c>
      <c r="S71" s="18" t="n">
        <v>599306.41</v>
      </c>
      <c r="T71" s="18" t="n">
        <v>-11741.38</v>
      </c>
      <c r="U71" s="37" t="n">
        <v>667598.33</v>
      </c>
      <c r="V71" s="18" t="n">
        <v>47075.42</v>
      </c>
      <c r="W71" s="18" t="n">
        <v>1284749.57</v>
      </c>
      <c r="X71" s="18" t="n">
        <v>38171.85</v>
      </c>
      <c r="Y71" s="18" t="n">
        <v>-218690.86</v>
      </c>
      <c r="Z71" s="37" t="n">
        <v>1151305.98</v>
      </c>
      <c r="AA71" s="18" t="n">
        <v>60272.63</v>
      </c>
      <c r="AB71" s="19" t="n">
        <v>52862.41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법인세비용차감전계속사업이익</t>
        </is>
      </c>
      <c r="E72" s="18" t="n">
        <v>-706838.86</v>
      </c>
      <c r="F72" s="9" t="n"/>
      <c r="G72" s="18" t="n">
        <v>-237799.77</v>
      </c>
      <c r="H72" s="18" t="n">
        <v>-92409.25999999999</v>
      </c>
      <c r="I72" s="18" t="n">
        <v>71831.42999999999</v>
      </c>
      <c r="J72" s="18" t="n">
        <v>-161117.37</v>
      </c>
      <c r="K72" s="37" t="n">
        <v>-419494.97</v>
      </c>
      <c r="L72" s="18" t="n">
        <v>-28181.83</v>
      </c>
      <c r="M72" s="18" t="n">
        <v>32663.58</v>
      </c>
      <c r="N72" s="18" t="n">
        <v>-13685.24</v>
      </c>
      <c r="O72" s="18" t="n">
        <v>39213.63</v>
      </c>
      <c r="P72" s="37" t="n">
        <v>30010.14</v>
      </c>
      <c r="Q72" s="18" t="n">
        <v>30843.91</v>
      </c>
      <c r="R72" s="18" t="n">
        <v>200158.52</v>
      </c>
      <c r="S72" s="18" t="n">
        <v>84329.63</v>
      </c>
      <c r="T72" s="18" t="n">
        <v>479202.7</v>
      </c>
      <c r="U72" s="37" t="n">
        <v>794534.76</v>
      </c>
      <c r="V72" s="18" t="n">
        <v>377751.27</v>
      </c>
      <c r="W72" s="18" t="n">
        <v>277973.23</v>
      </c>
      <c r="X72" s="18" t="n">
        <v>573248.75</v>
      </c>
      <c r="Y72" s="18" t="n">
        <v>580574.29</v>
      </c>
      <c r="Z72" s="37" t="n">
        <v>1809547.54</v>
      </c>
      <c r="AA72" s="18" t="n">
        <v>1050879.06</v>
      </c>
      <c r="AB72" s="19" t="n">
        <v>1151171.94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법인세비용</t>
        </is>
      </c>
      <c r="E73" s="18" t="n">
        <v>-186492.22</v>
      </c>
      <c r="F73" s="9" t="n"/>
      <c r="G73" s="18" t="n">
        <v>-62271.66</v>
      </c>
      <c r="H73" s="18" t="n">
        <v>-28912.96</v>
      </c>
      <c r="I73" s="18" t="n">
        <v>20348.7</v>
      </c>
      <c r="J73" s="18" t="n">
        <v>1416.76</v>
      </c>
      <c r="K73" s="37" t="n">
        <v>-69419.16</v>
      </c>
      <c r="L73" s="18" t="n">
        <v>-6159.72</v>
      </c>
      <c r="M73" s="18" t="n">
        <v>9366.690000000001</v>
      </c>
      <c r="N73" s="18" t="n">
        <v>-3555.03</v>
      </c>
      <c r="O73" s="18" t="n">
        <v>9028.75</v>
      </c>
      <c r="P73" s="37" t="n">
        <v>8680.690000000001</v>
      </c>
      <c r="Q73" s="18" t="n">
        <v>771.8099999999999</v>
      </c>
      <c r="R73" s="18" t="n">
        <v>47871</v>
      </c>
      <c r="S73" s="18" t="n">
        <v>14232.36</v>
      </c>
      <c r="T73" s="18" t="n">
        <v>113324.95</v>
      </c>
      <c r="U73" s="37" t="n">
        <v>176200.12</v>
      </c>
      <c r="V73" s="18" t="n">
        <v>92629.45</v>
      </c>
      <c r="W73" s="18" t="n">
        <v>68867.32000000001</v>
      </c>
      <c r="X73" s="18" t="n">
        <v>141182.74</v>
      </c>
      <c r="Y73" s="18" t="n">
        <v>84386.77</v>
      </c>
      <c r="Z73" s="37" t="n">
        <v>387066.28</v>
      </c>
      <c r="AA73" s="18" t="n">
        <v>282312.63</v>
      </c>
      <c r="AB73" s="19" t="n">
        <v>333304.47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금융손익</t>
        </is>
      </c>
      <c r="E74" s="18" t="n">
        <v>-15047.26</v>
      </c>
      <c r="F74" s="9" t="n"/>
      <c r="G74" s="18" t="n">
        <v>-33467.52</v>
      </c>
      <c r="H74" s="18" t="n">
        <v>-641347.37</v>
      </c>
      <c r="I74" s="18" t="n">
        <v>-1251306.28</v>
      </c>
      <c r="J74" s="18" t="n">
        <v>1473718.34</v>
      </c>
      <c r="K74" s="37" t="n">
        <v>-452402.83</v>
      </c>
      <c r="L74" s="18" t="n">
        <v>-375077.36</v>
      </c>
      <c r="M74" s="18" t="n">
        <v>-73640.24000000001</v>
      </c>
      <c r="N74" s="18" t="n">
        <v>-432816.71</v>
      </c>
      <c r="O74" s="18" t="n">
        <v>385845.32</v>
      </c>
      <c r="P74" s="37" t="n">
        <v>-495688.99</v>
      </c>
      <c r="Q74" s="18" t="n">
        <v>-631832.9300000001</v>
      </c>
      <c r="R74" s="18" t="n">
        <v>-542505.84</v>
      </c>
      <c r="S74" s="18" t="n">
        <v>470584.98</v>
      </c>
      <c r="T74" s="18" t="n">
        <v>-1577335.57</v>
      </c>
      <c r="U74" s="37" t="n">
        <v>-2281089.36</v>
      </c>
      <c r="V74" s="18" t="n">
        <v>-153693.28</v>
      </c>
      <c r="W74" s="18" t="n">
        <v>1058912.17</v>
      </c>
      <c r="X74" s="18" t="n">
        <v>-659684.89</v>
      </c>
      <c r="Y74" s="18" t="n">
        <v>-492752.77</v>
      </c>
      <c r="Z74" s="37" t="n">
        <v>-247218.77</v>
      </c>
      <c r="AA74" s="18" t="n">
        <v>-1027040.94</v>
      </c>
      <c r="AB74" s="19" t="n">
        <v>-430074.43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기타영업외손익</t>
        </is>
      </c>
      <c r="E75" s="18" t="n">
        <v>-210727.53</v>
      </c>
      <c r="F75" s="9" t="n"/>
      <c r="G75" s="18" t="n">
        <v>12713.41</v>
      </c>
      <c r="H75" s="18" t="n">
        <v>656103.6</v>
      </c>
      <c r="I75" s="18" t="n">
        <v>1307843.54</v>
      </c>
      <c r="J75" s="18" t="n">
        <v>-1656955.45</v>
      </c>
      <c r="K75" s="37" t="n">
        <v>319705.1</v>
      </c>
      <c r="L75" s="18" t="n">
        <v>389249.91</v>
      </c>
      <c r="M75" s="18" t="n">
        <v>38506.31</v>
      </c>
      <c r="N75" s="18" t="n">
        <v>406330.66</v>
      </c>
      <c r="O75" s="18" t="n">
        <v>-486193.73</v>
      </c>
      <c r="P75" s="37" t="n">
        <v>347893.15</v>
      </c>
      <c r="Q75" s="18" t="n">
        <v>639683.92</v>
      </c>
      <c r="R75" s="18" t="n">
        <v>548867.14</v>
      </c>
      <c r="S75" s="18" t="n">
        <v>-589774.58</v>
      </c>
      <c r="T75" s="18" t="n">
        <v>1774304.23</v>
      </c>
      <c r="U75" s="37" t="n">
        <v>2373080.71</v>
      </c>
      <c r="V75" s="18" t="n">
        <v>96004.7</v>
      </c>
      <c r="W75" s="18" t="n">
        <v>-1250150.19</v>
      </c>
      <c r="X75" s="18" t="n">
        <v>672794.4399999999</v>
      </c>
      <c r="Y75" s="18" t="n">
        <v>495391.39</v>
      </c>
      <c r="Z75" s="37" t="n">
        <v>14040.34</v>
      </c>
      <c r="AA75" s="18" t="n">
        <v>1177875.16</v>
      </c>
      <c r="AB75" s="19" t="n">
        <v>545572.4300000001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당기순이익</t>
        </is>
      </c>
      <c r="F76" s="9" t="n"/>
      <c r="G76" s="18" t="n">
        <v>-175528.11</v>
      </c>
      <c r="H76" s="18" t="n">
        <v>-63496.3</v>
      </c>
      <c r="I76" s="18" t="n">
        <v>51482.73</v>
      </c>
      <c r="J76" s="18" t="n">
        <v>-162534.12</v>
      </c>
      <c r="K76" s="37" t="n">
        <v>-350075.8</v>
      </c>
      <c r="L76" s="18" t="n">
        <v>-22022.11</v>
      </c>
      <c r="M76" s="18" t="n">
        <v>23296.89</v>
      </c>
      <c r="N76" s="18" t="n">
        <v>-10130.21</v>
      </c>
      <c r="O76" s="18" t="n">
        <v>30184.89</v>
      </c>
      <c r="P76" s="37" t="n">
        <v>21329.46</v>
      </c>
      <c r="Q76" s="18" t="n">
        <v>30072.1</v>
      </c>
      <c r="R76" s="18" t="n">
        <v>152287.52</v>
      </c>
      <c r="S76" s="18" t="n">
        <v>70097.27</v>
      </c>
      <c r="T76" s="18" t="n">
        <v>365877.75</v>
      </c>
      <c r="U76" s="37" t="n">
        <v>618334.64</v>
      </c>
      <c r="V76" s="18" t="n">
        <v>285121.82</v>
      </c>
      <c r="W76" s="18" t="n">
        <v>209105.91</v>
      </c>
      <c r="X76" s="18" t="n">
        <v>432066.01</v>
      </c>
      <c r="Y76" s="18" t="n">
        <v>496187.53</v>
      </c>
      <c r="Z76" s="37" t="n">
        <v>1422481.27</v>
      </c>
      <c r="AA76" s="18" t="n">
        <v>768566.4300000001</v>
      </c>
      <c r="AB76" s="19" t="n">
        <v>817867.46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총포괄손익</t>
        </is>
      </c>
      <c r="F77" s="9" t="n"/>
      <c r="G77" s="18" t="n">
        <v>-142467.33</v>
      </c>
      <c r="H77" s="18" t="n">
        <v>-63960.64</v>
      </c>
      <c r="I77" s="18" t="n">
        <v>53337.61</v>
      </c>
      <c r="J77" s="18" t="n">
        <v>-150924.65</v>
      </c>
      <c r="K77" s="37" t="n">
        <v>-304015.01</v>
      </c>
      <c r="L77" s="18" t="n">
        <v>-25747.47</v>
      </c>
      <c r="M77" s="18" t="n">
        <v>19948.7</v>
      </c>
      <c r="N77" s="18" t="n">
        <v>-12348.4</v>
      </c>
      <c r="O77" s="18" t="n">
        <v>-65297.91</v>
      </c>
      <c r="P77" s="37" t="n">
        <v>-83445.08</v>
      </c>
      <c r="Q77" s="18" t="n">
        <v>24339.53</v>
      </c>
      <c r="R77" s="18" t="n">
        <v>150964.04</v>
      </c>
      <c r="S77" s="18" t="n">
        <v>76283.87</v>
      </c>
      <c r="T77" s="18" t="n">
        <v>243221.24</v>
      </c>
      <c r="U77" s="37" t="n">
        <v>494808.68</v>
      </c>
      <c r="V77" s="18" t="n">
        <v>288197.59</v>
      </c>
      <c r="W77" s="18" t="n">
        <v>375708.47</v>
      </c>
      <c r="X77" s="18" t="n">
        <v>432103.58</v>
      </c>
      <c r="Y77" s="18" t="n">
        <v>504967.85</v>
      </c>
      <c r="Z77" s="37" t="n">
        <v>1600977.49</v>
      </c>
      <c r="AA77" s="18" t="n">
        <v>768124.1899999999</v>
      </c>
      <c r="AB77" s="19" t="n">
        <v>819455.09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(지배주주지분)당기순이익</t>
        </is>
      </c>
      <c r="F78" s="9" t="n"/>
      <c r="G78" s="18" t="n">
        <v>-175528.11</v>
      </c>
      <c r="H78" s="18" t="n">
        <v>-63496.3</v>
      </c>
      <c r="I78" s="18" t="n">
        <v>51482.73</v>
      </c>
      <c r="J78" s="18" t="n">
        <v>-162534.12</v>
      </c>
      <c r="K78" s="37" t="n">
        <v>-350075.8</v>
      </c>
      <c r="L78" s="18" t="n">
        <v>-22022.11</v>
      </c>
      <c r="M78" s="18" t="n">
        <v>23296.89</v>
      </c>
      <c r="N78" s="18" t="n">
        <v>-10130.21</v>
      </c>
      <c r="O78" s="18" t="n">
        <v>30184.89</v>
      </c>
      <c r="P78" s="37" t="n">
        <v>21329.46</v>
      </c>
      <c r="Q78" s="18" t="n">
        <v>30072.1</v>
      </c>
      <c r="R78" s="18" t="n">
        <v>152287.52</v>
      </c>
      <c r="S78" s="18" t="n">
        <v>70097.27</v>
      </c>
      <c r="T78" s="18" t="n">
        <v>365877.75</v>
      </c>
      <c r="U78" s="37" t="n">
        <v>618334.64</v>
      </c>
      <c r="V78" s="18" t="n">
        <v>285121.82</v>
      </c>
      <c r="W78" s="18" t="n">
        <v>209105.91</v>
      </c>
      <c r="X78" s="18" t="n">
        <v>432066.01</v>
      </c>
      <c r="Y78" s="18" t="n">
        <v>496187.53</v>
      </c>
      <c r="Z78" s="37" t="n">
        <v>1422481.27</v>
      </c>
      <c r="AA78" s="18" t="n">
        <v>768566.4300000001</v>
      </c>
      <c r="AB78" s="19" t="n">
        <v>817867.46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계속사업이익</t>
        </is>
      </c>
      <c r="F79" s="9" t="n"/>
      <c r="G79" s="18" t="n">
        <v>-175528.11</v>
      </c>
      <c r="H79" s="18" t="n">
        <v>-63496.3</v>
      </c>
      <c r="I79" s="18" t="n">
        <v>51482.73</v>
      </c>
      <c r="J79" s="18" t="n">
        <v>-162534.12</v>
      </c>
      <c r="K79" s="37" t="n">
        <v>-350075.8</v>
      </c>
      <c r="L79" s="18" t="n">
        <v>-22022.11</v>
      </c>
      <c r="M79" s="18" t="n">
        <v>23296.89</v>
      </c>
      <c r="N79" s="18" t="n">
        <v>-10130.21</v>
      </c>
      <c r="O79" s="18" t="n">
        <v>30184.89</v>
      </c>
      <c r="P79" s="37" t="n">
        <v>21329.46</v>
      </c>
      <c r="Q79" s="18" t="n">
        <v>30072.1</v>
      </c>
      <c r="R79" s="18" t="n">
        <v>152287.52</v>
      </c>
      <c r="S79" s="18" t="n">
        <v>70097.27</v>
      </c>
      <c r="T79" s="18" t="n">
        <v>365877.75</v>
      </c>
      <c r="U79" s="37" t="n">
        <v>618334.64</v>
      </c>
      <c r="V79" s="18" t="n">
        <v>285121.82</v>
      </c>
      <c r="W79" s="18" t="n">
        <v>209105.91</v>
      </c>
      <c r="X79" s="18" t="n">
        <v>432066.01</v>
      </c>
      <c r="Y79" s="18" t="n">
        <v>496187.53</v>
      </c>
      <c r="Z79" s="37" t="n">
        <v>1422481.27</v>
      </c>
      <c r="AA79" s="18" t="n">
        <v>768566.4300000001</v>
      </c>
      <c r="AB79" s="19" t="n">
        <v>817867.46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영업활동으로인한현금흐름</t>
        </is>
      </c>
      <c r="E80" s="18" t="n">
        <v>1573.97</v>
      </c>
      <c r="F80" s="9" t="n"/>
      <c r="G80" s="18" t="n">
        <v>-160076.74</v>
      </c>
      <c r="H80" s="18" t="n">
        <v>161027.93</v>
      </c>
      <c r="I80" s="18" t="n">
        <v>130953.82</v>
      </c>
      <c r="J80" s="18" t="n">
        <v>-66216.10000000001</v>
      </c>
      <c r="K80" s="37" t="n">
        <v>65688.91</v>
      </c>
      <c r="L80" s="18" t="n">
        <v>80408.49000000001</v>
      </c>
      <c r="M80" s="18" t="n">
        <v>-384495.16</v>
      </c>
      <c r="N80" s="18" t="n">
        <v>258535.03</v>
      </c>
      <c r="O80" s="18" t="n">
        <v>226184.76</v>
      </c>
      <c r="P80" s="37" t="n">
        <v>180633.12</v>
      </c>
      <c r="Q80" s="18" t="n">
        <v>310529.44</v>
      </c>
      <c r="R80" s="18" t="n">
        <v>1052308.72</v>
      </c>
      <c r="S80" s="18" t="n">
        <v>51576.64</v>
      </c>
      <c r="T80" s="18" t="n">
        <v>1471966.19</v>
      </c>
      <c r="U80" s="37" t="n">
        <v>2886380.99</v>
      </c>
      <c r="V80" s="18" t="n">
        <v>1714140.33</v>
      </c>
      <c r="W80" s="18" t="n">
        <v>511994.49</v>
      </c>
      <c r="X80" s="18" t="n">
        <v>1568730.42</v>
      </c>
      <c r="Y80" s="18" t="n">
        <v>-265885.04</v>
      </c>
      <c r="Z80" s="37" t="n">
        <v>3528980.2</v>
      </c>
      <c r="AA80" s="18" t="n">
        <v>888566.71</v>
      </c>
      <c r="AB80" s="19" t="n">
        <v>1831449.96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이자수취(CF)</t>
        </is>
      </c>
      <c r="E81" s="18" t="n">
        <v>4098.61</v>
      </c>
      <c r="F81" s="9" t="n"/>
      <c r="G81" s="18" t="n">
        <v>8545.23</v>
      </c>
      <c r="H81" s="18" t="n">
        <v>7243.78</v>
      </c>
      <c r="I81" s="18" t="n">
        <v>12668.17</v>
      </c>
      <c r="J81" s="18" t="n">
        <v>12633.49</v>
      </c>
      <c r="K81" s="37" t="n">
        <v>41090.67</v>
      </c>
      <c r="L81" s="18" t="n">
        <v>15335.58</v>
      </c>
      <c r="M81" s="18" t="n">
        <v>9298.110000000001</v>
      </c>
      <c r="N81" s="18" t="n">
        <v>5779.18</v>
      </c>
      <c r="O81" s="18" t="n">
        <v>17518.73</v>
      </c>
      <c r="P81" s="37" t="n">
        <v>47931.6</v>
      </c>
      <c r="Q81" s="18" t="n">
        <v>24174.41</v>
      </c>
      <c r="R81" s="18" t="n">
        <v>9190.09</v>
      </c>
      <c r="S81" s="18" t="n">
        <v>13755.28</v>
      </c>
      <c r="T81" s="18" t="n">
        <v>10369.37</v>
      </c>
      <c r="U81" s="37" t="n">
        <v>57489.15</v>
      </c>
      <c r="V81" s="18" t="n">
        <v>19633.7</v>
      </c>
      <c r="W81" s="18" t="n">
        <v>18409.17</v>
      </c>
      <c r="X81" s="18" t="n">
        <v>22507.23</v>
      </c>
      <c r="Y81" s="18" t="n">
        <v>21101.09</v>
      </c>
      <c r="Z81" s="37" t="n">
        <v>81651.19</v>
      </c>
      <c r="AA81" s="18" t="n">
        <v>30367.15</v>
      </c>
      <c r="AB81" s="19" t="n">
        <v>34175.21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이자지급(CF)</t>
        </is>
      </c>
      <c r="E82" s="18" t="n">
        <v>-23531.8</v>
      </c>
      <c r="F82" s="9" t="n"/>
      <c r="G82" s="18" t="n">
        <v>-20598.43</v>
      </c>
      <c r="H82" s="18" t="n">
        <v>-12777.41</v>
      </c>
      <c r="I82" s="18" t="n">
        <v>-24081.86</v>
      </c>
      <c r="J82" s="18" t="n">
        <v>-19249.24</v>
      </c>
      <c r="K82" s="37" t="n">
        <v>-76706.94</v>
      </c>
      <c r="L82" s="18" t="n">
        <v>-28610.82</v>
      </c>
      <c r="M82" s="18" t="n">
        <v>-20496.97</v>
      </c>
      <c r="N82" s="18" t="n">
        <v>-21565.93</v>
      </c>
      <c r="O82" s="18" t="n">
        <v>-45286.56</v>
      </c>
      <c r="P82" s="37" t="n">
        <v>-115960.28</v>
      </c>
      <c r="Q82" s="18" t="n">
        <v>-44661.46</v>
      </c>
      <c r="R82" s="18" t="n">
        <v>-26492.25</v>
      </c>
      <c r="S82" s="18" t="n">
        <v>-32045.35</v>
      </c>
      <c r="T82" s="18" t="n">
        <v>-10984.62</v>
      </c>
      <c r="U82" s="37" t="n">
        <v>-114183.68</v>
      </c>
      <c r="V82" s="18" t="n">
        <v>-18305.45</v>
      </c>
      <c r="W82" s="18" t="n">
        <v>-5494.25</v>
      </c>
      <c r="X82" s="18" t="n">
        <v>-14448.37</v>
      </c>
      <c r="Y82" s="18" t="n">
        <v>-653.11</v>
      </c>
      <c r="Z82" s="37" t="n">
        <v>-38901.18</v>
      </c>
      <c r="AA82" s="18" t="n">
        <v>-11426.3</v>
      </c>
      <c r="AB82" s="19" t="n">
        <v>1608.53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배당금수취(CF)</t>
        </is>
      </c>
      <c r="E83" s="18" t="n">
        <v>0</v>
      </c>
      <c r="F83" s="9" t="n"/>
      <c r="I83" s="18" t="n">
        <v>0</v>
      </c>
      <c r="J83" s="18" t="n">
        <v>0</v>
      </c>
      <c r="K83" s="9" t="n"/>
      <c r="N83" s="18" t="n">
        <v>0</v>
      </c>
      <c r="O83" s="18" t="n">
        <v>0</v>
      </c>
      <c r="P83" s="9" t="n"/>
      <c r="S83" s="18" t="n">
        <v>0</v>
      </c>
      <c r="T83" s="18" t="n">
        <v>0</v>
      </c>
      <c r="U83" s="9" t="n"/>
      <c r="X83" s="18" t="n">
        <v>0</v>
      </c>
      <c r="Y83" s="18" t="n">
        <v>0</v>
      </c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법인세납부(CF)</t>
        </is>
      </c>
      <c r="E84" s="18" t="n">
        <v>-1025.21</v>
      </c>
      <c r="F84" s="9" t="n"/>
      <c r="G84" s="18" t="n">
        <v>-1233.28</v>
      </c>
      <c r="H84" s="18" t="n">
        <v>1207.19</v>
      </c>
      <c r="I84" s="18" t="n">
        <v>-2338.87</v>
      </c>
      <c r="J84" s="18" t="n">
        <v>-2362.16</v>
      </c>
      <c r="K84" s="37" t="n">
        <v>-4727.12</v>
      </c>
      <c r="L84" s="18" t="n">
        <v>-1648.37</v>
      </c>
      <c r="M84" s="18" t="n">
        <v>2226.05</v>
      </c>
      <c r="N84" s="18" t="n">
        <v>-1133.45</v>
      </c>
      <c r="O84" s="18" t="n">
        <v>-1907.29</v>
      </c>
      <c r="P84" s="37" t="n">
        <v>-2463.06</v>
      </c>
      <c r="Q84" s="18" t="n">
        <v>-898.9</v>
      </c>
      <c r="R84" s="18" t="n">
        <v>2777.83</v>
      </c>
      <c r="S84" s="18" t="n">
        <v>-1787.32</v>
      </c>
      <c r="T84" s="18" t="n">
        <v>-2147.58</v>
      </c>
      <c r="U84" s="37" t="n">
        <v>-2055.97</v>
      </c>
      <c r="V84" s="18" t="n">
        <v>-6367.21</v>
      </c>
      <c r="W84" s="18" t="n">
        <v>-11569.91</v>
      </c>
      <c r="X84" s="18" t="n">
        <v>-28451.08</v>
      </c>
      <c r="Y84" s="18" t="n">
        <v>-4245.45</v>
      </c>
      <c r="Z84" s="37" t="n">
        <v>-50633.65</v>
      </c>
      <c r="AA84" s="18" t="n">
        <v>-17576.28</v>
      </c>
      <c r="AB84" s="19" t="n">
        <v>-30907.02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투자활동으로인한현금흐름</t>
        </is>
      </c>
      <c r="E85" s="18" t="n">
        <v>-20996.74</v>
      </c>
      <c r="F85" s="9" t="n"/>
      <c r="G85" s="18" t="n">
        <v>-117911.95</v>
      </c>
      <c r="H85" s="18" t="n">
        <v>-112135.67</v>
      </c>
      <c r="I85" s="18" t="n">
        <v>-120527.51</v>
      </c>
      <c r="J85" s="18" t="n">
        <v>-173402.73</v>
      </c>
      <c r="K85" s="37" t="n">
        <v>-523977.86</v>
      </c>
      <c r="L85" s="18" t="n">
        <v>-108332.25</v>
      </c>
      <c r="M85" s="18" t="n">
        <v>-102685.83</v>
      </c>
      <c r="N85" s="18" t="n">
        <v>-151003.64</v>
      </c>
      <c r="O85" s="18" t="n">
        <v>-136987.42</v>
      </c>
      <c r="P85" s="37" t="n">
        <v>-499009.14</v>
      </c>
      <c r="Q85" s="18" t="n">
        <v>-110386.58</v>
      </c>
      <c r="R85" s="18" t="n">
        <v>-127618.04</v>
      </c>
      <c r="S85" s="18" t="n">
        <v>-137451.8</v>
      </c>
      <c r="T85" s="18" t="n">
        <v>-113788.04</v>
      </c>
      <c r="U85" s="37" t="n">
        <v>-489244.46</v>
      </c>
      <c r="V85" s="18" t="n">
        <v>-187357.93</v>
      </c>
      <c r="W85" s="18" t="n">
        <v>-459393.67</v>
      </c>
      <c r="X85" s="18" t="n">
        <v>-1317372.48</v>
      </c>
      <c r="Y85" s="18" t="n">
        <v>-112736.46</v>
      </c>
      <c r="Z85" s="37" t="n">
        <v>-2076860.54</v>
      </c>
      <c r="AA85" s="18" t="n">
        <v>286249.25</v>
      </c>
      <c r="AB85" s="19" t="n">
        <v>245669.33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유형자산의감소</t>
        </is>
      </c>
      <c r="E86" s="18" t="n">
        <v>2056.39</v>
      </c>
      <c r="F86" s="9" t="n"/>
      <c r="G86" s="18" t="n">
        <v>2423.13</v>
      </c>
      <c r="H86" s="18" t="n">
        <v>5774.83</v>
      </c>
      <c r="I86" s="18" t="n">
        <v>2584.44</v>
      </c>
      <c r="J86" s="18" t="n">
        <v>2013.74</v>
      </c>
      <c r="K86" s="37" t="n">
        <v>12796.14</v>
      </c>
      <c r="L86" s="18" t="n">
        <v>1966.89</v>
      </c>
      <c r="M86" s="18" t="n">
        <v>4265.44</v>
      </c>
      <c r="N86" s="18" t="n">
        <v>1384.99</v>
      </c>
      <c r="O86" s="18" t="n">
        <v>2335.43</v>
      </c>
      <c r="P86" s="37" t="n">
        <v>9952.75</v>
      </c>
      <c r="Q86" s="18" t="n">
        <v>8087.27</v>
      </c>
      <c r="R86" s="18" t="n">
        <v>1538.64</v>
      </c>
      <c r="S86" s="18" t="n">
        <v>1694.02</v>
      </c>
      <c r="T86" s="18" t="n">
        <v>417.81</v>
      </c>
      <c r="U86" s="37" t="n">
        <v>11737.74</v>
      </c>
      <c r="V86" s="18" t="n">
        <v>970.67</v>
      </c>
      <c r="W86" s="18" t="n">
        <v>1531.16</v>
      </c>
      <c r="X86" s="18" t="n">
        <v>1564.93</v>
      </c>
      <c r="Y86" s="18" t="n">
        <v>10949</v>
      </c>
      <c r="Z86" s="37" t="n">
        <v>15015.76</v>
      </c>
      <c r="AA86" s="18" t="n">
        <v>1074.54</v>
      </c>
      <c r="AB86" s="19" t="n">
        <v>1287.01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무형자산의감소</t>
        </is>
      </c>
      <c r="E87" s="18" t="n">
        <v>0</v>
      </c>
      <c r="F87" s="9" t="n"/>
      <c r="I87" s="18" t="n">
        <v>0</v>
      </c>
      <c r="J87" s="18" t="n">
        <v>0</v>
      </c>
      <c r="K87" s="9" t="n"/>
      <c r="P87" s="9" t="n"/>
      <c r="U87" s="9" t="n"/>
      <c r="Y87" s="18" t="n">
        <v>4302.04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유형자산의증가</t>
        </is>
      </c>
      <c r="E88" s="18" t="n">
        <v>62309.07</v>
      </c>
      <c r="F88" s="9" t="n"/>
      <c r="G88" s="18" t="n">
        <v>91812.63</v>
      </c>
      <c r="H88" s="18" t="n">
        <v>86365.39</v>
      </c>
      <c r="I88" s="18" t="n">
        <v>144449.09</v>
      </c>
      <c r="J88" s="18" t="n">
        <v>153905.05</v>
      </c>
      <c r="K88" s="37" t="n">
        <v>476532.16</v>
      </c>
      <c r="L88" s="18" t="n">
        <v>104819.95</v>
      </c>
      <c r="M88" s="18" t="n">
        <v>126436.33</v>
      </c>
      <c r="N88" s="18" t="n">
        <v>118594.16</v>
      </c>
      <c r="O88" s="18" t="n">
        <v>111933.74</v>
      </c>
      <c r="P88" s="37" t="n">
        <v>461784.18</v>
      </c>
      <c r="Q88" s="18" t="n">
        <v>115992.08</v>
      </c>
      <c r="R88" s="18" t="n">
        <v>122080.79</v>
      </c>
      <c r="S88" s="18" t="n">
        <v>119537.03</v>
      </c>
      <c r="T88" s="18" t="n">
        <v>99842.71000000001</v>
      </c>
      <c r="U88" s="37" t="n">
        <v>457452.61</v>
      </c>
      <c r="V88" s="18" t="n">
        <v>100805.86</v>
      </c>
      <c r="W88" s="18" t="n">
        <v>103973.13</v>
      </c>
      <c r="X88" s="18" t="n">
        <v>124109.67</v>
      </c>
      <c r="Y88" s="18" t="n">
        <v>105473.35</v>
      </c>
      <c r="Z88" s="37" t="n">
        <v>434362.01</v>
      </c>
      <c r="AA88" s="18" t="n">
        <v>121060.15</v>
      </c>
      <c r="AB88" s="19" t="n">
        <v>109642.63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CAPEX</t>
        </is>
      </c>
      <c r="E89" s="18" t="n">
        <v>78358.88</v>
      </c>
      <c r="F89" s="9" t="n"/>
      <c r="G89" s="18" t="n">
        <v>95114.82000000001</v>
      </c>
      <c r="H89" s="18" t="n">
        <v>90933.92</v>
      </c>
      <c r="I89" s="18" t="n">
        <v>153122.74</v>
      </c>
      <c r="J89" s="18" t="n">
        <v>166599.82</v>
      </c>
      <c r="K89" s="37" t="n">
        <v>505771.3</v>
      </c>
      <c r="L89" s="18" t="n">
        <v>110250.98</v>
      </c>
      <c r="M89" s="18" t="n">
        <v>134111.89</v>
      </c>
      <c r="N89" s="18" t="n">
        <v>127661.88</v>
      </c>
      <c r="O89" s="18" t="n">
        <v>124125.13</v>
      </c>
      <c r="P89" s="37" t="n">
        <v>496149.88</v>
      </c>
      <c r="Q89" s="18" t="n">
        <v>122450.98</v>
      </c>
      <c r="R89" s="18" t="n">
        <v>128466.98</v>
      </c>
      <c r="S89" s="18" t="n">
        <v>125447.14</v>
      </c>
      <c r="T89" s="18" t="n">
        <v>114219.33</v>
      </c>
      <c r="U89" s="37" t="n">
        <v>490584.43</v>
      </c>
      <c r="V89" s="18" t="n">
        <v>104825.84</v>
      </c>
      <c r="W89" s="18" t="n">
        <v>110011.51</v>
      </c>
      <c r="X89" s="18" t="n">
        <v>129839.66</v>
      </c>
      <c r="Y89" s="18" t="n">
        <v>119231.15</v>
      </c>
      <c r="Z89" s="37" t="n">
        <v>463908.16</v>
      </c>
      <c r="AA89" s="18" t="n">
        <v>124986.36</v>
      </c>
      <c r="AB89" s="19" t="n">
        <v>117909.15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무형자산의증가</t>
        </is>
      </c>
      <c r="E90" s="18" t="n">
        <v>16049.81</v>
      </c>
      <c r="F90" s="9" t="n"/>
      <c r="G90" s="18" t="n">
        <v>3302.19</v>
      </c>
      <c r="H90" s="18" t="n">
        <v>4568.53</v>
      </c>
      <c r="I90" s="18" t="n">
        <v>8673.65</v>
      </c>
      <c r="J90" s="18" t="n">
        <v>12694.77</v>
      </c>
      <c r="K90" s="37" t="n">
        <v>29239.14</v>
      </c>
      <c r="L90" s="18" t="n">
        <v>5431.03</v>
      </c>
      <c r="M90" s="18" t="n">
        <v>7675.56</v>
      </c>
      <c r="N90" s="18" t="n">
        <v>9067.719999999999</v>
      </c>
      <c r="O90" s="18" t="n">
        <v>12191.39</v>
      </c>
      <c r="P90" s="37" t="n">
        <v>34365.7</v>
      </c>
      <c r="Q90" s="18" t="n">
        <v>6458.9</v>
      </c>
      <c r="R90" s="18" t="n">
        <v>6386.19</v>
      </c>
      <c r="S90" s="18" t="n">
        <v>5910.11</v>
      </c>
      <c r="T90" s="18" t="n">
        <v>14376.62</v>
      </c>
      <c r="U90" s="37" t="n">
        <v>33131.82</v>
      </c>
      <c r="V90" s="18" t="n">
        <v>4019.98</v>
      </c>
      <c r="W90" s="18" t="n">
        <v>6038.38</v>
      </c>
      <c r="X90" s="18" t="n">
        <v>5729.99</v>
      </c>
      <c r="Y90" s="18" t="n">
        <v>13757.8</v>
      </c>
      <c r="Z90" s="37" t="n">
        <v>29546.15</v>
      </c>
      <c r="AA90" s="18" t="n">
        <v>3926.21</v>
      </c>
      <c r="AB90" s="19" t="n">
        <v>8266.52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재무활동으로인한현금흐름</t>
        </is>
      </c>
      <c r="E91" s="18" t="n">
        <v>-622870.95</v>
      </c>
      <c r="F91" s="9" t="n"/>
      <c r="G91" s="18" t="n">
        <v>-95341.23</v>
      </c>
      <c r="H91" s="18" t="n">
        <v>-178100.03</v>
      </c>
      <c r="I91" s="18" t="n">
        <v>-144800.01</v>
      </c>
      <c r="J91" s="18" t="n">
        <v>-523571.02</v>
      </c>
      <c r="K91" s="37" t="n">
        <v>-941812.29</v>
      </c>
      <c r="L91" s="18" t="n">
        <v>138329.85</v>
      </c>
      <c r="M91" s="18" t="n">
        <v>414859.12</v>
      </c>
      <c r="N91" s="18" t="n">
        <v>113812.22</v>
      </c>
      <c r="O91" s="18" t="n">
        <v>-164205.59</v>
      </c>
      <c r="P91" s="37" t="n">
        <v>502795.6</v>
      </c>
      <c r="Q91" s="18" t="n">
        <v>-387458.35</v>
      </c>
      <c r="R91" s="18" t="n">
        <v>-887784.62</v>
      </c>
      <c r="S91" s="18" t="n">
        <v>-410544.13</v>
      </c>
      <c r="T91" s="18" t="n">
        <v>-362987.12</v>
      </c>
      <c r="U91" s="37" t="n">
        <v>-2048774.22</v>
      </c>
      <c r="V91" s="18" t="n">
        <v>-62067.46</v>
      </c>
      <c r="W91" s="18" t="n">
        <v>-425007</v>
      </c>
      <c r="X91" s="18" t="n">
        <v>-246214.81</v>
      </c>
      <c r="Y91" s="18" t="n">
        <v>-121852.78</v>
      </c>
      <c r="Z91" s="37" t="n">
        <v>-855142.05</v>
      </c>
      <c r="AA91" s="18" t="n">
        <v>-69748.71000000001</v>
      </c>
      <c r="AB91" s="19" t="n">
        <v>-512391.71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리스부채의상환</t>
        </is>
      </c>
      <c r="E92" s="18" t="n">
        <v>2453.37</v>
      </c>
      <c r="F92" s="9" t="n"/>
      <c r="G92" s="18" t="n">
        <v>1865.73</v>
      </c>
      <c r="H92" s="18" t="n">
        <v>3081.19</v>
      </c>
      <c r="I92" s="18" t="n">
        <v>2311.65</v>
      </c>
      <c r="J92" s="18" t="n">
        <v>2350.88</v>
      </c>
      <c r="K92" s="37" t="n">
        <v>9609.450000000001</v>
      </c>
      <c r="L92" s="18" t="n">
        <v>2924.79</v>
      </c>
      <c r="M92" s="18" t="n">
        <v>4385.08</v>
      </c>
      <c r="N92" s="18" t="n">
        <v>3619.1</v>
      </c>
      <c r="O92" s="18" t="n">
        <v>2837.6</v>
      </c>
      <c r="P92" s="37" t="n">
        <v>13766.57</v>
      </c>
      <c r="Q92" s="18" t="n">
        <v>3277.2</v>
      </c>
      <c r="R92" s="18" t="n">
        <v>4411.36</v>
      </c>
      <c r="S92" s="18" t="n">
        <v>3686.64</v>
      </c>
      <c r="T92" s="18" t="n">
        <v>2855.88</v>
      </c>
      <c r="U92" s="37" t="n">
        <v>14231.08</v>
      </c>
      <c r="V92" s="18" t="n">
        <v>3508.69</v>
      </c>
      <c r="W92" s="18" t="n">
        <v>4540.76</v>
      </c>
      <c r="X92" s="18" t="n">
        <v>3723.92</v>
      </c>
      <c r="Y92" s="18" t="n">
        <v>3355.83</v>
      </c>
      <c r="Z92" s="37" t="n">
        <v>15129.2</v>
      </c>
      <c r="AA92" s="18" t="n">
        <v>4748.71</v>
      </c>
      <c r="AB92" s="19" t="n">
        <v>5710.36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현금및현금성자산의증감</t>
        </is>
      </c>
      <c r="E93" s="18" t="n">
        <v>-642160.02</v>
      </c>
      <c r="F93" s="9" t="n"/>
      <c r="G93" s="18" t="n">
        <v>-373392.58</v>
      </c>
      <c r="H93" s="18" t="n">
        <v>-129596.13</v>
      </c>
      <c r="I93" s="18" t="n">
        <v>-135246.67</v>
      </c>
      <c r="J93" s="18" t="n">
        <v>-775641.0600000001</v>
      </c>
      <c r="K93" s="37" t="n">
        <v>-1413876.44</v>
      </c>
      <c r="L93" s="18" t="n">
        <v>113066.44</v>
      </c>
      <c r="M93" s="18" t="n">
        <v>-75586.10000000001</v>
      </c>
      <c r="N93" s="18" t="n">
        <v>220641.45</v>
      </c>
      <c r="O93" s="18" t="n">
        <v>-81177.28</v>
      </c>
      <c r="P93" s="37" t="n">
        <v>176944.51</v>
      </c>
      <c r="Q93" s="18" t="n">
        <v>-191636.97</v>
      </c>
      <c r="R93" s="18" t="n">
        <v>40171.06</v>
      </c>
      <c r="S93" s="18" t="n">
        <v>-494429.3</v>
      </c>
      <c r="T93" s="18" t="n">
        <v>988377.05</v>
      </c>
      <c r="U93" s="37" t="n">
        <v>342481.84</v>
      </c>
      <c r="V93" s="18" t="n">
        <v>1465422.78</v>
      </c>
      <c r="W93" s="18" t="n">
        <v>-369904.4</v>
      </c>
      <c r="X93" s="18" t="n">
        <v>-3936.45</v>
      </c>
      <c r="Y93" s="18" t="n">
        <v>-492074.18</v>
      </c>
      <c r="Z93" s="37" t="n">
        <v>599507.75</v>
      </c>
      <c r="AA93" s="18" t="n">
        <v>1103449.7</v>
      </c>
      <c r="AB93" s="19" t="n">
        <v>1567373.16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기말현금및현금성자산</t>
        </is>
      </c>
      <c r="E94" s="18" t="n">
        <v>-642160.02</v>
      </c>
      <c r="F94" s="9" t="n"/>
      <c r="G94" s="18" t="n">
        <v>1763733.06</v>
      </c>
      <c r="H94" s="18" t="n">
        <v>-129596.13</v>
      </c>
      <c r="I94" s="18" t="n">
        <v>-135246.67</v>
      </c>
      <c r="J94" s="18" t="n">
        <v>-775641.0600000001</v>
      </c>
      <c r="K94" s="37" t="n">
        <v>723249.2</v>
      </c>
      <c r="L94" s="18" t="n">
        <v>836315.64</v>
      </c>
      <c r="M94" s="18" t="n">
        <v>-75586.10000000001</v>
      </c>
      <c r="N94" s="18" t="n">
        <v>220641.45</v>
      </c>
      <c r="O94" s="18" t="n">
        <v>-81177.28</v>
      </c>
      <c r="P94" s="37" t="n">
        <v>900193.71</v>
      </c>
      <c r="Q94" s="18" t="n">
        <v>708556.74</v>
      </c>
      <c r="R94" s="18" t="n">
        <v>40171.06</v>
      </c>
      <c r="S94" s="18" t="n">
        <v>-494429.3</v>
      </c>
      <c r="T94" s="18" t="n">
        <v>988377.05</v>
      </c>
      <c r="U94" s="37" t="n">
        <v>1242675.55</v>
      </c>
      <c r="V94" s="18" t="n">
        <v>2708098.33</v>
      </c>
      <c r="W94" s="18" t="n">
        <v>-369904.4</v>
      </c>
      <c r="X94" s="18" t="n">
        <v>-3936.45</v>
      </c>
      <c r="Y94" s="18" t="n">
        <v>-492074.18</v>
      </c>
      <c r="Z94" s="37" t="n">
        <v>1842183.3</v>
      </c>
      <c r="AA94" s="18" t="n">
        <v>2945633</v>
      </c>
      <c r="AB94" s="19" t="n">
        <v>1567373.16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배당금지급</t>
        </is>
      </c>
      <c r="F95" s="9" t="n"/>
      <c r="K95" s="9" t="n"/>
      <c r="P95" s="9" t="n"/>
      <c r="U95" s="9" t="n"/>
      <c r="X95" s="18" t="n">
        <v>148339.88</v>
      </c>
      <c r="Y95" s="18" t="n">
        <v>0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IFERROR(AC39+AC43,"")</f>
        <v/>
      </c>
      <c r="AD5" s="20">
        <f>IFERROR(AD39+AD43,"")</f>
        <v/>
      </c>
      <c r="AE5" s="38">
        <f>SUM(AA5:AD5)</f>
        <v/>
      </c>
      <c r="AF5" s="20">
        <f>IFERROR(AF39+AF43,"")</f>
        <v/>
      </c>
      <c r="AG5" s="20">
        <f>IFERROR(AG39+AG43,"")</f>
        <v/>
      </c>
      <c r="AH5" s="20">
        <f>IFERROR(AH39+AH43,"")</f>
        <v/>
      </c>
      <c r="AI5" s="20">
        <f>IFERROR(AI39+AI43,"")</f>
        <v/>
      </c>
      <c r="AJ5" s="38">
        <f>SUM(AF5:AI5)</f>
        <v/>
      </c>
      <c r="AK5" s="20">
        <f>IFERROR(AK39+AK43,"")</f>
        <v/>
      </c>
      <c r="AL5" s="20">
        <f>IFERROR(AL39+AL43,"")</f>
        <v/>
      </c>
      <c r="AM5" s="20">
        <f>IFERROR(AM39+AM43,"")</f>
        <v/>
      </c>
      <c r="AN5" s="20">
        <f>IFERROR(AN39+AN43,"")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IFERROR(AC5*변수!AC21,"")</f>
        <v/>
      </c>
      <c r="AD8" s="20">
        <f>IFERROR(AD5*변수!AD21,"")</f>
        <v/>
      </c>
      <c r="AE8" s="38">
        <f>SUM(AA8:AD8)</f>
        <v/>
      </c>
      <c r="AF8" s="20">
        <f>IFERROR(AF5*변수!AF21,"")</f>
        <v/>
      </c>
      <c r="AG8" s="20">
        <f>IFERROR(AG5*변수!AG21,"")</f>
        <v/>
      </c>
      <c r="AH8" s="20">
        <f>IFERROR(AH5*변수!AH21,"")</f>
        <v/>
      </c>
      <c r="AI8" s="20">
        <f>IFERROR(AI5*변수!AI21,"")</f>
        <v/>
      </c>
      <c r="AJ8" s="38">
        <f>SUM(AF8:AI8)</f>
        <v/>
      </c>
      <c r="AK8" s="20">
        <f>IFERROR(AK5*변수!AK21,"")</f>
        <v/>
      </c>
      <c r="AL8" s="20">
        <f>IFERROR(AL5*변수!AL21,"")</f>
        <v/>
      </c>
      <c r="AM8" s="20">
        <f>IFERROR(AM5*변수!AM21,"")</f>
        <v/>
      </c>
      <c r="AN8" s="20">
        <f>IFERROR(AN5*변수!AN21,"")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IFERROR(AC41+AC44,"")</f>
        <v/>
      </c>
      <c r="AD9" s="20">
        <f>IFERROR(AD41+AD44,"")</f>
        <v/>
      </c>
      <c r="AE9" s="38">
        <f>SUM(AA9:AD9)</f>
        <v/>
      </c>
      <c r="AF9" s="20">
        <f>IFERROR(AF41+AF44,"")</f>
        <v/>
      </c>
      <c r="AG9" s="20">
        <f>IFERROR(AG41+AG44,"")</f>
        <v/>
      </c>
      <c r="AH9" s="20">
        <f>IFERROR(AH41+AH44,"")</f>
        <v/>
      </c>
      <c r="AI9" s="20">
        <f>IFERROR(AI41+AI44,"")</f>
        <v/>
      </c>
      <c r="AJ9" s="38">
        <f>SUM(AF9:AI9)</f>
        <v/>
      </c>
      <c r="AK9" s="20">
        <f>IFERROR(AK41+AK44,"")</f>
        <v/>
      </c>
      <c r="AL9" s="20">
        <f>IFERROR(AL41+AL44,"")</f>
        <v/>
      </c>
      <c r="AM9" s="20">
        <f>IFERROR(AM41+AM44,"")</f>
        <v/>
      </c>
      <c r="AN9" s="20">
        <f>IFERROR(AN41+AN44,"")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IFERROR((AB29*변수!$D$57-AB27*변수!$D$58)/4,"")</f>
        <v/>
      </c>
      <c r="AD12" s="20">
        <f>IFERROR((AC29*변수!$D$57-AC27*변수!$D$58)/4,"")</f>
        <v/>
      </c>
      <c r="AE12" s="38">
        <f>SUM(AA12:AD12)</f>
        <v/>
      </c>
      <c r="AF12" s="20">
        <f>IFERROR((AD29*변수!$D$57-AD27*변수!$D$58)/4,"")</f>
        <v/>
      </c>
      <c r="AG12" s="20">
        <f>IFERROR((AF29*변수!$D$57-AF27*변수!$D$58)/4,"")</f>
        <v/>
      </c>
      <c r="AH12" s="20">
        <f>IFERROR((AG29*변수!$D$57-AG27*변수!$D$58)/4,"")</f>
        <v/>
      </c>
      <c r="AI12" s="20">
        <f>IFERROR((AH29*변수!$D$57-AH27*변수!$D$58)/4,"")</f>
        <v/>
      </c>
      <c r="AJ12" s="38">
        <f>SUM(AF12:AI12)</f>
        <v/>
      </c>
      <c r="AK12" s="20">
        <f>IFERROR((AI29*변수!$D$57-AI27*변수!$D$58)/4,"")</f>
        <v/>
      </c>
      <c r="AL12" s="20">
        <f>IFERROR((AK29*변수!$D$57-AK27*변수!$D$58)/4,"")</f>
        <v/>
      </c>
      <c r="AM12" s="20">
        <f>IFERROR((AL29*변수!$D$57-AL27*변수!$D$58)/4,"")</f>
        <v/>
      </c>
      <c r="AN12" s="20">
        <f>IFERROR((AM29*변수!$D$57-AM27*변수!$D$58)/4,"")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변수!AC22</f>
        <v/>
      </c>
      <c r="AD13" s="20">
        <f>변수!AD22</f>
        <v/>
      </c>
      <c r="AE13" s="38">
        <f>SUM(AA13:AD13)</f>
        <v/>
      </c>
      <c r="AF13" s="20">
        <f>변수!AF22</f>
        <v/>
      </c>
      <c r="AG13" s="20">
        <f>변수!AG22</f>
        <v/>
      </c>
      <c r="AH13" s="20">
        <f>변수!AH22</f>
        <v/>
      </c>
      <c r="AI13" s="20">
        <f>변수!AI22</f>
        <v/>
      </c>
      <c r="AJ13" s="38">
        <f>SUM(AF13:AI13)</f>
        <v/>
      </c>
      <c r="AK13" s="20">
        <f>변수!AK22</f>
        <v/>
      </c>
      <c r="AL13" s="20">
        <f>변수!AL22</f>
        <v/>
      </c>
      <c r="AM13" s="20">
        <f>변수!AM22</f>
        <v/>
      </c>
      <c r="AN13" s="20">
        <f>변수!AN22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>
        <f>IFERROR((VLOOKUP("파생상품이익",BS연결,MATCH(G$1,BS연결H,0),0)-VLOOKUP("파생상품손실",BS연결,MATCH(G$1,BS연결H,0),0))/100,"")</f>
        <v/>
      </c>
      <c r="H14" s="18">
        <f>IFERROR((VLOOKUP("파생상품이익",BS연결,MATCH(H$1,BS연결H,0),0)-VLOOKUP("파생상품손실",BS연결,MATCH(H$1,BS연결H,0),0))/100,"")</f>
        <v/>
      </c>
      <c r="I14" s="18">
        <f>IFERROR((VLOOKUP("파생상품이익",BS연결,MATCH(I$1,BS연결H,0),0)-VLOOKUP("파생상품손실",BS연결,MATCH(I$1,BS연결H,0),0))/100,"")</f>
        <v/>
      </c>
      <c r="J14" s="18">
        <f>IFERROR((VLOOKUP("파생상품이익",BS연결,MATCH(J$1,BS연결H,0),0)-VLOOKUP("파생상품손실",BS연결,MATCH(J$1,BS연결H,0),0))/100,"")</f>
        <v/>
      </c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>
        <f>IFERROR((VLOOKUP("파생상품이익",BS연결,MATCH(O$1,BS연결H,0),0)-VLOOKUP("파생상품손실",BS연결,MATCH(O$1,BS연결H,0),0))/100,"")</f>
        <v/>
      </c>
      <c r="P14" s="37">
        <f>SUM(L14:O14)</f>
        <v/>
      </c>
      <c r="Q14" s="18">
        <f>IFERROR((VLOOKUP("파생상품이익",BS연결,MATCH(Q$1,BS연결H,0),0)-VLOOKUP("파생상품손실",BS연결,MATCH(Q$1,BS연결H,0),0))/100,"")</f>
        <v/>
      </c>
      <c r="R14" s="18">
        <f>IFERROR((VLOOKUP("파생상품이익",BS연결,MATCH(R$1,BS연결H,0),0)-VLOOKUP("파생상품손실",BS연결,MATCH(R$1,BS연결H,0),0))/100,"")</f>
        <v/>
      </c>
      <c r="S14" s="18">
        <f>IFERROR((VLOOKUP("파생상품이익",BS연결,MATCH(S$1,BS연결H,0),0)-VLOOKUP("파생상품손실",BS연결,MATCH(S$1,BS연결H,0),0))/100,"")</f>
        <v/>
      </c>
      <c r="T14" s="18">
        <f>IFERROR((VLOOKUP("파생상품이익",BS연결,MATCH(T$1,BS연결H,0),0)-VLOOKUP("파생상품손실",BS연결,MATCH(T$1,BS연결H,0),0))/100,"")</f>
        <v/>
      </c>
      <c r="U14" s="37">
        <f>SUM(Q14:T14)</f>
        <v/>
      </c>
      <c r="V14" s="18">
        <f>IFERROR((VLOOKUP("파생상품이익",BS연결,MATCH(V$1,BS연결H,0),0)-VLOOKUP("파생상품손실",BS연결,MATCH(V$1,BS연결H,0),0))/100,"")</f>
        <v/>
      </c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변수!AC23</f>
        <v/>
      </c>
      <c r="AD14" s="20">
        <f>변수!AD23</f>
        <v/>
      </c>
      <c r="AE14" s="38">
        <f>SUM(AA14:AD14)</f>
        <v/>
      </c>
      <c r="AF14" s="20">
        <f>변수!AF23</f>
        <v/>
      </c>
      <c r="AG14" s="20">
        <f>변수!AG23</f>
        <v/>
      </c>
      <c r="AH14" s="20">
        <f>변수!AH23</f>
        <v/>
      </c>
      <c r="AI14" s="20">
        <f>변수!AI23</f>
        <v/>
      </c>
      <c r="AJ14" s="38">
        <f>SUM(AF14:AI14)</f>
        <v/>
      </c>
      <c r="AK14" s="20">
        <f>변수!AK23</f>
        <v/>
      </c>
      <c r="AL14" s="20">
        <f>변수!AL23</f>
        <v/>
      </c>
      <c r="AM14" s="20">
        <f>변수!AM23</f>
        <v/>
      </c>
      <c r="AN14" s="20">
        <f>변수!AN23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>
        <f>IFERROR(G11-G12-G13-G14,"")</f>
        <v/>
      </c>
      <c r="H15" s="18">
        <f>IFERROR(H11-H12-H13-H14,"")</f>
        <v/>
      </c>
      <c r="I15" s="18">
        <f>IFERROR(I11-I12-I13-I14,"")</f>
        <v/>
      </c>
      <c r="J15" s="18">
        <f>IFERROR(J11-J12-J13-J14,"")</f>
        <v/>
      </c>
      <c r="K15" s="37">
        <f>SUM(G15:J15)</f>
        <v/>
      </c>
      <c r="L15" s="18">
        <f>IFERROR(L11-L12-L13-L14,"")</f>
        <v/>
      </c>
      <c r="M15" s="18">
        <f>IFERROR(M11-M12-M13-M14,"")</f>
        <v/>
      </c>
      <c r="N15" s="18">
        <f>IFERROR(N11-N12-N13-N14,"")</f>
        <v/>
      </c>
      <c r="O15" s="18">
        <f>IFERROR(O11-O12-O13-O14,"")</f>
        <v/>
      </c>
      <c r="P15" s="37">
        <f>SUM(L15:O15)</f>
        <v/>
      </c>
      <c r="Q15" s="18">
        <f>IFERROR(Q11-Q12-Q13-Q14,"")</f>
        <v/>
      </c>
      <c r="R15" s="18">
        <f>IFERROR(R11-R12-R13-R14,"")</f>
        <v/>
      </c>
      <c r="S15" s="18">
        <f>IFERROR(S11-S12-S13-S14,"")</f>
        <v/>
      </c>
      <c r="T15" s="18">
        <f>IFERROR(T11-T12-T13-T14,"")</f>
        <v/>
      </c>
      <c r="U15" s="37">
        <f>SUM(Q15:T15)</f>
        <v/>
      </c>
      <c r="V15" s="18">
        <f>IFERROR(V11-V12-V13-V14,"")</f>
        <v/>
      </c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변수!AC24</f>
        <v/>
      </c>
      <c r="AD15" s="20">
        <f>변수!AD24</f>
        <v/>
      </c>
      <c r="AE15" s="38">
        <f>SUM(AA15:AD15)</f>
        <v/>
      </c>
      <c r="AF15" s="20">
        <f>변수!AF24</f>
        <v/>
      </c>
      <c r="AG15" s="20">
        <f>변수!AG24</f>
        <v/>
      </c>
      <c r="AH15" s="20">
        <f>변수!AH24</f>
        <v/>
      </c>
      <c r="AI15" s="20">
        <f>변수!AI24</f>
        <v/>
      </c>
      <c r="AJ15" s="38">
        <f>SUM(AF15:AI15)</f>
        <v/>
      </c>
      <c r="AK15" s="20">
        <f>변수!AK24</f>
        <v/>
      </c>
      <c r="AL15" s="20">
        <f>변수!AL24</f>
        <v/>
      </c>
      <c r="AM15" s="20">
        <f>변수!AM24</f>
        <v/>
      </c>
      <c r="AN15" s="20">
        <f>변수!AN24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변수!AC25</f>
        <v/>
      </c>
      <c r="AD16" s="20">
        <f>변수!AD25</f>
        <v/>
      </c>
      <c r="AE16" s="38">
        <f>SUM(AA16:AD16)</f>
        <v/>
      </c>
      <c r="AF16" s="20">
        <f>변수!AF25</f>
        <v/>
      </c>
      <c r="AG16" s="20">
        <f>변수!AG25</f>
        <v/>
      </c>
      <c r="AH16" s="20">
        <f>변수!AH25</f>
        <v/>
      </c>
      <c r="AI16" s="20">
        <f>변수!AI25</f>
        <v/>
      </c>
      <c r="AJ16" s="38">
        <f>SUM(AF16:AI16)</f>
        <v/>
      </c>
      <c r="AK16" s="20">
        <f>변수!AK25</f>
        <v/>
      </c>
      <c r="AL16" s="20">
        <f>변수!AL25</f>
        <v/>
      </c>
      <c r="AM16" s="20">
        <f>변수!AM25</f>
        <v/>
      </c>
      <c r="AN16" s="20">
        <f>변수!AN25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변수!AC26</f>
        <v/>
      </c>
      <c r="AD17" s="20">
        <f>변수!AD26</f>
        <v/>
      </c>
      <c r="AE17" s="38">
        <f>SUM(AA17:AD17)</f>
        <v/>
      </c>
      <c r="AF17" s="20">
        <f>변수!AF26</f>
        <v/>
      </c>
      <c r="AG17" s="20">
        <f>변수!AG26</f>
        <v/>
      </c>
      <c r="AH17" s="20">
        <f>변수!AH26</f>
        <v/>
      </c>
      <c r="AI17" s="20">
        <f>변수!AI26</f>
        <v/>
      </c>
      <c r="AJ17" s="38">
        <f>SUM(AF17:AI17)</f>
        <v/>
      </c>
      <c r="AK17" s="20">
        <f>변수!AK26</f>
        <v/>
      </c>
      <c r="AL17" s="20">
        <f>변수!AL26</f>
        <v/>
      </c>
      <c r="AM17" s="20">
        <f>변수!AM26</f>
        <v/>
      </c>
      <c r="AN17" s="20">
        <f>변수!AN26</f>
        <v/>
      </c>
      <c r="AO17" s="38">
        <f>SUM(AK17:AN17)</f>
        <v/>
      </c>
    </row>
    <row r="18">
      <c r="A18" s="12" t="inlineStr">
        <is>
          <t>환관련손익</t>
        </is>
      </c>
      <c r="B18" t="inlineStr">
        <is>
          <t>손익</t>
        </is>
      </c>
      <c r="C18" t="inlineStr">
        <is>
          <t>억원</t>
        </is>
      </c>
      <c r="D18" t="inlineStr">
        <is>
          <t>환관련손익(모델 추정분)</t>
        </is>
      </c>
      <c r="E18" s="18" t="n"/>
      <c r="F18" s="37" t="n"/>
      <c r="G18" s="18" t="n"/>
      <c r="H18" s="18" t="n"/>
      <c r="I18" s="18" t="n"/>
      <c r="J18" s="18" t="n"/>
      <c r="K18" s="37">
        <f>SUM(G18:J18)</f>
        <v/>
      </c>
      <c r="L18" s="18" t="n"/>
      <c r="M18" s="18" t="n"/>
      <c r="N18" s="18" t="n"/>
      <c r="O18" s="18" t="n"/>
      <c r="P18" s="37">
        <f>SUM(L18:O18)</f>
        <v/>
      </c>
      <c r="Q18" s="18" t="n"/>
      <c r="R18" s="18" t="n"/>
      <c r="S18" s="18" t="n"/>
      <c r="T18" s="18" t="n"/>
      <c r="U18" s="37">
        <f>SUM(Q18:T18)</f>
        <v/>
      </c>
      <c r="V18" s="18" t="n"/>
      <c r="W18" s="18" t="n"/>
      <c r="X18" s="18" t="n"/>
      <c r="Y18" s="18" t="n"/>
      <c r="Z18" s="37">
        <f>SUM(V18:Y18)</f>
        <v/>
      </c>
      <c r="AA18" s="18" t="n"/>
      <c r="AB18" s="19" t="n"/>
      <c r="AC18" s="20">
        <f>IFERROR(변수!$D$60*(변수!AC7-변수!AB7)/100,"")</f>
        <v/>
      </c>
      <c r="AD18" s="20">
        <f>IFERROR(변수!$D$60*(변수!AD7-변수!AC7)/100,"")</f>
        <v/>
      </c>
      <c r="AE18" s="38">
        <f>SUM(AA18:AD18)</f>
        <v/>
      </c>
      <c r="AF18" s="20">
        <f>IFERROR(변수!$D$60*(변수!AF7-변수!AD7)/100,"")</f>
        <v/>
      </c>
      <c r="AG18" s="20">
        <f>IFERROR(변수!$D$60*(변수!AG7-변수!AF7)/100,"")</f>
        <v/>
      </c>
      <c r="AH18" s="20">
        <f>IFERROR(변수!$D$60*(변수!AH7-변수!AG7)/100,"")</f>
        <v/>
      </c>
      <c r="AI18" s="20">
        <f>IFERROR(변수!$D$60*(변수!AI7-변수!AH7)/100,"")</f>
        <v/>
      </c>
      <c r="AJ18" s="38">
        <f>SUM(AF18:AI18)</f>
        <v/>
      </c>
      <c r="AK18" s="20">
        <f>IFERROR(변수!$D$60*(변수!AK7-변수!AI7)/100,"")</f>
        <v/>
      </c>
      <c r="AL18" s="20">
        <f>IFERROR(변수!$D$60*(변수!AL7-변수!AK7)/100,"")</f>
        <v/>
      </c>
      <c r="AM18" s="20">
        <f>IFERROR(변수!$D$60*(변수!AM7-변수!AL7)/100,"")</f>
        <v/>
      </c>
      <c r="AN18" s="20">
        <f>IFERROR(변수!$D$60*(변수!AN7-변수!AM7)/100,"")</f>
        <v/>
      </c>
      <c r="AO18" s="38">
        <f>SUM(AK18:AN18)</f>
        <v/>
      </c>
    </row>
    <row r="19">
      <c r="A19" s="12" t="inlineStr">
        <is>
          <t>세전이익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법인세비용차감전계속사업이익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IFERROR(AC9+AC11+AC16+AC17+AC18,"")</f>
        <v/>
      </c>
      <c r="AD19" s="20">
        <f>IFERROR(AD9+AD11+AD16+AD17+AD18,"")</f>
        <v/>
      </c>
      <c r="AE19" s="38">
        <f>SUM(AA19:AD19)</f>
        <v/>
      </c>
      <c r="AF19" s="20">
        <f>IFERROR(AF9+AF11+AF16+AF17+AF18,"")</f>
        <v/>
      </c>
      <c r="AG19" s="20">
        <f>IFERROR(AG9+AG11+AG16+AG17+AG18,"")</f>
        <v/>
      </c>
      <c r="AH19" s="20">
        <f>IFERROR(AH9+AH11+AH16+AH17+AH18,"")</f>
        <v/>
      </c>
      <c r="AI19" s="20">
        <f>IFERROR(AI9+AI11+AI16+AI17+AI18,"")</f>
        <v/>
      </c>
      <c r="AJ19" s="38">
        <f>SUM(AF19:AI19)</f>
        <v/>
      </c>
      <c r="AK19" s="20">
        <f>IFERROR(AK9+AK11+AK16+AK17+AK18,"")</f>
        <v/>
      </c>
      <c r="AL19" s="20">
        <f>IFERROR(AL9+AL11+AL16+AL17+AL18,"")</f>
        <v/>
      </c>
      <c r="AM19" s="20">
        <f>IFERROR(AM9+AM11+AM16+AM17+AM18,"")</f>
        <v/>
      </c>
      <c r="AN19" s="20">
        <f>IFERROR(AN9+AN11+AN16+AN17+AN18,"")</f>
        <v/>
      </c>
      <c r="AO19" s="38">
        <f>SUM(AK19:AN19)</f>
        <v/>
      </c>
    </row>
    <row r="20">
      <c r="A20" s="12" t="inlineStr">
        <is>
          <t>법인세비용</t>
        </is>
      </c>
      <c r="B20" t="inlineStr">
        <is>
          <t>손익</t>
        </is>
      </c>
      <c r="C20" t="inlineStr">
        <is>
          <t>억원</t>
        </is>
      </c>
      <c r="D20" t="inlineStr">
        <is>
          <t>법인세비용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IFERROR(MAX(AC19,0)*변수!AC27,"")</f>
        <v/>
      </c>
      <c r="AD20" s="20">
        <f>IFERROR(MAX(AD19,0)*변수!AD27,"")</f>
        <v/>
      </c>
      <c r="AE20" s="38">
        <f>SUM(AA20:AD20)</f>
        <v/>
      </c>
      <c r="AF20" s="20">
        <f>IFERROR(MAX(AF19,0)*변수!AF27,"")</f>
        <v/>
      </c>
      <c r="AG20" s="20">
        <f>IFERROR(MAX(AG19,0)*변수!AG27,"")</f>
        <v/>
      </c>
      <c r="AH20" s="20">
        <f>IFERROR(MAX(AH19,0)*변수!AH27,"")</f>
        <v/>
      </c>
      <c r="AI20" s="20">
        <f>IFERROR(MAX(AI19,0)*변수!AI27,"")</f>
        <v/>
      </c>
      <c r="AJ20" s="38">
        <f>SUM(AF20:AI20)</f>
        <v/>
      </c>
      <c r="AK20" s="20">
        <f>IFERROR(MAX(AK19,0)*변수!AK27,"")</f>
        <v/>
      </c>
      <c r="AL20" s="20">
        <f>IFERROR(MAX(AL19,0)*변수!AL27,"")</f>
        <v/>
      </c>
      <c r="AM20" s="20">
        <f>IFERROR(MAX(AM19,0)*변수!AM27,"")</f>
        <v/>
      </c>
      <c r="AN20" s="20">
        <f>IFERROR(MAX(AN19,0)*변수!AN27,"")</f>
        <v/>
      </c>
      <c r="AO20" s="38">
        <f>SUM(AK20:AN20)</f>
        <v/>
      </c>
    </row>
    <row r="21">
      <c r="A21" s="12" t="inlineStr">
        <is>
          <t>당기순이익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당기순이익</t>
        </is>
      </c>
      <c r="E21" s="18" t="n"/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IFERROR(AC19-AC20,"")</f>
        <v/>
      </c>
      <c r="AD21" s="20">
        <f>IFERROR(AD19-AD20,"")</f>
        <v/>
      </c>
      <c r="AE21" s="38">
        <f>SUM(AA21:AD21)</f>
        <v/>
      </c>
      <c r="AF21" s="20">
        <f>IFERROR(AF19-AF20,"")</f>
        <v/>
      </c>
      <c r="AG21" s="20">
        <f>IFERROR(AG19-AG20,"")</f>
        <v/>
      </c>
      <c r="AH21" s="20">
        <f>IFERROR(AH19-AH20,"")</f>
        <v/>
      </c>
      <c r="AI21" s="20">
        <f>IFERROR(AI19-AI20,"")</f>
        <v/>
      </c>
      <c r="AJ21" s="38">
        <f>SUM(AF21:AI21)</f>
        <v/>
      </c>
      <c r="AK21" s="20">
        <f>IFERROR(AK19-AK20,"")</f>
        <v/>
      </c>
      <c r="AL21" s="20">
        <f>IFERROR(AL19-AL20,"")</f>
        <v/>
      </c>
      <c r="AM21" s="20">
        <f>IFERROR(AM19-AM20,"")</f>
        <v/>
      </c>
      <c r="AN21" s="20">
        <f>IFERROR(AN19-AN20,"")</f>
        <v/>
      </c>
      <c r="AO21" s="38">
        <f>SUM(AK21:AN21)</f>
        <v/>
      </c>
    </row>
    <row r="22">
      <c r="A22" s="12" t="inlineStr">
        <is>
          <t>지배주주순이익</t>
        </is>
      </c>
      <c r="B22" t="inlineStr">
        <is>
          <t>손익</t>
        </is>
      </c>
      <c r="C22" t="inlineStr">
        <is>
          <t>억원</t>
        </is>
      </c>
      <c r="D22" t="inlineStr">
        <is>
          <t>(지배주주지분)당기순이익</t>
        </is>
      </c>
      <c r="E22" s="18" t="n"/>
      <c r="F22" s="37" t="n"/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IFERROR(AC21*변수!AC28,"")</f>
        <v/>
      </c>
      <c r="AD22" s="20">
        <f>IFERROR(AD21*변수!AD28,"")</f>
        <v/>
      </c>
      <c r="AE22" s="38">
        <f>SUM(AA22:AD22)</f>
        <v/>
      </c>
      <c r="AF22" s="20">
        <f>IFERROR(AF21*변수!AF28,"")</f>
        <v/>
      </c>
      <c r="AG22" s="20">
        <f>IFERROR(AG21*변수!AG28,"")</f>
        <v/>
      </c>
      <c r="AH22" s="20">
        <f>IFERROR(AH21*변수!AH28,"")</f>
        <v/>
      </c>
      <c r="AI22" s="20">
        <f>IFERROR(AI21*변수!AI28,"")</f>
        <v/>
      </c>
      <c r="AJ22" s="38">
        <f>SUM(AF22:AI22)</f>
        <v/>
      </c>
      <c r="AK22" s="20">
        <f>IFERROR(AK21*변수!AK28,"")</f>
        <v/>
      </c>
      <c r="AL22" s="20">
        <f>IFERROR(AL21*변수!AL28,"")</f>
        <v/>
      </c>
      <c r="AM22" s="20">
        <f>IFERROR(AM21*변수!AM28,"")</f>
        <v/>
      </c>
      <c r="AN22" s="20">
        <f>IFERROR(AN21*변수!AN28,"")</f>
        <v/>
      </c>
      <c r="AO22" s="38">
        <f>SUM(AK22:AN22)</f>
        <v/>
      </c>
    </row>
    <row r="23">
      <c r="A23" s="12" t="inlineStr">
        <is>
          <t>자산총계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자산총계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IFERROR(AC24+AC25,"")</f>
        <v/>
      </c>
      <c r="AD23" s="20">
        <f>IFERROR(AD24+AD25,"")</f>
        <v/>
      </c>
      <c r="AE23" s="38">
        <f>AD23</f>
        <v/>
      </c>
      <c r="AF23" s="20">
        <f>IFERROR(AF24+AF25,"")</f>
        <v/>
      </c>
      <c r="AG23" s="20">
        <f>IFERROR(AG24+AG25,"")</f>
        <v/>
      </c>
      <c r="AH23" s="20">
        <f>IFERROR(AH24+AH25,"")</f>
        <v/>
      </c>
      <c r="AI23" s="20">
        <f>IFERROR(AI24+AI25,"")</f>
        <v/>
      </c>
      <c r="AJ23" s="38">
        <f>AI23</f>
        <v/>
      </c>
      <c r="AK23" s="20">
        <f>IFERROR(AK24+AK25,"")</f>
        <v/>
      </c>
      <c r="AL23" s="20">
        <f>IFERROR(AL24+AL25,"")</f>
        <v/>
      </c>
      <c r="AM23" s="20">
        <f>IFERROR(AM24+AM25,"")</f>
        <v/>
      </c>
      <c r="AN23" s="20">
        <f>IFERROR(AN24+AN25,"")</f>
        <v/>
      </c>
      <c r="AO23" s="38">
        <f>AN23</f>
        <v/>
      </c>
    </row>
    <row r="24">
      <c r="A24" s="12" t="inlineStr">
        <is>
          <t>부채총계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부채총계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IFERROR(AB24*(1+변수!AC29),"")</f>
        <v/>
      </c>
      <c r="AD24" s="20">
        <f>IFERROR(AC24*(1+변수!AD29),"")</f>
        <v/>
      </c>
      <c r="AE24" s="38">
        <f>AD24</f>
        <v/>
      </c>
      <c r="AF24" s="20">
        <f>IFERROR(AD24*(1+변수!AF29),"")</f>
        <v/>
      </c>
      <c r="AG24" s="20">
        <f>IFERROR(AF24*(1+변수!AG29),"")</f>
        <v/>
      </c>
      <c r="AH24" s="20">
        <f>IFERROR(AG24*(1+변수!AH29),"")</f>
        <v/>
      </c>
      <c r="AI24" s="20">
        <f>IFERROR(AH24*(1+변수!AI29),"")</f>
        <v/>
      </c>
      <c r="AJ24" s="38">
        <f>AI24</f>
        <v/>
      </c>
      <c r="AK24" s="20">
        <f>IFERROR(AI24*(1+변수!AK29),"")</f>
        <v/>
      </c>
      <c r="AL24" s="20">
        <f>IFERROR(AK24*(1+변수!AL29),"")</f>
        <v/>
      </c>
      <c r="AM24" s="20">
        <f>IFERROR(AL24*(1+변수!AM29),"")</f>
        <v/>
      </c>
      <c r="AN24" s="20">
        <f>IFERROR(AM24*(1+변수!AN29),"")</f>
        <v/>
      </c>
      <c r="AO24" s="38">
        <f>AN24</f>
        <v/>
      </c>
    </row>
    <row r="25">
      <c r="A25" s="12" t="inlineStr">
        <is>
          <t>자본총계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자본총계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IFERROR(AB25+AC21-변수!AC30,"")</f>
        <v/>
      </c>
      <c r="AD25" s="20">
        <f>IFERROR(AC25+AD21-변수!AD30,"")</f>
        <v/>
      </c>
      <c r="AE25" s="38">
        <f>AD25</f>
        <v/>
      </c>
      <c r="AF25" s="20">
        <f>IFERROR(AD25+AF21-변수!AF30,"")</f>
        <v/>
      </c>
      <c r="AG25" s="20">
        <f>IFERROR(AF25+AG21-변수!AG30,"")</f>
        <v/>
      </c>
      <c r="AH25" s="20">
        <f>IFERROR(AG25+AH21-변수!AH30,"")</f>
        <v/>
      </c>
      <c r="AI25" s="20">
        <f>IFERROR(AH25+AI21-변수!AI30,"")</f>
        <v/>
      </c>
      <c r="AJ25" s="38">
        <f>AI25</f>
        <v/>
      </c>
      <c r="AK25" s="20">
        <f>IFERROR(AI25+AK21-변수!AK30,"")</f>
        <v/>
      </c>
      <c r="AL25" s="20">
        <f>IFERROR(AK25+AL21-변수!AL30,"")</f>
        <v/>
      </c>
      <c r="AM25" s="20">
        <f>IFERROR(AL25+AM21-변수!AM30,"")</f>
        <v/>
      </c>
      <c r="AN25" s="20">
        <f>IFERROR(AM25+AN21-변수!AN30,"")</f>
        <v/>
      </c>
      <c r="AO25" s="38">
        <f>AN25</f>
        <v/>
      </c>
    </row>
    <row r="26">
      <c r="A26" s="12" t="inlineStr">
        <is>
          <t>지배주주지분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지배주주지분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IFERROR(AB26+AC22-변수!AC31,"")</f>
        <v/>
      </c>
      <c r="AD26" s="20">
        <f>IFERROR(AC26+AD22-변수!AD31,"")</f>
        <v/>
      </c>
      <c r="AE26" s="38">
        <f>AD26</f>
        <v/>
      </c>
      <c r="AF26" s="20">
        <f>IFERROR(AD26+AF22-변수!AF31,"")</f>
        <v/>
      </c>
      <c r="AG26" s="20">
        <f>IFERROR(AF26+AG22-변수!AG31,"")</f>
        <v/>
      </c>
      <c r="AH26" s="20">
        <f>IFERROR(AG26+AH22-변수!AH31,"")</f>
        <v/>
      </c>
      <c r="AI26" s="20">
        <f>IFERROR(AH26+AI22-변수!AI31,"")</f>
        <v/>
      </c>
      <c r="AJ26" s="38">
        <f>AI26</f>
        <v/>
      </c>
      <c r="AK26" s="20">
        <f>IFERROR(AI26+AK22-변수!AK31,"")</f>
        <v/>
      </c>
      <c r="AL26" s="20">
        <f>IFERROR(AK26+AL22-변수!AL31,"")</f>
        <v/>
      </c>
      <c r="AM26" s="20">
        <f>IFERROR(AL26+AM22-변수!AM31,"")</f>
        <v/>
      </c>
      <c r="AN26" s="20">
        <f>IFERROR(AM26+AN22-변수!AN31,"")</f>
        <v/>
      </c>
      <c r="AO26" s="38">
        <f>AN26</f>
        <v/>
      </c>
    </row>
    <row r="27">
      <c r="A27" s="12" t="inlineStr">
        <is>
          <t>총차입금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총차입금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IFERROR(AB27*(1+변수!AC32),"")</f>
        <v/>
      </c>
      <c r="AD27" s="20">
        <f>IFERROR(AC27*(1+변수!AD32),"")</f>
        <v/>
      </c>
      <c r="AE27" s="38">
        <f>AD27</f>
        <v/>
      </c>
      <c r="AF27" s="20">
        <f>IFERROR(AD27*(1+변수!AF32),"")</f>
        <v/>
      </c>
      <c r="AG27" s="20">
        <f>IFERROR(AF27*(1+변수!AG32),"")</f>
        <v/>
      </c>
      <c r="AH27" s="20">
        <f>IFERROR(AG27*(1+변수!AH32),"")</f>
        <v/>
      </c>
      <c r="AI27" s="20">
        <f>IFERROR(AH27*(1+변수!AI32),"")</f>
        <v/>
      </c>
      <c r="AJ27" s="38">
        <f>AI27</f>
        <v/>
      </c>
      <c r="AK27" s="20">
        <f>IFERROR(AI27*(1+변수!AK32),"")</f>
        <v/>
      </c>
      <c r="AL27" s="20">
        <f>IFERROR(AK27*(1+변수!AL32),"")</f>
        <v/>
      </c>
      <c r="AM27" s="20">
        <f>IFERROR(AL27*(1+변수!AM32),"")</f>
        <v/>
      </c>
      <c r="AN27" s="20">
        <f>IFERROR(AM27*(1+변수!AN32),"")</f>
        <v/>
      </c>
      <c r="AO27" s="38">
        <f>AN27</f>
        <v/>
      </c>
    </row>
    <row r="28">
      <c r="A28" s="12" t="inlineStr">
        <is>
          <t>순차입금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순차입금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IFERROR(AB28*(1+변수!AC33),"")</f>
        <v/>
      </c>
      <c r="AD28" s="20">
        <f>IFERROR(AC28*(1+변수!AD33),"")</f>
        <v/>
      </c>
      <c r="AE28" s="38">
        <f>AD28</f>
        <v/>
      </c>
      <c r="AF28" s="20">
        <f>IFERROR(AD28*(1+변수!AF33),"")</f>
        <v/>
      </c>
      <c r="AG28" s="20">
        <f>IFERROR(AF28*(1+변수!AG33),"")</f>
        <v/>
      </c>
      <c r="AH28" s="20">
        <f>IFERROR(AG28*(1+변수!AH33),"")</f>
        <v/>
      </c>
      <c r="AI28" s="20">
        <f>IFERROR(AH28*(1+변수!AI33),"")</f>
        <v/>
      </c>
      <c r="AJ28" s="38">
        <f>AI28</f>
        <v/>
      </c>
      <c r="AK28" s="20">
        <f>IFERROR(AI28*(1+변수!AK33),"")</f>
        <v/>
      </c>
      <c r="AL28" s="20">
        <f>IFERROR(AK28*(1+변수!AL33),"")</f>
        <v/>
      </c>
      <c r="AM28" s="20">
        <f>IFERROR(AL28*(1+변수!AM33),"")</f>
        <v/>
      </c>
      <c r="AN28" s="20">
        <f>IFERROR(AM28*(1+변수!AN33),"")</f>
        <v/>
      </c>
      <c r="AO28" s="38">
        <f>AN28</f>
        <v/>
      </c>
    </row>
    <row r="29">
      <c r="A29" s="12" t="inlineStr">
        <is>
          <t>이자발생자산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이자발생자산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IFERROR(AB29*(1+변수!AC34),"")</f>
        <v/>
      </c>
      <c r="AD29" s="20">
        <f>IFERROR(AC29*(1+변수!AD34),"")</f>
        <v/>
      </c>
      <c r="AE29" s="38">
        <f>AD29</f>
        <v/>
      </c>
      <c r="AF29" s="20">
        <f>IFERROR(AD29*(1+변수!AF34),"")</f>
        <v/>
      </c>
      <c r="AG29" s="20">
        <f>IFERROR(AF29*(1+변수!AG34),"")</f>
        <v/>
      </c>
      <c r="AH29" s="20">
        <f>IFERROR(AG29*(1+변수!AH34),"")</f>
        <v/>
      </c>
      <c r="AI29" s="20">
        <f>IFERROR(AH29*(1+변수!AI34),"")</f>
        <v/>
      </c>
      <c r="AJ29" s="38">
        <f>AI29</f>
        <v/>
      </c>
      <c r="AK29" s="20">
        <f>IFERROR(AI29*(1+변수!AK34),"")</f>
        <v/>
      </c>
      <c r="AL29" s="20">
        <f>IFERROR(AK29*(1+변수!AL34),"")</f>
        <v/>
      </c>
      <c r="AM29" s="20">
        <f>IFERROR(AL29*(1+변수!AM34),"")</f>
        <v/>
      </c>
      <c r="AN29" s="20">
        <f>IFERROR(AM29*(1+변수!AN34),"")</f>
        <v/>
      </c>
      <c r="AO29" s="38">
        <f>AN29</f>
        <v/>
      </c>
    </row>
    <row r="30">
      <c r="A30" s="12" t="inlineStr">
        <is>
          <t>현금및현금성자산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현금및현금성자산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AD30</f>
        <v/>
      </c>
      <c r="AF30" s="20" t="n"/>
      <c r="AG30" s="20" t="n"/>
      <c r="AH30" s="20" t="n"/>
      <c r="AI30" s="20" t="n"/>
      <c r="AJ30" s="38">
        <f>AI30</f>
        <v/>
      </c>
      <c r="AK30" s="20" t="n"/>
      <c r="AL30" s="20" t="n"/>
      <c r="AM30" s="20" t="n"/>
      <c r="AN30" s="20" t="n"/>
      <c r="AO30" s="38">
        <f>AN30</f>
        <v/>
      </c>
    </row>
    <row r="31">
      <c r="A31" s="12" t="inlineStr">
        <is>
          <t>CAPEX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CAPEX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>
        <f>IFERROR(X31*(1+변수!AC36),"")</f>
        <v/>
      </c>
      <c r="AD31" s="20">
        <f>IFERROR(Y31*(1+변수!AD36),"")</f>
        <v/>
      </c>
      <c r="AE31" s="38">
        <f>SUM(AA31:AD31)</f>
        <v/>
      </c>
      <c r="AF31" s="20">
        <f>IFERROR(AA31*(1+변수!AF36),"")</f>
        <v/>
      </c>
      <c r="AG31" s="20">
        <f>IFERROR(AB31*(1+변수!AG36),"")</f>
        <v/>
      </c>
      <c r="AH31" s="20">
        <f>IFERROR(AC31*(1+변수!AH36),"")</f>
        <v/>
      </c>
      <c r="AI31" s="20">
        <f>IFERROR(AD31*(1+변수!AI36),"")</f>
        <v/>
      </c>
      <c r="AJ31" s="38">
        <f>SUM(AF31:AI31)</f>
        <v/>
      </c>
      <c r="AK31" s="20">
        <f>IFERROR(AF31*(1+변수!AK36),"")</f>
        <v/>
      </c>
      <c r="AL31" s="20">
        <f>IFERROR(AG31*(1+변수!AL36),"")</f>
        <v/>
      </c>
      <c r="AM31" s="20">
        <f>IFERROR(AH31*(1+변수!AM36),"")</f>
        <v/>
      </c>
      <c r="AN31" s="20">
        <f>IFERROR(AI31*(1+변수!AN36),"")</f>
        <v/>
      </c>
      <c r="AO31" s="38">
        <f>SUM(AK31:AN31)</f>
        <v/>
      </c>
    </row>
    <row r="32">
      <c r="A32" s="12" t="inlineStr">
        <is>
          <t>영업활동현금흐름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영업활동으로인한현금흐름</t>
        </is>
      </c>
      <c r="E32" s="18">
        <f>IFERROR(VLOOKUP($D32,BS연결,MATCH(E$1,BS연결H,0),0)/100,"")</f>
        <v/>
      </c>
      <c r="F32" s="37" t="n"/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 t="n"/>
      <c r="AD32" s="20" t="n"/>
      <c r="AE32" s="38">
        <f>SUM(AA32:AD32)</f>
        <v/>
      </c>
      <c r="AF32" s="20" t="n"/>
      <c r="AG32" s="20" t="n"/>
      <c r="AH32" s="20" t="n"/>
      <c r="AI32" s="20" t="n"/>
      <c r="AJ32" s="38">
        <f>SUM(AF32:AI32)</f>
        <v/>
      </c>
      <c r="AK32" s="20" t="n"/>
      <c r="AL32" s="20" t="n"/>
      <c r="AM32" s="20" t="n"/>
      <c r="AN32" s="20" t="n"/>
      <c r="AO32" s="38">
        <f>SUM(AK32:AN32)</f>
        <v/>
      </c>
    </row>
    <row r="33">
      <c r="A33" s="12" t="inlineStr">
        <is>
          <t>주식수</t>
        </is>
      </c>
      <c r="B33" t="inlineStr">
        <is>
          <t>주당</t>
        </is>
      </c>
      <c r="C33" t="inlineStr">
        <is>
          <t>백만주</t>
        </is>
      </c>
      <c r="D33" t="inlineStr">
        <is>
          <t>유통주식수</t>
        </is>
      </c>
      <c r="E33" s="26" t="n">
        <v>88.773</v>
      </c>
      <c r="F33" s="27">
        <f>E33</f>
        <v/>
      </c>
      <c r="G33" s="26" t="n">
        <v>88.773</v>
      </c>
      <c r="H33" s="26" t="n">
        <v>88.773</v>
      </c>
      <c r="I33" s="26" t="n">
        <v>88.773</v>
      </c>
      <c r="J33" s="26" t="n">
        <v>88.773</v>
      </c>
      <c r="K33" s="27">
        <f>J33</f>
        <v/>
      </c>
      <c r="L33" s="26" t="n">
        <v>88.773</v>
      </c>
      <c r="M33" s="26" t="n">
        <v>88.773</v>
      </c>
      <c r="N33" s="26" t="n">
        <v>88.773</v>
      </c>
      <c r="O33" s="26" t="n">
        <v>88.773</v>
      </c>
      <c r="P33" s="27">
        <f>O33</f>
        <v/>
      </c>
      <c r="Q33" s="26" t="n">
        <v>88.773</v>
      </c>
      <c r="R33" s="26" t="n">
        <v>88.773</v>
      </c>
      <c r="S33" s="26" t="n">
        <v>88.773</v>
      </c>
      <c r="T33" s="26" t="n">
        <v>88.773</v>
      </c>
      <c r="U33" s="27">
        <f>T33</f>
        <v/>
      </c>
      <c r="V33" s="26" t="n">
        <v>88.773</v>
      </c>
      <c r="W33" s="26" t="n">
        <v>88.773</v>
      </c>
      <c r="X33" s="26" t="n">
        <v>88.773</v>
      </c>
      <c r="Y33" s="26" t="n">
        <v>104.933</v>
      </c>
      <c r="Z33" s="27">
        <f>Y33</f>
        <v/>
      </c>
      <c r="AA33" s="26" t="n">
        <v>104.933</v>
      </c>
      <c r="AB33" s="28" t="n">
        <v>104.933</v>
      </c>
      <c r="AC33" s="33">
        <f>IFERROR(AB33*(1+변수!AC38),"")</f>
        <v/>
      </c>
      <c r="AD33" s="33">
        <f>IFERROR(AC33*(1+변수!AD38),"")</f>
        <v/>
      </c>
      <c r="AE33" s="30">
        <f>AD33</f>
        <v/>
      </c>
      <c r="AF33" s="33">
        <f>IFERROR(AD33*(1+변수!AF38),"")</f>
        <v/>
      </c>
      <c r="AG33" s="33">
        <f>IFERROR(AF33*(1+변수!AG38),"")</f>
        <v/>
      </c>
      <c r="AH33" s="33">
        <f>IFERROR(AG33*(1+변수!AH38),"")</f>
        <v/>
      </c>
      <c r="AI33" s="33">
        <f>IFERROR(AH33*(1+변수!AI38),"")</f>
        <v/>
      </c>
      <c r="AJ33" s="30">
        <f>AI33</f>
        <v/>
      </c>
      <c r="AK33" s="33">
        <f>IFERROR(AI33*(1+변수!AK38),"")</f>
        <v/>
      </c>
      <c r="AL33" s="33">
        <f>IFERROR(AK33*(1+변수!AL38),"")</f>
        <v/>
      </c>
      <c r="AM33" s="33">
        <f>IFERROR(AL33*(1+변수!AM38),"")</f>
        <v/>
      </c>
      <c r="AN33" s="33">
        <f>IFERROR(AM33*(1+변수!AN38),"")</f>
        <v/>
      </c>
      <c r="AO33" s="30">
        <f>AN33</f>
        <v/>
      </c>
    </row>
    <row r="34">
      <c r="A34" s="12" t="inlineStr">
        <is>
          <t>EPS</t>
        </is>
      </c>
      <c r="B34" t="inlineStr">
        <is>
          <t>주당</t>
        </is>
      </c>
      <c r="C34" t="inlineStr">
        <is>
          <t>원</t>
        </is>
      </c>
      <c r="D34" t="inlineStr">
        <is>
          <t>EPS</t>
        </is>
      </c>
      <c r="E34" s="18" t="n"/>
      <c r="F34" s="37" t="n"/>
      <c r="G34" s="18">
        <f>IFERROR(G22*100/G33,"")</f>
        <v/>
      </c>
      <c r="H34" s="18">
        <f>IFERROR(H22*100/H33,"")</f>
        <v/>
      </c>
      <c r="I34" s="18">
        <f>IFERROR(I22*100/I33,"")</f>
        <v/>
      </c>
      <c r="J34" s="18">
        <f>IFERROR(J22*100/J33,"")</f>
        <v/>
      </c>
      <c r="K34" s="37">
        <f>SUM(G34:J34)</f>
        <v/>
      </c>
      <c r="L34" s="18">
        <f>IFERROR(L22*100/L33,"")</f>
        <v/>
      </c>
      <c r="M34" s="18">
        <f>IFERROR(M22*100/M33,"")</f>
        <v/>
      </c>
      <c r="N34" s="18">
        <f>IFERROR(N22*100/N33,"")</f>
        <v/>
      </c>
      <c r="O34" s="18">
        <f>IFERROR(O22*100/O33,"")</f>
        <v/>
      </c>
      <c r="P34" s="37">
        <f>SUM(L34:O34)</f>
        <v/>
      </c>
      <c r="Q34" s="18">
        <f>IFERROR(Q22*100/Q33,"")</f>
        <v/>
      </c>
      <c r="R34" s="18">
        <f>IFERROR(R22*100/R33,"")</f>
        <v/>
      </c>
      <c r="S34" s="18">
        <f>IFERROR(S22*100/S33,"")</f>
        <v/>
      </c>
      <c r="T34" s="18">
        <f>IFERROR(T22*100/T33,"")</f>
        <v/>
      </c>
      <c r="U34" s="37">
        <f>SUM(Q34:T34)</f>
        <v/>
      </c>
      <c r="V34" s="18">
        <f>IFERROR(V22*100/V33,"")</f>
        <v/>
      </c>
      <c r="W34" s="18">
        <f>IFERROR(W22*100/W33,"")</f>
        <v/>
      </c>
      <c r="X34" s="18">
        <f>IFERROR(X22*100/X33,"")</f>
        <v/>
      </c>
      <c r="Y34" s="18">
        <f>IFERROR(Y22*100/Y33,"")</f>
        <v/>
      </c>
      <c r="Z34" s="37">
        <f>SUM(V34:Y34)</f>
        <v/>
      </c>
      <c r="AA34" s="18">
        <f>IFERROR(AA22*100/AA33,"")</f>
        <v/>
      </c>
      <c r="AB34" s="19">
        <f>IFERROR(AB22*100/AB33,"")</f>
        <v/>
      </c>
      <c r="AC34" s="20">
        <f>IFERROR(AC22*100/AC33,"")</f>
        <v/>
      </c>
      <c r="AD34" s="20">
        <f>IFERROR(AD22*100/AD33,"")</f>
        <v/>
      </c>
      <c r="AE34" s="38">
        <f>SUM(AA34:AD34)</f>
        <v/>
      </c>
      <c r="AF34" s="20">
        <f>IFERROR(AF22*100/AF33,"")</f>
        <v/>
      </c>
      <c r="AG34" s="20">
        <f>IFERROR(AG22*100/AG33,"")</f>
        <v/>
      </c>
      <c r="AH34" s="20">
        <f>IFERROR(AH22*100/AH33,"")</f>
        <v/>
      </c>
      <c r="AI34" s="20">
        <f>IFERROR(AI22*100/AI33,"")</f>
        <v/>
      </c>
      <c r="AJ34" s="38">
        <f>SUM(AF34:AI34)</f>
        <v/>
      </c>
      <c r="AK34" s="20">
        <f>IFERROR(AK22*100/AK33,"")</f>
        <v/>
      </c>
      <c r="AL34" s="20">
        <f>IFERROR(AL22*100/AL33,"")</f>
        <v/>
      </c>
      <c r="AM34" s="20">
        <f>IFERROR(AM22*100/AM33,"")</f>
        <v/>
      </c>
      <c r="AN34" s="20">
        <f>IFERROR(AN22*100/AN33,"")</f>
        <v/>
      </c>
      <c r="AO34" s="38">
        <f>SUM(AK34:AN34)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IFERROR(E26*100/E33,"")</f>
        <v/>
      </c>
      <c r="F35" s="37">
        <f>E35</f>
        <v/>
      </c>
      <c r="G35" s="18">
        <f>IFERROR(G26*100/G33,"")</f>
        <v/>
      </c>
      <c r="H35" s="18">
        <f>IFERROR(H26*100/H33,"")</f>
        <v/>
      </c>
      <c r="I35" s="18">
        <f>IFERROR(I26*100/I33,"")</f>
        <v/>
      </c>
      <c r="J35" s="18">
        <f>IFERROR(J26*100/J33,"")</f>
        <v/>
      </c>
      <c r="K35" s="37">
        <f>J35</f>
        <v/>
      </c>
      <c r="L35" s="18">
        <f>IFERROR(L26*100/L33,"")</f>
        <v/>
      </c>
      <c r="M35" s="18">
        <f>IFERROR(M26*100/M33,"")</f>
        <v/>
      </c>
      <c r="N35" s="18">
        <f>IFERROR(N26*100/N33,"")</f>
        <v/>
      </c>
      <c r="O35" s="18">
        <f>IFERROR(O26*100/O33,"")</f>
        <v/>
      </c>
      <c r="P35" s="37">
        <f>O35</f>
        <v/>
      </c>
      <c r="Q35" s="18">
        <f>IFERROR(Q26*100/Q33,"")</f>
        <v/>
      </c>
      <c r="R35" s="18">
        <f>IFERROR(R26*100/R33,"")</f>
        <v/>
      </c>
      <c r="S35" s="18">
        <f>IFERROR(S26*100/S33,"")</f>
        <v/>
      </c>
      <c r="T35" s="18">
        <f>IFERROR(T26*100/T33,"")</f>
        <v/>
      </c>
      <c r="U35" s="37">
        <f>T35</f>
        <v/>
      </c>
      <c r="V35" s="18">
        <f>IFERROR(V26*100/V33,"")</f>
        <v/>
      </c>
      <c r="W35" s="18">
        <f>IFERROR(W26*100/W33,"")</f>
        <v/>
      </c>
      <c r="X35" s="18">
        <f>IFERROR(X26*100/X33,"")</f>
        <v/>
      </c>
      <c r="Y35" s="18">
        <f>IFERROR(Y26*100/Y33,"")</f>
        <v/>
      </c>
      <c r="Z35" s="37">
        <f>Y35</f>
        <v/>
      </c>
      <c r="AA35" s="18">
        <f>IFERROR(AA26*100/AA33,"")</f>
        <v/>
      </c>
      <c r="AB35" s="19">
        <f>IFERROR(AB26*100/AB33,"")</f>
        <v/>
      </c>
      <c r="AC35" s="20">
        <f>IFERROR(AC26*100/AC33,"")</f>
        <v/>
      </c>
      <c r="AD35" s="20">
        <f>IFERROR(AD26*100/AD33,"")</f>
        <v/>
      </c>
      <c r="AE35" s="38">
        <f>AD35</f>
        <v/>
      </c>
      <c r="AF35" s="20">
        <f>IFERROR(AF26*100/AF33,"")</f>
        <v/>
      </c>
      <c r="AG35" s="20">
        <f>IFERROR(AG26*100/AG33,"")</f>
        <v/>
      </c>
      <c r="AH35" s="20">
        <f>IFERROR(AH26*100/AH33,"")</f>
        <v/>
      </c>
      <c r="AI35" s="20">
        <f>IFERROR(AI26*100/AI33,"")</f>
        <v/>
      </c>
      <c r="AJ35" s="38">
        <f>AI35</f>
        <v/>
      </c>
      <c r="AK35" s="20">
        <f>IFERROR(AK26*100/AK33,"")</f>
        <v/>
      </c>
      <c r="AL35" s="20">
        <f>IFERROR(AL26*100/AL33,"")</f>
        <v/>
      </c>
      <c r="AM35" s="20">
        <f>IFERROR(AM26*100/AM33,"")</f>
        <v/>
      </c>
      <c r="AN35" s="20">
        <f>IFERROR(AN26*100/AN33,"")</f>
        <v/>
      </c>
      <c r="AO35" s="38">
        <f>AN35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0</v>
      </c>
      <c r="F36" s="37" t="n">
        <v>0</v>
      </c>
      <c r="G36" s="18" t="n"/>
      <c r="H36" s="18" t="n"/>
      <c r="I36" s="18" t="n"/>
      <c r="J36" s="18" t="n">
        <v>0</v>
      </c>
      <c r="K36" s="37">
        <f>SUM(G36:J36)</f>
        <v/>
      </c>
      <c r="L36" s="18" t="n"/>
      <c r="M36" s="18" t="n"/>
      <c r="N36" s="18" t="n"/>
      <c r="O36" s="18" t="n">
        <v>0</v>
      </c>
      <c r="P36" s="37">
        <f>SUM(L36:O36)</f>
        <v/>
      </c>
      <c r="Q36" s="18" t="n"/>
      <c r="R36" s="18" t="n"/>
      <c r="S36" s="18" t="n"/>
      <c r="T36" s="18" t="n">
        <v>2090</v>
      </c>
      <c r="U36" s="37">
        <f>SUM(Q36:T36)</f>
        <v/>
      </c>
      <c r="V36" s="18" t="n"/>
      <c r="W36" s="18" t="n"/>
      <c r="X36" s="18" t="n"/>
      <c r="Y36" s="18" t="n">
        <v>5661</v>
      </c>
      <c r="Z36" s="37">
        <f>SUM(V36:Y36)</f>
        <v/>
      </c>
      <c r="AA36" s="18" t="n"/>
      <c r="AB36" s="19" t="n"/>
      <c r="AC36" s="20" t="n"/>
      <c r="AD36" s="20">
        <f>변수!AD39</f>
        <v/>
      </c>
      <c r="AE36" s="38">
        <f>SUM(AA36:AD36)</f>
        <v/>
      </c>
      <c r="AF36" s="20" t="n"/>
      <c r="AG36" s="20" t="n"/>
      <c r="AH36" s="20" t="n"/>
      <c r="AI36" s="20">
        <f>변수!AI39</f>
        <v/>
      </c>
      <c r="AJ36" s="38">
        <f>SUM(AF36:AI36)</f>
        <v/>
      </c>
      <c r="AK36" s="20" t="n"/>
      <c r="AL36" s="20" t="n"/>
      <c r="AM36" s="20" t="n"/>
      <c r="AN36" s="20">
        <f>변수!AN39</f>
        <v/>
      </c>
      <c r="AO36" s="38">
        <f>SUM(AK36:AN36)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 t="n"/>
      <c r="J37" s="13" t="n"/>
      <c r="K37" s="14">
        <f>J37</f>
        <v/>
      </c>
      <c r="L37" s="13" t="n"/>
      <c r="M37" s="13" t="n"/>
      <c r="N37" s="13" t="n"/>
      <c r="O37" s="13">
        <f>IFERROR(변수!O18/(L34+M34+N34+O34),"")</f>
        <v/>
      </c>
      <c r="P37" s="14">
        <f>O37</f>
        <v/>
      </c>
      <c r="Q37" s="13">
        <f>IFERROR(변수!Q18/(M34+N34+O34+Q34),"")</f>
        <v/>
      </c>
      <c r="R37" s="13">
        <f>IFERROR(변수!R18/(N34+O34+Q34+R34),"")</f>
        <v/>
      </c>
      <c r="S37" s="13">
        <f>IFERROR(변수!S18/(O34+Q34+R34+S34),"")</f>
        <v/>
      </c>
      <c r="T37" s="13">
        <f>IFERROR(변수!T18/(Q34+R34+S34+T34),"")</f>
        <v/>
      </c>
      <c r="U37" s="14">
        <f>T37</f>
        <v/>
      </c>
      <c r="V37" s="13">
        <f>IFERROR(변수!V18/(R34+S34+T34+V34),"")</f>
        <v/>
      </c>
      <c r="W37" s="13">
        <f>IFERROR(변수!W18/(S34+T34+V34+W34),"")</f>
        <v/>
      </c>
      <c r="X37" s="13">
        <f>IFERROR(변수!X18/(T34+V34+W34+X34),"")</f>
        <v/>
      </c>
      <c r="Y37" s="13">
        <f>IFERROR(변수!Y18/(V34+W34+X34+Y34),"")</f>
        <v/>
      </c>
      <c r="Z37" s="14">
        <f>Y37</f>
        <v/>
      </c>
      <c r="AA37" s="13">
        <f>IFERROR(변수!AA18/(W34+X34+Y34+AA34),"")</f>
        <v/>
      </c>
      <c r="AB37" s="15">
        <f>IFERROR(변수!AB18/(X34+Y34+AA34+AB34),"")</f>
        <v/>
      </c>
      <c r="AC37" s="39">
        <f>IFERROR(변수!$D$47/(Y34+AA34+AB34+AC34),"")</f>
        <v/>
      </c>
      <c r="AD37" s="39">
        <f>IFERROR(변수!$D$47/(AA34+AB34+AC34+AD34),"")</f>
        <v/>
      </c>
      <c r="AE37" s="40">
        <f>AD37</f>
        <v/>
      </c>
      <c r="AF37" s="39">
        <f>IFERROR(변수!$D$47/(AB34+AC34+AD34+AF34),"")</f>
        <v/>
      </c>
      <c r="AG37" s="39">
        <f>IFERROR(변수!$D$47/(AC34+AD34+AF34+AG34),"")</f>
        <v/>
      </c>
      <c r="AH37" s="39">
        <f>IFERROR(변수!$D$47/(AD34+AF34+AG34+AH34),"")</f>
        <v/>
      </c>
      <c r="AI37" s="39">
        <f>IFERROR(변수!$D$47/(AF34+AG34+AH34+AI34),"")</f>
        <v/>
      </c>
      <c r="AJ37" s="40">
        <f>AI37</f>
        <v/>
      </c>
      <c r="AK37" s="39">
        <f>IFERROR(변수!$D$47/(AG34+AH34+AI34+AK34),"")</f>
        <v/>
      </c>
      <c r="AL37" s="39">
        <f>IFERROR(변수!$D$47/(AH34+AI34+AK34+AL34),"")</f>
        <v/>
      </c>
      <c r="AM37" s="39">
        <f>IFERROR(변수!$D$47/(AI34+AK34+AL34+AM34),"")</f>
        <v/>
      </c>
      <c r="AN37" s="39">
        <f>IFERROR(변수!$D$47/(AK34+AL34+AM34+AN34),"")</f>
        <v/>
      </c>
      <c r="AO37" s="40">
        <f>AN37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>
        <f>IFERROR(변수!M18/M35,"")</f>
        <v/>
      </c>
      <c r="N38" s="13">
        <f>IFERROR(변수!N18/N35,"")</f>
        <v/>
      </c>
      <c r="O38" s="13">
        <f>IFERROR(변수!O18/O35,"")</f>
        <v/>
      </c>
      <c r="P38" s="14">
        <f>O38</f>
        <v/>
      </c>
      <c r="Q38" s="13">
        <f>IFERROR(변수!Q18/Q35,"")</f>
        <v/>
      </c>
      <c r="R38" s="13">
        <f>IFERROR(변수!R18/R35,"")</f>
        <v/>
      </c>
      <c r="S38" s="13">
        <f>IFERROR(변수!S18/S35,"")</f>
        <v/>
      </c>
      <c r="T38" s="13">
        <f>IFERROR(변수!T18/T35,"")</f>
        <v/>
      </c>
      <c r="U38" s="14">
        <f>T38</f>
        <v/>
      </c>
      <c r="V38" s="13">
        <f>IFERROR(변수!V18/V35,"")</f>
        <v/>
      </c>
      <c r="W38" s="13">
        <f>IFERROR(변수!W18/W35,"")</f>
        <v/>
      </c>
      <c r="X38" s="13">
        <f>IFERROR(변수!X18/X35,"")</f>
        <v/>
      </c>
      <c r="Y38" s="13">
        <f>IFERROR(변수!Y18/Y35,"")</f>
        <v/>
      </c>
      <c r="Z38" s="14">
        <f>Y38</f>
        <v/>
      </c>
      <c r="AA38" s="13">
        <f>IFERROR(변수!AA18/AA35,"")</f>
        <v/>
      </c>
      <c r="AB38" s="15">
        <f>IFERROR(변수!AB18/AB35,"")</f>
        <v/>
      </c>
      <c r="AC38" s="39">
        <f>IFERROR(변수!$D$47/AC35,"")</f>
        <v/>
      </c>
      <c r="AD38" s="39">
        <f>IFERROR(변수!$D$47/AD35,"")</f>
        <v/>
      </c>
      <c r="AE38" s="40">
        <f>AD38</f>
        <v/>
      </c>
      <c r="AF38" s="39">
        <f>IFERROR(변수!$D$47/AF35,"")</f>
        <v/>
      </c>
      <c r="AG38" s="39">
        <f>IFERROR(변수!$D$47/AG35,"")</f>
        <v/>
      </c>
      <c r="AH38" s="39">
        <f>IFERROR(변수!$D$47/AH35,"")</f>
        <v/>
      </c>
      <c r="AI38" s="39">
        <f>IFERROR(변수!$D$47/AI35,"")</f>
        <v/>
      </c>
      <c r="AJ38" s="40">
        <f>AI38</f>
        <v/>
      </c>
      <c r="AK38" s="39">
        <f>IFERROR(변수!$D$47/AK35,"")</f>
        <v/>
      </c>
      <c r="AL38" s="39">
        <f>IFERROR(변수!$D$47/AL35,"")</f>
        <v/>
      </c>
      <c r="AM38" s="39">
        <f>IFERROR(변수!$D$47/AM35,"")</f>
        <v/>
      </c>
      <c r="AN38" s="39">
        <f>IFERROR(변수!$D$47/AN35,"")</f>
        <v/>
      </c>
      <c r="AO38" s="40">
        <f>AN38</f>
        <v/>
      </c>
    </row>
    <row r="39">
      <c r="A39" s="12" t="inlineStr">
        <is>
          <t>매출조선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조선·해양(조선·해양플랜트)</t>
        </is>
      </c>
      <c r="E39" s="18" t="n"/>
      <c r="F39" s="37" t="n"/>
      <c r="G39" s="18" t="n"/>
      <c r="H39" s="18" t="n"/>
      <c r="I39" s="18" t="n"/>
      <c r="J39" s="18" t="n"/>
      <c r="K39" s="37">
        <f>SUM(G39:J39)</f>
        <v/>
      </c>
      <c r="L39" s="18" t="n"/>
      <c r="M39" s="18" t="n"/>
      <c r="N39" s="18" t="n">
        <v>21403.13</v>
      </c>
      <c r="O39" s="18" t="n">
        <v>25569.47</v>
      </c>
      <c r="P39" s="37">
        <f>SUM(L39:O39)</f>
        <v/>
      </c>
      <c r="Q39" s="18" t="n">
        <v>22676</v>
      </c>
      <c r="R39" s="18" t="n">
        <v>29978.88</v>
      </c>
      <c r="S39" s="18" t="n">
        <v>27807.18</v>
      </c>
      <c r="T39" s="18" t="n">
        <v>32262.4</v>
      </c>
      <c r="U39" s="37">
        <f>SUM(Q39:T39)</f>
        <v/>
      </c>
      <c r="V39" s="18" t="n">
        <v>29023.67</v>
      </c>
      <c r="W39" s="18" t="n">
        <v>30956.65</v>
      </c>
      <c r="X39" s="18" t="n">
        <v>33355.92</v>
      </c>
      <c r="Y39" s="18" t="n">
        <v>43685.01</v>
      </c>
      <c r="Z39" s="37">
        <f>SUM(V39:Y39)</f>
        <v/>
      </c>
      <c r="AA39" s="18" t="n">
        <v>50177.88</v>
      </c>
      <c r="AB39" s="19" t="n">
        <v>53554.92</v>
      </c>
      <c r="AC39" s="20">
        <f>IFERROR(SLS!Q124/100+변수!AC40+AC40,"")</f>
        <v/>
      </c>
      <c r="AD39" s="20">
        <f>IFERROR(SLS!R124/100+변수!AD40+AD40,"")</f>
        <v/>
      </c>
      <c r="AE39" s="38">
        <f>SUM(AA39:AD39)</f>
        <v/>
      </c>
      <c r="AF39" s="20">
        <f>IFERROR(SLS!S124/100+변수!AF40+AF40,"")</f>
        <v/>
      </c>
      <c r="AG39" s="20">
        <f>IFERROR(SLS!T124/100+변수!AG40+AG40,"")</f>
        <v/>
      </c>
      <c r="AH39" s="20">
        <f>IFERROR(SLS!U124/100+변수!AH40+AH40,"")</f>
        <v/>
      </c>
      <c r="AI39" s="20">
        <f>IFERROR(SLS!V124/100+변수!AI40+AI40,"")</f>
        <v/>
      </c>
      <c r="AJ39" s="38">
        <f>SUM(AF39:AI39)</f>
        <v/>
      </c>
      <c r="AK39" s="20">
        <f>IFERROR(SLS!W124/100+변수!AK40+AK40,"")</f>
        <v/>
      </c>
      <c r="AL39" s="20">
        <f>IFERROR(SLS!X124/100+변수!AL40+AL40,"")</f>
        <v/>
      </c>
      <c r="AM39" s="20">
        <f>IFERROR(SLS!Y124/100+변수!AM40+AM40,"")</f>
        <v/>
      </c>
      <c r="AN39" s="20">
        <f>IFERROR(SLS!Z124/100+변수!AN40+AN40,"")</f>
        <v/>
      </c>
      <c r="AO39" s="38">
        <f>SUM(AK39:AN39)</f>
        <v/>
      </c>
    </row>
    <row r="40">
      <c r="A40" s="12" t="inlineStr">
        <is>
          <t>매출조선신규</t>
        </is>
      </c>
      <c r="B40" t="inlineStr">
        <is>
          <t>사업부</t>
        </is>
      </c>
      <c r="C40" t="inlineStr">
        <is>
          <t>억원</t>
        </is>
      </c>
      <c r="D40" t="inlineStr">
        <is>
          <t>매출 조선·해양(조선·해양플랜트) 신규수주(forecast_panel base(공시 상계) — 매출조선에 포함)</t>
        </is>
      </c>
      <c r="E40" s="18" t="n"/>
      <c r="F40" s="37" t="n"/>
      <c r="G40" s="18" t="n"/>
      <c r="H40" s="18" t="n"/>
      <c r="I40" s="18" t="n"/>
      <c r="J40" s="18" t="n"/>
      <c r="K40" s="37">
        <f>SUM(G40:J40)</f>
        <v/>
      </c>
      <c r="L40" s="18" t="n"/>
      <c r="M40" s="18" t="n"/>
      <c r="N40" s="18" t="n"/>
      <c r="O40" s="18" t="n"/>
      <c r="P40" s="37">
        <f>SUM(L40:O40)</f>
        <v/>
      </c>
      <c r="Q40" s="18" t="n"/>
      <c r="R40" s="18" t="n"/>
      <c r="S40" s="18" t="n"/>
      <c r="T40" s="18" t="n"/>
      <c r="U40" s="37">
        <f>SUM(Q40:T40)</f>
        <v/>
      </c>
      <c r="V40" s="18" t="n"/>
      <c r="W40" s="18" t="n"/>
      <c r="X40" s="18" t="n"/>
      <c r="Y40" s="18" t="n"/>
      <c r="Z40" s="37">
        <f>SUM(V40:Y40)</f>
        <v/>
      </c>
      <c r="AA40" s="20" t="n">
        <v>0</v>
      </c>
      <c r="AB40" s="41" t="n">
        <v>0</v>
      </c>
      <c r="AC40" s="20">
        <f>변수!AC41</f>
        <v/>
      </c>
      <c r="AD40" s="20">
        <f>변수!AD41</f>
        <v/>
      </c>
      <c r="AE40" s="38">
        <f>SUM(AA40:AD40)</f>
        <v/>
      </c>
      <c r="AF40" s="20">
        <f>변수!AF41</f>
        <v/>
      </c>
      <c r="AG40" s="20">
        <f>변수!AG41</f>
        <v/>
      </c>
      <c r="AH40" s="20">
        <f>변수!AH41</f>
        <v/>
      </c>
      <c r="AI40" s="20">
        <f>변수!AI41</f>
        <v/>
      </c>
      <c r="AJ40" s="38">
        <f>SUM(AF40:AI40)</f>
        <v/>
      </c>
      <c r="AK40" s="20">
        <f>변수!AK41</f>
        <v/>
      </c>
      <c r="AL40" s="20">
        <f>변수!AL41</f>
        <v/>
      </c>
      <c r="AM40" s="20">
        <f>변수!AM41</f>
        <v/>
      </c>
      <c r="AN40" s="20">
        <f>변수!AN41</f>
        <v/>
      </c>
      <c r="AO40" s="38">
        <f>SUM(AK40:AN40)</f>
        <v/>
      </c>
    </row>
    <row r="41">
      <c r="A41" s="12" t="inlineStr">
        <is>
          <t>OP조선</t>
        </is>
      </c>
      <c r="B41" t="inlineStr">
        <is>
          <t>사업부</t>
        </is>
      </c>
      <c r="C41" t="inlineStr">
        <is>
          <t>억원</t>
        </is>
      </c>
      <c r="D41" t="inlineStr">
        <is>
          <t>OP 조선·해양(조선·해양플랜트)</t>
        </is>
      </c>
      <c r="E41" s="18" t="n"/>
      <c r="F41" s="37" t="n"/>
      <c r="G41" s="18" t="n"/>
      <c r="H41" s="18" t="n"/>
      <c r="I41" s="18" t="n"/>
      <c r="J41" s="18" t="n"/>
      <c r="K41" s="37">
        <f>SUM(G41:J41)</f>
        <v/>
      </c>
      <c r="L41" s="18" t="n"/>
      <c r="M41" s="18" t="n"/>
      <c r="N41" s="18" t="n"/>
      <c r="O41" s="18" t="n"/>
      <c r="P41" s="37">
        <f>SUM(L41:O41)</f>
        <v/>
      </c>
      <c r="Q41" s="18" t="n"/>
      <c r="R41" s="18" t="n"/>
      <c r="S41" s="18" t="n"/>
      <c r="T41" s="18" t="n"/>
      <c r="U41" s="37">
        <f>SUM(Q41:T41)</f>
        <v/>
      </c>
      <c r="V41" s="18" t="n"/>
      <c r="W41" s="18" t="n"/>
      <c r="X41" s="18" t="n"/>
      <c r="Y41" s="18" t="n"/>
      <c r="Z41" s="37">
        <f>SUM(V41:Y41)</f>
        <v/>
      </c>
      <c r="AA41" s="18" t="n"/>
      <c r="AB41" s="19" t="n"/>
      <c r="AC41" s="20">
        <f>IFERROR(AC39*변수!AC42,"")</f>
        <v/>
      </c>
      <c r="AD41" s="20">
        <f>IFERROR(AD39*변수!AD42,"")</f>
        <v/>
      </c>
      <c r="AE41" s="38">
        <f>SUM(AA41:AD41)</f>
        <v/>
      </c>
      <c r="AF41" s="20">
        <f>IFERROR(AF39*변수!AF42,"")</f>
        <v/>
      </c>
      <c r="AG41" s="20">
        <f>IFERROR(AG39*변수!AG42,"")</f>
        <v/>
      </c>
      <c r="AH41" s="20">
        <f>IFERROR(AH39*변수!AH42,"")</f>
        <v/>
      </c>
      <c r="AI41" s="20">
        <f>IFERROR(AI39*변수!AI42,"")</f>
        <v/>
      </c>
      <c r="AJ41" s="38">
        <f>SUM(AF41:AI41)</f>
        <v/>
      </c>
      <c r="AK41" s="20">
        <f>IFERROR(AK39*변수!AK42,"")</f>
        <v/>
      </c>
      <c r="AL41" s="20">
        <f>IFERROR(AL39*변수!AL42,"")</f>
        <v/>
      </c>
      <c r="AM41" s="20">
        <f>IFERROR(AM39*변수!AM42,"")</f>
        <v/>
      </c>
      <c r="AN41" s="20">
        <f>IFERROR(AN39*변수!AN42,"")</f>
        <v/>
      </c>
      <c r="AO41" s="38">
        <f>SUM(AK41:AN41)</f>
        <v/>
      </c>
    </row>
    <row r="42">
      <c r="A42" s="12" t="inlineStr">
        <is>
          <t>OP조선신규</t>
        </is>
      </c>
      <c r="B42" t="inlineStr">
        <is>
          <t>사업부</t>
        </is>
      </c>
      <c r="C42" t="inlineStr">
        <is>
          <t>억원</t>
        </is>
      </c>
      <c r="D42" t="inlineStr">
        <is>
          <t>OP 조선·해양(조선·해양플랜트) 신규수주(매출조선신규 × OPM — OP조선에 포함)</t>
        </is>
      </c>
      <c r="E42" s="18" t="n"/>
      <c r="F42" s="37" t="n"/>
      <c r="G42" s="18" t="n"/>
      <c r="H42" s="18" t="n"/>
      <c r="I42" s="18" t="n"/>
      <c r="J42" s="18" t="n"/>
      <c r="K42" s="37">
        <f>SUM(G42:J42)</f>
        <v/>
      </c>
      <c r="L42" s="18" t="n"/>
      <c r="M42" s="18" t="n"/>
      <c r="N42" s="18" t="n"/>
      <c r="O42" s="18" t="n"/>
      <c r="P42" s="37">
        <f>SUM(L42:O42)</f>
        <v/>
      </c>
      <c r="Q42" s="18" t="n"/>
      <c r="R42" s="18" t="n"/>
      <c r="S42" s="18" t="n"/>
      <c r="T42" s="18" t="n"/>
      <c r="U42" s="37">
        <f>SUM(Q42:T42)</f>
        <v/>
      </c>
      <c r="V42" s="18" t="n"/>
      <c r="W42" s="18" t="n"/>
      <c r="X42" s="18" t="n"/>
      <c r="Y42" s="18" t="n"/>
      <c r="Z42" s="37">
        <f>SUM(V42:Y42)</f>
        <v/>
      </c>
      <c r="AA42" s="20" t="n">
        <v>0</v>
      </c>
      <c r="AB42" s="41" t="n">
        <v>0</v>
      </c>
      <c r="AC42" s="20">
        <f>IFERROR(AC40*변수!AC42,"")</f>
        <v/>
      </c>
      <c r="AD42" s="20">
        <f>IFERROR(AD40*변수!AD42,"")</f>
        <v/>
      </c>
      <c r="AE42" s="38">
        <f>SUM(AA42:AD42)</f>
        <v/>
      </c>
      <c r="AF42" s="20">
        <f>IFERROR(AF40*변수!AF42,"")</f>
        <v/>
      </c>
      <c r="AG42" s="20">
        <f>IFERROR(AG40*변수!AG42,"")</f>
        <v/>
      </c>
      <c r="AH42" s="20">
        <f>IFERROR(AH40*변수!AH42,"")</f>
        <v/>
      </c>
      <c r="AI42" s="20">
        <f>IFERROR(AI40*변수!AI42,"")</f>
        <v/>
      </c>
      <c r="AJ42" s="38">
        <f>SUM(AF42:AI42)</f>
        <v/>
      </c>
      <c r="AK42" s="20">
        <f>IFERROR(AK40*변수!AK42,"")</f>
        <v/>
      </c>
      <c r="AL42" s="20">
        <f>IFERROR(AL40*변수!AL42,"")</f>
        <v/>
      </c>
      <c r="AM42" s="20">
        <f>IFERROR(AM40*변수!AM42,"")</f>
        <v/>
      </c>
      <c r="AN42" s="20">
        <f>IFERROR(AN40*변수!AN42,"")</f>
        <v/>
      </c>
      <c r="AO42" s="38">
        <f>SUM(AK42:AN42)</f>
        <v/>
      </c>
    </row>
    <row r="43">
      <c r="A43" s="12" t="inlineStr">
        <is>
          <t>매출기타</t>
        </is>
      </c>
      <c r="B43" t="inlineStr">
        <is>
          <t>사업부</t>
        </is>
      </c>
      <c r="C43" t="inlineStr">
        <is>
          <t>억원</t>
        </is>
      </c>
      <c r="D43" t="inlineStr">
        <is>
          <t>매출 기타 부문(총매출 − 조선)</t>
        </is>
      </c>
      <c r="E43" s="18" t="n"/>
      <c r="F43" s="37" t="n"/>
      <c r="G43" s="18" t="n"/>
      <c r="H43" s="18" t="n"/>
      <c r="I43" s="18" t="n"/>
      <c r="J43" s="18" t="n"/>
      <c r="K43" s="37">
        <f>SUM(G43:J43)</f>
        <v/>
      </c>
      <c r="L43" s="18" t="n"/>
      <c r="M43" s="18" t="n"/>
      <c r="N43" s="18" t="n">
        <v>7132.13</v>
      </c>
      <c r="O43" s="18" t="n">
        <v>8561.65</v>
      </c>
      <c r="P43" s="37">
        <f>SUM(L43:O43)</f>
        <v/>
      </c>
      <c r="Q43" s="18" t="n">
        <v>7201.45</v>
      </c>
      <c r="R43" s="18" t="n">
        <v>8860.950000000001</v>
      </c>
      <c r="S43" s="18" t="n">
        <v>8284.58</v>
      </c>
      <c r="T43" s="18" t="n">
        <v>7793.1</v>
      </c>
      <c r="U43" s="37">
        <f>SUM(Q43:T43)</f>
        <v/>
      </c>
      <c r="V43" s="18" t="n">
        <v>9201.49</v>
      </c>
      <c r="W43" s="18" t="n">
        <v>10514.6</v>
      </c>
      <c r="X43" s="18" t="n">
        <v>10823.06</v>
      </c>
      <c r="Y43" s="18" t="n">
        <v>8245.93</v>
      </c>
      <c r="Z43" s="37">
        <f>SUM(V43:Y43)</f>
        <v/>
      </c>
      <c r="AA43" s="18" t="n">
        <v>8985.440000000001</v>
      </c>
      <c r="AB43" s="19" t="n">
        <v>9766.629999999999</v>
      </c>
      <c r="AC43" s="20">
        <f>IFERROR(X43*(1+변수!AC43),"")</f>
        <v/>
      </c>
      <c r="AD43" s="20">
        <f>IFERROR(Y43*(1+변수!AD43),"")</f>
        <v/>
      </c>
      <c r="AE43" s="38">
        <f>SUM(AA43:AD43)</f>
        <v/>
      </c>
      <c r="AF43" s="20">
        <f>IFERROR(AA43*(1+변수!AF43),"")</f>
        <v/>
      </c>
      <c r="AG43" s="20">
        <f>IFERROR(AB43*(1+변수!AG43),"")</f>
        <v/>
      </c>
      <c r="AH43" s="20">
        <f>IFERROR(AC43*(1+변수!AH43),"")</f>
        <v/>
      </c>
      <c r="AI43" s="20">
        <f>IFERROR(AD43*(1+변수!AI43),"")</f>
        <v/>
      </c>
      <c r="AJ43" s="38">
        <f>SUM(AF43:AI43)</f>
        <v/>
      </c>
      <c r="AK43" s="20">
        <f>IFERROR(AF43*(1+변수!AK43),"")</f>
        <v/>
      </c>
      <c r="AL43" s="20">
        <f>IFERROR(AG43*(1+변수!AL43),"")</f>
        <v/>
      </c>
      <c r="AM43" s="20">
        <f>IFERROR(AH43*(1+변수!AM43),"")</f>
        <v/>
      </c>
      <c r="AN43" s="20">
        <f>IFERROR(AI43*(1+변수!AN43),"")</f>
        <v/>
      </c>
      <c r="AO43" s="38">
        <f>SUM(AK43:AN43)</f>
        <v/>
      </c>
    </row>
    <row r="44">
      <c r="A44" s="12" t="inlineStr">
        <is>
          <t>OP기타</t>
        </is>
      </c>
      <c r="B44" t="inlineStr">
        <is>
          <t>사업부</t>
        </is>
      </c>
      <c r="C44" t="inlineStr">
        <is>
          <t>억원</t>
        </is>
      </c>
      <c r="D44" t="inlineStr">
        <is>
          <t>OP 기타 부문(총매출 − 조선)</t>
        </is>
      </c>
      <c r="E44" s="18" t="n"/>
      <c r="F44" s="37" t="n"/>
      <c r="G44" s="18" t="n"/>
      <c r="H44" s="18" t="n"/>
      <c r="I44" s="18" t="n"/>
      <c r="J44" s="18" t="n"/>
      <c r="K44" s="37">
        <f>SUM(G44:J44)</f>
        <v/>
      </c>
      <c r="L44" s="18" t="n"/>
      <c r="M44" s="18" t="n"/>
      <c r="N44" s="18" t="n"/>
      <c r="O44" s="18" t="n"/>
      <c r="P44" s="37">
        <f>SUM(L44:O44)</f>
        <v/>
      </c>
      <c r="Q44" s="18" t="n"/>
      <c r="R44" s="18" t="n"/>
      <c r="S44" s="18" t="n"/>
      <c r="T44" s="18" t="n"/>
      <c r="U44" s="37">
        <f>SUM(Q44:T44)</f>
        <v/>
      </c>
      <c r="V44" s="18" t="n"/>
      <c r="W44" s="18" t="n"/>
      <c r="X44" s="18" t="n"/>
      <c r="Y44" s="18" t="n"/>
      <c r="Z44" s="37">
        <f>SUM(V44:Y44)</f>
        <v/>
      </c>
      <c r="AA44" s="18" t="n"/>
      <c r="AB44" s="19" t="n"/>
      <c r="AC44" s="20">
        <f>IFERROR(AC43*변수!AC44,"")</f>
        <v/>
      </c>
      <c r="AD44" s="20">
        <f>IFERROR(AD43*변수!AD44,"")</f>
        <v/>
      </c>
      <c r="AE44" s="38">
        <f>SUM(AA44:AD44)</f>
        <v/>
      </c>
      <c r="AF44" s="20">
        <f>IFERROR(AF43*변수!AF44,"")</f>
        <v/>
      </c>
      <c r="AG44" s="20">
        <f>IFERROR(AG43*변수!AG44,"")</f>
        <v/>
      </c>
      <c r="AH44" s="20">
        <f>IFERROR(AH43*변수!AH44,"")</f>
        <v/>
      </c>
      <c r="AI44" s="20">
        <f>IFERROR(AI43*변수!AI44,"")</f>
        <v/>
      </c>
      <c r="AJ44" s="38">
        <f>SUM(AF44:AI44)</f>
        <v/>
      </c>
      <c r="AK44" s="20">
        <f>IFERROR(AK43*변수!AK44,"")</f>
        <v/>
      </c>
      <c r="AL44" s="20">
        <f>IFERROR(AL43*변수!AL44,"")</f>
        <v/>
      </c>
      <c r="AM44" s="20">
        <f>IFERROR(AM43*변수!AM44,"")</f>
        <v/>
      </c>
      <c r="AN44" s="20">
        <f>IFERROR(AN43*변수!AN44,"")</f>
        <v/>
      </c>
      <c r="AO44" s="38">
        <f>SUM(AK44:AN44)</f>
        <v/>
      </c>
    </row>
    <row r="45">
      <c r="B45" s="2" t="inlineStr">
        <is>
          <t>비율(참고)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NPM</t>
        </is>
      </c>
      <c r="C46" t="inlineStr">
        <is>
          <t>%</t>
        </is>
      </c>
      <c r="D46" t="inlineStr">
        <is>
          <t>지배주주순이익 / 매출액</t>
        </is>
      </c>
      <c r="E46" s="21">
        <f>IFERROR(E22/E5,"")</f>
        <v/>
      </c>
      <c r="F46" s="22">
        <f>IFERROR(F22/F5,"")</f>
        <v/>
      </c>
      <c r="G46" s="21">
        <f>IFERROR(G22/G5,"")</f>
        <v/>
      </c>
      <c r="H46" s="21">
        <f>IFERROR(H22/H5,"")</f>
        <v/>
      </c>
      <c r="I46" s="21">
        <f>IFERROR(I22/I5,"")</f>
        <v/>
      </c>
      <c r="J46" s="21">
        <f>IFERROR(J22/J5,"")</f>
        <v/>
      </c>
      <c r="K46" s="22">
        <f>IFERROR(K22/K5,"")</f>
        <v/>
      </c>
      <c r="L46" s="21">
        <f>IFERROR(L22/L5,"")</f>
        <v/>
      </c>
      <c r="M46" s="21">
        <f>IFERROR(M22/M5,"")</f>
        <v/>
      </c>
      <c r="N46" s="21">
        <f>IFERROR(N22/N5,"")</f>
        <v/>
      </c>
      <c r="O46" s="21">
        <f>IFERROR(O22/O5,"")</f>
        <v/>
      </c>
      <c r="P46" s="22">
        <f>IFERROR(P22/P5,"")</f>
        <v/>
      </c>
      <c r="Q46" s="21">
        <f>IFERROR(Q22/Q5,"")</f>
        <v/>
      </c>
      <c r="R46" s="21">
        <f>IFERROR(R22/R5,"")</f>
        <v/>
      </c>
      <c r="S46" s="21">
        <f>IFERROR(S22/S5,"")</f>
        <v/>
      </c>
      <c r="T46" s="21">
        <f>IFERROR(T22/T5,"")</f>
        <v/>
      </c>
      <c r="U46" s="22">
        <f>IFERROR(U22/U5,"")</f>
        <v/>
      </c>
      <c r="V46" s="21">
        <f>IFERROR(V22/V5,"")</f>
        <v/>
      </c>
      <c r="W46" s="21">
        <f>IFERROR(W22/W5,"")</f>
        <v/>
      </c>
      <c r="X46" s="21">
        <f>IFERROR(X22/X5,"")</f>
        <v/>
      </c>
      <c r="Y46" s="21">
        <f>IFERROR(Y22/Y5,"")</f>
        <v/>
      </c>
      <c r="Z46" s="22">
        <f>IFERROR(Z22/Z5,"")</f>
        <v/>
      </c>
      <c r="AA46" s="21">
        <f>IFERROR(AA22/AA5,"")</f>
        <v/>
      </c>
      <c r="AB46" s="23">
        <f>IFERROR(AB22/AB5,"")</f>
        <v/>
      </c>
      <c r="AC46" s="32">
        <f>IFERROR(AC22/AC5,"")</f>
        <v/>
      </c>
      <c r="AD46" s="32">
        <f>IFERROR(AD22/AD5,"")</f>
        <v/>
      </c>
      <c r="AE46" s="25">
        <f>IFERROR(AE22/AE5,"")</f>
        <v/>
      </c>
      <c r="AF46" s="32">
        <f>IFERROR(AF22/AF5,"")</f>
        <v/>
      </c>
      <c r="AG46" s="32">
        <f>IFERROR(AG22/AG5,"")</f>
        <v/>
      </c>
      <c r="AH46" s="32">
        <f>IFERROR(AH22/AH5,"")</f>
        <v/>
      </c>
      <c r="AI46" s="32">
        <f>IFERROR(AI22/AI5,"")</f>
        <v/>
      </c>
      <c r="AJ46" s="25">
        <f>IFERROR(AJ22/AJ5,"")</f>
        <v/>
      </c>
      <c r="AK46" s="32">
        <f>IFERROR(AK22/AK5,"")</f>
        <v/>
      </c>
      <c r="AL46" s="32">
        <f>IFERROR(AL22/AL5,"")</f>
        <v/>
      </c>
      <c r="AM46" s="32">
        <f>IFERROR(AM22/AM5,"")</f>
        <v/>
      </c>
      <c r="AN46" s="32">
        <f>IFERROR(AN22/AN5,"")</f>
        <v/>
      </c>
      <c r="AO46" s="25">
        <f>IFERROR(AO22/AO5,"")</f>
        <v/>
      </c>
    </row>
    <row r="47">
      <c r="A47" s="12" t="inlineStr">
        <is>
          <t>매출원가율</t>
        </is>
      </c>
      <c r="C47" t="inlineStr">
        <is>
          <t>%</t>
        </is>
      </c>
      <c r="D47" t="inlineStr">
        <is>
          <t>매출원가 / 매출액</t>
        </is>
      </c>
      <c r="E47" s="21">
        <f>IFERROR(E6/E5,"")</f>
        <v/>
      </c>
      <c r="F47" s="22">
        <f>IFERROR(F6/F5,"")</f>
        <v/>
      </c>
      <c r="G47" s="21">
        <f>IFERROR(G6/G5,"")</f>
        <v/>
      </c>
      <c r="H47" s="21">
        <f>IFERROR(H6/H5,"")</f>
        <v/>
      </c>
      <c r="I47" s="21">
        <f>IFERROR(I6/I5,"")</f>
        <v/>
      </c>
      <c r="J47" s="21">
        <f>IFERROR(J6/J5,"")</f>
        <v/>
      </c>
      <c r="K47" s="22">
        <f>IFERROR(K6/K5,"")</f>
        <v/>
      </c>
      <c r="L47" s="21">
        <f>IFERROR(L6/L5,"")</f>
        <v/>
      </c>
      <c r="M47" s="21">
        <f>IFERROR(M6/M5,"")</f>
        <v/>
      </c>
      <c r="N47" s="21">
        <f>IFERROR(N6/N5,"")</f>
        <v/>
      </c>
      <c r="O47" s="21">
        <f>IFERROR(O6/O5,"")</f>
        <v/>
      </c>
      <c r="P47" s="22">
        <f>IFERROR(P6/P5,"")</f>
        <v/>
      </c>
      <c r="Q47" s="21">
        <f>IFERROR(Q6/Q5,"")</f>
        <v/>
      </c>
      <c r="R47" s="21">
        <f>IFERROR(R6/R5,"")</f>
        <v/>
      </c>
      <c r="S47" s="21">
        <f>IFERROR(S6/S5,"")</f>
        <v/>
      </c>
      <c r="T47" s="21">
        <f>IFERROR(T6/T5,"")</f>
        <v/>
      </c>
      <c r="U47" s="22">
        <f>IFERROR(U6/U5,"")</f>
        <v/>
      </c>
      <c r="V47" s="21">
        <f>IFERROR(V6/V5,"")</f>
        <v/>
      </c>
      <c r="W47" s="21">
        <f>IFERROR(W6/W5,"")</f>
        <v/>
      </c>
      <c r="X47" s="21">
        <f>IFERROR(X6/X5,"")</f>
        <v/>
      </c>
      <c r="Y47" s="21">
        <f>IFERROR(Y6/Y5,"")</f>
        <v/>
      </c>
      <c r="Z47" s="22">
        <f>IFERROR(Z6/Z5,"")</f>
        <v/>
      </c>
      <c r="AA47" s="21">
        <f>IFERROR(AA6/AA5,"")</f>
        <v/>
      </c>
      <c r="AB47" s="23">
        <f>IFERROR(AB6/AB5,"")</f>
        <v/>
      </c>
      <c r="AC47" s="32">
        <f>IFERROR(AC6/AC5,"")</f>
        <v/>
      </c>
      <c r="AD47" s="32">
        <f>IFERROR(AD6/AD5,"")</f>
        <v/>
      </c>
      <c r="AE47" s="25">
        <f>IFERROR(AE6/AE5,"")</f>
        <v/>
      </c>
      <c r="AF47" s="32">
        <f>IFERROR(AF6/AF5,"")</f>
        <v/>
      </c>
      <c r="AG47" s="32">
        <f>IFERROR(AG6/AG5,"")</f>
        <v/>
      </c>
      <c r="AH47" s="32">
        <f>IFERROR(AH6/AH5,"")</f>
        <v/>
      </c>
      <c r="AI47" s="32">
        <f>IFERROR(AI6/AI5,"")</f>
        <v/>
      </c>
      <c r="AJ47" s="25">
        <f>IFERROR(AJ6/AJ5,"")</f>
        <v/>
      </c>
      <c r="AK47" s="32">
        <f>IFERROR(AK6/AK5,"")</f>
        <v/>
      </c>
      <c r="AL47" s="32">
        <f>IFERROR(AL6/AL5,"")</f>
        <v/>
      </c>
      <c r="AM47" s="32">
        <f>IFERROR(AM6/AM5,"")</f>
        <v/>
      </c>
      <c r="AN47" s="32">
        <f>IFERROR(AN6/AN5,"")</f>
        <v/>
      </c>
      <c r="AO47" s="25">
        <f>IFERROR(AO6/AO5,"")</f>
        <v/>
      </c>
    </row>
    <row r="48">
      <c r="A48" s="12" t="inlineStr">
        <is>
          <t>판관비율</t>
        </is>
      </c>
      <c r="C48" t="inlineStr">
        <is>
          <t>%</t>
        </is>
      </c>
      <c r="D48" t="inlineStr">
        <is>
          <t>판관비 / 매출액</t>
        </is>
      </c>
      <c r="E48" s="21">
        <f>IFERROR(E8/E5,"")</f>
        <v/>
      </c>
      <c r="F48" s="22">
        <f>IFERROR(F8/F5,"")</f>
        <v/>
      </c>
      <c r="G48" s="21">
        <f>IFERROR(G8/G5,"")</f>
        <v/>
      </c>
      <c r="H48" s="21">
        <f>IFERROR(H8/H5,"")</f>
        <v/>
      </c>
      <c r="I48" s="21">
        <f>IFERROR(I8/I5,"")</f>
        <v/>
      </c>
      <c r="J48" s="21">
        <f>IFERROR(J8/J5,"")</f>
        <v/>
      </c>
      <c r="K48" s="22">
        <f>IFERROR(K8/K5,"")</f>
        <v/>
      </c>
      <c r="L48" s="21">
        <f>IFERROR(L8/L5,"")</f>
        <v/>
      </c>
      <c r="M48" s="21">
        <f>IFERROR(M8/M5,"")</f>
        <v/>
      </c>
      <c r="N48" s="21">
        <f>IFERROR(N8/N5,"")</f>
        <v/>
      </c>
      <c r="O48" s="21">
        <f>IFERROR(O8/O5,"")</f>
        <v/>
      </c>
      <c r="P48" s="22">
        <f>IFERROR(P8/P5,"")</f>
        <v/>
      </c>
      <c r="Q48" s="21">
        <f>IFERROR(Q8/Q5,"")</f>
        <v/>
      </c>
      <c r="R48" s="21">
        <f>IFERROR(R8/R5,"")</f>
        <v/>
      </c>
      <c r="S48" s="21">
        <f>IFERROR(S8/S5,"")</f>
        <v/>
      </c>
      <c r="T48" s="21">
        <f>IFERROR(T8/T5,"")</f>
        <v/>
      </c>
      <c r="U48" s="22">
        <f>IFERROR(U8/U5,"")</f>
        <v/>
      </c>
      <c r="V48" s="21">
        <f>IFERROR(V8/V5,"")</f>
        <v/>
      </c>
      <c r="W48" s="21">
        <f>IFERROR(W8/W5,"")</f>
        <v/>
      </c>
      <c r="X48" s="21">
        <f>IFERROR(X8/X5,"")</f>
        <v/>
      </c>
      <c r="Y48" s="21">
        <f>IFERROR(Y8/Y5,"")</f>
        <v/>
      </c>
      <c r="Z48" s="22">
        <f>IFERROR(Z8/Z5,"")</f>
        <v/>
      </c>
      <c r="AA48" s="21">
        <f>IFERROR(AA8/AA5,"")</f>
        <v/>
      </c>
      <c r="AB48" s="23">
        <f>IFERROR(AB8/AB5,"")</f>
        <v/>
      </c>
      <c r="AC48" s="32">
        <f>IFERROR(AC8/AC5,"")</f>
        <v/>
      </c>
      <c r="AD48" s="32">
        <f>IFERROR(AD8/AD5,"")</f>
        <v/>
      </c>
      <c r="AE48" s="25">
        <f>IFERROR(AE8/AE5,"")</f>
        <v/>
      </c>
      <c r="AF48" s="32">
        <f>IFERROR(AF8/AF5,"")</f>
        <v/>
      </c>
      <c r="AG48" s="32">
        <f>IFERROR(AG8/AG5,"")</f>
        <v/>
      </c>
      <c r="AH48" s="32">
        <f>IFERROR(AH8/AH5,"")</f>
        <v/>
      </c>
      <c r="AI48" s="32">
        <f>IFERROR(AI8/AI5,"")</f>
        <v/>
      </c>
      <c r="AJ48" s="25">
        <f>IFERROR(AJ8/AJ5,"")</f>
        <v/>
      </c>
      <c r="AK48" s="32">
        <f>IFERROR(AK8/AK5,"")</f>
        <v/>
      </c>
      <c r="AL48" s="32">
        <f>IFERROR(AL8/AL5,"")</f>
        <v/>
      </c>
      <c r="AM48" s="32">
        <f>IFERROR(AM8/AM5,"")</f>
        <v/>
      </c>
      <c r="AN48" s="32">
        <f>IFERROR(AN8/AN5,"")</f>
        <v/>
      </c>
      <c r="AO48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17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>
      <c r="C1" s="2" t="inlineStr">
        <is>
          <t>이름: SLS_H · 선표 매출인식(백만$) — sls json origin 2026Q2</t>
        </is>
      </c>
      <c r="E1" s="3" t="inlineStr">
        <is>
          <t>3Q23</t>
        </is>
      </c>
      <c r="F1" s="3" t="inlineStr">
        <is>
          <t>4Q23</t>
        </is>
      </c>
      <c r="G1" s="3" t="inlineStr">
        <is>
          <t>1Q24</t>
        </is>
      </c>
      <c r="H1" s="3" t="inlineStr">
        <is>
          <t>2Q24</t>
        </is>
      </c>
      <c r="I1" s="3" t="inlineStr">
        <is>
          <t>3Q24</t>
        </is>
      </c>
      <c r="J1" s="3" t="inlineStr">
        <is>
          <t>4Q24</t>
        </is>
      </c>
      <c r="K1" s="3" t="inlineStr">
        <is>
          <t>1Q25</t>
        </is>
      </c>
      <c r="L1" s="3" t="inlineStr">
        <is>
          <t>2Q25</t>
        </is>
      </c>
      <c r="M1" s="3" t="inlineStr">
        <is>
          <t>3Q25</t>
        </is>
      </c>
      <c r="N1" s="3" t="inlineStr">
        <is>
          <t>4Q25</t>
        </is>
      </c>
      <c r="O1" s="3" t="inlineStr">
        <is>
          <t>1Q26</t>
        </is>
      </c>
      <c r="P1" s="3" t="inlineStr">
        <is>
          <t>2Q26</t>
        </is>
      </c>
      <c r="Q1" s="3" t="inlineStr">
        <is>
          <t>3Q26</t>
        </is>
      </c>
      <c r="R1" s="3" t="inlineStr">
        <is>
          <t>4Q26</t>
        </is>
      </c>
      <c r="S1" s="3" t="inlineStr">
        <is>
          <t>1Q27</t>
        </is>
      </c>
      <c r="T1" s="3" t="inlineStr">
        <is>
          <t>2Q27</t>
        </is>
      </c>
      <c r="U1" s="3" t="inlineStr">
        <is>
          <t>3Q27</t>
        </is>
      </c>
      <c r="V1" s="3" t="inlineStr">
        <is>
          <t>4Q27</t>
        </is>
      </c>
      <c r="W1" s="3" t="inlineStr">
        <is>
          <t>1Q28</t>
        </is>
      </c>
      <c r="X1" s="3" t="inlineStr">
        <is>
          <t>2Q28</t>
        </is>
      </c>
      <c r="Y1" s="3" t="inlineStr">
        <is>
          <t>3Q28</t>
        </is>
      </c>
      <c r="Z1" s="3" t="inlineStr">
        <is>
          <t>4Q28</t>
        </is>
      </c>
      <c r="AA1" s="3" t="inlineStr">
        <is>
          <t>1Q29</t>
        </is>
      </c>
      <c r="AB1" s="3" t="inlineStr">
        <is>
          <t>2Q29</t>
        </is>
      </c>
      <c r="AC1" s="3" t="inlineStr">
        <is>
          <t>3Q29</t>
        </is>
      </c>
      <c r="AD1" s="3" t="inlineStr">
        <is>
          <t>4Q29</t>
        </is>
      </c>
      <c r="AE1" s="3" t="inlineStr">
        <is>
          <t>1Q30</t>
        </is>
      </c>
      <c r="AF1" s="3" t="inlineStr">
        <is>
          <t>2Q30</t>
        </is>
      </c>
      <c r="AG1" s="3" t="inlineStr">
        <is>
          <t>3Q30</t>
        </is>
      </c>
      <c r="AH1" s="3" t="inlineStr">
        <is>
          <t>4Q30</t>
        </is>
      </c>
      <c r="AI1" s="3" t="inlineStr">
        <is>
          <t>1Q31</t>
        </is>
      </c>
      <c r="AJ1" s="3" t="inlineStr">
        <is>
          <t>2Q31</t>
        </is>
      </c>
      <c r="AK1" s="3" t="inlineStr">
        <is>
          <t>3Q31</t>
        </is>
      </c>
      <c r="AL1" s="3" t="inlineStr">
        <is>
          <t>4Q31</t>
        </is>
      </c>
      <c r="AM1" s="3" t="inlineStr">
        <is>
          <t>1Q32</t>
        </is>
      </c>
      <c r="AN1" s="3" t="inlineStr">
        <is>
          <t>2Q32</t>
        </is>
      </c>
      <c r="AO1" s="3" t="inlineStr">
        <is>
          <t>3Q32</t>
        </is>
      </c>
      <c r="AP1" s="3" t="inlineStr">
        <is>
          <t>4Q32</t>
        </is>
      </c>
      <c r="AQ1" s="3" t="inlineStr">
        <is>
          <t>1Q33</t>
        </is>
      </c>
      <c r="AR1" s="3" t="inlineStr">
        <is>
          <t>2Q33</t>
        </is>
      </c>
      <c r="AS1" s="3" t="inlineStr">
        <is>
          <t>3Q33</t>
        </is>
      </c>
      <c r="AT1" s="3" t="inlineStr">
        <is>
          <t>4Q33</t>
        </is>
      </c>
      <c r="AU1" s="3" t="n">
        <v>2023</v>
      </c>
      <c r="AV1" s="3" t="n">
        <v>2024</v>
      </c>
      <c r="AW1" s="3" t="n">
        <v>2025</v>
      </c>
      <c r="AX1" s="3" t="n">
        <v>2026</v>
      </c>
      <c r="AY1" s="3" t="n">
        <v>2027</v>
      </c>
      <c r="AZ1" s="3" t="n">
        <v>2028</v>
      </c>
      <c r="BA1" s="3" t="n">
        <v>2029</v>
      </c>
      <c r="BB1" s="3" t="n">
        <v>2030</v>
      </c>
      <c r="BC1" s="3" t="n">
        <v>2031</v>
      </c>
      <c r="BD1" s="3" t="n">
        <v>2032</v>
      </c>
      <c r="BE1" s="3" t="n">
        <v>2033</v>
      </c>
    </row>
    <row r="2">
      <c r="A2" s="2" t="inlineStr">
        <is>
          <t>코호트 표(레퍼런스 실측 캘리브레이션): ①적자 −1.1% ②BEP 1% ③중마진 4.3% ④호황 5.4% ⑤초호황 10.8% — 회사별 캘리브레이션은 target_opm.basis 참조 · 코호트 모드 reference_anchor(대안 ledger_relative) · 잔고 캡 미적용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  <c r="AP3" s="2" t="n">
        <v>38</v>
      </c>
      <c r="AQ3" s="2" t="n">
        <v>39</v>
      </c>
      <c r="AR3" s="2" t="n">
        <v>40</v>
      </c>
      <c r="AS3" s="2" t="n">
        <v>41</v>
      </c>
      <c r="AT3" s="2" t="n">
        <v>42</v>
      </c>
      <c r="AU3" s="2" t="n">
        <v>43</v>
      </c>
      <c r="AV3" s="2" t="n">
        <v>44</v>
      </c>
      <c r="AW3" s="2" t="n">
        <v>45</v>
      </c>
      <c r="AX3" s="2" t="n">
        <v>46</v>
      </c>
      <c r="AY3" s="2" t="n">
        <v>47</v>
      </c>
      <c r="AZ3" s="2" t="n">
        <v>48</v>
      </c>
      <c r="BA3" s="2" t="n">
        <v>49</v>
      </c>
      <c r="BB3" s="2" t="n">
        <v>50</v>
      </c>
      <c r="BC3" s="2" t="n">
        <v>51</v>
      </c>
      <c r="BD3" s="2" t="n">
        <v>52</v>
      </c>
      <c r="BE3" s="2" t="n">
        <v>53</v>
      </c>
    </row>
    <row r="4">
      <c r="E4" s="7" t="inlineStr">
        <is>
          <t>2023.09</t>
        </is>
      </c>
      <c r="F4" s="7" t="inlineStr">
        <is>
          <t>2023.12</t>
        </is>
      </c>
      <c r="G4" s="7" t="inlineStr">
        <is>
          <t>2024.03</t>
        </is>
      </c>
      <c r="H4" s="7" t="inlineStr">
        <is>
          <t>2024.06</t>
        </is>
      </c>
      <c r="I4" s="7" t="inlineStr">
        <is>
          <t>2024.09</t>
        </is>
      </c>
      <c r="J4" s="7" t="inlineStr">
        <is>
          <t>2024.12</t>
        </is>
      </c>
      <c r="K4" s="7" t="inlineStr">
        <is>
          <t>2025.03</t>
        </is>
      </c>
      <c r="L4" s="7" t="inlineStr">
        <is>
          <t>2025.06</t>
        </is>
      </c>
      <c r="M4" s="7" t="inlineStr">
        <is>
          <t>2025.09</t>
        </is>
      </c>
      <c r="N4" s="7" t="inlineStr">
        <is>
          <t>2025.12</t>
        </is>
      </c>
      <c r="O4" s="7" t="inlineStr">
        <is>
          <t>2026.03</t>
        </is>
      </c>
      <c r="P4" s="7" t="inlineStr">
        <is>
          <t>2026.06</t>
        </is>
      </c>
      <c r="Q4" s="7" t="inlineStr">
        <is>
          <t>2026.09</t>
        </is>
      </c>
      <c r="R4" s="7" t="inlineStr">
        <is>
          <t>2026.12</t>
        </is>
      </c>
      <c r="S4" s="7" t="inlineStr">
        <is>
          <t>2027.03</t>
        </is>
      </c>
      <c r="T4" s="7" t="inlineStr">
        <is>
          <t>2027.06</t>
        </is>
      </c>
      <c r="U4" s="7" t="inlineStr">
        <is>
          <t>2027.09</t>
        </is>
      </c>
      <c r="V4" s="7" t="inlineStr">
        <is>
          <t>2027.12</t>
        </is>
      </c>
      <c r="W4" s="7" t="inlineStr">
        <is>
          <t>2028.03</t>
        </is>
      </c>
      <c r="X4" s="7" t="inlineStr">
        <is>
          <t>2028.06</t>
        </is>
      </c>
      <c r="Y4" s="7" t="inlineStr">
        <is>
          <t>2028.09</t>
        </is>
      </c>
      <c r="Z4" s="7" t="inlineStr">
        <is>
          <t>2028.12</t>
        </is>
      </c>
      <c r="AA4" s="7" t="inlineStr">
        <is>
          <t>2029.03</t>
        </is>
      </c>
      <c r="AB4" s="7" t="inlineStr">
        <is>
          <t>2029.06</t>
        </is>
      </c>
      <c r="AC4" s="7" t="inlineStr">
        <is>
          <t>2029.09</t>
        </is>
      </c>
      <c r="AD4" s="7" t="inlineStr">
        <is>
          <t>2029.12</t>
        </is>
      </c>
      <c r="AE4" s="7" t="inlineStr">
        <is>
          <t>2030.03</t>
        </is>
      </c>
      <c r="AF4" s="7" t="inlineStr">
        <is>
          <t>2030.06</t>
        </is>
      </c>
      <c r="AG4" s="7" t="inlineStr">
        <is>
          <t>2030.09</t>
        </is>
      </c>
      <c r="AH4" s="7" t="inlineStr">
        <is>
          <t>2030.12</t>
        </is>
      </c>
      <c r="AI4" s="7" t="inlineStr">
        <is>
          <t>2031.03</t>
        </is>
      </c>
      <c r="AJ4" s="7" t="inlineStr">
        <is>
          <t>2031.06</t>
        </is>
      </c>
      <c r="AK4" s="7" t="inlineStr">
        <is>
          <t>2031.09</t>
        </is>
      </c>
      <c r="AL4" s="7" t="inlineStr">
        <is>
          <t>2031.12</t>
        </is>
      </c>
      <c r="AM4" s="7" t="inlineStr">
        <is>
          <t>2032.03</t>
        </is>
      </c>
      <c r="AN4" s="7" t="inlineStr">
        <is>
          <t>2032.06</t>
        </is>
      </c>
      <c r="AO4" s="7" t="inlineStr">
        <is>
          <t>2032.09</t>
        </is>
      </c>
      <c r="AP4" s="7" t="inlineStr">
        <is>
          <t>2032.12</t>
        </is>
      </c>
      <c r="AQ4" s="7" t="inlineStr">
        <is>
          <t>2033.03</t>
        </is>
      </c>
      <c r="AR4" s="7" t="inlineStr">
        <is>
          <t>2033.06</t>
        </is>
      </c>
      <c r="AS4" s="7" t="inlineStr">
        <is>
          <t>2033.09</t>
        </is>
      </c>
      <c r="AT4" s="7" t="inlineStr">
        <is>
          <t>2033.12</t>
        </is>
      </c>
      <c r="AU4" s="7" t="inlineStr">
        <is>
          <t>2023.12A</t>
        </is>
      </c>
      <c r="AV4" s="7" t="inlineStr">
        <is>
          <t>2024.12A</t>
        </is>
      </c>
      <c r="AW4" s="7" t="inlineStr">
        <is>
          <t>2025.12A</t>
        </is>
      </c>
      <c r="AX4" s="7" t="inlineStr">
        <is>
          <t>2026.12A</t>
        </is>
      </c>
      <c r="AY4" s="7" t="inlineStr">
        <is>
          <t>2027.12A</t>
        </is>
      </c>
      <c r="AZ4" s="7" t="inlineStr">
        <is>
          <t>2028.12A</t>
        </is>
      </c>
      <c r="BA4" s="7" t="inlineStr">
        <is>
          <t>2029.12A</t>
        </is>
      </c>
      <c r="BB4" s="7" t="inlineStr">
        <is>
          <t>2030.12A</t>
        </is>
      </c>
      <c r="BC4" s="7" t="inlineStr">
        <is>
          <t>2031.12A</t>
        </is>
      </c>
      <c r="BD4" s="7" t="inlineStr">
        <is>
          <t>2032.12A</t>
        </is>
      </c>
      <c r="BE4" s="7" t="inlineStr">
        <is>
          <t>2033.12A</t>
        </is>
      </c>
    </row>
    <row r="5">
      <c r="A5" s="12" t="inlineStr">
        <is>
          <t>usd_m</t>
        </is>
      </c>
      <c r="D5" t="inlineStr">
        <is>
          <t>매출인식 합계(백만$)</t>
        </is>
      </c>
      <c r="E5" s="26" t="n">
        <v>95.94199999999999</v>
      </c>
      <c r="F5" s="26" t="n">
        <v>95.94199999999999</v>
      </c>
      <c r="G5" s="26" t="n">
        <v>108.778</v>
      </c>
      <c r="H5" s="26" t="n">
        <v>126.244</v>
      </c>
      <c r="I5" s="26" t="n">
        <v>130.695</v>
      </c>
      <c r="J5" s="26" t="n">
        <v>153.139</v>
      </c>
      <c r="K5" s="26" t="n">
        <v>291.185</v>
      </c>
      <c r="L5" s="26" t="n">
        <v>380.959</v>
      </c>
      <c r="M5" s="26" t="n">
        <v>536.102</v>
      </c>
      <c r="N5" s="26" t="n">
        <v>640.148</v>
      </c>
      <c r="O5" s="26" t="n">
        <v>887.205</v>
      </c>
      <c r="P5" s="26" t="n">
        <v>1287.171</v>
      </c>
      <c r="Q5" s="26" t="n">
        <v>1560.288</v>
      </c>
      <c r="R5" s="26" t="n">
        <v>1610.261</v>
      </c>
      <c r="S5" s="26" t="n">
        <v>1575.255</v>
      </c>
      <c r="T5" s="26" t="n">
        <v>1562.515</v>
      </c>
      <c r="U5" s="26" t="n">
        <v>1499.817</v>
      </c>
      <c r="V5" s="26" t="n">
        <v>1445.363</v>
      </c>
      <c r="W5" s="26" t="n">
        <v>1380.297</v>
      </c>
      <c r="X5" s="26" t="n">
        <v>1333.678</v>
      </c>
      <c r="Y5" s="26" t="n">
        <v>1241.127</v>
      </c>
      <c r="Z5" s="26" t="n">
        <v>1114.694</v>
      </c>
      <c r="AA5" s="26" t="n">
        <v>733.4160000000001</v>
      </c>
      <c r="AB5" s="26" t="n">
        <v>575.381</v>
      </c>
      <c r="AC5" s="26" t="n">
        <v>471.531</v>
      </c>
      <c r="AD5" s="26" t="n">
        <v>300.251</v>
      </c>
      <c r="AE5" s="26" t="n">
        <v>174.161</v>
      </c>
      <c r="AF5" s="26" t="n">
        <v>151.033</v>
      </c>
      <c r="AG5" s="26" t="n">
        <v>65.85299999999999</v>
      </c>
      <c r="AH5" s="26" t="n">
        <v>33.927</v>
      </c>
      <c r="AI5" s="26" t="n">
        <v>27.974</v>
      </c>
      <c r="AJ5" s="26" t="n">
        <v>12.524</v>
      </c>
      <c r="AK5" s="26" t="n">
        <v>10.006</v>
      </c>
      <c r="AL5" s="26" t="n">
        <v>10.006</v>
      </c>
      <c r="AM5" s="26" t="n">
        <v>9.897</v>
      </c>
      <c r="AN5" s="26" t="n">
        <v>9.897</v>
      </c>
      <c r="AO5" s="26" t="n">
        <v>10.006</v>
      </c>
      <c r="AP5" s="26" t="n">
        <v>10.006</v>
      </c>
      <c r="AQ5" s="26" t="n">
        <v>9.788</v>
      </c>
      <c r="AR5" s="26" t="n">
        <v>9.897</v>
      </c>
      <c r="AS5" s="26" t="n">
        <v>10.006</v>
      </c>
      <c r="AT5" s="26" t="n">
        <v>8.81</v>
      </c>
      <c r="AU5" s="26" t="n">
        <v>191.884</v>
      </c>
      <c r="AV5" s="26" t="n">
        <v>518.856</v>
      </c>
      <c r="AW5" s="26" t="n">
        <v>1848.394</v>
      </c>
      <c r="AX5" s="26" t="n">
        <v>5344.925</v>
      </c>
      <c r="AY5" s="26" t="n">
        <v>6082.95</v>
      </c>
      <c r="AZ5" s="26" t="n">
        <v>5069.796</v>
      </c>
      <c r="BA5" s="26" t="n">
        <v>2080.579</v>
      </c>
      <c r="BB5" s="26" t="n">
        <v>424.974</v>
      </c>
      <c r="BC5" s="26" t="n">
        <v>60.51</v>
      </c>
      <c r="BD5" s="26" t="n">
        <v>39.806</v>
      </c>
      <c r="BE5" s="26" t="n">
        <v>38.501</v>
      </c>
    </row>
    <row r="6">
      <c r="A6" s="12" t="inlineStr">
        <is>
          <t>marine_usd_m</t>
        </is>
      </c>
      <c r="D6" t="inlineStr">
        <is>
          <t>해양(type≠OTHER) 합계(백만$)</t>
        </is>
      </c>
      <c r="E6" s="26" t="n">
        <v>95.94199999999999</v>
      </c>
      <c r="F6" s="26" t="n">
        <v>95.94199999999999</v>
      </c>
      <c r="G6" s="26" t="n">
        <v>108.778</v>
      </c>
      <c r="H6" s="26" t="n">
        <v>126.244</v>
      </c>
      <c r="I6" s="26" t="n">
        <v>130.695</v>
      </c>
      <c r="J6" s="26" t="n">
        <v>153.139</v>
      </c>
      <c r="K6" s="26" t="n">
        <v>291.185</v>
      </c>
      <c r="L6" s="26" t="n">
        <v>380.959</v>
      </c>
      <c r="M6" s="26" t="n">
        <v>536.102</v>
      </c>
      <c r="N6" s="26" t="n">
        <v>640.148</v>
      </c>
      <c r="O6" s="26" t="n">
        <v>887.205</v>
      </c>
      <c r="P6" s="26" t="n">
        <v>1269.147</v>
      </c>
      <c r="Q6" s="26" t="n">
        <v>1511.445</v>
      </c>
      <c r="R6" s="26" t="n">
        <v>1544.271</v>
      </c>
      <c r="S6" s="26" t="n">
        <v>1510.7</v>
      </c>
      <c r="T6" s="26" t="n">
        <v>1497.243</v>
      </c>
      <c r="U6" s="26" t="n">
        <v>1433.827</v>
      </c>
      <c r="V6" s="26" t="n">
        <v>1379.373</v>
      </c>
      <c r="W6" s="26" t="n">
        <v>1315.025</v>
      </c>
      <c r="X6" s="26" t="n">
        <v>1268.405</v>
      </c>
      <c r="Y6" s="26" t="n">
        <v>1175.137</v>
      </c>
      <c r="Z6" s="26" t="n">
        <v>1048.704</v>
      </c>
      <c r="AA6" s="26" t="n">
        <v>668.861</v>
      </c>
      <c r="AB6" s="26" t="n">
        <v>510.109</v>
      </c>
      <c r="AC6" s="26" t="n">
        <v>405.541</v>
      </c>
      <c r="AD6" s="26" t="n">
        <v>234.261</v>
      </c>
      <c r="AE6" s="26" t="n">
        <v>109.605</v>
      </c>
      <c r="AF6" s="26" t="n">
        <v>85.76000000000001</v>
      </c>
      <c r="AG6" s="26" t="n">
        <v>28.596</v>
      </c>
      <c r="AH6" s="26" t="n">
        <v>28.596</v>
      </c>
      <c r="AI6" s="26" t="n">
        <v>27.974</v>
      </c>
      <c r="AJ6" s="26" t="n">
        <v>12.524</v>
      </c>
      <c r="AK6" s="26" t="n">
        <v>10.006</v>
      </c>
      <c r="AL6" s="26" t="n">
        <v>10.006</v>
      </c>
      <c r="AM6" s="26" t="n">
        <v>9.897</v>
      </c>
      <c r="AN6" s="26" t="n">
        <v>9.897</v>
      </c>
      <c r="AO6" s="26" t="n">
        <v>10.006</v>
      </c>
      <c r="AP6" s="26" t="n">
        <v>10.006</v>
      </c>
      <c r="AQ6" s="26" t="n">
        <v>9.788</v>
      </c>
      <c r="AR6" s="26" t="n">
        <v>9.897</v>
      </c>
      <c r="AS6" s="26" t="n">
        <v>10.006</v>
      </c>
      <c r="AT6" s="26" t="n">
        <v>8.81</v>
      </c>
      <c r="AU6" s="26" t="n">
        <v>191.884</v>
      </c>
      <c r="AV6" s="26" t="n">
        <v>518.856</v>
      </c>
      <c r="AW6" s="26" t="n">
        <v>1848.394</v>
      </c>
      <c r="AX6" s="26" t="n">
        <v>5212.068</v>
      </c>
      <c r="AY6" s="26" t="n">
        <v>5821.143</v>
      </c>
      <c r="AZ6" s="26" t="n">
        <v>4807.271</v>
      </c>
      <c r="BA6" s="26" t="n">
        <v>1818.772</v>
      </c>
      <c r="BB6" s="26" t="n">
        <v>252.557</v>
      </c>
      <c r="BC6" s="26" t="n">
        <v>60.51</v>
      </c>
      <c r="BD6" s="26" t="n">
        <v>39.806</v>
      </c>
      <c r="BE6" s="26" t="n">
        <v>38.501</v>
      </c>
    </row>
    <row r="7">
      <c r="A7" s="12" t="inlineStr">
        <is>
          <t>type:OFFSH</t>
        </is>
      </c>
      <c r="D7" t="inlineStr">
        <is>
          <t>선종 OFFSH</t>
        </is>
      </c>
      <c r="E7" s="26" t="n">
        <v>95.94199999999999</v>
      </c>
      <c r="F7" s="26" t="n">
        <v>95.94199999999999</v>
      </c>
      <c r="G7" s="26" t="n">
        <v>94.899</v>
      </c>
      <c r="H7" s="26" t="n">
        <v>94.899</v>
      </c>
      <c r="I7" s="26" t="n">
        <v>95.94199999999999</v>
      </c>
      <c r="J7" s="26" t="n">
        <v>95.94199999999999</v>
      </c>
      <c r="K7" s="26" t="n">
        <v>93.85599999999999</v>
      </c>
      <c r="L7" s="26" t="n">
        <v>94.899</v>
      </c>
      <c r="M7" s="26" t="n">
        <v>95.94199999999999</v>
      </c>
      <c r="N7" s="26" t="n">
        <v>95.94199999999999</v>
      </c>
      <c r="O7" s="26" t="n">
        <v>93.85599999999999</v>
      </c>
      <c r="P7" s="26" t="n">
        <v>94.899</v>
      </c>
      <c r="Q7" s="26" t="n">
        <v>95.94199999999999</v>
      </c>
      <c r="R7" s="26" t="n">
        <v>95.94199999999999</v>
      </c>
      <c r="S7" s="26" t="n">
        <v>93.85599999999999</v>
      </c>
      <c r="T7" s="26" t="n">
        <v>64.657</v>
      </c>
      <c r="AU7" s="26" t="n">
        <v>191.884</v>
      </c>
      <c r="AV7" s="26" t="n">
        <v>381.682</v>
      </c>
      <c r="AW7" s="26" t="n">
        <v>380.639</v>
      </c>
      <c r="AX7" s="26" t="n">
        <v>380.639</v>
      </c>
      <c r="AY7" s="26" t="n">
        <v>158.513</v>
      </c>
    </row>
    <row r="8">
      <c r="A8" s="12" t="inlineStr">
        <is>
          <t>type:VLGC</t>
        </is>
      </c>
      <c r="D8" t="inlineStr">
        <is>
          <t>선종 VLGC</t>
        </is>
      </c>
      <c r="G8" s="26" t="n">
        <v>13.879</v>
      </c>
      <c r="H8" s="26" t="n">
        <v>15.987</v>
      </c>
      <c r="I8" s="26" t="n">
        <v>16.163</v>
      </c>
      <c r="J8" s="26" t="n">
        <v>26.193</v>
      </c>
      <c r="K8" s="26" t="n">
        <v>42.224</v>
      </c>
      <c r="L8" s="26" t="n">
        <v>55.898</v>
      </c>
      <c r="M8" s="26" t="n">
        <v>56.513</v>
      </c>
      <c r="N8" s="26" t="n">
        <v>62.085</v>
      </c>
      <c r="O8" s="26" t="n">
        <v>78.07899999999999</v>
      </c>
      <c r="P8" s="26" t="n">
        <v>176.553</v>
      </c>
      <c r="Q8" s="26" t="n">
        <v>261.312</v>
      </c>
      <c r="R8" s="26" t="n">
        <v>275.358</v>
      </c>
      <c r="S8" s="26" t="n">
        <v>269.372</v>
      </c>
      <c r="T8" s="26" t="n">
        <v>272.365</v>
      </c>
      <c r="U8" s="26" t="n">
        <v>270.088</v>
      </c>
      <c r="V8" s="26" t="n">
        <v>259.195</v>
      </c>
      <c r="W8" s="26" t="n">
        <v>236.958</v>
      </c>
      <c r="X8" s="26" t="n">
        <v>236.958</v>
      </c>
      <c r="Y8" s="26" t="n">
        <v>206.255</v>
      </c>
      <c r="Z8" s="26" t="n">
        <v>198.404</v>
      </c>
      <c r="AA8" s="26" t="n">
        <v>173.604</v>
      </c>
      <c r="AB8" s="26" t="n">
        <v>155.609</v>
      </c>
      <c r="AC8" s="26" t="n">
        <v>149.054</v>
      </c>
      <c r="AD8" s="26" t="n">
        <v>115.62</v>
      </c>
      <c r="AE8" s="26" t="n">
        <v>81.631</v>
      </c>
      <c r="AF8" s="26" t="n">
        <v>57.475</v>
      </c>
      <c r="AV8" s="26" t="n">
        <v>72.22199999999999</v>
      </c>
      <c r="AW8" s="26" t="n">
        <v>216.72</v>
      </c>
      <c r="AX8" s="26" t="n">
        <v>791.302</v>
      </c>
      <c r="AY8" s="26" t="n">
        <v>1071.02</v>
      </c>
      <c r="AZ8" s="26" t="n">
        <v>878.575</v>
      </c>
      <c r="BA8" s="26" t="n">
        <v>593.8869999999999</v>
      </c>
      <c r="BB8" s="26" t="n">
        <v>139.106</v>
      </c>
    </row>
    <row r="9">
      <c r="A9" s="12" t="inlineStr">
        <is>
          <t>type:NAVAL</t>
        </is>
      </c>
      <c r="D9" t="inlineStr">
        <is>
          <t>선종 NAVAL</t>
        </is>
      </c>
      <c r="H9" s="26" t="n">
        <v>15.357</v>
      </c>
      <c r="I9" s="26" t="n">
        <v>18.59</v>
      </c>
      <c r="J9" s="26" t="n">
        <v>18.59</v>
      </c>
      <c r="K9" s="26" t="n">
        <v>18.186</v>
      </c>
      <c r="L9" s="26" t="n">
        <v>18.388</v>
      </c>
      <c r="M9" s="26" t="n">
        <v>18.59</v>
      </c>
      <c r="N9" s="26" t="n">
        <v>27.953</v>
      </c>
      <c r="O9" s="26" t="n">
        <v>64.004</v>
      </c>
      <c r="P9" s="26" t="n">
        <v>84.56699999999999</v>
      </c>
      <c r="Q9" s="26" t="n">
        <v>91.15000000000001</v>
      </c>
      <c r="R9" s="26" t="n">
        <v>91.15000000000001</v>
      </c>
      <c r="S9" s="26" t="n">
        <v>89.169</v>
      </c>
      <c r="T9" s="26" t="n">
        <v>90.15900000000001</v>
      </c>
      <c r="U9" s="26" t="n">
        <v>91.15000000000001</v>
      </c>
      <c r="V9" s="26" t="n">
        <v>91.15000000000001</v>
      </c>
      <c r="W9" s="26" t="n">
        <v>90.15900000000001</v>
      </c>
      <c r="X9" s="26" t="n">
        <v>90.15900000000001</v>
      </c>
      <c r="Y9" s="26" t="n">
        <v>91.15000000000001</v>
      </c>
      <c r="Z9" s="26" t="n">
        <v>91.15000000000001</v>
      </c>
      <c r="AA9" s="26" t="n">
        <v>89.169</v>
      </c>
      <c r="AB9" s="26" t="n">
        <v>90.15900000000001</v>
      </c>
      <c r="AC9" s="26" t="n">
        <v>81.923</v>
      </c>
      <c r="AD9" s="26" t="n">
        <v>61.023</v>
      </c>
      <c r="AE9" s="26" t="n">
        <v>27.974</v>
      </c>
      <c r="AF9" s="26" t="n">
        <v>28.285</v>
      </c>
      <c r="AG9" s="26" t="n">
        <v>28.596</v>
      </c>
      <c r="AH9" s="26" t="n">
        <v>28.596</v>
      </c>
      <c r="AI9" s="26" t="n">
        <v>27.974</v>
      </c>
      <c r="AJ9" s="26" t="n">
        <v>12.524</v>
      </c>
      <c r="AK9" s="26" t="n">
        <v>10.006</v>
      </c>
      <c r="AL9" s="26" t="n">
        <v>10.006</v>
      </c>
      <c r="AM9" s="26" t="n">
        <v>9.897</v>
      </c>
      <c r="AN9" s="26" t="n">
        <v>9.897</v>
      </c>
      <c r="AO9" s="26" t="n">
        <v>10.006</v>
      </c>
      <c r="AP9" s="26" t="n">
        <v>10.006</v>
      </c>
      <c r="AQ9" s="26" t="n">
        <v>9.788</v>
      </c>
      <c r="AR9" s="26" t="n">
        <v>9.897</v>
      </c>
      <c r="AS9" s="26" t="n">
        <v>10.006</v>
      </c>
      <c r="AT9" s="26" t="n">
        <v>8.81</v>
      </c>
      <c r="AV9" s="26" t="n">
        <v>52.537</v>
      </c>
      <c r="AW9" s="26" t="n">
        <v>83.117</v>
      </c>
      <c r="AX9" s="26" t="n">
        <v>330.871</v>
      </c>
      <c r="AY9" s="26" t="n">
        <v>361.628</v>
      </c>
      <c r="AZ9" s="26" t="n">
        <v>362.618</v>
      </c>
      <c r="BA9" s="26" t="n">
        <v>322.274</v>
      </c>
      <c r="BB9" s="26" t="n">
        <v>113.451</v>
      </c>
      <c r="BC9" s="26" t="n">
        <v>60.51</v>
      </c>
      <c r="BD9" s="26" t="n">
        <v>39.806</v>
      </c>
      <c r="BE9" s="26" t="n">
        <v>38.501</v>
      </c>
    </row>
    <row r="10">
      <c r="A10" s="12" t="inlineStr">
        <is>
          <t>type:VLCC</t>
        </is>
      </c>
      <c r="D10" t="inlineStr">
        <is>
          <t>선종 VLCC</t>
        </is>
      </c>
      <c r="J10" s="26" t="n">
        <v>12.414</v>
      </c>
      <c r="K10" s="26" t="n">
        <v>14.142</v>
      </c>
      <c r="L10" s="26" t="n">
        <v>20.146</v>
      </c>
      <c r="M10" s="26" t="n">
        <v>42.766</v>
      </c>
      <c r="N10" s="26" t="n">
        <v>75.34099999999999</v>
      </c>
      <c r="O10" s="26" t="n">
        <v>104.412</v>
      </c>
      <c r="P10" s="26" t="n">
        <v>110.321</v>
      </c>
      <c r="Q10" s="26" t="n">
        <v>111.533</v>
      </c>
      <c r="R10" s="26" t="n">
        <v>111.533</v>
      </c>
      <c r="S10" s="26" t="n">
        <v>109.108</v>
      </c>
      <c r="T10" s="26" t="n">
        <v>110.321</v>
      </c>
      <c r="U10" s="26" t="n">
        <v>102.302</v>
      </c>
      <c r="V10" s="26" t="n">
        <v>58.74</v>
      </c>
      <c r="W10" s="26" t="n">
        <v>38.584</v>
      </c>
      <c r="X10" s="26" t="n">
        <v>38.584</v>
      </c>
      <c r="Y10" s="26" t="n">
        <v>39.008</v>
      </c>
      <c r="Z10" s="26" t="n">
        <v>29.059</v>
      </c>
      <c r="AA10" s="26" t="n">
        <v>23.482</v>
      </c>
      <c r="AB10" s="26" t="n">
        <v>23.743</v>
      </c>
      <c r="AV10" s="26" t="n">
        <v>12.414</v>
      </c>
      <c r="AW10" s="26" t="n">
        <v>152.395</v>
      </c>
      <c r="AX10" s="26" t="n">
        <v>437.799</v>
      </c>
      <c r="AY10" s="26" t="n">
        <v>380.471</v>
      </c>
      <c r="AZ10" s="26" t="n">
        <v>145.235</v>
      </c>
      <c r="BA10" s="26" t="n">
        <v>47.225</v>
      </c>
    </row>
    <row r="11">
      <c r="A11" s="12" t="inlineStr">
        <is>
          <t>type:CONT</t>
        </is>
      </c>
      <c r="D11" t="inlineStr">
        <is>
          <t>선종 CONT</t>
        </is>
      </c>
      <c r="K11" s="26" t="n">
        <v>122.777</v>
      </c>
      <c r="L11" s="26" t="n">
        <v>191.627</v>
      </c>
      <c r="M11" s="26" t="n">
        <v>322.291</v>
      </c>
      <c r="N11" s="26" t="n">
        <v>376.381</v>
      </c>
      <c r="O11" s="26" t="n">
        <v>417.709</v>
      </c>
      <c r="P11" s="26" t="n">
        <v>530.909</v>
      </c>
      <c r="Q11" s="26" t="n">
        <v>571.424</v>
      </c>
      <c r="R11" s="26" t="n">
        <v>571.424</v>
      </c>
      <c r="S11" s="26" t="n">
        <v>559.001</v>
      </c>
      <c r="T11" s="26" t="n">
        <v>565.212</v>
      </c>
      <c r="U11" s="26" t="n">
        <v>571.424</v>
      </c>
      <c r="V11" s="26" t="n">
        <v>571.424</v>
      </c>
      <c r="W11" s="26" t="n">
        <v>554.796</v>
      </c>
      <c r="X11" s="26" t="n">
        <v>508.176</v>
      </c>
      <c r="Y11" s="26" t="n">
        <v>456.705</v>
      </c>
      <c r="Z11" s="26" t="n">
        <v>389.139</v>
      </c>
      <c r="AA11" s="26" t="n">
        <v>85.758</v>
      </c>
      <c r="AB11" s="26" t="n">
        <v>86.711</v>
      </c>
      <c r="AC11" s="26" t="n">
        <v>87.664</v>
      </c>
      <c r="AW11" s="26" t="n">
        <v>1013.076</v>
      </c>
      <c r="AX11" s="26" t="n">
        <v>2091.466</v>
      </c>
      <c r="AY11" s="26" t="n">
        <v>2267.061</v>
      </c>
      <c r="AZ11" s="26" t="n">
        <v>1908.816</v>
      </c>
      <c r="BA11" s="26" t="n">
        <v>260.133</v>
      </c>
    </row>
    <row r="12">
      <c r="A12" s="12" t="inlineStr">
        <is>
          <t>type:PC</t>
        </is>
      </c>
      <c r="D12" t="inlineStr">
        <is>
          <t>선종 PC</t>
        </is>
      </c>
      <c r="N12" s="26" t="n">
        <v>2.446</v>
      </c>
      <c r="O12" s="26" t="n">
        <v>24.463</v>
      </c>
      <c r="P12" s="26" t="n">
        <v>56.447</v>
      </c>
      <c r="Q12" s="26" t="n">
        <v>83.27500000000001</v>
      </c>
      <c r="R12" s="26" t="n">
        <v>85.404</v>
      </c>
      <c r="S12" s="26" t="n">
        <v>83.548</v>
      </c>
      <c r="T12" s="26" t="n">
        <v>84.476</v>
      </c>
      <c r="U12" s="26" t="n">
        <v>85.404</v>
      </c>
      <c r="V12" s="26" t="n">
        <v>85.404</v>
      </c>
      <c r="W12" s="26" t="n">
        <v>84.476</v>
      </c>
      <c r="X12" s="26" t="n">
        <v>84.476</v>
      </c>
      <c r="Y12" s="26" t="n">
        <v>68.824</v>
      </c>
      <c r="Z12" s="26" t="n">
        <v>60.398</v>
      </c>
      <c r="AA12" s="26" t="n">
        <v>59.085</v>
      </c>
      <c r="AB12" s="26" t="n">
        <v>49.17</v>
      </c>
      <c r="AW12" s="26" t="n">
        <v>2.446</v>
      </c>
      <c r="AX12" s="26" t="n">
        <v>249.589</v>
      </c>
      <c r="AY12" s="26" t="n">
        <v>338.832</v>
      </c>
      <c r="AZ12" s="26" t="n">
        <v>298.174</v>
      </c>
      <c r="BA12" s="26" t="n">
        <v>108.255</v>
      </c>
    </row>
    <row r="13">
      <c r="A13" s="12" t="inlineStr">
        <is>
          <t>type:LNGC</t>
        </is>
      </c>
      <c r="D13" t="inlineStr">
        <is>
          <t>선종 LNGC</t>
        </is>
      </c>
      <c r="O13" s="26" t="n">
        <v>104.681</v>
      </c>
      <c r="P13" s="26" t="n">
        <v>194.19</v>
      </c>
      <c r="Q13" s="26" t="n">
        <v>269.375</v>
      </c>
      <c r="R13" s="26" t="n">
        <v>269.375</v>
      </c>
      <c r="S13" s="26" t="n">
        <v>263.519</v>
      </c>
      <c r="T13" s="26" t="n">
        <v>266.447</v>
      </c>
      <c r="U13" s="26" t="n">
        <v>269.375</v>
      </c>
      <c r="V13" s="26" t="n">
        <v>269.375</v>
      </c>
      <c r="W13" s="26" t="n">
        <v>266.447</v>
      </c>
      <c r="X13" s="26" t="n">
        <v>266.447</v>
      </c>
      <c r="Y13" s="26" t="n">
        <v>269.11</v>
      </c>
      <c r="Z13" s="26" t="n">
        <v>245.029</v>
      </c>
      <c r="AA13" s="26" t="n">
        <v>219.488</v>
      </c>
      <c r="AB13" s="26" t="n">
        <v>86.23699999999999</v>
      </c>
      <c r="AC13" s="26" t="n">
        <v>68.218</v>
      </c>
      <c r="AD13" s="26" t="n">
        <v>45.232</v>
      </c>
      <c r="AX13" s="26" t="n">
        <v>837.621</v>
      </c>
      <c r="AY13" s="26" t="n">
        <v>1068.716</v>
      </c>
      <c r="AZ13" s="26" t="n">
        <v>1047.033</v>
      </c>
      <c r="BA13" s="26" t="n">
        <v>419.175</v>
      </c>
    </row>
    <row r="14">
      <c r="A14" s="12" t="inlineStr">
        <is>
          <t>type:OTHER</t>
        </is>
      </c>
      <c r="D14" t="inlineStr">
        <is>
          <t>선종 OTHER</t>
        </is>
      </c>
      <c r="P14" s="26" t="n">
        <v>18.023</v>
      </c>
      <c r="Q14" s="26" t="n">
        <v>48.843</v>
      </c>
      <c r="R14" s="26" t="n">
        <v>65.98999999999999</v>
      </c>
      <c r="S14" s="26" t="n">
        <v>64.55500000000001</v>
      </c>
      <c r="T14" s="26" t="n">
        <v>65.273</v>
      </c>
      <c r="U14" s="26" t="n">
        <v>65.98999999999999</v>
      </c>
      <c r="V14" s="26" t="n">
        <v>65.98999999999999</v>
      </c>
      <c r="W14" s="26" t="n">
        <v>65.273</v>
      </c>
      <c r="X14" s="26" t="n">
        <v>65.273</v>
      </c>
      <c r="Y14" s="26" t="n">
        <v>65.98999999999999</v>
      </c>
      <c r="Z14" s="26" t="n">
        <v>65.98999999999999</v>
      </c>
      <c r="AA14" s="26" t="n">
        <v>64.55500000000001</v>
      </c>
      <c r="AB14" s="26" t="n">
        <v>65.273</v>
      </c>
      <c r="AC14" s="26" t="n">
        <v>65.98999999999999</v>
      </c>
      <c r="AD14" s="26" t="n">
        <v>65.98999999999999</v>
      </c>
      <c r="AE14" s="26" t="n">
        <v>64.55500000000001</v>
      </c>
      <c r="AF14" s="26" t="n">
        <v>65.273</v>
      </c>
      <c r="AG14" s="26" t="n">
        <v>37.257</v>
      </c>
      <c r="AH14" s="26" t="n">
        <v>5.331</v>
      </c>
      <c r="AX14" s="26" t="n">
        <v>132.856</v>
      </c>
      <c r="AY14" s="26" t="n">
        <v>261.808</v>
      </c>
      <c r="AZ14" s="26" t="n">
        <v>262.526</v>
      </c>
      <c r="BA14" s="26" t="n">
        <v>261.808</v>
      </c>
      <c r="BB14" s="26" t="n">
        <v>172.416</v>
      </c>
    </row>
    <row r="15">
      <c r="A15" s="12" t="inlineStr">
        <is>
          <t>type:PCTC</t>
        </is>
      </c>
      <c r="D15" t="inlineStr">
        <is>
          <t>선종 PCTC</t>
        </is>
      </c>
      <c r="P15" s="26" t="n">
        <v>21.262</v>
      </c>
      <c r="Q15" s="26" t="n">
        <v>27.434</v>
      </c>
      <c r="R15" s="26" t="n">
        <v>44.085</v>
      </c>
      <c r="S15" s="26" t="n">
        <v>43.127</v>
      </c>
      <c r="T15" s="26" t="n">
        <v>43.606</v>
      </c>
      <c r="U15" s="26" t="n">
        <v>44.085</v>
      </c>
      <c r="V15" s="26" t="n">
        <v>44.085</v>
      </c>
      <c r="W15" s="26" t="n">
        <v>43.606</v>
      </c>
      <c r="X15" s="26" t="n">
        <v>43.606</v>
      </c>
      <c r="Y15" s="26" t="n">
        <v>44.085</v>
      </c>
      <c r="Z15" s="26" t="n">
        <v>35.525</v>
      </c>
      <c r="AA15" s="26" t="n">
        <v>18.275</v>
      </c>
      <c r="AB15" s="26" t="n">
        <v>18.478</v>
      </c>
      <c r="AC15" s="26" t="n">
        <v>18.681</v>
      </c>
      <c r="AD15" s="26" t="n">
        <v>12.387</v>
      </c>
      <c r="AX15" s="26" t="n">
        <v>92.78100000000001</v>
      </c>
      <c r="AY15" s="26" t="n">
        <v>174.903</v>
      </c>
      <c r="AZ15" s="26" t="n">
        <v>166.822</v>
      </c>
      <c r="BA15" s="26" t="n">
        <v>67.821</v>
      </c>
    </row>
    <row r="16">
      <c r="A16" s="12" t="inlineStr">
        <is>
          <t>cohort:⑤초호황</t>
        </is>
      </c>
      <c r="D16" t="inlineStr">
        <is>
          <t>코호트 ⑤초호황</t>
        </is>
      </c>
      <c r="E16" s="26" t="n">
        <v>95.94199999999999</v>
      </c>
      <c r="F16" s="26" t="n">
        <v>95.94199999999999</v>
      </c>
      <c r="G16" s="26" t="n">
        <v>108.778</v>
      </c>
      <c r="H16" s="26" t="n">
        <v>126.244</v>
      </c>
      <c r="I16" s="26" t="n">
        <v>130.695</v>
      </c>
      <c r="J16" s="26" t="n">
        <v>153.139</v>
      </c>
      <c r="K16" s="26" t="n">
        <v>291.185</v>
      </c>
      <c r="L16" s="26" t="n">
        <v>380.959</v>
      </c>
      <c r="M16" s="26" t="n">
        <v>536.102</v>
      </c>
      <c r="N16" s="26" t="n">
        <v>633.187</v>
      </c>
      <c r="O16" s="26" t="n">
        <v>877.417</v>
      </c>
      <c r="P16" s="26" t="n">
        <v>1259.25</v>
      </c>
      <c r="Q16" s="26" t="n">
        <v>1501.439</v>
      </c>
      <c r="R16" s="26" t="n">
        <v>1534.265</v>
      </c>
      <c r="S16" s="26" t="n">
        <v>1500.912</v>
      </c>
      <c r="T16" s="26" t="n">
        <v>1487.346</v>
      </c>
      <c r="U16" s="26" t="n">
        <v>1423.821</v>
      </c>
      <c r="V16" s="26" t="n">
        <v>1369.367</v>
      </c>
      <c r="W16" s="26" t="n">
        <v>1305.128</v>
      </c>
      <c r="X16" s="26" t="n">
        <v>1258.508</v>
      </c>
      <c r="Y16" s="26" t="n">
        <v>1165.131</v>
      </c>
      <c r="Z16" s="26" t="n">
        <v>1038.699</v>
      </c>
      <c r="AA16" s="26" t="n">
        <v>659.073</v>
      </c>
      <c r="AB16" s="26" t="n">
        <v>500.212</v>
      </c>
      <c r="AC16" s="26" t="n">
        <v>395.535</v>
      </c>
      <c r="AD16" s="26" t="n">
        <v>224.255</v>
      </c>
      <c r="AE16" s="26" t="n">
        <v>99.81699999999999</v>
      </c>
      <c r="AF16" s="26" t="n">
        <v>75.863</v>
      </c>
      <c r="AG16" s="26" t="n">
        <v>18.59</v>
      </c>
      <c r="AH16" s="26" t="n">
        <v>18.59</v>
      </c>
      <c r="AI16" s="26" t="n">
        <v>18.186</v>
      </c>
      <c r="AJ16" s="26" t="n">
        <v>2.627</v>
      </c>
      <c r="AU16" s="26" t="n">
        <v>191.884</v>
      </c>
      <c r="AV16" s="26" t="n">
        <v>518.856</v>
      </c>
      <c r="AW16" s="26" t="n">
        <v>1841.433</v>
      </c>
      <c r="AX16" s="26" t="n">
        <v>5172.371</v>
      </c>
      <c r="AY16" s="26" t="n">
        <v>5781.446</v>
      </c>
      <c r="AZ16" s="26" t="n">
        <v>4767.466</v>
      </c>
      <c r="BA16" s="26" t="n">
        <v>1779.075</v>
      </c>
      <c r="BB16" s="26" t="n">
        <v>212.86</v>
      </c>
      <c r="BC16" s="26" t="n">
        <v>20.813</v>
      </c>
    </row>
    <row r="17">
      <c r="A17" s="12" t="inlineStr">
        <is>
          <t>cohort:등급없음</t>
        </is>
      </c>
      <c r="D17" t="inlineStr">
        <is>
          <t>코호트 등급없음</t>
        </is>
      </c>
      <c r="N17" s="26" t="n">
        <v>6.961</v>
      </c>
      <c r="O17" s="26" t="n">
        <v>9.788</v>
      </c>
      <c r="P17" s="26" t="n">
        <v>27.92</v>
      </c>
      <c r="Q17" s="26" t="n">
        <v>58.849</v>
      </c>
      <c r="R17" s="26" t="n">
        <v>75.996</v>
      </c>
      <c r="S17" s="26" t="n">
        <v>74.34399999999999</v>
      </c>
      <c r="T17" s="26" t="n">
        <v>75.17</v>
      </c>
      <c r="U17" s="26" t="n">
        <v>75.996</v>
      </c>
      <c r="V17" s="26" t="n">
        <v>75.996</v>
      </c>
      <c r="W17" s="26" t="n">
        <v>75.17</v>
      </c>
      <c r="X17" s="26" t="n">
        <v>75.17</v>
      </c>
      <c r="Y17" s="26" t="n">
        <v>75.996</v>
      </c>
      <c r="Z17" s="26" t="n">
        <v>75.996</v>
      </c>
      <c r="AA17" s="26" t="n">
        <v>74.34399999999999</v>
      </c>
      <c r="AB17" s="26" t="n">
        <v>75.17</v>
      </c>
      <c r="AC17" s="26" t="n">
        <v>75.996</v>
      </c>
      <c r="AD17" s="26" t="n">
        <v>75.996</v>
      </c>
      <c r="AE17" s="26" t="n">
        <v>74.34399999999999</v>
      </c>
      <c r="AF17" s="26" t="n">
        <v>75.17</v>
      </c>
      <c r="AG17" s="26" t="n">
        <v>47.263</v>
      </c>
      <c r="AH17" s="26" t="n">
        <v>15.337</v>
      </c>
      <c r="AI17" s="26" t="n">
        <v>9.788</v>
      </c>
      <c r="AJ17" s="26" t="n">
        <v>9.897</v>
      </c>
      <c r="AK17" s="26" t="n">
        <v>10.006</v>
      </c>
      <c r="AL17" s="26" t="n">
        <v>10.006</v>
      </c>
      <c r="AM17" s="26" t="n">
        <v>9.897</v>
      </c>
      <c r="AN17" s="26" t="n">
        <v>9.897</v>
      </c>
      <c r="AO17" s="26" t="n">
        <v>10.006</v>
      </c>
      <c r="AP17" s="26" t="n">
        <v>10.006</v>
      </c>
      <c r="AQ17" s="26" t="n">
        <v>9.788</v>
      </c>
      <c r="AR17" s="26" t="n">
        <v>9.897</v>
      </c>
      <c r="AS17" s="26" t="n">
        <v>10.006</v>
      </c>
      <c r="AT17" s="26" t="n">
        <v>8.81</v>
      </c>
      <c r="AW17" s="26" t="n">
        <v>6.961</v>
      </c>
      <c r="AX17" s="26" t="n">
        <v>172.553</v>
      </c>
      <c r="AY17" s="26" t="n">
        <v>301.506</v>
      </c>
      <c r="AZ17" s="26" t="n">
        <v>302.332</v>
      </c>
      <c r="BA17" s="26" t="n">
        <v>301.506</v>
      </c>
      <c r="BB17" s="26" t="n">
        <v>212.114</v>
      </c>
      <c r="BC17" s="26" t="n">
        <v>39.697</v>
      </c>
      <c r="BD17" s="26" t="n">
        <v>39.806</v>
      </c>
      <c r="BE17" s="26" t="n">
        <v>38.501</v>
      </c>
    </row>
    <row r="18">
      <c r="A18" s="12" t="inlineStr">
        <is>
          <t>hedge_ratio</t>
        </is>
      </c>
      <c r="D18" t="inlineStr">
        <is>
          <t>헤지비율</t>
        </is>
      </c>
      <c r="E18" s="21" t="n">
        <v>0.7</v>
      </c>
      <c r="F18" s="21" t="n">
        <v>0.7</v>
      </c>
      <c r="G18" s="21" t="n">
        <v>0.7</v>
      </c>
      <c r="H18" s="21" t="n">
        <v>0.7</v>
      </c>
      <c r="I18" s="21" t="n">
        <v>0.7</v>
      </c>
      <c r="J18" s="21" t="n">
        <v>0.7</v>
      </c>
      <c r="K18" s="21" t="n">
        <v>0.7</v>
      </c>
      <c r="L18" s="21" t="n">
        <v>0.7</v>
      </c>
      <c r="M18" s="21" t="n">
        <v>0.7</v>
      </c>
      <c r="N18" s="21" t="n">
        <v>0.7</v>
      </c>
      <c r="O18" s="21" t="n">
        <v>0.7</v>
      </c>
      <c r="P18" s="21" t="n">
        <v>0.7</v>
      </c>
      <c r="Q18" s="21" t="n">
        <v>0.7</v>
      </c>
      <c r="R18" s="21" t="n">
        <v>0.7</v>
      </c>
      <c r="S18" s="21" t="n">
        <v>0.7</v>
      </c>
      <c r="T18" s="21" t="n">
        <v>0.7</v>
      </c>
      <c r="U18" s="21" t="n">
        <v>0.7</v>
      </c>
      <c r="V18" s="21" t="n">
        <v>0.7</v>
      </c>
      <c r="W18" s="21" t="n">
        <v>0.7</v>
      </c>
      <c r="X18" s="21" t="n">
        <v>0.7</v>
      </c>
      <c r="Y18" s="21" t="n">
        <v>0.7</v>
      </c>
      <c r="Z18" s="21" t="n">
        <v>0.7</v>
      </c>
      <c r="AA18" s="21" t="n">
        <v>0.7</v>
      </c>
      <c r="AB18" s="21" t="n">
        <v>0.7</v>
      </c>
      <c r="AC18" s="21" t="n">
        <v>0.7</v>
      </c>
      <c r="AD18" s="21" t="n">
        <v>0.7</v>
      </c>
      <c r="AE18" s="21" t="n">
        <v>0.7</v>
      </c>
      <c r="AF18" s="21" t="n">
        <v>0.7</v>
      </c>
      <c r="AG18" s="21" t="n">
        <v>0.7</v>
      </c>
      <c r="AH18" s="21" t="n">
        <v>0.7</v>
      </c>
      <c r="AI18" s="21" t="n">
        <v>0.7</v>
      </c>
      <c r="AJ18" s="21" t="n">
        <v>0.7</v>
      </c>
      <c r="AK18" s="21" t="n">
        <v>0.7</v>
      </c>
      <c r="AL18" s="21" t="n">
        <v>0.7</v>
      </c>
      <c r="AM18" s="21" t="n">
        <v>0.7</v>
      </c>
      <c r="AN18" s="21" t="n">
        <v>0.7</v>
      </c>
      <c r="AO18" s="21" t="n">
        <v>0.7</v>
      </c>
      <c r="AP18" s="21" t="n">
        <v>0.7</v>
      </c>
      <c r="AQ18" s="21" t="n">
        <v>0.7</v>
      </c>
      <c r="AR18" s="21" t="n">
        <v>0.7</v>
      </c>
      <c r="AS18" s="21" t="n">
        <v>0.7</v>
      </c>
      <c r="AT18" s="21" t="n">
        <v>0.7</v>
      </c>
    </row>
    <row r="19">
      <c r="A19" s="12" t="inlineStr">
        <is>
          <t>hedge_rate</t>
        </is>
      </c>
      <c r="D19" t="inlineStr">
        <is>
          <t>헤지환율(가중)</t>
        </is>
      </c>
      <c r="E19" s="13" t="n">
        <v>1315.69</v>
      </c>
      <c r="F19" s="13" t="n">
        <v>1315.69</v>
      </c>
      <c r="G19" s="13" t="n">
        <v>1317.53</v>
      </c>
      <c r="H19" s="13" t="n">
        <v>1325.79</v>
      </c>
      <c r="I19" s="13" t="n">
        <v>1327.15</v>
      </c>
      <c r="J19" s="13" t="n">
        <v>1337.29</v>
      </c>
      <c r="K19" s="13" t="n">
        <v>1390.93</v>
      </c>
      <c r="L19" s="13" t="n">
        <v>1399.85</v>
      </c>
      <c r="M19" s="13" t="n">
        <v>1398.73</v>
      </c>
      <c r="N19" s="13" t="n">
        <v>1404.67</v>
      </c>
      <c r="O19" s="13" t="n">
        <v>1420.51</v>
      </c>
      <c r="P19" s="13" t="n">
        <v>1441.66</v>
      </c>
      <c r="Q19" s="13" t="n">
        <v>1448.19</v>
      </c>
      <c r="R19" s="13" t="n">
        <v>1447.28</v>
      </c>
      <c r="S19" s="13" t="n">
        <v>1447.28</v>
      </c>
      <c r="T19" s="13" t="n">
        <v>1449.82</v>
      </c>
      <c r="U19" s="13" t="n">
        <v>1456.41</v>
      </c>
      <c r="V19" s="13" t="n">
        <v>1458.77</v>
      </c>
      <c r="W19" s="13" t="n">
        <v>1460.33</v>
      </c>
      <c r="X19" s="13" t="n">
        <v>1462.89</v>
      </c>
      <c r="Y19" s="13" t="n">
        <v>1462.95</v>
      </c>
      <c r="Z19" s="13" t="n">
        <v>1465.63</v>
      </c>
      <c r="AA19" s="13" t="n">
        <v>1474.84</v>
      </c>
      <c r="AB19" s="13" t="n">
        <v>1471.74</v>
      </c>
      <c r="AC19" s="13" t="n">
        <v>1471.47</v>
      </c>
      <c r="AD19" s="13" t="n">
        <v>1459.43</v>
      </c>
      <c r="AE19" s="13" t="n">
        <v>1454.78</v>
      </c>
      <c r="AF19" s="13" t="n">
        <v>1460.76</v>
      </c>
      <c r="AG19" s="13" t="n">
        <v>1442.92</v>
      </c>
      <c r="AH19" s="13" t="n">
        <v>1421.56</v>
      </c>
      <c r="AI19" s="13" t="n">
        <v>1406.62</v>
      </c>
      <c r="AJ19" s="13" t="n">
        <v>1435.45</v>
      </c>
      <c r="AK19" s="13" t="n">
        <v>1449.19</v>
      </c>
      <c r="AL19" s="13" t="n">
        <v>1449.19</v>
      </c>
      <c r="AM19" s="13" t="n">
        <v>1449.19</v>
      </c>
      <c r="AN19" s="13" t="n">
        <v>1449.19</v>
      </c>
      <c r="AO19" s="13" t="n">
        <v>1449.19</v>
      </c>
      <c r="AP19" s="13" t="n">
        <v>1449.19</v>
      </c>
      <c r="AQ19" s="13" t="n">
        <v>1449.19</v>
      </c>
      <c r="AR19" s="13" t="n">
        <v>1449.19</v>
      </c>
      <c r="AS19" s="13" t="n">
        <v>1449.19</v>
      </c>
      <c r="AT19" s="13" t="n">
        <v>1449.19</v>
      </c>
    </row>
    <row r="20">
      <c r="A20" s="12" t="inlineStr">
        <is>
          <t>spot_assumed</t>
        </is>
      </c>
      <c r="D20" t="inlineStr">
        <is>
          <t>건조시점 환율(sls 가정)</t>
        </is>
      </c>
      <c r="E20" s="13" t="n">
        <v>1313.62</v>
      </c>
      <c r="F20" s="13" t="n">
        <v>1322.01</v>
      </c>
      <c r="G20" s="13" t="n">
        <v>1330.14</v>
      </c>
      <c r="H20" s="13" t="n">
        <v>1371.28</v>
      </c>
      <c r="I20" s="13" t="n">
        <v>1356.22</v>
      </c>
      <c r="J20" s="13" t="n">
        <v>1396.3</v>
      </c>
      <c r="K20" s="13" t="n">
        <v>1452.28</v>
      </c>
      <c r="L20" s="13" t="n">
        <v>1398.52</v>
      </c>
      <c r="M20" s="13" t="n">
        <v>1386.95</v>
      </c>
      <c r="N20" s="13" t="n">
        <v>1449.19</v>
      </c>
      <c r="O20" s="13" t="n">
        <v>1466.12</v>
      </c>
      <c r="P20" s="13" t="n">
        <v>1501.75</v>
      </c>
      <c r="Q20" s="13" t="n">
        <v>1418.75</v>
      </c>
      <c r="R20" s="13" t="n">
        <v>1343.39</v>
      </c>
      <c r="S20" s="13" t="n">
        <v>1341.45</v>
      </c>
      <c r="T20" s="13" t="n">
        <v>1341.45</v>
      </c>
      <c r="U20" s="13" t="n">
        <v>1341.45</v>
      </c>
      <c r="V20" s="13" t="n">
        <v>1341.45</v>
      </c>
      <c r="W20" s="13" t="n">
        <v>1341.45</v>
      </c>
      <c r="X20" s="13" t="n">
        <v>1341.45</v>
      </c>
      <c r="Y20" s="13" t="n">
        <v>1341.45</v>
      </c>
      <c r="Z20" s="13" t="n">
        <v>1341.45</v>
      </c>
      <c r="AA20" s="13" t="n">
        <v>1341.45</v>
      </c>
      <c r="AB20" s="13" t="n">
        <v>1341.45</v>
      </c>
      <c r="AC20" s="13" t="n">
        <v>1341.45</v>
      </c>
      <c r="AD20" s="13" t="n">
        <v>1341.45</v>
      </c>
      <c r="AE20" s="13" t="n">
        <v>1341.45</v>
      </c>
      <c r="AF20" s="13" t="n">
        <v>1341.45</v>
      </c>
      <c r="AG20" s="13" t="n">
        <v>1341.45</v>
      </c>
      <c r="AH20" s="13" t="n">
        <v>1341.45</v>
      </c>
      <c r="AI20" s="13" t="n">
        <v>1341.45</v>
      </c>
      <c r="AJ20" s="13" t="n">
        <v>1341.45</v>
      </c>
      <c r="AK20" s="13" t="n">
        <v>1341.45</v>
      </c>
      <c r="AL20" s="13" t="n">
        <v>1341.45</v>
      </c>
      <c r="AM20" s="13" t="n">
        <v>1341.45</v>
      </c>
      <c r="AN20" s="13" t="n">
        <v>1341.45</v>
      </c>
      <c r="AO20" s="13" t="n">
        <v>1341.45</v>
      </c>
      <c r="AP20" s="13" t="n">
        <v>1341.45</v>
      </c>
      <c r="AQ20" s="13" t="n">
        <v>1341.45</v>
      </c>
      <c r="AR20" s="13" t="n">
        <v>1341.45</v>
      </c>
      <c r="AS20" s="13" t="n">
        <v>1341.45</v>
      </c>
      <c r="AT20" s="13" t="n">
        <v>1341.45</v>
      </c>
    </row>
    <row r="21">
      <c r="A21" s="12" t="inlineStr">
        <is>
          <t>applied_rate</t>
        </is>
      </c>
      <c r="D21" t="inlineStr">
        <is>
          <t>적용환율</t>
        </is>
      </c>
      <c r="E21" s="13" t="n">
        <v>1315.07</v>
      </c>
      <c r="F21" s="13" t="n">
        <v>1317.59</v>
      </c>
      <c r="G21" s="13" t="n">
        <v>1321.32</v>
      </c>
      <c r="H21" s="13" t="n">
        <v>1339.44</v>
      </c>
      <c r="I21" s="13" t="n">
        <v>1335.87</v>
      </c>
      <c r="J21" s="13" t="n">
        <v>1354.99</v>
      </c>
      <c r="K21" s="13" t="n">
        <v>1409.33</v>
      </c>
      <c r="L21" s="13" t="n">
        <v>1399.45</v>
      </c>
      <c r="M21" s="13" t="n">
        <v>1395.2</v>
      </c>
      <c r="N21" s="13" t="n">
        <v>1418.02</v>
      </c>
      <c r="O21" s="13" t="n">
        <v>1434.19</v>
      </c>
      <c r="P21" s="13" t="n">
        <v>1459.68</v>
      </c>
      <c r="Q21" s="13" t="n">
        <v>1439.36</v>
      </c>
      <c r="R21" s="13" t="n">
        <v>1416.11</v>
      </c>
      <c r="S21" s="13" t="n">
        <v>1415.53</v>
      </c>
      <c r="T21" s="13" t="n">
        <v>1417.31</v>
      </c>
      <c r="U21" s="13" t="n">
        <v>1421.92</v>
      </c>
      <c r="V21" s="13" t="n">
        <v>1423.58</v>
      </c>
      <c r="W21" s="13" t="n">
        <v>1424.67</v>
      </c>
      <c r="X21" s="13" t="n">
        <v>1426.46</v>
      </c>
      <c r="Y21" s="13" t="n">
        <v>1426.5</v>
      </c>
      <c r="Z21" s="13" t="n">
        <v>1428.38</v>
      </c>
      <c r="AA21" s="13" t="n">
        <v>1434.82</v>
      </c>
      <c r="AB21" s="13" t="n">
        <v>1432.65</v>
      </c>
      <c r="AC21" s="13" t="n">
        <v>1432.46</v>
      </c>
      <c r="AD21" s="13" t="n">
        <v>1424.04</v>
      </c>
      <c r="AE21" s="13" t="n">
        <v>1420.78</v>
      </c>
      <c r="AF21" s="13" t="n">
        <v>1424.97</v>
      </c>
      <c r="AG21" s="13" t="n">
        <v>1412.48</v>
      </c>
      <c r="AH21" s="13" t="n">
        <v>1397.53</v>
      </c>
      <c r="AI21" s="13" t="n">
        <v>1387.07</v>
      </c>
      <c r="AJ21" s="13" t="n">
        <v>1407.25</v>
      </c>
      <c r="AK21" s="13" t="n">
        <v>1416.87</v>
      </c>
      <c r="AL21" s="13" t="n">
        <v>1416.87</v>
      </c>
      <c r="AM21" s="13" t="n">
        <v>1416.87</v>
      </c>
      <c r="AN21" s="13" t="n">
        <v>1416.87</v>
      </c>
      <c r="AO21" s="13" t="n">
        <v>1416.87</v>
      </c>
      <c r="AP21" s="13" t="n">
        <v>1416.87</v>
      </c>
      <c r="AQ21" s="13" t="n">
        <v>1416.87</v>
      </c>
      <c r="AR21" s="13" t="n">
        <v>1416.87</v>
      </c>
      <c r="AS21" s="13" t="n">
        <v>1416.87</v>
      </c>
      <c r="AT21" s="13" t="n">
        <v>1416.87</v>
      </c>
    </row>
    <row r="22">
      <c r="A22" s="12" t="inlineStr">
        <is>
          <t>hedged_krw_m</t>
        </is>
      </c>
      <c r="D22" t="inlineStr">
        <is>
          <t>헤지적용 원화매출(백만원)</t>
        </is>
      </c>
      <c r="E22" s="18" t="n">
        <v>126170.6</v>
      </c>
      <c r="F22" s="18" t="n">
        <v>126412.1</v>
      </c>
      <c r="G22" s="18" t="n">
        <v>143730.6</v>
      </c>
      <c r="H22" s="18" t="n">
        <v>169095.8</v>
      </c>
      <c r="I22" s="18" t="n">
        <v>174592.2</v>
      </c>
      <c r="J22" s="18" t="n">
        <v>207502.3</v>
      </c>
      <c r="K22" s="18" t="n">
        <v>410377.2</v>
      </c>
      <c r="L22" s="18" t="n">
        <v>533132.2</v>
      </c>
      <c r="M22" s="18" t="n">
        <v>747967.7</v>
      </c>
      <c r="N22" s="18" t="n">
        <v>907745.3</v>
      </c>
      <c r="O22" s="18" t="n">
        <v>1272424.3</v>
      </c>
      <c r="P22" s="18" t="n">
        <v>1878862.5</v>
      </c>
      <c r="Q22" s="18" t="n">
        <v>2245812.9</v>
      </c>
      <c r="R22" s="18" t="n">
        <v>2280307.6</v>
      </c>
      <c r="S22" s="18" t="n">
        <v>2229818.9</v>
      </c>
      <c r="T22" s="18" t="n">
        <v>2214571</v>
      </c>
      <c r="U22" s="18" t="n">
        <v>2132618.4</v>
      </c>
      <c r="V22" s="18" t="n">
        <v>2057583.3</v>
      </c>
      <c r="W22" s="18" t="n">
        <v>1966462.1</v>
      </c>
      <c r="X22" s="18" t="n">
        <v>1902439.2</v>
      </c>
      <c r="Y22" s="18" t="n">
        <v>1770464</v>
      </c>
      <c r="Z22" s="18" t="n">
        <v>1592202.1</v>
      </c>
      <c r="AA22" s="18" t="n">
        <v>1052321.8</v>
      </c>
      <c r="AB22" s="18" t="n">
        <v>824321.8</v>
      </c>
      <c r="AC22" s="18" t="n">
        <v>675449.6</v>
      </c>
      <c r="AD22" s="18" t="n">
        <v>427568.1</v>
      </c>
      <c r="AE22" s="18" t="n">
        <v>247444.2</v>
      </c>
      <c r="AF22" s="18" t="n">
        <v>215216.4</v>
      </c>
      <c r="AG22" s="18" t="n">
        <v>93015.89999999999</v>
      </c>
      <c r="AH22" s="18" t="n">
        <v>47413.8</v>
      </c>
      <c r="AI22" s="18" t="n">
        <v>38802.4</v>
      </c>
      <c r="AJ22" s="18" t="n">
        <v>17624.4</v>
      </c>
      <c r="AK22" s="18" t="n">
        <v>14177</v>
      </c>
      <c r="AL22" s="18" t="n">
        <v>14177</v>
      </c>
      <c r="AM22" s="18" t="n">
        <v>14022.9</v>
      </c>
      <c r="AN22" s="18" t="n">
        <v>14022.9</v>
      </c>
      <c r="AO22" s="18" t="n">
        <v>14177</v>
      </c>
      <c r="AP22" s="18" t="n">
        <v>14177</v>
      </c>
      <c r="AQ22" s="18" t="n">
        <v>13868.8</v>
      </c>
      <c r="AR22" s="18" t="n">
        <v>14022.9</v>
      </c>
      <c r="AS22" s="18" t="n">
        <v>14177</v>
      </c>
      <c r="AT22" s="18" t="n">
        <v>12481.9</v>
      </c>
      <c r="AU22" s="18" t="n">
        <v>252582.7</v>
      </c>
      <c r="AV22" s="18" t="n">
        <v>694920.9</v>
      </c>
      <c r="AW22" s="18" t="n">
        <v>2599222.4</v>
      </c>
      <c r="AX22" s="18" t="n">
        <v>7677407.3</v>
      </c>
      <c r="AY22" s="18" t="n">
        <v>8634591.6</v>
      </c>
      <c r="AZ22" s="18" t="n">
        <v>7231567.4</v>
      </c>
      <c r="BA22" s="18" t="n">
        <v>2979661.3</v>
      </c>
      <c r="BB22" s="18" t="n">
        <v>603090.3</v>
      </c>
      <c r="BC22" s="18" t="n">
        <v>84780.8</v>
      </c>
      <c r="BD22" s="18" t="n">
        <v>56399.8</v>
      </c>
      <c r="BE22" s="18" t="n">
        <v>54550.6</v>
      </c>
    </row>
    <row r="23">
      <c r="A23" s="12" t="inlineStr">
        <is>
          <t>marine_hedged_krw_m</t>
        </is>
      </c>
      <c r="D23" t="inlineStr">
        <is>
          <t>해양 원화(백만원)</t>
        </is>
      </c>
      <c r="E23" s="18" t="n">
        <v>126170.6</v>
      </c>
      <c r="F23" s="18" t="n">
        <v>126412.1</v>
      </c>
      <c r="G23" s="18" t="n">
        <v>143730.6</v>
      </c>
      <c r="H23" s="18" t="n">
        <v>169095.8</v>
      </c>
      <c r="I23" s="18" t="n">
        <v>174592.2</v>
      </c>
      <c r="J23" s="18" t="n">
        <v>207502.3</v>
      </c>
      <c r="K23" s="18" t="n">
        <v>410377.2</v>
      </c>
      <c r="L23" s="18" t="n">
        <v>533132.2</v>
      </c>
      <c r="M23" s="18" t="n">
        <v>747967.7</v>
      </c>
      <c r="N23" s="18" t="n">
        <v>907745.3</v>
      </c>
      <c r="O23" s="18" t="n">
        <v>1272424.3</v>
      </c>
      <c r="P23" s="18" t="n">
        <v>1851796.2</v>
      </c>
      <c r="Q23" s="18" t="n">
        <v>2175160.3</v>
      </c>
      <c r="R23" s="18" t="n">
        <v>2186819.5</v>
      </c>
      <c r="S23" s="18" t="n">
        <v>2138400.7</v>
      </c>
      <c r="T23" s="18" t="n">
        <v>2122137</v>
      </c>
      <c r="U23" s="18" t="n">
        <v>2039168.7</v>
      </c>
      <c r="V23" s="18" t="n">
        <v>1964133.6</v>
      </c>
      <c r="W23" s="18" t="n">
        <v>1874028.1</v>
      </c>
      <c r="X23" s="18" t="n">
        <v>1810005.2</v>
      </c>
      <c r="Y23" s="18" t="n">
        <v>1677014.3</v>
      </c>
      <c r="Z23" s="18" t="n">
        <v>1498752.4</v>
      </c>
      <c r="AA23" s="18" t="n">
        <v>960903.6</v>
      </c>
      <c r="AB23" s="18" t="n">
        <v>731887.9</v>
      </c>
      <c r="AC23" s="18" t="n">
        <v>581999.9</v>
      </c>
      <c r="AD23" s="18" t="n">
        <v>334118.4</v>
      </c>
      <c r="AE23" s="18" t="n">
        <v>156026</v>
      </c>
      <c r="AF23" s="18" t="n">
        <v>122782.4</v>
      </c>
      <c r="AG23" s="18" t="n">
        <v>39664.6</v>
      </c>
      <c r="AH23" s="18" t="n">
        <v>39664.6</v>
      </c>
      <c r="AI23" s="18" t="n">
        <v>38802.4</v>
      </c>
      <c r="AJ23" s="18" t="n">
        <v>17624.4</v>
      </c>
      <c r="AK23" s="18" t="n">
        <v>14177</v>
      </c>
      <c r="AL23" s="18" t="n">
        <v>14177</v>
      </c>
      <c r="AM23" s="18" t="n">
        <v>14022.9</v>
      </c>
      <c r="AN23" s="18" t="n">
        <v>14022.9</v>
      </c>
      <c r="AO23" s="18" t="n">
        <v>14177</v>
      </c>
      <c r="AP23" s="18" t="n">
        <v>14177</v>
      </c>
      <c r="AQ23" s="18" t="n">
        <v>13868.8</v>
      </c>
      <c r="AR23" s="18" t="n">
        <v>14022.9</v>
      </c>
      <c r="AS23" s="18" t="n">
        <v>14177</v>
      </c>
      <c r="AT23" s="18" t="n">
        <v>12481.9</v>
      </c>
      <c r="AU23" s="18" t="n">
        <v>252582.7</v>
      </c>
      <c r="AV23" s="18" t="n">
        <v>694920.9</v>
      </c>
      <c r="AW23" s="18" t="n">
        <v>2599222.4</v>
      </c>
      <c r="AX23" s="18" t="n">
        <v>7486200.3</v>
      </c>
      <c r="AY23" s="18" t="n">
        <v>8263840</v>
      </c>
      <c r="AZ23" s="18" t="n">
        <v>6859800</v>
      </c>
      <c r="BA23" s="18" t="n">
        <v>2608909.8</v>
      </c>
      <c r="BB23" s="18" t="n">
        <v>358137.6</v>
      </c>
      <c r="BC23" s="18" t="n">
        <v>84780.8</v>
      </c>
      <c r="BD23" s="18" t="n">
        <v>56399.8</v>
      </c>
      <c r="BE23" s="18" t="n">
        <v>54550.6</v>
      </c>
    </row>
    <row r="24">
      <c r="A24" s="12" t="inlineStr">
        <is>
          <t>marine_hedged_krw_m_signed_by_origin</t>
        </is>
      </c>
      <c r="D24" t="inlineStr">
        <is>
          <t>해양 원화 — origin 분기말까지 체결분(백만원)</t>
        </is>
      </c>
      <c r="E24" s="18" t="n">
        <v>126170.6</v>
      </c>
      <c r="F24" s="18" t="n">
        <v>126412.1</v>
      </c>
      <c r="G24" s="18" t="n">
        <v>143730.6</v>
      </c>
      <c r="H24" s="18" t="n">
        <v>169095.8</v>
      </c>
      <c r="I24" s="18" t="n">
        <v>174592.2</v>
      </c>
      <c r="J24" s="18" t="n">
        <v>207502.3</v>
      </c>
      <c r="K24" s="18" t="n">
        <v>410377.2</v>
      </c>
      <c r="L24" s="18" t="n">
        <v>533132.2</v>
      </c>
      <c r="M24" s="18" t="n">
        <v>747967.7</v>
      </c>
      <c r="N24" s="18" t="n">
        <v>907745.3</v>
      </c>
      <c r="O24" s="18" t="n">
        <v>1272424.3</v>
      </c>
      <c r="P24" s="18" t="n">
        <v>1851796.2</v>
      </c>
      <c r="Q24" s="18" t="n">
        <v>2119581.4</v>
      </c>
      <c r="R24" s="18" t="n">
        <v>2086296.3</v>
      </c>
      <c r="S24" s="18" t="n">
        <v>2040103.8</v>
      </c>
      <c r="T24" s="18" t="n">
        <v>2022747.9</v>
      </c>
      <c r="U24" s="18" t="n">
        <v>1938687.4</v>
      </c>
      <c r="V24" s="18" t="n">
        <v>1863652.3</v>
      </c>
      <c r="W24" s="18" t="n">
        <v>1774639</v>
      </c>
      <c r="X24" s="18" t="n">
        <v>1710616.2</v>
      </c>
      <c r="Y24" s="18" t="n">
        <v>1576533</v>
      </c>
      <c r="Z24" s="18" t="n">
        <v>1398271.2</v>
      </c>
      <c r="AA24" s="18" t="n">
        <v>862606.7</v>
      </c>
      <c r="AB24" s="18" t="n">
        <v>632498.8</v>
      </c>
      <c r="AC24" s="18" t="n">
        <v>520567.4</v>
      </c>
      <c r="AD24" s="18" t="n">
        <v>281470.7</v>
      </c>
      <c r="AE24" s="18" t="n">
        <v>121433.2</v>
      </c>
      <c r="AF24" s="18" t="n">
        <v>122782.4</v>
      </c>
      <c r="AG24" s="18" t="n">
        <v>39664.6</v>
      </c>
      <c r="AH24" s="18" t="n">
        <v>39664.6</v>
      </c>
      <c r="AI24" s="18" t="n">
        <v>38802.4</v>
      </c>
      <c r="AJ24" s="18" t="n">
        <v>17624.4</v>
      </c>
      <c r="AK24" s="18" t="n">
        <v>14177</v>
      </c>
      <c r="AL24" s="18" t="n">
        <v>14177</v>
      </c>
      <c r="AM24" s="18" t="n">
        <v>14022.9</v>
      </c>
      <c r="AN24" s="18" t="n">
        <v>14022.9</v>
      </c>
      <c r="AO24" s="18" t="n">
        <v>14177</v>
      </c>
      <c r="AP24" s="18" t="n">
        <v>14177</v>
      </c>
      <c r="AQ24" s="18" t="n">
        <v>13868.8</v>
      </c>
      <c r="AR24" s="18" t="n">
        <v>14022.9</v>
      </c>
      <c r="AS24" s="18" t="n">
        <v>14177</v>
      </c>
      <c r="AT24" s="18" t="n">
        <v>12481.9</v>
      </c>
    </row>
    <row r="25">
      <c r="A25" s="12" t="inlineStr">
        <is>
          <t>marine_hedged_krw_m_post_origin</t>
        </is>
      </c>
      <c r="D25" t="inlineStr">
        <is>
          <t>해양 원화 — origin 이후 체결분(백만원)</t>
        </is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55578.9</v>
      </c>
      <c r="R25" s="18" t="n">
        <v>100523.2</v>
      </c>
      <c r="S25" s="18" t="n">
        <v>98296.89999999999</v>
      </c>
      <c r="T25" s="18" t="n">
        <v>99389.10000000001</v>
      </c>
      <c r="U25" s="18" t="n">
        <v>100481.3</v>
      </c>
      <c r="V25" s="18" t="n">
        <v>100481.3</v>
      </c>
      <c r="W25" s="18" t="n">
        <v>99389.10000000001</v>
      </c>
      <c r="X25" s="18" t="n">
        <v>99389.10000000001</v>
      </c>
      <c r="Y25" s="18" t="n">
        <v>100481.3</v>
      </c>
      <c r="Z25" s="18" t="n">
        <v>100481.3</v>
      </c>
      <c r="AA25" s="18" t="n">
        <v>98296.89999999999</v>
      </c>
      <c r="AB25" s="18" t="n">
        <v>99389.10000000001</v>
      </c>
      <c r="AC25" s="18" t="n">
        <v>61432.5</v>
      </c>
      <c r="AD25" s="18" t="n">
        <v>52647.7</v>
      </c>
      <c r="AE25" s="18" t="n">
        <v>34592.8</v>
      </c>
      <c r="AF25" s="18" t="n">
        <v>0</v>
      </c>
      <c r="AG25" s="18" t="n">
        <v>0</v>
      </c>
      <c r="AH25" s="18" t="n">
        <v>0</v>
      </c>
      <c r="AI25" s="18" t="n">
        <v>0</v>
      </c>
      <c r="AJ25" s="18" t="n">
        <v>0</v>
      </c>
      <c r="AK25" s="18" t="n">
        <v>0</v>
      </c>
      <c r="AL25" s="18" t="n">
        <v>0</v>
      </c>
      <c r="AM25" s="18" t="n">
        <v>0</v>
      </c>
      <c r="AN25" s="18" t="n">
        <v>0</v>
      </c>
      <c r="AO25" s="18" t="n">
        <v>0</v>
      </c>
      <c r="AP25" s="18" t="n">
        <v>0</v>
      </c>
      <c r="AQ25" s="18" t="n">
        <v>0</v>
      </c>
      <c r="AR25" s="18" t="n">
        <v>0</v>
      </c>
      <c r="AS25" s="18" t="n">
        <v>0</v>
      </c>
      <c r="AT25" s="18" t="n">
        <v>0</v>
      </c>
    </row>
    <row r="26">
      <c r="A26" s="12" t="inlineStr">
        <is>
          <t>target_opm</t>
        </is>
      </c>
      <c r="D26" t="inlineStr">
        <is>
          <t>타겟 OPM(코호트)</t>
        </is>
      </c>
      <c r="E26" s="21" t="n">
        <v>0.108</v>
      </c>
      <c r="F26" s="21" t="n">
        <v>0.108</v>
      </c>
      <c r="G26" s="21" t="n">
        <v>0.108</v>
      </c>
      <c r="H26" s="21" t="n">
        <v>0.108</v>
      </c>
      <c r="I26" s="21" t="n">
        <v>0.108</v>
      </c>
      <c r="J26" s="21" t="n">
        <v>0.108</v>
      </c>
      <c r="K26" s="21" t="n">
        <v>0.108</v>
      </c>
      <c r="L26" s="21" t="n">
        <v>0.108</v>
      </c>
      <c r="M26" s="21" t="n">
        <v>0.108</v>
      </c>
      <c r="N26" s="21" t="n">
        <v>0.108</v>
      </c>
      <c r="O26" s="21" t="n">
        <v>0.108</v>
      </c>
      <c r="P26" s="21" t="n">
        <v>0.108</v>
      </c>
      <c r="Q26" s="21" t="n">
        <v>0.108</v>
      </c>
      <c r="R26" s="21" t="n">
        <v>0.108</v>
      </c>
      <c r="S26" s="21" t="n">
        <v>0.108</v>
      </c>
      <c r="T26" s="21" t="n">
        <v>0.108</v>
      </c>
      <c r="U26" s="21" t="n">
        <v>0.108</v>
      </c>
      <c r="V26" s="21" t="n">
        <v>0.108</v>
      </c>
      <c r="W26" s="21" t="n">
        <v>0.108</v>
      </c>
      <c r="X26" s="21" t="n">
        <v>0.108</v>
      </c>
      <c r="Y26" s="21" t="n">
        <v>0.108</v>
      </c>
      <c r="Z26" s="21" t="n">
        <v>0.108</v>
      </c>
      <c r="AA26" s="21" t="n">
        <v>0.108</v>
      </c>
      <c r="AB26" s="21" t="n">
        <v>0.108</v>
      </c>
      <c r="AC26" s="21" t="n">
        <v>0.108</v>
      </c>
      <c r="AD26" s="21" t="n">
        <v>0.108</v>
      </c>
      <c r="AE26" s="21" t="n">
        <v>0.108</v>
      </c>
      <c r="AF26" s="21" t="n">
        <v>0.108</v>
      </c>
      <c r="AG26" s="21" t="n">
        <v>0.108</v>
      </c>
      <c r="AH26" s="21" t="n">
        <v>0.108</v>
      </c>
      <c r="AI26" s="21" t="n">
        <v>0.108</v>
      </c>
      <c r="AJ26" s="21" t="n">
        <v>0.108</v>
      </c>
    </row>
    <row r="28">
      <c r="A28" s="1" t="inlineStr">
        <is>
          <t>선표 연결(수식) — 원화(백만원) = 스케줄(백만$) × 포함 × (1 + (캡배율 − 1) × origin 이후) × (헤지비율 × 헤지환율 + (1 − 헤지비율) × 건조시점 환율)</t>
        </is>
      </c>
      <c r="J28" s="2" t="inlineStr">
        <is>
          <t>subQ 매출조선 = 합계/100 + 변수 잔고 소진 + 매출조선신규</t>
        </is>
      </c>
    </row>
    <row r="29">
      <c r="A29" s="12" t="inlineStr">
        <is>
          <t>헤지비율</t>
        </is>
      </c>
      <c r="D29" s="21">
        <f>변수!$D$61</f>
        <v/>
      </c>
      <c r="E29" s="2" t="inlineStr">
        <is>
          <t>변수 3절 '헤지비율' 참조 — 약정환율 미공시 → HEDGE 70% 가정(레퍼런스 SLS 시트 HEDGE 행은 미포 65%·삼성重 100% — 그 사이에 둔 설정값). hedge_rate 는 계약별 수주시점 환율로 대체</t>
        </is>
      </c>
    </row>
    <row r="30">
      <c r="A30" s="12" t="inlineStr">
        <is>
          <t>헤지환율 방식</t>
        </is>
      </c>
      <c r="D30" t="inlineStr">
        <is>
          <t>계약별 수주시점 환율(fx_at_sign)</t>
        </is>
      </c>
    </row>
    <row r="31">
      <c r="A31" s="12" t="inlineStr">
        <is>
          <t>spot_krw</t>
        </is>
      </c>
      <c r="D31" t="inlineStr">
        <is>
          <t>건조시점 원/달러(평균) — 변수 환율 행 참조, 변수 범위 밖 분기는 sls spot_assumed</t>
        </is>
      </c>
      <c r="E31" s="13">
        <f>IFERROR(VLOOKUP(" 원/달러(평균)",환율,MATCH(E$1,변수H,0),0),1313.62)</f>
        <v/>
      </c>
      <c r="F31" s="13">
        <f>IFERROR(VLOOKUP(" 원/달러(평균)",환율,MATCH(F$1,변수H,0),0),1322.01)</f>
        <v/>
      </c>
      <c r="G31" s="13">
        <f>IFERROR(VLOOKUP(" 원/달러(평균)",환율,MATCH(G$1,변수H,0),0),1330.14)</f>
        <v/>
      </c>
      <c r="H31" s="13">
        <f>IFERROR(VLOOKUP(" 원/달러(평균)",환율,MATCH(H$1,변수H,0),0),1371.28)</f>
        <v/>
      </c>
      <c r="I31" s="13">
        <f>IFERROR(VLOOKUP(" 원/달러(평균)",환율,MATCH(I$1,변수H,0),0),1356.22)</f>
        <v/>
      </c>
      <c r="J31" s="13">
        <f>IFERROR(VLOOKUP(" 원/달러(평균)",환율,MATCH(J$1,변수H,0),0),1396.3)</f>
        <v/>
      </c>
      <c r="K31" s="13">
        <f>IFERROR(VLOOKUP(" 원/달러(평균)",환율,MATCH(K$1,변수H,0),0),1452.28)</f>
        <v/>
      </c>
      <c r="L31" s="13">
        <f>IFERROR(VLOOKUP(" 원/달러(평균)",환율,MATCH(L$1,변수H,0),0),1398.52)</f>
        <v/>
      </c>
      <c r="M31" s="13">
        <f>IFERROR(VLOOKUP(" 원/달러(평균)",환율,MATCH(M$1,변수H,0),0),1386.95)</f>
        <v/>
      </c>
      <c r="N31" s="13">
        <f>IFERROR(VLOOKUP(" 원/달러(평균)",환율,MATCH(N$1,변수H,0),0),1449.19)</f>
        <v/>
      </c>
      <c r="O31" s="13">
        <f>IFERROR(VLOOKUP(" 원/달러(평균)",환율,MATCH(O$1,변수H,0),0),1466.12)</f>
        <v/>
      </c>
      <c r="P31" s="13">
        <f>IFERROR(VLOOKUP(" 원/달러(평균)",환율,MATCH(P$1,변수H,0),0),1501.75)</f>
        <v/>
      </c>
      <c r="Q31" s="13">
        <f>IFERROR(VLOOKUP(" 원/달러(평균)",환율,MATCH(Q$1,변수H,0),0),1418.75)</f>
        <v/>
      </c>
      <c r="R31" s="13">
        <f>IFERROR(VLOOKUP(" 원/달러(평균)",환율,MATCH(R$1,변수H,0),0),1343.39)</f>
        <v/>
      </c>
      <c r="S31" s="13">
        <f>IFERROR(VLOOKUP(" 원/달러(평균)",환율,MATCH(S$1,변수H,0),0),1341.45)</f>
        <v/>
      </c>
      <c r="T31" s="13">
        <f>IFERROR(VLOOKUP(" 원/달러(평균)",환율,MATCH(T$1,변수H,0),0),1341.45)</f>
        <v/>
      </c>
      <c r="U31" s="13">
        <f>IFERROR(VLOOKUP(" 원/달러(평균)",환율,MATCH(U$1,변수H,0),0),1341.45)</f>
        <v/>
      </c>
      <c r="V31" s="13">
        <f>IFERROR(VLOOKUP(" 원/달러(평균)",환율,MATCH(V$1,변수H,0),0),1341.45)</f>
        <v/>
      </c>
      <c r="W31" s="13">
        <f>IFERROR(VLOOKUP(" 원/달러(평균)",환율,MATCH(W$1,변수H,0),0),1341.45)</f>
        <v/>
      </c>
      <c r="X31" s="13">
        <f>IFERROR(VLOOKUP(" 원/달러(평균)",환율,MATCH(X$1,변수H,0),0),1341.45)</f>
        <v/>
      </c>
      <c r="Y31" s="13">
        <f>IFERROR(VLOOKUP(" 원/달러(평균)",환율,MATCH(Y$1,변수H,0),0),1341.45)</f>
        <v/>
      </c>
      <c r="Z31" s="13">
        <f>IFERROR(VLOOKUP(" 원/달러(평균)",환율,MATCH(Z$1,변수H,0),0),1341.45)</f>
        <v/>
      </c>
      <c r="AA31" s="13">
        <f>IFERROR(VLOOKUP(" 원/달러(평균)",환율,MATCH(AA$1,변수H,0),0),1341.45)</f>
        <v/>
      </c>
      <c r="AB31" s="13">
        <f>IFERROR(VLOOKUP(" 원/달러(평균)",환율,MATCH(AB$1,변수H,0),0),1341.45)</f>
        <v/>
      </c>
      <c r="AC31" s="13">
        <f>IFERROR(VLOOKUP(" 원/달러(평균)",환율,MATCH(AC$1,변수H,0),0),1341.45)</f>
        <v/>
      </c>
      <c r="AD31" s="13">
        <f>IFERROR(VLOOKUP(" 원/달러(평균)",환율,MATCH(AD$1,변수H,0),0),1341.45)</f>
        <v/>
      </c>
      <c r="AE31" s="13">
        <f>IFERROR(VLOOKUP(" 원/달러(평균)",환율,MATCH(AE$1,변수H,0),0),1341.45)</f>
        <v/>
      </c>
      <c r="AF31" s="13">
        <f>IFERROR(VLOOKUP(" 원/달러(평균)",환율,MATCH(AF$1,변수H,0),0),1341.45)</f>
        <v/>
      </c>
      <c r="AG31" s="13">
        <f>IFERROR(VLOOKUP(" 원/달러(평균)",환율,MATCH(AG$1,변수H,0),0),1341.45)</f>
        <v/>
      </c>
      <c r="AH31" s="13">
        <f>IFERROR(VLOOKUP(" 원/달러(평균)",환율,MATCH(AH$1,변수H,0),0),1341.45)</f>
        <v/>
      </c>
      <c r="AI31" s="13">
        <f>IFERROR(VLOOKUP(" 원/달러(평균)",환율,MATCH(AI$1,변수H,0),0),1341.45)</f>
        <v/>
      </c>
      <c r="AJ31" s="13">
        <f>IFERROR(VLOOKUP(" 원/달러(평균)",환율,MATCH(AJ$1,변수H,0),0),1341.45)</f>
        <v/>
      </c>
      <c r="AK31" s="13">
        <f>IFERROR(VLOOKUP(" 원/달러(평균)",환율,MATCH(AK$1,변수H,0),0),1341.45)</f>
        <v/>
      </c>
      <c r="AL31" s="13">
        <f>IFERROR(VLOOKUP(" 원/달러(평균)",환율,MATCH(AL$1,변수H,0),0),1341.45)</f>
        <v/>
      </c>
      <c r="AM31" s="13">
        <f>IFERROR(VLOOKUP(" 원/달러(평균)",환율,MATCH(AM$1,변수H,0),0),1341.45)</f>
        <v/>
      </c>
      <c r="AN31" s="13">
        <f>IFERROR(VLOOKUP(" 원/달러(평균)",환율,MATCH(AN$1,변수H,0),0),1341.45)</f>
        <v/>
      </c>
      <c r="AO31" s="13">
        <f>IFERROR(VLOOKUP(" 원/달러(평균)",환율,MATCH(AO$1,변수H,0),0),1341.45)</f>
        <v/>
      </c>
      <c r="AP31" s="13">
        <f>IFERROR(VLOOKUP(" 원/달러(평균)",환율,MATCH(AP$1,변수H,0),0),1341.45)</f>
        <v/>
      </c>
      <c r="AQ31" s="13">
        <f>IFERROR(VLOOKUP(" 원/달러(평균)",환율,MATCH(AQ$1,변수H,0),0),1341.45)</f>
        <v/>
      </c>
      <c r="AR31" s="13">
        <f>IFERROR(VLOOKUP(" 원/달러(평균)",환율,MATCH(AR$1,변수H,0),0),1341.45)</f>
        <v/>
      </c>
      <c r="AS31" s="13">
        <f>IFERROR(VLOOKUP(" 원/달러(평균)",환율,MATCH(AS$1,변수H,0),0),1341.45)</f>
        <v/>
      </c>
      <c r="AT31" s="13">
        <f>IFERROR(VLOOKUP(" 원/달러(평균)",환율,MATCH(AT$1,변수H,0),0),1341.45)</f>
        <v/>
      </c>
    </row>
    <row r="32">
      <c r="A32" s="12" t="inlineStr">
        <is>
          <t>after_origin</t>
        </is>
      </c>
      <c r="D32" t="inlineStr">
        <is>
          <t>origin(2026Q2) 이후 분기 = 1 (잔고 캡 배율 적용 구간)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</row>
    <row r="34">
      <c r="A34" s="1" t="inlineStr">
        <is>
          <t>① 계약별 매출인식 스케줄(백만$, sls 저장값)</t>
        </is>
      </c>
      <c r="B34" s="1" t="inlineStr">
        <is>
          <t>type</t>
        </is>
      </c>
      <c r="C34" s="1" t="inlineStr">
        <is>
          <t>ships</t>
        </is>
      </c>
      <c r="D34" s="1" t="inlineStr">
        <is>
          <t>name</t>
        </is>
      </c>
      <c r="BG34" s="1" t="inlineStr">
        <is>
          <t>포함(1/0)</t>
        </is>
      </c>
      <c r="BH34" s="1" t="inlineStr">
        <is>
          <t>헤지환율</t>
        </is>
      </c>
      <c r="BI34" s="1" t="inlineStr">
        <is>
          <t>캡배율</t>
        </is>
      </c>
      <c r="BJ34" s="1" t="inlineStr">
        <is>
          <t>체결일</t>
        </is>
      </c>
      <c r="BK34" s="1" t="inlineStr">
        <is>
          <t>origin이내</t>
        </is>
      </c>
      <c r="BL34" s="1" t="inlineStr">
        <is>
          <t>코호트</t>
        </is>
      </c>
      <c r="BM34" s="1" t="inlineStr">
        <is>
          <t>계약액(백만$)</t>
        </is>
      </c>
      <c r="BN34" s="1" t="inlineStr">
        <is>
          <t>종료</t>
        </is>
      </c>
    </row>
    <row r="35">
      <c r="A35" t="inlineStr">
        <is>
          <t>20241118800037</t>
        </is>
      </c>
      <c r="B35" t="inlineStr">
        <is>
          <t>VLGC</t>
        </is>
      </c>
      <c r="C35" t="n">
        <v>2</v>
      </c>
      <c r="D35" t="inlineStr">
        <is>
          <t>VLGC 2척</t>
        </is>
      </c>
      <c r="J35" s="26" t="n">
        <v>10.03</v>
      </c>
      <c r="K35" s="26" t="n">
        <v>19.207</v>
      </c>
      <c r="L35" s="26" t="n">
        <v>19.42</v>
      </c>
      <c r="M35" s="26" t="n">
        <v>19.634</v>
      </c>
      <c r="N35" s="26" t="n">
        <v>19.634</v>
      </c>
      <c r="O35" s="26" t="n">
        <v>19.207</v>
      </c>
      <c r="P35" s="26" t="n">
        <v>19.42</v>
      </c>
      <c r="Q35" s="26" t="n">
        <v>19.634</v>
      </c>
      <c r="R35" s="26" t="n">
        <v>19.634</v>
      </c>
      <c r="S35" s="26" t="n">
        <v>19.207</v>
      </c>
      <c r="T35" s="26" t="n">
        <v>19.42</v>
      </c>
      <c r="U35" s="26" t="n">
        <v>19.634</v>
      </c>
      <c r="V35" s="26" t="n">
        <v>19.635</v>
      </c>
      <c r="BG35" s="35" t="n">
        <v>1</v>
      </c>
      <c r="BH35" s="16" t="n">
        <v>1396.3</v>
      </c>
      <c r="BI35" s="42" t="n">
        <v>1</v>
      </c>
      <c r="BJ35" t="inlineStr">
        <is>
          <t>2024-11-15</t>
        </is>
      </c>
      <c r="BK35" t="n">
        <v>1</v>
      </c>
      <c r="BL35" t="inlineStr">
        <is>
          <t>⑤초호황</t>
        </is>
      </c>
      <c r="BM35" s="26" t="n">
        <v>243.716</v>
      </c>
      <c r="BN35" t="inlineStr">
        <is>
          <t>2027-12-31</t>
        </is>
      </c>
    </row>
    <row r="36">
      <c r="A36" t="inlineStr">
        <is>
          <t>20250123800036</t>
        </is>
      </c>
      <c r="B36" t="inlineStr">
        <is>
          <t>CONT</t>
        </is>
      </c>
      <c r="C36" t="n">
        <v>12</v>
      </c>
      <c r="D36" t="inlineStr">
        <is>
          <t>초대형 컨테이너선 12척</t>
        </is>
      </c>
      <c r="K36" s="26" t="n">
        <v>122.777</v>
      </c>
      <c r="L36" s="26" t="n">
        <v>161.923</v>
      </c>
      <c r="M36" s="26" t="n">
        <v>163.702</v>
      </c>
      <c r="N36" s="26" t="n">
        <v>163.702</v>
      </c>
      <c r="O36" s="26" t="n">
        <v>160.143</v>
      </c>
      <c r="P36" s="26" t="n">
        <v>161.923</v>
      </c>
      <c r="Q36" s="26" t="n">
        <v>163.702</v>
      </c>
      <c r="R36" s="26" t="n">
        <v>163.702</v>
      </c>
      <c r="S36" s="26" t="n">
        <v>160.143</v>
      </c>
      <c r="T36" s="26" t="n">
        <v>161.923</v>
      </c>
      <c r="U36" s="26" t="n">
        <v>163.702</v>
      </c>
      <c r="V36" s="26" t="n">
        <v>163.702</v>
      </c>
      <c r="W36" s="26" t="n">
        <v>161.923</v>
      </c>
      <c r="X36" s="26" t="n">
        <v>161.923</v>
      </c>
      <c r="Y36" s="26" t="n">
        <v>163.702</v>
      </c>
      <c r="Z36" s="26" t="n">
        <v>160.143</v>
      </c>
      <c r="BG36" s="35" t="n">
        <v>1</v>
      </c>
      <c r="BH36" s="16" t="n">
        <v>1452.28</v>
      </c>
      <c r="BI36" s="42" t="n">
        <v>1</v>
      </c>
      <c r="BJ36" t="inlineStr">
        <is>
          <t>2025-01-22</t>
        </is>
      </c>
      <c r="BK36" t="n">
        <v>1</v>
      </c>
      <c r="BL36" t="inlineStr">
        <is>
          <t>⑤초호황</t>
        </is>
      </c>
      <c r="BM36" s="26" t="n">
        <v>2558.735</v>
      </c>
      <c r="BN36" t="inlineStr">
        <is>
          <t>2028-12-29</t>
        </is>
      </c>
    </row>
    <row r="37">
      <c r="A37" t="inlineStr">
        <is>
          <t>20250213800540</t>
        </is>
      </c>
      <c r="B37" t="inlineStr">
        <is>
          <t>NAVAL</t>
        </is>
      </c>
      <c r="C37" t="n">
        <v>4</v>
      </c>
      <c r="D37" t="inlineStr">
        <is>
          <t>함정 4척 건조용 자재 및 장비 공급</t>
        </is>
      </c>
      <c r="H37" s="26" t="n">
        <v>15.357</v>
      </c>
      <c r="I37" s="26" t="n">
        <v>18.59</v>
      </c>
      <c r="J37" s="26" t="n">
        <v>18.59</v>
      </c>
      <c r="K37" s="26" t="n">
        <v>18.186</v>
      </c>
      <c r="L37" s="26" t="n">
        <v>18.388</v>
      </c>
      <c r="M37" s="26" t="n">
        <v>18.59</v>
      </c>
      <c r="N37" s="26" t="n">
        <v>18.59</v>
      </c>
      <c r="O37" s="26" t="n">
        <v>18.186</v>
      </c>
      <c r="P37" s="26" t="n">
        <v>18.388</v>
      </c>
      <c r="Q37" s="26" t="n">
        <v>18.59</v>
      </c>
      <c r="R37" s="26" t="n">
        <v>18.59</v>
      </c>
      <c r="S37" s="26" t="n">
        <v>18.186</v>
      </c>
      <c r="T37" s="26" t="n">
        <v>18.388</v>
      </c>
      <c r="U37" s="26" t="n">
        <v>18.59</v>
      </c>
      <c r="V37" s="26" t="n">
        <v>18.59</v>
      </c>
      <c r="W37" s="26" t="n">
        <v>18.388</v>
      </c>
      <c r="X37" s="26" t="n">
        <v>18.388</v>
      </c>
      <c r="Y37" s="26" t="n">
        <v>18.59</v>
      </c>
      <c r="Z37" s="26" t="n">
        <v>18.59</v>
      </c>
      <c r="AA37" s="26" t="n">
        <v>18.186</v>
      </c>
      <c r="AB37" s="26" t="n">
        <v>18.388</v>
      </c>
      <c r="AC37" s="26" t="n">
        <v>18.59</v>
      </c>
      <c r="AD37" s="26" t="n">
        <v>18.59</v>
      </c>
      <c r="AE37" s="26" t="n">
        <v>18.186</v>
      </c>
      <c r="AF37" s="26" t="n">
        <v>18.388</v>
      </c>
      <c r="AG37" s="26" t="n">
        <v>18.59</v>
      </c>
      <c r="AH37" s="26" t="n">
        <v>18.59</v>
      </c>
      <c r="AI37" s="26" t="n">
        <v>18.186</v>
      </c>
      <c r="AJ37" s="26" t="n">
        <v>2.631</v>
      </c>
      <c r="BG37" s="35" t="n">
        <v>1</v>
      </c>
      <c r="BH37" s="16" t="n">
        <v>1383.7</v>
      </c>
      <c r="BI37" s="42" t="n">
        <v>1</v>
      </c>
      <c r="BJ37" t="inlineStr">
        <is>
          <t>2024-04-16</t>
        </is>
      </c>
      <c r="BK37" t="n">
        <v>1</v>
      </c>
      <c r="BL37" t="inlineStr">
        <is>
          <t>⑤초호황</t>
        </is>
      </c>
      <c r="BM37" s="26" t="n">
        <v>516.08</v>
      </c>
      <c r="BN37" t="inlineStr">
        <is>
          <t>2031-04-13</t>
        </is>
      </c>
    </row>
    <row r="38">
      <c r="A38" t="inlineStr">
        <is>
          <t>20250304800166</t>
        </is>
      </c>
      <c r="B38" t="inlineStr">
        <is>
          <t>VLGC</t>
        </is>
      </c>
      <c r="C38" t="n">
        <v>2</v>
      </c>
      <c r="D38" t="inlineStr">
        <is>
          <t>VLEC 2척</t>
        </is>
      </c>
      <c r="K38" s="26" t="n">
        <v>7.206</v>
      </c>
      <c r="L38" s="26" t="n">
        <v>20.491</v>
      </c>
      <c r="M38" s="26" t="n">
        <v>20.716</v>
      </c>
      <c r="N38" s="26" t="n">
        <v>20.716</v>
      </c>
      <c r="O38" s="26" t="n">
        <v>20.266</v>
      </c>
      <c r="P38" s="26" t="n">
        <v>20.491</v>
      </c>
      <c r="Q38" s="26" t="n">
        <v>20.716</v>
      </c>
      <c r="R38" s="26" t="n">
        <v>20.716</v>
      </c>
      <c r="S38" s="26" t="n">
        <v>20.266</v>
      </c>
      <c r="T38" s="26" t="n">
        <v>20.491</v>
      </c>
      <c r="U38" s="26" t="n">
        <v>20.716</v>
      </c>
      <c r="V38" s="26" t="n">
        <v>20.716</v>
      </c>
      <c r="W38" s="26" t="n">
        <v>20.491</v>
      </c>
      <c r="X38" s="26" t="n">
        <v>20.491</v>
      </c>
      <c r="Y38" s="26" t="n">
        <v>20.716</v>
      </c>
      <c r="Z38" s="26" t="n">
        <v>20.712</v>
      </c>
      <c r="BG38" s="35" t="n">
        <v>1</v>
      </c>
      <c r="BH38" s="16" t="n">
        <v>1452.28</v>
      </c>
      <c r="BI38" s="42" t="n">
        <v>1</v>
      </c>
      <c r="BJ38" t="inlineStr">
        <is>
          <t>2025-02-28</t>
        </is>
      </c>
      <c r="BK38" t="n">
        <v>1</v>
      </c>
      <c r="BL38" t="inlineStr">
        <is>
          <t>⑤초호황</t>
        </is>
      </c>
      <c r="BM38" s="26" t="n">
        <v>315.917</v>
      </c>
      <c r="BN38" t="inlineStr">
        <is>
          <t>2028-12-31</t>
        </is>
      </c>
    </row>
    <row r="39">
      <c r="A39" t="inlineStr">
        <is>
          <t>20250422800296</t>
        </is>
      </c>
      <c r="B39" t="inlineStr">
        <is>
          <t>VLGC</t>
        </is>
      </c>
      <c r="C39" t="n">
        <v>2</v>
      </c>
      <c r="D39" t="inlineStr">
        <is>
          <t>VLGC 2척</t>
        </is>
      </c>
      <c r="G39" s="26" t="n">
        <v>13.879</v>
      </c>
      <c r="H39" s="26" t="n">
        <v>15.987</v>
      </c>
      <c r="I39" s="26" t="n">
        <v>16.163</v>
      </c>
      <c r="J39" s="26" t="n">
        <v>16.163</v>
      </c>
      <c r="K39" s="26" t="n">
        <v>15.812</v>
      </c>
      <c r="L39" s="26" t="n">
        <v>15.987</v>
      </c>
      <c r="M39" s="26" t="n">
        <v>16.163</v>
      </c>
      <c r="N39" s="26" t="n">
        <v>16.163</v>
      </c>
      <c r="O39" s="26" t="n">
        <v>15.812</v>
      </c>
      <c r="P39" s="26" t="n">
        <v>15.987</v>
      </c>
      <c r="Q39" s="26" t="n">
        <v>16.163</v>
      </c>
      <c r="R39" s="26" t="n">
        <v>16.163</v>
      </c>
      <c r="S39" s="26" t="n">
        <v>15.812</v>
      </c>
      <c r="T39" s="26" t="n">
        <v>15.987</v>
      </c>
      <c r="U39" s="26" t="n">
        <v>10.892</v>
      </c>
      <c r="BG39" s="35" t="n">
        <v>1</v>
      </c>
      <c r="BH39" s="16" t="n">
        <v>1330.14</v>
      </c>
      <c r="BI39" s="42" t="n">
        <v>1</v>
      </c>
      <c r="BJ39" t="inlineStr">
        <is>
          <t>2024-01-13</t>
        </is>
      </c>
      <c r="BK39" t="n">
        <v>1</v>
      </c>
      <c r="BL39" t="inlineStr">
        <is>
          <t>⑤초호황</t>
        </is>
      </c>
      <c r="BM39" s="26" t="n">
        <v>233.133</v>
      </c>
      <c r="BN39" t="inlineStr">
        <is>
          <t>2027-08-31</t>
        </is>
      </c>
    </row>
    <row r="40">
      <c r="A40" t="inlineStr">
        <is>
          <t>20250521800001</t>
        </is>
      </c>
      <c r="B40" t="inlineStr">
        <is>
          <t>VLCC</t>
        </is>
      </c>
      <c r="C40" t="n">
        <v>2</v>
      </c>
      <c r="D40" t="inlineStr">
        <is>
          <t>157,000 DWT 원유운반선 2척</t>
        </is>
      </c>
      <c r="J40" s="26" t="n">
        <v>12.414</v>
      </c>
      <c r="K40" s="26" t="n">
        <v>14.142</v>
      </c>
      <c r="L40" s="26" t="n">
        <v>14.299</v>
      </c>
      <c r="M40" s="26" t="n">
        <v>14.456</v>
      </c>
      <c r="N40" s="26" t="n">
        <v>14.456</v>
      </c>
      <c r="O40" s="26" t="n">
        <v>14.142</v>
      </c>
      <c r="P40" s="26" t="n">
        <v>14.299</v>
      </c>
      <c r="Q40" s="26" t="n">
        <v>14.456</v>
      </c>
      <c r="R40" s="26" t="n">
        <v>14.456</v>
      </c>
      <c r="S40" s="26" t="n">
        <v>14.142</v>
      </c>
      <c r="T40" s="26" t="n">
        <v>14.299</v>
      </c>
      <c r="U40" s="26" t="n">
        <v>14.46</v>
      </c>
      <c r="BG40" s="35" t="n">
        <v>1</v>
      </c>
      <c r="BH40" s="16" t="n">
        <v>1396.3</v>
      </c>
      <c r="BI40" s="42" t="n">
        <v>1</v>
      </c>
      <c r="BJ40" t="inlineStr">
        <is>
          <t>2024-10-14</t>
        </is>
      </c>
      <c r="BK40" t="n">
        <v>1</v>
      </c>
      <c r="BL40" t="inlineStr">
        <is>
          <t>⑤초호황</t>
        </is>
      </c>
      <c r="BM40" s="26" t="n">
        <v>170.021</v>
      </c>
      <c r="BN40" t="inlineStr">
        <is>
          <t>2027-09-30</t>
        </is>
      </c>
    </row>
    <row r="41">
      <c r="A41" t="inlineStr">
        <is>
          <t>20250610800109</t>
        </is>
      </c>
      <c r="B41" t="inlineStr">
        <is>
          <t>CONT</t>
        </is>
      </c>
      <c r="C41" t="n">
        <v>8</v>
      </c>
      <c r="D41" t="inlineStr">
        <is>
          <t>컨테이너선 8척</t>
        </is>
      </c>
      <c r="L41" s="26" t="n">
        <v>29.704</v>
      </c>
      <c r="M41" s="26" t="n">
        <v>124.218</v>
      </c>
      <c r="N41" s="26" t="n">
        <v>124.218</v>
      </c>
      <c r="O41" s="26" t="n">
        <v>121.518</v>
      </c>
      <c r="P41" s="26" t="n">
        <v>122.868</v>
      </c>
      <c r="Q41" s="26" t="n">
        <v>124.218</v>
      </c>
      <c r="R41" s="26" t="n">
        <v>124.218</v>
      </c>
      <c r="S41" s="26" t="n">
        <v>121.518</v>
      </c>
      <c r="T41" s="26" t="n">
        <v>122.868</v>
      </c>
      <c r="U41" s="26" t="n">
        <v>124.218</v>
      </c>
      <c r="V41" s="26" t="n">
        <v>124.218</v>
      </c>
      <c r="W41" s="26" t="n">
        <v>122.868</v>
      </c>
      <c r="X41" s="26" t="n">
        <v>122.868</v>
      </c>
      <c r="Y41" s="26" t="n">
        <v>124.218</v>
      </c>
      <c r="Z41" s="26" t="n">
        <v>82.36199999999999</v>
      </c>
      <c r="BG41" s="35" t="n">
        <v>1</v>
      </c>
      <c r="BH41" s="16" t="n">
        <v>1398.52</v>
      </c>
      <c r="BI41" s="42" t="n">
        <v>1</v>
      </c>
      <c r="BJ41" t="inlineStr">
        <is>
          <t>2025-06-09</t>
        </is>
      </c>
      <c r="BK41" t="n">
        <v>1</v>
      </c>
      <c r="BL41" t="inlineStr">
        <is>
          <t>⑤초호황</t>
        </is>
      </c>
      <c r="BM41" s="26" t="n">
        <v>1716.1</v>
      </c>
      <c r="BN41" t="inlineStr">
        <is>
          <t>2028-11-30</t>
        </is>
      </c>
    </row>
    <row r="42">
      <c r="A42" t="inlineStr">
        <is>
          <t>20250613800119</t>
        </is>
      </c>
      <c r="B42" t="inlineStr">
        <is>
          <t>VLCC</t>
        </is>
      </c>
      <c r="C42" t="n">
        <v>2</v>
      </c>
      <c r="D42" t="inlineStr">
        <is>
          <t>VLCC 2척</t>
        </is>
      </c>
      <c r="L42" s="26" t="n">
        <v>5.846</v>
      </c>
      <c r="M42" s="26" t="n">
        <v>28.309</v>
      </c>
      <c r="N42" s="26" t="n">
        <v>28.309</v>
      </c>
      <c r="O42" s="26" t="n">
        <v>27.694</v>
      </c>
      <c r="P42" s="26" t="n">
        <v>28.001</v>
      </c>
      <c r="Q42" s="26" t="n">
        <v>28.309</v>
      </c>
      <c r="R42" s="26" t="n">
        <v>28.309</v>
      </c>
      <c r="S42" s="26" t="n">
        <v>27.694</v>
      </c>
      <c r="T42" s="26" t="n">
        <v>28.001</v>
      </c>
      <c r="U42" s="26" t="n">
        <v>19.078</v>
      </c>
      <c r="BG42" s="35" t="n">
        <v>1</v>
      </c>
      <c r="BH42" s="16" t="n">
        <v>1398.52</v>
      </c>
      <c r="BI42" s="42" t="n">
        <v>1</v>
      </c>
      <c r="BJ42" t="inlineStr">
        <is>
          <t>2025-06-12</t>
        </is>
      </c>
      <c r="BK42" t="n">
        <v>1</v>
      </c>
      <c r="BL42" t="inlineStr">
        <is>
          <t>⑤초호황</t>
        </is>
      </c>
      <c r="BM42" s="26" t="n">
        <v>249.55</v>
      </c>
      <c r="BN42" t="inlineStr">
        <is>
          <t>2027-08-31</t>
        </is>
      </c>
    </row>
    <row r="43">
      <c r="A43" t="inlineStr">
        <is>
          <t>20250708800090</t>
        </is>
      </c>
      <c r="B43" t="inlineStr">
        <is>
          <t>CONT</t>
        </is>
      </c>
      <c r="C43" t="n">
        <v>2</v>
      </c>
      <c r="D43" t="inlineStr">
        <is>
          <t>컨테이너선 2척</t>
        </is>
      </c>
      <c r="M43" s="26" t="n">
        <v>25.907</v>
      </c>
      <c r="N43" s="26" t="n">
        <v>27.715</v>
      </c>
      <c r="O43" s="26" t="n">
        <v>27.112</v>
      </c>
      <c r="P43" s="26" t="n">
        <v>27.414</v>
      </c>
      <c r="Q43" s="26" t="n">
        <v>27.715</v>
      </c>
      <c r="R43" s="26" t="n">
        <v>27.715</v>
      </c>
      <c r="S43" s="26" t="n">
        <v>27.112</v>
      </c>
      <c r="T43" s="26" t="n">
        <v>27.414</v>
      </c>
      <c r="U43" s="26" t="n">
        <v>27.715</v>
      </c>
      <c r="V43" s="26" t="n">
        <v>27.715</v>
      </c>
      <c r="W43" s="26" t="n">
        <v>27.414</v>
      </c>
      <c r="BG43" s="35" t="n">
        <v>1</v>
      </c>
      <c r="BH43" s="16" t="n">
        <v>1386.95</v>
      </c>
      <c r="BI43" s="42" t="n">
        <v>1</v>
      </c>
      <c r="BJ43" t="inlineStr">
        <is>
          <t>2025-07-07</t>
        </is>
      </c>
      <c r="BK43" t="n">
        <v>1</v>
      </c>
      <c r="BL43" t="inlineStr">
        <is>
          <t>⑤초호황</t>
        </is>
      </c>
      <c r="BM43" s="26" t="n">
        <v>300.948</v>
      </c>
      <c r="BN43" t="inlineStr">
        <is>
          <t>2028-03-31</t>
        </is>
      </c>
    </row>
    <row r="44">
      <c r="A44" t="inlineStr">
        <is>
          <t>20250908800058</t>
        </is>
      </c>
      <c r="B44" t="inlineStr">
        <is>
          <t>CONT</t>
        </is>
      </c>
      <c r="C44" t="n">
        <v>2</v>
      </c>
      <c r="D44" t="inlineStr">
        <is>
          <t>컨테이너선 2척</t>
        </is>
      </c>
      <c r="M44" s="26" t="n">
        <v>8.464</v>
      </c>
      <c r="N44" s="26" t="n">
        <v>29.948</v>
      </c>
      <c r="O44" s="26" t="n">
        <v>29.297</v>
      </c>
      <c r="P44" s="26" t="n">
        <v>29.623</v>
      </c>
      <c r="Q44" s="26" t="n">
        <v>29.948</v>
      </c>
      <c r="R44" s="26" t="n">
        <v>29.948</v>
      </c>
      <c r="S44" s="26" t="n">
        <v>29.297</v>
      </c>
      <c r="T44" s="26" t="n">
        <v>29.623</v>
      </c>
      <c r="U44" s="26" t="n">
        <v>29.948</v>
      </c>
      <c r="V44" s="26" t="n">
        <v>29.948</v>
      </c>
      <c r="W44" s="26" t="n">
        <v>19.208</v>
      </c>
      <c r="BG44" s="35" t="n">
        <v>1</v>
      </c>
      <c r="BH44" s="16" t="n">
        <v>1386.95</v>
      </c>
      <c r="BI44" s="42" t="n">
        <v>1</v>
      </c>
      <c r="BJ44" t="inlineStr">
        <is>
          <t>2025-09-05</t>
        </is>
      </c>
      <c r="BK44" t="n">
        <v>1</v>
      </c>
      <c r="BL44" t="inlineStr">
        <is>
          <t>⑤초호황</t>
        </is>
      </c>
      <c r="BM44" s="26" t="n">
        <v>295.252</v>
      </c>
      <c r="BN44" t="inlineStr">
        <is>
          <t>2028-02-28</t>
        </is>
      </c>
    </row>
    <row r="45">
      <c r="A45" t="inlineStr">
        <is>
          <t>20251020800152</t>
        </is>
      </c>
      <c r="B45" t="inlineStr">
        <is>
          <t>VLCC</t>
        </is>
      </c>
      <c r="C45" t="n">
        <v>2</v>
      </c>
      <c r="D45" t="inlineStr">
        <is>
          <t>VLCC 2척</t>
        </is>
      </c>
      <c r="N45" s="26" t="n">
        <v>24.584</v>
      </c>
      <c r="O45" s="26" t="n">
        <v>29.113</v>
      </c>
      <c r="P45" s="26" t="n">
        <v>29.436</v>
      </c>
      <c r="Q45" s="26" t="n">
        <v>29.76</v>
      </c>
      <c r="R45" s="26" t="n">
        <v>29.76</v>
      </c>
      <c r="S45" s="26" t="n">
        <v>29.113</v>
      </c>
      <c r="T45" s="26" t="n">
        <v>29.436</v>
      </c>
      <c r="U45" s="26" t="n">
        <v>29.76</v>
      </c>
      <c r="V45" s="26" t="n">
        <v>19.73</v>
      </c>
      <c r="BG45" s="35" t="n">
        <v>1</v>
      </c>
      <c r="BH45" s="16" t="n">
        <v>1449.19</v>
      </c>
      <c r="BI45" s="42" t="n">
        <v>1</v>
      </c>
      <c r="BJ45" t="inlineStr">
        <is>
          <t>2025-10-17</t>
        </is>
      </c>
      <c r="BK45" t="n">
        <v>1</v>
      </c>
      <c r="BL45" t="inlineStr">
        <is>
          <t>⑤초호황</t>
        </is>
      </c>
      <c r="BM45" s="26" t="n">
        <v>250.692</v>
      </c>
      <c r="BN45" t="inlineStr">
        <is>
          <t>2027-11-30</t>
        </is>
      </c>
    </row>
    <row r="46">
      <c r="A46" t="inlineStr">
        <is>
          <t>20251030800164</t>
        </is>
      </c>
      <c r="B46" t="inlineStr">
        <is>
          <t>NAVAL</t>
        </is>
      </c>
      <c r="D46" t="inlineStr">
        <is>
          <t>KSS-II 성능개량 체계개발사업</t>
        </is>
      </c>
      <c r="N46" s="26" t="n">
        <v>6.961</v>
      </c>
      <c r="O46" s="26" t="n">
        <v>9.788</v>
      </c>
      <c r="P46" s="26" t="n">
        <v>9.897</v>
      </c>
      <c r="Q46" s="26" t="n">
        <v>10.006</v>
      </c>
      <c r="R46" s="26" t="n">
        <v>10.006</v>
      </c>
      <c r="S46" s="26" t="n">
        <v>9.788</v>
      </c>
      <c r="T46" s="26" t="n">
        <v>9.897</v>
      </c>
      <c r="U46" s="26" t="n">
        <v>10.006</v>
      </c>
      <c r="V46" s="26" t="n">
        <v>10.006</v>
      </c>
      <c r="W46" s="26" t="n">
        <v>9.897</v>
      </c>
      <c r="X46" s="26" t="n">
        <v>9.897</v>
      </c>
      <c r="Y46" s="26" t="n">
        <v>10.006</v>
      </c>
      <c r="Z46" s="26" t="n">
        <v>10.006</v>
      </c>
      <c r="AA46" s="26" t="n">
        <v>9.788</v>
      </c>
      <c r="AB46" s="26" t="n">
        <v>9.897</v>
      </c>
      <c r="AC46" s="26" t="n">
        <v>10.006</v>
      </c>
      <c r="AD46" s="26" t="n">
        <v>10.006</v>
      </c>
      <c r="AE46" s="26" t="n">
        <v>9.788</v>
      </c>
      <c r="AF46" s="26" t="n">
        <v>9.897</v>
      </c>
      <c r="AG46" s="26" t="n">
        <v>10.006</v>
      </c>
      <c r="AH46" s="26" t="n">
        <v>10.006</v>
      </c>
      <c r="AI46" s="26" t="n">
        <v>9.788</v>
      </c>
      <c r="AJ46" s="26" t="n">
        <v>9.897</v>
      </c>
      <c r="AK46" s="26" t="n">
        <v>10.006</v>
      </c>
      <c r="AL46" s="26" t="n">
        <v>10.006</v>
      </c>
      <c r="AM46" s="26" t="n">
        <v>9.897</v>
      </c>
      <c r="AN46" s="26" t="n">
        <v>9.897</v>
      </c>
      <c r="AO46" s="26" t="n">
        <v>10.006</v>
      </c>
      <c r="AP46" s="26" t="n">
        <v>10.006</v>
      </c>
      <c r="AQ46" s="26" t="n">
        <v>9.788</v>
      </c>
      <c r="AR46" s="26" t="n">
        <v>9.897</v>
      </c>
      <c r="AS46" s="26" t="n">
        <v>10.006</v>
      </c>
      <c r="AT46" s="26" t="n">
        <v>8.811</v>
      </c>
      <c r="BG46" s="35" t="n">
        <v>1</v>
      </c>
      <c r="BH46" s="16" t="n">
        <v>1449.19</v>
      </c>
      <c r="BI46" s="42" t="n">
        <v>1</v>
      </c>
      <c r="BJ46" t="inlineStr">
        <is>
          <t>2025-10-29</t>
        </is>
      </c>
      <c r="BK46" t="n">
        <v>1</v>
      </c>
      <c r="BM46" s="26" t="n">
        <v>323.56</v>
      </c>
      <c r="BN46" t="inlineStr">
        <is>
          <t>2033-12-20</t>
        </is>
      </c>
    </row>
    <row r="47">
      <c r="A47" t="inlineStr">
        <is>
          <t>20251110800036</t>
        </is>
      </c>
      <c r="B47" t="inlineStr">
        <is>
          <t>CONT</t>
        </is>
      </c>
      <c r="C47" t="n">
        <v>2</v>
      </c>
      <c r="D47" t="inlineStr">
        <is>
          <t>컨테이너선 2척</t>
        </is>
      </c>
      <c r="N47" s="26" t="n">
        <v>15.157</v>
      </c>
      <c r="O47" s="26" t="n">
        <v>24.802</v>
      </c>
      <c r="P47" s="26" t="n">
        <v>25.077</v>
      </c>
      <c r="Q47" s="26" t="n">
        <v>25.353</v>
      </c>
      <c r="R47" s="26" t="n">
        <v>25.353</v>
      </c>
      <c r="S47" s="26" t="n">
        <v>24.802</v>
      </c>
      <c r="T47" s="26" t="n">
        <v>25.077</v>
      </c>
      <c r="U47" s="26" t="n">
        <v>25.353</v>
      </c>
      <c r="V47" s="26" t="n">
        <v>25.353</v>
      </c>
      <c r="W47" s="26" t="n">
        <v>25.077</v>
      </c>
      <c r="X47" s="26" t="n">
        <v>25.077</v>
      </c>
      <c r="Y47" s="26" t="n">
        <v>25.353</v>
      </c>
      <c r="Z47" s="26" t="n">
        <v>8.541</v>
      </c>
      <c r="BG47" s="35" t="n">
        <v>1</v>
      </c>
      <c r="BH47" s="16" t="n">
        <v>1449.19</v>
      </c>
      <c r="BI47" s="42" t="n">
        <v>1</v>
      </c>
      <c r="BJ47" t="inlineStr">
        <is>
          <t>2025-11-07</t>
        </is>
      </c>
      <c r="BK47" t="n">
        <v>1</v>
      </c>
      <c r="BL47" t="inlineStr">
        <is>
          <t>⑤초호황</t>
        </is>
      </c>
      <c r="BM47" s="26" t="n">
        <v>300.375</v>
      </c>
      <c r="BN47" t="inlineStr">
        <is>
          <t>2028-10-31</t>
        </is>
      </c>
    </row>
    <row r="48">
      <c r="A48" t="inlineStr">
        <is>
          <t>20251114800376</t>
        </is>
      </c>
      <c r="B48" t="inlineStr">
        <is>
          <t>VLCC</t>
        </is>
      </c>
      <c r="C48" t="n">
        <v>2</v>
      </c>
      <c r="D48" t="inlineStr">
        <is>
          <t>157,000 DWT 원유운반선 2척</t>
        </is>
      </c>
      <c r="N48" s="26" t="n">
        <v>7.991</v>
      </c>
      <c r="O48" s="26" t="n">
        <v>14.678</v>
      </c>
      <c r="P48" s="26" t="n">
        <v>14.841</v>
      </c>
      <c r="Q48" s="26" t="n">
        <v>15.004</v>
      </c>
      <c r="R48" s="26" t="n">
        <v>15.004</v>
      </c>
      <c r="S48" s="26" t="n">
        <v>14.678</v>
      </c>
      <c r="T48" s="26" t="n">
        <v>14.841</v>
      </c>
      <c r="U48" s="26" t="n">
        <v>15.004</v>
      </c>
      <c r="V48" s="26" t="n">
        <v>15.004</v>
      </c>
      <c r="W48" s="26" t="n">
        <v>14.841</v>
      </c>
      <c r="X48" s="26" t="n">
        <v>14.841</v>
      </c>
      <c r="Y48" s="26" t="n">
        <v>15.004</v>
      </c>
      <c r="Z48" s="26" t="n">
        <v>5.057</v>
      </c>
      <c r="BG48" s="35" t="n">
        <v>1</v>
      </c>
      <c r="BH48" s="16" t="n">
        <v>1449.19</v>
      </c>
      <c r="BI48" s="42" t="n">
        <v>1</v>
      </c>
      <c r="BJ48" t="inlineStr">
        <is>
          <t>2025-11-13</t>
        </is>
      </c>
      <c r="BK48" t="n">
        <v>1</v>
      </c>
      <c r="BL48" t="inlineStr">
        <is>
          <t>⑤초호황</t>
        </is>
      </c>
      <c r="BM48" s="26" t="n">
        <v>176.788</v>
      </c>
      <c r="BN48" t="inlineStr">
        <is>
          <t>2028-10-31</t>
        </is>
      </c>
    </row>
    <row r="49">
      <c r="A49" t="inlineStr">
        <is>
          <t>20251124800125</t>
        </is>
      </c>
      <c r="B49" t="inlineStr">
        <is>
          <t>CONT</t>
        </is>
      </c>
      <c r="C49" t="n">
        <v>2</v>
      </c>
      <c r="D49" t="inlineStr">
        <is>
          <t>컨테이너선 2척</t>
        </is>
      </c>
      <c r="N49" s="26" t="n">
        <v>15.641</v>
      </c>
      <c r="O49" s="26" t="n">
        <v>34.334</v>
      </c>
      <c r="P49" s="26" t="n">
        <v>34.715</v>
      </c>
      <c r="Q49" s="26" t="n">
        <v>35.097</v>
      </c>
      <c r="R49" s="26" t="n">
        <v>35.097</v>
      </c>
      <c r="S49" s="26" t="n">
        <v>34.334</v>
      </c>
      <c r="T49" s="26" t="n">
        <v>34.715</v>
      </c>
      <c r="U49" s="26" t="n">
        <v>35.097</v>
      </c>
      <c r="V49" s="26" t="n">
        <v>35.097</v>
      </c>
      <c r="W49" s="26" t="n">
        <v>34.715</v>
      </c>
      <c r="X49" s="26" t="n">
        <v>34.715</v>
      </c>
      <c r="Y49" s="26" t="n">
        <v>5.339</v>
      </c>
      <c r="BG49" s="35" t="n">
        <v>1</v>
      </c>
      <c r="BH49" s="16" t="n">
        <v>1449.19</v>
      </c>
      <c r="BI49" s="42" t="n">
        <v>1</v>
      </c>
      <c r="BJ49" t="inlineStr">
        <is>
          <t>2025-11-21</t>
        </is>
      </c>
      <c r="BK49" t="n">
        <v>1</v>
      </c>
      <c r="BL49" t="inlineStr">
        <is>
          <t>⑤초호황</t>
        </is>
      </c>
      <c r="BM49" s="26" t="n">
        <v>368.896</v>
      </c>
      <c r="BN49" t="inlineStr">
        <is>
          <t>2028-07-14</t>
        </is>
      </c>
    </row>
    <row r="50">
      <c r="A50" t="inlineStr">
        <is>
          <t>20251211800371</t>
        </is>
      </c>
      <c r="B50" t="inlineStr">
        <is>
          <t>VLGC</t>
        </is>
      </c>
      <c r="C50" t="n">
        <v>2</v>
      </c>
      <c r="D50" t="inlineStr">
        <is>
          <t>VLAC 2척</t>
        </is>
      </c>
      <c r="N50" s="26" t="n">
        <v>5.572</v>
      </c>
      <c r="O50" s="26" t="n">
        <v>22.795</v>
      </c>
      <c r="P50" s="26" t="n">
        <v>23.048</v>
      </c>
      <c r="Q50" s="26" t="n">
        <v>23.301</v>
      </c>
      <c r="R50" s="26" t="n">
        <v>23.301</v>
      </c>
      <c r="S50" s="26" t="n">
        <v>22.795</v>
      </c>
      <c r="T50" s="26" t="n">
        <v>23.048</v>
      </c>
      <c r="U50" s="26" t="n">
        <v>23.301</v>
      </c>
      <c r="V50" s="26" t="n">
        <v>23.301</v>
      </c>
      <c r="W50" s="26" t="n">
        <v>23.048</v>
      </c>
      <c r="X50" s="26" t="n">
        <v>23.048</v>
      </c>
      <c r="Y50" s="26" t="n">
        <v>7.854</v>
      </c>
      <c r="BG50" s="35" t="n">
        <v>1</v>
      </c>
      <c r="BH50" s="16" t="n">
        <v>1449.19</v>
      </c>
      <c r="BI50" s="42" t="n">
        <v>1</v>
      </c>
      <c r="BJ50" t="inlineStr">
        <is>
          <t>2025-12-10</t>
        </is>
      </c>
      <c r="BK50" t="n">
        <v>1</v>
      </c>
      <c r="BL50" t="inlineStr">
        <is>
          <t>⑤초호황</t>
        </is>
      </c>
      <c r="BM50" s="26" t="n">
        <v>244.412</v>
      </c>
      <c r="BN50" t="inlineStr">
        <is>
          <t>2028-07-31</t>
        </is>
      </c>
    </row>
    <row r="51">
      <c r="A51" t="inlineStr">
        <is>
          <t>20251224800145</t>
        </is>
      </c>
      <c r="B51" t="inlineStr">
        <is>
          <t>PC</t>
        </is>
      </c>
      <c r="C51" t="n">
        <v>5</v>
      </c>
      <c r="D51" t="inlineStr">
        <is>
          <t>P/C선 5척</t>
        </is>
      </c>
      <c r="N51" s="26" t="n">
        <v>2.446</v>
      </c>
      <c r="O51" s="26" t="n">
        <v>24.463</v>
      </c>
      <c r="P51" s="26" t="n">
        <v>24.735</v>
      </c>
      <c r="Q51" s="26" t="n">
        <v>25.007</v>
      </c>
      <c r="R51" s="26" t="n">
        <v>25.007</v>
      </c>
      <c r="S51" s="26" t="n">
        <v>24.463</v>
      </c>
      <c r="T51" s="26" t="n">
        <v>24.735</v>
      </c>
      <c r="U51" s="26" t="n">
        <v>25.007</v>
      </c>
      <c r="V51" s="26" t="n">
        <v>25.007</v>
      </c>
      <c r="W51" s="26" t="n">
        <v>24.735</v>
      </c>
      <c r="X51" s="26" t="n">
        <v>24.735</v>
      </c>
      <c r="Y51" s="26" t="n">
        <v>8.425000000000001</v>
      </c>
      <c r="BG51" s="35" t="n">
        <v>1</v>
      </c>
      <c r="BH51" s="16" t="n">
        <v>1449.19</v>
      </c>
      <c r="BI51" s="42" t="n">
        <v>1</v>
      </c>
      <c r="BJ51" t="inlineStr">
        <is>
          <t>2025-12-23</t>
        </is>
      </c>
      <c r="BK51" t="n">
        <v>1</v>
      </c>
      <c r="BL51" t="inlineStr">
        <is>
          <t>⑤초호황</t>
        </is>
      </c>
      <c r="BM51" s="26" t="n">
        <v>258.765</v>
      </c>
      <c r="BN51" t="inlineStr">
        <is>
          <t>2028-07-31</t>
        </is>
      </c>
    </row>
    <row r="52">
      <c r="A52" t="inlineStr">
        <is>
          <t>20251226800842</t>
        </is>
      </c>
      <c r="B52" t="inlineStr">
        <is>
          <t>NAVAL</t>
        </is>
      </c>
      <c r="C52" t="n">
        <v>2</v>
      </c>
      <c r="D52" t="inlineStr">
        <is>
          <t>수상함 2척</t>
        </is>
      </c>
      <c r="N52" s="26" t="n">
        <v>2.402</v>
      </c>
      <c r="O52" s="26" t="n">
        <v>36.029</v>
      </c>
      <c r="P52" s="26" t="n">
        <v>36.43</v>
      </c>
      <c r="Q52" s="26" t="n">
        <v>36.83</v>
      </c>
      <c r="R52" s="26" t="n">
        <v>36.83</v>
      </c>
      <c r="S52" s="26" t="n">
        <v>36.029</v>
      </c>
      <c r="T52" s="26" t="n">
        <v>36.43</v>
      </c>
      <c r="U52" s="26" t="n">
        <v>36.83</v>
      </c>
      <c r="V52" s="26" t="n">
        <v>36.83</v>
      </c>
      <c r="W52" s="26" t="n">
        <v>36.43</v>
      </c>
      <c r="X52" s="26" t="n">
        <v>36.43</v>
      </c>
      <c r="Y52" s="26" t="n">
        <v>36.83</v>
      </c>
      <c r="Z52" s="26" t="n">
        <v>36.83</v>
      </c>
      <c r="AA52" s="26" t="n">
        <v>36.029</v>
      </c>
      <c r="AB52" s="26" t="n">
        <v>36.43</v>
      </c>
      <c r="AC52" s="26" t="n">
        <v>36.83</v>
      </c>
      <c r="AD52" s="26" t="n">
        <v>32.428</v>
      </c>
      <c r="BG52" s="35" t="n">
        <v>1</v>
      </c>
      <c r="BH52" s="16" t="n">
        <v>1449.19</v>
      </c>
      <c r="BI52" s="42" t="n">
        <v>1</v>
      </c>
      <c r="BJ52" t="inlineStr">
        <is>
          <t>2025-12-26</t>
        </is>
      </c>
      <c r="BK52" t="n">
        <v>1</v>
      </c>
      <c r="BL52" t="inlineStr">
        <is>
          <t>⑤초호황</t>
        </is>
      </c>
      <c r="BM52" s="26" t="n">
        <v>582.877</v>
      </c>
      <c r="BN52" t="inlineStr">
        <is>
          <t>2029-12-20</t>
        </is>
      </c>
    </row>
    <row r="53">
      <c r="A53" t="inlineStr">
        <is>
          <t>20260106800134</t>
        </is>
      </c>
      <c r="B53" t="inlineStr">
        <is>
          <t>LNGC</t>
        </is>
      </c>
      <c r="C53" t="n">
        <v>4</v>
      </c>
      <c r="D53" t="inlineStr">
        <is>
          <t>LNGC 4척</t>
        </is>
      </c>
      <c r="O53" s="26" t="n">
        <v>74.657</v>
      </c>
      <c r="P53" s="26" t="n">
        <v>78.998</v>
      </c>
      <c r="Q53" s="26" t="n">
        <v>79.866</v>
      </c>
      <c r="R53" s="26" t="n">
        <v>79.866</v>
      </c>
      <c r="S53" s="26" t="n">
        <v>78.13</v>
      </c>
      <c r="T53" s="26" t="n">
        <v>78.998</v>
      </c>
      <c r="U53" s="26" t="n">
        <v>79.866</v>
      </c>
      <c r="V53" s="26" t="n">
        <v>79.866</v>
      </c>
      <c r="W53" s="26" t="n">
        <v>78.998</v>
      </c>
      <c r="X53" s="26" t="n">
        <v>78.998</v>
      </c>
      <c r="Y53" s="26" t="n">
        <v>79.866</v>
      </c>
      <c r="Z53" s="26" t="n">
        <v>79.866</v>
      </c>
      <c r="AA53" s="26" t="n">
        <v>74.65600000000001</v>
      </c>
      <c r="BG53" s="35" t="n">
        <v>1</v>
      </c>
      <c r="BH53" s="16" t="n">
        <v>1466.12</v>
      </c>
      <c r="BI53" s="42" t="n">
        <v>1</v>
      </c>
      <c r="BJ53" t="inlineStr">
        <is>
          <t>2026-01-05</t>
        </is>
      </c>
      <c r="BK53" t="n">
        <v>1</v>
      </c>
      <c r="BL53" t="inlineStr">
        <is>
          <t>⑤초호황</t>
        </is>
      </c>
      <c r="BM53" s="26" t="n">
        <v>1022.631</v>
      </c>
      <c r="BN53" t="inlineStr">
        <is>
          <t>2029-03-27</t>
        </is>
      </c>
    </row>
    <row r="54">
      <c r="A54" t="inlineStr">
        <is>
          <t>20260120800200</t>
        </is>
      </c>
      <c r="B54" t="inlineStr">
        <is>
          <t>VLCC</t>
        </is>
      </c>
      <c r="C54" t="n">
        <v>2</v>
      </c>
      <c r="D54" t="inlineStr">
        <is>
          <t>157,000 DWT 원유운반선 2척, 115,000 DWT P/C선 2척</t>
        </is>
      </c>
      <c r="O54" s="26" t="n">
        <v>18.786</v>
      </c>
      <c r="P54" s="26" t="n">
        <v>23.743</v>
      </c>
      <c r="Q54" s="26" t="n">
        <v>24.004</v>
      </c>
      <c r="R54" s="26" t="n">
        <v>24.004</v>
      </c>
      <c r="S54" s="26" t="n">
        <v>23.482</v>
      </c>
      <c r="T54" s="26" t="n">
        <v>23.743</v>
      </c>
      <c r="U54" s="26" t="n">
        <v>24.004</v>
      </c>
      <c r="V54" s="26" t="n">
        <v>24.004</v>
      </c>
      <c r="W54" s="26" t="n">
        <v>23.743</v>
      </c>
      <c r="X54" s="26" t="n">
        <v>23.743</v>
      </c>
      <c r="Y54" s="26" t="n">
        <v>24.004</v>
      </c>
      <c r="Z54" s="26" t="n">
        <v>24.004</v>
      </c>
      <c r="AA54" s="26" t="n">
        <v>23.482</v>
      </c>
      <c r="AB54" s="26" t="n">
        <v>23.74</v>
      </c>
      <c r="BG54" s="35" t="n">
        <v>1</v>
      </c>
      <c r="BH54" s="16" t="n">
        <v>1466.12</v>
      </c>
      <c r="BI54" s="42" t="n">
        <v>1</v>
      </c>
      <c r="BJ54" t="inlineStr">
        <is>
          <t>2026-01-19</t>
        </is>
      </c>
      <c r="BK54" t="n">
        <v>1</v>
      </c>
      <c r="BL54" t="inlineStr">
        <is>
          <t>⑤초호황</t>
        </is>
      </c>
      <c r="BM54" s="26" t="n">
        <v>328.486</v>
      </c>
      <c r="BN54" t="inlineStr">
        <is>
          <t>2029-06-30</t>
        </is>
      </c>
    </row>
    <row r="55">
      <c r="A55" t="inlineStr">
        <is>
          <t>20260226800192</t>
        </is>
      </c>
      <c r="B55" t="inlineStr">
        <is>
          <t>LNGC</t>
        </is>
      </c>
      <c r="C55" t="n">
        <v>1</v>
      </c>
      <c r="D55" t="inlineStr">
        <is>
          <t>LNGC 1척</t>
        </is>
      </c>
      <c r="O55" s="26" t="n">
        <v>9.262</v>
      </c>
      <c r="P55" s="26" t="n">
        <v>24.081</v>
      </c>
      <c r="Q55" s="26" t="n">
        <v>24.346</v>
      </c>
      <c r="R55" s="26" t="n">
        <v>24.346</v>
      </c>
      <c r="S55" s="26" t="n">
        <v>23.816</v>
      </c>
      <c r="T55" s="26" t="n">
        <v>24.081</v>
      </c>
      <c r="U55" s="26" t="n">
        <v>24.346</v>
      </c>
      <c r="V55" s="26" t="n">
        <v>24.346</v>
      </c>
      <c r="W55" s="26" t="n">
        <v>24.081</v>
      </c>
      <c r="X55" s="26" t="n">
        <v>24.081</v>
      </c>
      <c r="Y55" s="26" t="n">
        <v>24.08</v>
      </c>
      <c r="BG55" s="35" t="n">
        <v>1</v>
      </c>
      <c r="BH55" s="16" t="n">
        <v>1466.12</v>
      </c>
      <c r="BI55" s="42" t="n">
        <v>1</v>
      </c>
      <c r="BJ55" t="inlineStr">
        <is>
          <t>2026-02-25</t>
        </is>
      </c>
      <c r="BK55" t="n">
        <v>1</v>
      </c>
      <c r="BL55" t="inlineStr">
        <is>
          <t>⑤초호황</t>
        </is>
      </c>
      <c r="BM55" s="26" t="n">
        <v>250.866</v>
      </c>
      <c r="BN55" t="inlineStr">
        <is>
          <t>2028-09-29</t>
        </is>
      </c>
    </row>
    <row r="56">
      <c r="A56" t="inlineStr">
        <is>
          <t>20260227800223</t>
        </is>
      </c>
      <c r="B56" t="inlineStr">
        <is>
          <t>CONT</t>
        </is>
      </c>
      <c r="C56" t="n">
        <v>6</v>
      </c>
      <c r="D56" t="inlineStr">
        <is>
          <t>컨테이너선 6척</t>
        </is>
      </c>
      <c r="O56" s="26" t="n">
        <v>10.089</v>
      </c>
      <c r="P56" s="26" t="n">
        <v>27.003</v>
      </c>
      <c r="Q56" s="26" t="n">
        <v>27.299</v>
      </c>
      <c r="R56" s="26" t="n">
        <v>27.299</v>
      </c>
      <c r="S56" s="26" t="n">
        <v>26.706</v>
      </c>
      <c r="T56" s="26" t="n">
        <v>27.003</v>
      </c>
      <c r="U56" s="26" t="n">
        <v>27.299</v>
      </c>
      <c r="V56" s="26" t="n">
        <v>27.299</v>
      </c>
      <c r="W56" s="26" t="n">
        <v>27.003</v>
      </c>
      <c r="X56" s="26" t="n">
        <v>27.004</v>
      </c>
      <c r="BG56" s="35" t="n">
        <v>1</v>
      </c>
      <c r="BH56" s="16" t="n">
        <v>1466.12</v>
      </c>
      <c r="BI56" s="42" t="n">
        <v>1</v>
      </c>
      <c r="BJ56" t="inlineStr">
        <is>
          <t>2026-02-26</t>
        </is>
      </c>
      <c r="BK56" t="n">
        <v>1</v>
      </c>
      <c r="BL56" t="inlineStr">
        <is>
          <t>⑤초호황</t>
        </is>
      </c>
      <c r="BM56" s="26" t="n">
        <v>254.004</v>
      </c>
      <c r="BN56" t="inlineStr">
        <is>
          <t>2028-06-30</t>
        </is>
      </c>
    </row>
    <row r="57">
      <c r="A57" t="inlineStr">
        <is>
          <t>20260305800836</t>
        </is>
      </c>
      <c r="B57" t="inlineStr">
        <is>
          <t>LNGC</t>
        </is>
      </c>
      <c r="C57" t="n">
        <v>4</v>
      </c>
      <c r="D57" t="inlineStr">
        <is>
          <t>LNGC 4척</t>
        </is>
      </c>
      <c r="O57" s="26" t="n">
        <v>20.762</v>
      </c>
      <c r="P57" s="26" t="n">
        <v>67.477</v>
      </c>
      <c r="Q57" s="26" t="n">
        <v>68.218</v>
      </c>
      <c r="R57" s="26" t="n">
        <v>68.218</v>
      </c>
      <c r="S57" s="26" t="n">
        <v>66.735</v>
      </c>
      <c r="T57" s="26" t="n">
        <v>67.477</v>
      </c>
      <c r="U57" s="26" t="n">
        <v>68.218</v>
      </c>
      <c r="V57" s="26" t="n">
        <v>68.218</v>
      </c>
      <c r="W57" s="26" t="n">
        <v>67.477</v>
      </c>
      <c r="X57" s="26" t="n">
        <v>67.477</v>
      </c>
      <c r="Y57" s="26" t="n">
        <v>68.218</v>
      </c>
      <c r="Z57" s="26" t="n">
        <v>68.218</v>
      </c>
      <c r="AA57" s="26" t="n">
        <v>66.735</v>
      </c>
      <c r="AB57" s="26" t="n">
        <v>67.477</v>
      </c>
      <c r="AC57" s="26" t="n">
        <v>68.218</v>
      </c>
      <c r="AD57" s="26" t="n">
        <v>45.235</v>
      </c>
      <c r="BG57" s="35" t="n">
        <v>1</v>
      </c>
      <c r="BH57" s="16" t="n">
        <v>1466.12</v>
      </c>
      <c r="BI57" s="42" t="n">
        <v>1</v>
      </c>
      <c r="BJ57" t="inlineStr">
        <is>
          <t>2026-03-04</t>
        </is>
      </c>
      <c r="BK57" t="n">
        <v>1</v>
      </c>
      <c r="BL57" t="inlineStr">
        <is>
          <t>⑤초호황</t>
        </is>
      </c>
      <c r="BM57" s="26" t="n">
        <v>1014.378</v>
      </c>
      <c r="BN57" t="inlineStr">
        <is>
          <t>2029-11-30</t>
        </is>
      </c>
    </row>
    <row r="58">
      <c r="A58" t="inlineStr">
        <is>
          <t>20260316800220</t>
        </is>
      </c>
      <c r="B58" t="inlineStr">
        <is>
          <t>CONT</t>
        </is>
      </c>
      <c r="C58" t="n">
        <v>10</v>
      </c>
      <c r="D58" t="inlineStr">
        <is>
          <t>컨테이너선 10척</t>
        </is>
      </c>
      <c r="O58" s="26" t="n">
        <v>10.414</v>
      </c>
      <c r="P58" s="26" t="n">
        <v>49.879</v>
      </c>
      <c r="Q58" s="26" t="n">
        <v>50.427</v>
      </c>
      <c r="R58" s="26" t="n">
        <v>50.427</v>
      </c>
      <c r="S58" s="26" t="n">
        <v>49.331</v>
      </c>
      <c r="T58" s="26" t="n">
        <v>49.879</v>
      </c>
      <c r="U58" s="26" t="n">
        <v>50.427</v>
      </c>
      <c r="V58" s="26" t="n">
        <v>50.427</v>
      </c>
      <c r="W58" s="26" t="n">
        <v>49.879</v>
      </c>
      <c r="X58" s="26" t="n">
        <v>49.879</v>
      </c>
      <c r="Y58" s="26" t="n">
        <v>50.427</v>
      </c>
      <c r="Z58" s="26" t="n">
        <v>50.427</v>
      </c>
      <c r="BG58" s="35" t="n">
        <v>1</v>
      </c>
      <c r="BH58" s="16" t="n">
        <v>1466.12</v>
      </c>
      <c r="BI58" s="42" t="n">
        <v>1</v>
      </c>
      <c r="BJ58" t="inlineStr">
        <is>
          <t>2026-03-13</t>
        </is>
      </c>
      <c r="BK58" t="n">
        <v>1</v>
      </c>
      <c r="BL58" t="inlineStr">
        <is>
          <t>⑤초호황</t>
        </is>
      </c>
      <c r="BM58" s="26" t="n">
        <v>561.823</v>
      </c>
      <c r="BN58" t="inlineStr">
        <is>
          <t>2028-12-31</t>
        </is>
      </c>
    </row>
    <row r="59">
      <c r="A59" t="inlineStr">
        <is>
          <t>20260403800571</t>
        </is>
      </c>
      <c r="B59" t="inlineStr">
        <is>
          <t>PC</t>
        </is>
      </c>
      <c r="C59" t="n">
        <v>8</v>
      </c>
      <c r="D59" t="inlineStr">
        <is>
          <t>P/C선 8척</t>
        </is>
      </c>
      <c r="P59" s="26" t="n">
        <v>31.712</v>
      </c>
      <c r="Q59" s="26" t="n">
        <v>32.417</v>
      </c>
      <c r="R59" s="26" t="n">
        <v>32.417</v>
      </c>
      <c r="S59" s="26" t="n">
        <v>31.712</v>
      </c>
      <c r="T59" s="26" t="n">
        <v>32.065</v>
      </c>
      <c r="U59" s="26" t="n">
        <v>32.417</v>
      </c>
      <c r="V59" s="26" t="n">
        <v>32.417</v>
      </c>
      <c r="W59" s="26" t="n">
        <v>32.065</v>
      </c>
      <c r="X59" s="26" t="n">
        <v>32.065</v>
      </c>
      <c r="Y59" s="26" t="n">
        <v>32.417</v>
      </c>
      <c r="Z59" s="26" t="n">
        <v>32.417</v>
      </c>
      <c r="AA59" s="26" t="n">
        <v>31.712</v>
      </c>
      <c r="AB59" s="26" t="n">
        <v>21.492</v>
      </c>
      <c r="BG59" s="35" t="n">
        <v>1</v>
      </c>
      <c r="BH59" s="16" t="n">
        <v>1501.75</v>
      </c>
      <c r="BI59" s="42" t="n">
        <v>1</v>
      </c>
      <c r="BJ59" t="inlineStr">
        <is>
          <t>2026-04-02</t>
        </is>
      </c>
      <c r="BK59" t="n">
        <v>1</v>
      </c>
      <c r="BL59" t="inlineStr">
        <is>
          <t>⑤초호황</t>
        </is>
      </c>
      <c r="BM59" s="26" t="n">
        <v>407.325</v>
      </c>
      <c r="BN59" t="inlineStr">
        <is>
          <t>2029-05-31</t>
        </is>
      </c>
    </row>
    <row r="60">
      <c r="A60" t="inlineStr">
        <is>
          <t>20260403800577</t>
        </is>
      </c>
      <c r="B60" t="inlineStr">
        <is>
          <t>VLGC</t>
        </is>
      </c>
      <c r="C60" t="n">
        <v>2</v>
      </c>
      <c r="D60" t="inlineStr">
        <is>
          <t>LPGC 2척</t>
        </is>
      </c>
      <c r="P60" s="26" t="n">
        <v>17.468</v>
      </c>
      <c r="Q60" s="26" t="n">
        <v>17.856</v>
      </c>
      <c r="R60" s="26" t="n">
        <v>17.856</v>
      </c>
      <c r="S60" s="26" t="n">
        <v>17.468</v>
      </c>
      <c r="T60" s="26" t="n">
        <v>17.662</v>
      </c>
      <c r="U60" s="26" t="n">
        <v>17.856</v>
      </c>
      <c r="V60" s="26" t="n">
        <v>17.856</v>
      </c>
      <c r="W60" s="26" t="n">
        <v>17.662</v>
      </c>
      <c r="X60" s="26" t="n">
        <v>17.663</v>
      </c>
      <c r="BG60" s="35" t="n">
        <v>1</v>
      </c>
      <c r="BH60" s="16" t="n">
        <v>1501.75</v>
      </c>
      <c r="BI60" s="42" t="n">
        <v>1</v>
      </c>
      <c r="BJ60" t="inlineStr">
        <is>
          <t>2026-04-02</t>
        </is>
      </c>
      <c r="BK60" t="n">
        <v>1</v>
      </c>
      <c r="BL60" t="inlineStr">
        <is>
          <t>⑤초호황</t>
        </is>
      </c>
      <c r="BM60" s="26" t="n">
        <v>159.347</v>
      </c>
      <c r="BN60" t="inlineStr">
        <is>
          <t>2028-06-30</t>
        </is>
      </c>
    </row>
    <row r="61">
      <c r="A61" t="inlineStr">
        <is>
          <t>20260417800177</t>
        </is>
      </c>
      <c r="B61" t="inlineStr">
        <is>
          <t>VLGC</t>
        </is>
      </c>
      <c r="C61" t="n">
        <v>4</v>
      </c>
      <c r="D61" t="inlineStr">
        <is>
          <t>VLGC 4척</t>
        </is>
      </c>
      <c r="P61" s="26" t="n">
        <v>25.77</v>
      </c>
      <c r="Q61" s="26" t="n">
        <v>31.195</v>
      </c>
      <c r="R61" s="26" t="n">
        <v>31.195</v>
      </c>
      <c r="S61" s="26" t="n">
        <v>30.517</v>
      </c>
      <c r="T61" s="26" t="n">
        <v>30.856</v>
      </c>
      <c r="U61" s="26" t="n">
        <v>31.195</v>
      </c>
      <c r="V61" s="26" t="n">
        <v>31.195</v>
      </c>
      <c r="W61" s="26" t="n">
        <v>30.856</v>
      </c>
      <c r="X61" s="26" t="n">
        <v>30.856</v>
      </c>
      <c r="Y61" s="26" t="n">
        <v>31.195</v>
      </c>
      <c r="Z61" s="26" t="n">
        <v>31.195</v>
      </c>
      <c r="AA61" s="26" t="n">
        <v>30.517</v>
      </c>
      <c r="AB61" s="26" t="n">
        <v>30.856</v>
      </c>
      <c r="AC61" s="26" t="n">
        <v>31.195</v>
      </c>
      <c r="AD61" s="26" t="n">
        <v>20.683</v>
      </c>
      <c r="BG61" s="35" t="n">
        <v>1</v>
      </c>
      <c r="BH61" s="16" t="n">
        <v>1501.75</v>
      </c>
      <c r="BI61" s="42" t="n">
        <v>1</v>
      </c>
      <c r="BJ61" t="inlineStr">
        <is>
          <t>2026-04-16</t>
        </is>
      </c>
      <c r="BK61" t="n">
        <v>1</v>
      </c>
      <c r="BL61" t="inlineStr">
        <is>
          <t>⑤초호황</t>
        </is>
      </c>
      <c r="BM61" s="26" t="n">
        <v>449.276</v>
      </c>
      <c r="BN61" t="inlineStr">
        <is>
          <t>2029-11-30</t>
        </is>
      </c>
    </row>
    <row r="62">
      <c r="A62" t="inlineStr">
        <is>
          <t>20260422800038</t>
        </is>
      </c>
      <c r="B62" t="inlineStr">
        <is>
          <t>NAVAL</t>
        </is>
      </c>
      <c r="C62" t="n">
        <v>1</v>
      </c>
      <c r="D62" t="inlineStr">
        <is>
          <t>쇄빙전용선 1척</t>
        </is>
      </c>
      <c r="P62" s="26" t="n">
        <v>19.852</v>
      </c>
      <c r="Q62" s="26" t="n">
        <v>25.724</v>
      </c>
      <c r="R62" s="26" t="n">
        <v>25.724</v>
      </c>
      <c r="S62" s="26" t="n">
        <v>25.165</v>
      </c>
      <c r="T62" s="26" t="n">
        <v>25.444</v>
      </c>
      <c r="U62" s="26" t="n">
        <v>25.724</v>
      </c>
      <c r="V62" s="26" t="n">
        <v>25.724</v>
      </c>
      <c r="W62" s="26" t="n">
        <v>25.444</v>
      </c>
      <c r="X62" s="26" t="n">
        <v>25.444</v>
      </c>
      <c r="Y62" s="26" t="n">
        <v>25.724</v>
      </c>
      <c r="Z62" s="26" t="n">
        <v>25.724</v>
      </c>
      <c r="AA62" s="26" t="n">
        <v>25.165</v>
      </c>
      <c r="AB62" s="26" t="n">
        <v>25.444</v>
      </c>
      <c r="AC62" s="26" t="n">
        <v>16.498</v>
      </c>
      <c r="BG62" s="35" t="n">
        <v>1</v>
      </c>
      <c r="BH62" s="16" t="n">
        <v>1501.75</v>
      </c>
      <c r="BI62" s="42" t="n">
        <v>1</v>
      </c>
      <c r="BJ62" t="inlineStr">
        <is>
          <t>2026-04-21</t>
        </is>
      </c>
      <c r="BK62" t="n">
        <v>1</v>
      </c>
      <c r="BL62" t="inlineStr">
        <is>
          <t>⑤초호황</t>
        </is>
      </c>
      <c r="BM62" s="26" t="n">
        <v>342.8</v>
      </c>
      <c r="BN62" t="inlineStr">
        <is>
          <t>2029-08-28</t>
        </is>
      </c>
    </row>
    <row r="63">
      <c r="A63" t="inlineStr">
        <is>
          <t>20260422800175</t>
        </is>
      </c>
      <c r="B63" t="inlineStr">
        <is>
          <t>OTHER</t>
        </is>
      </c>
      <c r="D63" t="inlineStr">
        <is>
          <t>엔진발전기 공급</t>
        </is>
      </c>
      <c r="P63" s="26" t="n">
        <v>18.023</v>
      </c>
      <c r="Q63" s="26" t="n">
        <v>23.354</v>
      </c>
      <c r="R63" s="26" t="n">
        <v>23.354</v>
      </c>
      <c r="S63" s="26" t="n">
        <v>22.846</v>
      </c>
      <c r="T63" s="26" t="n">
        <v>23.1</v>
      </c>
      <c r="U63" s="26" t="n">
        <v>23.354</v>
      </c>
      <c r="V63" s="26" t="n">
        <v>23.354</v>
      </c>
      <c r="W63" s="26" t="n">
        <v>23.1</v>
      </c>
      <c r="X63" s="26" t="n">
        <v>23.1</v>
      </c>
      <c r="Y63" s="26" t="n">
        <v>23.354</v>
      </c>
      <c r="Z63" s="26" t="n">
        <v>23.354</v>
      </c>
      <c r="AA63" s="26" t="n">
        <v>22.846</v>
      </c>
      <c r="AB63" s="26" t="n">
        <v>23.1</v>
      </c>
      <c r="AC63" s="26" t="n">
        <v>23.354</v>
      </c>
      <c r="AD63" s="26" t="n">
        <v>23.354</v>
      </c>
      <c r="AE63" s="26" t="n">
        <v>22.846</v>
      </c>
      <c r="AF63" s="26" t="n">
        <v>23.1</v>
      </c>
      <c r="AG63" s="26" t="n">
        <v>23.354</v>
      </c>
      <c r="AH63" s="26" t="n">
        <v>5.332</v>
      </c>
      <c r="BG63" s="35" t="n">
        <v>0</v>
      </c>
      <c r="BH63" s="16" t="n">
        <v>1501.75</v>
      </c>
      <c r="BI63" s="42" t="n">
        <v>1</v>
      </c>
      <c r="BJ63" t="inlineStr">
        <is>
          <t>2026-04-21</t>
        </is>
      </c>
      <c r="BK63" t="n">
        <v>1</v>
      </c>
      <c r="BM63" s="26" t="n">
        <v>417.579</v>
      </c>
      <c r="BN63" t="inlineStr">
        <is>
          <t>2030-10-21</t>
        </is>
      </c>
    </row>
    <row r="64">
      <c r="A64" t="inlineStr">
        <is>
          <t>20260504800297</t>
        </is>
      </c>
      <c r="B64" t="inlineStr">
        <is>
          <t>VLGC</t>
        </is>
      </c>
      <c r="C64" t="n">
        <v>3</v>
      </c>
      <c r="D64" t="inlineStr">
        <is>
          <t>VLGC 3척</t>
        </is>
      </c>
      <c r="P64" s="26" t="n">
        <v>17.083</v>
      </c>
      <c r="Q64" s="26" t="n">
        <v>25.348</v>
      </c>
      <c r="R64" s="26" t="n">
        <v>25.348</v>
      </c>
      <c r="S64" s="26" t="n">
        <v>24.797</v>
      </c>
      <c r="T64" s="26" t="n">
        <v>25.073</v>
      </c>
      <c r="U64" s="26" t="n">
        <v>25.348</v>
      </c>
      <c r="V64" s="26" t="n">
        <v>25.348</v>
      </c>
      <c r="W64" s="26" t="n">
        <v>25.073</v>
      </c>
      <c r="X64" s="26" t="n">
        <v>25.073</v>
      </c>
      <c r="Y64" s="26" t="n">
        <v>25.348</v>
      </c>
      <c r="Z64" s="26" t="n">
        <v>25.348</v>
      </c>
      <c r="AA64" s="26" t="n">
        <v>24.797</v>
      </c>
      <c r="AB64" s="26" t="n">
        <v>25.073</v>
      </c>
      <c r="AC64" s="26" t="n">
        <v>17.084</v>
      </c>
      <c r="BG64" s="35" t="n">
        <v>1</v>
      </c>
      <c r="BH64" s="16" t="n">
        <v>1501.75</v>
      </c>
      <c r="BI64" s="42" t="n">
        <v>1</v>
      </c>
      <c r="BJ64" t="inlineStr">
        <is>
          <t>2026-04-30</t>
        </is>
      </c>
      <c r="BK64" t="n">
        <v>1</v>
      </c>
      <c r="BL64" t="inlineStr">
        <is>
          <t>⑤초호황</t>
        </is>
      </c>
      <c r="BM64" s="26" t="n">
        <v>336.141</v>
      </c>
      <c r="BN64" t="inlineStr">
        <is>
          <t>2029-08-31</t>
        </is>
      </c>
    </row>
    <row r="65">
      <c r="A65" t="inlineStr">
        <is>
          <t>20260508800180</t>
        </is>
      </c>
      <c r="B65" t="inlineStr">
        <is>
          <t>CONT</t>
        </is>
      </c>
      <c r="C65" t="n">
        <v>6</v>
      </c>
      <c r="D65" t="inlineStr">
        <is>
          <t>컨테이너선 6척</t>
        </is>
      </c>
      <c r="P65" s="26" t="n">
        <v>52.408</v>
      </c>
      <c r="Q65" s="26" t="n">
        <v>87.664</v>
      </c>
      <c r="R65" s="26" t="n">
        <v>87.664</v>
      </c>
      <c r="S65" s="26" t="n">
        <v>85.758</v>
      </c>
      <c r="T65" s="26" t="n">
        <v>86.711</v>
      </c>
      <c r="U65" s="26" t="n">
        <v>87.664</v>
      </c>
      <c r="V65" s="26" t="n">
        <v>87.664</v>
      </c>
      <c r="W65" s="26" t="n">
        <v>86.711</v>
      </c>
      <c r="X65" s="26" t="n">
        <v>86.711</v>
      </c>
      <c r="Y65" s="26" t="n">
        <v>87.664</v>
      </c>
      <c r="Z65" s="26" t="n">
        <v>87.664</v>
      </c>
      <c r="AA65" s="26" t="n">
        <v>85.758</v>
      </c>
      <c r="AB65" s="26" t="n">
        <v>86.711</v>
      </c>
      <c r="AC65" s="26" t="n">
        <v>87.666</v>
      </c>
      <c r="BG65" s="35" t="n">
        <v>1</v>
      </c>
      <c r="BH65" s="16" t="n">
        <v>1501.75</v>
      </c>
      <c r="BI65" s="42" t="n">
        <v>1</v>
      </c>
      <c r="BJ65" t="inlineStr">
        <is>
          <t>2026-05-07</t>
        </is>
      </c>
      <c r="BK65" t="n">
        <v>1</v>
      </c>
      <c r="BL65" t="inlineStr">
        <is>
          <t>⑤초호황</t>
        </is>
      </c>
      <c r="BM65" s="26" t="n">
        <v>1184.418</v>
      </c>
      <c r="BN65" t="inlineStr">
        <is>
          <t>2029-09-30</t>
        </is>
      </c>
    </row>
    <row r="66">
      <c r="A66" t="inlineStr">
        <is>
          <t>20260508800181</t>
        </is>
      </c>
      <c r="B66" t="inlineStr">
        <is>
          <t>VLGC</t>
        </is>
      </c>
      <c r="C66" t="n">
        <v>2</v>
      </c>
      <c r="D66" t="inlineStr">
        <is>
          <t>VLGC 2척</t>
        </is>
      </c>
      <c r="P66" s="26" t="n">
        <v>12.177</v>
      </c>
      <c r="Q66" s="26" t="n">
        <v>20.369</v>
      </c>
      <c r="R66" s="26" t="n">
        <v>20.369</v>
      </c>
      <c r="S66" s="26" t="n">
        <v>19.926</v>
      </c>
      <c r="T66" s="26" t="n">
        <v>20.147</v>
      </c>
      <c r="U66" s="26" t="n">
        <v>20.369</v>
      </c>
      <c r="V66" s="26" t="n">
        <v>20.369</v>
      </c>
      <c r="W66" s="26" t="n">
        <v>20.147</v>
      </c>
      <c r="X66" s="26" t="n">
        <v>20.147</v>
      </c>
      <c r="Y66" s="26" t="n">
        <v>20.369</v>
      </c>
      <c r="Z66" s="26" t="n">
        <v>20.369</v>
      </c>
      <c r="AA66" s="26" t="n">
        <v>19.702</v>
      </c>
      <c r="BG66" s="35" t="n">
        <v>1</v>
      </c>
      <c r="BH66" s="16" t="n">
        <v>1501.75</v>
      </c>
      <c r="BI66" s="42" t="n">
        <v>1</v>
      </c>
      <c r="BJ66" t="inlineStr">
        <is>
          <t>2026-05-07</t>
        </is>
      </c>
      <c r="BK66" t="n">
        <v>1</v>
      </c>
      <c r="BL66" t="inlineStr">
        <is>
          <t>⑤초호황</t>
        </is>
      </c>
      <c r="BM66" s="26" t="n">
        <v>234.46</v>
      </c>
      <c r="BN66" t="inlineStr">
        <is>
          <t>2029-03-30</t>
        </is>
      </c>
    </row>
    <row r="67">
      <c r="A67" t="inlineStr">
        <is>
          <t>20260514800315</t>
        </is>
      </c>
      <c r="B67" t="inlineStr">
        <is>
          <t>LNGC</t>
        </is>
      </c>
      <c r="C67" t="n">
        <v>2</v>
      </c>
      <c r="D67" t="inlineStr">
        <is>
          <t>LNGC 2척</t>
        </is>
      </c>
      <c r="P67" s="26" t="n">
        <v>23.051</v>
      </c>
      <c r="Q67" s="26" t="n">
        <v>43.279</v>
      </c>
      <c r="R67" s="26" t="n">
        <v>43.279</v>
      </c>
      <c r="S67" s="26" t="n">
        <v>42.338</v>
      </c>
      <c r="T67" s="26" t="n">
        <v>42.808</v>
      </c>
      <c r="U67" s="26" t="n">
        <v>43.279</v>
      </c>
      <c r="V67" s="26" t="n">
        <v>43.279</v>
      </c>
      <c r="W67" s="26" t="n">
        <v>42.808</v>
      </c>
      <c r="X67" s="26" t="n">
        <v>42.808</v>
      </c>
      <c r="Y67" s="26" t="n">
        <v>43.279</v>
      </c>
      <c r="Z67" s="26" t="n">
        <v>43.279</v>
      </c>
      <c r="AA67" s="26" t="n">
        <v>41.868</v>
      </c>
      <c r="BG67" s="35" t="n">
        <v>1</v>
      </c>
      <c r="BH67" s="16" t="n">
        <v>1501.75</v>
      </c>
      <c r="BI67" s="42" t="n">
        <v>1</v>
      </c>
      <c r="BJ67" t="inlineStr">
        <is>
          <t>2026-05-13</t>
        </is>
      </c>
      <c r="BK67" t="n">
        <v>1</v>
      </c>
      <c r="BL67" t="inlineStr">
        <is>
          <t>⑤초호황</t>
        </is>
      </c>
      <c r="BM67" s="26" t="n">
        <v>495.355</v>
      </c>
      <c r="BN67" t="inlineStr">
        <is>
          <t>2029-03-30</t>
        </is>
      </c>
    </row>
    <row r="68">
      <c r="A68" t="inlineStr">
        <is>
          <t>20260601800384</t>
        </is>
      </c>
      <c r="B68" t="inlineStr">
        <is>
          <t>VLGC</t>
        </is>
      </c>
      <c r="C68" t="n">
        <v>8</v>
      </c>
      <c r="D68" t="inlineStr">
        <is>
          <t>VLGC 8척</t>
        </is>
      </c>
      <c r="P68" s="26" t="n">
        <v>20.211</v>
      </c>
      <c r="Q68" s="26" t="n">
        <v>58.106</v>
      </c>
      <c r="R68" s="26" t="n">
        <v>58.106</v>
      </c>
      <c r="S68" s="26" t="n">
        <v>56.843</v>
      </c>
      <c r="T68" s="26" t="n">
        <v>57.475</v>
      </c>
      <c r="U68" s="26" t="n">
        <v>58.106</v>
      </c>
      <c r="V68" s="26" t="n">
        <v>58.106</v>
      </c>
      <c r="W68" s="26" t="n">
        <v>57.475</v>
      </c>
      <c r="X68" s="26" t="n">
        <v>57.475</v>
      </c>
      <c r="Y68" s="26" t="n">
        <v>58.106</v>
      </c>
      <c r="Z68" s="26" t="n">
        <v>58.106</v>
      </c>
      <c r="AA68" s="26" t="n">
        <v>56.843</v>
      </c>
      <c r="AB68" s="26" t="n">
        <v>57.475</v>
      </c>
      <c r="AC68" s="26" t="n">
        <v>58.106</v>
      </c>
      <c r="AD68" s="26" t="n">
        <v>58.106</v>
      </c>
      <c r="AE68" s="26" t="n">
        <v>56.843</v>
      </c>
      <c r="AF68" s="26" t="n">
        <v>57.479</v>
      </c>
      <c r="BG68" s="35" t="n">
        <v>1</v>
      </c>
      <c r="BH68" s="16" t="n">
        <v>1501.75</v>
      </c>
      <c r="BI68" s="42" t="n">
        <v>1</v>
      </c>
      <c r="BJ68" t="inlineStr">
        <is>
          <t>2026-05-30</t>
        </is>
      </c>
      <c r="BK68" t="n">
        <v>1</v>
      </c>
      <c r="BL68" t="inlineStr">
        <is>
          <t>⑤초호황</t>
        </is>
      </c>
      <c r="BM68" s="26" t="n">
        <v>942.967</v>
      </c>
      <c r="BN68" t="inlineStr">
        <is>
          <t>2030-06-30</t>
        </is>
      </c>
    </row>
    <row r="69">
      <c r="A69" t="inlineStr">
        <is>
          <t>20260608800378</t>
        </is>
      </c>
      <c r="B69" t="inlineStr">
        <is>
          <t>VLGC</t>
        </is>
      </c>
      <c r="C69" t="n">
        <v>2</v>
      </c>
      <c r="D69" t="inlineStr">
        <is>
          <t>VLGC 2척</t>
        </is>
      </c>
      <c r="P69" s="26" t="n">
        <v>4.898</v>
      </c>
      <c r="Q69" s="26" t="n">
        <v>17.331</v>
      </c>
      <c r="R69" s="26" t="n">
        <v>17.331</v>
      </c>
      <c r="S69" s="26" t="n">
        <v>16.954</v>
      </c>
      <c r="T69" s="26" t="n">
        <v>17.143</v>
      </c>
      <c r="U69" s="26" t="n">
        <v>17.331</v>
      </c>
      <c r="V69" s="26" t="n">
        <v>17.331</v>
      </c>
      <c r="W69" s="26" t="n">
        <v>17.143</v>
      </c>
      <c r="X69" s="26" t="n">
        <v>17.143</v>
      </c>
      <c r="Y69" s="26" t="n">
        <v>17.331</v>
      </c>
      <c r="Z69" s="26" t="n">
        <v>17.331</v>
      </c>
      <c r="AA69" s="26" t="n">
        <v>16.954</v>
      </c>
      <c r="AB69" s="26" t="n">
        <v>17.143</v>
      </c>
      <c r="AC69" s="26" t="n">
        <v>17.331</v>
      </c>
      <c r="AD69" s="26" t="n">
        <v>11.491</v>
      </c>
      <c r="BG69" s="35" t="n">
        <v>1</v>
      </c>
      <c r="BH69" s="16" t="n">
        <v>1501.75</v>
      </c>
      <c r="BI69" s="42" t="n">
        <v>1</v>
      </c>
      <c r="BJ69" t="inlineStr">
        <is>
          <t>2026-06-05</t>
        </is>
      </c>
      <c r="BK69" t="n">
        <v>1</v>
      </c>
      <c r="BL69" t="inlineStr">
        <is>
          <t>⑤초호황</t>
        </is>
      </c>
      <c r="BM69" s="26" t="n">
        <v>240.186</v>
      </c>
      <c r="BN69" t="inlineStr">
        <is>
          <t>2029-11-30</t>
        </is>
      </c>
    </row>
    <row r="70">
      <c r="A70" t="inlineStr">
        <is>
          <t>20260701800212</t>
        </is>
      </c>
      <c r="B70" t="inlineStr">
        <is>
          <t>LNGC</t>
        </is>
      </c>
      <c r="C70" t="n">
        <v>1</v>
      </c>
      <c r="D70" t="inlineStr">
        <is>
          <t>FSRU 1척</t>
        </is>
      </c>
      <c r="P70" s="26" t="n">
        <v>0.308</v>
      </c>
      <c r="Q70" s="26" t="n">
        <v>28.294</v>
      </c>
      <c r="R70" s="26" t="n">
        <v>28.294</v>
      </c>
      <c r="S70" s="26" t="n">
        <v>27.679</v>
      </c>
      <c r="T70" s="26" t="n">
        <v>27.987</v>
      </c>
      <c r="U70" s="26" t="n">
        <v>28.294</v>
      </c>
      <c r="V70" s="26" t="n">
        <v>28.294</v>
      </c>
      <c r="W70" s="26" t="n">
        <v>27.987</v>
      </c>
      <c r="X70" s="26" t="n">
        <v>27.987</v>
      </c>
      <c r="Y70" s="26" t="n">
        <v>28.294</v>
      </c>
      <c r="Z70" s="26" t="n">
        <v>28.294</v>
      </c>
      <c r="AA70" s="26" t="n">
        <v>27.679</v>
      </c>
      <c r="AB70" s="26" t="n">
        <v>18.759</v>
      </c>
      <c r="BG70" s="35" t="n">
        <v>1</v>
      </c>
      <c r="BH70" s="16" t="n">
        <v>1501.75</v>
      </c>
      <c r="BI70" s="42" t="n">
        <v>1</v>
      </c>
      <c r="BJ70" t="inlineStr">
        <is>
          <t>2026-06-30</t>
        </is>
      </c>
      <c r="BK70" t="n">
        <v>1</v>
      </c>
      <c r="BL70" t="inlineStr">
        <is>
          <t>⑤초호황</t>
        </is>
      </c>
      <c r="BM70" s="26" t="n">
        <v>328.15</v>
      </c>
      <c r="BN70" t="inlineStr">
        <is>
          <t>2029-05-31</t>
        </is>
      </c>
    </row>
    <row r="71">
      <c r="A71" t="inlineStr">
        <is>
          <t>20260701800215</t>
        </is>
      </c>
      <c r="B71" t="inlineStr">
        <is>
          <t>LNGC</t>
        </is>
      </c>
      <c r="C71" t="n">
        <v>1</v>
      </c>
      <c r="D71" t="inlineStr">
        <is>
          <t>LNGC 1척</t>
        </is>
      </c>
      <c r="P71" s="26" t="n">
        <v>0.276</v>
      </c>
      <c r="Q71" s="26" t="n">
        <v>25.372</v>
      </c>
      <c r="R71" s="26" t="n">
        <v>25.372</v>
      </c>
      <c r="S71" s="26" t="n">
        <v>24.82</v>
      </c>
      <c r="T71" s="26" t="n">
        <v>25.096</v>
      </c>
      <c r="U71" s="26" t="n">
        <v>25.372</v>
      </c>
      <c r="V71" s="26" t="n">
        <v>25.372</v>
      </c>
      <c r="W71" s="26" t="n">
        <v>25.096</v>
      </c>
      <c r="X71" s="26" t="n">
        <v>25.096</v>
      </c>
      <c r="Y71" s="26" t="n">
        <v>25.372</v>
      </c>
      <c r="Z71" s="26" t="n">
        <v>25.372</v>
      </c>
      <c r="AA71" s="26" t="n">
        <v>8.545999999999999</v>
      </c>
      <c r="BG71" s="35" t="n">
        <v>1</v>
      </c>
      <c r="BH71" s="16" t="n">
        <v>1501.75</v>
      </c>
      <c r="BI71" s="42" t="n">
        <v>1</v>
      </c>
      <c r="BJ71" t="inlineStr">
        <is>
          <t>2026-06-30</t>
        </is>
      </c>
      <c r="BK71" t="n">
        <v>1</v>
      </c>
      <c r="BL71" t="inlineStr">
        <is>
          <t>⑤초호황</t>
        </is>
      </c>
      <c r="BM71" s="26" t="n">
        <v>261.162</v>
      </c>
      <c r="BN71" t="inlineStr">
        <is>
          <t>2029-01-31</t>
        </is>
      </c>
    </row>
    <row r="72">
      <c r="A72" t="inlineStr">
        <is>
          <t>20260709800137</t>
        </is>
      </c>
      <c r="B72" t="inlineStr">
        <is>
          <t>PC</t>
        </is>
      </c>
      <c r="C72" t="n">
        <v>6</v>
      </c>
      <c r="D72" t="inlineStr">
        <is>
          <t>P/C선 6척</t>
        </is>
      </c>
      <c r="Q72" s="26" t="n">
        <v>25.852</v>
      </c>
      <c r="R72" s="26" t="n">
        <v>27.981</v>
      </c>
      <c r="S72" s="26" t="n">
        <v>27.372</v>
      </c>
      <c r="T72" s="26" t="n">
        <v>27.677</v>
      </c>
      <c r="U72" s="26" t="n">
        <v>27.981</v>
      </c>
      <c r="V72" s="26" t="n">
        <v>27.981</v>
      </c>
      <c r="W72" s="26" t="n">
        <v>27.677</v>
      </c>
      <c r="X72" s="26" t="n">
        <v>27.677</v>
      </c>
      <c r="Y72" s="26" t="n">
        <v>27.981</v>
      </c>
      <c r="Z72" s="26" t="n">
        <v>27.981</v>
      </c>
      <c r="AA72" s="26" t="n">
        <v>27.372</v>
      </c>
      <c r="AB72" s="26" t="n">
        <v>27.675</v>
      </c>
      <c r="BG72" s="35" t="n">
        <v>0</v>
      </c>
      <c r="BH72" s="16" t="n">
        <v>1418.75</v>
      </c>
      <c r="BI72" s="42" t="n">
        <v>1</v>
      </c>
      <c r="BJ72" t="inlineStr">
        <is>
          <t>2026-07-08</t>
        </is>
      </c>
      <c r="BK72" t="n">
        <v>0</v>
      </c>
      <c r="BL72" t="inlineStr">
        <is>
          <t>⑤초호황</t>
        </is>
      </c>
      <c r="BM72" s="26" t="n">
        <v>331.207</v>
      </c>
      <c r="BN72" t="inlineStr">
        <is>
          <t>2029-06-30</t>
        </is>
      </c>
    </row>
    <row r="73">
      <c r="A73" t="inlineStr">
        <is>
          <t>20260714800534</t>
        </is>
      </c>
      <c r="B73" t="inlineStr">
        <is>
          <t>PCTC</t>
        </is>
      </c>
      <c r="C73" t="n">
        <v>2</v>
      </c>
      <c r="D73" t="inlineStr">
        <is>
          <t>PCTC 2척</t>
        </is>
      </c>
      <c r="P73" s="26" t="n">
        <v>21.262</v>
      </c>
      <c r="Q73" s="26" t="n">
        <v>25.404</v>
      </c>
      <c r="R73" s="26" t="n">
        <v>25.404</v>
      </c>
      <c r="S73" s="26" t="n">
        <v>24.851</v>
      </c>
      <c r="T73" s="26" t="n">
        <v>25.127</v>
      </c>
      <c r="U73" s="26" t="n">
        <v>25.404</v>
      </c>
      <c r="V73" s="26" t="n">
        <v>25.404</v>
      </c>
      <c r="W73" s="26" t="n">
        <v>25.127</v>
      </c>
      <c r="X73" s="26" t="n">
        <v>25.127</v>
      </c>
      <c r="Y73" s="26" t="n">
        <v>25.404</v>
      </c>
      <c r="Z73" s="26" t="n">
        <v>16.843</v>
      </c>
      <c r="BG73" s="35" t="n">
        <v>1</v>
      </c>
      <c r="BH73" s="16" t="n">
        <v>1501.75</v>
      </c>
      <c r="BI73" s="42" t="n">
        <v>1</v>
      </c>
      <c r="BJ73" t="inlineStr">
        <is>
          <t>2026-04-15</t>
        </is>
      </c>
      <c r="BK73" t="n">
        <v>1</v>
      </c>
      <c r="BL73" t="inlineStr">
        <is>
          <t>⑤초호황</t>
        </is>
      </c>
      <c r="BM73" s="26" t="n">
        <v>265.357</v>
      </c>
      <c r="BN73" t="inlineStr">
        <is>
          <t>2028-11-30</t>
        </is>
      </c>
    </row>
    <row r="74">
      <c r="A74" t="inlineStr">
        <is>
          <t>20260810800144</t>
        </is>
      </c>
      <c r="B74" t="inlineStr">
        <is>
          <t>OTHER</t>
        </is>
      </c>
      <c r="D74" t="inlineStr">
        <is>
          <t>엔진발전기 공급</t>
        </is>
      </c>
      <c r="Q74" s="26" t="n">
        <v>25.489</v>
      </c>
      <c r="R74" s="26" t="n">
        <v>42.636</v>
      </c>
      <c r="S74" s="26" t="n">
        <v>41.709</v>
      </c>
      <c r="T74" s="26" t="n">
        <v>42.172</v>
      </c>
      <c r="U74" s="26" t="n">
        <v>42.636</v>
      </c>
      <c r="V74" s="26" t="n">
        <v>42.636</v>
      </c>
      <c r="W74" s="26" t="n">
        <v>42.172</v>
      </c>
      <c r="X74" s="26" t="n">
        <v>42.172</v>
      </c>
      <c r="Y74" s="26" t="n">
        <v>42.636</v>
      </c>
      <c r="Z74" s="26" t="n">
        <v>42.636</v>
      </c>
      <c r="AA74" s="26" t="n">
        <v>41.709</v>
      </c>
      <c r="AB74" s="26" t="n">
        <v>42.172</v>
      </c>
      <c r="AC74" s="26" t="n">
        <v>42.636</v>
      </c>
      <c r="AD74" s="26" t="n">
        <v>42.636</v>
      </c>
      <c r="AE74" s="26" t="n">
        <v>41.709</v>
      </c>
      <c r="AF74" s="26" t="n">
        <v>42.172</v>
      </c>
      <c r="AG74" s="26" t="n">
        <v>13.905</v>
      </c>
      <c r="BG74" s="35" t="n">
        <v>0</v>
      </c>
      <c r="BH74" s="16" t="n">
        <v>1418.75</v>
      </c>
      <c r="BI74" s="42" t="n">
        <v>1</v>
      </c>
      <c r="BJ74" t="inlineStr">
        <is>
          <t>2026-08-07</t>
        </is>
      </c>
      <c r="BK74" t="n">
        <v>0</v>
      </c>
      <c r="BM74" s="26" t="n">
        <v>673.833</v>
      </c>
      <c r="BN74" t="inlineStr">
        <is>
          <t>2030-07-30</t>
        </is>
      </c>
    </row>
    <row r="75">
      <c r="A75" t="inlineStr">
        <is>
          <t>20260824800122</t>
        </is>
      </c>
      <c r="B75" t="inlineStr">
        <is>
          <t>VLGC</t>
        </is>
      </c>
      <c r="C75" t="n">
        <v>4</v>
      </c>
      <c r="D75" t="inlineStr">
        <is>
          <t>LPGC 4척</t>
        </is>
      </c>
      <c r="Q75" s="26" t="n">
        <v>11.292</v>
      </c>
      <c r="R75" s="26" t="n">
        <v>25.339</v>
      </c>
      <c r="S75" s="26" t="n">
        <v>24.788</v>
      </c>
      <c r="T75" s="26" t="n">
        <v>25.063</v>
      </c>
      <c r="U75" s="26" t="n">
        <v>25.339</v>
      </c>
      <c r="V75" s="26" t="n">
        <v>25.339</v>
      </c>
      <c r="W75" s="26" t="n">
        <v>25.063</v>
      </c>
      <c r="X75" s="26" t="n">
        <v>25.063</v>
      </c>
      <c r="Y75" s="26" t="n">
        <v>25.339</v>
      </c>
      <c r="Z75" s="26" t="n">
        <v>25.339</v>
      </c>
      <c r="AA75" s="26" t="n">
        <v>24.788</v>
      </c>
      <c r="AB75" s="26" t="n">
        <v>25.063</v>
      </c>
      <c r="AC75" s="26" t="n">
        <v>25.339</v>
      </c>
      <c r="AD75" s="26" t="n">
        <v>25.339</v>
      </c>
      <c r="AE75" s="26" t="n">
        <v>24.785</v>
      </c>
      <c r="BG75" s="35" t="n">
        <v>0</v>
      </c>
      <c r="BH75" s="16" t="n">
        <v>1418.75</v>
      </c>
      <c r="BI75" s="42" t="n">
        <v>1</v>
      </c>
      <c r="BJ75" t="inlineStr">
        <is>
          <t>2026-08-21</t>
        </is>
      </c>
      <c r="BK75" t="n">
        <v>0</v>
      </c>
      <c r="BL75" t="inlineStr">
        <is>
          <t>⑤초호황</t>
        </is>
      </c>
      <c r="BM75" s="26" t="n">
        <v>363.278</v>
      </c>
      <c r="BN75" t="inlineStr">
        <is>
          <t>2030-03-31</t>
        </is>
      </c>
    </row>
    <row r="76">
      <c r="A76" t="inlineStr">
        <is>
          <t>20260922800219</t>
        </is>
      </c>
      <c r="B76" t="inlineStr">
        <is>
          <t>PCTC</t>
        </is>
      </c>
      <c r="C76" t="n">
        <v>2</v>
      </c>
      <c r="D76" t="inlineStr">
        <is>
          <t>RORO선 2척</t>
        </is>
      </c>
      <c r="Q76" s="26" t="n">
        <v>2.031</v>
      </c>
      <c r="R76" s="26" t="n">
        <v>18.681</v>
      </c>
      <c r="S76" s="26" t="n">
        <v>18.275</v>
      </c>
      <c r="T76" s="26" t="n">
        <v>18.478</v>
      </c>
      <c r="U76" s="26" t="n">
        <v>18.681</v>
      </c>
      <c r="V76" s="26" t="n">
        <v>18.681</v>
      </c>
      <c r="W76" s="26" t="n">
        <v>18.478</v>
      </c>
      <c r="X76" s="26" t="n">
        <v>18.478</v>
      </c>
      <c r="Y76" s="26" t="n">
        <v>18.681</v>
      </c>
      <c r="Z76" s="26" t="n">
        <v>18.681</v>
      </c>
      <c r="AA76" s="26" t="n">
        <v>18.275</v>
      </c>
      <c r="AB76" s="26" t="n">
        <v>18.478</v>
      </c>
      <c r="AC76" s="26" t="n">
        <v>18.681</v>
      </c>
      <c r="AD76" s="26" t="n">
        <v>12.39</v>
      </c>
      <c r="BG76" s="35" t="n">
        <v>0</v>
      </c>
      <c r="BH76" s="16" t="n">
        <v>1418.75</v>
      </c>
      <c r="BI76" s="42" t="n">
        <v>1</v>
      </c>
      <c r="BJ76" t="inlineStr">
        <is>
          <t>2026-09-21</t>
        </is>
      </c>
      <c r="BK76" t="n">
        <v>0</v>
      </c>
      <c r="BL76" t="inlineStr">
        <is>
          <t>⑤초호황</t>
        </is>
      </c>
      <c r="BM76" s="26" t="n">
        <v>236.969</v>
      </c>
      <c r="BN76" t="inlineStr">
        <is>
          <t>2029-11-30</t>
        </is>
      </c>
    </row>
    <row r="77">
      <c r="A77" t="inlineStr">
        <is>
          <t>20261013800234</t>
        </is>
      </c>
      <c r="B77" t="inlineStr">
        <is>
          <t>OFFSH</t>
        </is>
      </c>
      <c r="C77" t="n">
        <v>1</v>
      </c>
      <c r="D77" t="inlineStr">
        <is>
          <t>FPU 1기</t>
        </is>
      </c>
      <c r="E77" s="26" t="n">
        <v>95.94199999999999</v>
      </c>
      <c r="F77" s="26" t="n">
        <v>95.94199999999999</v>
      </c>
      <c r="G77" s="26" t="n">
        <v>94.899</v>
      </c>
      <c r="H77" s="26" t="n">
        <v>94.899</v>
      </c>
      <c r="I77" s="26" t="n">
        <v>95.94199999999999</v>
      </c>
      <c r="J77" s="26" t="n">
        <v>95.94199999999999</v>
      </c>
      <c r="K77" s="26" t="n">
        <v>93.85599999999999</v>
      </c>
      <c r="L77" s="26" t="n">
        <v>94.899</v>
      </c>
      <c r="M77" s="26" t="n">
        <v>95.94199999999999</v>
      </c>
      <c r="N77" s="26" t="n">
        <v>95.94199999999999</v>
      </c>
      <c r="O77" s="26" t="n">
        <v>93.85599999999999</v>
      </c>
      <c r="P77" s="26" t="n">
        <v>94.899</v>
      </c>
      <c r="Q77" s="26" t="n">
        <v>95.94199999999999</v>
      </c>
      <c r="R77" s="26" t="n">
        <v>95.94199999999999</v>
      </c>
      <c r="S77" s="26" t="n">
        <v>93.85599999999999</v>
      </c>
      <c r="T77" s="26" t="n">
        <v>64.661</v>
      </c>
      <c r="BG77" s="35" t="n">
        <v>1</v>
      </c>
      <c r="BH77" s="16" t="n">
        <v>1315.69</v>
      </c>
      <c r="BI77" s="42" t="n">
        <v>1</v>
      </c>
      <c r="BJ77" t="inlineStr">
        <is>
          <t>2023-06-30</t>
        </is>
      </c>
      <c r="BK77" t="n">
        <v>1</v>
      </c>
      <c r="BL77" t="inlineStr">
        <is>
          <t>⑤초호황</t>
        </is>
      </c>
      <c r="BM77" s="26" t="n">
        <v>1493.361</v>
      </c>
      <c r="BN77" t="inlineStr">
        <is>
          <t>2027-06-01</t>
        </is>
      </c>
    </row>
    <row r="79">
      <c r="A79" s="1" t="inlineStr">
        <is>
          <t>② 계약별 원화(백만원, 수식)</t>
        </is>
      </c>
      <c r="B79" s="1" t="inlineStr">
        <is>
          <t>type</t>
        </is>
      </c>
      <c r="C79" s="1" t="inlineStr">
        <is>
          <t>ships</t>
        </is>
      </c>
      <c r="D79" s="1" t="inlineStr">
        <is>
          <t>name</t>
        </is>
      </c>
    </row>
    <row r="80">
      <c r="A80" t="inlineStr">
        <is>
          <t>20241118800037</t>
        </is>
      </c>
      <c r="B80" t="inlineStr">
        <is>
          <t>VLGC</t>
        </is>
      </c>
      <c r="C80" t="n">
        <v>2</v>
      </c>
      <c r="D80" t="inlineStr">
        <is>
          <t>VLGC 2척</t>
        </is>
      </c>
      <c r="J80" s="18">
        <f>IFERROR(J35*$BG35*(1+($BI35-1)*J$32)*($D$29*$BH35+(1-$D$29)*J$31),"")</f>
        <v/>
      </c>
      <c r="K80" s="18">
        <f>IFERROR(K35*$BG35*(1+($BI35-1)*K$32)*($D$29*$BH35+(1-$D$29)*K$31),"")</f>
        <v/>
      </c>
      <c r="L80" s="18">
        <f>IFERROR(L35*$BG35*(1+($BI35-1)*L$32)*($D$29*$BH35+(1-$D$29)*L$31),"")</f>
        <v/>
      </c>
      <c r="M80" s="18">
        <f>IFERROR(M35*$BG35*(1+($BI35-1)*M$32)*($D$29*$BH35+(1-$D$29)*M$31),"")</f>
        <v/>
      </c>
      <c r="N80" s="18">
        <f>IFERROR(N35*$BG35*(1+($BI35-1)*N$32)*($D$29*$BH35+(1-$D$29)*N$31),"")</f>
        <v/>
      </c>
      <c r="O80" s="18">
        <f>IFERROR(O35*$BG35*(1+($BI35-1)*O$32)*($D$29*$BH35+(1-$D$29)*O$31),"")</f>
        <v/>
      </c>
      <c r="P80" s="18">
        <f>IFERROR(P35*$BG35*(1+($BI35-1)*P$32)*($D$29*$BH35+(1-$D$29)*P$31),"")</f>
        <v/>
      </c>
      <c r="Q80" s="18">
        <f>IFERROR(Q35*$BG35*(1+($BI35-1)*Q$32)*($D$29*$BH35+(1-$D$29)*Q$31),"")</f>
        <v/>
      </c>
      <c r="R80" s="18">
        <f>IFERROR(R35*$BG35*(1+($BI35-1)*R$32)*($D$29*$BH35+(1-$D$29)*R$31),"")</f>
        <v/>
      </c>
      <c r="S80" s="18">
        <f>IFERROR(S35*$BG35*(1+($BI35-1)*S$32)*($D$29*$BH35+(1-$D$29)*S$31),"")</f>
        <v/>
      </c>
      <c r="T80" s="18">
        <f>IFERROR(T35*$BG35*(1+($BI35-1)*T$32)*($D$29*$BH35+(1-$D$29)*T$31),"")</f>
        <v/>
      </c>
      <c r="U80" s="18">
        <f>IFERROR(U35*$BG35*(1+($BI35-1)*U$32)*($D$29*$BH35+(1-$D$29)*U$31),"")</f>
        <v/>
      </c>
      <c r="V80" s="18">
        <f>IFERROR(V35*$BG35*(1+($BI35-1)*V$32)*($D$29*$BH35+(1-$D$29)*V$31),"")</f>
        <v/>
      </c>
    </row>
    <row r="81">
      <c r="A81" t="inlineStr">
        <is>
          <t>20250123800036</t>
        </is>
      </c>
      <c r="B81" t="inlineStr">
        <is>
          <t>CONT</t>
        </is>
      </c>
      <c r="C81" t="n">
        <v>12</v>
      </c>
      <c r="D81" t="inlineStr">
        <is>
          <t>초대형 컨테이너선 12척</t>
        </is>
      </c>
      <c r="K81" s="18">
        <f>IFERROR(K36*$BG36*(1+($BI36-1)*K$32)*($D$29*$BH36+(1-$D$29)*K$31),"")</f>
        <v/>
      </c>
      <c r="L81" s="18">
        <f>IFERROR(L36*$BG36*(1+($BI36-1)*L$32)*($D$29*$BH36+(1-$D$29)*L$31),"")</f>
        <v/>
      </c>
      <c r="M81" s="18">
        <f>IFERROR(M36*$BG36*(1+($BI36-1)*M$32)*($D$29*$BH36+(1-$D$29)*M$31),"")</f>
        <v/>
      </c>
      <c r="N81" s="18">
        <f>IFERROR(N36*$BG36*(1+($BI36-1)*N$32)*($D$29*$BH36+(1-$D$29)*N$31),"")</f>
        <v/>
      </c>
      <c r="O81" s="18">
        <f>IFERROR(O36*$BG36*(1+($BI36-1)*O$32)*($D$29*$BH36+(1-$D$29)*O$31),"")</f>
        <v/>
      </c>
      <c r="P81" s="18">
        <f>IFERROR(P36*$BG36*(1+($BI36-1)*P$32)*($D$29*$BH36+(1-$D$29)*P$31),"")</f>
        <v/>
      </c>
      <c r="Q81" s="18">
        <f>IFERROR(Q36*$BG36*(1+($BI36-1)*Q$32)*($D$29*$BH36+(1-$D$29)*Q$31),"")</f>
        <v/>
      </c>
      <c r="R81" s="18">
        <f>IFERROR(R36*$BG36*(1+($BI36-1)*R$32)*($D$29*$BH36+(1-$D$29)*R$31),"")</f>
        <v/>
      </c>
      <c r="S81" s="18">
        <f>IFERROR(S36*$BG36*(1+($BI36-1)*S$32)*($D$29*$BH36+(1-$D$29)*S$31),"")</f>
        <v/>
      </c>
      <c r="T81" s="18">
        <f>IFERROR(T36*$BG36*(1+($BI36-1)*T$32)*($D$29*$BH36+(1-$D$29)*T$31),"")</f>
        <v/>
      </c>
      <c r="U81" s="18">
        <f>IFERROR(U36*$BG36*(1+($BI36-1)*U$32)*($D$29*$BH36+(1-$D$29)*U$31),"")</f>
        <v/>
      </c>
      <c r="V81" s="18">
        <f>IFERROR(V36*$BG36*(1+($BI36-1)*V$32)*($D$29*$BH36+(1-$D$29)*V$31),"")</f>
        <v/>
      </c>
      <c r="W81" s="18">
        <f>IFERROR(W36*$BG36*(1+($BI36-1)*W$32)*($D$29*$BH36+(1-$D$29)*W$31),"")</f>
        <v/>
      </c>
      <c r="X81" s="18">
        <f>IFERROR(X36*$BG36*(1+($BI36-1)*X$32)*($D$29*$BH36+(1-$D$29)*X$31),"")</f>
        <v/>
      </c>
      <c r="Y81" s="18">
        <f>IFERROR(Y36*$BG36*(1+($BI36-1)*Y$32)*($D$29*$BH36+(1-$D$29)*Y$31),"")</f>
        <v/>
      </c>
      <c r="Z81" s="18">
        <f>IFERROR(Z36*$BG36*(1+($BI36-1)*Z$32)*($D$29*$BH36+(1-$D$29)*Z$31),"")</f>
        <v/>
      </c>
    </row>
    <row r="82">
      <c r="A82" t="inlineStr">
        <is>
          <t>20250213800540</t>
        </is>
      </c>
      <c r="B82" t="inlineStr">
        <is>
          <t>NAVAL</t>
        </is>
      </c>
      <c r="C82" t="n">
        <v>4</v>
      </c>
      <c r="D82" t="inlineStr">
        <is>
          <t>함정 4척 건조용 자재 및 장비 공급</t>
        </is>
      </c>
      <c r="H82" s="18">
        <f>IFERROR(H37*$BG37*(1+($BI37-1)*H$32)*($D$29*$BH37+(1-$D$29)*H$31),"")</f>
        <v/>
      </c>
      <c r="I82" s="18">
        <f>IFERROR(I37*$BG37*(1+($BI37-1)*I$32)*($D$29*$BH37+(1-$D$29)*I$31),"")</f>
        <v/>
      </c>
      <c r="J82" s="18">
        <f>IFERROR(J37*$BG37*(1+($BI37-1)*J$32)*($D$29*$BH37+(1-$D$29)*J$31),"")</f>
        <v/>
      </c>
      <c r="K82" s="18">
        <f>IFERROR(K37*$BG37*(1+($BI37-1)*K$32)*($D$29*$BH37+(1-$D$29)*K$31),"")</f>
        <v/>
      </c>
      <c r="L82" s="18">
        <f>IFERROR(L37*$BG37*(1+($BI37-1)*L$32)*($D$29*$BH37+(1-$D$29)*L$31),"")</f>
        <v/>
      </c>
      <c r="M82" s="18">
        <f>IFERROR(M37*$BG37*(1+($BI37-1)*M$32)*($D$29*$BH37+(1-$D$29)*M$31),"")</f>
        <v/>
      </c>
      <c r="N82" s="18">
        <f>IFERROR(N37*$BG37*(1+($BI37-1)*N$32)*($D$29*$BH37+(1-$D$29)*N$31),"")</f>
        <v/>
      </c>
      <c r="O82" s="18">
        <f>IFERROR(O37*$BG37*(1+($BI37-1)*O$32)*($D$29*$BH37+(1-$D$29)*O$31),"")</f>
        <v/>
      </c>
      <c r="P82" s="18">
        <f>IFERROR(P37*$BG37*(1+($BI37-1)*P$32)*($D$29*$BH37+(1-$D$29)*P$31),"")</f>
        <v/>
      </c>
      <c r="Q82" s="18">
        <f>IFERROR(Q37*$BG37*(1+($BI37-1)*Q$32)*($D$29*$BH37+(1-$D$29)*Q$31),"")</f>
        <v/>
      </c>
      <c r="R82" s="18">
        <f>IFERROR(R37*$BG37*(1+($BI37-1)*R$32)*($D$29*$BH37+(1-$D$29)*R$31),"")</f>
        <v/>
      </c>
      <c r="S82" s="18">
        <f>IFERROR(S37*$BG37*(1+($BI37-1)*S$32)*($D$29*$BH37+(1-$D$29)*S$31),"")</f>
        <v/>
      </c>
      <c r="T82" s="18">
        <f>IFERROR(T37*$BG37*(1+($BI37-1)*T$32)*($D$29*$BH37+(1-$D$29)*T$31),"")</f>
        <v/>
      </c>
      <c r="U82" s="18">
        <f>IFERROR(U37*$BG37*(1+($BI37-1)*U$32)*($D$29*$BH37+(1-$D$29)*U$31),"")</f>
        <v/>
      </c>
      <c r="V82" s="18">
        <f>IFERROR(V37*$BG37*(1+($BI37-1)*V$32)*($D$29*$BH37+(1-$D$29)*V$31),"")</f>
        <v/>
      </c>
      <c r="W82" s="18">
        <f>IFERROR(W37*$BG37*(1+($BI37-1)*W$32)*($D$29*$BH37+(1-$D$29)*W$31),"")</f>
        <v/>
      </c>
      <c r="X82" s="18">
        <f>IFERROR(X37*$BG37*(1+($BI37-1)*X$32)*($D$29*$BH37+(1-$D$29)*X$31),"")</f>
        <v/>
      </c>
      <c r="Y82" s="18">
        <f>IFERROR(Y37*$BG37*(1+($BI37-1)*Y$32)*($D$29*$BH37+(1-$D$29)*Y$31),"")</f>
        <v/>
      </c>
      <c r="Z82" s="18">
        <f>IFERROR(Z37*$BG37*(1+($BI37-1)*Z$32)*($D$29*$BH37+(1-$D$29)*Z$31),"")</f>
        <v/>
      </c>
      <c r="AA82" s="18">
        <f>IFERROR(AA37*$BG37*(1+($BI37-1)*AA$32)*($D$29*$BH37+(1-$D$29)*AA$31),"")</f>
        <v/>
      </c>
      <c r="AB82" s="18">
        <f>IFERROR(AB37*$BG37*(1+($BI37-1)*AB$32)*($D$29*$BH37+(1-$D$29)*AB$31),"")</f>
        <v/>
      </c>
      <c r="AC82" s="18">
        <f>IFERROR(AC37*$BG37*(1+($BI37-1)*AC$32)*($D$29*$BH37+(1-$D$29)*AC$31),"")</f>
        <v/>
      </c>
      <c r="AD82" s="18">
        <f>IFERROR(AD37*$BG37*(1+($BI37-1)*AD$32)*($D$29*$BH37+(1-$D$29)*AD$31),"")</f>
        <v/>
      </c>
      <c r="AE82" s="18">
        <f>IFERROR(AE37*$BG37*(1+($BI37-1)*AE$32)*($D$29*$BH37+(1-$D$29)*AE$31),"")</f>
        <v/>
      </c>
      <c r="AF82" s="18">
        <f>IFERROR(AF37*$BG37*(1+($BI37-1)*AF$32)*($D$29*$BH37+(1-$D$29)*AF$31),"")</f>
        <v/>
      </c>
      <c r="AG82" s="18">
        <f>IFERROR(AG37*$BG37*(1+($BI37-1)*AG$32)*($D$29*$BH37+(1-$D$29)*AG$31),"")</f>
        <v/>
      </c>
      <c r="AH82" s="18">
        <f>IFERROR(AH37*$BG37*(1+($BI37-1)*AH$32)*($D$29*$BH37+(1-$D$29)*AH$31),"")</f>
        <v/>
      </c>
      <c r="AI82" s="18">
        <f>IFERROR(AI37*$BG37*(1+($BI37-1)*AI$32)*($D$29*$BH37+(1-$D$29)*AI$31),"")</f>
        <v/>
      </c>
      <c r="AJ82" s="18">
        <f>IFERROR(AJ37*$BG37*(1+($BI37-1)*AJ$32)*($D$29*$BH37+(1-$D$29)*AJ$31),"")</f>
        <v/>
      </c>
    </row>
    <row r="83">
      <c r="A83" t="inlineStr">
        <is>
          <t>20250304800166</t>
        </is>
      </c>
      <c r="B83" t="inlineStr">
        <is>
          <t>VLGC</t>
        </is>
      </c>
      <c r="C83" t="n">
        <v>2</v>
      </c>
      <c r="D83" t="inlineStr">
        <is>
          <t>VLEC 2척</t>
        </is>
      </c>
      <c r="K83" s="18">
        <f>IFERROR(K38*$BG38*(1+($BI38-1)*K$32)*($D$29*$BH38+(1-$D$29)*K$31),"")</f>
        <v/>
      </c>
      <c r="L83" s="18">
        <f>IFERROR(L38*$BG38*(1+($BI38-1)*L$32)*($D$29*$BH38+(1-$D$29)*L$31),"")</f>
        <v/>
      </c>
      <c r="M83" s="18">
        <f>IFERROR(M38*$BG38*(1+($BI38-1)*M$32)*($D$29*$BH38+(1-$D$29)*M$31),"")</f>
        <v/>
      </c>
      <c r="N83" s="18">
        <f>IFERROR(N38*$BG38*(1+($BI38-1)*N$32)*($D$29*$BH38+(1-$D$29)*N$31),"")</f>
        <v/>
      </c>
      <c r="O83" s="18">
        <f>IFERROR(O38*$BG38*(1+($BI38-1)*O$32)*($D$29*$BH38+(1-$D$29)*O$31),"")</f>
        <v/>
      </c>
      <c r="P83" s="18">
        <f>IFERROR(P38*$BG38*(1+($BI38-1)*P$32)*($D$29*$BH38+(1-$D$29)*P$31),"")</f>
        <v/>
      </c>
      <c r="Q83" s="18">
        <f>IFERROR(Q38*$BG38*(1+($BI38-1)*Q$32)*($D$29*$BH38+(1-$D$29)*Q$31),"")</f>
        <v/>
      </c>
      <c r="R83" s="18">
        <f>IFERROR(R38*$BG38*(1+($BI38-1)*R$32)*($D$29*$BH38+(1-$D$29)*R$31),"")</f>
        <v/>
      </c>
      <c r="S83" s="18">
        <f>IFERROR(S38*$BG38*(1+($BI38-1)*S$32)*($D$29*$BH38+(1-$D$29)*S$31),"")</f>
        <v/>
      </c>
      <c r="T83" s="18">
        <f>IFERROR(T38*$BG38*(1+($BI38-1)*T$32)*($D$29*$BH38+(1-$D$29)*T$31),"")</f>
        <v/>
      </c>
      <c r="U83" s="18">
        <f>IFERROR(U38*$BG38*(1+($BI38-1)*U$32)*($D$29*$BH38+(1-$D$29)*U$31),"")</f>
        <v/>
      </c>
      <c r="V83" s="18">
        <f>IFERROR(V38*$BG38*(1+($BI38-1)*V$32)*($D$29*$BH38+(1-$D$29)*V$31),"")</f>
        <v/>
      </c>
      <c r="W83" s="18">
        <f>IFERROR(W38*$BG38*(1+($BI38-1)*W$32)*($D$29*$BH38+(1-$D$29)*W$31),"")</f>
        <v/>
      </c>
      <c r="X83" s="18">
        <f>IFERROR(X38*$BG38*(1+($BI38-1)*X$32)*($D$29*$BH38+(1-$D$29)*X$31),"")</f>
        <v/>
      </c>
      <c r="Y83" s="18">
        <f>IFERROR(Y38*$BG38*(1+($BI38-1)*Y$32)*($D$29*$BH38+(1-$D$29)*Y$31),"")</f>
        <v/>
      </c>
      <c r="Z83" s="18">
        <f>IFERROR(Z38*$BG38*(1+($BI38-1)*Z$32)*($D$29*$BH38+(1-$D$29)*Z$31),"")</f>
        <v/>
      </c>
    </row>
    <row r="84">
      <c r="A84" t="inlineStr">
        <is>
          <t>20250422800296</t>
        </is>
      </c>
      <c r="B84" t="inlineStr">
        <is>
          <t>VLGC</t>
        </is>
      </c>
      <c r="C84" t="n">
        <v>2</v>
      </c>
      <c r="D84" t="inlineStr">
        <is>
          <t>VLGC 2척</t>
        </is>
      </c>
      <c r="G84" s="18">
        <f>IFERROR(G39*$BG39*(1+($BI39-1)*G$32)*($D$29*$BH39+(1-$D$29)*G$31),"")</f>
        <v/>
      </c>
      <c r="H84" s="18">
        <f>IFERROR(H39*$BG39*(1+($BI39-1)*H$32)*($D$29*$BH39+(1-$D$29)*H$31),"")</f>
        <v/>
      </c>
      <c r="I84" s="18">
        <f>IFERROR(I39*$BG39*(1+($BI39-1)*I$32)*($D$29*$BH39+(1-$D$29)*I$31),"")</f>
        <v/>
      </c>
      <c r="J84" s="18">
        <f>IFERROR(J39*$BG39*(1+($BI39-1)*J$32)*($D$29*$BH39+(1-$D$29)*J$31),"")</f>
        <v/>
      </c>
      <c r="K84" s="18">
        <f>IFERROR(K39*$BG39*(1+($BI39-1)*K$32)*($D$29*$BH39+(1-$D$29)*K$31),"")</f>
        <v/>
      </c>
      <c r="L84" s="18">
        <f>IFERROR(L39*$BG39*(1+($BI39-1)*L$32)*($D$29*$BH39+(1-$D$29)*L$31),"")</f>
        <v/>
      </c>
      <c r="M84" s="18">
        <f>IFERROR(M39*$BG39*(1+($BI39-1)*M$32)*($D$29*$BH39+(1-$D$29)*M$31),"")</f>
        <v/>
      </c>
      <c r="N84" s="18">
        <f>IFERROR(N39*$BG39*(1+($BI39-1)*N$32)*($D$29*$BH39+(1-$D$29)*N$31),"")</f>
        <v/>
      </c>
      <c r="O84" s="18">
        <f>IFERROR(O39*$BG39*(1+($BI39-1)*O$32)*($D$29*$BH39+(1-$D$29)*O$31),"")</f>
        <v/>
      </c>
      <c r="P84" s="18">
        <f>IFERROR(P39*$BG39*(1+($BI39-1)*P$32)*($D$29*$BH39+(1-$D$29)*P$31),"")</f>
        <v/>
      </c>
      <c r="Q84" s="18">
        <f>IFERROR(Q39*$BG39*(1+($BI39-1)*Q$32)*($D$29*$BH39+(1-$D$29)*Q$31),"")</f>
        <v/>
      </c>
      <c r="R84" s="18">
        <f>IFERROR(R39*$BG39*(1+($BI39-1)*R$32)*($D$29*$BH39+(1-$D$29)*R$31),"")</f>
        <v/>
      </c>
      <c r="S84" s="18">
        <f>IFERROR(S39*$BG39*(1+($BI39-1)*S$32)*($D$29*$BH39+(1-$D$29)*S$31),"")</f>
        <v/>
      </c>
      <c r="T84" s="18">
        <f>IFERROR(T39*$BG39*(1+($BI39-1)*T$32)*($D$29*$BH39+(1-$D$29)*T$31),"")</f>
        <v/>
      </c>
      <c r="U84" s="18">
        <f>IFERROR(U39*$BG39*(1+($BI39-1)*U$32)*($D$29*$BH39+(1-$D$29)*U$31),"")</f>
        <v/>
      </c>
    </row>
    <row r="85">
      <c r="A85" t="inlineStr">
        <is>
          <t>20250521800001</t>
        </is>
      </c>
      <c r="B85" t="inlineStr">
        <is>
          <t>VLCC</t>
        </is>
      </c>
      <c r="C85" t="n">
        <v>2</v>
      </c>
      <c r="D85" t="inlineStr">
        <is>
          <t>157,000 DWT 원유운반선 2척</t>
        </is>
      </c>
      <c r="J85" s="18">
        <f>IFERROR(J40*$BG40*(1+($BI40-1)*J$32)*($D$29*$BH40+(1-$D$29)*J$31),"")</f>
        <v/>
      </c>
      <c r="K85" s="18">
        <f>IFERROR(K40*$BG40*(1+($BI40-1)*K$32)*($D$29*$BH40+(1-$D$29)*K$31),"")</f>
        <v/>
      </c>
      <c r="L85" s="18">
        <f>IFERROR(L40*$BG40*(1+($BI40-1)*L$32)*($D$29*$BH40+(1-$D$29)*L$31),"")</f>
        <v/>
      </c>
      <c r="M85" s="18">
        <f>IFERROR(M40*$BG40*(1+($BI40-1)*M$32)*($D$29*$BH40+(1-$D$29)*M$31),"")</f>
        <v/>
      </c>
      <c r="N85" s="18">
        <f>IFERROR(N40*$BG40*(1+($BI40-1)*N$32)*($D$29*$BH40+(1-$D$29)*N$31),"")</f>
        <v/>
      </c>
      <c r="O85" s="18">
        <f>IFERROR(O40*$BG40*(1+($BI40-1)*O$32)*($D$29*$BH40+(1-$D$29)*O$31),"")</f>
        <v/>
      </c>
      <c r="P85" s="18">
        <f>IFERROR(P40*$BG40*(1+($BI40-1)*P$32)*($D$29*$BH40+(1-$D$29)*P$31),"")</f>
        <v/>
      </c>
      <c r="Q85" s="18">
        <f>IFERROR(Q40*$BG40*(1+($BI40-1)*Q$32)*($D$29*$BH40+(1-$D$29)*Q$31),"")</f>
        <v/>
      </c>
      <c r="R85" s="18">
        <f>IFERROR(R40*$BG40*(1+($BI40-1)*R$32)*($D$29*$BH40+(1-$D$29)*R$31),"")</f>
        <v/>
      </c>
      <c r="S85" s="18">
        <f>IFERROR(S40*$BG40*(1+($BI40-1)*S$32)*($D$29*$BH40+(1-$D$29)*S$31),"")</f>
        <v/>
      </c>
      <c r="T85" s="18">
        <f>IFERROR(T40*$BG40*(1+($BI40-1)*T$32)*($D$29*$BH40+(1-$D$29)*T$31),"")</f>
        <v/>
      </c>
      <c r="U85" s="18">
        <f>IFERROR(U40*$BG40*(1+($BI40-1)*U$32)*($D$29*$BH40+(1-$D$29)*U$31),"")</f>
        <v/>
      </c>
    </row>
    <row r="86">
      <c r="A86" t="inlineStr">
        <is>
          <t>20250610800109</t>
        </is>
      </c>
      <c r="B86" t="inlineStr">
        <is>
          <t>CONT</t>
        </is>
      </c>
      <c r="C86" t="n">
        <v>8</v>
      </c>
      <c r="D86" t="inlineStr">
        <is>
          <t>컨테이너선 8척</t>
        </is>
      </c>
      <c r="L86" s="18">
        <f>IFERROR(L41*$BG41*(1+($BI41-1)*L$32)*($D$29*$BH41+(1-$D$29)*L$31),"")</f>
        <v/>
      </c>
      <c r="M86" s="18">
        <f>IFERROR(M41*$BG41*(1+($BI41-1)*M$32)*($D$29*$BH41+(1-$D$29)*M$31),"")</f>
        <v/>
      </c>
      <c r="N86" s="18">
        <f>IFERROR(N41*$BG41*(1+($BI41-1)*N$32)*($D$29*$BH41+(1-$D$29)*N$31),"")</f>
        <v/>
      </c>
      <c r="O86" s="18">
        <f>IFERROR(O41*$BG41*(1+($BI41-1)*O$32)*($D$29*$BH41+(1-$D$29)*O$31),"")</f>
        <v/>
      </c>
      <c r="P86" s="18">
        <f>IFERROR(P41*$BG41*(1+($BI41-1)*P$32)*($D$29*$BH41+(1-$D$29)*P$31),"")</f>
        <v/>
      </c>
      <c r="Q86" s="18">
        <f>IFERROR(Q41*$BG41*(1+($BI41-1)*Q$32)*($D$29*$BH41+(1-$D$29)*Q$31),"")</f>
        <v/>
      </c>
      <c r="R86" s="18">
        <f>IFERROR(R41*$BG41*(1+($BI41-1)*R$32)*($D$29*$BH41+(1-$D$29)*R$31),"")</f>
        <v/>
      </c>
      <c r="S86" s="18">
        <f>IFERROR(S41*$BG41*(1+($BI41-1)*S$32)*($D$29*$BH41+(1-$D$29)*S$31),"")</f>
        <v/>
      </c>
      <c r="T86" s="18">
        <f>IFERROR(T41*$BG41*(1+($BI41-1)*T$32)*($D$29*$BH41+(1-$D$29)*T$31),"")</f>
        <v/>
      </c>
      <c r="U86" s="18">
        <f>IFERROR(U41*$BG41*(1+($BI41-1)*U$32)*($D$29*$BH41+(1-$D$29)*U$31),"")</f>
        <v/>
      </c>
      <c r="V86" s="18">
        <f>IFERROR(V41*$BG41*(1+($BI41-1)*V$32)*($D$29*$BH41+(1-$D$29)*V$31),"")</f>
        <v/>
      </c>
      <c r="W86" s="18">
        <f>IFERROR(W41*$BG41*(1+($BI41-1)*W$32)*($D$29*$BH41+(1-$D$29)*W$31),"")</f>
        <v/>
      </c>
      <c r="X86" s="18">
        <f>IFERROR(X41*$BG41*(1+($BI41-1)*X$32)*($D$29*$BH41+(1-$D$29)*X$31),"")</f>
        <v/>
      </c>
      <c r="Y86" s="18">
        <f>IFERROR(Y41*$BG41*(1+($BI41-1)*Y$32)*($D$29*$BH41+(1-$D$29)*Y$31),"")</f>
        <v/>
      </c>
      <c r="Z86" s="18">
        <f>IFERROR(Z41*$BG41*(1+($BI41-1)*Z$32)*($D$29*$BH41+(1-$D$29)*Z$31),"")</f>
        <v/>
      </c>
    </row>
    <row r="87">
      <c r="A87" t="inlineStr">
        <is>
          <t>20250613800119</t>
        </is>
      </c>
      <c r="B87" t="inlineStr">
        <is>
          <t>VLCC</t>
        </is>
      </c>
      <c r="C87" t="n">
        <v>2</v>
      </c>
      <c r="D87" t="inlineStr">
        <is>
          <t>VLCC 2척</t>
        </is>
      </c>
      <c r="L87" s="18">
        <f>IFERROR(L42*$BG42*(1+($BI42-1)*L$32)*($D$29*$BH42+(1-$D$29)*L$31),"")</f>
        <v/>
      </c>
      <c r="M87" s="18">
        <f>IFERROR(M42*$BG42*(1+($BI42-1)*M$32)*($D$29*$BH42+(1-$D$29)*M$31),"")</f>
        <v/>
      </c>
      <c r="N87" s="18">
        <f>IFERROR(N42*$BG42*(1+($BI42-1)*N$32)*($D$29*$BH42+(1-$D$29)*N$31),"")</f>
        <v/>
      </c>
      <c r="O87" s="18">
        <f>IFERROR(O42*$BG42*(1+($BI42-1)*O$32)*($D$29*$BH42+(1-$D$29)*O$31),"")</f>
        <v/>
      </c>
      <c r="P87" s="18">
        <f>IFERROR(P42*$BG42*(1+($BI42-1)*P$32)*($D$29*$BH42+(1-$D$29)*P$31),"")</f>
        <v/>
      </c>
      <c r="Q87" s="18">
        <f>IFERROR(Q42*$BG42*(1+($BI42-1)*Q$32)*($D$29*$BH42+(1-$D$29)*Q$31),"")</f>
        <v/>
      </c>
      <c r="R87" s="18">
        <f>IFERROR(R42*$BG42*(1+($BI42-1)*R$32)*($D$29*$BH42+(1-$D$29)*R$31),"")</f>
        <v/>
      </c>
      <c r="S87" s="18">
        <f>IFERROR(S42*$BG42*(1+($BI42-1)*S$32)*($D$29*$BH42+(1-$D$29)*S$31),"")</f>
        <v/>
      </c>
      <c r="T87" s="18">
        <f>IFERROR(T42*$BG42*(1+($BI42-1)*T$32)*($D$29*$BH42+(1-$D$29)*T$31),"")</f>
        <v/>
      </c>
      <c r="U87" s="18">
        <f>IFERROR(U42*$BG42*(1+($BI42-1)*U$32)*($D$29*$BH42+(1-$D$29)*U$31),"")</f>
        <v/>
      </c>
    </row>
    <row r="88">
      <c r="A88" t="inlineStr">
        <is>
          <t>20250708800090</t>
        </is>
      </c>
      <c r="B88" t="inlineStr">
        <is>
          <t>CONT</t>
        </is>
      </c>
      <c r="C88" t="n">
        <v>2</v>
      </c>
      <c r="D88" t="inlineStr">
        <is>
          <t>컨테이너선 2척</t>
        </is>
      </c>
      <c r="M88" s="18">
        <f>IFERROR(M43*$BG43*(1+($BI43-1)*M$32)*($D$29*$BH43+(1-$D$29)*M$31),"")</f>
        <v/>
      </c>
      <c r="N88" s="18">
        <f>IFERROR(N43*$BG43*(1+($BI43-1)*N$32)*($D$29*$BH43+(1-$D$29)*N$31),"")</f>
        <v/>
      </c>
      <c r="O88" s="18">
        <f>IFERROR(O43*$BG43*(1+($BI43-1)*O$32)*($D$29*$BH43+(1-$D$29)*O$31),"")</f>
        <v/>
      </c>
      <c r="P88" s="18">
        <f>IFERROR(P43*$BG43*(1+($BI43-1)*P$32)*($D$29*$BH43+(1-$D$29)*P$31),"")</f>
        <v/>
      </c>
      <c r="Q88" s="18">
        <f>IFERROR(Q43*$BG43*(1+($BI43-1)*Q$32)*($D$29*$BH43+(1-$D$29)*Q$31),"")</f>
        <v/>
      </c>
      <c r="R88" s="18">
        <f>IFERROR(R43*$BG43*(1+($BI43-1)*R$32)*($D$29*$BH43+(1-$D$29)*R$31),"")</f>
        <v/>
      </c>
      <c r="S88" s="18">
        <f>IFERROR(S43*$BG43*(1+($BI43-1)*S$32)*($D$29*$BH43+(1-$D$29)*S$31),"")</f>
        <v/>
      </c>
      <c r="T88" s="18">
        <f>IFERROR(T43*$BG43*(1+($BI43-1)*T$32)*($D$29*$BH43+(1-$D$29)*T$31),"")</f>
        <v/>
      </c>
      <c r="U88" s="18">
        <f>IFERROR(U43*$BG43*(1+($BI43-1)*U$32)*($D$29*$BH43+(1-$D$29)*U$31),"")</f>
        <v/>
      </c>
      <c r="V88" s="18">
        <f>IFERROR(V43*$BG43*(1+($BI43-1)*V$32)*($D$29*$BH43+(1-$D$29)*V$31),"")</f>
        <v/>
      </c>
      <c r="W88" s="18">
        <f>IFERROR(W43*$BG43*(1+($BI43-1)*W$32)*($D$29*$BH43+(1-$D$29)*W$31),"")</f>
        <v/>
      </c>
    </row>
    <row r="89">
      <c r="A89" t="inlineStr">
        <is>
          <t>20250908800058</t>
        </is>
      </c>
      <c r="B89" t="inlineStr">
        <is>
          <t>CONT</t>
        </is>
      </c>
      <c r="C89" t="n">
        <v>2</v>
      </c>
      <c r="D89" t="inlineStr">
        <is>
          <t>컨테이너선 2척</t>
        </is>
      </c>
      <c r="M89" s="18">
        <f>IFERROR(M44*$BG44*(1+($BI44-1)*M$32)*($D$29*$BH44+(1-$D$29)*M$31),"")</f>
        <v/>
      </c>
      <c r="N89" s="18">
        <f>IFERROR(N44*$BG44*(1+($BI44-1)*N$32)*($D$29*$BH44+(1-$D$29)*N$31),"")</f>
        <v/>
      </c>
      <c r="O89" s="18">
        <f>IFERROR(O44*$BG44*(1+($BI44-1)*O$32)*($D$29*$BH44+(1-$D$29)*O$31),"")</f>
        <v/>
      </c>
      <c r="P89" s="18">
        <f>IFERROR(P44*$BG44*(1+($BI44-1)*P$32)*($D$29*$BH44+(1-$D$29)*P$31),"")</f>
        <v/>
      </c>
      <c r="Q89" s="18">
        <f>IFERROR(Q44*$BG44*(1+($BI44-1)*Q$32)*($D$29*$BH44+(1-$D$29)*Q$31),"")</f>
        <v/>
      </c>
      <c r="R89" s="18">
        <f>IFERROR(R44*$BG44*(1+($BI44-1)*R$32)*($D$29*$BH44+(1-$D$29)*R$31),"")</f>
        <v/>
      </c>
      <c r="S89" s="18">
        <f>IFERROR(S44*$BG44*(1+($BI44-1)*S$32)*($D$29*$BH44+(1-$D$29)*S$31),"")</f>
        <v/>
      </c>
      <c r="T89" s="18">
        <f>IFERROR(T44*$BG44*(1+($BI44-1)*T$32)*($D$29*$BH44+(1-$D$29)*T$31),"")</f>
        <v/>
      </c>
      <c r="U89" s="18">
        <f>IFERROR(U44*$BG44*(1+($BI44-1)*U$32)*($D$29*$BH44+(1-$D$29)*U$31),"")</f>
        <v/>
      </c>
      <c r="V89" s="18">
        <f>IFERROR(V44*$BG44*(1+($BI44-1)*V$32)*($D$29*$BH44+(1-$D$29)*V$31),"")</f>
        <v/>
      </c>
      <c r="W89" s="18">
        <f>IFERROR(W44*$BG44*(1+($BI44-1)*W$32)*($D$29*$BH44+(1-$D$29)*W$31),"")</f>
        <v/>
      </c>
    </row>
    <row r="90">
      <c r="A90" t="inlineStr">
        <is>
          <t>20251020800152</t>
        </is>
      </c>
      <c r="B90" t="inlineStr">
        <is>
          <t>VLCC</t>
        </is>
      </c>
      <c r="C90" t="n">
        <v>2</v>
      </c>
      <c r="D90" t="inlineStr">
        <is>
          <t>VLCC 2척</t>
        </is>
      </c>
      <c r="N90" s="18">
        <f>IFERROR(N45*$BG45*(1+($BI45-1)*N$32)*($D$29*$BH45+(1-$D$29)*N$31),"")</f>
        <v/>
      </c>
      <c r="O90" s="18">
        <f>IFERROR(O45*$BG45*(1+($BI45-1)*O$32)*($D$29*$BH45+(1-$D$29)*O$31),"")</f>
        <v/>
      </c>
      <c r="P90" s="18">
        <f>IFERROR(P45*$BG45*(1+($BI45-1)*P$32)*($D$29*$BH45+(1-$D$29)*P$31),"")</f>
        <v/>
      </c>
      <c r="Q90" s="18">
        <f>IFERROR(Q45*$BG45*(1+($BI45-1)*Q$32)*($D$29*$BH45+(1-$D$29)*Q$31),"")</f>
        <v/>
      </c>
      <c r="R90" s="18">
        <f>IFERROR(R45*$BG45*(1+($BI45-1)*R$32)*($D$29*$BH45+(1-$D$29)*R$31),"")</f>
        <v/>
      </c>
      <c r="S90" s="18">
        <f>IFERROR(S45*$BG45*(1+($BI45-1)*S$32)*($D$29*$BH45+(1-$D$29)*S$31),"")</f>
        <v/>
      </c>
      <c r="T90" s="18">
        <f>IFERROR(T45*$BG45*(1+($BI45-1)*T$32)*($D$29*$BH45+(1-$D$29)*T$31),"")</f>
        <v/>
      </c>
      <c r="U90" s="18">
        <f>IFERROR(U45*$BG45*(1+($BI45-1)*U$32)*($D$29*$BH45+(1-$D$29)*U$31),"")</f>
        <v/>
      </c>
      <c r="V90" s="18">
        <f>IFERROR(V45*$BG45*(1+($BI45-1)*V$32)*($D$29*$BH45+(1-$D$29)*V$31),"")</f>
        <v/>
      </c>
    </row>
    <row r="91">
      <c r="A91" t="inlineStr">
        <is>
          <t>20251030800164</t>
        </is>
      </c>
      <c r="B91" t="inlineStr">
        <is>
          <t>NAVAL</t>
        </is>
      </c>
      <c r="D91" t="inlineStr">
        <is>
          <t>KSS-II 성능개량 체계개발사업</t>
        </is>
      </c>
      <c r="N91" s="18">
        <f>IFERROR(N46*$BG46*(1+($BI46-1)*N$32)*($D$29*$BH46+(1-$D$29)*N$31),"")</f>
        <v/>
      </c>
      <c r="O91" s="18">
        <f>IFERROR(O46*$BG46*(1+($BI46-1)*O$32)*($D$29*$BH46+(1-$D$29)*O$31),"")</f>
        <v/>
      </c>
      <c r="P91" s="18">
        <f>IFERROR(P46*$BG46*(1+($BI46-1)*P$32)*($D$29*$BH46+(1-$D$29)*P$31),"")</f>
        <v/>
      </c>
      <c r="Q91" s="18">
        <f>IFERROR(Q46*$BG46*(1+($BI46-1)*Q$32)*($D$29*$BH46+(1-$D$29)*Q$31),"")</f>
        <v/>
      </c>
      <c r="R91" s="18">
        <f>IFERROR(R46*$BG46*(1+($BI46-1)*R$32)*($D$29*$BH46+(1-$D$29)*R$31),"")</f>
        <v/>
      </c>
      <c r="S91" s="18">
        <f>IFERROR(S46*$BG46*(1+($BI46-1)*S$32)*($D$29*$BH46+(1-$D$29)*S$31),"")</f>
        <v/>
      </c>
      <c r="T91" s="18">
        <f>IFERROR(T46*$BG46*(1+($BI46-1)*T$32)*($D$29*$BH46+(1-$D$29)*T$31),"")</f>
        <v/>
      </c>
      <c r="U91" s="18">
        <f>IFERROR(U46*$BG46*(1+($BI46-1)*U$32)*($D$29*$BH46+(1-$D$29)*U$31),"")</f>
        <v/>
      </c>
      <c r="V91" s="18">
        <f>IFERROR(V46*$BG46*(1+($BI46-1)*V$32)*($D$29*$BH46+(1-$D$29)*V$31),"")</f>
        <v/>
      </c>
      <c r="W91" s="18">
        <f>IFERROR(W46*$BG46*(1+($BI46-1)*W$32)*($D$29*$BH46+(1-$D$29)*W$31),"")</f>
        <v/>
      </c>
      <c r="X91" s="18">
        <f>IFERROR(X46*$BG46*(1+($BI46-1)*X$32)*($D$29*$BH46+(1-$D$29)*X$31),"")</f>
        <v/>
      </c>
      <c r="Y91" s="18">
        <f>IFERROR(Y46*$BG46*(1+($BI46-1)*Y$32)*($D$29*$BH46+(1-$D$29)*Y$31),"")</f>
        <v/>
      </c>
      <c r="Z91" s="18">
        <f>IFERROR(Z46*$BG46*(1+($BI46-1)*Z$32)*($D$29*$BH46+(1-$D$29)*Z$31),"")</f>
        <v/>
      </c>
      <c r="AA91" s="18">
        <f>IFERROR(AA46*$BG46*(1+($BI46-1)*AA$32)*($D$29*$BH46+(1-$D$29)*AA$31),"")</f>
        <v/>
      </c>
      <c r="AB91" s="18">
        <f>IFERROR(AB46*$BG46*(1+($BI46-1)*AB$32)*($D$29*$BH46+(1-$D$29)*AB$31),"")</f>
        <v/>
      </c>
      <c r="AC91" s="18">
        <f>IFERROR(AC46*$BG46*(1+($BI46-1)*AC$32)*($D$29*$BH46+(1-$D$29)*AC$31),"")</f>
        <v/>
      </c>
      <c r="AD91" s="18">
        <f>IFERROR(AD46*$BG46*(1+($BI46-1)*AD$32)*($D$29*$BH46+(1-$D$29)*AD$31),"")</f>
        <v/>
      </c>
      <c r="AE91" s="18">
        <f>IFERROR(AE46*$BG46*(1+($BI46-1)*AE$32)*($D$29*$BH46+(1-$D$29)*AE$31),"")</f>
        <v/>
      </c>
      <c r="AF91" s="18">
        <f>IFERROR(AF46*$BG46*(1+($BI46-1)*AF$32)*($D$29*$BH46+(1-$D$29)*AF$31),"")</f>
        <v/>
      </c>
      <c r="AG91" s="18">
        <f>IFERROR(AG46*$BG46*(1+($BI46-1)*AG$32)*($D$29*$BH46+(1-$D$29)*AG$31),"")</f>
        <v/>
      </c>
      <c r="AH91" s="18">
        <f>IFERROR(AH46*$BG46*(1+($BI46-1)*AH$32)*($D$29*$BH46+(1-$D$29)*AH$31),"")</f>
        <v/>
      </c>
      <c r="AI91" s="18">
        <f>IFERROR(AI46*$BG46*(1+($BI46-1)*AI$32)*($D$29*$BH46+(1-$D$29)*AI$31),"")</f>
        <v/>
      </c>
      <c r="AJ91" s="18">
        <f>IFERROR(AJ46*$BG46*(1+($BI46-1)*AJ$32)*($D$29*$BH46+(1-$D$29)*AJ$31),"")</f>
        <v/>
      </c>
      <c r="AK91" s="18">
        <f>IFERROR(AK46*$BG46*(1+($BI46-1)*AK$32)*($D$29*$BH46+(1-$D$29)*AK$31),"")</f>
        <v/>
      </c>
      <c r="AL91" s="18">
        <f>IFERROR(AL46*$BG46*(1+($BI46-1)*AL$32)*($D$29*$BH46+(1-$D$29)*AL$31),"")</f>
        <v/>
      </c>
      <c r="AM91" s="18">
        <f>IFERROR(AM46*$BG46*(1+($BI46-1)*AM$32)*($D$29*$BH46+(1-$D$29)*AM$31),"")</f>
        <v/>
      </c>
      <c r="AN91" s="18">
        <f>IFERROR(AN46*$BG46*(1+($BI46-1)*AN$32)*($D$29*$BH46+(1-$D$29)*AN$31),"")</f>
        <v/>
      </c>
      <c r="AO91" s="18">
        <f>IFERROR(AO46*$BG46*(1+($BI46-1)*AO$32)*($D$29*$BH46+(1-$D$29)*AO$31),"")</f>
        <v/>
      </c>
      <c r="AP91" s="18">
        <f>IFERROR(AP46*$BG46*(1+($BI46-1)*AP$32)*($D$29*$BH46+(1-$D$29)*AP$31),"")</f>
        <v/>
      </c>
      <c r="AQ91" s="18">
        <f>IFERROR(AQ46*$BG46*(1+($BI46-1)*AQ$32)*($D$29*$BH46+(1-$D$29)*AQ$31),"")</f>
        <v/>
      </c>
      <c r="AR91" s="18">
        <f>IFERROR(AR46*$BG46*(1+($BI46-1)*AR$32)*($D$29*$BH46+(1-$D$29)*AR$31),"")</f>
        <v/>
      </c>
      <c r="AS91" s="18">
        <f>IFERROR(AS46*$BG46*(1+($BI46-1)*AS$32)*($D$29*$BH46+(1-$D$29)*AS$31),"")</f>
        <v/>
      </c>
      <c r="AT91" s="18">
        <f>IFERROR(AT46*$BG46*(1+($BI46-1)*AT$32)*($D$29*$BH46+(1-$D$29)*AT$31),"")</f>
        <v/>
      </c>
    </row>
    <row r="92">
      <c r="A92" t="inlineStr">
        <is>
          <t>20251110800036</t>
        </is>
      </c>
      <c r="B92" t="inlineStr">
        <is>
          <t>CONT</t>
        </is>
      </c>
      <c r="C92" t="n">
        <v>2</v>
      </c>
      <c r="D92" t="inlineStr">
        <is>
          <t>컨테이너선 2척</t>
        </is>
      </c>
      <c r="N92" s="18">
        <f>IFERROR(N47*$BG47*(1+($BI47-1)*N$32)*($D$29*$BH47+(1-$D$29)*N$31),"")</f>
        <v/>
      </c>
      <c r="O92" s="18">
        <f>IFERROR(O47*$BG47*(1+($BI47-1)*O$32)*($D$29*$BH47+(1-$D$29)*O$31),"")</f>
        <v/>
      </c>
      <c r="P92" s="18">
        <f>IFERROR(P47*$BG47*(1+($BI47-1)*P$32)*($D$29*$BH47+(1-$D$29)*P$31),"")</f>
        <v/>
      </c>
      <c r="Q92" s="18">
        <f>IFERROR(Q47*$BG47*(1+($BI47-1)*Q$32)*($D$29*$BH47+(1-$D$29)*Q$31),"")</f>
        <v/>
      </c>
      <c r="R92" s="18">
        <f>IFERROR(R47*$BG47*(1+($BI47-1)*R$32)*($D$29*$BH47+(1-$D$29)*R$31),"")</f>
        <v/>
      </c>
      <c r="S92" s="18">
        <f>IFERROR(S47*$BG47*(1+($BI47-1)*S$32)*($D$29*$BH47+(1-$D$29)*S$31),"")</f>
        <v/>
      </c>
      <c r="T92" s="18">
        <f>IFERROR(T47*$BG47*(1+($BI47-1)*T$32)*($D$29*$BH47+(1-$D$29)*T$31),"")</f>
        <v/>
      </c>
      <c r="U92" s="18">
        <f>IFERROR(U47*$BG47*(1+($BI47-1)*U$32)*($D$29*$BH47+(1-$D$29)*U$31),"")</f>
        <v/>
      </c>
      <c r="V92" s="18">
        <f>IFERROR(V47*$BG47*(1+($BI47-1)*V$32)*($D$29*$BH47+(1-$D$29)*V$31),"")</f>
        <v/>
      </c>
      <c r="W92" s="18">
        <f>IFERROR(W47*$BG47*(1+($BI47-1)*W$32)*($D$29*$BH47+(1-$D$29)*W$31),"")</f>
        <v/>
      </c>
      <c r="X92" s="18">
        <f>IFERROR(X47*$BG47*(1+($BI47-1)*X$32)*($D$29*$BH47+(1-$D$29)*X$31),"")</f>
        <v/>
      </c>
      <c r="Y92" s="18">
        <f>IFERROR(Y47*$BG47*(1+($BI47-1)*Y$32)*($D$29*$BH47+(1-$D$29)*Y$31),"")</f>
        <v/>
      </c>
      <c r="Z92" s="18">
        <f>IFERROR(Z47*$BG47*(1+($BI47-1)*Z$32)*($D$29*$BH47+(1-$D$29)*Z$31),"")</f>
        <v/>
      </c>
    </row>
    <row r="93">
      <c r="A93" t="inlineStr">
        <is>
          <t>20251114800376</t>
        </is>
      </c>
      <c r="B93" t="inlineStr">
        <is>
          <t>VLCC</t>
        </is>
      </c>
      <c r="C93" t="n">
        <v>2</v>
      </c>
      <c r="D93" t="inlineStr">
        <is>
          <t>157,000 DWT 원유운반선 2척</t>
        </is>
      </c>
      <c r="N93" s="18">
        <f>IFERROR(N48*$BG48*(1+($BI48-1)*N$32)*($D$29*$BH48+(1-$D$29)*N$31),"")</f>
        <v/>
      </c>
      <c r="O93" s="18">
        <f>IFERROR(O48*$BG48*(1+($BI48-1)*O$32)*($D$29*$BH48+(1-$D$29)*O$31),"")</f>
        <v/>
      </c>
      <c r="P93" s="18">
        <f>IFERROR(P48*$BG48*(1+($BI48-1)*P$32)*($D$29*$BH48+(1-$D$29)*P$31),"")</f>
        <v/>
      </c>
      <c r="Q93" s="18">
        <f>IFERROR(Q48*$BG48*(1+($BI48-1)*Q$32)*($D$29*$BH48+(1-$D$29)*Q$31),"")</f>
        <v/>
      </c>
      <c r="R93" s="18">
        <f>IFERROR(R48*$BG48*(1+($BI48-1)*R$32)*($D$29*$BH48+(1-$D$29)*R$31),"")</f>
        <v/>
      </c>
      <c r="S93" s="18">
        <f>IFERROR(S48*$BG48*(1+($BI48-1)*S$32)*($D$29*$BH48+(1-$D$29)*S$31),"")</f>
        <v/>
      </c>
      <c r="T93" s="18">
        <f>IFERROR(T48*$BG48*(1+($BI48-1)*T$32)*($D$29*$BH48+(1-$D$29)*T$31),"")</f>
        <v/>
      </c>
      <c r="U93" s="18">
        <f>IFERROR(U48*$BG48*(1+($BI48-1)*U$32)*($D$29*$BH48+(1-$D$29)*U$31),"")</f>
        <v/>
      </c>
      <c r="V93" s="18">
        <f>IFERROR(V48*$BG48*(1+($BI48-1)*V$32)*($D$29*$BH48+(1-$D$29)*V$31),"")</f>
        <v/>
      </c>
      <c r="W93" s="18">
        <f>IFERROR(W48*$BG48*(1+($BI48-1)*W$32)*($D$29*$BH48+(1-$D$29)*W$31),"")</f>
        <v/>
      </c>
      <c r="X93" s="18">
        <f>IFERROR(X48*$BG48*(1+($BI48-1)*X$32)*($D$29*$BH48+(1-$D$29)*X$31),"")</f>
        <v/>
      </c>
      <c r="Y93" s="18">
        <f>IFERROR(Y48*$BG48*(1+($BI48-1)*Y$32)*($D$29*$BH48+(1-$D$29)*Y$31),"")</f>
        <v/>
      </c>
      <c r="Z93" s="18">
        <f>IFERROR(Z48*$BG48*(1+($BI48-1)*Z$32)*($D$29*$BH48+(1-$D$29)*Z$31),"")</f>
        <v/>
      </c>
    </row>
    <row r="94">
      <c r="A94" t="inlineStr">
        <is>
          <t>20251124800125</t>
        </is>
      </c>
      <c r="B94" t="inlineStr">
        <is>
          <t>CONT</t>
        </is>
      </c>
      <c r="C94" t="n">
        <v>2</v>
      </c>
      <c r="D94" t="inlineStr">
        <is>
          <t>컨테이너선 2척</t>
        </is>
      </c>
      <c r="N94" s="18">
        <f>IFERROR(N49*$BG49*(1+($BI49-1)*N$32)*($D$29*$BH49+(1-$D$29)*N$31),"")</f>
        <v/>
      </c>
      <c r="O94" s="18">
        <f>IFERROR(O49*$BG49*(1+($BI49-1)*O$32)*($D$29*$BH49+(1-$D$29)*O$31),"")</f>
        <v/>
      </c>
      <c r="P94" s="18">
        <f>IFERROR(P49*$BG49*(1+($BI49-1)*P$32)*($D$29*$BH49+(1-$D$29)*P$31),"")</f>
        <v/>
      </c>
      <c r="Q94" s="18">
        <f>IFERROR(Q49*$BG49*(1+($BI49-1)*Q$32)*($D$29*$BH49+(1-$D$29)*Q$31),"")</f>
        <v/>
      </c>
      <c r="R94" s="18">
        <f>IFERROR(R49*$BG49*(1+($BI49-1)*R$32)*($D$29*$BH49+(1-$D$29)*R$31),"")</f>
        <v/>
      </c>
      <c r="S94" s="18">
        <f>IFERROR(S49*$BG49*(1+($BI49-1)*S$32)*($D$29*$BH49+(1-$D$29)*S$31),"")</f>
        <v/>
      </c>
      <c r="T94" s="18">
        <f>IFERROR(T49*$BG49*(1+($BI49-1)*T$32)*($D$29*$BH49+(1-$D$29)*T$31),"")</f>
        <v/>
      </c>
      <c r="U94" s="18">
        <f>IFERROR(U49*$BG49*(1+($BI49-1)*U$32)*($D$29*$BH49+(1-$D$29)*U$31),"")</f>
        <v/>
      </c>
      <c r="V94" s="18">
        <f>IFERROR(V49*$BG49*(1+($BI49-1)*V$32)*($D$29*$BH49+(1-$D$29)*V$31),"")</f>
        <v/>
      </c>
      <c r="W94" s="18">
        <f>IFERROR(W49*$BG49*(1+($BI49-1)*W$32)*($D$29*$BH49+(1-$D$29)*W$31),"")</f>
        <v/>
      </c>
      <c r="X94" s="18">
        <f>IFERROR(X49*$BG49*(1+($BI49-1)*X$32)*($D$29*$BH49+(1-$D$29)*X$31),"")</f>
        <v/>
      </c>
      <c r="Y94" s="18">
        <f>IFERROR(Y49*$BG49*(1+($BI49-1)*Y$32)*($D$29*$BH49+(1-$D$29)*Y$31),"")</f>
        <v/>
      </c>
    </row>
    <row r="95">
      <c r="A95" t="inlineStr">
        <is>
          <t>20251211800371</t>
        </is>
      </c>
      <c r="B95" t="inlineStr">
        <is>
          <t>VLGC</t>
        </is>
      </c>
      <c r="C95" t="n">
        <v>2</v>
      </c>
      <c r="D95" t="inlineStr">
        <is>
          <t>VLAC 2척</t>
        </is>
      </c>
      <c r="N95" s="18">
        <f>IFERROR(N50*$BG50*(1+($BI50-1)*N$32)*($D$29*$BH50+(1-$D$29)*N$31),"")</f>
        <v/>
      </c>
      <c r="O95" s="18">
        <f>IFERROR(O50*$BG50*(1+($BI50-1)*O$32)*($D$29*$BH50+(1-$D$29)*O$31),"")</f>
        <v/>
      </c>
      <c r="P95" s="18">
        <f>IFERROR(P50*$BG50*(1+($BI50-1)*P$32)*($D$29*$BH50+(1-$D$29)*P$31),"")</f>
        <v/>
      </c>
      <c r="Q95" s="18">
        <f>IFERROR(Q50*$BG50*(1+($BI50-1)*Q$32)*($D$29*$BH50+(1-$D$29)*Q$31),"")</f>
        <v/>
      </c>
      <c r="R95" s="18">
        <f>IFERROR(R50*$BG50*(1+($BI50-1)*R$32)*($D$29*$BH50+(1-$D$29)*R$31),"")</f>
        <v/>
      </c>
      <c r="S95" s="18">
        <f>IFERROR(S50*$BG50*(1+($BI50-1)*S$32)*($D$29*$BH50+(1-$D$29)*S$31),"")</f>
        <v/>
      </c>
      <c r="T95" s="18">
        <f>IFERROR(T50*$BG50*(1+($BI50-1)*T$32)*($D$29*$BH50+(1-$D$29)*T$31),"")</f>
        <v/>
      </c>
      <c r="U95" s="18">
        <f>IFERROR(U50*$BG50*(1+($BI50-1)*U$32)*($D$29*$BH50+(1-$D$29)*U$31),"")</f>
        <v/>
      </c>
      <c r="V95" s="18">
        <f>IFERROR(V50*$BG50*(1+($BI50-1)*V$32)*($D$29*$BH50+(1-$D$29)*V$31),"")</f>
        <v/>
      </c>
      <c r="W95" s="18">
        <f>IFERROR(W50*$BG50*(1+($BI50-1)*W$32)*($D$29*$BH50+(1-$D$29)*W$31),"")</f>
        <v/>
      </c>
      <c r="X95" s="18">
        <f>IFERROR(X50*$BG50*(1+($BI50-1)*X$32)*($D$29*$BH50+(1-$D$29)*X$31),"")</f>
        <v/>
      </c>
      <c r="Y95" s="18">
        <f>IFERROR(Y50*$BG50*(1+($BI50-1)*Y$32)*($D$29*$BH50+(1-$D$29)*Y$31),"")</f>
        <v/>
      </c>
    </row>
    <row r="96">
      <c r="A96" t="inlineStr">
        <is>
          <t>20251224800145</t>
        </is>
      </c>
      <c r="B96" t="inlineStr">
        <is>
          <t>PC</t>
        </is>
      </c>
      <c r="C96" t="n">
        <v>5</v>
      </c>
      <c r="D96" t="inlineStr">
        <is>
          <t>P/C선 5척</t>
        </is>
      </c>
      <c r="N96" s="18">
        <f>IFERROR(N51*$BG51*(1+($BI51-1)*N$32)*($D$29*$BH51+(1-$D$29)*N$31),"")</f>
        <v/>
      </c>
      <c r="O96" s="18">
        <f>IFERROR(O51*$BG51*(1+($BI51-1)*O$32)*($D$29*$BH51+(1-$D$29)*O$31),"")</f>
        <v/>
      </c>
      <c r="P96" s="18">
        <f>IFERROR(P51*$BG51*(1+($BI51-1)*P$32)*($D$29*$BH51+(1-$D$29)*P$31),"")</f>
        <v/>
      </c>
      <c r="Q96" s="18">
        <f>IFERROR(Q51*$BG51*(1+($BI51-1)*Q$32)*($D$29*$BH51+(1-$D$29)*Q$31),"")</f>
        <v/>
      </c>
      <c r="R96" s="18">
        <f>IFERROR(R51*$BG51*(1+($BI51-1)*R$32)*($D$29*$BH51+(1-$D$29)*R$31),"")</f>
        <v/>
      </c>
      <c r="S96" s="18">
        <f>IFERROR(S51*$BG51*(1+($BI51-1)*S$32)*($D$29*$BH51+(1-$D$29)*S$31),"")</f>
        <v/>
      </c>
      <c r="T96" s="18">
        <f>IFERROR(T51*$BG51*(1+($BI51-1)*T$32)*($D$29*$BH51+(1-$D$29)*T$31),"")</f>
        <v/>
      </c>
      <c r="U96" s="18">
        <f>IFERROR(U51*$BG51*(1+($BI51-1)*U$32)*($D$29*$BH51+(1-$D$29)*U$31),"")</f>
        <v/>
      </c>
      <c r="V96" s="18">
        <f>IFERROR(V51*$BG51*(1+($BI51-1)*V$32)*($D$29*$BH51+(1-$D$29)*V$31),"")</f>
        <v/>
      </c>
      <c r="W96" s="18">
        <f>IFERROR(W51*$BG51*(1+($BI51-1)*W$32)*($D$29*$BH51+(1-$D$29)*W$31),"")</f>
        <v/>
      </c>
      <c r="X96" s="18">
        <f>IFERROR(X51*$BG51*(1+($BI51-1)*X$32)*($D$29*$BH51+(1-$D$29)*X$31),"")</f>
        <v/>
      </c>
      <c r="Y96" s="18">
        <f>IFERROR(Y51*$BG51*(1+($BI51-1)*Y$32)*($D$29*$BH51+(1-$D$29)*Y$31),"")</f>
        <v/>
      </c>
    </row>
    <row r="97">
      <c r="A97" t="inlineStr">
        <is>
          <t>20251226800842</t>
        </is>
      </c>
      <c r="B97" t="inlineStr">
        <is>
          <t>NAVAL</t>
        </is>
      </c>
      <c r="C97" t="n">
        <v>2</v>
      </c>
      <c r="D97" t="inlineStr">
        <is>
          <t>수상함 2척</t>
        </is>
      </c>
      <c r="N97" s="18">
        <f>IFERROR(N52*$BG52*(1+($BI52-1)*N$32)*($D$29*$BH52+(1-$D$29)*N$31),"")</f>
        <v/>
      </c>
      <c r="O97" s="18">
        <f>IFERROR(O52*$BG52*(1+($BI52-1)*O$32)*($D$29*$BH52+(1-$D$29)*O$31),"")</f>
        <v/>
      </c>
      <c r="P97" s="18">
        <f>IFERROR(P52*$BG52*(1+($BI52-1)*P$32)*($D$29*$BH52+(1-$D$29)*P$31),"")</f>
        <v/>
      </c>
      <c r="Q97" s="18">
        <f>IFERROR(Q52*$BG52*(1+($BI52-1)*Q$32)*($D$29*$BH52+(1-$D$29)*Q$31),"")</f>
        <v/>
      </c>
      <c r="R97" s="18">
        <f>IFERROR(R52*$BG52*(1+($BI52-1)*R$32)*($D$29*$BH52+(1-$D$29)*R$31),"")</f>
        <v/>
      </c>
      <c r="S97" s="18">
        <f>IFERROR(S52*$BG52*(1+($BI52-1)*S$32)*($D$29*$BH52+(1-$D$29)*S$31),"")</f>
        <v/>
      </c>
      <c r="T97" s="18">
        <f>IFERROR(T52*$BG52*(1+($BI52-1)*T$32)*($D$29*$BH52+(1-$D$29)*T$31),"")</f>
        <v/>
      </c>
      <c r="U97" s="18">
        <f>IFERROR(U52*$BG52*(1+($BI52-1)*U$32)*($D$29*$BH52+(1-$D$29)*U$31),"")</f>
        <v/>
      </c>
      <c r="V97" s="18">
        <f>IFERROR(V52*$BG52*(1+($BI52-1)*V$32)*($D$29*$BH52+(1-$D$29)*V$31),"")</f>
        <v/>
      </c>
      <c r="W97" s="18">
        <f>IFERROR(W52*$BG52*(1+($BI52-1)*W$32)*($D$29*$BH52+(1-$D$29)*W$31),"")</f>
        <v/>
      </c>
      <c r="X97" s="18">
        <f>IFERROR(X52*$BG52*(1+($BI52-1)*X$32)*($D$29*$BH52+(1-$D$29)*X$31),"")</f>
        <v/>
      </c>
      <c r="Y97" s="18">
        <f>IFERROR(Y52*$BG52*(1+($BI52-1)*Y$32)*($D$29*$BH52+(1-$D$29)*Y$31),"")</f>
        <v/>
      </c>
      <c r="Z97" s="18">
        <f>IFERROR(Z52*$BG52*(1+($BI52-1)*Z$32)*($D$29*$BH52+(1-$D$29)*Z$31),"")</f>
        <v/>
      </c>
      <c r="AA97" s="18">
        <f>IFERROR(AA52*$BG52*(1+($BI52-1)*AA$32)*($D$29*$BH52+(1-$D$29)*AA$31),"")</f>
        <v/>
      </c>
      <c r="AB97" s="18">
        <f>IFERROR(AB52*$BG52*(1+($BI52-1)*AB$32)*($D$29*$BH52+(1-$D$29)*AB$31),"")</f>
        <v/>
      </c>
      <c r="AC97" s="18">
        <f>IFERROR(AC52*$BG52*(1+($BI52-1)*AC$32)*($D$29*$BH52+(1-$D$29)*AC$31),"")</f>
        <v/>
      </c>
      <c r="AD97" s="18">
        <f>IFERROR(AD52*$BG52*(1+($BI52-1)*AD$32)*($D$29*$BH52+(1-$D$29)*AD$31),"")</f>
        <v/>
      </c>
    </row>
    <row r="98">
      <c r="A98" t="inlineStr">
        <is>
          <t>20260106800134</t>
        </is>
      </c>
      <c r="B98" t="inlineStr">
        <is>
          <t>LNGC</t>
        </is>
      </c>
      <c r="C98" t="n">
        <v>4</v>
      </c>
      <c r="D98" t="inlineStr">
        <is>
          <t>LNGC 4척</t>
        </is>
      </c>
      <c r="O98" s="18">
        <f>IFERROR(O53*$BG53*(1+($BI53-1)*O$32)*($D$29*$BH53+(1-$D$29)*O$31),"")</f>
        <v/>
      </c>
      <c r="P98" s="18">
        <f>IFERROR(P53*$BG53*(1+($BI53-1)*P$32)*($D$29*$BH53+(1-$D$29)*P$31),"")</f>
        <v/>
      </c>
      <c r="Q98" s="18">
        <f>IFERROR(Q53*$BG53*(1+($BI53-1)*Q$32)*($D$29*$BH53+(1-$D$29)*Q$31),"")</f>
        <v/>
      </c>
      <c r="R98" s="18">
        <f>IFERROR(R53*$BG53*(1+($BI53-1)*R$32)*($D$29*$BH53+(1-$D$29)*R$31),"")</f>
        <v/>
      </c>
      <c r="S98" s="18">
        <f>IFERROR(S53*$BG53*(1+($BI53-1)*S$32)*($D$29*$BH53+(1-$D$29)*S$31),"")</f>
        <v/>
      </c>
      <c r="T98" s="18">
        <f>IFERROR(T53*$BG53*(1+($BI53-1)*T$32)*($D$29*$BH53+(1-$D$29)*T$31),"")</f>
        <v/>
      </c>
      <c r="U98" s="18">
        <f>IFERROR(U53*$BG53*(1+($BI53-1)*U$32)*($D$29*$BH53+(1-$D$29)*U$31),"")</f>
        <v/>
      </c>
      <c r="V98" s="18">
        <f>IFERROR(V53*$BG53*(1+($BI53-1)*V$32)*($D$29*$BH53+(1-$D$29)*V$31),"")</f>
        <v/>
      </c>
      <c r="W98" s="18">
        <f>IFERROR(W53*$BG53*(1+($BI53-1)*W$32)*($D$29*$BH53+(1-$D$29)*W$31),"")</f>
        <v/>
      </c>
      <c r="X98" s="18">
        <f>IFERROR(X53*$BG53*(1+($BI53-1)*X$32)*($D$29*$BH53+(1-$D$29)*X$31),"")</f>
        <v/>
      </c>
      <c r="Y98" s="18">
        <f>IFERROR(Y53*$BG53*(1+($BI53-1)*Y$32)*($D$29*$BH53+(1-$D$29)*Y$31),"")</f>
        <v/>
      </c>
      <c r="Z98" s="18">
        <f>IFERROR(Z53*$BG53*(1+($BI53-1)*Z$32)*($D$29*$BH53+(1-$D$29)*Z$31),"")</f>
        <v/>
      </c>
      <c r="AA98" s="18">
        <f>IFERROR(AA53*$BG53*(1+($BI53-1)*AA$32)*($D$29*$BH53+(1-$D$29)*AA$31),"")</f>
        <v/>
      </c>
    </row>
    <row r="99">
      <c r="A99" t="inlineStr">
        <is>
          <t>20260120800200</t>
        </is>
      </c>
      <c r="B99" t="inlineStr">
        <is>
          <t>VLCC</t>
        </is>
      </c>
      <c r="C99" t="n">
        <v>2</v>
      </c>
      <c r="D99" t="inlineStr">
        <is>
          <t>157,000 DWT 원유운반선 2척, 115,000 DWT P/C선 2척</t>
        </is>
      </c>
      <c r="O99" s="18">
        <f>IFERROR(O54*$BG54*(1+($BI54-1)*O$32)*($D$29*$BH54+(1-$D$29)*O$31),"")</f>
        <v/>
      </c>
      <c r="P99" s="18">
        <f>IFERROR(P54*$BG54*(1+($BI54-1)*P$32)*($D$29*$BH54+(1-$D$29)*P$31),"")</f>
        <v/>
      </c>
      <c r="Q99" s="18">
        <f>IFERROR(Q54*$BG54*(1+($BI54-1)*Q$32)*($D$29*$BH54+(1-$D$29)*Q$31),"")</f>
        <v/>
      </c>
      <c r="R99" s="18">
        <f>IFERROR(R54*$BG54*(1+($BI54-1)*R$32)*($D$29*$BH54+(1-$D$29)*R$31),"")</f>
        <v/>
      </c>
      <c r="S99" s="18">
        <f>IFERROR(S54*$BG54*(1+($BI54-1)*S$32)*($D$29*$BH54+(1-$D$29)*S$31),"")</f>
        <v/>
      </c>
      <c r="T99" s="18">
        <f>IFERROR(T54*$BG54*(1+($BI54-1)*T$32)*($D$29*$BH54+(1-$D$29)*T$31),"")</f>
        <v/>
      </c>
      <c r="U99" s="18">
        <f>IFERROR(U54*$BG54*(1+($BI54-1)*U$32)*($D$29*$BH54+(1-$D$29)*U$31),"")</f>
        <v/>
      </c>
      <c r="V99" s="18">
        <f>IFERROR(V54*$BG54*(1+($BI54-1)*V$32)*($D$29*$BH54+(1-$D$29)*V$31),"")</f>
        <v/>
      </c>
      <c r="W99" s="18">
        <f>IFERROR(W54*$BG54*(1+($BI54-1)*W$32)*($D$29*$BH54+(1-$D$29)*W$31),"")</f>
        <v/>
      </c>
      <c r="X99" s="18">
        <f>IFERROR(X54*$BG54*(1+($BI54-1)*X$32)*($D$29*$BH54+(1-$D$29)*X$31),"")</f>
        <v/>
      </c>
      <c r="Y99" s="18">
        <f>IFERROR(Y54*$BG54*(1+($BI54-1)*Y$32)*($D$29*$BH54+(1-$D$29)*Y$31),"")</f>
        <v/>
      </c>
      <c r="Z99" s="18">
        <f>IFERROR(Z54*$BG54*(1+($BI54-1)*Z$32)*($D$29*$BH54+(1-$D$29)*Z$31),"")</f>
        <v/>
      </c>
      <c r="AA99" s="18">
        <f>IFERROR(AA54*$BG54*(1+($BI54-1)*AA$32)*($D$29*$BH54+(1-$D$29)*AA$31),"")</f>
        <v/>
      </c>
      <c r="AB99" s="18">
        <f>IFERROR(AB54*$BG54*(1+($BI54-1)*AB$32)*($D$29*$BH54+(1-$D$29)*AB$31),"")</f>
        <v/>
      </c>
    </row>
    <row r="100">
      <c r="A100" t="inlineStr">
        <is>
          <t>20260226800192</t>
        </is>
      </c>
      <c r="B100" t="inlineStr">
        <is>
          <t>LNGC</t>
        </is>
      </c>
      <c r="C100" t="n">
        <v>1</v>
      </c>
      <c r="D100" t="inlineStr">
        <is>
          <t>LNGC 1척</t>
        </is>
      </c>
      <c r="O100" s="18">
        <f>IFERROR(O55*$BG55*(1+($BI55-1)*O$32)*($D$29*$BH55+(1-$D$29)*O$31),"")</f>
        <v/>
      </c>
      <c r="P100" s="18">
        <f>IFERROR(P55*$BG55*(1+($BI55-1)*P$32)*($D$29*$BH55+(1-$D$29)*P$31),"")</f>
        <v/>
      </c>
      <c r="Q100" s="18">
        <f>IFERROR(Q55*$BG55*(1+($BI55-1)*Q$32)*($D$29*$BH55+(1-$D$29)*Q$31),"")</f>
        <v/>
      </c>
      <c r="R100" s="18">
        <f>IFERROR(R55*$BG55*(1+($BI55-1)*R$32)*($D$29*$BH55+(1-$D$29)*R$31),"")</f>
        <v/>
      </c>
      <c r="S100" s="18">
        <f>IFERROR(S55*$BG55*(1+($BI55-1)*S$32)*($D$29*$BH55+(1-$D$29)*S$31),"")</f>
        <v/>
      </c>
      <c r="T100" s="18">
        <f>IFERROR(T55*$BG55*(1+($BI55-1)*T$32)*($D$29*$BH55+(1-$D$29)*T$31),"")</f>
        <v/>
      </c>
      <c r="U100" s="18">
        <f>IFERROR(U55*$BG55*(1+($BI55-1)*U$32)*($D$29*$BH55+(1-$D$29)*U$31),"")</f>
        <v/>
      </c>
      <c r="V100" s="18">
        <f>IFERROR(V55*$BG55*(1+($BI55-1)*V$32)*($D$29*$BH55+(1-$D$29)*V$31),"")</f>
        <v/>
      </c>
      <c r="W100" s="18">
        <f>IFERROR(W55*$BG55*(1+($BI55-1)*W$32)*($D$29*$BH55+(1-$D$29)*W$31),"")</f>
        <v/>
      </c>
      <c r="X100" s="18">
        <f>IFERROR(X55*$BG55*(1+($BI55-1)*X$32)*($D$29*$BH55+(1-$D$29)*X$31),"")</f>
        <v/>
      </c>
      <c r="Y100" s="18">
        <f>IFERROR(Y55*$BG55*(1+($BI55-1)*Y$32)*($D$29*$BH55+(1-$D$29)*Y$31),"")</f>
        <v/>
      </c>
    </row>
    <row r="101">
      <c r="A101" t="inlineStr">
        <is>
          <t>20260227800223</t>
        </is>
      </c>
      <c r="B101" t="inlineStr">
        <is>
          <t>CONT</t>
        </is>
      </c>
      <c r="C101" t="n">
        <v>6</v>
      </c>
      <c r="D101" t="inlineStr">
        <is>
          <t>컨테이너선 6척</t>
        </is>
      </c>
      <c r="O101" s="18">
        <f>IFERROR(O56*$BG56*(1+($BI56-1)*O$32)*($D$29*$BH56+(1-$D$29)*O$31),"")</f>
        <v/>
      </c>
      <c r="P101" s="18">
        <f>IFERROR(P56*$BG56*(1+($BI56-1)*P$32)*($D$29*$BH56+(1-$D$29)*P$31),"")</f>
        <v/>
      </c>
      <c r="Q101" s="18">
        <f>IFERROR(Q56*$BG56*(1+($BI56-1)*Q$32)*($D$29*$BH56+(1-$D$29)*Q$31),"")</f>
        <v/>
      </c>
      <c r="R101" s="18">
        <f>IFERROR(R56*$BG56*(1+($BI56-1)*R$32)*($D$29*$BH56+(1-$D$29)*R$31),"")</f>
        <v/>
      </c>
      <c r="S101" s="18">
        <f>IFERROR(S56*$BG56*(1+($BI56-1)*S$32)*($D$29*$BH56+(1-$D$29)*S$31),"")</f>
        <v/>
      </c>
      <c r="T101" s="18">
        <f>IFERROR(T56*$BG56*(1+($BI56-1)*T$32)*($D$29*$BH56+(1-$D$29)*T$31),"")</f>
        <v/>
      </c>
      <c r="U101" s="18">
        <f>IFERROR(U56*$BG56*(1+($BI56-1)*U$32)*($D$29*$BH56+(1-$D$29)*U$31),"")</f>
        <v/>
      </c>
      <c r="V101" s="18">
        <f>IFERROR(V56*$BG56*(1+($BI56-1)*V$32)*($D$29*$BH56+(1-$D$29)*V$31),"")</f>
        <v/>
      </c>
      <c r="W101" s="18">
        <f>IFERROR(W56*$BG56*(1+($BI56-1)*W$32)*($D$29*$BH56+(1-$D$29)*W$31),"")</f>
        <v/>
      </c>
      <c r="X101" s="18">
        <f>IFERROR(X56*$BG56*(1+($BI56-1)*X$32)*($D$29*$BH56+(1-$D$29)*X$31),"")</f>
        <v/>
      </c>
    </row>
    <row r="102">
      <c r="A102" t="inlineStr">
        <is>
          <t>20260305800836</t>
        </is>
      </c>
      <c r="B102" t="inlineStr">
        <is>
          <t>LNGC</t>
        </is>
      </c>
      <c r="C102" t="n">
        <v>4</v>
      </c>
      <c r="D102" t="inlineStr">
        <is>
          <t>LNGC 4척</t>
        </is>
      </c>
      <c r="O102" s="18">
        <f>IFERROR(O57*$BG57*(1+($BI57-1)*O$32)*($D$29*$BH57+(1-$D$29)*O$31),"")</f>
        <v/>
      </c>
      <c r="P102" s="18">
        <f>IFERROR(P57*$BG57*(1+($BI57-1)*P$32)*($D$29*$BH57+(1-$D$29)*P$31),"")</f>
        <v/>
      </c>
      <c r="Q102" s="18">
        <f>IFERROR(Q57*$BG57*(1+($BI57-1)*Q$32)*($D$29*$BH57+(1-$D$29)*Q$31),"")</f>
        <v/>
      </c>
      <c r="R102" s="18">
        <f>IFERROR(R57*$BG57*(1+($BI57-1)*R$32)*($D$29*$BH57+(1-$D$29)*R$31),"")</f>
        <v/>
      </c>
      <c r="S102" s="18">
        <f>IFERROR(S57*$BG57*(1+($BI57-1)*S$32)*($D$29*$BH57+(1-$D$29)*S$31),"")</f>
        <v/>
      </c>
      <c r="T102" s="18">
        <f>IFERROR(T57*$BG57*(1+($BI57-1)*T$32)*($D$29*$BH57+(1-$D$29)*T$31),"")</f>
        <v/>
      </c>
      <c r="U102" s="18">
        <f>IFERROR(U57*$BG57*(1+($BI57-1)*U$32)*($D$29*$BH57+(1-$D$29)*U$31),"")</f>
        <v/>
      </c>
      <c r="V102" s="18">
        <f>IFERROR(V57*$BG57*(1+($BI57-1)*V$32)*($D$29*$BH57+(1-$D$29)*V$31),"")</f>
        <v/>
      </c>
      <c r="W102" s="18">
        <f>IFERROR(W57*$BG57*(1+($BI57-1)*W$32)*($D$29*$BH57+(1-$D$29)*W$31),"")</f>
        <v/>
      </c>
      <c r="X102" s="18">
        <f>IFERROR(X57*$BG57*(1+($BI57-1)*X$32)*($D$29*$BH57+(1-$D$29)*X$31),"")</f>
        <v/>
      </c>
      <c r="Y102" s="18">
        <f>IFERROR(Y57*$BG57*(1+($BI57-1)*Y$32)*($D$29*$BH57+(1-$D$29)*Y$31),"")</f>
        <v/>
      </c>
      <c r="Z102" s="18">
        <f>IFERROR(Z57*$BG57*(1+($BI57-1)*Z$32)*($D$29*$BH57+(1-$D$29)*Z$31),"")</f>
        <v/>
      </c>
      <c r="AA102" s="18">
        <f>IFERROR(AA57*$BG57*(1+($BI57-1)*AA$32)*($D$29*$BH57+(1-$D$29)*AA$31),"")</f>
        <v/>
      </c>
      <c r="AB102" s="18">
        <f>IFERROR(AB57*$BG57*(1+($BI57-1)*AB$32)*($D$29*$BH57+(1-$D$29)*AB$31),"")</f>
        <v/>
      </c>
      <c r="AC102" s="18">
        <f>IFERROR(AC57*$BG57*(1+($BI57-1)*AC$32)*($D$29*$BH57+(1-$D$29)*AC$31),"")</f>
        <v/>
      </c>
      <c r="AD102" s="18">
        <f>IFERROR(AD57*$BG57*(1+($BI57-1)*AD$32)*($D$29*$BH57+(1-$D$29)*AD$31),"")</f>
        <v/>
      </c>
    </row>
    <row r="103">
      <c r="A103" t="inlineStr">
        <is>
          <t>20260316800220</t>
        </is>
      </c>
      <c r="B103" t="inlineStr">
        <is>
          <t>CONT</t>
        </is>
      </c>
      <c r="C103" t="n">
        <v>10</v>
      </c>
      <c r="D103" t="inlineStr">
        <is>
          <t>컨테이너선 10척</t>
        </is>
      </c>
      <c r="O103" s="18">
        <f>IFERROR(O58*$BG58*(1+($BI58-1)*O$32)*($D$29*$BH58+(1-$D$29)*O$31),"")</f>
        <v/>
      </c>
      <c r="P103" s="18">
        <f>IFERROR(P58*$BG58*(1+($BI58-1)*P$32)*($D$29*$BH58+(1-$D$29)*P$31),"")</f>
        <v/>
      </c>
      <c r="Q103" s="18">
        <f>IFERROR(Q58*$BG58*(1+($BI58-1)*Q$32)*($D$29*$BH58+(1-$D$29)*Q$31),"")</f>
        <v/>
      </c>
      <c r="R103" s="18">
        <f>IFERROR(R58*$BG58*(1+($BI58-1)*R$32)*($D$29*$BH58+(1-$D$29)*R$31),"")</f>
        <v/>
      </c>
      <c r="S103" s="18">
        <f>IFERROR(S58*$BG58*(1+($BI58-1)*S$32)*($D$29*$BH58+(1-$D$29)*S$31),"")</f>
        <v/>
      </c>
      <c r="T103" s="18">
        <f>IFERROR(T58*$BG58*(1+($BI58-1)*T$32)*($D$29*$BH58+(1-$D$29)*T$31),"")</f>
        <v/>
      </c>
      <c r="U103" s="18">
        <f>IFERROR(U58*$BG58*(1+($BI58-1)*U$32)*($D$29*$BH58+(1-$D$29)*U$31),"")</f>
        <v/>
      </c>
      <c r="V103" s="18">
        <f>IFERROR(V58*$BG58*(1+($BI58-1)*V$32)*($D$29*$BH58+(1-$D$29)*V$31),"")</f>
        <v/>
      </c>
      <c r="W103" s="18">
        <f>IFERROR(W58*$BG58*(1+($BI58-1)*W$32)*($D$29*$BH58+(1-$D$29)*W$31),"")</f>
        <v/>
      </c>
      <c r="X103" s="18">
        <f>IFERROR(X58*$BG58*(1+($BI58-1)*X$32)*($D$29*$BH58+(1-$D$29)*X$31),"")</f>
        <v/>
      </c>
      <c r="Y103" s="18">
        <f>IFERROR(Y58*$BG58*(1+($BI58-1)*Y$32)*($D$29*$BH58+(1-$D$29)*Y$31),"")</f>
        <v/>
      </c>
      <c r="Z103" s="18">
        <f>IFERROR(Z58*$BG58*(1+($BI58-1)*Z$32)*($D$29*$BH58+(1-$D$29)*Z$31),"")</f>
        <v/>
      </c>
    </row>
    <row r="104">
      <c r="A104" t="inlineStr">
        <is>
          <t>20260403800571</t>
        </is>
      </c>
      <c r="B104" t="inlineStr">
        <is>
          <t>PC</t>
        </is>
      </c>
      <c r="C104" t="n">
        <v>8</v>
      </c>
      <c r="D104" t="inlineStr">
        <is>
          <t>P/C선 8척</t>
        </is>
      </c>
      <c r="P104" s="18">
        <f>IFERROR(P59*$BG59*(1+($BI59-1)*P$32)*($D$29*$BH59+(1-$D$29)*P$31),"")</f>
        <v/>
      </c>
      <c r="Q104" s="18">
        <f>IFERROR(Q59*$BG59*(1+($BI59-1)*Q$32)*($D$29*$BH59+(1-$D$29)*Q$31),"")</f>
        <v/>
      </c>
      <c r="R104" s="18">
        <f>IFERROR(R59*$BG59*(1+($BI59-1)*R$32)*($D$29*$BH59+(1-$D$29)*R$31),"")</f>
        <v/>
      </c>
      <c r="S104" s="18">
        <f>IFERROR(S59*$BG59*(1+($BI59-1)*S$32)*($D$29*$BH59+(1-$D$29)*S$31),"")</f>
        <v/>
      </c>
      <c r="T104" s="18">
        <f>IFERROR(T59*$BG59*(1+($BI59-1)*T$32)*($D$29*$BH59+(1-$D$29)*T$31),"")</f>
        <v/>
      </c>
      <c r="U104" s="18">
        <f>IFERROR(U59*$BG59*(1+($BI59-1)*U$32)*($D$29*$BH59+(1-$D$29)*U$31),"")</f>
        <v/>
      </c>
      <c r="V104" s="18">
        <f>IFERROR(V59*$BG59*(1+($BI59-1)*V$32)*($D$29*$BH59+(1-$D$29)*V$31),"")</f>
        <v/>
      </c>
      <c r="W104" s="18">
        <f>IFERROR(W59*$BG59*(1+($BI59-1)*W$32)*($D$29*$BH59+(1-$D$29)*W$31),"")</f>
        <v/>
      </c>
      <c r="X104" s="18">
        <f>IFERROR(X59*$BG59*(1+($BI59-1)*X$32)*($D$29*$BH59+(1-$D$29)*X$31),"")</f>
        <v/>
      </c>
      <c r="Y104" s="18">
        <f>IFERROR(Y59*$BG59*(1+($BI59-1)*Y$32)*($D$29*$BH59+(1-$D$29)*Y$31),"")</f>
        <v/>
      </c>
      <c r="Z104" s="18">
        <f>IFERROR(Z59*$BG59*(1+($BI59-1)*Z$32)*($D$29*$BH59+(1-$D$29)*Z$31),"")</f>
        <v/>
      </c>
      <c r="AA104" s="18">
        <f>IFERROR(AA59*$BG59*(1+($BI59-1)*AA$32)*($D$29*$BH59+(1-$D$29)*AA$31),"")</f>
        <v/>
      </c>
      <c r="AB104" s="18">
        <f>IFERROR(AB59*$BG59*(1+($BI59-1)*AB$32)*($D$29*$BH59+(1-$D$29)*AB$31),"")</f>
        <v/>
      </c>
    </row>
    <row r="105">
      <c r="A105" t="inlineStr">
        <is>
          <t>20260403800577</t>
        </is>
      </c>
      <c r="B105" t="inlineStr">
        <is>
          <t>VLGC</t>
        </is>
      </c>
      <c r="C105" t="n">
        <v>2</v>
      </c>
      <c r="D105" t="inlineStr">
        <is>
          <t>LPGC 2척</t>
        </is>
      </c>
      <c r="P105" s="18">
        <f>IFERROR(P60*$BG60*(1+($BI60-1)*P$32)*($D$29*$BH60+(1-$D$29)*P$31),"")</f>
        <v/>
      </c>
      <c r="Q105" s="18">
        <f>IFERROR(Q60*$BG60*(1+($BI60-1)*Q$32)*($D$29*$BH60+(1-$D$29)*Q$31),"")</f>
        <v/>
      </c>
      <c r="R105" s="18">
        <f>IFERROR(R60*$BG60*(1+($BI60-1)*R$32)*($D$29*$BH60+(1-$D$29)*R$31),"")</f>
        <v/>
      </c>
      <c r="S105" s="18">
        <f>IFERROR(S60*$BG60*(1+($BI60-1)*S$32)*($D$29*$BH60+(1-$D$29)*S$31),"")</f>
        <v/>
      </c>
      <c r="T105" s="18">
        <f>IFERROR(T60*$BG60*(1+($BI60-1)*T$32)*($D$29*$BH60+(1-$D$29)*T$31),"")</f>
        <v/>
      </c>
      <c r="U105" s="18">
        <f>IFERROR(U60*$BG60*(1+($BI60-1)*U$32)*($D$29*$BH60+(1-$D$29)*U$31),"")</f>
        <v/>
      </c>
      <c r="V105" s="18">
        <f>IFERROR(V60*$BG60*(1+($BI60-1)*V$32)*($D$29*$BH60+(1-$D$29)*V$31),"")</f>
        <v/>
      </c>
      <c r="W105" s="18">
        <f>IFERROR(W60*$BG60*(1+($BI60-1)*W$32)*($D$29*$BH60+(1-$D$29)*W$31),"")</f>
        <v/>
      </c>
      <c r="X105" s="18">
        <f>IFERROR(X60*$BG60*(1+($BI60-1)*X$32)*($D$29*$BH60+(1-$D$29)*X$31),"")</f>
        <v/>
      </c>
    </row>
    <row r="106">
      <c r="A106" t="inlineStr">
        <is>
          <t>20260417800177</t>
        </is>
      </c>
      <c r="B106" t="inlineStr">
        <is>
          <t>VLGC</t>
        </is>
      </c>
      <c r="C106" t="n">
        <v>4</v>
      </c>
      <c r="D106" t="inlineStr">
        <is>
          <t>VLGC 4척</t>
        </is>
      </c>
      <c r="P106" s="18">
        <f>IFERROR(P61*$BG61*(1+($BI61-1)*P$32)*($D$29*$BH61+(1-$D$29)*P$31),"")</f>
        <v/>
      </c>
      <c r="Q106" s="18">
        <f>IFERROR(Q61*$BG61*(1+($BI61-1)*Q$32)*($D$29*$BH61+(1-$D$29)*Q$31),"")</f>
        <v/>
      </c>
      <c r="R106" s="18">
        <f>IFERROR(R61*$BG61*(1+($BI61-1)*R$32)*($D$29*$BH61+(1-$D$29)*R$31),"")</f>
        <v/>
      </c>
      <c r="S106" s="18">
        <f>IFERROR(S61*$BG61*(1+($BI61-1)*S$32)*($D$29*$BH61+(1-$D$29)*S$31),"")</f>
        <v/>
      </c>
      <c r="T106" s="18">
        <f>IFERROR(T61*$BG61*(1+($BI61-1)*T$32)*($D$29*$BH61+(1-$D$29)*T$31),"")</f>
        <v/>
      </c>
      <c r="U106" s="18">
        <f>IFERROR(U61*$BG61*(1+($BI61-1)*U$32)*($D$29*$BH61+(1-$D$29)*U$31),"")</f>
        <v/>
      </c>
      <c r="V106" s="18">
        <f>IFERROR(V61*$BG61*(1+($BI61-1)*V$32)*($D$29*$BH61+(1-$D$29)*V$31),"")</f>
        <v/>
      </c>
      <c r="W106" s="18">
        <f>IFERROR(W61*$BG61*(1+($BI61-1)*W$32)*($D$29*$BH61+(1-$D$29)*W$31),"")</f>
        <v/>
      </c>
      <c r="X106" s="18">
        <f>IFERROR(X61*$BG61*(1+($BI61-1)*X$32)*($D$29*$BH61+(1-$D$29)*X$31),"")</f>
        <v/>
      </c>
      <c r="Y106" s="18">
        <f>IFERROR(Y61*$BG61*(1+($BI61-1)*Y$32)*($D$29*$BH61+(1-$D$29)*Y$31),"")</f>
        <v/>
      </c>
      <c r="Z106" s="18">
        <f>IFERROR(Z61*$BG61*(1+($BI61-1)*Z$32)*($D$29*$BH61+(1-$D$29)*Z$31),"")</f>
        <v/>
      </c>
      <c r="AA106" s="18">
        <f>IFERROR(AA61*$BG61*(1+($BI61-1)*AA$32)*($D$29*$BH61+(1-$D$29)*AA$31),"")</f>
        <v/>
      </c>
      <c r="AB106" s="18">
        <f>IFERROR(AB61*$BG61*(1+($BI61-1)*AB$32)*($D$29*$BH61+(1-$D$29)*AB$31),"")</f>
        <v/>
      </c>
      <c r="AC106" s="18">
        <f>IFERROR(AC61*$BG61*(1+($BI61-1)*AC$32)*($D$29*$BH61+(1-$D$29)*AC$31),"")</f>
        <v/>
      </c>
      <c r="AD106" s="18">
        <f>IFERROR(AD61*$BG61*(1+($BI61-1)*AD$32)*($D$29*$BH61+(1-$D$29)*AD$31),"")</f>
        <v/>
      </c>
    </row>
    <row r="107">
      <c r="A107" t="inlineStr">
        <is>
          <t>20260422800038</t>
        </is>
      </c>
      <c r="B107" t="inlineStr">
        <is>
          <t>NAVAL</t>
        </is>
      </c>
      <c r="C107" t="n">
        <v>1</v>
      </c>
      <c r="D107" t="inlineStr">
        <is>
          <t>쇄빙전용선 1척</t>
        </is>
      </c>
      <c r="P107" s="18">
        <f>IFERROR(P62*$BG62*(1+($BI62-1)*P$32)*($D$29*$BH62+(1-$D$29)*P$31),"")</f>
        <v/>
      </c>
      <c r="Q107" s="18">
        <f>IFERROR(Q62*$BG62*(1+($BI62-1)*Q$32)*($D$29*$BH62+(1-$D$29)*Q$31),"")</f>
        <v/>
      </c>
      <c r="R107" s="18">
        <f>IFERROR(R62*$BG62*(1+($BI62-1)*R$32)*($D$29*$BH62+(1-$D$29)*R$31),"")</f>
        <v/>
      </c>
      <c r="S107" s="18">
        <f>IFERROR(S62*$BG62*(1+($BI62-1)*S$32)*($D$29*$BH62+(1-$D$29)*S$31),"")</f>
        <v/>
      </c>
      <c r="T107" s="18">
        <f>IFERROR(T62*$BG62*(1+($BI62-1)*T$32)*($D$29*$BH62+(1-$D$29)*T$31),"")</f>
        <v/>
      </c>
      <c r="U107" s="18">
        <f>IFERROR(U62*$BG62*(1+($BI62-1)*U$32)*($D$29*$BH62+(1-$D$29)*U$31),"")</f>
        <v/>
      </c>
      <c r="V107" s="18">
        <f>IFERROR(V62*$BG62*(1+($BI62-1)*V$32)*($D$29*$BH62+(1-$D$29)*V$31),"")</f>
        <v/>
      </c>
      <c r="W107" s="18">
        <f>IFERROR(W62*$BG62*(1+($BI62-1)*W$32)*($D$29*$BH62+(1-$D$29)*W$31),"")</f>
        <v/>
      </c>
      <c r="X107" s="18">
        <f>IFERROR(X62*$BG62*(1+($BI62-1)*X$32)*($D$29*$BH62+(1-$D$29)*X$31),"")</f>
        <v/>
      </c>
      <c r="Y107" s="18">
        <f>IFERROR(Y62*$BG62*(1+($BI62-1)*Y$32)*($D$29*$BH62+(1-$D$29)*Y$31),"")</f>
        <v/>
      </c>
      <c r="Z107" s="18">
        <f>IFERROR(Z62*$BG62*(1+($BI62-1)*Z$32)*($D$29*$BH62+(1-$D$29)*Z$31),"")</f>
        <v/>
      </c>
      <c r="AA107" s="18">
        <f>IFERROR(AA62*$BG62*(1+($BI62-1)*AA$32)*($D$29*$BH62+(1-$D$29)*AA$31),"")</f>
        <v/>
      </c>
      <c r="AB107" s="18">
        <f>IFERROR(AB62*$BG62*(1+($BI62-1)*AB$32)*($D$29*$BH62+(1-$D$29)*AB$31),"")</f>
        <v/>
      </c>
      <c r="AC107" s="18">
        <f>IFERROR(AC62*$BG62*(1+($BI62-1)*AC$32)*($D$29*$BH62+(1-$D$29)*AC$31),"")</f>
        <v/>
      </c>
    </row>
    <row r="108">
      <c r="A108" t="inlineStr">
        <is>
          <t>20260422800175</t>
        </is>
      </c>
      <c r="B108" t="inlineStr">
        <is>
          <t>OTHER</t>
        </is>
      </c>
      <c r="D108" t="inlineStr">
        <is>
          <t>엔진발전기 공급</t>
        </is>
      </c>
      <c r="P108" s="18">
        <f>IFERROR(P63*$BG63*(1+($BI63-1)*P$32)*($D$29*$BH63+(1-$D$29)*P$31),"")</f>
        <v/>
      </c>
      <c r="Q108" s="18">
        <f>IFERROR(Q63*$BG63*(1+($BI63-1)*Q$32)*($D$29*$BH63+(1-$D$29)*Q$31),"")</f>
        <v/>
      </c>
      <c r="R108" s="18">
        <f>IFERROR(R63*$BG63*(1+($BI63-1)*R$32)*($D$29*$BH63+(1-$D$29)*R$31),"")</f>
        <v/>
      </c>
      <c r="S108" s="18">
        <f>IFERROR(S63*$BG63*(1+($BI63-1)*S$32)*($D$29*$BH63+(1-$D$29)*S$31),"")</f>
        <v/>
      </c>
      <c r="T108" s="18">
        <f>IFERROR(T63*$BG63*(1+($BI63-1)*T$32)*($D$29*$BH63+(1-$D$29)*T$31),"")</f>
        <v/>
      </c>
      <c r="U108" s="18">
        <f>IFERROR(U63*$BG63*(1+($BI63-1)*U$32)*($D$29*$BH63+(1-$D$29)*U$31),"")</f>
        <v/>
      </c>
      <c r="V108" s="18">
        <f>IFERROR(V63*$BG63*(1+($BI63-1)*V$32)*($D$29*$BH63+(1-$D$29)*V$31),"")</f>
        <v/>
      </c>
      <c r="W108" s="18">
        <f>IFERROR(W63*$BG63*(1+($BI63-1)*W$32)*($D$29*$BH63+(1-$D$29)*W$31),"")</f>
        <v/>
      </c>
      <c r="X108" s="18">
        <f>IFERROR(X63*$BG63*(1+($BI63-1)*X$32)*($D$29*$BH63+(1-$D$29)*X$31),"")</f>
        <v/>
      </c>
      <c r="Y108" s="18">
        <f>IFERROR(Y63*$BG63*(1+($BI63-1)*Y$32)*($D$29*$BH63+(1-$D$29)*Y$31),"")</f>
        <v/>
      </c>
      <c r="Z108" s="18">
        <f>IFERROR(Z63*$BG63*(1+($BI63-1)*Z$32)*($D$29*$BH63+(1-$D$29)*Z$31),"")</f>
        <v/>
      </c>
      <c r="AA108" s="18">
        <f>IFERROR(AA63*$BG63*(1+($BI63-1)*AA$32)*($D$29*$BH63+(1-$D$29)*AA$31),"")</f>
        <v/>
      </c>
      <c r="AB108" s="18">
        <f>IFERROR(AB63*$BG63*(1+($BI63-1)*AB$32)*($D$29*$BH63+(1-$D$29)*AB$31),"")</f>
        <v/>
      </c>
      <c r="AC108" s="18">
        <f>IFERROR(AC63*$BG63*(1+($BI63-1)*AC$32)*($D$29*$BH63+(1-$D$29)*AC$31),"")</f>
        <v/>
      </c>
      <c r="AD108" s="18">
        <f>IFERROR(AD63*$BG63*(1+($BI63-1)*AD$32)*($D$29*$BH63+(1-$D$29)*AD$31),"")</f>
        <v/>
      </c>
      <c r="AE108" s="18">
        <f>IFERROR(AE63*$BG63*(1+($BI63-1)*AE$32)*($D$29*$BH63+(1-$D$29)*AE$31),"")</f>
        <v/>
      </c>
      <c r="AF108" s="18">
        <f>IFERROR(AF63*$BG63*(1+($BI63-1)*AF$32)*($D$29*$BH63+(1-$D$29)*AF$31),"")</f>
        <v/>
      </c>
      <c r="AG108" s="18">
        <f>IFERROR(AG63*$BG63*(1+($BI63-1)*AG$32)*($D$29*$BH63+(1-$D$29)*AG$31),"")</f>
        <v/>
      </c>
      <c r="AH108" s="18">
        <f>IFERROR(AH63*$BG63*(1+($BI63-1)*AH$32)*($D$29*$BH63+(1-$D$29)*AH$31),"")</f>
        <v/>
      </c>
    </row>
    <row r="109">
      <c r="A109" t="inlineStr">
        <is>
          <t>20260504800297</t>
        </is>
      </c>
      <c r="B109" t="inlineStr">
        <is>
          <t>VLGC</t>
        </is>
      </c>
      <c r="C109" t="n">
        <v>3</v>
      </c>
      <c r="D109" t="inlineStr">
        <is>
          <t>VLGC 3척</t>
        </is>
      </c>
      <c r="P109" s="18">
        <f>IFERROR(P64*$BG64*(1+($BI64-1)*P$32)*($D$29*$BH64+(1-$D$29)*P$31),"")</f>
        <v/>
      </c>
      <c r="Q109" s="18">
        <f>IFERROR(Q64*$BG64*(1+($BI64-1)*Q$32)*($D$29*$BH64+(1-$D$29)*Q$31),"")</f>
        <v/>
      </c>
      <c r="R109" s="18">
        <f>IFERROR(R64*$BG64*(1+($BI64-1)*R$32)*($D$29*$BH64+(1-$D$29)*R$31),"")</f>
        <v/>
      </c>
      <c r="S109" s="18">
        <f>IFERROR(S64*$BG64*(1+($BI64-1)*S$32)*($D$29*$BH64+(1-$D$29)*S$31),"")</f>
        <v/>
      </c>
      <c r="T109" s="18">
        <f>IFERROR(T64*$BG64*(1+($BI64-1)*T$32)*($D$29*$BH64+(1-$D$29)*T$31),"")</f>
        <v/>
      </c>
      <c r="U109" s="18">
        <f>IFERROR(U64*$BG64*(1+($BI64-1)*U$32)*($D$29*$BH64+(1-$D$29)*U$31),"")</f>
        <v/>
      </c>
      <c r="V109" s="18">
        <f>IFERROR(V64*$BG64*(1+($BI64-1)*V$32)*($D$29*$BH64+(1-$D$29)*V$31),"")</f>
        <v/>
      </c>
      <c r="W109" s="18">
        <f>IFERROR(W64*$BG64*(1+($BI64-1)*W$32)*($D$29*$BH64+(1-$D$29)*W$31),"")</f>
        <v/>
      </c>
      <c r="X109" s="18">
        <f>IFERROR(X64*$BG64*(1+($BI64-1)*X$32)*($D$29*$BH64+(1-$D$29)*X$31),"")</f>
        <v/>
      </c>
      <c r="Y109" s="18">
        <f>IFERROR(Y64*$BG64*(1+($BI64-1)*Y$32)*($D$29*$BH64+(1-$D$29)*Y$31),"")</f>
        <v/>
      </c>
      <c r="Z109" s="18">
        <f>IFERROR(Z64*$BG64*(1+($BI64-1)*Z$32)*($D$29*$BH64+(1-$D$29)*Z$31),"")</f>
        <v/>
      </c>
      <c r="AA109" s="18">
        <f>IFERROR(AA64*$BG64*(1+($BI64-1)*AA$32)*($D$29*$BH64+(1-$D$29)*AA$31),"")</f>
        <v/>
      </c>
      <c r="AB109" s="18">
        <f>IFERROR(AB64*$BG64*(1+($BI64-1)*AB$32)*($D$29*$BH64+(1-$D$29)*AB$31),"")</f>
        <v/>
      </c>
      <c r="AC109" s="18">
        <f>IFERROR(AC64*$BG64*(1+($BI64-1)*AC$32)*($D$29*$BH64+(1-$D$29)*AC$31),"")</f>
        <v/>
      </c>
    </row>
    <row r="110">
      <c r="A110" t="inlineStr">
        <is>
          <t>20260508800180</t>
        </is>
      </c>
      <c r="B110" t="inlineStr">
        <is>
          <t>CONT</t>
        </is>
      </c>
      <c r="C110" t="n">
        <v>6</v>
      </c>
      <c r="D110" t="inlineStr">
        <is>
          <t>컨테이너선 6척</t>
        </is>
      </c>
      <c r="P110" s="18">
        <f>IFERROR(P65*$BG65*(1+($BI65-1)*P$32)*($D$29*$BH65+(1-$D$29)*P$31),"")</f>
        <v/>
      </c>
      <c r="Q110" s="18">
        <f>IFERROR(Q65*$BG65*(1+($BI65-1)*Q$32)*($D$29*$BH65+(1-$D$29)*Q$31),"")</f>
        <v/>
      </c>
      <c r="R110" s="18">
        <f>IFERROR(R65*$BG65*(1+($BI65-1)*R$32)*($D$29*$BH65+(1-$D$29)*R$31),"")</f>
        <v/>
      </c>
      <c r="S110" s="18">
        <f>IFERROR(S65*$BG65*(1+($BI65-1)*S$32)*($D$29*$BH65+(1-$D$29)*S$31),"")</f>
        <v/>
      </c>
      <c r="T110" s="18">
        <f>IFERROR(T65*$BG65*(1+($BI65-1)*T$32)*($D$29*$BH65+(1-$D$29)*T$31),"")</f>
        <v/>
      </c>
      <c r="U110" s="18">
        <f>IFERROR(U65*$BG65*(1+($BI65-1)*U$32)*($D$29*$BH65+(1-$D$29)*U$31),"")</f>
        <v/>
      </c>
      <c r="V110" s="18">
        <f>IFERROR(V65*$BG65*(1+($BI65-1)*V$32)*($D$29*$BH65+(1-$D$29)*V$31),"")</f>
        <v/>
      </c>
      <c r="W110" s="18">
        <f>IFERROR(W65*$BG65*(1+($BI65-1)*W$32)*($D$29*$BH65+(1-$D$29)*W$31),"")</f>
        <v/>
      </c>
      <c r="X110" s="18">
        <f>IFERROR(X65*$BG65*(1+($BI65-1)*X$32)*($D$29*$BH65+(1-$D$29)*X$31),"")</f>
        <v/>
      </c>
      <c r="Y110" s="18">
        <f>IFERROR(Y65*$BG65*(1+($BI65-1)*Y$32)*($D$29*$BH65+(1-$D$29)*Y$31),"")</f>
        <v/>
      </c>
      <c r="Z110" s="18">
        <f>IFERROR(Z65*$BG65*(1+($BI65-1)*Z$32)*($D$29*$BH65+(1-$D$29)*Z$31),"")</f>
        <v/>
      </c>
      <c r="AA110" s="18">
        <f>IFERROR(AA65*$BG65*(1+($BI65-1)*AA$32)*($D$29*$BH65+(1-$D$29)*AA$31),"")</f>
        <v/>
      </c>
      <c r="AB110" s="18">
        <f>IFERROR(AB65*$BG65*(1+($BI65-1)*AB$32)*($D$29*$BH65+(1-$D$29)*AB$31),"")</f>
        <v/>
      </c>
      <c r="AC110" s="18">
        <f>IFERROR(AC65*$BG65*(1+($BI65-1)*AC$32)*($D$29*$BH65+(1-$D$29)*AC$31),"")</f>
        <v/>
      </c>
    </row>
    <row r="111">
      <c r="A111" t="inlineStr">
        <is>
          <t>20260508800181</t>
        </is>
      </c>
      <c r="B111" t="inlineStr">
        <is>
          <t>VLGC</t>
        </is>
      </c>
      <c r="C111" t="n">
        <v>2</v>
      </c>
      <c r="D111" t="inlineStr">
        <is>
          <t>VLGC 2척</t>
        </is>
      </c>
      <c r="P111" s="18">
        <f>IFERROR(P66*$BG66*(1+($BI66-1)*P$32)*($D$29*$BH66+(1-$D$29)*P$31),"")</f>
        <v/>
      </c>
      <c r="Q111" s="18">
        <f>IFERROR(Q66*$BG66*(1+($BI66-1)*Q$32)*($D$29*$BH66+(1-$D$29)*Q$31),"")</f>
        <v/>
      </c>
      <c r="R111" s="18">
        <f>IFERROR(R66*$BG66*(1+($BI66-1)*R$32)*($D$29*$BH66+(1-$D$29)*R$31),"")</f>
        <v/>
      </c>
      <c r="S111" s="18">
        <f>IFERROR(S66*$BG66*(1+($BI66-1)*S$32)*($D$29*$BH66+(1-$D$29)*S$31),"")</f>
        <v/>
      </c>
      <c r="T111" s="18">
        <f>IFERROR(T66*$BG66*(1+($BI66-1)*T$32)*($D$29*$BH66+(1-$D$29)*T$31),"")</f>
        <v/>
      </c>
      <c r="U111" s="18">
        <f>IFERROR(U66*$BG66*(1+($BI66-1)*U$32)*($D$29*$BH66+(1-$D$29)*U$31),"")</f>
        <v/>
      </c>
      <c r="V111" s="18">
        <f>IFERROR(V66*$BG66*(1+($BI66-1)*V$32)*($D$29*$BH66+(1-$D$29)*V$31),"")</f>
        <v/>
      </c>
      <c r="W111" s="18">
        <f>IFERROR(W66*$BG66*(1+($BI66-1)*W$32)*($D$29*$BH66+(1-$D$29)*W$31),"")</f>
        <v/>
      </c>
      <c r="X111" s="18">
        <f>IFERROR(X66*$BG66*(1+($BI66-1)*X$32)*($D$29*$BH66+(1-$D$29)*X$31),"")</f>
        <v/>
      </c>
      <c r="Y111" s="18">
        <f>IFERROR(Y66*$BG66*(1+($BI66-1)*Y$32)*($D$29*$BH66+(1-$D$29)*Y$31),"")</f>
        <v/>
      </c>
      <c r="Z111" s="18">
        <f>IFERROR(Z66*$BG66*(1+($BI66-1)*Z$32)*($D$29*$BH66+(1-$D$29)*Z$31),"")</f>
        <v/>
      </c>
      <c r="AA111" s="18">
        <f>IFERROR(AA66*$BG66*(1+($BI66-1)*AA$32)*($D$29*$BH66+(1-$D$29)*AA$31),"")</f>
        <v/>
      </c>
    </row>
    <row r="112">
      <c r="A112" t="inlineStr">
        <is>
          <t>20260514800315</t>
        </is>
      </c>
      <c r="B112" t="inlineStr">
        <is>
          <t>LNGC</t>
        </is>
      </c>
      <c r="C112" t="n">
        <v>2</v>
      </c>
      <c r="D112" t="inlineStr">
        <is>
          <t>LNGC 2척</t>
        </is>
      </c>
      <c r="P112" s="18">
        <f>IFERROR(P67*$BG67*(1+($BI67-1)*P$32)*($D$29*$BH67+(1-$D$29)*P$31),"")</f>
        <v/>
      </c>
      <c r="Q112" s="18">
        <f>IFERROR(Q67*$BG67*(1+($BI67-1)*Q$32)*($D$29*$BH67+(1-$D$29)*Q$31),"")</f>
        <v/>
      </c>
      <c r="R112" s="18">
        <f>IFERROR(R67*$BG67*(1+($BI67-1)*R$32)*($D$29*$BH67+(1-$D$29)*R$31),"")</f>
        <v/>
      </c>
      <c r="S112" s="18">
        <f>IFERROR(S67*$BG67*(1+($BI67-1)*S$32)*($D$29*$BH67+(1-$D$29)*S$31),"")</f>
        <v/>
      </c>
      <c r="T112" s="18">
        <f>IFERROR(T67*$BG67*(1+($BI67-1)*T$32)*($D$29*$BH67+(1-$D$29)*T$31),"")</f>
        <v/>
      </c>
      <c r="U112" s="18">
        <f>IFERROR(U67*$BG67*(1+($BI67-1)*U$32)*($D$29*$BH67+(1-$D$29)*U$31),"")</f>
        <v/>
      </c>
      <c r="V112" s="18">
        <f>IFERROR(V67*$BG67*(1+($BI67-1)*V$32)*($D$29*$BH67+(1-$D$29)*V$31),"")</f>
        <v/>
      </c>
      <c r="W112" s="18">
        <f>IFERROR(W67*$BG67*(1+($BI67-1)*W$32)*($D$29*$BH67+(1-$D$29)*W$31),"")</f>
        <v/>
      </c>
      <c r="X112" s="18">
        <f>IFERROR(X67*$BG67*(1+($BI67-1)*X$32)*($D$29*$BH67+(1-$D$29)*X$31),"")</f>
        <v/>
      </c>
      <c r="Y112" s="18">
        <f>IFERROR(Y67*$BG67*(1+($BI67-1)*Y$32)*($D$29*$BH67+(1-$D$29)*Y$31),"")</f>
        <v/>
      </c>
      <c r="Z112" s="18">
        <f>IFERROR(Z67*$BG67*(1+($BI67-1)*Z$32)*($D$29*$BH67+(1-$D$29)*Z$31),"")</f>
        <v/>
      </c>
      <c r="AA112" s="18">
        <f>IFERROR(AA67*$BG67*(1+($BI67-1)*AA$32)*($D$29*$BH67+(1-$D$29)*AA$31),"")</f>
        <v/>
      </c>
    </row>
    <row r="113">
      <c r="A113" t="inlineStr">
        <is>
          <t>20260601800384</t>
        </is>
      </c>
      <c r="B113" t="inlineStr">
        <is>
          <t>VLGC</t>
        </is>
      </c>
      <c r="C113" t="n">
        <v>8</v>
      </c>
      <c r="D113" t="inlineStr">
        <is>
          <t>VLGC 8척</t>
        </is>
      </c>
      <c r="P113" s="18">
        <f>IFERROR(P68*$BG68*(1+($BI68-1)*P$32)*($D$29*$BH68+(1-$D$29)*P$31),"")</f>
        <v/>
      </c>
      <c r="Q113" s="18">
        <f>IFERROR(Q68*$BG68*(1+($BI68-1)*Q$32)*($D$29*$BH68+(1-$D$29)*Q$31),"")</f>
        <v/>
      </c>
      <c r="R113" s="18">
        <f>IFERROR(R68*$BG68*(1+($BI68-1)*R$32)*($D$29*$BH68+(1-$D$29)*R$31),"")</f>
        <v/>
      </c>
      <c r="S113" s="18">
        <f>IFERROR(S68*$BG68*(1+($BI68-1)*S$32)*($D$29*$BH68+(1-$D$29)*S$31),"")</f>
        <v/>
      </c>
      <c r="T113" s="18">
        <f>IFERROR(T68*$BG68*(1+($BI68-1)*T$32)*($D$29*$BH68+(1-$D$29)*T$31),"")</f>
        <v/>
      </c>
      <c r="U113" s="18">
        <f>IFERROR(U68*$BG68*(1+($BI68-1)*U$32)*($D$29*$BH68+(1-$D$29)*U$31),"")</f>
        <v/>
      </c>
      <c r="V113" s="18">
        <f>IFERROR(V68*$BG68*(1+($BI68-1)*V$32)*($D$29*$BH68+(1-$D$29)*V$31),"")</f>
        <v/>
      </c>
      <c r="W113" s="18">
        <f>IFERROR(W68*$BG68*(1+($BI68-1)*W$32)*($D$29*$BH68+(1-$D$29)*W$31),"")</f>
        <v/>
      </c>
      <c r="X113" s="18">
        <f>IFERROR(X68*$BG68*(1+($BI68-1)*X$32)*($D$29*$BH68+(1-$D$29)*X$31),"")</f>
        <v/>
      </c>
      <c r="Y113" s="18">
        <f>IFERROR(Y68*$BG68*(1+($BI68-1)*Y$32)*($D$29*$BH68+(1-$D$29)*Y$31),"")</f>
        <v/>
      </c>
      <c r="Z113" s="18">
        <f>IFERROR(Z68*$BG68*(1+($BI68-1)*Z$32)*($D$29*$BH68+(1-$D$29)*Z$31),"")</f>
        <v/>
      </c>
      <c r="AA113" s="18">
        <f>IFERROR(AA68*$BG68*(1+($BI68-1)*AA$32)*($D$29*$BH68+(1-$D$29)*AA$31),"")</f>
        <v/>
      </c>
      <c r="AB113" s="18">
        <f>IFERROR(AB68*$BG68*(1+($BI68-1)*AB$32)*($D$29*$BH68+(1-$D$29)*AB$31),"")</f>
        <v/>
      </c>
      <c r="AC113" s="18">
        <f>IFERROR(AC68*$BG68*(1+($BI68-1)*AC$32)*($D$29*$BH68+(1-$D$29)*AC$31),"")</f>
        <v/>
      </c>
      <c r="AD113" s="18">
        <f>IFERROR(AD68*$BG68*(1+($BI68-1)*AD$32)*($D$29*$BH68+(1-$D$29)*AD$31),"")</f>
        <v/>
      </c>
      <c r="AE113" s="18">
        <f>IFERROR(AE68*$BG68*(1+($BI68-1)*AE$32)*($D$29*$BH68+(1-$D$29)*AE$31),"")</f>
        <v/>
      </c>
      <c r="AF113" s="18">
        <f>IFERROR(AF68*$BG68*(1+($BI68-1)*AF$32)*($D$29*$BH68+(1-$D$29)*AF$31),"")</f>
        <v/>
      </c>
    </row>
    <row r="114">
      <c r="A114" t="inlineStr">
        <is>
          <t>20260608800378</t>
        </is>
      </c>
      <c r="B114" t="inlineStr">
        <is>
          <t>VLGC</t>
        </is>
      </c>
      <c r="C114" t="n">
        <v>2</v>
      </c>
      <c r="D114" t="inlineStr">
        <is>
          <t>VLGC 2척</t>
        </is>
      </c>
      <c r="P114" s="18">
        <f>IFERROR(P69*$BG69*(1+($BI69-1)*P$32)*($D$29*$BH69+(1-$D$29)*P$31),"")</f>
        <v/>
      </c>
      <c r="Q114" s="18">
        <f>IFERROR(Q69*$BG69*(1+($BI69-1)*Q$32)*($D$29*$BH69+(1-$D$29)*Q$31),"")</f>
        <v/>
      </c>
      <c r="R114" s="18">
        <f>IFERROR(R69*$BG69*(1+($BI69-1)*R$32)*($D$29*$BH69+(1-$D$29)*R$31),"")</f>
        <v/>
      </c>
      <c r="S114" s="18">
        <f>IFERROR(S69*$BG69*(1+($BI69-1)*S$32)*($D$29*$BH69+(1-$D$29)*S$31),"")</f>
        <v/>
      </c>
      <c r="T114" s="18">
        <f>IFERROR(T69*$BG69*(1+($BI69-1)*T$32)*($D$29*$BH69+(1-$D$29)*T$31),"")</f>
        <v/>
      </c>
      <c r="U114" s="18">
        <f>IFERROR(U69*$BG69*(1+($BI69-1)*U$32)*($D$29*$BH69+(1-$D$29)*U$31),"")</f>
        <v/>
      </c>
      <c r="V114" s="18">
        <f>IFERROR(V69*$BG69*(1+($BI69-1)*V$32)*($D$29*$BH69+(1-$D$29)*V$31),"")</f>
        <v/>
      </c>
      <c r="W114" s="18">
        <f>IFERROR(W69*$BG69*(1+($BI69-1)*W$32)*($D$29*$BH69+(1-$D$29)*W$31),"")</f>
        <v/>
      </c>
      <c r="X114" s="18">
        <f>IFERROR(X69*$BG69*(1+($BI69-1)*X$32)*($D$29*$BH69+(1-$D$29)*X$31),"")</f>
        <v/>
      </c>
      <c r="Y114" s="18">
        <f>IFERROR(Y69*$BG69*(1+($BI69-1)*Y$32)*($D$29*$BH69+(1-$D$29)*Y$31),"")</f>
        <v/>
      </c>
      <c r="Z114" s="18">
        <f>IFERROR(Z69*$BG69*(1+($BI69-1)*Z$32)*($D$29*$BH69+(1-$D$29)*Z$31),"")</f>
        <v/>
      </c>
      <c r="AA114" s="18">
        <f>IFERROR(AA69*$BG69*(1+($BI69-1)*AA$32)*($D$29*$BH69+(1-$D$29)*AA$31),"")</f>
        <v/>
      </c>
      <c r="AB114" s="18">
        <f>IFERROR(AB69*$BG69*(1+($BI69-1)*AB$32)*($D$29*$BH69+(1-$D$29)*AB$31),"")</f>
        <v/>
      </c>
      <c r="AC114" s="18">
        <f>IFERROR(AC69*$BG69*(1+($BI69-1)*AC$32)*($D$29*$BH69+(1-$D$29)*AC$31),"")</f>
        <v/>
      </c>
      <c r="AD114" s="18">
        <f>IFERROR(AD69*$BG69*(1+($BI69-1)*AD$32)*($D$29*$BH69+(1-$D$29)*AD$31),"")</f>
        <v/>
      </c>
    </row>
    <row r="115">
      <c r="A115" t="inlineStr">
        <is>
          <t>20260701800212</t>
        </is>
      </c>
      <c r="B115" t="inlineStr">
        <is>
          <t>LNGC</t>
        </is>
      </c>
      <c r="C115" t="n">
        <v>1</v>
      </c>
      <c r="D115" t="inlineStr">
        <is>
          <t>FSRU 1척</t>
        </is>
      </c>
      <c r="P115" s="18">
        <f>IFERROR(P70*$BG70*(1+($BI70-1)*P$32)*($D$29*$BH70+(1-$D$29)*P$31),"")</f>
        <v/>
      </c>
      <c r="Q115" s="18">
        <f>IFERROR(Q70*$BG70*(1+($BI70-1)*Q$32)*($D$29*$BH70+(1-$D$29)*Q$31),"")</f>
        <v/>
      </c>
      <c r="R115" s="18">
        <f>IFERROR(R70*$BG70*(1+($BI70-1)*R$32)*($D$29*$BH70+(1-$D$29)*R$31),"")</f>
        <v/>
      </c>
      <c r="S115" s="18">
        <f>IFERROR(S70*$BG70*(1+($BI70-1)*S$32)*($D$29*$BH70+(1-$D$29)*S$31),"")</f>
        <v/>
      </c>
      <c r="T115" s="18">
        <f>IFERROR(T70*$BG70*(1+($BI70-1)*T$32)*($D$29*$BH70+(1-$D$29)*T$31),"")</f>
        <v/>
      </c>
      <c r="U115" s="18">
        <f>IFERROR(U70*$BG70*(1+($BI70-1)*U$32)*($D$29*$BH70+(1-$D$29)*U$31),"")</f>
        <v/>
      </c>
      <c r="V115" s="18">
        <f>IFERROR(V70*$BG70*(1+($BI70-1)*V$32)*($D$29*$BH70+(1-$D$29)*V$31),"")</f>
        <v/>
      </c>
      <c r="W115" s="18">
        <f>IFERROR(W70*$BG70*(1+($BI70-1)*W$32)*($D$29*$BH70+(1-$D$29)*W$31),"")</f>
        <v/>
      </c>
      <c r="X115" s="18">
        <f>IFERROR(X70*$BG70*(1+($BI70-1)*X$32)*($D$29*$BH70+(1-$D$29)*X$31),"")</f>
        <v/>
      </c>
      <c r="Y115" s="18">
        <f>IFERROR(Y70*$BG70*(1+($BI70-1)*Y$32)*($D$29*$BH70+(1-$D$29)*Y$31),"")</f>
        <v/>
      </c>
      <c r="Z115" s="18">
        <f>IFERROR(Z70*$BG70*(1+($BI70-1)*Z$32)*($D$29*$BH70+(1-$D$29)*Z$31),"")</f>
        <v/>
      </c>
      <c r="AA115" s="18">
        <f>IFERROR(AA70*$BG70*(1+($BI70-1)*AA$32)*($D$29*$BH70+(1-$D$29)*AA$31),"")</f>
        <v/>
      </c>
      <c r="AB115" s="18">
        <f>IFERROR(AB70*$BG70*(1+($BI70-1)*AB$32)*($D$29*$BH70+(1-$D$29)*AB$31),"")</f>
        <v/>
      </c>
    </row>
    <row r="116">
      <c r="A116" t="inlineStr">
        <is>
          <t>20260701800215</t>
        </is>
      </c>
      <c r="B116" t="inlineStr">
        <is>
          <t>LNGC</t>
        </is>
      </c>
      <c r="C116" t="n">
        <v>1</v>
      </c>
      <c r="D116" t="inlineStr">
        <is>
          <t>LNGC 1척</t>
        </is>
      </c>
      <c r="P116" s="18">
        <f>IFERROR(P71*$BG71*(1+($BI71-1)*P$32)*($D$29*$BH71+(1-$D$29)*P$31),"")</f>
        <v/>
      </c>
      <c r="Q116" s="18">
        <f>IFERROR(Q71*$BG71*(1+($BI71-1)*Q$32)*($D$29*$BH71+(1-$D$29)*Q$31),"")</f>
        <v/>
      </c>
      <c r="R116" s="18">
        <f>IFERROR(R71*$BG71*(1+($BI71-1)*R$32)*($D$29*$BH71+(1-$D$29)*R$31),"")</f>
        <v/>
      </c>
      <c r="S116" s="18">
        <f>IFERROR(S71*$BG71*(1+($BI71-1)*S$32)*($D$29*$BH71+(1-$D$29)*S$31),"")</f>
        <v/>
      </c>
      <c r="T116" s="18">
        <f>IFERROR(T71*$BG71*(1+($BI71-1)*T$32)*($D$29*$BH71+(1-$D$29)*T$31),"")</f>
        <v/>
      </c>
      <c r="U116" s="18">
        <f>IFERROR(U71*$BG71*(1+($BI71-1)*U$32)*($D$29*$BH71+(1-$D$29)*U$31),"")</f>
        <v/>
      </c>
      <c r="V116" s="18">
        <f>IFERROR(V71*$BG71*(1+($BI71-1)*V$32)*($D$29*$BH71+(1-$D$29)*V$31),"")</f>
        <v/>
      </c>
      <c r="W116" s="18">
        <f>IFERROR(W71*$BG71*(1+($BI71-1)*W$32)*($D$29*$BH71+(1-$D$29)*W$31),"")</f>
        <v/>
      </c>
      <c r="X116" s="18">
        <f>IFERROR(X71*$BG71*(1+($BI71-1)*X$32)*($D$29*$BH71+(1-$D$29)*X$31),"")</f>
        <v/>
      </c>
      <c r="Y116" s="18">
        <f>IFERROR(Y71*$BG71*(1+($BI71-1)*Y$32)*($D$29*$BH71+(1-$D$29)*Y$31),"")</f>
        <v/>
      </c>
      <c r="Z116" s="18">
        <f>IFERROR(Z71*$BG71*(1+($BI71-1)*Z$32)*($D$29*$BH71+(1-$D$29)*Z$31),"")</f>
        <v/>
      </c>
      <c r="AA116" s="18">
        <f>IFERROR(AA71*$BG71*(1+($BI71-1)*AA$32)*($D$29*$BH71+(1-$D$29)*AA$31),"")</f>
        <v/>
      </c>
    </row>
    <row r="117">
      <c r="A117" t="inlineStr">
        <is>
          <t>20260709800137</t>
        </is>
      </c>
      <c r="B117" t="inlineStr">
        <is>
          <t>PC</t>
        </is>
      </c>
      <c r="C117" t="n">
        <v>6</v>
      </c>
      <c r="D117" t="inlineStr">
        <is>
          <t>P/C선 6척</t>
        </is>
      </c>
      <c r="Q117" s="18">
        <f>IFERROR(Q72*$BG72*(1+($BI72-1)*Q$32)*($D$29*$BH72+(1-$D$29)*Q$31),"")</f>
        <v/>
      </c>
      <c r="R117" s="18">
        <f>IFERROR(R72*$BG72*(1+($BI72-1)*R$32)*($D$29*$BH72+(1-$D$29)*R$31),"")</f>
        <v/>
      </c>
      <c r="S117" s="18">
        <f>IFERROR(S72*$BG72*(1+($BI72-1)*S$32)*($D$29*$BH72+(1-$D$29)*S$31),"")</f>
        <v/>
      </c>
      <c r="T117" s="18">
        <f>IFERROR(T72*$BG72*(1+($BI72-1)*T$32)*($D$29*$BH72+(1-$D$29)*T$31),"")</f>
        <v/>
      </c>
      <c r="U117" s="18">
        <f>IFERROR(U72*$BG72*(1+($BI72-1)*U$32)*($D$29*$BH72+(1-$D$29)*U$31),"")</f>
        <v/>
      </c>
      <c r="V117" s="18">
        <f>IFERROR(V72*$BG72*(1+($BI72-1)*V$32)*($D$29*$BH72+(1-$D$29)*V$31),"")</f>
        <v/>
      </c>
      <c r="W117" s="18">
        <f>IFERROR(W72*$BG72*(1+($BI72-1)*W$32)*($D$29*$BH72+(1-$D$29)*W$31),"")</f>
        <v/>
      </c>
      <c r="X117" s="18">
        <f>IFERROR(X72*$BG72*(1+($BI72-1)*X$32)*($D$29*$BH72+(1-$D$29)*X$31),"")</f>
        <v/>
      </c>
      <c r="Y117" s="18">
        <f>IFERROR(Y72*$BG72*(1+($BI72-1)*Y$32)*($D$29*$BH72+(1-$D$29)*Y$31),"")</f>
        <v/>
      </c>
      <c r="Z117" s="18">
        <f>IFERROR(Z72*$BG72*(1+($BI72-1)*Z$32)*($D$29*$BH72+(1-$D$29)*Z$31),"")</f>
        <v/>
      </c>
      <c r="AA117" s="18">
        <f>IFERROR(AA72*$BG72*(1+($BI72-1)*AA$32)*($D$29*$BH72+(1-$D$29)*AA$31),"")</f>
        <v/>
      </c>
      <c r="AB117" s="18">
        <f>IFERROR(AB72*$BG72*(1+($BI72-1)*AB$32)*($D$29*$BH72+(1-$D$29)*AB$31),"")</f>
        <v/>
      </c>
    </row>
    <row r="118">
      <c r="A118" t="inlineStr">
        <is>
          <t>20260714800534</t>
        </is>
      </c>
      <c r="B118" t="inlineStr">
        <is>
          <t>PCTC</t>
        </is>
      </c>
      <c r="C118" t="n">
        <v>2</v>
      </c>
      <c r="D118" t="inlineStr">
        <is>
          <t>PCTC 2척</t>
        </is>
      </c>
      <c r="P118" s="18">
        <f>IFERROR(P73*$BG73*(1+($BI73-1)*P$32)*($D$29*$BH73+(1-$D$29)*P$31),"")</f>
        <v/>
      </c>
      <c r="Q118" s="18">
        <f>IFERROR(Q73*$BG73*(1+($BI73-1)*Q$32)*($D$29*$BH73+(1-$D$29)*Q$31),"")</f>
        <v/>
      </c>
      <c r="R118" s="18">
        <f>IFERROR(R73*$BG73*(1+($BI73-1)*R$32)*($D$29*$BH73+(1-$D$29)*R$31),"")</f>
        <v/>
      </c>
      <c r="S118" s="18">
        <f>IFERROR(S73*$BG73*(1+($BI73-1)*S$32)*($D$29*$BH73+(1-$D$29)*S$31),"")</f>
        <v/>
      </c>
      <c r="T118" s="18">
        <f>IFERROR(T73*$BG73*(1+($BI73-1)*T$32)*($D$29*$BH73+(1-$D$29)*T$31),"")</f>
        <v/>
      </c>
      <c r="U118" s="18">
        <f>IFERROR(U73*$BG73*(1+($BI73-1)*U$32)*($D$29*$BH73+(1-$D$29)*U$31),"")</f>
        <v/>
      </c>
      <c r="V118" s="18">
        <f>IFERROR(V73*$BG73*(1+($BI73-1)*V$32)*($D$29*$BH73+(1-$D$29)*V$31),"")</f>
        <v/>
      </c>
      <c r="W118" s="18">
        <f>IFERROR(W73*$BG73*(1+($BI73-1)*W$32)*($D$29*$BH73+(1-$D$29)*W$31),"")</f>
        <v/>
      </c>
      <c r="X118" s="18">
        <f>IFERROR(X73*$BG73*(1+($BI73-1)*X$32)*($D$29*$BH73+(1-$D$29)*X$31),"")</f>
        <v/>
      </c>
      <c r="Y118" s="18">
        <f>IFERROR(Y73*$BG73*(1+($BI73-1)*Y$32)*($D$29*$BH73+(1-$D$29)*Y$31),"")</f>
        <v/>
      </c>
      <c r="Z118" s="18">
        <f>IFERROR(Z73*$BG73*(1+($BI73-1)*Z$32)*($D$29*$BH73+(1-$D$29)*Z$31),"")</f>
        <v/>
      </c>
    </row>
    <row r="119">
      <c r="A119" t="inlineStr">
        <is>
          <t>20260810800144</t>
        </is>
      </c>
      <c r="B119" t="inlineStr">
        <is>
          <t>OTHER</t>
        </is>
      </c>
      <c r="D119" t="inlineStr">
        <is>
          <t>엔진발전기 공급</t>
        </is>
      </c>
      <c r="Q119" s="18">
        <f>IFERROR(Q74*$BG74*(1+($BI74-1)*Q$32)*($D$29*$BH74+(1-$D$29)*Q$31),"")</f>
        <v/>
      </c>
      <c r="R119" s="18">
        <f>IFERROR(R74*$BG74*(1+($BI74-1)*R$32)*($D$29*$BH74+(1-$D$29)*R$31),"")</f>
        <v/>
      </c>
      <c r="S119" s="18">
        <f>IFERROR(S74*$BG74*(1+($BI74-1)*S$32)*($D$29*$BH74+(1-$D$29)*S$31),"")</f>
        <v/>
      </c>
      <c r="T119" s="18">
        <f>IFERROR(T74*$BG74*(1+($BI74-1)*T$32)*($D$29*$BH74+(1-$D$29)*T$31),"")</f>
        <v/>
      </c>
      <c r="U119" s="18">
        <f>IFERROR(U74*$BG74*(1+($BI74-1)*U$32)*($D$29*$BH74+(1-$D$29)*U$31),"")</f>
        <v/>
      </c>
      <c r="V119" s="18">
        <f>IFERROR(V74*$BG74*(1+($BI74-1)*V$32)*($D$29*$BH74+(1-$D$29)*V$31),"")</f>
        <v/>
      </c>
      <c r="W119" s="18">
        <f>IFERROR(W74*$BG74*(1+($BI74-1)*W$32)*($D$29*$BH74+(1-$D$29)*W$31),"")</f>
        <v/>
      </c>
      <c r="X119" s="18">
        <f>IFERROR(X74*$BG74*(1+($BI74-1)*X$32)*($D$29*$BH74+(1-$D$29)*X$31),"")</f>
        <v/>
      </c>
      <c r="Y119" s="18">
        <f>IFERROR(Y74*$BG74*(1+($BI74-1)*Y$32)*($D$29*$BH74+(1-$D$29)*Y$31),"")</f>
        <v/>
      </c>
      <c r="Z119" s="18">
        <f>IFERROR(Z74*$BG74*(1+($BI74-1)*Z$32)*($D$29*$BH74+(1-$D$29)*Z$31),"")</f>
        <v/>
      </c>
      <c r="AA119" s="18">
        <f>IFERROR(AA74*$BG74*(1+($BI74-1)*AA$32)*($D$29*$BH74+(1-$D$29)*AA$31),"")</f>
        <v/>
      </c>
      <c r="AB119" s="18">
        <f>IFERROR(AB74*$BG74*(1+($BI74-1)*AB$32)*($D$29*$BH74+(1-$D$29)*AB$31),"")</f>
        <v/>
      </c>
      <c r="AC119" s="18">
        <f>IFERROR(AC74*$BG74*(1+($BI74-1)*AC$32)*($D$29*$BH74+(1-$D$29)*AC$31),"")</f>
        <v/>
      </c>
      <c r="AD119" s="18">
        <f>IFERROR(AD74*$BG74*(1+($BI74-1)*AD$32)*($D$29*$BH74+(1-$D$29)*AD$31),"")</f>
        <v/>
      </c>
      <c r="AE119" s="18">
        <f>IFERROR(AE74*$BG74*(1+($BI74-1)*AE$32)*($D$29*$BH74+(1-$D$29)*AE$31),"")</f>
        <v/>
      </c>
      <c r="AF119" s="18">
        <f>IFERROR(AF74*$BG74*(1+($BI74-1)*AF$32)*($D$29*$BH74+(1-$D$29)*AF$31),"")</f>
        <v/>
      </c>
      <c r="AG119" s="18">
        <f>IFERROR(AG74*$BG74*(1+($BI74-1)*AG$32)*($D$29*$BH74+(1-$D$29)*AG$31),"")</f>
        <v/>
      </c>
    </row>
    <row r="120">
      <c r="A120" t="inlineStr">
        <is>
          <t>20260824800122</t>
        </is>
      </c>
      <c r="B120" t="inlineStr">
        <is>
          <t>VLGC</t>
        </is>
      </c>
      <c r="C120" t="n">
        <v>4</v>
      </c>
      <c r="D120" t="inlineStr">
        <is>
          <t>LPGC 4척</t>
        </is>
      </c>
      <c r="Q120" s="18">
        <f>IFERROR(Q75*$BG75*(1+($BI75-1)*Q$32)*($D$29*$BH75+(1-$D$29)*Q$31),"")</f>
        <v/>
      </c>
      <c r="R120" s="18">
        <f>IFERROR(R75*$BG75*(1+($BI75-1)*R$32)*($D$29*$BH75+(1-$D$29)*R$31),"")</f>
        <v/>
      </c>
      <c r="S120" s="18">
        <f>IFERROR(S75*$BG75*(1+($BI75-1)*S$32)*($D$29*$BH75+(1-$D$29)*S$31),"")</f>
        <v/>
      </c>
      <c r="T120" s="18">
        <f>IFERROR(T75*$BG75*(1+($BI75-1)*T$32)*($D$29*$BH75+(1-$D$29)*T$31),"")</f>
        <v/>
      </c>
      <c r="U120" s="18">
        <f>IFERROR(U75*$BG75*(1+($BI75-1)*U$32)*($D$29*$BH75+(1-$D$29)*U$31),"")</f>
        <v/>
      </c>
      <c r="V120" s="18">
        <f>IFERROR(V75*$BG75*(1+($BI75-1)*V$32)*($D$29*$BH75+(1-$D$29)*V$31),"")</f>
        <v/>
      </c>
      <c r="W120" s="18">
        <f>IFERROR(W75*$BG75*(1+($BI75-1)*W$32)*($D$29*$BH75+(1-$D$29)*W$31),"")</f>
        <v/>
      </c>
      <c r="X120" s="18">
        <f>IFERROR(X75*$BG75*(1+($BI75-1)*X$32)*($D$29*$BH75+(1-$D$29)*X$31),"")</f>
        <v/>
      </c>
      <c r="Y120" s="18">
        <f>IFERROR(Y75*$BG75*(1+($BI75-1)*Y$32)*($D$29*$BH75+(1-$D$29)*Y$31),"")</f>
        <v/>
      </c>
      <c r="Z120" s="18">
        <f>IFERROR(Z75*$BG75*(1+($BI75-1)*Z$32)*($D$29*$BH75+(1-$D$29)*Z$31),"")</f>
        <v/>
      </c>
      <c r="AA120" s="18">
        <f>IFERROR(AA75*$BG75*(1+($BI75-1)*AA$32)*($D$29*$BH75+(1-$D$29)*AA$31),"")</f>
        <v/>
      </c>
      <c r="AB120" s="18">
        <f>IFERROR(AB75*$BG75*(1+($BI75-1)*AB$32)*($D$29*$BH75+(1-$D$29)*AB$31),"")</f>
        <v/>
      </c>
      <c r="AC120" s="18">
        <f>IFERROR(AC75*$BG75*(1+($BI75-1)*AC$32)*($D$29*$BH75+(1-$D$29)*AC$31),"")</f>
        <v/>
      </c>
      <c r="AD120" s="18">
        <f>IFERROR(AD75*$BG75*(1+($BI75-1)*AD$32)*($D$29*$BH75+(1-$D$29)*AD$31),"")</f>
        <v/>
      </c>
      <c r="AE120" s="18">
        <f>IFERROR(AE75*$BG75*(1+($BI75-1)*AE$32)*($D$29*$BH75+(1-$D$29)*AE$31),"")</f>
        <v/>
      </c>
    </row>
    <row r="121">
      <c r="A121" t="inlineStr">
        <is>
          <t>20260922800219</t>
        </is>
      </c>
      <c r="B121" t="inlineStr">
        <is>
          <t>PCTC</t>
        </is>
      </c>
      <c r="C121" t="n">
        <v>2</v>
      </c>
      <c r="D121" t="inlineStr">
        <is>
          <t>RORO선 2척</t>
        </is>
      </c>
      <c r="Q121" s="18">
        <f>IFERROR(Q76*$BG76*(1+($BI76-1)*Q$32)*($D$29*$BH76+(1-$D$29)*Q$31),"")</f>
        <v/>
      </c>
      <c r="R121" s="18">
        <f>IFERROR(R76*$BG76*(1+($BI76-1)*R$32)*($D$29*$BH76+(1-$D$29)*R$31),"")</f>
        <v/>
      </c>
      <c r="S121" s="18">
        <f>IFERROR(S76*$BG76*(1+($BI76-1)*S$32)*($D$29*$BH76+(1-$D$29)*S$31),"")</f>
        <v/>
      </c>
      <c r="T121" s="18">
        <f>IFERROR(T76*$BG76*(1+($BI76-1)*T$32)*($D$29*$BH76+(1-$D$29)*T$31),"")</f>
        <v/>
      </c>
      <c r="U121" s="18">
        <f>IFERROR(U76*$BG76*(1+($BI76-1)*U$32)*($D$29*$BH76+(1-$D$29)*U$31),"")</f>
        <v/>
      </c>
      <c r="V121" s="18">
        <f>IFERROR(V76*$BG76*(1+($BI76-1)*V$32)*($D$29*$BH76+(1-$D$29)*V$31),"")</f>
        <v/>
      </c>
      <c r="W121" s="18">
        <f>IFERROR(W76*$BG76*(1+($BI76-1)*W$32)*($D$29*$BH76+(1-$D$29)*W$31),"")</f>
        <v/>
      </c>
      <c r="X121" s="18">
        <f>IFERROR(X76*$BG76*(1+($BI76-1)*X$32)*($D$29*$BH76+(1-$D$29)*X$31),"")</f>
        <v/>
      </c>
      <c r="Y121" s="18">
        <f>IFERROR(Y76*$BG76*(1+($BI76-1)*Y$32)*($D$29*$BH76+(1-$D$29)*Y$31),"")</f>
        <v/>
      </c>
      <c r="Z121" s="18">
        <f>IFERROR(Z76*$BG76*(1+($BI76-1)*Z$32)*($D$29*$BH76+(1-$D$29)*Z$31),"")</f>
        <v/>
      </c>
      <c r="AA121" s="18">
        <f>IFERROR(AA76*$BG76*(1+($BI76-1)*AA$32)*($D$29*$BH76+(1-$D$29)*AA$31),"")</f>
        <v/>
      </c>
      <c r="AB121" s="18">
        <f>IFERROR(AB76*$BG76*(1+($BI76-1)*AB$32)*($D$29*$BH76+(1-$D$29)*AB$31),"")</f>
        <v/>
      </c>
      <c r="AC121" s="18">
        <f>IFERROR(AC76*$BG76*(1+($BI76-1)*AC$32)*($D$29*$BH76+(1-$D$29)*AC$31),"")</f>
        <v/>
      </c>
      <c r="AD121" s="18">
        <f>IFERROR(AD76*$BG76*(1+($BI76-1)*AD$32)*($D$29*$BH76+(1-$D$29)*AD$31),"")</f>
        <v/>
      </c>
    </row>
    <row r="122">
      <c r="A122" t="inlineStr">
        <is>
          <t>20261013800234</t>
        </is>
      </c>
      <c r="B122" t="inlineStr">
        <is>
          <t>OFFSH</t>
        </is>
      </c>
      <c r="C122" t="n">
        <v>1</v>
      </c>
      <c r="D122" t="inlineStr">
        <is>
          <t>FPU 1기</t>
        </is>
      </c>
      <c r="E122" s="18">
        <f>IFERROR(E77*$BG77*(1+($BI77-1)*E$32)*($D$29*$BH77+(1-$D$29)*E$31),"")</f>
        <v/>
      </c>
      <c r="F122" s="18">
        <f>IFERROR(F77*$BG77*(1+($BI77-1)*F$32)*($D$29*$BH77+(1-$D$29)*F$31),"")</f>
        <v/>
      </c>
      <c r="G122" s="18">
        <f>IFERROR(G77*$BG77*(1+($BI77-1)*G$32)*($D$29*$BH77+(1-$D$29)*G$31),"")</f>
        <v/>
      </c>
      <c r="H122" s="18">
        <f>IFERROR(H77*$BG77*(1+($BI77-1)*H$32)*($D$29*$BH77+(1-$D$29)*H$31),"")</f>
        <v/>
      </c>
      <c r="I122" s="18">
        <f>IFERROR(I77*$BG77*(1+($BI77-1)*I$32)*($D$29*$BH77+(1-$D$29)*I$31),"")</f>
        <v/>
      </c>
      <c r="J122" s="18">
        <f>IFERROR(J77*$BG77*(1+($BI77-1)*J$32)*($D$29*$BH77+(1-$D$29)*J$31),"")</f>
        <v/>
      </c>
      <c r="K122" s="18">
        <f>IFERROR(K77*$BG77*(1+($BI77-1)*K$32)*($D$29*$BH77+(1-$D$29)*K$31),"")</f>
        <v/>
      </c>
      <c r="L122" s="18">
        <f>IFERROR(L77*$BG77*(1+($BI77-1)*L$32)*($D$29*$BH77+(1-$D$29)*L$31),"")</f>
        <v/>
      </c>
      <c r="M122" s="18">
        <f>IFERROR(M77*$BG77*(1+($BI77-1)*M$32)*($D$29*$BH77+(1-$D$29)*M$31),"")</f>
        <v/>
      </c>
      <c r="N122" s="18">
        <f>IFERROR(N77*$BG77*(1+($BI77-1)*N$32)*($D$29*$BH77+(1-$D$29)*N$31),"")</f>
        <v/>
      </c>
      <c r="O122" s="18">
        <f>IFERROR(O77*$BG77*(1+($BI77-1)*O$32)*($D$29*$BH77+(1-$D$29)*O$31),"")</f>
        <v/>
      </c>
      <c r="P122" s="18">
        <f>IFERROR(P77*$BG77*(1+($BI77-1)*P$32)*($D$29*$BH77+(1-$D$29)*P$31),"")</f>
        <v/>
      </c>
      <c r="Q122" s="18">
        <f>IFERROR(Q77*$BG77*(1+($BI77-1)*Q$32)*($D$29*$BH77+(1-$D$29)*Q$31),"")</f>
        <v/>
      </c>
      <c r="R122" s="18">
        <f>IFERROR(R77*$BG77*(1+($BI77-1)*R$32)*($D$29*$BH77+(1-$D$29)*R$31),"")</f>
        <v/>
      </c>
      <c r="S122" s="18">
        <f>IFERROR(S77*$BG77*(1+($BI77-1)*S$32)*($D$29*$BH77+(1-$D$29)*S$31),"")</f>
        <v/>
      </c>
      <c r="T122" s="18">
        <f>IFERROR(T77*$BG77*(1+($BI77-1)*T$32)*($D$29*$BH77+(1-$D$29)*T$31),"")</f>
        <v/>
      </c>
    </row>
    <row r="123">
      <c r="A123" s="12" t="inlineStr">
        <is>
          <t>usd_incl</t>
        </is>
      </c>
      <c r="D123" t="inlineStr">
        <is>
          <t>포함 계약 스케줄 합(백만$, 캡 배율 전)</t>
        </is>
      </c>
      <c r="E123" s="26">
        <f>SUMPRODUCT(E35:E77,$BG$35:$BG$77)</f>
        <v/>
      </c>
      <c r="F123" s="26">
        <f>SUMPRODUCT(F35:F77,$BG$35:$BG$77)</f>
        <v/>
      </c>
      <c r="G123" s="26">
        <f>SUMPRODUCT(G35:G77,$BG$35:$BG$77)</f>
        <v/>
      </c>
      <c r="H123" s="26">
        <f>SUMPRODUCT(H35:H77,$BG$35:$BG$77)</f>
        <v/>
      </c>
      <c r="I123" s="26">
        <f>SUMPRODUCT(I35:I77,$BG$35:$BG$77)</f>
        <v/>
      </c>
      <c r="J123" s="26">
        <f>SUMPRODUCT(J35:J77,$BG$35:$BG$77)</f>
        <v/>
      </c>
      <c r="K123" s="26">
        <f>SUMPRODUCT(K35:K77,$BG$35:$BG$77)</f>
        <v/>
      </c>
      <c r="L123" s="26">
        <f>SUMPRODUCT(L35:L77,$BG$35:$BG$77)</f>
        <v/>
      </c>
      <c r="M123" s="26">
        <f>SUMPRODUCT(M35:M77,$BG$35:$BG$77)</f>
        <v/>
      </c>
      <c r="N123" s="26">
        <f>SUMPRODUCT(N35:N77,$BG$35:$BG$77)</f>
        <v/>
      </c>
      <c r="O123" s="26">
        <f>SUMPRODUCT(O35:O77,$BG$35:$BG$77)</f>
        <v/>
      </c>
      <c r="P123" s="26">
        <f>SUMPRODUCT(P35:P77,$BG$35:$BG$77)</f>
        <v/>
      </c>
      <c r="Q123" s="26">
        <f>SUMPRODUCT(Q35:Q77,$BG$35:$BG$77)</f>
        <v/>
      </c>
      <c r="R123" s="26">
        <f>SUMPRODUCT(R35:R77,$BG$35:$BG$77)</f>
        <v/>
      </c>
      <c r="S123" s="26">
        <f>SUMPRODUCT(S35:S77,$BG$35:$BG$77)</f>
        <v/>
      </c>
      <c r="T123" s="26">
        <f>SUMPRODUCT(T35:T77,$BG$35:$BG$77)</f>
        <v/>
      </c>
      <c r="U123" s="26">
        <f>SUMPRODUCT(U35:U77,$BG$35:$BG$77)</f>
        <v/>
      </c>
      <c r="V123" s="26">
        <f>SUMPRODUCT(V35:V77,$BG$35:$BG$77)</f>
        <v/>
      </c>
      <c r="W123" s="26">
        <f>SUMPRODUCT(W35:W77,$BG$35:$BG$77)</f>
        <v/>
      </c>
      <c r="X123" s="26">
        <f>SUMPRODUCT(X35:X77,$BG$35:$BG$77)</f>
        <v/>
      </c>
      <c r="Y123" s="26">
        <f>SUMPRODUCT(Y35:Y77,$BG$35:$BG$77)</f>
        <v/>
      </c>
      <c r="Z123" s="26">
        <f>SUMPRODUCT(Z35:Z77,$BG$35:$BG$77)</f>
        <v/>
      </c>
      <c r="AA123" s="26">
        <f>SUMPRODUCT(AA35:AA77,$BG$35:$BG$77)</f>
        <v/>
      </c>
      <c r="AB123" s="26">
        <f>SUMPRODUCT(AB35:AB77,$BG$35:$BG$77)</f>
        <v/>
      </c>
      <c r="AC123" s="26">
        <f>SUMPRODUCT(AC35:AC77,$BG$35:$BG$77)</f>
        <v/>
      </c>
      <c r="AD123" s="26">
        <f>SUMPRODUCT(AD35:AD77,$BG$35:$BG$77)</f>
        <v/>
      </c>
      <c r="AE123" s="26">
        <f>SUMPRODUCT(AE35:AE77,$BG$35:$BG$77)</f>
        <v/>
      </c>
      <c r="AF123" s="26">
        <f>SUMPRODUCT(AF35:AF77,$BG$35:$BG$77)</f>
        <v/>
      </c>
      <c r="AG123" s="26">
        <f>SUMPRODUCT(AG35:AG77,$BG$35:$BG$77)</f>
        <v/>
      </c>
      <c r="AH123" s="26">
        <f>SUMPRODUCT(AH35:AH77,$BG$35:$BG$77)</f>
        <v/>
      </c>
      <c r="AI123" s="26">
        <f>SUMPRODUCT(AI35:AI77,$BG$35:$BG$77)</f>
        <v/>
      </c>
      <c r="AJ123" s="26">
        <f>SUMPRODUCT(AJ35:AJ77,$BG$35:$BG$77)</f>
        <v/>
      </c>
      <c r="AK123" s="26">
        <f>SUMPRODUCT(AK35:AK77,$BG$35:$BG$77)</f>
        <v/>
      </c>
      <c r="AL123" s="26">
        <f>SUMPRODUCT(AL35:AL77,$BG$35:$BG$77)</f>
        <v/>
      </c>
      <c r="AM123" s="26">
        <f>SUMPRODUCT(AM35:AM77,$BG$35:$BG$77)</f>
        <v/>
      </c>
      <c r="AN123" s="26">
        <f>SUMPRODUCT(AN35:AN77,$BG$35:$BG$77)</f>
        <v/>
      </c>
      <c r="AO123" s="26">
        <f>SUMPRODUCT(AO35:AO77,$BG$35:$BG$77)</f>
        <v/>
      </c>
      <c r="AP123" s="26">
        <f>SUMPRODUCT(AP35:AP77,$BG$35:$BG$77)</f>
        <v/>
      </c>
      <c r="AQ123" s="26">
        <f>SUMPRODUCT(AQ35:AQ77,$BG$35:$BG$77)</f>
        <v/>
      </c>
      <c r="AR123" s="26">
        <f>SUMPRODUCT(AR35:AR77,$BG$35:$BG$77)</f>
        <v/>
      </c>
      <c r="AS123" s="26">
        <f>SUMPRODUCT(AS35:AS77,$BG$35:$BG$77)</f>
        <v/>
      </c>
      <c r="AT123" s="26">
        <f>SUMPRODUCT(AT35:AT77,$BG$35:$BG$77)</f>
        <v/>
      </c>
    </row>
    <row r="124">
      <c r="A124" s="12" t="inlineStr">
        <is>
          <t>krw_link</t>
        </is>
      </c>
      <c r="D124" s="1" t="inlineStr">
        <is>
          <t>원화 합계(백만원) — subQ 연결 행</t>
        </is>
      </c>
      <c r="E124" s="18">
        <f>SUM(E80:E122)</f>
        <v/>
      </c>
      <c r="F124" s="18">
        <f>SUM(F80:F122)</f>
        <v/>
      </c>
      <c r="G124" s="18">
        <f>SUM(G80:G122)</f>
        <v/>
      </c>
      <c r="H124" s="18">
        <f>SUM(H80:H122)</f>
        <v/>
      </c>
      <c r="I124" s="18">
        <f>SUM(I80:I122)</f>
        <v/>
      </c>
      <c r="J124" s="18">
        <f>SUM(J80:J122)</f>
        <v/>
      </c>
      <c r="K124" s="18">
        <f>SUM(K80:K122)</f>
        <v/>
      </c>
      <c r="L124" s="18">
        <f>SUM(L80:L122)</f>
        <v/>
      </c>
      <c r="M124" s="18">
        <f>SUM(M80:M122)</f>
        <v/>
      </c>
      <c r="N124" s="18">
        <f>SUM(N80:N122)</f>
        <v/>
      </c>
      <c r="O124" s="18">
        <f>SUM(O80:O122)</f>
        <v/>
      </c>
      <c r="P124" s="18">
        <f>SUM(P80:P122)</f>
        <v/>
      </c>
      <c r="Q124" s="18">
        <f>SUM(Q80:Q122)</f>
        <v/>
      </c>
      <c r="R124" s="18">
        <f>SUM(R80:R122)</f>
        <v/>
      </c>
      <c r="S124" s="18">
        <f>SUM(S80:S122)</f>
        <v/>
      </c>
      <c r="T124" s="18">
        <f>SUM(T80:T122)</f>
        <v/>
      </c>
      <c r="U124" s="18">
        <f>SUM(U80:U122)</f>
        <v/>
      </c>
      <c r="V124" s="18">
        <f>SUM(V80:V122)</f>
        <v/>
      </c>
      <c r="W124" s="18">
        <f>SUM(W80:W122)</f>
        <v/>
      </c>
      <c r="X124" s="18">
        <f>SUM(X80:X122)</f>
        <v/>
      </c>
      <c r="Y124" s="18">
        <f>SUM(Y80:Y122)</f>
        <v/>
      </c>
      <c r="Z124" s="18">
        <f>SUM(Z80:Z122)</f>
        <v/>
      </c>
      <c r="AA124" s="18">
        <f>SUM(AA80:AA122)</f>
        <v/>
      </c>
      <c r="AB124" s="18">
        <f>SUM(AB80:AB122)</f>
        <v/>
      </c>
      <c r="AC124" s="18">
        <f>SUM(AC80:AC122)</f>
        <v/>
      </c>
      <c r="AD124" s="18">
        <f>SUM(AD80:AD122)</f>
        <v/>
      </c>
      <c r="AE124" s="18">
        <f>SUM(AE80:AE122)</f>
        <v/>
      </c>
      <c r="AF124" s="18">
        <f>SUM(AF80:AF122)</f>
        <v/>
      </c>
      <c r="AG124" s="18">
        <f>SUM(AG80:AG122)</f>
        <v/>
      </c>
      <c r="AH124" s="18">
        <f>SUM(AH80:AH122)</f>
        <v/>
      </c>
      <c r="AI124" s="18">
        <f>SUM(AI80:AI122)</f>
        <v/>
      </c>
      <c r="AJ124" s="18">
        <f>SUM(AJ80:AJ122)</f>
        <v/>
      </c>
      <c r="AK124" s="18">
        <f>SUM(AK80:AK122)</f>
        <v/>
      </c>
      <c r="AL124" s="18">
        <f>SUM(AL80:AL122)</f>
        <v/>
      </c>
      <c r="AM124" s="18">
        <f>SUM(AM80:AM122)</f>
        <v/>
      </c>
      <c r="AN124" s="18">
        <f>SUM(AN80:AN122)</f>
        <v/>
      </c>
      <c r="AO124" s="18">
        <f>SUM(AO80:AO122)</f>
        <v/>
      </c>
      <c r="AP124" s="18">
        <f>SUM(AP80:AP122)</f>
        <v/>
      </c>
      <c r="AQ124" s="18">
        <f>SUM(AQ80:AQ122)</f>
        <v/>
      </c>
      <c r="AR124" s="18">
        <f>SUM(AR80:AR122)</f>
        <v/>
      </c>
      <c r="AS124" s="18">
        <f>SUM(AS80:AS122)</f>
        <v/>
      </c>
      <c r="AT124" s="18">
        <f>SUM(AT80:AT122)</f>
        <v/>
      </c>
    </row>
    <row r="126">
      <c r="A126" s="1" t="inlineStr">
        <is>
          <t>계약 원장(contracts.json 기반 — counted 아닌 계약 포함)</t>
        </is>
      </c>
    </row>
    <row r="127">
      <c r="A127" s="1" t="inlineStr">
        <is>
          <t>rcp</t>
        </is>
      </c>
      <c r="B127" s="1" t="inlineStr">
        <is>
          <t>type</t>
        </is>
      </c>
      <c r="C127" s="1" t="inlineStr">
        <is>
          <t>ships</t>
        </is>
      </c>
      <c r="D127" s="1" t="inlineStr">
        <is>
          <t>amt_krw_m</t>
        </is>
      </c>
      <c r="E127" s="1" t="inlineStr">
        <is>
          <t>amt_usd_m</t>
        </is>
      </c>
      <c r="F127" s="1" t="inlineStr">
        <is>
          <t>fx_at_sign</t>
        </is>
      </c>
      <c r="G127" s="1" t="inlineStr">
        <is>
          <t>signed</t>
        </is>
      </c>
      <c r="H127" s="1" t="inlineStr">
        <is>
          <t>start</t>
        </is>
      </c>
      <c r="I127" s="1" t="inlineStr">
        <is>
          <t>end</t>
        </is>
      </c>
      <c r="J127" s="1" t="inlineStr">
        <is>
          <t>cohort</t>
        </is>
      </c>
      <c r="K127" s="1" t="inlineStr">
        <is>
          <t>cohort_alt</t>
        </is>
      </c>
      <c r="L127" s="1" t="inlineStr">
        <is>
          <t>curve</t>
        </is>
      </c>
      <c r="M127" s="1" t="inlineStr">
        <is>
          <t>counted</t>
        </is>
      </c>
      <c r="N127" s="1" t="inlineStr">
        <is>
          <t>signed_by_origin</t>
        </is>
      </c>
      <c r="O127" s="1" t="inlineStr">
        <is>
          <t>estimated_series</t>
        </is>
      </c>
    </row>
    <row r="128">
      <c r="A128" t="inlineStr">
        <is>
          <t>20241118800037</t>
        </is>
      </c>
      <c r="B128" t="inlineStr">
        <is>
          <t>VLGC</t>
        </is>
      </c>
      <c r="C128" t="n">
        <v>2</v>
      </c>
      <c r="D128" t="n">
        <v>340300</v>
      </c>
      <c r="E128" t="n">
        <v>243.716</v>
      </c>
      <c r="F128" t="n">
        <v>1396.3</v>
      </c>
      <c r="G128" t="inlineStr">
        <is>
          <t>2024-11-15</t>
        </is>
      </c>
      <c r="H128" t="inlineStr">
        <is>
          <t>2024-11-15</t>
        </is>
      </c>
      <c r="I128" t="inlineStr">
        <is>
          <t>2027-12-31</t>
        </is>
      </c>
      <c r="J128" t="inlineStr">
        <is>
          <t>⑤초호황</t>
        </is>
      </c>
      <c r="K128" t="inlineStr">
        <is>
          <t>③중마진</t>
        </is>
      </c>
      <c r="L128" t="inlineStr">
        <is>
          <t>linear_progress</t>
        </is>
      </c>
      <c r="M128" t="b">
        <v>1</v>
      </c>
      <c r="N128" t="b">
        <v>1</v>
      </c>
      <c r="O128" t="b">
        <v>1</v>
      </c>
    </row>
    <row r="129">
      <c r="A129" t="inlineStr">
        <is>
          <t>20250123800036</t>
        </is>
      </c>
      <c r="B129" t="inlineStr">
        <is>
          <t>CONT</t>
        </is>
      </c>
      <c r="C129" t="n">
        <v>12</v>
      </c>
      <c r="D129" t="n">
        <v>3716000</v>
      </c>
      <c r="E129" t="n">
        <v>2558.735</v>
      </c>
      <c r="F129" t="n">
        <v>1452.28</v>
      </c>
      <c r="G129" t="inlineStr">
        <is>
          <t>2025-01-22</t>
        </is>
      </c>
      <c r="H129" t="inlineStr">
        <is>
          <t>2025-01-22</t>
        </is>
      </c>
      <c r="I129" t="inlineStr">
        <is>
          <t>2028-12-29</t>
        </is>
      </c>
      <c r="J129" t="inlineStr">
        <is>
          <t>⑤초호황</t>
        </is>
      </c>
      <c r="K129" t="inlineStr">
        <is>
          <t>④호황</t>
        </is>
      </c>
      <c r="L129" t="inlineStr">
        <is>
          <t>linear_progress</t>
        </is>
      </c>
      <c r="M129" t="b">
        <v>1</v>
      </c>
      <c r="N129" t="b">
        <v>1</v>
      </c>
      <c r="O129" t="b">
        <v>1</v>
      </c>
    </row>
    <row r="130">
      <c r="A130" t="inlineStr">
        <is>
          <t>20250213800540</t>
        </is>
      </c>
      <c r="B130" t="inlineStr">
        <is>
          <t>NAVAL</t>
        </is>
      </c>
      <c r="C130" t="n">
        <v>4</v>
      </c>
      <c r="D130" t="n">
        <v>714100</v>
      </c>
      <c r="E130" t="n">
        <v>516.08</v>
      </c>
      <c r="F130" t="n">
        <v>1383.7</v>
      </c>
      <c r="G130" t="inlineStr">
        <is>
          <t>2024-04-16</t>
        </is>
      </c>
      <c r="H130" t="inlineStr">
        <is>
          <t>2024-04-16</t>
        </is>
      </c>
      <c r="I130" t="inlineStr">
        <is>
          <t>2031-04-13</t>
        </is>
      </c>
      <c r="J130" t="inlineStr">
        <is>
          <t>⑤초호황</t>
        </is>
      </c>
      <c r="K130" t="inlineStr">
        <is>
          <t>②BEP</t>
        </is>
      </c>
      <c r="L130" t="inlineStr">
        <is>
          <t>linear_progress</t>
        </is>
      </c>
      <c r="M130" t="b">
        <v>1</v>
      </c>
      <c r="N130" t="b">
        <v>1</v>
      </c>
      <c r="O130" t="b">
        <v>1</v>
      </c>
    </row>
    <row r="131">
      <c r="A131" t="inlineStr">
        <is>
          <t>20250304800166</t>
        </is>
      </c>
      <c r="B131" t="inlineStr">
        <is>
          <t>VLGC</t>
        </is>
      </c>
      <c r="C131" t="n">
        <v>2</v>
      </c>
      <c r="D131" t="n">
        <v>458800</v>
      </c>
      <c r="E131" t="n">
        <v>315.917</v>
      </c>
      <c r="F131" t="n">
        <v>1452.28</v>
      </c>
      <c r="G131" t="inlineStr">
        <is>
          <t>2025-02-28</t>
        </is>
      </c>
      <c r="H131" t="inlineStr">
        <is>
          <t>2025-02-28</t>
        </is>
      </c>
      <c r="I131" t="inlineStr">
        <is>
          <t>2028-12-31</t>
        </is>
      </c>
      <c r="J131" t="inlineStr">
        <is>
          <t>⑤초호황</t>
        </is>
      </c>
      <c r="K131" t="inlineStr">
        <is>
          <t>③중마진</t>
        </is>
      </c>
      <c r="L131" t="inlineStr">
        <is>
          <t>linear_progress</t>
        </is>
      </c>
      <c r="M131" t="b">
        <v>1</v>
      </c>
      <c r="N131" t="b">
        <v>1</v>
      </c>
      <c r="O131" t="b">
        <v>1</v>
      </c>
    </row>
    <row r="132">
      <c r="A132" t="inlineStr">
        <is>
          <t>20250422800296</t>
        </is>
      </c>
      <c r="B132" t="inlineStr">
        <is>
          <t>VLGC</t>
        </is>
      </c>
      <c r="C132" t="n">
        <v>2</v>
      </c>
      <c r="D132" t="n">
        <v>310100</v>
      </c>
      <c r="E132" t="n">
        <v>233.133</v>
      </c>
      <c r="F132" t="n">
        <v>1330.14</v>
      </c>
      <c r="G132" t="inlineStr">
        <is>
          <t>2024-01-13</t>
        </is>
      </c>
      <c r="H132" t="inlineStr">
        <is>
          <t>2024-01-13</t>
        </is>
      </c>
      <c r="I132" t="inlineStr">
        <is>
          <t>2027-08-31</t>
        </is>
      </c>
      <c r="J132" t="inlineStr">
        <is>
          <t>⑤초호황</t>
        </is>
      </c>
      <c r="K132" t="inlineStr">
        <is>
          <t>③중마진</t>
        </is>
      </c>
      <c r="L132" t="inlineStr">
        <is>
          <t>linear_progress</t>
        </is>
      </c>
      <c r="M132" t="b">
        <v>1</v>
      </c>
      <c r="N132" t="b">
        <v>1</v>
      </c>
      <c r="O132" t="b">
        <v>0</v>
      </c>
    </row>
    <row r="133">
      <c r="A133" t="inlineStr">
        <is>
          <t>20250521800001</t>
        </is>
      </c>
      <c r="B133" t="inlineStr">
        <is>
          <t>VLCC</t>
        </is>
      </c>
      <c r="C133" t="n">
        <v>2</v>
      </c>
      <c r="D133" t="n">
        <v>237400</v>
      </c>
      <c r="E133" t="n">
        <v>170.021</v>
      </c>
      <c r="F133" t="n">
        <v>1396.3</v>
      </c>
      <c r="G133" t="inlineStr">
        <is>
          <t>2024-10-14</t>
        </is>
      </c>
      <c r="H133" t="inlineStr">
        <is>
          <t>2024-10-14</t>
        </is>
      </c>
      <c r="I133" t="inlineStr">
        <is>
          <t>2027-09-30</t>
        </is>
      </c>
      <c r="J133" t="inlineStr">
        <is>
          <t>⑤초호황</t>
        </is>
      </c>
      <c r="K133" t="inlineStr">
        <is>
          <t>②BEP</t>
        </is>
      </c>
      <c r="L133" t="inlineStr">
        <is>
          <t>linear_progress</t>
        </is>
      </c>
      <c r="M133" t="b">
        <v>1</v>
      </c>
      <c r="N133" t="b">
        <v>1</v>
      </c>
      <c r="O133" t="b">
        <v>0</v>
      </c>
    </row>
    <row r="134">
      <c r="A134" t="inlineStr">
        <is>
          <t>20250610800109</t>
        </is>
      </c>
      <c r="B134" t="inlineStr">
        <is>
          <t>CONT</t>
        </is>
      </c>
      <c r="C134" t="n">
        <v>8</v>
      </c>
      <c r="D134" t="n">
        <v>2400000</v>
      </c>
      <c r="E134" t="n">
        <v>1716.1</v>
      </c>
      <c r="F134" t="n">
        <v>1398.52</v>
      </c>
      <c r="G134" t="inlineStr">
        <is>
          <t>2025-06-09</t>
        </is>
      </c>
      <c r="H134" t="inlineStr">
        <is>
          <t>2025-06-09</t>
        </is>
      </c>
      <c r="I134" t="inlineStr">
        <is>
          <t>2028-11-30</t>
        </is>
      </c>
      <c r="J134" t="inlineStr">
        <is>
          <t>⑤초호황</t>
        </is>
      </c>
      <c r="K134" t="inlineStr">
        <is>
          <t>④호황</t>
        </is>
      </c>
      <c r="L134" t="inlineStr">
        <is>
          <t>linear_progress</t>
        </is>
      </c>
      <c r="M134" t="b">
        <v>1</v>
      </c>
      <c r="N134" t="b">
        <v>1</v>
      </c>
      <c r="O134" t="b">
        <v>1</v>
      </c>
    </row>
    <row r="135">
      <c r="A135" t="inlineStr">
        <is>
          <t>20250613800119</t>
        </is>
      </c>
      <c r="B135" t="inlineStr">
        <is>
          <t>VLCC</t>
        </is>
      </c>
      <c r="C135" t="n">
        <v>2</v>
      </c>
      <c r="D135" t="n">
        <v>349000</v>
      </c>
      <c r="E135" t="n">
        <v>249.55</v>
      </c>
      <c r="F135" t="n">
        <v>1398.52</v>
      </c>
      <c r="G135" t="inlineStr">
        <is>
          <t>2025-06-12</t>
        </is>
      </c>
      <c r="H135" t="inlineStr">
        <is>
          <t>2025-06-12</t>
        </is>
      </c>
      <c r="I135" t="inlineStr">
        <is>
          <t>2027-08-31</t>
        </is>
      </c>
      <c r="J135" t="inlineStr">
        <is>
          <t>⑤초호황</t>
        </is>
      </c>
      <c r="K135" t="inlineStr">
        <is>
          <t>④호황</t>
        </is>
      </c>
      <c r="L135" t="inlineStr">
        <is>
          <t>linear_progress</t>
        </is>
      </c>
      <c r="M135" t="b">
        <v>1</v>
      </c>
      <c r="N135" t="b">
        <v>1</v>
      </c>
      <c r="O135" t="b">
        <v>0</v>
      </c>
    </row>
    <row r="136">
      <c r="A136" t="inlineStr">
        <is>
          <t>20250708800090</t>
        </is>
      </c>
      <c r="B136" t="inlineStr">
        <is>
          <t>CONT</t>
        </is>
      </c>
      <c r="C136" t="n">
        <v>2</v>
      </c>
      <c r="D136" t="n">
        <v>417400</v>
      </c>
      <c r="E136" t="n">
        <v>300.948</v>
      </c>
      <c r="F136" t="n">
        <v>1386.95</v>
      </c>
      <c r="G136" t="inlineStr">
        <is>
          <t>2025-07-07</t>
        </is>
      </c>
      <c r="H136" t="inlineStr">
        <is>
          <t>2025-07-07</t>
        </is>
      </c>
      <c r="I136" t="inlineStr">
        <is>
          <t>2028-03-31</t>
        </is>
      </c>
      <c r="J136" t="inlineStr">
        <is>
          <t>⑤초호황</t>
        </is>
      </c>
      <c r="K136" t="inlineStr">
        <is>
          <t>②BEP</t>
        </is>
      </c>
      <c r="L136" t="inlineStr">
        <is>
          <t>linear_progress</t>
        </is>
      </c>
      <c r="M136" t="b">
        <v>1</v>
      </c>
      <c r="N136" t="b">
        <v>1</v>
      </c>
      <c r="O136" t="b">
        <v>0</v>
      </c>
    </row>
    <row r="137">
      <c r="A137" t="inlineStr">
        <is>
          <t>20250908800058</t>
        </is>
      </c>
      <c r="B137" t="inlineStr">
        <is>
          <t>CONT</t>
        </is>
      </c>
      <c r="C137" t="n">
        <v>2</v>
      </c>
      <c r="D137" t="n">
        <v>409500</v>
      </c>
      <c r="E137" t="n">
        <v>295.252</v>
      </c>
      <c r="F137" t="n">
        <v>1386.95</v>
      </c>
      <c r="G137" t="inlineStr">
        <is>
          <t>2025-09-05</t>
        </is>
      </c>
      <c r="H137" t="inlineStr">
        <is>
          <t>2025-09-05</t>
        </is>
      </c>
      <c r="I137" t="inlineStr">
        <is>
          <t>2028-02-28</t>
        </is>
      </c>
      <c r="J137" t="inlineStr">
        <is>
          <t>⑤초호황</t>
        </is>
      </c>
      <c r="K137" t="inlineStr">
        <is>
          <t>②BEP</t>
        </is>
      </c>
      <c r="L137" t="inlineStr">
        <is>
          <t>linear_progress</t>
        </is>
      </c>
      <c r="M137" t="b">
        <v>1</v>
      </c>
      <c r="N137" t="b">
        <v>1</v>
      </c>
      <c r="O137" t="b">
        <v>1</v>
      </c>
    </row>
    <row r="138">
      <c r="A138" t="inlineStr">
        <is>
          <t>20251020800152</t>
        </is>
      </c>
      <c r="B138" t="inlineStr">
        <is>
          <t>VLCC</t>
        </is>
      </c>
      <c r="C138" t="n">
        <v>2</v>
      </c>
      <c r="D138" t="n">
        <v>363300</v>
      </c>
      <c r="E138" t="n">
        <v>250.692</v>
      </c>
      <c r="F138" t="n">
        <v>1449.19</v>
      </c>
      <c r="G138" t="inlineStr">
        <is>
          <t>2025-10-17</t>
        </is>
      </c>
      <c r="H138" t="inlineStr">
        <is>
          <t>2025-10-17</t>
        </is>
      </c>
      <c r="I138" t="inlineStr">
        <is>
          <t>2027-11-30</t>
        </is>
      </c>
      <c r="J138" t="inlineStr">
        <is>
          <t>⑤초호황</t>
        </is>
      </c>
      <c r="K138" t="inlineStr">
        <is>
          <t>④호황</t>
        </is>
      </c>
      <c r="L138" t="inlineStr">
        <is>
          <t>linear_progress</t>
        </is>
      </c>
      <c r="M138" t="b">
        <v>1</v>
      </c>
      <c r="N138" t="b">
        <v>1</v>
      </c>
      <c r="O138" t="b">
        <v>0</v>
      </c>
    </row>
    <row r="139">
      <c r="A139" t="inlineStr">
        <is>
          <t>20251030800164</t>
        </is>
      </c>
      <c r="B139" t="inlineStr">
        <is>
          <t>NAVAL</t>
        </is>
      </c>
      <c r="D139" t="n">
        <v>468900</v>
      </c>
      <c r="E139" t="n">
        <v>323.56</v>
      </c>
      <c r="F139" t="n">
        <v>1449.19</v>
      </c>
      <c r="G139" t="inlineStr">
        <is>
          <t>2025-10-29</t>
        </is>
      </c>
      <c r="H139" t="inlineStr">
        <is>
          <t>2025-10-29</t>
        </is>
      </c>
      <c r="I139" t="inlineStr">
        <is>
          <t>2033-12-20</t>
        </is>
      </c>
      <c r="L139" t="inlineStr">
        <is>
          <t>linear_progress</t>
        </is>
      </c>
      <c r="M139" t="b">
        <v>1</v>
      </c>
      <c r="N139" t="b">
        <v>1</v>
      </c>
      <c r="O139" t="b">
        <v>0</v>
      </c>
    </row>
    <row r="140">
      <c r="A140" t="inlineStr">
        <is>
          <t>20251110800036</t>
        </is>
      </c>
      <c r="B140" t="inlineStr">
        <is>
          <t>CONT</t>
        </is>
      </c>
      <c r="C140" t="n">
        <v>2</v>
      </c>
      <c r="D140" t="n">
        <v>435300</v>
      </c>
      <c r="E140" t="n">
        <v>300.375</v>
      </c>
      <c r="F140" t="n">
        <v>1449.19</v>
      </c>
      <c r="G140" t="inlineStr">
        <is>
          <t>2025-11-07</t>
        </is>
      </c>
      <c r="H140" t="inlineStr">
        <is>
          <t>2025-11-07</t>
        </is>
      </c>
      <c r="I140" t="inlineStr">
        <is>
          <t>2028-10-31</t>
        </is>
      </c>
      <c r="J140" t="inlineStr">
        <is>
          <t>⑤초호황</t>
        </is>
      </c>
      <c r="K140" t="inlineStr">
        <is>
          <t>②BEP</t>
        </is>
      </c>
      <c r="L140" t="inlineStr">
        <is>
          <t>linear_progress</t>
        </is>
      </c>
      <c r="M140" t="b">
        <v>1</v>
      </c>
      <c r="N140" t="b">
        <v>1</v>
      </c>
      <c r="O140" t="b">
        <v>1</v>
      </c>
    </row>
    <row r="141">
      <c r="A141" t="inlineStr">
        <is>
          <t>20251114800376</t>
        </is>
      </c>
      <c r="B141" t="inlineStr">
        <is>
          <t>VLCC</t>
        </is>
      </c>
      <c r="C141" t="n">
        <v>2</v>
      </c>
      <c r="D141" t="n">
        <v>256200</v>
      </c>
      <c r="E141" t="n">
        <v>176.788</v>
      </c>
      <c r="F141" t="n">
        <v>1449.19</v>
      </c>
      <c r="G141" t="inlineStr">
        <is>
          <t>2025-11-13</t>
        </is>
      </c>
      <c r="H141" t="inlineStr">
        <is>
          <t>2025-11-13</t>
        </is>
      </c>
      <c r="I141" t="inlineStr">
        <is>
          <t>2028-10-31</t>
        </is>
      </c>
      <c r="J141" t="inlineStr">
        <is>
          <t>⑤초호황</t>
        </is>
      </c>
      <c r="K141" t="inlineStr">
        <is>
          <t>③중마진</t>
        </is>
      </c>
      <c r="L141" t="inlineStr">
        <is>
          <t>linear_progress</t>
        </is>
      </c>
      <c r="M141" t="b">
        <v>1</v>
      </c>
      <c r="N141" t="b">
        <v>1</v>
      </c>
      <c r="O141" t="b">
        <v>1</v>
      </c>
    </row>
    <row r="142">
      <c r="A142" t="inlineStr">
        <is>
          <t>20251124800125</t>
        </is>
      </c>
      <c r="B142" t="inlineStr">
        <is>
          <t>CONT</t>
        </is>
      </c>
      <c r="C142" t="n">
        <v>2</v>
      </c>
      <c r="D142" t="n">
        <v>534600</v>
      </c>
      <c r="E142" t="n">
        <v>368.896</v>
      </c>
      <c r="F142" t="n">
        <v>1449.19</v>
      </c>
      <c r="G142" t="inlineStr">
        <is>
          <t>2025-11-21</t>
        </is>
      </c>
      <c r="H142" t="inlineStr">
        <is>
          <t>2025-11-21</t>
        </is>
      </c>
      <c r="I142" t="inlineStr">
        <is>
          <t>2028-07-14</t>
        </is>
      </c>
      <c r="J142" t="inlineStr">
        <is>
          <t>⑤초호황</t>
        </is>
      </c>
      <c r="K142" t="inlineStr">
        <is>
          <t>③중마진</t>
        </is>
      </c>
      <c r="L142" t="inlineStr">
        <is>
          <t>linear_progress</t>
        </is>
      </c>
      <c r="M142" t="b">
        <v>1</v>
      </c>
      <c r="N142" t="b">
        <v>1</v>
      </c>
      <c r="O142" t="b">
        <v>0</v>
      </c>
    </row>
    <row r="143">
      <c r="A143" t="inlineStr">
        <is>
          <t>20251211800371</t>
        </is>
      </c>
      <c r="B143" t="inlineStr">
        <is>
          <t>VLGC</t>
        </is>
      </c>
      <c r="C143" t="n">
        <v>2</v>
      </c>
      <c r="D143" t="n">
        <v>354200</v>
      </c>
      <c r="E143" t="n">
        <v>244.412</v>
      </c>
      <c r="F143" t="n">
        <v>1449.19</v>
      </c>
      <c r="G143" t="inlineStr">
        <is>
          <t>2025-12-10</t>
        </is>
      </c>
      <c r="H143" t="inlineStr">
        <is>
          <t>2025-12-10</t>
        </is>
      </c>
      <c r="I143" t="inlineStr">
        <is>
          <t>2028-07-31</t>
        </is>
      </c>
      <c r="J143" t="inlineStr">
        <is>
          <t>⑤초호황</t>
        </is>
      </c>
      <c r="K143" t="inlineStr">
        <is>
          <t>②BEP</t>
        </is>
      </c>
      <c r="L143" t="inlineStr">
        <is>
          <t>linear_progress</t>
        </is>
      </c>
      <c r="M143" t="b">
        <v>1</v>
      </c>
      <c r="N143" t="b">
        <v>1</v>
      </c>
      <c r="O143" t="b">
        <v>0</v>
      </c>
    </row>
    <row r="144">
      <c r="A144" t="inlineStr">
        <is>
          <t>20251224800145</t>
        </is>
      </c>
      <c r="B144" t="inlineStr">
        <is>
          <t>PC</t>
        </is>
      </c>
      <c r="C144" t="n">
        <v>5</v>
      </c>
      <c r="D144" t="n">
        <v>375000</v>
      </c>
      <c r="E144" t="n">
        <v>258.765</v>
      </c>
      <c r="F144" t="n">
        <v>1449.19</v>
      </c>
      <c r="G144" t="inlineStr">
        <is>
          <t>2025-12-23</t>
        </is>
      </c>
      <c r="H144" t="inlineStr">
        <is>
          <t>2025-12-23</t>
        </is>
      </c>
      <c r="I144" t="inlineStr">
        <is>
          <t>2028-07-31</t>
        </is>
      </c>
      <c r="J144" t="inlineStr">
        <is>
          <t>⑤초호황</t>
        </is>
      </c>
      <c r="K144" t="inlineStr">
        <is>
          <t>③중마진</t>
        </is>
      </c>
      <c r="L144" t="inlineStr">
        <is>
          <t>linear_progress</t>
        </is>
      </c>
      <c r="M144" t="b">
        <v>1</v>
      </c>
      <c r="N144" t="b">
        <v>1</v>
      </c>
      <c r="O144" t="b">
        <v>1</v>
      </c>
    </row>
    <row r="145">
      <c r="A145" t="inlineStr">
        <is>
          <t>20251226800842</t>
        </is>
      </c>
      <c r="B145" t="inlineStr">
        <is>
          <t>NAVAL</t>
        </is>
      </c>
      <c r="C145" t="n">
        <v>2</v>
      </c>
      <c r="D145" t="n">
        <v>844700</v>
      </c>
      <c r="E145" t="n">
        <v>582.877</v>
      </c>
      <c r="F145" t="n">
        <v>1449.19</v>
      </c>
      <c r="G145" t="inlineStr">
        <is>
          <t>2025-12-26</t>
        </is>
      </c>
      <c r="H145" t="inlineStr">
        <is>
          <t>2025-12-26</t>
        </is>
      </c>
      <c r="I145" t="inlineStr">
        <is>
          <t>2029-12-20</t>
        </is>
      </c>
      <c r="J145" t="inlineStr">
        <is>
          <t>⑤초호황</t>
        </is>
      </c>
      <c r="K145" t="inlineStr">
        <is>
          <t>④호황</t>
        </is>
      </c>
      <c r="L145" t="inlineStr">
        <is>
          <t>linear_progress</t>
        </is>
      </c>
      <c r="M145" t="b">
        <v>1</v>
      </c>
      <c r="N145" t="b">
        <v>1</v>
      </c>
      <c r="O145" t="b">
        <v>0</v>
      </c>
    </row>
    <row r="146">
      <c r="A146" t="inlineStr">
        <is>
          <t>20260106800134</t>
        </is>
      </c>
      <c r="B146" t="inlineStr">
        <is>
          <t>LNGC</t>
        </is>
      </c>
      <c r="C146" t="n">
        <v>4</v>
      </c>
      <c r="D146" t="n">
        <v>1499300</v>
      </c>
      <c r="E146" t="n">
        <v>1022.631</v>
      </c>
      <c r="F146" t="n">
        <v>1466.12</v>
      </c>
      <c r="G146" t="inlineStr">
        <is>
          <t>2026-01-05</t>
        </is>
      </c>
      <c r="H146" t="inlineStr">
        <is>
          <t>2026-01-05</t>
        </is>
      </c>
      <c r="I146" t="inlineStr">
        <is>
          <t>2029-03-27</t>
        </is>
      </c>
      <c r="J146" t="inlineStr">
        <is>
          <t>⑤초호황</t>
        </is>
      </c>
      <c r="K146" t="inlineStr">
        <is>
          <t>③중마진</t>
        </is>
      </c>
      <c r="L146" t="inlineStr">
        <is>
          <t>linear_progress</t>
        </is>
      </c>
      <c r="M146" t="b">
        <v>1</v>
      </c>
      <c r="N146" t="b">
        <v>1</v>
      </c>
      <c r="O146" t="b">
        <v>1</v>
      </c>
    </row>
    <row r="147">
      <c r="A147" t="inlineStr">
        <is>
          <t>20260120800200</t>
        </is>
      </c>
      <c r="B147" t="inlineStr">
        <is>
          <t>VLCC</t>
        </is>
      </c>
      <c r="C147" t="n">
        <v>2</v>
      </c>
      <c r="D147" t="n">
        <v>481600</v>
      </c>
      <c r="E147" t="n">
        <v>328.486</v>
      </c>
      <c r="F147" t="n">
        <v>1466.12</v>
      </c>
      <c r="G147" t="inlineStr">
        <is>
          <t>2026-01-19</t>
        </is>
      </c>
      <c r="H147" t="inlineStr">
        <is>
          <t>2026-01-19</t>
        </is>
      </c>
      <c r="I147" t="inlineStr">
        <is>
          <t>2029-06-30</t>
        </is>
      </c>
      <c r="J147" t="inlineStr">
        <is>
          <t>⑤초호황</t>
        </is>
      </c>
      <c r="K147" t="inlineStr">
        <is>
          <t>④호황</t>
        </is>
      </c>
      <c r="L147" t="inlineStr">
        <is>
          <t>linear_progress</t>
        </is>
      </c>
      <c r="M147" t="b">
        <v>1</v>
      </c>
      <c r="N147" t="b">
        <v>1</v>
      </c>
      <c r="O147" t="b">
        <v>1</v>
      </c>
    </row>
    <row r="148">
      <c r="A148" t="inlineStr">
        <is>
          <t>20260226800192</t>
        </is>
      </c>
      <c r="B148" t="inlineStr">
        <is>
          <t>LNGC</t>
        </is>
      </c>
      <c r="C148" t="n">
        <v>1</v>
      </c>
      <c r="D148" t="n">
        <v>367800</v>
      </c>
      <c r="E148" t="n">
        <v>250.866</v>
      </c>
      <c r="F148" t="n">
        <v>1466.12</v>
      </c>
      <c r="G148" t="inlineStr">
        <is>
          <t>2026-02-25</t>
        </is>
      </c>
      <c r="H148" t="inlineStr">
        <is>
          <t>2026-02-25</t>
        </is>
      </c>
      <c r="I148" t="inlineStr">
        <is>
          <t>2028-09-29</t>
        </is>
      </c>
      <c r="J148" t="inlineStr">
        <is>
          <t>⑤초호황</t>
        </is>
      </c>
      <c r="K148" t="inlineStr">
        <is>
          <t>③중마진</t>
        </is>
      </c>
      <c r="L148" t="inlineStr">
        <is>
          <t>linear_progress</t>
        </is>
      </c>
      <c r="M148" t="b">
        <v>1</v>
      </c>
      <c r="N148" t="b">
        <v>1</v>
      </c>
      <c r="O148" t="b">
        <v>1</v>
      </c>
    </row>
    <row r="149">
      <c r="A149" t="inlineStr">
        <is>
          <t>20260227800223</t>
        </is>
      </c>
      <c r="B149" t="inlineStr">
        <is>
          <t>CONT</t>
        </is>
      </c>
      <c r="C149" t="n">
        <v>6</v>
      </c>
      <c r="D149" t="n">
        <v>372400</v>
      </c>
      <c r="E149" t="n">
        <v>254.004</v>
      </c>
      <c r="F149" t="n">
        <v>1466.12</v>
      </c>
      <c r="G149" t="inlineStr">
        <is>
          <t>2026-02-26</t>
        </is>
      </c>
      <c r="H149" t="inlineStr">
        <is>
          <t>2026-02-26</t>
        </is>
      </c>
      <c r="I149" t="inlineStr">
        <is>
          <t>2028-06-30</t>
        </is>
      </c>
      <c r="J149" t="inlineStr">
        <is>
          <t>⑤초호황</t>
        </is>
      </c>
      <c r="K149" t="inlineStr">
        <is>
          <t>②BEP</t>
        </is>
      </c>
      <c r="L149" t="inlineStr">
        <is>
          <t>linear_progress</t>
        </is>
      </c>
      <c r="M149" t="b">
        <v>1</v>
      </c>
      <c r="N149" t="b">
        <v>1</v>
      </c>
      <c r="O149" t="b">
        <v>1</v>
      </c>
    </row>
    <row r="150">
      <c r="A150" t="inlineStr">
        <is>
          <t>20260305800836</t>
        </is>
      </c>
      <c r="B150" t="inlineStr">
        <is>
          <t>LNGC</t>
        </is>
      </c>
      <c r="C150" t="n">
        <v>4</v>
      </c>
      <c r="D150" t="n">
        <v>1487200</v>
      </c>
      <c r="E150" t="n">
        <v>1014.378</v>
      </c>
      <c r="F150" t="n">
        <v>1466.12</v>
      </c>
      <c r="G150" t="inlineStr">
        <is>
          <t>2026-03-04</t>
        </is>
      </c>
      <c r="H150" t="inlineStr">
        <is>
          <t>2026-03-04</t>
        </is>
      </c>
      <c r="I150" t="inlineStr">
        <is>
          <t>2029-11-30</t>
        </is>
      </c>
      <c r="J150" t="inlineStr">
        <is>
          <t>⑤초호황</t>
        </is>
      </c>
      <c r="K150" t="inlineStr">
        <is>
          <t>③중마진</t>
        </is>
      </c>
      <c r="L150" t="inlineStr">
        <is>
          <t>linear_progress</t>
        </is>
      </c>
      <c r="M150" t="b">
        <v>1</v>
      </c>
      <c r="N150" t="b">
        <v>1</v>
      </c>
      <c r="O150" t="b">
        <v>1</v>
      </c>
    </row>
    <row r="151">
      <c r="A151" t="inlineStr">
        <is>
          <t>20260316800220</t>
        </is>
      </c>
      <c r="B151" t="inlineStr">
        <is>
          <t>CONT</t>
        </is>
      </c>
      <c r="C151" t="n">
        <v>10</v>
      </c>
      <c r="D151" t="n">
        <v>823700</v>
      </c>
      <c r="E151" t="n">
        <v>561.823</v>
      </c>
      <c r="F151" t="n">
        <v>1466.12</v>
      </c>
      <c r="G151" t="inlineStr">
        <is>
          <t>2026-03-13</t>
        </is>
      </c>
      <c r="H151" t="inlineStr">
        <is>
          <t>2026-03-13</t>
        </is>
      </c>
      <c r="I151" t="inlineStr">
        <is>
          <t>2028-12-31</t>
        </is>
      </c>
      <c r="J151" t="inlineStr">
        <is>
          <t>⑤초호황</t>
        </is>
      </c>
      <c r="K151" t="inlineStr">
        <is>
          <t>②BEP</t>
        </is>
      </c>
      <c r="L151" t="inlineStr">
        <is>
          <t>linear_progress</t>
        </is>
      </c>
      <c r="M151" t="b">
        <v>1</v>
      </c>
      <c r="N151" t="b">
        <v>1</v>
      </c>
      <c r="O151" t="b">
        <v>1</v>
      </c>
    </row>
    <row r="152">
      <c r="A152" t="inlineStr">
        <is>
          <t>20260403800571</t>
        </is>
      </c>
      <c r="B152" t="inlineStr">
        <is>
          <t>PC</t>
        </is>
      </c>
      <c r="C152" t="n">
        <v>8</v>
      </c>
      <c r="D152" t="n">
        <v>611700</v>
      </c>
      <c r="E152" t="n">
        <v>407.325</v>
      </c>
      <c r="F152" t="n">
        <v>1501.75</v>
      </c>
      <c r="G152" t="inlineStr">
        <is>
          <t>2026-04-02</t>
        </is>
      </c>
      <c r="H152" t="inlineStr">
        <is>
          <t>2026-04-02</t>
        </is>
      </c>
      <c r="I152" t="inlineStr">
        <is>
          <t>2029-05-31</t>
        </is>
      </c>
      <c r="J152" t="inlineStr">
        <is>
          <t>⑤초호황</t>
        </is>
      </c>
      <c r="K152" t="inlineStr">
        <is>
          <t>③중마진</t>
        </is>
      </c>
      <c r="L152" t="inlineStr">
        <is>
          <t>linear_progress</t>
        </is>
      </c>
      <c r="M152" t="b">
        <v>1</v>
      </c>
      <c r="N152" t="b">
        <v>1</v>
      </c>
      <c r="O152" t="b">
        <v>1</v>
      </c>
    </row>
    <row r="153">
      <c r="A153" t="inlineStr">
        <is>
          <t>20260403800577</t>
        </is>
      </c>
      <c r="B153" t="inlineStr">
        <is>
          <t>VLGC</t>
        </is>
      </c>
      <c r="C153" t="n">
        <v>2</v>
      </c>
      <c r="D153" t="n">
        <v>239300</v>
      </c>
      <c r="E153" t="n">
        <v>159.347</v>
      </c>
      <c r="F153" t="n">
        <v>1501.75</v>
      </c>
      <c r="G153" t="inlineStr">
        <is>
          <t>2026-04-02</t>
        </is>
      </c>
      <c r="H153" t="inlineStr">
        <is>
          <t>2026-04-02</t>
        </is>
      </c>
      <c r="I153" t="inlineStr">
        <is>
          <t>2028-06-30</t>
        </is>
      </c>
      <c r="J153" t="inlineStr">
        <is>
          <t>⑤초호황</t>
        </is>
      </c>
      <c r="K153" t="inlineStr">
        <is>
          <t>②BEP</t>
        </is>
      </c>
      <c r="L153" t="inlineStr">
        <is>
          <t>linear_progress</t>
        </is>
      </c>
      <c r="M153" t="b">
        <v>1</v>
      </c>
      <c r="N153" t="b">
        <v>1</v>
      </c>
      <c r="O153" t="b">
        <v>1</v>
      </c>
    </row>
    <row r="154">
      <c r="A154" t="inlineStr">
        <is>
          <t>20260417800177</t>
        </is>
      </c>
      <c r="B154" t="inlineStr">
        <is>
          <t>VLGC</t>
        </is>
      </c>
      <c r="C154" t="n">
        <v>4</v>
      </c>
      <c r="D154" t="n">
        <v>674700</v>
      </c>
      <c r="E154" t="n">
        <v>449.276</v>
      </c>
      <c r="F154" t="n">
        <v>1501.75</v>
      </c>
      <c r="G154" t="inlineStr">
        <is>
          <t>2026-04-16</t>
        </is>
      </c>
      <c r="H154" t="inlineStr">
        <is>
          <t>2026-04-16</t>
        </is>
      </c>
      <c r="I154" t="inlineStr">
        <is>
          <t>2029-11-30</t>
        </is>
      </c>
      <c r="J154" t="inlineStr">
        <is>
          <t>⑤초호황</t>
        </is>
      </c>
      <c r="K154" t="inlineStr">
        <is>
          <t>③중마진</t>
        </is>
      </c>
      <c r="L154" t="inlineStr">
        <is>
          <t>linear_progress</t>
        </is>
      </c>
      <c r="M154" t="b">
        <v>1</v>
      </c>
      <c r="N154" t="b">
        <v>1</v>
      </c>
      <c r="O154" t="b">
        <v>1</v>
      </c>
    </row>
    <row r="155">
      <c r="A155" t="inlineStr">
        <is>
          <t>20260422800038</t>
        </is>
      </c>
      <c r="B155" t="inlineStr">
        <is>
          <t>NAVAL</t>
        </is>
      </c>
      <c r="C155" t="n">
        <v>1</v>
      </c>
      <c r="D155" t="n">
        <v>514800</v>
      </c>
      <c r="E155" t="n">
        <v>342.8</v>
      </c>
      <c r="F155" t="n">
        <v>1501.75</v>
      </c>
      <c r="G155" t="inlineStr">
        <is>
          <t>2026-04-21</t>
        </is>
      </c>
      <c r="H155" t="inlineStr">
        <is>
          <t>2026-04-21</t>
        </is>
      </c>
      <c r="I155" t="inlineStr">
        <is>
          <t>2029-08-28</t>
        </is>
      </c>
      <c r="J155" t="inlineStr">
        <is>
          <t>⑤초호황</t>
        </is>
      </c>
      <c r="K155" t="inlineStr">
        <is>
          <t>④호황</t>
        </is>
      </c>
      <c r="L155" t="inlineStr">
        <is>
          <t>linear_progress</t>
        </is>
      </c>
      <c r="M155" t="b">
        <v>1</v>
      </c>
      <c r="N155" t="b">
        <v>1</v>
      </c>
      <c r="O155" t="b">
        <v>0</v>
      </c>
    </row>
    <row r="156">
      <c r="A156" t="inlineStr">
        <is>
          <t>20260422800175</t>
        </is>
      </c>
      <c r="B156" t="inlineStr">
        <is>
          <t>OTHER</t>
        </is>
      </c>
      <c r="D156" t="n">
        <v>627100</v>
      </c>
      <c r="E156" t="n">
        <v>417.579</v>
      </c>
      <c r="F156" t="n">
        <v>1501.75</v>
      </c>
      <c r="G156" t="inlineStr">
        <is>
          <t>2026-04-21</t>
        </is>
      </c>
      <c r="H156" t="inlineStr">
        <is>
          <t>2026-04-21</t>
        </is>
      </c>
      <c r="I156" t="inlineStr">
        <is>
          <t>2030-10-21</t>
        </is>
      </c>
      <c r="L156" t="inlineStr">
        <is>
          <t>linear_progress</t>
        </is>
      </c>
      <c r="M156" t="b">
        <v>1</v>
      </c>
      <c r="N156" t="b">
        <v>1</v>
      </c>
      <c r="O156" t="b">
        <v>0</v>
      </c>
    </row>
    <row r="157">
      <c r="A157" t="inlineStr">
        <is>
          <t>20260504800297</t>
        </is>
      </c>
      <c r="B157" t="inlineStr">
        <is>
          <t>VLGC</t>
        </is>
      </c>
      <c r="C157" t="n">
        <v>3</v>
      </c>
      <c r="D157" t="n">
        <v>504800</v>
      </c>
      <c r="E157" t="n">
        <v>336.141</v>
      </c>
      <c r="F157" t="n">
        <v>1501.75</v>
      </c>
      <c r="G157" t="inlineStr">
        <is>
          <t>2026-04-30</t>
        </is>
      </c>
      <c r="H157" t="inlineStr">
        <is>
          <t>2026-04-30</t>
        </is>
      </c>
      <c r="I157" t="inlineStr">
        <is>
          <t>2029-08-31</t>
        </is>
      </c>
      <c r="J157" t="inlineStr">
        <is>
          <t>⑤초호황</t>
        </is>
      </c>
      <c r="K157" t="inlineStr">
        <is>
          <t>③중마진</t>
        </is>
      </c>
      <c r="L157" t="inlineStr">
        <is>
          <t>linear_progress</t>
        </is>
      </c>
      <c r="M157" t="b">
        <v>1</v>
      </c>
      <c r="N157" t="b">
        <v>1</v>
      </c>
      <c r="O157" t="b">
        <v>0</v>
      </c>
    </row>
    <row r="158">
      <c r="A158" t="inlineStr">
        <is>
          <t>20260508800180</t>
        </is>
      </c>
      <c r="B158" t="inlineStr">
        <is>
          <t>CONT</t>
        </is>
      </c>
      <c r="C158" t="n">
        <v>6</v>
      </c>
      <c r="D158" t="n">
        <v>1778700</v>
      </c>
      <c r="E158" t="n">
        <v>1184.418</v>
      </c>
      <c r="F158" t="n">
        <v>1501.75</v>
      </c>
      <c r="G158" t="inlineStr">
        <is>
          <t>2026-05-07</t>
        </is>
      </c>
      <c r="H158" t="inlineStr">
        <is>
          <t>2026-05-07</t>
        </is>
      </c>
      <c r="I158" t="inlineStr">
        <is>
          <t>2029-09-30</t>
        </is>
      </c>
      <c r="J158" t="inlineStr">
        <is>
          <t>⑤초호황</t>
        </is>
      </c>
      <c r="K158" t="inlineStr">
        <is>
          <t>④호황</t>
        </is>
      </c>
      <c r="L158" t="inlineStr">
        <is>
          <t>linear_progress</t>
        </is>
      </c>
      <c r="M158" t="b">
        <v>1</v>
      </c>
      <c r="N158" t="b">
        <v>1</v>
      </c>
      <c r="O158" t="b">
        <v>1</v>
      </c>
    </row>
    <row r="159">
      <c r="A159" t="inlineStr">
        <is>
          <t>20260508800181</t>
        </is>
      </c>
      <c r="B159" t="inlineStr">
        <is>
          <t>VLGC</t>
        </is>
      </c>
      <c r="C159" t="n">
        <v>2</v>
      </c>
      <c r="D159" t="n">
        <v>352100</v>
      </c>
      <c r="E159" t="n">
        <v>234.46</v>
      </c>
      <c r="F159" t="n">
        <v>1501.75</v>
      </c>
      <c r="G159" t="inlineStr">
        <is>
          <t>2026-05-07</t>
        </is>
      </c>
      <c r="H159" t="inlineStr">
        <is>
          <t>2026-05-07</t>
        </is>
      </c>
      <c r="I159" t="inlineStr">
        <is>
          <t>2029-03-30</t>
        </is>
      </c>
      <c r="J159" t="inlineStr">
        <is>
          <t>⑤초호황</t>
        </is>
      </c>
      <c r="K159" t="inlineStr">
        <is>
          <t>③중마진</t>
        </is>
      </c>
      <c r="L159" t="inlineStr">
        <is>
          <t>linear_progress</t>
        </is>
      </c>
      <c r="M159" t="b">
        <v>1</v>
      </c>
      <c r="N159" t="b">
        <v>1</v>
      </c>
      <c r="O159" t="b">
        <v>1</v>
      </c>
    </row>
    <row r="160">
      <c r="A160" t="inlineStr">
        <is>
          <t>20260514800315</t>
        </is>
      </c>
      <c r="B160" t="inlineStr">
        <is>
          <t>LNGC</t>
        </is>
      </c>
      <c r="C160" t="n">
        <v>2</v>
      </c>
      <c r="D160" t="n">
        <v>743900</v>
      </c>
      <c r="E160" t="n">
        <v>495.355</v>
      </c>
      <c r="F160" t="n">
        <v>1501.75</v>
      </c>
      <c r="G160" t="inlineStr">
        <is>
          <t>2026-05-13</t>
        </is>
      </c>
      <c r="H160" t="inlineStr">
        <is>
          <t>2026-05-13</t>
        </is>
      </c>
      <c r="I160" t="inlineStr">
        <is>
          <t>2029-03-30</t>
        </is>
      </c>
      <c r="J160" t="inlineStr">
        <is>
          <t>⑤초호황</t>
        </is>
      </c>
      <c r="K160" t="inlineStr">
        <is>
          <t>③중마진</t>
        </is>
      </c>
      <c r="L160" t="inlineStr">
        <is>
          <t>linear_progress</t>
        </is>
      </c>
      <c r="M160" t="b">
        <v>1</v>
      </c>
      <c r="N160" t="b">
        <v>1</v>
      </c>
      <c r="O160" t="b">
        <v>1</v>
      </c>
    </row>
    <row r="161">
      <c r="A161" t="inlineStr">
        <is>
          <t>20260601800384</t>
        </is>
      </c>
      <c r="B161" t="inlineStr">
        <is>
          <t>VLGC</t>
        </is>
      </c>
      <c r="C161" t="n">
        <v>8</v>
      </c>
      <c r="D161" t="n">
        <v>1416100</v>
      </c>
      <c r="E161" t="n">
        <v>942.967</v>
      </c>
      <c r="F161" t="n">
        <v>1501.75</v>
      </c>
      <c r="G161" t="inlineStr">
        <is>
          <t>2026-05-30</t>
        </is>
      </c>
      <c r="H161" t="inlineStr">
        <is>
          <t>2026-05-30</t>
        </is>
      </c>
      <c r="I161" t="inlineStr">
        <is>
          <t>2030-06-30</t>
        </is>
      </c>
      <c r="J161" t="inlineStr">
        <is>
          <t>⑤초호황</t>
        </is>
      </c>
      <c r="K161" t="inlineStr">
        <is>
          <t>③중마진</t>
        </is>
      </c>
      <c r="L161" t="inlineStr">
        <is>
          <t>linear_progress</t>
        </is>
      </c>
      <c r="M161" t="b">
        <v>1</v>
      </c>
      <c r="N161" t="b">
        <v>1</v>
      </c>
      <c r="O161" t="b">
        <v>1</v>
      </c>
    </row>
    <row r="162">
      <c r="A162" t="inlineStr">
        <is>
          <t>20260608800378</t>
        </is>
      </c>
      <c r="B162" t="inlineStr">
        <is>
          <t>VLGC</t>
        </is>
      </c>
      <c r="C162" t="n">
        <v>2</v>
      </c>
      <c r="D162" t="n">
        <v>360700</v>
      </c>
      <c r="E162" t="n">
        <v>240.186</v>
      </c>
      <c r="F162" t="n">
        <v>1501.75</v>
      </c>
      <c r="G162" t="inlineStr">
        <is>
          <t>2026-06-05</t>
        </is>
      </c>
      <c r="H162" t="inlineStr">
        <is>
          <t>2026-06-05</t>
        </is>
      </c>
      <c r="I162" t="inlineStr">
        <is>
          <t>2029-11-30</t>
        </is>
      </c>
      <c r="J162" t="inlineStr">
        <is>
          <t>⑤초호황</t>
        </is>
      </c>
      <c r="K162" t="inlineStr">
        <is>
          <t>③중마진</t>
        </is>
      </c>
      <c r="L162" t="inlineStr">
        <is>
          <t>linear_progress</t>
        </is>
      </c>
      <c r="M162" t="b">
        <v>1</v>
      </c>
      <c r="N162" t="b">
        <v>1</v>
      </c>
      <c r="O162" t="b">
        <v>0</v>
      </c>
    </row>
    <row r="163">
      <c r="A163" t="inlineStr">
        <is>
          <t>20260701800212</t>
        </is>
      </c>
      <c r="B163" t="inlineStr">
        <is>
          <t>LNGC</t>
        </is>
      </c>
      <c r="C163" t="n">
        <v>1</v>
      </c>
      <c r="D163" t="n">
        <v>492800</v>
      </c>
      <c r="E163" t="n">
        <v>328.15</v>
      </c>
      <c r="F163" t="n">
        <v>1501.75</v>
      </c>
      <c r="G163" t="inlineStr">
        <is>
          <t>2026-06-30</t>
        </is>
      </c>
      <c r="H163" t="inlineStr">
        <is>
          <t>2026-06-30</t>
        </is>
      </c>
      <c r="I163" t="inlineStr">
        <is>
          <t>2029-05-31</t>
        </is>
      </c>
      <c r="J163" t="inlineStr">
        <is>
          <t>⑤초호황</t>
        </is>
      </c>
      <c r="K163" t="inlineStr">
        <is>
          <t>④호황</t>
        </is>
      </c>
      <c r="L163" t="inlineStr">
        <is>
          <t>linear_progress</t>
        </is>
      </c>
      <c r="M163" t="b">
        <v>1</v>
      </c>
      <c r="N163" t="b">
        <v>1</v>
      </c>
      <c r="O163" t="b">
        <v>0</v>
      </c>
    </row>
    <row r="164">
      <c r="A164" t="inlineStr">
        <is>
          <t>20260701800215</t>
        </is>
      </c>
      <c r="B164" t="inlineStr">
        <is>
          <t>LNGC</t>
        </is>
      </c>
      <c r="C164" t="n">
        <v>1</v>
      </c>
      <c r="D164" t="n">
        <v>392200</v>
      </c>
      <c r="E164" t="n">
        <v>261.162</v>
      </c>
      <c r="F164" t="n">
        <v>1501.75</v>
      </c>
      <c r="G164" t="inlineStr">
        <is>
          <t>2026-06-30</t>
        </is>
      </c>
      <c r="H164" t="inlineStr">
        <is>
          <t>2026-06-30</t>
        </is>
      </c>
      <c r="I164" t="inlineStr">
        <is>
          <t>2029-01-31</t>
        </is>
      </c>
      <c r="J164" t="inlineStr">
        <is>
          <t>⑤초호황</t>
        </is>
      </c>
      <c r="K164" t="inlineStr">
        <is>
          <t>③중마진</t>
        </is>
      </c>
      <c r="L164" t="inlineStr">
        <is>
          <t>linear_progress</t>
        </is>
      </c>
      <c r="M164" t="b">
        <v>1</v>
      </c>
      <c r="N164" t="b">
        <v>1</v>
      </c>
      <c r="O164" t="b">
        <v>1</v>
      </c>
    </row>
    <row r="165">
      <c r="A165" t="inlineStr">
        <is>
          <t>20260709800137</t>
        </is>
      </c>
      <c r="B165" t="inlineStr">
        <is>
          <t>PC</t>
        </is>
      </c>
      <c r="C165" t="n">
        <v>6</v>
      </c>
      <c r="D165" t="n">
        <v>469900</v>
      </c>
      <c r="E165" t="n">
        <v>331.207</v>
      </c>
      <c r="F165" t="n">
        <v>1418.75</v>
      </c>
      <c r="G165" t="inlineStr">
        <is>
          <t>2026-07-08</t>
        </is>
      </c>
      <c r="H165" t="inlineStr">
        <is>
          <t>2026-07-08</t>
        </is>
      </c>
      <c r="I165" t="inlineStr">
        <is>
          <t>2029-06-30</t>
        </is>
      </c>
      <c r="J165" t="inlineStr">
        <is>
          <t>⑤초호황</t>
        </is>
      </c>
      <c r="K165" t="inlineStr">
        <is>
          <t>③중마진</t>
        </is>
      </c>
      <c r="L165" t="inlineStr">
        <is>
          <t>linear_progress</t>
        </is>
      </c>
      <c r="M165" t="b">
        <v>1</v>
      </c>
      <c r="N165" t="b">
        <v>0</v>
      </c>
      <c r="O165" t="b">
        <v>1</v>
      </c>
    </row>
    <row r="166">
      <c r="A166" t="inlineStr">
        <is>
          <t>20260714800534</t>
        </is>
      </c>
      <c r="B166" t="inlineStr">
        <is>
          <t>PCTC</t>
        </is>
      </c>
      <c r="C166" t="n">
        <v>2</v>
      </c>
      <c r="D166" t="n">
        <v>398500</v>
      </c>
      <c r="E166" t="n">
        <v>265.357</v>
      </c>
      <c r="F166" t="n">
        <v>1501.75</v>
      </c>
      <c r="G166" t="inlineStr">
        <is>
          <t>2026-04-15</t>
        </is>
      </c>
      <c r="H166" t="inlineStr">
        <is>
          <t>2026-04-15</t>
        </is>
      </c>
      <c r="I166" t="inlineStr">
        <is>
          <t>2028-11-30</t>
        </is>
      </c>
      <c r="J166" t="inlineStr">
        <is>
          <t>⑤초호황</t>
        </is>
      </c>
      <c r="K166" t="inlineStr">
        <is>
          <t>③중마진</t>
        </is>
      </c>
      <c r="L166" t="inlineStr">
        <is>
          <t>linear_progress</t>
        </is>
      </c>
      <c r="M166" t="b">
        <v>1</v>
      </c>
      <c r="N166" t="b">
        <v>1</v>
      </c>
      <c r="O166" t="b">
        <v>1</v>
      </c>
    </row>
    <row r="167">
      <c r="A167" t="inlineStr">
        <is>
          <t>20260810800144</t>
        </is>
      </c>
      <c r="B167" t="inlineStr">
        <is>
          <t>OTHER</t>
        </is>
      </c>
      <c r="D167" t="n">
        <v>956000</v>
      </c>
      <c r="E167" t="n">
        <v>673.833</v>
      </c>
      <c r="F167" t="n">
        <v>1418.75</v>
      </c>
      <c r="G167" t="inlineStr">
        <is>
          <t>2026-08-07</t>
        </is>
      </c>
      <c r="H167" t="inlineStr">
        <is>
          <t>2026-08-07</t>
        </is>
      </c>
      <c r="I167" t="inlineStr">
        <is>
          <t>2030-07-30</t>
        </is>
      </c>
      <c r="L167" t="inlineStr">
        <is>
          <t>linear_progress</t>
        </is>
      </c>
      <c r="M167" t="b">
        <v>1</v>
      </c>
      <c r="N167" t="b">
        <v>0</v>
      </c>
      <c r="O167" t="b">
        <v>0</v>
      </c>
    </row>
    <row r="168">
      <c r="A168" t="inlineStr">
        <is>
          <t>20260824800122</t>
        </is>
      </c>
      <c r="B168" t="inlineStr">
        <is>
          <t>VLGC</t>
        </is>
      </c>
      <c r="C168" t="n">
        <v>4</v>
      </c>
      <c r="D168" t="n">
        <v>515400</v>
      </c>
      <c r="E168" t="n">
        <v>363.278</v>
      </c>
      <c r="F168" t="n">
        <v>1418.75</v>
      </c>
      <c r="G168" t="inlineStr">
        <is>
          <t>2026-08-21</t>
        </is>
      </c>
      <c r="H168" t="inlineStr">
        <is>
          <t>2026-08-21</t>
        </is>
      </c>
      <c r="I168" t="inlineStr">
        <is>
          <t>2030-03-31</t>
        </is>
      </c>
      <c r="J168" t="inlineStr">
        <is>
          <t>⑤초호황</t>
        </is>
      </c>
      <c r="K168" t="inlineStr">
        <is>
          <t>②BEP</t>
        </is>
      </c>
      <c r="L168" t="inlineStr">
        <is>
          <t>linear_progress</t>
        </is>
      </c>
      <c r="M168" t="b">
        <v>1</v>
      </c>
      <c r="N168" t="b">
        <v>0</v>
      </c>
      <c r="O168" t="b">
        <v>1</v>
      </c>
    </row>
    <row r="169">
      <c r="A169" t="inlineStr">
        <is>
          <t>20260922800219</t>
        </is>
      </c>
      <c r="B169" t="inlineStr">
        <is>
          <t>PCTC</t>
        </is>
      </c>
      <c r="C169" t="n">
        <v>2</v>
      </c>
      <c r="D169" t="n">
        <v>336200</v>
      </c>
      <c r="E169" t="n">
        <v>236.969</v>
      </c>
      <c r="F169" t="n">
        <v>1418.75</v>
      </c>
      <c r="G169" t="inlineStr">
        <is>
          <t>2026-09-21</t>
        </is>
      </c>
      <c r="H169" t="inlineStr">
        <is>
          <t>2026-09-21</t>
        </is>
      </c>
      <c r="I169" t="inlineStr">
        <is>
          <t>2029-11-30</t>
        </is>
      </c>
      <c r="J169" t="inlineStr">
        <is>
          <t>⑤초호황</t>
        </is>
      </c>
      <c r="K169" t="inlineStr">
        <is>
          <t>③중마진</t>
        </is>
      </c>
      <c r="L169" t="inlineStr">
        <is>
          <t>linear_progress</t>
        </is>
      </c>
      <c r="M169" t="b">
        <v>1</v>
      </c>
      <c r="N169" t="b">
        <v>0</v>
      </c>
      <c r="O169" t="b">
        <v>1</v>
      </c>
    </row>
    <row r="170">
      <c r="A170" t="inlineStr">
        <is>
          <t>20261013800234</t>
        </is>
      </c>
      <c r="B170" t="inlineStr">
        <is>
          <t>OFFSH</t>
        </is>
      </c>
      <c r="C170" t="n">
        <v>1</v>
      </c>
      <c r="D170" t="n">
        <v>1964800</v>
      </c>
      <c r="E170" t="n">
        <v>1493.361</v>
      </c>
      <c r="F170" t="n">
        <v>1315.69</v>
      </c>
      <c r="G170" t="inlineStr">
        <is>
          <t>2023-06-30</t>
        </is>
      </c>
      <c r="H170" t="inlineStr">
        <is>
          <t>2023-07-01</t>
        </is>
      </c>
      <c r="I170" t="inlineStr">
        <is>
          <t>2027-06-01</t>
        </is>
      </c>
      <c r="J170" t="inlineStr">
        <is>
          <t>⑤초호황</t>
        </is>
      </c>
      <c r="K170" t="inlineStr">
        <is>
          <t>④호황</t>
        </is>
      </c>
      <c r="L170" t="inlineStr">
        <is>
          <t>linear_progress</t>
        </is>
      </c>
      <c r="M170" t="b">
        <v>1</v>
      </c>
      <c r="N170" t="b">
        <v>1</v>
      </c>
      <c r="O170" t="b">
        <v>0</v>
      </c>
    </row>
    <row r="171">
      <c r="A171" s="2" t="inlineStr">
        <is>
          <t>⚠ 종료일 = 마지막 호선 인도 예정; 진행률 매출 분기는 계약기간 안에 선형 배분(가정)</t>
        </is>
      </c>
    </row>
    <row r="172">
      <c r="A172" s="2" t="inlineStr">
        <is>
          <t>⚠ HD한국조선해양(009540) 공시와 동일 계약 22건(shared_with) — 두 파일을 합산하지 말 것</t>
        </is>
      </c>
    </row>
    <row r="173">
      <c r="A173" s="2" t="inlineStr">
        <is>
          <t>⚠ 헤지비율 0.7 은 가정(약정환율 미공시 → HEDGE 70% 가정(레퍼런스 SLS 시트 HEDGE 행은 미포 65%·삼성重 100% — 그 사이에 둔 설정값). hedge_rate 는 계약별 수주시점 환율로 대체)</t>
        </is>
      </c>
    </row>
    <row r="174">
      <c r="A174" s="2" t="inlineStr">
        <is>
          <t>⚠ 공시 통화선도 매도 명목액 20760백만$ 을 잔고 대비 환산하면 현물(2026Q2 기말 1550.89원) 기준 0.46(-0.24) · 수주시점 평균환율(1447.51원, 계약 39건) 기준 0.43(-0.27) — 가정 0.70 과 다르다. 약정환율 미공시라 적용하지 않음(참고치 hedge.hedge_ratio_implied_spot·hedge_ratio_implied_sign_rate; 채택은 사용자 결정)</t>
        </is>
      </c>
    </row>
    <row r="175">
      <c r="A175" s="2" t="inlineStr">
        <is>
          <t>⚠ 코호트 OPM 표 reference_calibrated 적용. 레퍼런스 미포 SLS 셀 OPM 을 2023~2027 매출가중한 유효 표는 ①-1.1% ②1% ③4.3% ④5.4% ⑤10.8%(이전 가정 표 ①-5% ②0% ③5% ④10% ⑤15% 는 레퍼런스 2024~26 보다 +3.8~5.1%p 높다 — cohort_opm_calibration.by_year). 다음 분기 2026Q3 타겟: 가정 15.00% vs 캘리브레이션 10.80%. 다른 표는 --opm-table assumed (하류 섹션 각주·모델 백테스트가 cohort_opm_table 을 읽는다)</t>
        </is>
      </c>
    </row>
    <row r="176">
      <c r="A176" s="2" t="inlineStr">
        <is>
          <t>⚠ 코호트 기본 모드 reference_anchor: 2025~ 수주 물량(백만$) 판정 ⑤초호황 100%. reference_anchor 는 수주연도 → 등급(≤2020 ③중마진 · 2021 ④호황 · 2022~ ⑤초호황; 출처 사용자 레퍼런스 모델 HD현대미포 SLS 의 클락슨 기반 판정을 건조기간 2~3년으로 되돌린 표 — 외부 신조선가 지수 미보유). ledger_relative 는 원장 내부 상대 등급(2025~ 판정 ②BEP 14%, ③중마진 43%, ④호황 43%; 2021 이후 절대 호황 수준 미반영). 대안 모드는 by_cohort_alt·target_opm_alt·calibration_alt 에 함께 저장. 타겟 OPM 은 기본 모드 기준이며 calibrated_shift(실측 − 타겟)로 실측 OPM 에 맞춘다 — 음수일 수 있다</t>
        </is>
      </c>
    </row>
    <row r="177">
      <c r="A177" s="2" t="inlineStr">
        <is>
          <t>⚠ 원장 신규 135123억 vs 수주표 신규증감 210375억(2026Q2 연초 누계) — 비율 0.64: 두 공시의 계약 인식 기준(발효·선수금·환율·범위)이 다르다. backlog_coverage 해석 시 참고(reconcile_summary.ledger_vs_reported_new)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C1" s="2" t="inlineStr">
        <is>
          <t>신규수주 시나리오(억원) — subQ 기준값 ± (시나리오 신규 − base 신규) × OPM</t>
        </is>
      </c>
      <c r="E1" s="3" t="inlineStr">
        <is>
          <t>3Q26</t>
        </is>
      </c>
      <c r="F1" s="3" t="inlineStr">
        <is>
          <t>4Q26</t>
        </is>
      </c>
      <c r="G1" s="3" t="n">
        <v>2026</v>
      </c>
      <c r="H1" s="3" t="inlineStr">
        <is>
          <t>1Q27</t>
        </is>
      </c>
      <c r="I1" s="3" t="inlineStr">
        <is>
          <t>2Q27</t>
        </is>
      </c>
      <c r="J1" s="3" t="inlineStr">
        <is>
          <t>3Q27</t>
        </is>
      </c>
      <c r="K1" s="3" t="inlineStr">
        <is>
          <t>4Q27</t>
        </is>
      </c>
      <c r="L1" s="3" t="n">
        <v>2027</v>
      </c>
      <c r="M1" s="3" t="inlineStr">
        <is>
          <t>1Q28</t>
        </is>
      </c>
      <c r="N1" s="3" t="inlineStr">
        <is>
          <t>2Q28</t>
        </is>
      </c>
      <c r="O1" s="3" t="inlineStr">
        <is>
          <t>3Q28</t>
        </is>
      </c>
      <c r="P1" s="3" t="inlineStr">
        <is>
          <t>4Q28</t>
        </is>
      </c>
      <c r="Q1" s="3" t="n">
        <v>2028</v>
      </c>
    </row>
    <row r="2">
      <c r="A2" s="2" t="inlineStr">
        <is>
          <t>출처: forecast_panel.json.gz scenarios.{conservative,base,optimistic}.quarterly[].new_order_revenue (KRW_million → 억원 ÷100) — 공시 수주 체결 분기별 상계 후(net_panel) · calibrated=False · 행(subQ)에 포함된 시나리오: base. 보수/낙관/기존만 은 합산하지 않는다. 모델 산출값 — 목표주가·추천 아님</t>
        </is>
      </c>
    </row>
    <row r="3">
      <c r="A3" s="2" t="inlineStr">
        <is>
          <t>매출 = 기존(선표+잔고 소진+기타) + 시나리오 신규수주 매출; 영업이익 = 행 영업이익 + (시나리오 신규 − base 신규) × base OPM 경로. 보수/낙관·existing_only 는 행에 합산하지 않음(base 는 행과 동일). 모델 산출값 — 목표주가·추천 아님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</row>
    <row r="4">
      <c r="E4" s="7" t="inlineStr">
        <is>
          <t>2026.09</t>
        </is>
      </c>
      <c r="F4" s="7" t="inlineStr">
        <is>
          <t>2026.12</t>
        </is>
      </c>
      <c r="G4" s="7" t="inlineStr">
        <is>
          <t>2026.12A</t>
        </is>
      </c>
      <c r="H4" s="7" t="inlineStr">
        <is>
          <t>2027.03</t>
        </is>
      </c>
      <c r="I4" s="7" t="inlineStr">
        <is>
          <t>2027.06</t>
        </is>
      </c>
      <c r="J4" s="7" t="inlineStr">
        <is>
          <t>2027.09</t>
        </is>
      </c>
      <c r="K4" s="7" t="inlineStr">
        <is>
          <t>2027.12</t>
        </is>
      </c>
      <c r="L4" s="7" t="inlineStr">
        <is>
          <t>2027.12A</t>
        </is>
      </c>
      <c r="M4" s="7" t="inlineStr">
        <is>
          <t>2028.03</t>
        </is>
      </c>
      <c r="N4" s="7" t="inlineStr">
        <is>
          <t>2028.06</t>
        </is>
      </c>
      <c r="O4" s="7" t="inlineStr">
        <is>
          <t>2028.09</t>
        </is>
      </c>
      <c r="P4" s="7" t="inlineStr">
        <is>
          <t>2028.12</t>
        </is>
      </c>
      <c r="Q4" s="7" t="inlineStr">
        <is>
          <t>2028.12A</t>
        </is>
      </c>
    </row>
    <row r="5">
      <c r="A5" s="1" t="inlineStr">
        <is>
          <t>base</t>
        </is>
      </c>
      <c r="D5" s="1" t="inlineStr">
        <is>
          <t>기준(base — subQ 행에 포함) — 행에 포함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2" t="inlineStr">
        <is>
          <t>scn:base:신규수주매출</t>
        </is>
      </c>
      <c r="C6" t="inlineStr">
        <is>
          <t>억원</t>
        </is>
      </c>
      <c r="D6" t="inlineStr">
        <is>
          <t>신규수주 매출(억원) — subQ 매출조선신규 참조</t>
        </is>
      </c>
      <c r="E6" s="43">
        <f>subQ!AC40</f>
        <v/>
      </c>
      <c r="F6" s="43">
        <f>subQ!AD40</f>
        <v/>
      </c>
      <c r="G6" s="20">
        <f>SUM(E6:F6)</f>
        <v/>
      </c>
      <c r="H6" s="43">
        <f>subQ!AF40</f>
        <v/>
      </c>
      <c r="I6" s="43">
        <f>subQ!AG40</f>
        <v/>
      </c>
      <c r="J6" s="43">
        <f>subQ!AH40</f>
        <v/>
      </c>
      <c r="K6" s="43">
        <f>subQ!AI40</f>
        <v/>
      </c>
      <c r="L6" s="20">
        <f>SUM(H6:K6)</f>
        <v/>
      </c>
      <c r="M6" s="43">
        <f>subQ!AK40</f>
        <v/>
      </c>
      <c r="N6" s="43">
        <f>subQ!AL40</f>
        <v/>
      </c>
      <c r="O6" s="43">
        <f>subQ!AM40</f>
        <v/>
      </c>
      <c r="P6" s="43">
        <f>subQ!AN40</f>
        <v/>
      </c>
      <c r="Q6" s="20">
        <f>SUM(M6:P6)</f>
        <v/>
      </c>
    </row>
    <row r="7">
      <c r="A7" s="12" t="inlineStr">
        <is>
          <t>scn:base:매출액</t>
        </is>
      </c>
      <c r="C7" t="inlineStr">
        <is>
          <t>억원</t>
        </is>
      </c>
      <c r="D7" t="inlineStr">
        <is>
          <t>매출액 = subQ 매출액 − base 신규 + 이 시나리오 신규</t>
        </is>
      </c>
      <c r="E7" s="20">
        <f>IFERROR(subQ!AC5-E6+E6,"")</f>
        <v/>
      </c>
      <c r="F7" s="20">
        <f>IFERROR(subQ!AD5-F6+F6,"")</f>
        <v/>
      </c>
      <c r="G7" s="20">
        <f>IFERROR(SUM(E7:F7)+subQ!AA5+subQ!AB5,"")</f>
        <v/>
      </c>
      <c r="H7" s="20">
        <f>IFERROR(subQ!AF5-H6+H6,"")</f>
        <v/>
      </c>
      <c r="I7" s="20">
        <f>IFERROR(subQ!AG5-I6+I6,"")</f>
        <v/>
      </c>
      <c r="J7" s="20">
        <f>IFERROR(subQ!AH5-J6+J6,"")</f>
        <v/>
      </c>
      <c r="K7" s="20">
        <f>IFERROR(subQ!AI5-K6+K6,"")</f>
        <v/>
      </c>
      <c r="L7" s="20">
        <f>IFERROR(SUM(H7:K7),"")</f>
        <v/>
      </c>
      <c r="M7" s="20">
        <f>IFERROR(subQ!AK5-M6+M6,"")</f>
        <v/>
      </c>
      <c r="N7" s="20">
        <f>IFERROR(subQ!AL5-N6+N6,"")</f>
        <v/>
      </c>
      <c r="O7" s="20">
        <f>IFERROR(subQ!AM5-O6+O6,"")</f>
        <v/>
      </c>
      <c r="P7" s="20">
        <f>IFERROR(subQ!AN5-P6+P6,"")</f>
        <v/>
      </c>
      <c r="Q7" s="20">
        <f>IFERROR(SUM(M7:P7),"")</f>
        <v/>
      </c>
    </row>
    <row r="8">
      <c r="A8" s="12" t="inlineStr">
        <is>
          <t>scn:base:영업이익</t>
        </is>
      </c>
      <c r="C8" t="inlineStr">
        <is>
          <t>억원</t>
        </is>
      </c>
      <c r="D8" t="inlineStr">
        <is>
          <t>영업이익 = subQ 영업이익 + (이 시나리오 신규 − base 신규) × OPM(변수 드라이버)</t>
        </is>
      </c>
      <c r="E8" s="20">
        <f>IFERROR(subQ!AC9+(E6-E6)*변수!AC42,"")</f>
        <v/>
      </c>
      <c r="F8" s="20">
        <f>IFERROR(subQ!AD9+(F6-F6)*변수!AD42,"")</f>
        <v/>
      </c>
      <c r="G8" s="20">
        <f>IFERROR(SUM(E8:F8)+subQ!AA9+subQ!AB9,"")</f>
        <v/>
      </c>
      <c r="H8" s="20">
        <f>IFERROR(subQ!AF9+(H6-H6)*변수!AF42,"")</f>
        <v/>
      </c>
      <c r="I8" s="20">
        <f>IFERROR(subQ!AG9+(I6-I6)*변수!AG42,"")</f>
        <v/>
      </c>
      <c r="J8" s="20">
        <f>IFERROR(subQ!AH9+(J6-J6)*변수!AH42,"")</f>
        <v/>
      </c>
      <c r="K8" s="20">
        <f>IFERROR(subQ!AI9+(K6-K6)*변수!AI42,"")</f>
        <v/>
      </c>
      <c r="L8" s="20">
        <f>IFERROR(SUM(H8:K8),"")</f>
        <v/>
      </c>
      <c r="M8" s="20">
        <f>IFERROR(subQ!AK9+(M6-M6)*변수!AK42,"")</f>
        <v/>
      </c>
      <c r="N8" s="20">
        <f>IFERROR(subQ!AL9+(N6-N6)*변수!AL42,"")</f>
        <v/>
      </c>
      <c r="O8" s="20">
        <f>IFERROR(subQ!AM9+(O6-O6)*변수!AM42,"")</f>
        <v/>
      </c>
      <c r="P8" s="20">
        <f>IFERROR(subQ!AN9+(P6-P6)*변수!AN42,"")</f>
        <v/>
      </c>
      <c r="Q8" s="20">
        <f>IFERROR(SUM(M8:P8),"")</f>
        <v/>
      </c>
    </row>
    <row r="9">
      <c r="A9" s="12" t="inlineStr">
        <is>
          <t>scn:base:OPM</t>
        </is>
      </c>
      <c r="C9" t="inlineStr">
        <is>
          <t>%</t>
        </is>
      </c>
      <c r="D9" t="inlineStr">
        <is>
          <t>OPM</t>
        </is>
      </c>
      <c r="E9" s="32">
        <f>IFERROR(E8/E7,"")</f>
        <v/>
      </c>
      <c r="F9" s="32">
        <f>IFERROR(F8/F7,"")</f>
        <v/>
      </c>
      <c r="G9" s="32">
        <f>IFERROR(G8/G7,"")</f>
        <v/>
      </c>
      <c r="H9" s="32">
        <f>IFERROR(H8/H7,"")</f>
        <v/>
      </c>
      <c r="I9" s="32">
        <f>IFERROR(I8/I7,"")</f>
        <v/>
      </c>
      <c r="J9" s="32">
        <f>IFERROR(J8/J7,"")</f>
        <v/>
      </c>
      <c r="K9" s="32">
        <f>IFERROR(K8/K7,"")</f>
        <v/>
      </c>
      <c r="L9" s="32">
        <f>IFERROR(L8/L7,"")</f>
        <v/>
      </c>
      <c r="M9" s="32">
        <f>IFERROR(M8/M7,"")</f>
        <v/>
      </c>
      <c r="N9" s="32">
        <f>IFERROR(N8/N7,"")</f>
        <v/>
      </c>
      <c r="O9" s="32">
        <f>IFERROR(O8/O7,"")</f>
        <v/>
      </c>
      <c r="P9" s="32">
        <f>IFERROR(P8/P7,"")</f>
        <v/>
      </c>
      <c r="Q9" s="32">
        <f>IFERROR(Q8/Q7,"")</f>
        <v/>
      </c>
    </row>
    <row r="10"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</row>
    <row r="11">
      <c r="A11" s="1" t="inlineStr">
        <is>
          <t>existing_only</t>
        </is>
      </c>
      <c r="D11" s="1" t="inlineStr">
        <is>
          <t>기존 잔고만(신규수주 0)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2" t="inlineStr">
        <is>
          <t>scn:existing_only:신규수주매출</t>
        </is>
      </c>
      <c r="C12" t="inlineStr">
        <is>
          <t>억원</t>
        </is>
      </c>
      <c r="D12" t="inlineStr">
        <is>
          <t>신규수주 매출(억원) — 패널 값(노란, 가정)</t>
        </is>
      </c>
      <c r="E12" s="34" t="n">
        <v>0</v>
      </c>
      <c r="F12" s="34" t="n">
        <v>0</v>
      </c>
      <c r="G12" s="20">
        <f>SUM(E12:F12)</f>
        <v/>
      </c>
      <c r="H12" s="34" t="n">
        <v>0</v>
      </c>
      <c r="I12" s="34" t="n">
        <v>0</v>
      </c>
      <c r="J12" s="34" t="n">
        <v>0</v>
      </c>
      <c r="K12" s="34" t="n">
        <v>0</v>
      </c>
      <c r="L12" s="20">
        <f>SUM(H12:K12)</f>
        <v/>
      </c>
      <c r="M12" s="34" t="n">
        <v>0</v>
      </c>
      <c r="N12" s="34" t="n">
        <v>0</v>
      </c>
      <c r="O12" s="34" t="n">
        <v>0</v>
      </c>
      <c r="P12" s="34" t="n">
        <v>0</v>
      </c>
      <c r="Q12" s="20">
        <f>SUM(M12:P12)</f>
        <v/>
      </c>
    </row>
    <row r="13">
      <c r="A13" s="12" t="inlineStr">
        <is>
          <t>scn:existing_only:매출액</t>
        </is>
      </c>
      <c r="C13" t="inlineStr">
        <is>
          <t>억원</t>
        </is>
      </c>
      <c r="D13" t="inlineStr">
        <is>
          <t>매출액 = subQ 매출액 − base 신규 + 이 시나리오 신규</t>
        </is>
      </c>
      <c r="E13" s="20">
        <f>IFERROR(subQ!AC5-E6+E12,"")</f>
        <v/>
      </c>
      <c r="F13" s="20">
        <f>IFERROR(subQ!AD5-F6+F12,"")</f>
        <v/>
      </c>
      <c r="G13" s="20">
        <f>IFERROR(SUM(E13:F13)+subQ!AA5+subQ!AB5,"")</f>
        <v/>
      </c>
      <c r="H13" s="20">
        <f>IFERROR(subQ!AF5-H6+H12,"")</f>
        <v/>
      </c>
      <c r="I13" s="20">
        <f>IFERROR(subQ!AG5-I6+I12,"")</f>
        <v/>
      </c>
      <c r="J13" s="20">
        <f>IFERROR(subQ!AH5-J6+J12,"")</f>
        <v/>
      </c>
      <c r="K13" s="20">
        <f>IFERROR(subQ!AI5-K6+K12,"")</f>
        <v/>
      </c>
      <c r="L13" s="20">
        <f>IFERROR(SUM(H13:K13),"")</f>
        <v/>
      </c>
      <c r="M13" s="20">
        <f>IFERROR(subQ!AK5-M6+M12,"")</f>
        <v/>
      </c>
      <c r="N13" s="20">
        <f>IFERROR(subQ!AL5-N6+N12,"")</f>
        <v/>
      </c>
      <c r="O13" s="20">
        <f>IFERROR(subQ!AM5-O6+O12,"")</f>
        <v/>
      </c>
      <c r="P13" s="20">
        <f>IFERROR(subQ!AN5-P6+P12,"")</f>
        <v/>
      </c>
      <c r="Q13" s="20">
        <f>IFERROR(SUM(M13:P13),"")</f>
        <v/>
      </c>
    </row>
    <row r="14">
      <c r="A14" s="12" t="inlineStr">
        <is>
          <t>scn:existing_only:영업이익</t>
        </is>
      </c>
      <c r="C14" t="inlineStr">
        <is>
          <t>억원</t>
        </is>
      </c>
      <c r="D14" t="inlineStr">
        <is>
          <t>영업이익 = subQ 영업이익 + (이 시나리오 신규 − base 신규) × OPM(변수 드라이버)</t>
        </is>
      </c>
      <c r="E14" s="20">
        <f>IFERROR(subQ!AC9+(E12-E6)*변수!AC42,"")</f>
        <v/>
      </c>
      <c r="F14" s="20">
        <f>IFERROR(subQ!AD9+(F12-F6)*변수!AD42,"")</f>
        <v/>
      </c>
      <c r="G14" s="20">
        <f>IFERROR(SUM(E14:F14)+subQ!AA9+subQ!AB9,"")</f>
        <v/>
      </c>
      <c r="H14" s="20">
        <f>IFERROR(subQ!AF9+(H12-H6)*변수!AF42,"")</f>
        <v/>
      </c>
      <c r="I14" s="20">
        <f>IFERROR(subQ!AG9+(I12-I6)*변수!AG42,"")</f>
        <v/>
      </c>
      <c r="J14" s="20">
        <f>IFERROR(subQ!AH9+(J12-J6)*변수!AH42,"")</f>
        <v/>
      </c>
      <c r="K14" s="20">
        <f>IFERROR(subQ!AI9+(K12-K6)*변수!AI42,"")</f>
        <v/>
      </c>
      <c r="L14" s="20">
        <f>IFERROR(SUM(H14:K14),"")</f>
        <v/>
      </c>
      <c r="M14" s="20">
        <f>IFERROR(subQ!AK9+(M12-M6)*변수!AK42,"")</f>
        <v/>
      </c>
      <c r="N14" s="20">
        <f>IFERROR(subQ!AL9+(N12-N6)*변수!AL42,"")</f>
        <v/>
      </c>
      <c r="O14" s="20">
        <f>IFERROR(subQ!AM9+(O12-O6)*변수!AM42,"")</f>
        <v/>
      </c>
      <c r="P14" s="20">
        <f>IFERROR(subQ!AN9+(P12-P6)*변수!AN42,"")</f>
        <v/>
      </c>
      <c r="Q14" s="20">
        <f>IFERROR(SUM(M14:P14),"")</f>
        <v/>
      </c>
    </row>
    <row r="15">
      <c r="A15" s="12" t="inlineStr">
        <is>
          <t>scn:existing_only:OPM</t>
        </is>
      </c>
      <c r="C15" t="inlineStr">
        <is>
          <t>%</t>
        </is>
      </c>
      <c r="D15" t="inlineStr">
        <is>
          <t>OPM</t>
        </is>
      </c>
      <c r="E15" s="32">
        <f>IFERROR(E14/E13,"")</f>
        <v/>
      </c>
      <c r="F15" s="32">
        <f>IFERROR(F14/F13,"")</f>
        <v/>
      </c>
      <c r="G15" s="32">
        <f>IFERROR(G14/G13,"")</f>
        <v/>
      </c>
      <c r="H15" s="32">
        <f>IFERROR(H14/H13,"")</f>
        <v/>
      </c>
      <c r="I15" s="32">
        <f>IFERROR(I14/I13,"")</f>
        <v/>
      </c>
      <c r="J15" s="32">
        <f>IFERROR(J14/J13,"")</f>
        <v/>
      </c>
      <c r="K15" s="32">
        <f>IFERROR(K14/K13,"")</f>
        <v/>
      </c>
      <c r="L15" s="32">
        <f>IFERROR(L14/L13,"")</f>
        <v/>
      </c>
      <c r="M15" s="32">
        <f>IFERROR(M14/M13,"")</f>
        <v/>
      </c>
      <c r="N15" s="32">
        <f>IFERROR(N14/N13,"")</f>
        <v/>
      </c>
      <c r="O15" s="32">
        <f>IFERROR(O14/O13,"")</f>
        <v/>
      </c>
      <c r="P15" s="32">
        <f>IFERROR(P14/P13,"")</f>
        <v/>
      </c>
      <c r="Q15" s="32">
        <f>IFERROR(Q14/Q13,"")</f>
        <v/>
      </c>
    </row>
    <row r="16"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</row>
    <row r="17">
      <c r="A17" s="1" t="inlineStr">
        <is>
          <t>conservative</t>
        </is>
      </c>
      <c r="D17" s="1" t="inlineStr">
        <is>
          <t>보수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</row>
    <row r="18">
      <c r="A18" s="12" t="inlineStr">
        <is>
          <t>scn:conservative:신규수주매출</t>
        </is>
      </c>
      <c r="C18" t="inlineStr">
        <is>
          <t>억원</t>
        </is>
      </c>
      <c r="D18" t="inlineStr">
        <is>
          <t>신규수주 매출(억원) — 패널 값(노란, 가정)</t>
        </is>
      </c>
      <c r="E18" s="34" t="n">
        <v>0</v>
      </c>
      <c r="F18" s="34" t="n">
        <v>436.04</v>
      </c>
      <c r="G18" s="20">
        <f>SUM(E18:F18)</f>
        <v/>
      </c>
      <c r="H18" s="34" t="n">
        <v>1912.08</v>
      </c>
      <c r="I18" s="34" t="n">
        <v>4473.45</v>
      </c>
      <c r="J18" s="34" t="n">
        <v>7855.15</v>
      </c>
      <c r="K18" s="34" t="n">
        <v>11792.16</v>
      </c>
      <c r="L18" s="20">
        <f>SUM(H18:K18)</f>
        <v/>
      </c>
      <c r="M18" s="34" t="n">
        <v>16019.47</v>
      </c>
      <c r="N18" s="34" t="n">
        <v>20272.08</v>
      </c>
      <c r="O18" s="34" t="n">
        <v>24284.98</v>
      </c>
      <c r="P18" s="34" t="n">
        <v>27793.15</v>
      </c>
      <c r="Q18" s="20">
        <f>SUM(M18:P18)</f>
        <v/>
      </c>
    </row>
    <row r="19">
      <c r="A19" s="12" t="inlineStr">
        <is>
          <t>scn:conservative:매출액</t>
        </is>
      </c>
      <c r="C19" t="inlineStr">
        <is>
          <t>억원</t>
        </is>
      </c>
      <c r="D19" t="inlineStr">
        <is>
          <t>매출액 = subQ 매출액 − base 신규 + 이 시나리오 신규</t>
        </is>
      </c>
      <c r="E19" s="20">
        <f>IFERROR(subQ!AC5-E6+E18,"")</f>
        <v/>
      </c>
      <c r="F19" s="20">
        <f>IFERROR(subQ!AD5-F6+F18,"")</f>
        <v/>
      </c>
      <c r="G19" s="20">
        <f>IFERROR(SUM(E19:F19)+subQ!AA5+subQ!AB5,"")</f>
        <v/>
      </c>
      <c r="H19" s="20">
        <f>IFERROR(subQ!AF5-H6+H18,"")</f>
        <v/>
      </c>
      <c r="I19" s="20">
        <f>IFERROR(subQ!AG5-I6+I18,"")</f>
        <v/>
      </c>
      <c r="J19" s="20">
        <f>IFERROR(subQ!AH5-J6+J18,"")</f>
        <v/>
      </c>
      <c r="K19" s="20">
        <f>IFERROR(subQ!AI5-K6+K18,"")</f>
        <v/>
      </c>
      <c r="L19" s="20">
        <f>IFERROR(SUM(H19:K19),"")</f>
        <v/>
      </c>
      <c r="M19" s="20">
        <f>IFERROR(subQ!AK5-M6+M18,"")</f>
        <v/>
      </c>
      <c r="N19" s="20">
        <f>IFERROR(subQ!AL5-N6+N18,"")</f>
        <v/>
      </c>
      <c r="O19" s="20">
        <f>IFERROR(subQ!AM5-O6+O18,"")</f>
        <v/>
      </c>
      <c r="P19" s="20">
        <f>IFERROR(subQ!AN5-P6+P18,"")</f>
        <v/>
      </c>
      <c r="Q19" s="20">
        <f>IFERROR(SUM(M19:P19),"")</f>
        <v/>
      </c>
    </row>
    <row r="20">
      <c r="A20" s="12" t="inlineStr">
        <is>
          <t>scn:conservative:영업이익</t>
        </is>
      </c>
      <c r="C20" t="inlineStr">
        <is>
          <t>억원</t>
        </is>
      </c>
      <c r="D20" t="inlineStr">
        <is>
          <t>영업이익 = subQ 영업이익 + (이 시나리오 신규 − base 신규) × OPM(변수 드라이버)</t>
        </is>
      </c>
      <c r="E20" s="20">
        <f>IFERROR(subQ!AC9+(E18-E6)*변수!AC42,"")</f>
        <v/>
      </c>
      <c r="F20" s="20">
        <f>IFERROR(subQ!AD9+(F18-F6)*변수!AD42,"")</f>
        <v/>
      </c>
      <c r="G20" s="20">
        <f>IFERROR(SUM(E20:F20)+subQ!AA9+subQ!AB9,"")</f>
        <v/>
      </c>
      <c r="H20" s="20">
        <f>IFERROR(subQ!AF9+(H18-H6)*변수!AF42,"")</f>
        <v/>
      </c>
      <c r="I20" s="20">
        <f>IFERROR(subQ!AG9+(I18-I6)*변수!AG42,"")</f>
        <v/>
      </c>
      <c r="J20" s="20">
        <f>IFERROR(subQ!AH9+(J18-J6)*변수!AH42,"")</f>
        <v/>
      </c>
      <c r="K20" s="20">
        <f>IFERROR(subQ!AI9+(K18-K6)*변수!AI42,"")</f>
        <v/>
      </c>
      <c r="L20" s="20">
        <f>IFERROR(SUM(H20:K20),"")</f>
        <v/>
      </c>
      <c r="M20" s="20">
        <f>IFERROR(subQ!AK9+(M18-M6)*변수!AK42,"")</f>
        <v/>
      </c>
      <c r="N20" s="20">
        <f>IFERROR(subQ!AL9+(N18-N6)*변수!AL42,"")</f>
        <v/>
      </c>
      <c r="O20" s="20">
        <f>IFERROR(subQ!AM9+(O18-O6)*변수!AM42,"")</f>
        <v/>
      </c>
      <c r="P20" s="20">
        <f>IFERROR(subQ!AN9+(P18-P6)*변수!AN42,"")</f>
        <v/>
      </c>
      <c r="Q20" s="20">
        <f>IFERROR(SUM(M20:P20),"")</f>
        <v/>
      </c>
    </row>
    <row r="21">
      <c r="A21" s="12" t="inlineStr">
        <is>
          <t>scn:conservative:OPM</t>
        </is>
      </c>
      <c r="C21" t="inlineStr">
        <is>
          <t>%</t>
        </is>
      </c>
      <c r="D21" t="inlineStr">
        <is>
          <t>OPM</t>
        </is>
      </c>
      <c r="E21" s="32">
        <f>IFERROR(E20/E19,"")</f>
        <v/>
      </c>
      <c r="F21" s="32">
        <f>IFERROR(F20/F19,"")</f>
        <v/>
      </c>
      <c r="G21" s="32">
        <f>IFERROR(G20/G19,"")</f>
        <v/>
      </c>
      <c r="H21" s="32">
        <f>IFERROR(H20/H19,"")</f>
        <v/>
      </c>
      <c r="I21" s="32">
        <f>IFERROR(I20/I19,"")</f>
        <v/>
      </c>
      <c r="J21" s="32">
        <f>IFERROR(J20/J19,"")</f>
        <v/>
      </c>
      <c r="K21" s="32">
        <f>IFERROR(K20/K19,"")</f>
        <v/>
      </c>
      <c r="L21" s="32">
        <f>IFERROR(L20/L19,"")</f>
        <v/>
      </c>
      <c r="M21" s="32">
        <f>IFERROR(M20/M19,"")</f>
        <v/>
      </c>
      <c r="N21" s="32">
        <f>IFERROR(N20/N19,"")</f>
        <v/>
      </c>
      <c r="O21" s="32">
        <f>IFERROR(O20/O19,"")</f>
        <v/>
      </c>
      <c r="P21" s="32">
        <f>IFERROR(P20/P19,"")</f>
        <v/>
      </c>
      <c r="Q21" s="32">
        <f>IFERROR(Q20/Q19,"")</f>
        <v/>
      </c>
    </row>
    <row r="22"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>
      <c r="A23" s="1" t="inlineStr">
        <is>
          <t>optimistic</t>
        </is>
      </c>
      <c r="D23" s="1" t="inlineStr">
        <is>
          <t>낙관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12" t="inlineStr">
        <is>
          <t>scn:optimistic:신규수주매출</t>
        </is>
      </c>
      <c r="C24" t="inlineStr">
        <is>
          <t>억원</t>
        </is>
      </c>
      <c r="D24" t="inlineStr">
        <is>
          <t>신규수주 매출(억원) — 패널 값(노란, 가정)</t>
        </is>
      </c>
      <c r="E24" s="34" t="n">
        <v>0</v>
      </c>
      <c r="F24" s="34" t="n">
        <v>1250.25</v>
      </c>
      <c r="G24" s="20">
        <f>SUM(E24:F24)</f>
        <v/>
      </c>
      <c r="H24" s="34" t="n">
        <v>4965.7</v>
      </c>
      <c r="I24" s="34" t="n">
        <v>10888.12</v>
      </c>
      <c r="J24" s="34" t="n">
        <v>18450.7</v>
      </c>
      <c r="K24" s="34" t="n">
        <v>27086.66</v>
      </c>
      <c r="L24" s="20">
        <f>SUM(H24:K24)</f>
        <v/>
      </c>
      <c r="M24" s="34" t="n">
        <v>36229.2</v>
      </c>
      <c r="N24" s="34" t="n">
        <v>45311.53</v>
      </c>
      <c r="O24" s="34" t="n">
        <v>53766.84</v>
      </c>
      <c r="P24" s="34" t="n">
        <v>61028.36</v>
      </c>
      <c r="Q24" s="20">
        <f>SUM(M24:P24)</f>
        <v/>
      </c>
    </row>
    <row r="25">
      <c r="A25" s="12" t="inlineStr">
        <is>
          <t>scn:optimistic:매출액</t>
        </is>
      </c>
      <c r="C25" t="inlineStr">
        <is>
          <t>억원</t>
        </is>
      </c>
      <c r="D25" t="inlineStr">
        <is>
          <t>매출액 = subQ 매출액 − base 신규 + 이 시나리오 신규</t>
        </is>
      </c>
      <c r="E25" s="20">
        <f>IFERROR(subQ!AC5-E6+E24,"")</f>
        <v/>
      </c>
      <c r="F25" s="20">
        <f>IFERROR(subQ!AD5-F6+F24,"")</f>
        <v/>
      </c>
      <c r="G25" s="20">
        <f>IFERROR(SUM(E25:F25)+subQ!AA5+subQ!AB5,"")</f>
        <v/>
      </c>
      <c r="H25" s="20">
        <f>IFERROR(subQ!AF5-H6+H24,"")</f>
        <v/>
      </c>
      <c r="I25" s="20">
        <f>IFERROR(subQ!AG5-I6+I24,"")</f>
        <v/>
      </c>
      <c r="J25" s="20">
        <f>IFERROR(subQ!AH5-J6+J24,"")</f>
        <v/>
      </c>
      <c r="K25" s="20">
        <f>IFERROR(subQ!AI5-K6+K24,"")</f>
        <v/>
      </c>
      <c r="L25" s="20">
        <f>IFERROR(SUM(H25:K25),"")</f>
        <v/>
      </c>
      <c r="M25" s="20">
        <f>IFERROR(subQ!AK5-M6+M24,"")</f>
        <v/>
      </c>
      <c r="N25" s="20">
        <f>IFERROR(subQ!AL5-N6+N24,"")</f>
        <v/>
      </c>
      <c r="O25" s="20">
        <f>IFERROR(subQ!AM5-O6+O24,"")</f>
        <v/>
      </c>
      <c r="P25" s="20">
        <f>IFERROR(subQ!AN5-P6+P24,"")</f>
        <v/>
      </c>
      <c r="Q25" s="20">
        <f>IFERROR(SUM(M25:P25),"")</f>
        <v/>
      </c>
    </row>
    <row r="26">
      <c r="A26" s="12" t="inlineStr">
        <is>
          <t>scn:optimistic:영업이익</t>
        </is>
      </c>
      <c r="C26" t="inlineStr">
        <is>
          <t>억원</t>
        </is>
      </c>
      <c r="D26" t="inlineStr">
        <is>
          <t>영업이익 = subQ 영업이익 + (이 시나리오 신규 − base 신규) × OPM(변수 드라이버)</t>
        </is>
      </c>
      <c r="E26" s="20">
        <f>IFERROR(subQ!AC9+(E24-E6)*변수!AC42,"")</f>
        <v/>
      </c>
      <c r="F26" s="20">
        <f>IFERROR(subQ!AD9+(F24-F6)*변수!AD42,"")</f>
        <v/>
      </c>
      <c r="G26" s="20">
        <f>IFERROR(SUM(E26:F26)+subQ!AA9+subQ!AB9,"")</f>
        <v/>
      </c>
      <c r="H26" s="20">
        <f>IFERROR(subQ!AF9+(H24-H6)*변수!AF42,"")</f>
        <v/>
      </c>
      <c r="I26" s="20">
        <f>IFERROR(subQ!AG9+(I24-I6)*변수!AG42,"")</f>
        <v/>
      </c>
      <c r="J26" s="20">
        <f>IFERROR(subQ!AH9+(J24-J6)*변수!AH42,"")</f>
        <v/>
      </c>
      <c r="K26" s="20">
        <f>IFERROR(subQ!AI9+(K24-K6)*변수!AI42,"")</f>
        <v/>
      </c>
      <c r="L26" s="20">
        <f>IFERROR(SUM(H26:K26),"")</f>
        <v/>
      </c>
      <c r="M26" s="20">
        <f>IFERROR(subQ!AK9+(M24-M6)*변수!AK42,"")</f>
        <v/>
      </c>
      <c r="N26" s="20">
        <f>IFERROR(subQ!AL9+(N24-N6)*변수!AL42,"")</f>
        <v/>
      </c>
      <c r="O26" s="20">
        <f>IFERROR(subQ!AM9+(O24-O6)*변수!AM42,"")</f>
        <v/>
      </c>
      <c r="P26" s="20">
        <f>IFERROR(subQ!AN9+(P24-P6)*변수!AN42,"")</f>
        <v/>
      </c>
      <c r="Q26" s="20">
        <f>IFERROR(SUM(M26:P26),"")</f>
        <v/>
      </c>
    </row>
    <row r="27">
      <c r="A27" s="12" t="inlineStr">
        <is>
          <t>scn:optimistic:OPM</t>
        </is>
      </c>
      <c r="C27" t="inlineStr">
        <is>
          <t>%</t>
        </is>
      </c>
      <c r="D27" t="inlineStr">
        <is>
          <t>OPM</t>
        </is>
      </c>
      <c r="E27" s="32">
        <f>IFERROR(E26/E25,"")</f>
        <v/>
      </c>
      <c r="F27" s="32">
        <f>IFERROR(F26/F25,"")</f>
        <v/>
      </c>
      <c r="G27" s="32">
        <f>IFERROR(G26/G25,"")</f>
        <v/>
      </c>
      <c r="H27" s="32">
        <f>IFERROR(H26/H25,"")</f>
        <v/>
      </c>
      <c r="I27" s="32">
        <f>IFERROR(I26/I25,"")</f>
        <v/>
      </c>
      <c r="J27" s="32">
        <f>IFERROR(J26/J25,"")</f>
        <v/>
      </c>
      <c r="K27" s="32">
        <f>IFERROR(K26/K25,"")</f>
        <v/>
      </c>
      <c r="L27" s="32">
        <f>IFERROR(L26/L25,"")</f>
        <v/>
      </c>
      <c r="M27" s="32">
        <f>IFERROR(M26/M25,"")</f>
        <v/>
      </c>
      <c r="N27" s="32">
        <f>IFERROR(N26/N25,"")</f>
        <v/>
      </c>
      <c r="O27" s="32">
        <f>IFERROR(O26/O25,"")</f>
        <v/>
      </c>
      <c r="P27" s="32">
        <f>IFERROR(P26/P25,"")</f>
        <v/>
      </c>
      <c r="Q27" s="32">
        <f>IFERROR(Q26/Q25,"")</f>
        <v/>
      </c>
    </row>
    <row r="28"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4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변수!D47</f>
        <v/>
      </c>
      <c r="W2" s="45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6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8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8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8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8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8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9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8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8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8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8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8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8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8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환관련손익</t>
        </is>
      </c>
      <c r="D18" t="inlineStr">
        <is>
          <t>환관련손익(모델 추정분)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8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세전이익</t>
        </is>
      </c>
      <c r="D19" t="inlineStr">
        <is>
          <t>법인세비용차감전이익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8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법인세비용</t>
        </is>
      </c>
      <c r="D20" t="inlineStr">
        <is>
          <t>법인세비용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8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당기순이익</t>
        </is>
      </c>
      <c r="D21" t="inlineStr">
        <is>
          <t>당기순이익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8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지배주주순이익</t>
        </is>
      </c>
      <c r="D22" t="inlineStr">
        <is>
          <t>지배주주순이익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8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8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8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8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8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8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8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8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8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8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8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6">
        <f>IFERROR(VLOOKUP($A33,subQ,MATCH(E$1,SUBQH,0),0),"")</f>
        <v/>
      </c>
      <c r="F33" s="26">
        <f>IFERROR(VLOOKUP($A33,subQ,MATCH(F$1,SUBQH,0),0),"")</f>
        <v/>
      </c>
      <c r="G33" s="26">
        <f>IFERROR(VLOOKUP($A33,subQ,MATCH(G$1,SUBQH,0),0),"")</f>
        <v/>
      </c>
      <c r="H33" s="26">
        <f>IFERROR(VLOOKUP($A33,subQ,MATCH(H$1,SUBQH,0),0),"")</f>
        <v/>
      </c>
      <c r="I33" s="26">
        <f>IFERROR(VLOOKUP($A33,subQ,MATCH(I$1,SUBQH,0),0),"")</f>
        <v/>
      </c>
      <c r="J33" s="26">
        <f>IFERROR(VLOOKUP($A33,subQ,MATCH(J$1,SUBQH,0),0),"")</f>
        <v/>
      </c>
      <c r="K33" s="26">
        <f>IFERROR(VLOOKUP($A33,subQ,MATCH(K$1,SUBQH,0),0),"")</f>
        <v/>
      </c>
      <c r="L33" s="26">
        <f>IFERROR(VLOOKUP($A33,subQ,MATCH(L$1,SUBQH,0),0),"")</f>
        <v/>
      </c>
      <c r="M33" s="26">
        <f>IFERROR(VLOOKUP($A33,subQ,MATCH(M$1,SUBQH,0),0),"")</f>
        <v/>
      </c>
      <c r="N33" s="26">
        <f>IFERROR(VLOOKUP($A33,subQ,MATCH(N$1,SUBQH,0),0),"")</f>
        <v/>
      </c>
      <c r="O33" s="26">
        <f>IFERROR(VLOOKUP($A33,subQ,MATCH(O$1,SUBQH,0),0),"")</f>
        <v/>
      </c>
      <c r="P33" s="26">
        <f>IFERROR(VLOOKUP($A33,subQ,MATCH(P$1,SUBQH,0),0),"")</f>
        <v/>
      </c>
      <c r="Q33" s="26">
        <f>IFERROR(VLOOKUP($A33,subQ,MATCH(Q$1,SUBQH,0),0),"")</f>
        <v/>
      </c>
      <c r="R33" s="26">
        <f>IFERROR(VLOOKUP($A33,subQ,MATCH(R$1,SUBQH,0),0),"")</f>
        <v/>
      </c>
      <c r="S33" s="26">
        <f>IFERROR(VLOOKUP($A33,subQ,MATCH(S$1,SUBQH,0),0),"")</f>
        <v/>
      </c>
      <c r="T33" s="26">
        <f>IFERROR(VLOOKUP($A33,subQ,MATCH(T$1,SUBQH,0),0),"")</f>
        <v/>
      </c>
      <c r="U33" s="26">
        <f>IFERROR(VLOOKUP($A33,subQ,MATCH(U$1,SUBQH,0),0),"")</f>
        <v/>
      </c>
      <c r="V33" s="26">
        <f>IFERROR(VLOOKUP($A33,subQ,MATCH(V$1,SUBQH,0),0),"")</f>
        <v/>
      </c>
      <c r="W33" s="50">
        <f>IFERROR(VLOOKUP($A33,subQ,MATCH(W$1,SUBQH,0),0),"")</f>
        <v/>
      </c>
      <c r="X33" s="33">
        <f>IFERROR(VLOOKUP($A33,subQ,MATCH(X$1,SUBQH,0),0),"")</f>
        <v/>
      </c>
      <c r="Y33" s="33">
        <f>IFERROR(VLOOKUP($A33,subQ,MATCH(Y$1,SUBQH,0),0),"")</f>
        <v/>
      </c>
      <c r="Z33" s="33">
        <f>IFERROR(VLOOKUP($A33,subQ,MATCH(Z$1,SUBQH,0),0),"")</f>
        <v/>
      </c>
      <c r="AA33" s="33">
        <f>IFERROR(VLOOKUP($A33,subQ,MATCH(AA$1,SUBQH,0),0),"")</f>
        <v/>
      </c>
      <c r="AB33" s="33">
        <f>IFERROR(VLOOKUP($A33,subQ,MATCH(AB$1,SUBQH,0),0),"")</f>
        <v/>
      </c>
      <c r="AC33" s="33">
        <f>IFERROR(VLOOKUP($A33,subQ,MATCH(AC$1,SUBQH,0),0),"")</f>
        <v/>
      </c>
      <c r="AD33" s="33">
        <f>IFERROR(VLOOKUP($A33,subQ,MATCH(AD$1,SUBQH,0),0),"")</f>
        <v/>
      </c>
      <c r="AE33" s="33">
        <f>IFERROR(VLOOKUP($A33,subQ,MATCH(AE$1,SUBQH,0),0),"")</f>
        <v/>
      </c>
      <c r="AF33" s="33">
        <f>IFERROR(VLOOKUP($A33,subQ,MATCH(AF$1,SUBQH,0),0),"")</f>
        <v/>
      </c>
      <c r="AG33" s="33">
        <f>IFERROR(VLOOKUP($A33,subQ,MATCH(AG$1,SUBQH,0),0),"")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8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8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8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51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51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매출조선</t>
        </is>
      </c>
      <c r="D39" t="inlineStr">
        <is>
          <t>매출 조선·해양(조선·해양플랜트)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8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매출조선신규</t>
        </is>
      </c>
      <c r="D40" t="inlineStr">
        <is>
          <t>매출 조선·해양(조선·해양플랜트) 신규수주(forecast_panel base(공시 상계) — 매출조선에 포함)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8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OP조선</t>
        </is>
      </c>
      <c r="D41" t="inlineStr">
        <is>
          <t>OP 조선·해양(조선·해양플랜트)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18">
        <f>IFERROR(VLOOKUP($A41,subQ,MATCH(I$1,SUBQH,0),0),"")</f>
        <v/>
      </c>
      <c r="J41" s="18">
        <f>IFERROR(VLOOKUP($A41,subQ,MATCH(J$1,SUBQH,0),0),"")</f>
        <v/>
      </c>
      <c r="K41" s="18">
        <f>IFERROR(VLOOKUP($A41,subQ,MATCH(K$1,SUBQH,0),0),"")</f>
        <v/>
      </c>
      <c r="L41" s="18">
        <f>IFERROR(VLOOKUP($A41,subQ,MATCH(L$1,SUBQH,0),0),"")</f>
        <v/>
      </c>
      <c r="M41" s="18">
        <f>IFERROR(VLOOKUP($A41,subQ,MATCH(M$1,SUBQH,0),0),"")</f>
        <v/>
      </c>
      <c r="N41" s="18">
        <f>IFERROR(VLOOKUP($A41,subQ,MATCH(N$1,SUBQH,0),0),"")</f>
        <v/>
      </c>
      <c r="O41" s="18">
        <f>IFERROR(VLOOKUP($A41,subQ,MATCH(O$1,SUBQH,0),0),"")</f>
        <v/>
      </c>
      <c r="P41" s="18">
        <f>IFERROR(VLOOKUP($A41,subQ,MATCH(P$1,SUBQH,0),0),"")</f>
        <v/>
      </c>
      <c r="Q41" s="18">
        <f>IFERROR(VLOOKUP($A41,subQ,MATCH(Q$1,SUBQH,0),0),"")</f>
        <v/>
      </c>
      <c r="R41" s="18">
        <f>IFERROR(VLOOKUP($A41,subQ,MATCH(R$1,SUBQH,0),0),"")</f>
        <v/>
      </c>
      <c r="S41" s="18">
        <f>IFERROR(VLOOKUP($A41,subQ,MATCH(S$1,SUBQH,0),0),"")</f>
        <v/>
      </c>
      <c r="T41" s="18">
        <f>IFERROR(VLOOKUP($A41,subQ,MATCH(T$1,SUBQH,0),0),"")</f>
        <v/>
      </c>
      <c r="U41" s="18">
        <f>IFERROR(VLOOKUP($A41,subQ,MATCH(U$1,SUBQH,0),0),"")</f>
        <v/>
      </c>
      <c r="V41" s="18">
        <f>IFERROR(VLOOKUP($A41,subQ,MATCH(V$1,SUBQH,0),0),"")</f>
        <v/>
      </c>
      <c r="W41" s="48">
        <f>IFERROR(VLOOKUP($A41,subQ,MATCH(W$1,SUBQH,0),0),"")</f>
        <v/>
      </c>
      <c r="X41" s="20">
        <f>IFERROR(VLOOKUP($A41,subQ,MATCH(X$1,SUBQH,0),0),"")</f>
        <v/>
      </c>
      <c r="Y41" s="20">
        <f>IFERROR(VLOOKUP($A41,subQ,MATCH(Y$1,SUBQH,0),0),"")</f>
        <v/>
      </c>
      <c r="Z41" s="20">
        <f>IFERROR(VLOOKUP($A41,subQ,MATCH(Z$1,SUBQH,0),0),"")</f>
        <v/>
      </c>
      <c r="AA41" s="20">
        <f>IFERROR(VLOOKUP($A41,subQ,MATCH(AA$1,SUBQH,0),0),"")</f>
        <v/>
      </c>
      <c r="AB41" s="20">
        <f>IFERROR(VLOOKUP($A41,subQ,MATCH(AB$1,SUBQH,0),0),"")</f>
        <v/>
      </c>
      <c r="AC41" s="20">
        <f>IFERROR(VLOOKUP($A41,subQ,MATCH(AC$1,SUBQH,0),0),"")</f>
        <v/>
      </c>
      <c r="AD41" s="20">
        <f>IFERROR(VLOOKUP($A41,subQ,MATCH(AD$1,SUBQH,0),0),"")</f>
        <v/>
      </c>
      <c r="AE41" s="20">
        <f>IFERROR(VLOOKUP($A41,subQ,MATCH(AE$1,SUBQH,0),0),"")</f>
        <v/>
      </c>
      <c r="AF41" s="20">
        <f>IFERROR(VLOOKUP($A41,subQ,MATCH(AF$1,SUBQH,0),0),"")</f>
        <v/>
      </c>
      <c r="AG41" s="20">
        <f>IFERROR(VLOOKUP($A41,subQ,MATCH(AG$1,SUBQH,0),0),"")</f>
        <v/>
      </c>
    </row>
    <row r="42">
      <c r="A42" s="12" t="inlineStr">
        <is>
          <t>OP조선신규</t>
        </is>
      </c>
      <c r="D42" t="inlineStr">
        <is>
          <t>OP 조선·해양(조선·해양플랜트) 신규수주(매출조선신규 × OPM — OP조선에 포함)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18">
        <f>IFERROR(VLOOKUP($A42,subQ,MATCH(I$1,SUBQH,0),0),"")</f>
        <v/>
      </c>
      <c r="J42" s="18">
        <f>IFERROR(VLOOKUP($A42,subQ,MATCH(J$1,SUBQH,0),0),"")</f>
        <v/>
      </c>
      <c r="K42" s="18">
        <f>IFERROR(VLOOKUP($A42,subQ,MATCH(K$1,SUBQH,0),0),"")</f>
        <v/>
      </c>
      <c r="L42" s="18">
        <f>IFERROR(VLOOKUP($A42,subQ,MATCH(L$1,SUBQH,0),0),"")</f>
        <v/>
      </c>
      <c r="M42" s="18">
        <f>IFERROR(VLOOKUP($A42,subQ,MATCH(M$1,SUBQH,0),0),"")</f>
        <v/>
      </c>
      <c r="N42" s="18">
        <f>IFERROR(VLOOKUP($A42,subQ,MATCH(N$1,SUBQH,0),0),"")</f>
        <v/>
      </c>
      <c r="O42" s="18">
        <f>IFERROR(VLOOKUP($A42,subQ,MATCH(O$1,SUBQH,0),0),"")</f>
        <v/>
      </c>
      <c r="P42" s="18">
        <f>IFERROR(VLOOKUP($A42,subQ,MATCH(P$1,SUBQH,0),0),"")</f>
        <v/>
      </c>
      <c r="Q42" s="18">
        <f>IFERROR(VLOOKUP($A42,subQ,MATCH(Q$1,SUBQH,0),0),"")</f>
        <v/>
      </c>
      <c r="R42" s="18">
        <f>IFERROR(VLOOKUP($A42,subQ,MATCH(R$1,SUBQH,0),0),"")</f>
        <v/>
      </c>
      <c r="S42" s="18">
        <f>IFERROR(VLOOKUP($A42,subQ,MATCH(S$1,SUBQH,0),0),"")</f>
        <v/>
      </c>
      <c r="T42" s="18">
        <f>IFERROR(VLOOKUP($A42,subQ,MATCH(T$1,SUBQH,0),0),"")</f>
        <v/>
      </c>
      <c r="U42" s="18">
        <f>IFERROR(VLOOKUP($A42,subQ,MATCH(U$1,SUBQH,0),0),"")</f>
        <v/>
      </c>
      <c r="V42" s="18">
        <f>IFERROR(VLOOKUP($A42,subQ,MATCH(V$1,SUBQH,0),0),"")</f>
        <v/>
      </c>
      <c r="W42" s="48">
        <f>IFERROR(VLOOKUP($A42,subQ,MATCH(W$1,SUBQH,0),0),"")</f>
        <v/>
      </c>
      <c r="X42" s="20">
        <f>IFERROR(VLOOKUP($A42,subQ,MATCH(X$1,SUBQH,0),0),"")</f>
        <v/>
      </c>
      <c r="Y42" s="20">
        <f>IFERROR(VLOOKUP($A42,subQ,MATCH(Y$1,SUBQH,0),0),"")</f>
        <v/>
      </c>
      <c r="Z42" s="20">
        <f>IFERROR(VLOOKUP($A42,subQ,MATCH(Z$1,SUBQH,0),0),"")</f>
        <v/>
      </c>
      <c r="AA42" s="20">
        <f>IFERROR(VLOOKUP($A42,subQ,MATCH(AA$1,SUBQH,0),0),"")</f>
        <v/>
      </c>
      <c r="AB42" s="20">
        <f>IFERROR(VLOOKUP($A42,subQ,MATCH(AB$1,SUBQH,0),0),"")</f>
        <v/>
      </c>
      <c r="AC42" s="20">
        <f>IFERROR(VLOOKUP($A42,subQ,MATCH(AC$1,SUBQH,0),0),"")</f>
        <v/>
      </c>
      <c r="AD42" s="20">
        <f>IFERROR(VLOOKUP($A42,subQ,MATCH(AD$1,SUBQH,0),0),"")</f>
        <v/>
      </c>
      <c r="AE42" s="20">
        <f>IFERROR(VLOOKUP($A42,subQ,MATCH(AE$1,SUBQH,0),0),"")</f>
        <v/>
      </c>
      <c r="AF42" s="20">
        <f>IFERROR(VLOOKUP($A42,subQ,MATCH(AF$1,SUBQH,0),0),"")</f>
        <v/>
      </c>
      <c r="AG42" s="20">
        <f>IFERROR(VLOOKUP($A42,subQ,MATCH(AG$1,SUBQH,0),0),"")</f>
        <v/>
      </c>
    </row>
    <row r="43">
      <c r="A43" s="12" t="inlineStr">
        <is>
          <t>매출기타</t>
        </is>
      </c>
      <c r="D43" t="inlineStr">
        <is>
          <t>매출 기타 부문(총매출 − 조선)</t>
        </is>
      </c>
      <c r="E43" s="18">
        <f>IFERROR(VLOOKUP($A43,subQ,MATCH(E$1,SUBQH,0),0),"")</f>
        <v/>
      </c>
      <c r="F43" s="18">
        <f>IFERROR(VLOOKUP($A43,subQ,MATCH(F$1,SUBQH,0),0),"")</f>
        <v/>
      </c>
      <c r="G43" s="18">
        <f>IFERROR(VLOOKUP($A43,subQ,MATCH(G$1,SUBQH,0),0),"")</f>
        <v/>
      </c>
      <c r="H43" s="18">
        <f>IFERROR(VLOOKUP($A43,subQ,MATCH(H$1,SUBQH,0),0),"")</f>
        <v/>
      </c>
      <c r="I43" s="18">
        <f>IFERROR(VLOOKUP($A43,subQ,MATCH(I$1,SUBQH,0),0),"")</f>
        <v/>
      </c>
      <c r="J43" s="18">
        <f>IFERROR(VLOOKUP($A43,subQ,MATCH(J$1,SUBQH,0),0),"")</f>
        <v/>
      </c>
      <c r="K43" s="18">
        <f>IFERROR(VLOOKUP($A43,subQ,MATCH(K$1,SUBQH,0),0),"")</f>
        <v/>
      </c>
      <c r="L43" s="18">
        <f>IFERROR(VLOOKUP($A43,subQ,MATCH(L$1,SUBQH,0),0),"")</f>
        <v/>
      </c>
      <c r="M43" s="18">
        <f>IFERROR(VLOOKUP($A43,subQ,MATCH(M$1,SUBQH,0),0),"")</f>
        <v/>
      </c>
      <c r="N43" s="18">
        <f>IFERROR(VLOOKUP($A43,subQ,MATCH(N$1,SUBQH,0),0),"")</f>
        <v/>
      </c>
      <c r="O43" s="18">
        <f>IFERROR(VLOOKUP($A43,subQ,MATCH(O$1,SUBQH,0),0),"")</f>
        <v/>
      </c>
      <c r="P43" s="18">
        <f>IFERROR(VLOOKUP($A43,subQ,MATCH(P$1,SUBQH,0),0),"")</f>
        <v/>
      </c>
      <c r="Q43" s="18">
        <f>IFERROR(VLOOKUP($A43,subQ,MATCH(Q$1,SUBQH,0),0),"")</f>
        <v/>
      </c>
      <c r="R43" s="18">
        <f>IFERROR(VLOOKUP($A43,subQ,MATCH(R$1,SUBQH,0),0),"")</f>
        <v/>
      </c>
      <c r="S43" s="18">
        <f>IFERROR(VLOOKUP($A43,subQ,MATCH(S$1,SUBQH,0),0),"")</f>
        <v/>
      </c>
      <c r="T43" s="18">
        <f>IFERROR(VLOOKUP($A43,subQ,MATCH(T$1,SUBQH,0),0),"")</f>
        <v/>
      </c>
      <c r="U43" s="18">
        <f>IFERROR(VLOOKUP($A43,subQ,MATCH(U$1,SUBQH,0),0),"")</f>
        <v/>
      </c>
      <c r="V43" s="18">
        <f>IFERROR(VLOOKUP($A43,subQ,MATCH(V$1,SUBQH,0),0),"")</f>
        <v/>
      </c>
      <c r="W43" s="48">
        <f>IFERROR(VLOOKUP($A43,subQ,MATCH(W$1,SUBQH,0),0),"")</f>
        <v/>
      </c>
      <c r="X43" s="20">
        <f>IFERROR(VLOOKUP($A43,subQ,MATCH(X$1,SUBQH,0),0),"")</f>
        <v/>
      </c>
      <c r="Y43" s="20">
        <f>IFERROR(VLOOKUP($A43,subQ,MATCH(Y$1,SUBQH,0),0),"")</f>
        <v/>
      </c>
      <c r="Z43" s="20">
        <f>IFERROR(VLOOKUP($A43,subQ,MATCH(Z$1,SUBQH,0),0),"")</f>
        <v/>
      </c>
      <c r="AA43" s="20">
        <f>IFERROR(VLOOKUP($A43,subQ,MATCH(AA$1,SUBQH,0),0),"")</f>
        <v/>
      </c>
      <c r="AB43" s="20">
        <f>IFERROR(VLOOKUP($A43,subQ,MATCH(AB$1,SUBQH,0),0),"")</f>
        <v/>
      </c>
      <c r="AC43" s="20">
        <f>IFERROR(VLOOKUP($A43,subQ,MATCH(AC$1,SUBQH,0),0),"")</f>
        <v/>
      </c>
      <c r="AD43" s="20">
        <f>IFERROR(VLOOKUP($A43,subQ,MATCH(AD$1,SUBQH,0),0),"")</f>
        <v/>
      </c>
      <c r="AE43" s="20">
        <f>IFERROR(VLOOKUP($A43,subQ,MATCH(AE$1,SUBQH,0),0),"")</f>
        <v/>
      </c>
      <c r="AF43" s="20">
        <f>IFERROR(VLOOKUP($A43,subQ,MATCH(AF$1,SUBQH,0),0),"")</f>
        <v/>
      </c>
      <c r="AG43" s="20">
        <f>IFERROR(VLOOKUP($A43,subQ,MATCH(AG$1,SUBQH,0),0),"")</f>
        <v/>
      </c>
    </row>
    <row r="44">
      <c r="A44" s="12" t="inlineStr">
        <is>
          <t>OP기타</t>
        </is>
      </c>
      <c r="D44" t="inlineStr">
        <is>
          <t>OP 기타 부문(총매출 − 조선)</t>
        </is>
      </c>
      <c r="E44" s="18">
        <f>IFERROR(VLOOKUP($A44,subQ,MATCH(E$1,SUBQH,0),0),"")</f>
        <v/>
      </c>
      <c r="F44" s="18">
        <f>IFERROR(VLOOKUP($A44,subQ,MATCH(F$1,SUBQH,0),0),"")</f>
        <v/>
      </c>
      <c r="G44" s="18">
        <f>IFERROR(VLOOKUP($A44,subQ,MATCH(G$1,SUBQH,0),0),"")</f>
        <v/>
      </c>
      <c r="H44" s="18">
        <f>IFERROR(VLOOKUP($A44,subQ,MATCH(H$1,SUBQH,0),0),"")</f>
        <v/>
      </c>
      <c r="I44" s="18">
        <f>IFERROR(VLOOKUP($A44,subQ,MATCH(I$1,SUBQH,0),0),"")</f>
        <v/>
      </c>
      <c r="J44" s="18">
        <f>IFERROR(VLOOKUP($A44,subQ,MATCH(J$1,SUBQH,0),0),"")</f>
        <v/>
      </c>
      <c r="K44" s="18">
        <f>IFERROR(VLOOKUP($A44,subQ,MATCH(K$1,SUBQH,0),0),"")</f>
        <v/>
      </c>
      <c r="L44" s="18">
        <f>IFERROR(VLOOKUP($A44,subQ,MATCH(L$1,SUBQH,0),0),"")</f>
        <v/>
      </c>
      <c r="M44" s="18">
        <f>IFERROR(VLOOKUP($A44,subQ,MATCH(M$1,SUBQH,0),0),"")</f>
        <v/>
      </c>
      <c r="N44" s="18">
        <f>IFERROR(VLOOKUP($A44,subQ,MATCH(N$1,SUBQH,0),0),"")</f>
        <v/>
      </c>
      <c r="O44" s="18">
        <f>IFERROR(VLOOKUP($A44,subQ,MATCH(O$1,SUBQH,0),0),"")</f>
        <v/>
      </c>
      <c r="P44" s="18">
        <f>IFERROR(VLOOKUP($A44,subQ,MATCH(P$1,SUBQH,0),0),"")</f>
        <v/>
      </c>
      <c r="Q44" s="18">
        <f>IFERROR(VLOOKUP($A44,subQ,MATCH(Q$1,SUBQH,0),0),"")</f>
        <v/>
      </c>
      <c r="R44" s="18">
        <f>IFERROR(VLOOKUP($A44,subQ,MATCH(R$1,SUBQH,0),0),"")</f>
        <v/>
      </c>
      <c r="S44" s="18">
        <f>IFERROR(VLOOKUP($A44,subQ,MATCH(S$1,SUBQH,0),0),"")</f>
        <v/>
      </c>
      <c r="T44" s="18">
        <f>IFERROR(VLOOKUP($A44,subQ,MATCH(T$1,SUBQH,0),0),"")</f>
        <v/>
      </c>
      <c r="U44" s="18">
        <f>IFERROR(VLOOKUP($A44,subQ,MATCH(U$1,SUBQH,0),0),"")</f>
        <v/>
      </c>
      <c r="V44" s="18">
        <f>IFERROR(VLOOKUP($A44,subQ,MATCH(V$1,SUBQH,0),0),"")</f>
        <v/>
      </c>
      <c r="W44" s="48">
        <f>IFERROR(VLOOKUP($A44,subQ,MATCH(W$1,SUBQH,0),0),"")</f>
        <v/>
      </c>
      <c r="X44" s="20">
        <f>IFERROR(VLOOKUP($A44,subQ,MATCH(X$1,SUBQH,0),0),"")</f>
        <v/>
      </c>
      <c r="Y44" s="20">
        <f>IFERROR(VLOOKUP($A44,subQ,MATCH(Y$1,SUBQH,0),0),"")</f>
        <v/>
      </c>
      <c r="Z44" s="20">
        <f>IFERROR(VLOOKUP($A44,subQ,MATCH(Z$1,SUBQH,0),0),"")</f>
        <v/>
      </c>
      <c r="AA44" s="20">
        <f>IFERROR(VLOOKUP($A44,subQ,MATCH(AA$1,SUBQH,0),0),"")</f>
        <v/>
      </c>
      <c r="AB44" s="20">
        <f>IFERROR(VLOOKUP($A44,subQ,MATCH(AB$1,SUBQH,0),0),"")</f>
        <v/>
      </c>
      <c r="AC44" s="20">
        <f>IFERROR(VLOOKUP($A44,subQ,MATCH(AC$1,SUBQH,0),0),"")</f>
        <v/>
      </c>
      <c r="AD44" s="20">
        <f>IFERROR(VLOOKUP($A44,subQ,MATCH(AD$1,SUBQH,0),0),"")</f>
        <v/>
      </c>
      <c r="AE44" s="20">
        <f>IFERROR(VLOOKUP($A44,subQ,MATCH(AE$1,SUBQH,0),0),"")</f>
        <v/>
      </c>
      <c r="AF44" s="20">
        <f>IFERROR(VLOOKUP($A44,subQ,MATCH(AF$1,SUBQH,0),0),"")</f>
        <v/>
      </c>
      <c r="AG44" s="20">
        <f>IFERROR(VLOOKUP($A44,subQ,MATCH(AG$1,SUBQH,0),0),"")</f>
        <v/>
      </c>
    </row>
    <row r="45">
      <c r="A45" s="12" t="inlineStr">
        <is>
          <t>NPM</t>
        </is>
      </c>
      <c r="D45" t="inlineStr">
        <is>
          <t>NPM</t>
        </is>
      </c>
      <c r="E45" s="21">
        <f>IFERROR(VLOOKUP($A45,subQ,MATCH(E$1,SUBQH,0),0),"")</f>
        <v/>
      </c>
      <c r="F45" s="21">
        <f>IFERROR(VLOOKUP($A45,subQ,MATCH(F$1,SUBQH,0),0),"")</f>
        <v/>
      </c>
      <c r="G45" s="21">
        <f>IFERROR(VLOOKUP($A45,subQ,MATCH(G$1,SUBQH,0),0),"")</f>
        <v/>
      </c>
      <c r="H45" s="21">
        <f>IFERROR(VLOOKUP($A45,subQ,MATCH(H$1,SUBQH,0),0),"")</f>
        <v/>
      </c>
      <c r="I45" s="21">
        <f>IFERROR(VLOOKUP($A45,subQ,MATCH(I$1,SUBQH,0),0),"")</f>
        <v/>
      </c>
      <c r="J45" s="21">
        <f>IFERROR(VLOOKUP($A45,subQ,MATCH(J$1,SUBQH,0),0),"")</f>
        <v/>
      </c>
      <c r="K45" s="21">
        <f>IFERROR(VLOOKUP($A45,subQ,MATCH(K$1,SUBQH,0),0),"")</f>
        <v/>
      </c>
      <c r="L45" s="21">
        <f>IFERROR(VLOOKUP($A45,subQ,MATCH(L$1,SUBQH,0),0),"")</f>
        <v/>
      </c>
      <c r="M45" s="21">
        <f>IFERROR(VLOOKUP($A45,subQ,MATCH(M$1,SUBQH,0),0),"")</f>
        <v/>
      </c>
      <c r="N45" s="21">
        <f>IFERROR(VLOOKUP($A45,subQ,MATCH(N$1,SUBQH,0),0),"")</f>
        <v/>
      </c>
      <c r="O45" s="21">
        <f>IFERROR(VLOOKUP($A45,subQ,MATCH(O$1,SUBQH,0),0),"")</f>
        <v/>
      </c>
      <c r="P45" s="21">
        <f>IFERROR(VLOOKUP($A45,subQ,MATCH(P$1,SUBQH,0),0),"")</f>
        <v/>
      </c>
      <c r="Q45" s="21">
        <f>IFERROR(VLOOKUP($A45,subQ,MATCH(Q$1,SUBQH,0),0),"")</f>
        <v/>
      </c>
      <c r="R45" s="21">
        <f>IFERROR(VLOOKUP($A45,subQ,MATCH(R$1,SUBQH,0),0),"")</f>
        <v/>
      </c>
      <c r="S45" s="21">
        <f>IFERROR(VLOOKUP($A45,subQ,MATCH(S$1,SUBQH,0),0),"")</f>
        <v/>
      </c>
      <c r="T45" s="21">
        <f>IFERROR(VLOOKUP($A45,subQ,MATCH(T$1,SUBQH,0),0),"")</f>
        <v/>
      </c>
      <c r="U45" s="21">
        <f>IFERROR(VLOOKUP($A45,subQ,MATCH(U$1,SUBQH,0),0),"")</f>
        <v/>
      </c>
      <c r="V45" s="21">
        <f>IFERROR(VLOOKUP($A45,subQ,MATCH(V$1,SUBQH,0),0),"")</f>
        <v/>
      </c>
      <c r="W45" s="49">
        <f>IFERROR(VLOOKUP($A45,subQ,MATCH(W$1,SUBQH,0),0),"")</f>
        <v/>
      </c>
      <c r="X45" s="32">
        <f>IFERROR(VLOOKUP($A45,subQ,MATCH(X$1,SUBQH,0),0),"")</f>
        <v/>
      </c>
      <c r="Y45" s="32">
        <f>IFERROR(VLOOKUP($A45,subQ,MATCH(Y$1,SUBQH,0),0),"")</f>
        <v/>
      </c>
      <c r="Z45" s="32">
        <f>IFERROR(VLOOKUP($A45,subQ,MATCH(Z$1,SUBQH,0),0),"")</f>
        <v/>
      </c>
      <c r="AA45" s="32">
        <f>IFERROR(VLOOKUP($A45,subQ,MATCH(AA$1,SUBQH,0),0),"")</f>
        <v/>
      </c>
      <c r="AB45" s="32">
        <f>IFERROR(VLOOKUP($A45,subQ,MATCH(AB$1,SUBQH,0),0),"")</f>
        <v/>
      </c>
      <c r="AC45" s="32">
        <f>IFERROR(VLOOKUP($A45,subQ,MATCH(AC$1,SUBQH,0),0),"")</f>
        <v/>
      </c>
      <c r="AD45" s="32">
        <f>IFERROR(VLOOKUP($A45,subQ,MATCH(AD$1,SUBQH,0),0),"")</f>
        <v/>
      </c>
      <c r="AE45" s="32">
        <f>IFERROR(VLOOKUP($A45,subQ,MATCH(AE$1,SUBQH,0),0),"")</f>
        <v/>
      </c>
      <c r="AF45" s="32">
        <f>IFERROR(VLOOKUP($A45,subQ,MATCH(AF$1,SUBQH,0),0),"")</f>
        <v/>
      </c>
      <c r="AG45" s="32">
        <f>IFERROR(VLOOKUP($A45,subQ,MATCH(AG$1,SUBQH,0),0),"")</f>
        <v/>
      </c>
    </row>
    <row r="46">
      <c r="A46" s="12" t="inlineStr">
        <is>
          <t>매출액 YoY</t>
        </is>
      </c>
      <c r="D46" t="inlineStr">
        <is>
          <t>매출액 YoY</t>
        </is>
      </c>
      <c r="I46" s="21">
        <f>IFERROR(I5/E5-1,"")</f>
        <v/>
      </c>
      <c r="J46" s="21">
        <f>IFERROR(J5/F5-1,"")</f>
        <v/>
      </c>
      <c r="K46" s="21">
        <f>IFERROR(K5/G5-1,"")</f>
        <v/>
      </c>
      <c r="L46" s="21">
        <f>IFERROR(L5/H5-1,"")</f>
        <v/>
      </c>
      <c r="M46" s="21">
        <f>IFERROR(M5/I5-1,"")</f>
        <v/>
      </c>
      <c r="N46" s="21">
        <f>IFERROR(N5/J5-1,"")</f>
        <v/>
      </c>
      <c r="O46" s="21">
        <f>IFERROR(O5/K5-1,"")</f>
        <v/>
      </c>
      <c r="P46" s="21">
        <f>IFERROR(P5/L5-1,"")</f>
        <v/>
      </c>
      <c r="Q46" s="21">
        <f>IFERROR(Q5/M5-1,"")</f>
        <v/>
      </c>
      <c r="R46" s="21">
        <f>IFERROR(R5/N5-1,"")</f>
        <v/>
      </c>
      <c r="S46" s="21">
        <f>IFERROR(S5/O5-1,"")</f>
        <v/>
      </c>
      <c r="T46" s="21">
        <f>IFERROR(T5/P5-1,"")</f>
        <v/>
      </c>
      <c r="U46" s="21">
        <f>IFERROR(U5/Q5-1,"")</f>
        <v/>
      </c>
      <c r="V46" s="21">
        <f>IFERROR(V5/R5-1,"")</f>
        <v/>
      </c>
      <c r="W46" s="49">
        <f>IFERROR(W5/S5-1,"")</f>
        <v/>
      </c>
      <c r="X46" s="32">
        <f>IFERROR(X5/T5-1,"")</f>
        <v/>
      </c>
      <c r="Y46" s="32">
        <f>IFERROR(Y5/U5-1,"")</f>
        <v/>
      </c>
      <c r="Z46" s="32">
        <f>IFERROR(Z5/V5-1,"")</f>
        <v/>
      </c>
      <c r="AA46" s="32">
        <f>IFERROR(AA5/W5-1,"")</f>
        <v/>
      </c>
      <c r="AB46" s="32">
        <f>IFERROR(AB5/X5-1,"")</f>
        <v/>
      </c>
      <c r="AC46" s="32">
        <f>IFERROR(AC5/Y5-1,"")</f>
        <v/>
      </c>
      <c r="AD46" s="32">
        <f>IFERROR(AD5/Z5-1,"")</f>
        <v/>
      </c>
      <c r="AE46" s="32">
        <f>IFERROR(AE5/AA5-1,"")</f>
        <v/>
      </c>
      <c r="AF46" s="32">
        <f>IFERROR(AF5/AB5-1,"")</f>
        <v/>
      </c>
      <c r="AG46" s="32">
        <f>IFERROR(AG5/AC5-1,"")</f>
        <v/>
      </c>
    </row>
    <row r="47">
      <c r="A47" s="12" t="inlineStr">
        <is>
          <t>영업이익 YoY</t>
        </is>
      </c>
      <c r="D47" t="inlineStr">
        <is>
          <t>영업이익 YoY</t>
        </is>
      </c>
      <c r="I47" s="21">
        <f>IFERROR(I9/E9-1,"")</f>
        <v/>
      </c>
      <c r="J47" s="21">
        <f>IFERROR(J9/F9-1,"")</f>
        <v/>
      </c>
      <c r="K47" s="21">
        <f>IFERROR(K9/G9-1,"")</f>
        <v/>
      </c>
      <c r="L47" s="21">
        <f>IFERROR(L9/H9-1,"")</f>
        <v/>
      </c>
      <c r="M47" s="21">
        <f>IFERROR(M9/I9-1,"")</f>
        <v/>
      </c>
      <c r="N47" s="21">
        <f>IFERROR(N9/J9-1,"")</f>
        <v/>
      </c>
      <c r="O47" s="21">
        <f>IFERROR(O9/K9-1,"")</f>
        <v/>
      </c>
      <c r="P47" s="21">
        <f>IFERROR(P9/L9-1,"")</f>
        <v/>
      </c>
      <c r="Q47" s="21">
        <f>IFERROR(Q9/M9-1,"")</f>
        <v/>
      </c>
      <c r="R47" s="21">
        <f>IFERROR(R9/N9-1,"")</f>
        <v/>
      </c>
      <c r="S47" s="21">
        <f>IFERROR(S9/O9-1,"")</f>
        <v/>
      </c>
      <c r="T47" s="21">
        <f>IFERROR(T9/P9-1,"")</f>
        <v/>
      </c>
      <c r="U47" s="21">
        <f>IFERROR(U9/Q9-1,"")</f>
        <v/>
      </c>
      <c r="V47" s="21">
        <f>IFERROR(V9/R9-1,"")</f>
        <v/>
      </c>
      <c r="W47" s="49">
        <f>IFERROR(W9/S9-1,"")</f>
        <v/>
      </c>
      <c r="X47" s="32">
        <f>IFERROR(X9/T9-1,"")</f>
        <v/>
      </c>
      <c r="Y47" s="32">
        <f>IFERROR(Y9/U9-1,"")</f>
        <v/>
      </c>
      <c r="Z47" s="32">
        <f>IFERROR(Z9/V9-1,"")</f>
        <v/>
      </c>
      <c r="AA47" s="32">
        <f>IFERROR(AA9/W9-1,"")</f>
        <v/>
      </c>
      <c r="AB47" s="32">
        <f>IFERROR(AB9/X9-1,"")</f>
        <v/>
      </c>
      <c r="AC47" s="32">
        <f>IFERROR(AC9/Y9-1,"")</f>
        <v/>
      </c>
      <c r="AD47" s="32">
        <f>IFERROR(AD9/Z9-1,"")</f>
        <v/>
      </c>
      <c r="AE47" s="32">
        <f>IFERROR(AE9/AA9-1,"")</f>
        <v/>
      </c>
      <c r="AF47" s="32">
        <f>IFERROR(AF9/AB9-1,"")</f>
        <v/>
      </c>
      <c r="AG47" s="32">
        <f>IFERROR(AG9/AC9-1,"")</f>
        <v/>
      </c>
    </row>
    <row r="48">
      <c r="A48" s="12" t="inlineStr">
        <is>
          <t>지배주주순이익 YoY</t>
        </is>
      </c>
      <c r="D48" t="inlineStr">
        <is>
          <t>지배주주순이익 YoY</t>
        </is>
      </c>
      <c r="I48" s="21">
        <f>IFERROR(I22/E22-1,"")</f>
        <v/>
      </c>
      <c r="J48" s="21">
        <f>IFERROR(J22/F22-1,"")</f>
        <v/>
      </c>
      <c r="K48" s="21">
        <f>IFERROR(K22/G22-1,"")</f>
        <v/>
      </c>
      <c r="L48" s="21">
        <f>IFERROR(L22/H22-1,"")</f>
        <v/>
      </c>
      <c r="M48" s="21">
        <f>IFERROR(M22/I22-1,"")</f>
        <v/>
      </c>
      <c r="N48" s="21">
        <f>IFERROR(N22/J22-1,"")</f>
        <v/>
      </c>
      <c r="O48" s="21">
        <f>IFERROR(O22/K22-1,"")</f>
        <v/>
      </c>
      <c r="P48" s="21">
        <f>IFERROR(P22/L22-1,"")</f>
        <v/>
      </c>
      <c r="Q48" s="21">
        <f>IFERROR(Q22/M22-1,"")</f>
        <v/>
      </c>
      <c r="R48" s="21">
        <f>IFERROR(R22/N22-1,"")</f>
        <v/>
      </c>
      <c r="S48" s="21">
        <f>IFERROR(S22/O22-1,"")</f>
        <v/>
      </c>
      <c r="T48" s="21">
        <f>IFERROR(T22/P22-1,"")</f>
        <v/>
      </c>
      <c r="U48" s="21">
        <f>IFERROR(U22/Q22-1,"")</f>
        <v/>
      </c>
      <c r="V48" s="21">
        <f>IFERROR(V22/R22-1,"")</f>
        <v/>
      </c>
      <c r="W48" s="49">
        <f>IFERROR(W22/S22-1,"")</f>
        <v/>
      </c>
      <c r="X48" s="32">
        <f>IFERROR(X22/T22-1,"")</f>
        <v/>
      </c>
      <c r="Y48" s="32">
        <f>IFERROR(Y22/U22-1,"")</f>
        <v/>
      </c>
      <c r="Z48" s="32">
        <f>IFERROR(Z22/V22-1,"")</f>
        <v/>
      </c>
      <c r="AA48" s="32">
        <f>IFERROR(AA22/W22-1,"")</f>
        <v/>
      </c>
      <c r="AB48" s="32">
        <f>IFERROR(AB22/X22-1,"")</f>
        <v/>
      </c>
      <c r="AC48" s="32">
        <f>IFERROR(AC22/Y22-1,"")</f>
        <v/>
      </c>
      <c r="AD48" s="32">
        <f>IFERROR(AD22/Z22-1,"")</f>
        <v/>
      </c>
      <c r="AE48" s="32">
        <f>IFERROR(AE22/AA22-1,"")</f>
        <v/>
      </c>
      <c r="AF48" s="32">
        <f>IFERROR(AF22/AB22-1,"")</f>
        <v/>
      </c>
      <c r="AG48" s="32">
        <f>IFERROR(AG22/AC22-1,"")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4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변수!D47</f>
        <v/>
      </c>
      <c r="I2" s="45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6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7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8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8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8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8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8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9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8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8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8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8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8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8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8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환관련손익</t>
        </is>
      </c>
      <c r="D18" t="inlineStr">
        <is>
          <t>환관련손익(모델 추정분)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8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세전이익</t>
        </is>
      </c>
      <c r="D19" t="inlineStr">
        <is>
          <t>법인세비용차감전이익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8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법인세비용</t>
        </is>
      </c>
      <c r="D20" t="inlineStr">
        <is>
          <t>법인세비용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8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당기순이익</t>
        </is>
      </c>
      <c r="D21" t="inlineStr">
        <is>
          <t>당기순이익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8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지배주주순이익</t>
        </is>
      </c>
      <c r="D22" t="inlineStr">
        <is>
          <t>지배주주순이익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8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8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8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8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8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8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8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8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8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8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8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6">
        <f>IFERROR(VLOOKUP($A33,subQ,MATCH(E$1,SUBQH,0),0),"")</f>
        <v/>
      </c>
      <c r="F33" s="26">
        <f>IFERROR(VLOOKUP($A33,subQ,MATCH(F$1,SUBQH,0),0),"")</f>
        <v/>
      </c>
      <c r="G33" s="26">
        <f>IFERROR(VLOOKUP($A33,subQ,MATCH(G$1,SUBQH,0),0),"")</f>
        <v/>
      </c>
      <c r="H33" s="26">
        <f>IFERROR(VLOOKUP($A33,subQ,MATCH(H$1,SUBQH,0),0),"")</f>
        <v/>
      </c>
      <c r="I33" s="50">
        <f>IFERROR(VLOOKUP($A33,subQ,MATCH(I$1,SUBQH,0),0),"")</f>
        <v/>
      </c>
      <c r="J33" s="33">
        <f>IFERROR(VLOOKUP($A33,subQ,MATCH(J$1,SUBQH,0),0),"")</f>
        <v/>
      </c>
      <c r="K33" s="33">
        <f>IFERROR(VLOOKUP($A33,subQ,MATCH(K$1,SUBQH,0),0),"")</f>
        <v/>
      </c>
      <c r="L33" s="33">
        <f>IFERROR(VLOOKUP($A33,subQ,MATCH(L$1,SUBQH,0),0),"")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8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8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8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51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51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매출조선</t>
        </is>
      </c>
      <c r="D39" t="inlineStr">
        <is>
          <t>매출 조선·해양(조선·해양플랜트)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8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매출조선신규</t>
        </is>
      </c>
      <c r="D40" t="inlineStr">
        <is>
          <t>매출 조선·해양(조선·해양플랜트) 신규수주(forecast_panel base(공시 상계) — 매출조선에 포함)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8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OP조선</t>
        </is>
      </c>
      <c r="D41" t="inlineStr">
        <is>
          <t>OP 조선·해양(조선·해양플랜트)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48">
        <f>IFERROR(VLOOKUP($A41,subQ,MATCH(I$1,SUBQH,0),0),"")</f>
        <v/>
      </c>
      <c r="J41" s="20">
        <f>IFERROR(VLOOKUP($A41,subQ,MATCH(J$1,SUBQH,0),0),"")</f>
        <v/>
      </c>
      <c r="K41" s="20">
        <f>IFERROR(VLOOKUP($A41,subQ,MATCH(K$1,SUBQH,0),0),"")</f>
        <v/>
      </c>
      <c r="L41" s="20">
        <f>IFERROR(VLOOKUP($A41,subQ,MATCH(L$1,SUBQH,0),0),"")</f>
        <v/>
      </c>
    </row>
    <row r="42">
      <c r="A42" s="12" t="inlineStr">
        <is>
          <t>OP조선신규</t>
        </is>
      </c>
      <c r="D42" t="inlineStr">
        <is>
          <t>OP 조선·해양(조선·해양플랜트) 신규수주(매출조선신규 × OPM — OP조선에 포함)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48">
        <f>IFERROR(VLOOKUP($A42,subQ,MATCH(I$1,SUBQH,0),0),"")</f>
        <v/>
      </c>
      <c r="J42" s="20">
        <f>IFERROR(VLOOKUP($A42,subQ,MATCH(J$1,SUBQH,0),0),"")</f>
        <v/>
      </c>
      <c r="K42" s="20">
        <f>IFERROR(VLOOKUP($A42,subQ,MATCH(K$1,SUBQH,0),0),"")</f>
        <v/>
      </c>
      <c r="L42" s="20">
        <f>IFERROR(VLOOKUP($A42,subQ,MATCH(L$1,SUBQH,0),0),"")</f>
        <v/>
      </c>
    </row>
    <row r="43">
      <c r="A43" s="12" t="inlineStr">
        <is>
          <t>매출기타</t>
        </is>
      </c>
      <c r="D43" t="inlineStr">
        <is>
          <t>매출 기타 부문(총매출 − 조선)</t>
        </is>
      </c>
      <c r="E43" s="18">
        <f>IFERROR(VLOOKUP($A43,subQ,MATCH(E$1,SUBQH,0),0),"")</f>
        <v/>
      </c>
      <c r="F43" s="18">
        <f>IFERROR(VLOOKUP($A43,subQ,MATCH(F$1,SUBQH,0),0),"")</f>
        <v/>
      </c>
      <c r="G43" s="18">
        <f>IFERROR(VLOOKUP($A43,subQ,MATCH(G$1,SUBQH,0),0),"")</f>
        <v/>
      </c>
      <c r="H43" s="18">
        <f>IFERROR(VLOOKUP($A43,subQ,MATCH(H$1,SUBQH,0),0),"")</f>
        <v/>
      </c>
      <c r="I43" s="48">
        <f>IFERROR(VLOOKUP($A43,subQ,MATCH(I$1,SUBQH,0),0),"")</f>
        <v/>
      </c>
      <c r="J43" s="20">
        <f>IFERROR(VLOOKUP($A43,subQ,MATCH(J$1,SUBQH,0),0),"")</f>
        <v/>
      </c>
      <c r="K43" s="20">
        <f>IFERROR(VLOOKUP($A43,subQ,MATCH(K$1,SUBQH,0),0),"")</f>
        <v/>
      </c>
      <c r="L43" s="20">
        <f>IFERROR(VLOOKUP($A43,subQ,MATCH(L$1,SUBQH,0),0),"")</f>
        <v/>
      </c>
    </row>
    <row r="44">
      <c r="A44" s="12" t="inlineStr">
        <is>
          <t>OP기타</t>
        </is>
      </c>
      <c r="D44" t="inlineStr">
        <is>
          <t>OP 기타 부문(총매출 − 조선)</t>
        </is>
      </c>
      <c r="E44" s="18">
        <f>IFERROR(VLOOKUP($A44,subQ,MATCH(E$1,SUBQH,0),0),"")</f>
        <v/>
      </c>
      <c r="F44" s="18">
        <f>IFERROR(VLOOKUP($A44,subQ,MATCH(F$1,SUBQH,0),0),"")</f>
        <v/>
      </c>
      <c r="G44" s="18">
        <f>IFERROR(VLOOKUP($A44,subQ,MATCH(G$1,SUBQH,0),0),"")</f>
        <v/>
      </c>
      <c r="H44" s="18">
        <f>IFERROR(VLOOKUP($A44,subQ,MATCH(H$1,SUBQH,0),0),"")</f>
        <v/>
      </c>
      <c r="I44" s="48">
        <f>IFERROR(VLOOKUP($A44,subQ,MATCH(I$1,SUBQH,0),0),"")</f>
        <v/>
      </c>
      <c r="J44" s="20">
        <f>IFERROR(VLOOKUP($A44,subQ,MATCH(J$1,SUBQH,0),0),"")</f>
        <v/>
      </c>
      <c r="K44" s="20">
        <f>IFERROR(VLOOKUP($A44,subQ,MATCH(K$1,SUBQH,0),0),"")</f>
        <v/>
      </c>
      <c r="L44" s="20">
        <f>IFERROR(VLOOKUP($A44,subQ,MATCH(L$1,SUBQH,0),0),"")</f>
        <v/>
      </c>
    </row>
    <row r="45">
      <c r="A45" s="12" t="inlineStr">
        <is>
          <t>NPM</t>
        </is>
      </c>
      <c r="D45" t="inlineStr">
        <is>
          <t>NPM</t>
        </is>
      </c>
      <c r="E45" s="21">
        <f>IFERROR(VLOOKUP($A45,subQ,MATCH(E$1,SUBQH,0),0),"")</f>
        <v/>
      </c>
      <c r="F45" s="21">
        <f>IFERROR(VLOOKUP($A45,subQ,MATCH(F$1,SUBQH,0),0),"")</f>
        <v/>
      </c>
      <c r="G45" s="21">
        <f>IFERROR(VLOOKUP($A45,subQ,MATCH(G$1,SUBQH,0),0),"")</f>
        <v/>
      </c>
      <c r="H45" s="21">
        <f>IFERROR(VLOOKUP($A45,subQ,MATCH(H$1,SUBQH,0),0),"")</f>
        <v/>
      </c>
      <c r="I45" s="49">
        <f>IFERROR(VLOOKUP($A45,subQ,MATCH(I$1,SUBQH,0),0),"")</f>
        <v/>
      </c>
      <c r="J45" s="32">
        <f>IFERROR(VLOOKUP($A45,subQ,MATCH(J$1,SUBQH,0),0),"")</f>
        <v/>
      </c>
      <c r="K45" s="32">
        <f>IFERROR(VLOOKUP($A45,subQ,MATCH(K$1,SUBQH,0),0),"")</f>
        <v/>
      </c>
      <c r="L45" s="32">
        <f>IFERROR(VLOOKUP($A45,subQ,MATCH(L$1,SUBQH,0),0),"")</f>
        <v/>
      </c>
    </row>
    <row r="46">
      <c r="A46" s="12" t="inlineStr">
        <is>
          <t>매출액 YoY</t>
        </is>
      </c>
      <c r="D46" t="inlineStr">
        <is>
          <t>매출액 YoY</t>
        </is>
      </c>
      <c r="F46" s="21">
        <f>IFERROR(F5/E5-1,"")</f>
        <v/>
      </c>
      <c r="G46" s="21">
        <f>IFERROR(G5/F5-1,"")</f>
        <v/>
      </c>
      <c r="H46" s="21">
        <f>IFERROR(H5/G5-1,"")</f>
        <v/>
      </c>
      <c r="I46" s="49">
        <f>IFERROR(I5/H5-1,"")</f>
        <v/>
      </c>
      <c r="J46" s="32">
        <f>IFERROR(J5/I5-1,"")</f>
        <v/>
      </c>
      <c r="K46" s="32">
        <f>IFERROR(K5/J5-1,"")</f>
        <v/>
      </c>
      <c r="L46" s="32">
        <f>IFERROR(L5/K5-1,"")</f>
        <v/>
      </c>
    </row>
    <row r="47">
      <c r="A47" s="12" t="inlineStr">
        <is>
          <t>영업이익 YoY</t>
        </is>
      </c>
      <c r="D47" t="inlineStr">
        <is>
          <t>영업이익 YoY</t>
        </is>
      </c>
      <c r="F47" s="21">
        <f>IFERROR(F9/E9-1,"")</f>
        <v/>
      </c>
      <c r="G47" s="21">
        <f>IFERROR(G9/F9-1,"")</f>
        <v/>
      </c>
      <c r="H47" s="21">
        <f>IFERROR(H9/G9-1,"")</f>
        <v/>
      </c>
      <c r="I47" s="49">
        <f>IFERROR(I9/H9-1,"")</f>
        <v/>
      </c>
      <c r="J47" s="32">
        <f>IFERROR(J9/I9-1,"")</f>
        <v/>
      </c>
      <c r="K47" s="32">
        <f>IFERROR(K9/J9-1,"")</f>
        <v/>
      </c>
      <c r="L47" s="32">
        <f>IFERROR(L9/K9-1,"")</f>
        <v/>
      </c>
    </row>
    <row r="48">
      <c r="A48" s="12" t="inlineStr">
        <is>
          <t>지배주주순이익 YoY</t>
        </is>
      </c>
      <c r="D48" t="inlineStr">
        <is>
          <t>지배주주순이익 YoY</t>
        </is>
      </c>
      <c r="F48" s="21">
        <f>IFERROR(F22/E22-1,"")</f>
        <v/>
      </c>
      <c r="G48" s="21">
        <f>IFERROR(G22/F22-1,"")</f>
        <v/>
      </c>
      <c r="H48" s="21">
        <f>IFERROR(H22/G22-1,"")</f>
        <v/>
      </c>
      <c r="I48" s="49">
        <f>IFERROR(I22/H22-1,"")</f>
        <v/>
      </c>
      <c r="J48" s="32">
        <f>IFERROR(J22/I22-1,"")</f>
        <v/>
      </c>
      <c r="K48" s="32">
        <f>IFERROR(K22/J22-1,"")</f>
        <v/>
      </c>
      <c r="L48" s="32">
        <f>IFERROR(L22/K22-1,"")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변수!D47</f>
        <v/>
      </c>
    </row>
    <row r="2">
      <c r="B2" s="1" t="inlineStr">
        <is>
          <t>기준일</t>
        </is>
      </c>
      <c r="C2">
        <f>변수!D48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2" t="n">
        <v>2025</v>
      </c>
      <c r="E5" s="52" t="n">
        <v>2026</v>
      </c>
      <c r="F5" s="52" t="n">
        <v>2027</v>
      </c>
      <c r="G5" s="52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IFERROR(E7*변수!D53+F7*(1-변수!D53),"")</f>
        <v/>
      </c>
    </row>
    <row r="15">
      <c r="C15" t="inlineStr">
        <is>
          <t>적정가치 @PER_lo</t>
        </is>
      </c>
      <c r="D15" s="26">
        <f>변수!D50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6">
        <f>변수!D51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6">
        <f>변수!D52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6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변수!D49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28650.9</v>
      </c>
    </row>
    <row r="30">
      <c r="C30" s="2" t="inlineStr">
        <is>
          <t>bps_latest</t>
        </is>
      </c>
      <c r="D30" t="n">
        <v>100472.7</v>
      </c>
    </row>
    <row r="31">
      <c r="C31" s="2" t="inlineStr">
        <is>
          <t>per_now</t>
        </is>
      </c>
      <c r="D31" t="n">
        <v>12.88</v>
      </c>
    </row>
    <row r="32">
      <c r="C32" s="2" t="inlineStr">
        <is>
          <t>pbr_now</t>
        </is>
      </c>
      <c r="D32" t="n">
        <v>3.67</v>
      </c>
    </row>
    <row r="33">
      <c r="C33" s="2" t="inlineStr">
        <is>
          <t>roe_fwd</t>
        </is>
      </c>
      <c r="D33" t="n">
        <v>0.2852</v>
      </c>
    </row>
    <row r="34">
      <c r="C34" s="2" t="inlineStr">
        <is>
          <t>fair_pbr</t>
        </is>
      </c>
      <c r="D34" t="n">
        <v>3.17</v>
      </c>
    </row>
    <row r="35">
      <c r="C35" s="2" t="inlineStr">
        <is>
          <t>fair_value_pbr</t>
        </is>
      </c>
      <c r="D35" t="n">
        <v>318500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6">
        <f>변수!D60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 — subQ 환관련손익 행과 같은 수식(변수 환율·노출 참조)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20" t="n">
        <v>131.34</v>
      </c>
      <c r="Y18" s="20" t="n">
        <v>9.369999999999999</v>
      </c>
      <c r="Z18" s="20" t="n">
        <v>-0</v>
      </c>
      <c r="AA18" s="20" t="n">
        <v>-0</v>
      </c>
      <c r="AB18" s="20" t="n">
        <v>-0</v>
      </c>
      <c r="AC18" s="20" t="n">
        <v>-0</v>
      </c>
      <c r="AD18" s="20" t="n">
        <v>-0</v>
      </c>
      <c r="AE18" s="20" t="n">
        <v>-0</v>
      </c>
      <c r="AF18" s="20" t="n">
        <v>-0</v>
      </c>
      <c r="AG18" s="20" t="n">
        <v>-0</v>
      </c>
    </row>
    <row r="19">
      <c r="C19" s="2" t="inlineStr">
        <is>
          <t>정기보고서 환위험 표 '순 노출' USD(2026Q2) 기준 — 헤지회계(OCI) 반영분은 알 수 없어 전액 손익 가정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