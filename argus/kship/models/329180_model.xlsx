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34822.26; 계약 스케줄 소수 3자리 반올림 차 포함)
SLS 해양 원화 21752억(sls.by_quarter.marine_hedged_krw_m(헤지 70% 적용; origin 2026Q2 이후 체결 4건 SLS 유지 — 패널 신규수주와 체결 분기별 상계(net_panel))) + 원장 밖 잔고 소진 34822억(최근 4분기 '부문매출−SLS' 중위 34822억/분기, 잔여 321340억)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556억 유지(패널 신규수주 체결 분기별 상계, net_panel)</t>
      </text>
    </comment>
    <comment ref="AD40" authorId="0" shapeId="0">
      <text>
        <t>역산: 모델 매출조선 − SLS 재구성 원화/100 − 매출조선신규 (모델 runoff_per_q 34822.26; 계약 스케줄 소수 3자리 반올림 차 포함)
SLS 해양 원화 22227억(sls.by_quarter.marine_hedged_krw_m(헤지 70% 적용; origin 2026Q2 이후 체결 4건 SLS 유지 — 패널 신규수주와 체결 분기별 상계(net_panel))) + 원장 밖 잔고 소진 34822억(최근 4분기 '부문매출−SLS' 중위 34822억/분기, 잔여 286518억)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1370억 유지(패널 신규수주 체결 분기별 상계, net_panel)</t>
      </text>
    </comment>
    <comment ref="AF40" authorId="0" shapeId="0">
      <text>
        <t>역산: 모델 매출조선 − SLS 재구성 원화/100 − 매출조선신규 (모델 runoff_per_q 34822.26; 계약 스케줄 소수 3자리 반올림 차 포함)
SLS 해양 원화 21756억(sls.by_quarter.marine_hedged_krw_m(헤지 70% 적용; origin 2026Q2 이후 체결 4건 SLS 유지 — 패널 신규수주와 체결 분기별 상계(net_panel))) + 원장 밖 잔고 소진 34822억(최근 4분기 '부문매출−SLS' 중위 34822억/분기, 잔여 251696억) + 신규수주 매출 2824억(forecast_panel.json.gz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1395억 유지(패널 신규수주 체결 분기별 상계, net_panel)</t>
      </text>
    </comment>
    <comment ref="AG40" authorId="0" shapeId="0">
      <text>
        <t>역산: 모델 매출조선 − SLS 재구성 원화/100 − 매출조선신규 (모델 runoff_per_q 34822.26; 계약 스케줄 소수 3자리 반올림 차 포함)
SLS 해양 원화 21598억(sls.by_quarter.marine_hedged_krw_m(헤지 70% 적용; origin 2026Q2 이후 체결 4건 SLS 유지 — 패널 신규수주와 체결 분기별 상계(net_panel))) + 원장 밖 잔고 소진 34822억(최근 4분기 '부문매출−SLS' 중위 34822억/분기, 잔여 216874억) + 신규수주 매출 6303억(forecast_panel.json.gz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1411억 유지(패널 신규수주 체결 분기별 상계, net_panel)</t>
      </text>
    </comment>
    <comment ref="AH40" authorId="0" shapeId="0">
      <text>
        <t>역산: 모델 매출조선 − SLS 재구성 원화/100 − 매출조선신규 (모델 runoff_per_q 34822.26; 계약 스케줄 소수 3자리 반올림 차 포함)
SLS 해양 원화 20775억(sls.by_quarter.marine_hedged_krw_m(헤지 70% 적용; origin 2026Q2 이후 체결 4건 SLS 유지 — 패널 신규수주와 체결 분기별 상계(net_panel))) + 원장 밖 잔고 소진 34822억(최근 4분기 '부문매출−SLS' 중위 34822억/분기, 잔여 182051억) + 신규수주 매출 10930억(forecast_panel.json.gz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1426억 유지(패널 신규수주 체결 분기별 상계, net_panel)</t>
      </text>
    </comment>
    <comment ref="AI40" authorId="0" shapeId="0">
      <text>
        <t>역산: 모델 매출조선 − SLS 재구성 원화/100 − 매출조선신규 (모델 runoff_per_q 34822.26; 계약 스케줄 소수 3자리 반올림 차 포함)
SLS 해양 원화 20026억(sls.by_quarter.marine_hedged_krw_m(헤지 70% 적용; origin 2026Q2 이후 체결 4건 SLS 유지 — 패널 신규수주와 체결 분기별 상계(net_panel))) + 원장 밖 잔고 소진 34822억(최근 4분기 '부문매출−SLS' 중위 34822억/분기, 잔여 147229억) + 신규수주 매출 16337억(forecast_panel.json.gz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1426억 유지(패널 신규수주 체결 분기별 상계, net_panel)</t>
      </text>
    </comment>
    <comment ref="AK40" authorId="0" shapeId="0">
      <text>
        <t>역산: 모델 매출조선 − SLS 재구성 원화/100 − 매출조선신규 (모델 runoff_per_q 34822.26; 계약 스케줄 소수 3자리 반올림 차 포함)
SLS 해양 원화 19122억(sls.by_quarter.marine_hedged_krw_m(헤지 70% 적용; origin 2026Q2 이후 체결 4건 SLS 유지 — 패널 신규수주와 체결 분기별 상계(net_panel))) + 원장 밖 잔고 소진 34822억(최근 4분기 '부문매출−SLS' 중위 34822억/분기, 잔여 112407억) + 신규수주 매출 22157억(forecast_panel.json.gz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1411억 유지(패널 신규수주 체결 분기별 상계, net_panel)</t>
      </text>
    </comment>
    <comment ref="AL40" authorId="0" shapeId="0">
      <text>
        <t>역산: 모델 매출조선 − SLS 재구성 원화/100 − 매출조선신규 (모델 runoff_per_q 34822.26; 계약 스케줄 소수 3자리 반올림 차 포함)
SLS 해양 원화 18484억(sls.by_quarter.marine_hedged_krw_m(헤지 70% 적용; origin 2026Q2 이후 체결 4건 SLS 유지 — 패널 신규수주와 체결 분기별 상계(net_panel))) + 원장 밖 잔고 소진 34822억(최근 4분기 '부문매출−SLS' 중위 34822억/분기, 잔여 77585억) + 신규수주 매출 28020억(forecast_panel.json.gz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1411억 유지(패널 신규수주 체결 분기별 상계, net_panel)</t>
      </text>
    </comment>
    <comment ref="AM40" authorId="0" shapeId="0">
      <text>
        <t>역산: 모델 매출조선 − SLS 재구성 원화/100 − 매출조선신규 (모델 runoff_per_q 34822.26; 계약 스케줄 소수 3자리 반올림 차 포함)
SLS 해양 원화 17161억(sls.by_quarter.marine_hedged_krw_m(헤지 70% 적용; origin 2026Q2 이후 체결 4건 SLS 유지 — 패널 신규수주와 체결 분기별 상계(net_panel))) + 원장 밖 잔고 소진 34822억(최근 4분기 '부문매출−SLS' 중위 34822억/분기, 잔여 42762억) + 신규수주 매출 33559억(forecast_panel.json.gz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1426억 유지(패널 신규수주 체결 분기별 상계, net_panel)</t>
      </text>
    </comment>
    <comment ref="AN40" authorId="0" shapeId="0">
      <text>
        <t>역산: 모델 매출조선 − SLS 재구성 원화/100 − 매출조선신규 (모델 runoff_per_q 34822.26; 계약 스케줄 소수 3자리 반올림 차 포함)
SLS 해양 원화 15382억(sls.by_quarter.marine_hedged_krw_m(헤지 70% 적용; origin 2026Q2 이후 체결 4건 SLS 유지 — 패널 신규수주와 체결 분기별 상계(net_panel))) + 원장 밖 잔고 소진 34822억(최근 4분기 '부문매출−SLS' 중위 34822억/분기, 잔여 7940억) + 신규수주 매출 38405억(forecast_panel.json.gz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1426억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10.92%→11.01%))
[identity]</t>
      </text>
    </comment>
    <comment ref="AD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10.92%→11.01%))
[identity]</t>
      </text>
    </comment>
    <comment ref="AF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10.92%→11.01%))
[identity]</t>
      </text>
    </comment>
    <comment ref="AG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10.92%→11.01%))
[identity]</t>
      </text>
    </comment>
    <comment ref="AH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10.92%→11.01%))
[identity]</t>
      </text>
    </comment>
    <comment ref="AI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10.92%→11.01%))
[identity]</t>
      </text>
    </comment>
    <comment ref="AK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10.92%→11.01%))
[identity]</t>
      </text>
    </comment>
    <comment ref="AL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10.92%→11.01%))
[identity]</t>
      </text>
    </comment>
    <comment ref="AM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10.92%→11.01%))
[identity]</t>
      </text>
    </comment>
    <comment ref="AN9" authorId="0" shapeId="0">
      <text>
        <t>추정: 매출액 × OPM(SLS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10.92%→11.01%))
[identity]</t>
      </text>
    </comment>
    <comment ref="AC10" authorId="0" shapeId="0">
      <text>
        <t>추정: 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
[divide]</t>
      </text>
    </comment>
    <comment ref="AD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
[divide]</t>
      </text>
    </comment>
    <comment ref="AF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
[divide]</t>
      </text>
    </comment>
    <comment ref="AG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
[divide]</t>
      </text>
    </comment>
    <comment ref="AH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
[divide]</t>
      </text>
    </comment>
    <comment ref="AI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
[divide]</t>
      </text>
    </comment>
    <comment ref="AK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
[divide]</t>
      </text>
    </comment>
    <comment ref="AL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
[divide]</t>
      </text>
    </comment>
    <comment ref="AM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
[divide]</t>
      </text>
    </comment>
    <comment ref="AN10" authorId="0" shapeId="0">
      <text>
        <t>추정: 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10.92%→11.01%)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73354억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80713억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88268억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90273억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98637억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107539억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117010억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121146억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131701억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73354억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80713억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88268억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90273억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98637억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107539억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117010억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121146억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131701억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21752억(sls.by_quarter.marine_hedged_krw_m(헤지 70% 적용; origin 2026Q2 이후 체결 4건 SLS 유지 — 패널 신규수주와 체결 분기별 상계(net_panel))) + 원장 밖 잔고 소진 34822억(최근 4분기 '부문매출−SLS' 중위 34822억/분기, 잔여 321340억)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556억 유지(패널 신규수주 체결 분기별 상계, net_panel)
[sls_link]</t>
      </text>
    </comment>
    <comment ref="AD39" authorId="0" shapeId="0">
      <text>
        <t>추정: SLS 해양 원화 22227억(sls.by_quarter.marine_hedged_krw_m(헤지 70% 적용; origin 2026Q2 이후 체결 4건 SLS 유지 — 패널 신규수주와 체결 분기별 상계(net_panel))) + 원장 밖 잔고 소진 34822억(최근 4분기 '부문매출−SLS' 중위 34822억/분기, 잔여 286518억)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1370억 유지(패널 신규수주 체결 분기별 상계, net_panel)
[sls_link]</t>
      </text>
    </comment>
    <comment ref="AF39" authorId="0" shapeId="0">
      <text>
        <t>추정: SLS 해양 원화 21756억(sls.by_quarter.marine_hedged_krw_m(헤지 70% 적용; origin 2026Q2 이후 체결 4건 SLS 유지 — 패널 신규수주와 체결 분기별 상계(net_panel))) + 원장 밖 잔고 소진 34822억(최근 4분기 '부문매출−SLS' 중위 34822억/분기, 잔여 251696억) + 신규수주 매출 2824억(forecast_panel.json.gz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1395억 유지(패널 신규수주 체결 분기별 상계, net_panel)
[sls_link]</t>
      </text>
    </comment>
    <comment ref="AG39" authorId="0" shapeId="0">
      <text>
        <t>추정: SLS 해양 원화 21598억(sls.by_quarter.marine_hedged_krw_m(헤지 70% 적용; origin 2026Q2 이후 체결 4건 SLS 유지 — 패널 신규수주와 체결 분기별 상계(net_panel))) + 원장 밖 잔고 소진 34822억(최근 4분기 '부문매출−SLS' 중위 34822억/분기, 잔여 216874억) + 신규수주 매출 6303억(forecast_panel.json.gz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1411억 유지(패널 신규수주 체결 분기별 상계, net_panel)
[sls_link]</t>
      </text>
    </comment>
    <comment ref="AH39" authorId="0" shapeId="0">
      <text>
        <t>추정: SLS 해양 원화 20775억(sls.by_quarter.marine_hedged_krw_m(헤지 70% 적용; origin 2026Q2 이후 체결 4건 SLS 유지 — 패널 신규수주와 체결 분기별 상계(net_panel))) + 원장 밖 잔고 소진 34822억(최근 4분기 '부문매출−SLS' 중위 34822억/분기, 잔여 182051억) + 신규수주 매출 10930억(forecast_panel.json.gz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1426억 유지(패널 신규수주 체결 분기별 상계, net_panel)
[sls_link]</t>
      </text>
    </comment>
    <comment ref="AI39" authorId="0" shapeId="0">
      <text>
        <t>추정: SLS 해양 원화 20026억(sls.by_quarter.marine_hedged_krw_m(헤지 70% 적용; origin 2026Q2 이후 체결 4건 SLS 유지 — 패널 신규수주와 체결 분기별 상계(net_panel))) + 원장 밖 잔고 소진 34822억(최근 4분기 '부문매출−SLS' 중위 34822억/분기, 잔여 147229억) + 신규수주 매출 16337억(forecast_panel.json.gz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1426억 유지(패널 신규수주 체결 분기별 상계, net_panel)
[sls_link]</t>
      </text>
    </comment>
    <comment ref="AK39" authorId="0" shapeId="0">
      <text>
        <t>추정: SLS 해양 원화 19122억(sls.by_quarter.marine_hedged_krw_m(헤지 70% 적용; origin 2026Q2 이후 체결 4건 SLS 유지 — 패널 신규수주와 체결 분기별 상계(net_panel))) + 원장 밖 잔고 소진 34822억(최근 4분기 '부문매출−SLS' 중위 34822억/분기, 잔여 112407억) + 신규수주 매출 22157억(forecast_panel.json.gz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1411억 유지(패널 신규수주 체결 분기별 상계, net_panel)
[sls_link]</t>
      </text>
    </comment>
    <comment ref="AL39" authorId="0" shapeId="0">
      <text>
        <t>추정: SLS 해양 원화 18484억(sls.by_quarter.marine_hedged_krw_m(헤지 70% 적용; origin 2026Q2 이후 체결 4건 SLS 유지 — 패널 신규수주와 체결 분기별 상계(net_panel))) + 원장 밖 잔고 소진 34822억(최근 4분기 '부문매출−SLS' 중위 34822억/분기, 잔여 77585억) + 신규수주 매출 28020억(forecast_panel.json.gz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1411억 유지(패널 신규수주 체결 분기별 상계, net_panel)
[sls_link]</t>
      </text>
    </comment>
    <comment ref="AM39" authorId="0" shapeId="0">
      <text>
        <t>추정: SLS 해양 원화 17161억(sls.by_quarter.marine_hedged_krw_m(헤지 70% 적용; origin 2026Q2 이후 체결 4건 SLS 유지 — 패널 신규수주와 체결 분기별 상계(net_panel))) + 원장 밖 잔고 소진 34822억(최근 4분기 '부문매출−SLS' 중위 34822억/분기, 잔여 42762억) + 신규수주 매출 33559억(forecast_panel.json.gz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1426억 유지(패널 신규수주 체결 분기별 상계, net_panel)
[sls_link]</t>
      </text>
    </comment>
    <comment ref="AN39" authorId="0" shapeId="0">
      <text>
        <t>추정: SLS 해양 원화 15382억(sls.by_quarter.marine_hedged_krw_m(헤지 70% 적용; origin 2026Q2 이후 체결 4건 SLS 유지 — 패널 신규수주와 체결 분기별 상계(net_panel))) + 원장 밖 잔고 소진 34822억(최근 4분기 '부문매출−SLS' 중위 34822억/분기, 잔여 7940억) + 신규수주 매출 38405억(forecast_panel.json.gz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41,217억)) · origin 이후 공시 수주 SLS 1426억 유지(패널 신규수주 체결 분기별 상계, net_panel)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6,258억 = 41,217억)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44건 중 포함 38건(marine_hedged_krw_m_signed_by_origin), 재구성 최대차 8.1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10.8% 상수(코호트 모드 reference_anchor); 경로 변화는 등급 없는 비중의 실측 중위 14.0% 채움에서만, 추정 구간 타겟 10.92%→11.01%) / 추정 매출조선 = 2026Q2 기준 잔고 소진분 + forecast_panel base new_order_revenue 신규수주 매출(미보정 book-value proxy, status partial; FY합 159,248억) — 보수/낙관은 scenarios 블록(합산 안 함) / origin 이후 공시 수주 4건 19,473억은 SLS 일정으로 전부 유지, 패널 신규수주에서 체결 분기별 상계(2026Q3 패널 47,475억 − 공시 13,215억 = 34,260억 · 2026Q4 패널 47,475억 − 공시 6,258억 = 41,217억) — 패널 base 신규 매출 −15,964억(2026 275억 · 2027 6,600억 · 2028 9,089억)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47,475억(28%); 2026Q4 공시 수주 6,258억 vs 패널 base 신규수주 47,475억(13%). 공시 수주의 인식 시점·진행률(선형, 체결 분기부터)은 패널 가정과 다르다(calibrated=false) — FY 유지 SLS(공시) vs 패널 base 신규 매출(상계 후): 2026 1,925억 vs 714억 · 2027 5,659억 vs 36,394억 · 2028 5,675억 vs 122,140억 / 총차입금 이자율: 주석 연율 13.9% 가 CF 연율 4.5% 의 3.1배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41613.18, "rev_act": 44178.98, "op_pred": 3826.68, "op_act": 5572.85}, {"q": "2025Q4", "rev_pred": 41613.18, "rev_act": 51930.94, "op_pred": 3826.68, "op_act": 5750.35}, {"q": "2026Q1", "rev_pred": 41460.55, "rev_act": 59163.32, "op_pred": 3812.64, "op_act": 9053.86}, {"q": "2026Q2", "rev_pred": 41536.85,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345500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333000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382500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0.001957236</v>
      </c>
      <c r="AD30" s="29" t="n">
        <v>0.003529448</v>
      </c>
      <c r="AE30" s="30" t="n"/>
      <c r="AF30" s="29" t="n">
        <v>0.00231537</v>
      </c>
      <c r="AG30" s="29" t="n">
        <v>5940.243980559</v>
      </c>
      <c r="AH30" s="29" t="n">
        <v>0.007062866</v>
      </c>
      <c r="AI30" s="29" t="n">
        <v>-0.002715787</v>
      </c>
      <c r="AJ30" s="30" t="n"/>
      <c r="AK30" s="29" t="n">
        <v>0.003853715</v>
      </c>
      <c r="AL30" s="29" t="n">
        <v>5940.240806837</v>
      </c>
      <c r="AM30" s="29" t="n">
        <v>0.012763212</v>
      </c>
      <c r="AN30" s="29" t="n">
        <v>-0.008475441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-0.001464941</v>
      </c>
      <c r="AD31" s="29" t="n">
        <v>0.00269746</v>
      </c>
      <c r="AE31" s="30" t="n"/>
      <c r="AF31" s="29" t="n">
        <v>0.011461142</v>
      </c>
      <c r="AG31" s="29" t="n">
        <v>5940.243082223</v>
      </c>
      <c r="AH31" s="29" t="n">
        <v>-0.003882778</v>
      </c>
      <c r="AI31" s="29" t="n">
        <v>0.006277674</v>
      </c>
      <c r="AJ31" s="30" t="n"/>
      <c r="AK31" s="29" t="n">
        <v>-0.00721712</v>
      </c>
      <c r="AL31" s="29" t="n">
        <v>5940.249667635</v>
      </c>
      <c r="AM31" s="29" t="n">
        <v>0.001569844</v>
      </c>
      <c r="AN31" s="29" t="n">
        <v>0.000286873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0.120009282</v>
      </c>
      <c r="AD33" s="31" t="n">
        <v>0.108428895</v>
      </c>
      <c r="AE33" s="25" t="n"/>
      <c r="AF33" s="31" t="n">
        <v>0.100437017</v>
      </c>
      <c r="AG33" s="31" t="n">
        <v>0.024222598</v>
      </c>
      <c r="AH33" s="31" t="n">
        <v>0.098647953</v>
      </c>
      <c r="AI33" s="31" t="n">
        <v>0.095572423</v>
      </c>
      <c r="AJ33" s="25" t="n"/>
      <c r="AK33" s="31" t="n">
        <v>0.092807605</v>
      </c>
      <c r="AL33" s="31" t="n">
        <v>0.037082283</v>
      </c>
      <c r="AM33" s="31" t="n">
        <v>0.091259611</v>
      </c>
      <c r="AN33" s="31" t="n">
        <v>0.086733356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0.110040742</v>
      </c>
      <c r="AD34" s="31" t="n">
        <v>0.100315115</v>
      </c>
      <c r="AE34" s="25" t="n"/>
      <c r="AF34" s="31" t="n">
        <v>0.09360647800000001</v>
      </c>
      <c r="AG34" s="31" t="n">
        <v>0.022716265</v>
      </c>
      <c r="AH34" s="31" t="n">
        <v>0.09264958600000001</v>
      </c>
      <c r="AI34" s="31" t="n">
        <v>0.09025383200000001</v>
      </c>
      <c r="AJ34" s="25" t="n"/>
      <c r="AK34" s="31" t="n">
        <v>0.08807042399999999</v>
      </c>
      <c r="AL34" s="31" t="n">
        <v>0.035342698</v>
      </c>
      <c r="AM34" s="31" t="n">
        <v>0.087124544</v>
      </c>
      <c r="AN34" s="31" t="n">
        <v>0.08311849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IFERROR(subQ!N39-SLS!E126/100,"")</f>
        <v/>
      </c>
      <c r="O40" s="26">
        <f>IFERROR(subQ!O39-SLS!F126/100,"")</f>
        <v/>
      </c>
      <c r="P40" s="27" t="n"/>
      <c r="Q40" s="26">
        <f>IFERROR(subQ!Q39-SLS!G126/100,"")</f>
        <v/>
      </c>
      <c r="R40" s="26">
        <f>IFERROR(subQ!R39-SLS!H126/100,"")</f>
        <v/>
      </c>
      <c r="S40" s="26">
        <f>IFERROR(subQ!S39-SLS!I126/100,"")</f>
        <v/>
      </c>
      <c r="T40" s="26">
        <f>IFERROR(subQ!T39-SLS!J126/100,"")</f>
        <v/>
      </c>
      <c r="U40" s="27" t="n"/>
      <c r="V40" s="26">
        <f>IFERROR(subQ!V39-SLS!K126/100,"")</f>
        <v/>
      </c>
      <c r="W40" s="26">
        <f>IFERROR(subQ!W39-SLS!L126/100,"")</f>
        <v/>
      </c>
      <c r="X40" s="26">
        <f>IFERROR(subQ!X39-SLS!M126/100,"")</f>
        <v/>
      </c>
      <c r="Y40" s="26">
        <f>IFERROR(subQ!Y39-SLS!N126/100,"")</f>
        <v/>
      </c>
      <c r="Z40" s="27" t="n"/>
      <c r="AA40" s="26">
        <f>IFERROR(subQ!AA39-SLS!O126/100,"")</f>
        <v/>
      </c>
      <c r="AB40" s="28">
        <f>IFERROR(subQ!AB39-SLS!P126/100,"")</f>
        <v/>
      </c>
      <c r="AC40" s="29" t="n">
        <v>35378.050384</v>
      </c>
      <c r="AD40" s="29" t="n">
        <v>36191.804702</v>
      </c>
      <c r="AE40" s="30" t="n"/>
      <c r="AF40" s="29" t="n">
        <v>36217.692236</v>
      </c>
      <c r="AG40" s="29" t="n">
        <v>36233.123835</v>
      </c>
      <c r="AH40" s="29" t="n">
        <v>36248.635098</v>
      </c>
      <c r="AI40" s="29" t="n">
        <v>36248.702888</v>
      </c>
      <c r="AJ40" s="30" t="n"/>
      <c r="AK40" s="29" t="n">
        <v>36233.133755</v>
      </c>
      <c r="AL40" s="29" t="n">
        <v>36233.137166</v>
      </c>
      <c r="AM40" s="29" t="n">
        <v>36248.712823</v>
      </c>
      <c r="AN40" s="29" t="n">
        <v>36248.766305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713.92</v>
      </c>
      <c r="AE41" s="30">
        <f>subQ!AE40</f>
        <v/>
      </c>
      <c r="AF41" s="29" t="n">
        <v>2823.59</v>
      </c>
      <c r="AG41" s="29" t="n">
        <v>6302.81</v>
      </c>
      <c r="AH41" s="29" t="n">
        <v>10930.09</v>
      </c>
      <c r="AI41" s="29" t="n">
        <v>16337.37</v>
      </c>
      <c r="AJ41" s="30">
        <f>subQ!AJ40</f>
        <v/>
      </c>
      <c r="AK41" s="29" t="n">
        <v>22156.59</v>
      </c>
      <c r="AL41" s="29" t="n">
        <v>28019.66</v>
      </c>
      <c r="AM41" s="29" t="n">
        <v>33558.53</v>
      </c>
      <c r="AN41" s="29" t="n">
        <v>38405.14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0.140604336</v>
      </c>
      <c r="AD42" s="31" t="n">
        <v>0.140879036</v>
      </c>
      <c r="AE42" s="25">
        <f>IFERROR(subQ!AE41/subQ!AE39,"")</f>
        <v/>
      </c>
      <c r="AF42" s="31" t="n">
        <v>0.140875965</v>
      </c>
      <c r="AG42" s="31" t="n">
        <v>0.140904354</v>
      </c>
      <c r="AH42" s="31" t="n">
        <v>0.140980152</v>
      </c>
      <c r="AI42" s="31" t="n">
        <v>0.14104013</v>
      </c>
      <c r="AJ42" s="25">
        <f>IFERROR(subQ!AJ41/subQ!AJ39,"")</f>
        <v/>
      </c>
      <c r="AK42" s="31" t="n">
        <v>0.141096988</v>
      </c>
      <c r="AL42" s="31" t="n">
        <v>0.141153898</v>
      </c>
      <c r="AM42" s="31" t="n">
        <v>0.141299188</v>
      </c>
      <c r="AN42" s="31" t="n">
        <v>0.141507637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0.140604286</v>
      </c>
      <c r="AD44" s="31" t="n">
        <v>0.140879455</v>
      </c>
      <c r="AE44" s="25">
        <f>IFERROR(subQ!AE44/subQ!AE43,"")</f>
        <v/>
      </c>
      <c r="AF44" s="31" t="n">
        <v>0.140876256</v>
      </c>
      <c r="AG44" s="31" t="n">
        <v>0.140903986</v>
      </c>
      <c r="AH44" s="31" t="n">
        <v>0.140979711</v>
      </c>
      <c r="AI44" s="31" t="n">
        <v>0.141040504</v>
      </c>
      <c r="AJ44" s="25">
        <f>IFERROR(subQ!AJ44/subQ!AJ43,"")</f>
        <v/>
      </c>
      <c r="AK44" s="31" t="n">
        <v>0.141097031</v>
      </c>
      <c r="AL44" s="31" t="n">
        <v>0.141153559</v>
      </c>
      <c r="AM44" s="31" t="n">
        <v>0.141299676</v>
      </c>
      <c r="AN44" s="31" t="n">
        <v>0.141507653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345500</v>
      </c>
      <c r="E47" s="2" t="inlineStr">
        <is>
          <t>원 — 네이버 정규장 종가(aik 확정종가 대조 · aik 352,500원)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0.2449402314115174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0.04875940729999762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0.9999998869357541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0.02472800416539873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0.1390170493396826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3000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E60" s="18" t="n">
        <v>536292.3100000001</v>
      </c>
      <c r="F60" s="37" t="n">
        <v>536292.3100000001</v>
      </c>
      <c r="G60" s="18" t="n">
        <v>844823</v>
      </c>
      <c r="H60" s="18" t="n">
        <v>885946</v>
      </c>
      <c r="I60" s="18" t="n">
        <v>956970</v>
      </c>
      <c r="J60" s="18" t="n">
        <v>873294</v>
      </c>
      <c r="K60" s="37" t="n">
        <v>873294</v>
      </c>
      <c r="L60" s="18" t="n">
        <v>391140</v>
      </c>
      <c r="M60" s="18" t="n">
        <v>643175</v>
      </c>
      <c r="N60" s="18" t="n">
        <v>652871</v>
      </c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유동성장기부채</t>
        </is>
      </c>
      <c r="E61" s="18" t="n">
        <v>845229.83</v>
      </c>
      <c r="F61" s="37" t="n">
        <v>845229.83</v>
      </c>
      <c r="G61" s="18" t="n">
        <v>1048626.73</v>
      </c>
      <c r="H61" s="18" t="n">
        <v>1514783.97</v>
      </c>
      <c r="I61" s="18" t="n">
        <v>1577253.75</v>
      </c>
      <c r="J61" s="18" t="n">
        <v>1226167.17</v>
      </c>
      <c r="K61" s="37" t="n">
        <v>1226167.17</v>
      </c>
      <c r="L61" s="18" t="n">
        <v>1143453.19</v>
      </c>
      <c r="M61" s="18" t="n">
        <v>666452.8100000001</v>
      </c>
      <c r="N61" s="18" t="n">
        <v>845029.23</v>
      </c>
      <c r="P61" s="9" t="n"/>
      <c r="T61" s="18" t="n">
        <v>371613.31</v>
      </c>
      <c r="U61" s="37" t="n">
        <v>371613.31</v>
      </c>
      <c r="V61" s="18" t="n">
        <v>386666.87</v>
      </c>
      <c r="W61" s="18" t="n">
        <v>332765.09</v>
      </c>
      <c r="X61" s="18" t="n">
        <v>255898.54</v>
      </c>
      <c r="Z61" s="9" t="n"/>
      <c r="AA61" s="18" t="n">
        <v>599939.45</v>
      </c>
      <c r="AB61" s="19" t="n">
        <v>520403.57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IFERROR(SLS!Q126/100+변수!AC40+AC40,"")</f>
        <v/>
      </c>
      <c r="AD39" s="20">
        <f>IFERROR(SLS!R126/100+변수!AD40+AD40,"")</f>
        <v/>
      </c>
      <c r="AE39" s="38">
        <f>SUM(AA39:AD39)</f>
        <v/>
      </c>
      <c r="AF39" s="20">
        <f>IFERROR(SLS!S126/100+변수!AF40+AF40,"")</f>
        <v/>
      </c>
      <c r="AG39" s="20">
        <f>IFERROR(SLS!T126/100+변수!AG40+AG40,"")</f>
        <v/>
      </c>
      <c r="AH39" s="20">
        <f>IFERROR(SLS!U126/100+변수!AH40+AH40,"")</f>
        <v/>
      </c>
      <c r="AI39" s="20">
        <f>IFERROR(SLS!V126/100+변수!AI40+AI40,"")</f>
        <v/>
      </c>
      <c r="AJ39" s="38">
        <f>SUM(AF39:AI39)</f>
        <v/>
      </c>
      <c r="AK39" s="20">
        <f>IFERROR(SLS!W126/100+변수!AK40+AK40,"")</f>
        <v/>
      </c>
      <c r="AL39" s="20">
        <f>IFERROR(SLS!X126/100+변수!AL40+AL40,"")</f>
        <v/>
      </c>
      <c r="AM39" s="20">
        <f>IFERROR(SLS!Y126/100+변수!AM40+AM40,"")</f>
        <v/>
      </c>
      <c r="AN39" s="20">
        <f>IFERROR(SLS!Z126/100+변수!AN40+AN40,"")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base(공시 상계)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95.94199999999999</v>
      </c>
      <c r="F5" s="26" t="n">
        <v>95.94199999999999</v>
      </c>
      <c r="G5" s="26" t="n">
        <v>108.778</v>
      </c>
      <c r="H5" s="26" t="n">
        <v>126.244</v>
      </c>
      <c r="I5" s="26" t="n">
        <v>130.695</v>
      </c>
      <c r="J5" s="26" t="n">
        <v>153.139</v>
      </c>
      <c r="K5" s="26" t="n">
        <v>291.185</v>
      </c>
      <c r="L5" s="26" t="n">
        <v>380.959</v>
      </c>
      <c r="M5" s="26" t="n">
        <v>536.102</v>
      </c>
      <c r="N5" s="26" t="n">
        <v>640.148</v>
      </c>
      <c r="O5" s="26" t="n">
        <v>887.205</v>
      </c>
      <c r="P5" s="26" t="n">
        <v>1287.171</v>
      </c>
      <c r="Q5" s="26" t="n">
        <v>1560.288</v>
      </c>
      <c r="R5" s="26" t="n">
        <v>1637.426</v>
      </c>
      <c r="S5" s="26" t="n">
        <v>1606.203</v>
      </c>
      <c r="T5" s="26" t="n">
        <v>1593.807</v>
      </c>
      <c r="U5" s="26" t="n">
        <v>1531.453</v>
      </c>
      <c r="V5" s="26" t="n">
        <v>1476.998</v>
      </c>
      <c r="W5" s="26" t="n">
        <v>1411.589</v>
      </c>
      <c r="X5" s="26" t="n">
        <v>1364.969</v>
      </c>
      <c r="Y5" s="26" t="n">
        <v>1272.763</v>
      </c>
      <c r="Z5" s="26" t="n">
        <v>1146.33</v>
      </c>
      <c r="AA5" s="26" t="n">
        <v>764.364</v>
      </c>
      <c r="AB5" s="26" t="n">
        <v>606.673</v>
      </c>
      <c r="AC5" s="26" t="n">
        <v>503.166</v>
      </c>
      <c r="AD5" s="26" t="n">
        <v>331.886</v>
      </c>
      <c r="AE5" s="26" t="n">
        <v>205.109</v>
      </c>
      <c r="AF5" s="26" t="n">
        <v>182.324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191.884</v>
      </c>
      <c r="AV5" s="26" t="n">
        <v>518.856</v>
      </c>
      <c r="AW5" s="26" t="n">
        <v>1848.394</v>
      </c>
      <c r="AX5" s="26" t="n">
        <v>5372.09</v>
      </c>
      <c r="AY5" s="26" t="n">
        <v>6208.461</v>
      </c>
      <c r="AZ5" s="26" t="n">
        <v>5195.651</v>
      </c>
      <c r="BA5" s="26" t="n">
        <v>2206.089</v>
      </c>
      <c r="BB5" s="26" t="n">
        <v>487.213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95.94199999999999</v>
      </c>
      <c r="F6" s="26" t="n">
        <v>95.94199999999999</v>
      </c>
      <c r="G6" s="26" t="n">
        <v>108.778</v>
      </c>
      <c r="H6" s="26" t="n">
        <v>126.244</v>
      </c>
      <c r="I6" s="26" t="n">
        <v>130.695</v>
      </c>
      <c r="J6" s="26" t="n">
        <v>153.139</v>
      </c>
      <c r="K6" s="26" t="n">
        <v>291.185</v>
      </c>
      <c r="L6" s="26" t="n">
        <v>380.959</v>
      </c>
      <c r="M6" s="26" t="n">
        <v>536.102</v>
      </c>
      <c r="N6" s="26" t="n">
        <v>640.148</v>
      </c>
      <c r="O6" s="26" t="n">
        <v>887.205</v>
      </c>
      <c r="P6" s="26" t="n">
        <v>1269.147</v>
      </c>
      <c r="Q6" s="26" t="n">
        <v>1511.445</v>
      </c>
      <c r="R6" s="26" t="n">
        <v>1571.436</v>
      </c>
      <c r="S6" s="26" t="n">
        <v>1541.648</v>
      </c>
      <c r="T6" s="26" t="n">
        <v>1528.535</v>
      </c>
      <c r="U6" s="26" t="n">
        <v>1465.463</v>
      </c>
      <c r="V6" s="26" t="n">
        <v>1411.008</v>
      </c>
      <c r="W6" s="26" t="n">
        <v>1346.317</v>
      </c>
      <c r="X6" s="26" t="n">
        <v>1299.697</v>
      </c>
      <c r="Y6" s="26" t="n">
        <v>1206.773</v>
      </c>
      <c r="Z6" s="26" t="n">
        <v>1080.34</v>
      </c>
      <c r="AA6" s="26" t="n">
        <v>699.809</v>
      </c>
      <c r="AB6" s="26" t="n">
        <v>541.401</v>
      </c>
      <c r="AC6" s="26" t="n">
        <v>437.176</v>
      </c>
      <c r="AD6" s="26" t="n">
        <v>265.896</v>
      </c>
      <c r="AE6" s="26" t="n">
        <v>140.553</v>
      </c>
      <c r="AF6" s="26" t="n">
        <v>117.052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191.884</v>
      </c>
      <c r="AV6" s="26" t="n">
        <v>518.856</v>
      </c>
      <c r="AW6" s="26" t="n">
        <v>1848.394</v>
      </c>
      <c r="AX6" s="26" t="n">
        <v>5239.233</v>
      </c>
      <c r="AY6" s="26" t="n">
        <v>5946.654</v>
      </c>
      <c r="AZ6" s="26" t="n">
        <v>4933.127</v>
      </c>
      <c r="BA6" s="26" t="n">
        <v>1944.282</v>
      </c>
      <c r="BB6" s="26" t="n">
        <v>314.797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95.94199999999999</v>
      </c>
      <c r="F7" s="26" t="n">
        <v>95.94199999999999</v>
      </c>
      <c r="G7" s="26" t="n">
        <v>94.899</v>
      </c>
      <c r="H7" s="26" t="n">
        <v>94.899</v>
      </c>
      <c r="I7" s="26" t="n">
        <v>95.94199999999999</v>
      </c>
      <c r="J7" s="26" t="n">
        <v>95.94199999999999</v>
      </c>
      <c r="K7" s="26" t="n">
        <v>93.85599999999999</v>
      </c>
      <c r="L7" s="26" t="n">
        <v>94.899</v>
      </c>
      <c r="M7" s="26" t="n">
        <v>95.94199999999999</v>
      </c>
      <c r="N7" s="26" t="n">
        <v>95.94199999999999</v>
      </c>
      <c r="O7" s="26" t="n">
        <v>93.85599999999999</v>
      </c>
      <c r="P7" s="26" t="n">
        <v>94.899</v>
      </c>
      <c r="Q7" s="26" t="n">
        <v>95.94199999999999</v>
      </c>
      <c r="R7" s="26" t="n">
        <v>95.94199999999999</v>
      </c>
      <c r="S7" s="26" t="n">
        <v>93.85599999999999</v>
      </c>
      <c r="T7" s="26" t="n">
        <v>64.657</v>
      </c>
      <c r="AU7" s="26" t="n">
        <v>191.884</v>
      </c>
      <c r="AV7" s="26" t="n">
        <v>381.682</v>
      </c>
      <c r="AW7" s="26" t="n">
        <v>380.639</v>
      </c>
      <c r="AX7" s="26" t="n">
        <v>380.639</v>
      </c>
      <c r="AY7" s="26" t="n">
        <v>158.513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302.524</v>
      </c>
      <c r="S8" s="26" t="n">
        <v>300.32</v>
      </c>
      <c r="T8" s="26" t="n">
        <v>303.657</v>
      </c>
      <c r="U8" s="26" t="n">
        <v>301.723</v>
      </c>
      <c r="V8" s="26" t="n">
        <v>290.831</v>
      </c>
      <c r="W8" s="26" t="n">
        <v>268.249</v>
      </c>
      <c r="X8" s="26" t="n">
        <v>268.249</v>
      </c>
      <c r="Y8" s="26" t="n">
        <v>237.891</v>
      </c>
      <c r="Z8" s="26" t="n">
        <v>230.039</v>
      </c>
      <c r="AA8" s="26" t="n">
        <v>204.552</v>
      </c>
      <c r="AB8" s="26" t="n">
        <v>186.901</v>
      </c>
      <c r="AC8" s="26" t="n">
        <v>180.689</v>
      </c>
      <c r="AD8" s="26" t="n">
        <v>147.256</v>
      </c>
      <c r="AE8" s="26" t="n">
        <v>112.579</v>
      </c>
      <c r="AF8" s="26" t="n">
        <v>88.767</v>
      </c>
      <c r="AV8" s="26" t="n">
        <v>72.22199999999999</v>
      </c>
      <c r="AW8" s="26" t="n">
        <v>216.72</v>
      </c>
      <c r="AX8" s="26" t="n">
        <v>818.468</v>
      </c>
      <c r="AY8" s="26" t="n">
        <v>1196.531</v>
      </c>
      <c r="AZ8" s="26" t="n">
        <v>1004.428</v>
      </c>
      <c r="BA8" s="26" t="n">
        <v>719.398</v>
      </c>
      <c r="BB8" s="26" t="n">
        <v>201.346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95.94199999999999</v>
      </c>
      <c r="F16" s="26" t="n">
        <v>95.94199999999999</v>
      </c>
      <c r="G16" s="26" t="n">
        <v>108.778</v>
      </c>
      <c r="H16" s="26" t="n">
        <v>126.244</v>
      </c>
      <c r="I16" s="26" t="n">
        <v>130.695</v>
      </c>
      <c r="J16" s="26" t="n">
        <v>153.139</v>
      </c>
      <c r="K16" s="26" t="n">
        <v>291.185</v>
      </c>
      <c r="L16" s="26" t="n">
        <v>380.959</v>
      </c>
      <c r="M16" s="26" t="n">
        <v>536.102</v>
      </c>
      <c r="N16" s="26" t="n">
        <v>633.187</v>
      </c>
      <c r="O16" s="26" t="n">
        <v>877.417</v>
      </c>
      <c r="P16" s="26" t="n">
        <v>1259.25</v>
      </c>
      <c r="Q16" s="26" t="n">
        <v>1501.439</v>
      </c>
      <c r="R16" s="26" t="n">
        <v>1561.43</v>
      </c>
      <c r="S16" s="26" t="n">
        <v>1531.859</v>
      </c>
      <c r="T16" s="26" t="n">
        <v>1518.637</v>
      </c>
      <c r="U16" s="26" t="n">
        <v>1455.457</v>
      </c>
      <c r="V16" s="26" t="n">
        <v>1401.002</v>
      </c>
      <c r="W16" s="26" t="n">
        <v>1336.419</v>
      </c>
      <c r="X16" s="26" t="n">
        <v>1289.8</v>
      </c>
      <c r="Y16" s="26" t="n">
        <v>1196.767</v>
      </c>
      <c r="Z16" s="26" t="n">
        <v>1070.334</v>
      </c>
      <c r="AA16" s="26" t="n">
        <v>690.021</v>
      </c>
      <c r="AB16" s="26" t="n">
        <v>531.503</v>
      </c>
      <c r="AC16" s="26" t="n">
        <v>427.17</v>
      </c>
      <c r="AD16" s="26" t="n">
        <v>255.891</v>
      </c>
      <c r="AE16" s="26" t="n">
        <v>130.765</v>
      </c>
      <c r="AF16" s="26" t="n">
        <v>107.155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191.884</v>
      </c>
      <c r="AV16" s="26" t="n">
        <v>518.856</v>
      </c>
      <c r="AW16" s="26" t="n">
        <v>1841.433</v>
      </c>
      <c r="AX16" s="26" t="n">
        <v>5199.536</v>
      </c>
      <c r="AY16" s="26" t="n">
        <v>5906.955</v>
      </c>
      <c r="AZ16" s="26" t="n">
        <v>4893.32</v>
      </c>
      <c r="BA16" s="26" t="n">
        <v>1904.585</v>
      </c>
      <c r="BB16" s="26" t="n">
        <v>275.1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1317.53</v>
      </c>
      <c r="H19" s="13" t="n">
        <v>1325.79</v>
      </c>
      <c r="I19" s="13" t="n">
        <v>1327.15</v>
      </c>
      <c r="J19" s="13" t="n">
        <v>1337.29</v>
      </c>
      <c r="K19" s="13" t="n">
        <v>1390.93</v>
      </c>
      <c r="L19" s="13" t="n">
        <v>1399.85</v>
      </c>
      <c r="M19" s="13" t="n">
        <v>1398.73</v>
      </c>
      <c r="N19" s="13" t="n">
        <v>1404.67</v>
      </c>
      <c r="O19" s="13" t="n">
        <v>1420.51</v>
      </c>
      <c r="P19" s="13" t="n">
        <v>1441.66</v>
      </c>
      <c r="Q19" s="13" t="n">
        <v>1448.19</v>
      </c>
      <c r="R19" s="13" t="n">
        <v>1445.53</v>
      </c>
      <c r="S19" s="13" t="n">
        <v>1445.25</v>
      </c>
      <c r="T19" s="13" t="n">
        <v>1447.71</v>
      </c>
      <c r="U19" s="13" t="n">
        <v>1454.04</v>
      </c>
      <c r="V19" s="13" t="n">
        <v>1456.27</v>
      </c>
      <c r="W19" s="13" t="n">
        <v>1457.71</v>
      </c>
      <c r="X19" s="13" t="n">
        <v>1460.13</v>
      </c>
      <c r="Y19" s="13" t="n">
        <v>1459.94</v>
      </c>
      <c r="Z19" s="13" t="n">
        <v>1462.22</v>
      </c>
      <c r="AA19" s="13" t="n">
        <v>1469.46</v>
      </c>
      <c r="AB19" s="13" t="n">
        <v>1465.05</v>
      </c>
      <c r="AC19" s="13" t="n">
        <v>1463.33</v>
      </c>
      <c r="AD19" s="13" t="n">
        <v>1448.25</v>
      </c>
      <c r="AE19" s="13" t="n">
        <v>1437.78</v>
      </c>
      <c r="AF19" s="13" t="n">
        <v>1440.39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1342.11</v>
      </c>
      <c r="S20" s="13" t="n">
        <v>1332.1</v>
      </c>
      <c r="T20" s="13" t="n">
        <v>1332.1</v>
      </c>
      <c r="U20" s="13" t="n">
        <v>1332.1</v>
      </c>
      <c r="V20" s="13" t="n">
        <v>1332.1</v>
      </c>
      <c r="W20" s="13" t="n">
        <v>1332.1</v>
      </c>
      <c r="X20" s="13" t="n">
        <v>1332.1</v>
      </c>
      <c r="Y20" s="13" t="n">
        <v>1332.1</v>
      </c>
      <c r="Z20" s="13" t="n">
        <v>1332.1</v>
      </c>
      <c r="AA20" s="13" t="n">
        <v>1332.1</v>
      </c>
      <c r="AB20" s="13" t="n">
        <v>1332.1</v>
      </c>
      <c r="AC20" s="13" t="n">
        <v>1332.1</v>
      </c>
      <c r="AD20" s="13" t="n">
        <v>1332.1</v>
      </c>
      <c r="AE20" s="13" t="n">
        <v>1332.1</v>
      </c>
      <c r="AF20" s="13" t="n">
        <v>1332.1</v>
      </c>
      <c r="AG20" s="13" t="n">
        <v>1332.1</v>
      </c>
      <c r="AH20" s="13" t="n">
        <v>1332.1</v>
      </c>
      <c r="AI20" s="13" t="n">
        <v>1332.1</v>
      </c>
      <c r="AJ20" s="13" t="n">
        <v>1332.1</v>
      </c>
      <c r="AK20" s="13" t="n">
        <v>1332.1</v>
      </c>
      <c r="AL20" s="13" t="n">
        <v>1332.1</v>
      </c>
      <c r="AM20" s="13" t="n">
        <v>1332.1</v>
      </c>
      <c r="AN20" s="13" t="n">
        <v>1332.1</v>
      </c>
      <c r="AO20" s="13" t="n">
        <v>1332.1</v>
      </c>
      <c r="AP20" s="13" t="n">
        <v>1332.1</v>
      </c>
      <c r="AQ20" s="13" t="n">
        <v>1332.1</v>
      </c>
      <c r="AR20" s="13" t="n">
        <v>1332.1</v>
      </c>
      <c r="AS20" s="13" t="n">
        <v>1332.1</v>
      </c>
      <c r="AT20" s="13" t="n">
        <v>1332.1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1339.44</v>
      </c>
      <c r="I21" s="13" t="n">
        <v>1335.87</v>
      </c>
      <c r="J21" s="13" t="n">
        <v>1354.99</v>
      </c>
      <c r="K21" s="13" t="n">
        <v>1409.33</v>
      </c>
      <c r="L21" s="13" t="n">
        <v>1399.45</v>
      </c>
      <c r="M21" s="13" t="n">
        <v>1395.2</v>
      </c>
      <c r="N21" s="13" t="n">
        <v>1418.02</v>
      </c>
      <c r="O21" s="13" t="n">
        <v>1434.19</v>
      </c>
      <c r="P21" s="13" t="n">
        <v>1459.68</v>
      </c>
      <c r="Q21" s="13" t="n">
        <v>1439.36</v>
      </c>
      <c r="R21" s="13" t="n">
        <v>1414.51</v>
      </c>
      <c r="S21" s="13" t="n">
        <v>1411.31</v>
      </c>
      <c r="T21" s="13" t="n">
        <v>1413.03</v>
      </c>
      <c r="U21" s="13" t="n">
        <v>1417.46</v>
      </c>
      <c r="V21" s="13" t="n">
        <v>1419.02</v>
      </c>
      <c r="W21" s="13" t="n">
        <v>1420.03</v>
      </c>
      <c r="X21" s="13" t="n">
        <v>1421.72</v>
      </c>
      <c r="Y21" s="13" t="n">
        <v>1421.59</v>
      </c>
      <c r="Z21" s="13" t="n">
        <v>1423.18</v>
      </c>
      <c r="AA21" s="13" t="n">
        <v>1428.26</v>
      </c>
      <c r="AB21" s="13" t="n">
        <v>1425.17</v>
      </c>
      <c r="AC21" s="13" t="n">
        <v>1423.96</v>
      </c>
      <c r="AD21" s="13" t="n">
        <v>1413.4</v>
      </c>
      <c r="AE21" s="13" t="n">
        <v>1406.08</v>
      </c>
      <c r="AF21" s="13" t="n">
        <v>1407.91</v>
      </c>
      <c r="AG21" s="13" t="n">
        <v>1409.67</v>
      </c>
      <c r="AH21" s="13" t="n">
        <v>1394.72</v>
      </c>
      <c r="AI21" s="13" t="n">
        <v>1384.26</v>
      </c>
      <c r="AJ21" s="13" t="n">
        <v>1404.45</v>
      </c>
      <c r="AK21" s="13" t="n">
        <v>1414.06</v>
      </c>
      <c r="AL21" s="13" t="n">
        <v>1414.06</v>
      </c>
      <c r="AM21" s="13" t="n">
        <v>1414.06</v>
      </c>
      <c r="AN21" s="13" t="n">
        <v>1414.06</v>
      </c>
      <c r="AO21" s="13" t="n">
        <v>1414.06</v>
      </c>
      <c r="AP21" s="13" t="n">
        <v>1414.06</v>
      </c>
      <c r="AQ21" s="13" t="n">
        <v>1414.06</v>
      </c>
      <c r="AR21" s="13" t="n">
        <v>1414.06</v>
      </c>
      <c r="AS21" s="13" t="n">
        <v>1414.06</v>
      </c>
      <c r="AT21" s="13" t="n">
        <v>1414.06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126170.6</v>
      </c>
      <c r="F22" s="18" t="n">
        <v>126412.1</v>
      </c>
      <c r="G22" s="18" t="n">
        <v>143730.6</v>
      </c>
      <c r="H22" s="18" t="n">
        <v>169095.8</v>
      </c>
      <c r="I22" s="18" t="n">
        <v>174592.2</v>
      </c>
      <c r="J22" s="18" t="n">
        <v>207502.3</v>
      </c>
      <c r="K22" s="18" t="n">
        <v>410377.2</v>
      </c>
      <c r="L22" s="18" t="n">
        <v>533132.2</v>
      </c>
      <c r="M22" s="18" t="n">
        <v>747967.7</v>
      </c>
      <c r="N22" s="18" t="n">
        <v>907745.3</v>
      </c>
      <c r="O22" s="18" t="n">
        <v>1272424.3</v>
      </c>
      <c r="P22" s="18" t="n">
        <v>1878862.5</v>
      </c>
      <c r="Q22" s="18" t="n">
        <v>2245812.9</v>
      </c>
      <c r="R22" s="18" t="n">
        <v>2316148.1</v>
      </c>
      <c r="S22" s="18" t="n">
        <v>2266842.8</v>
      </c>
      <c r="T22" s="18" t="n">
        <v>2252091.1</v>
      </c>
      <c r="U22" s="18" t="n">
        <v>2170774.9</v>
      </c>
      <c r="V22" s="18" t="n">
        <v>2095892.5</v>
      </c>
      <c r="W22" s="18" t="n">
        <v>2004493.3</v>
      </c>
      <c r="X22" s="18" t="n">
        <v>1940601.2</v>
      </c>
      <c r="Y22" s="18" t="n">
        <v>1809346.1</v>
      </c>
      <c r="Z22" s="18" t="n">
        <v>1631438.9</v>
      </c>
      <c r="AA22" s="18" t="n">
        <v>1091707.1</v>
      </c>
      <c r="AB22" s="18" t="n">
        <v>864610.9</v>
      </c>
      <c r="AC22" s="18" t="n">
        <v>716490.4</v>
      </c>
      <c r="AD22" s="18" t="n">
        <v>469089.3</v>
      </c>
      <c r="AE22" s="18" t="n">
        <v>288398.1</v>
      </c>
      <c r="AF22" s="18" t="n">
        <v>256695.7</v>
      </c>
      <c r="AG22" s="18" t="n">
        <v>92831.10000000001</v>
      </c>
      <c r="AH22" s="18" t="n">
        <v>47318.6</v>
      </c>
      <c r="AI22" s="18" t="n">
        <v>38723.9</v>
      </c>
      <c r="AJ22" s="18" t="n">
        <v>17589.3</v>
      </c>
      <c r="AK22" s="18" t="n">
        <v>14149</v>
      </c>
      <c r="AL22" s="18" t="n">
        <v>14149</v>
      </c>
      <c r="AM22" s="18" t="n">
        <v>13995.2</v>
      </c>
      <c r="AN22" s="18" t="n">
        <v>13995.2</v>
      </c>
      <c r="AO22" s="18" t="n">
        <v>14149</v>
      </c>
      <c r="AP22" s="18" t="n">
        <v>14149</v>
      </c>
      <c r="AQ22" s="18" t="n">
        <v>13841.4</v>
      </c>
      <c r="AR22" s="18" t="n">
        <v>13995.2</v>
      </c>
      <c r="AS22" s="18" t="n">
        <v>14149</v>
      </c>
      <c r="AT22" s="18" t="n">
        <v>12457.2</v>
      </c>
      <c r="AU22" s="18" t="n">
        <v>252582.7</v>
      </c>
      <c r="AV22" s="18" t="n">
        <v>694920.9</v>
      </c>
      <c r="AW22" s="18" t="n">
        <v>2599222.4</v>
      </c>
      <c r="AX22" s="18" t="n">
        <v>7713247.8</v>
      </c>
      <c r="AY22" s="18" t="n">
        <v>8785601.300000001</v>
      </c>
      <c r="AZ22" s="18" t="n">
        <v>7385879.5</v>
      </c>
      <c r="BA22" s="18" t="n">
        <v>3141897.7</v>
      </c>
      <c r="BB22" s="18" t="n">
        <v>685243.5</v>
      </c>
      <c r="BC22" s="18" t="n">
        <v>84611.2</v>
      </c>
      <c r="BD22" s="18" t="n">
        <v>56288.4</v>
      </c>
      <c r="BE22" s="18" t="n">
        <v>54442.8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126170.6</v>
      </c>
      <c r="F23" s="18" t="n">
        <v>126412.1</v>
      </c>
      <c r="G23" s="18" t="n">
        <v>143730.6</v>
      </c>
      <c r="H23" s="18" t="n">
        <v>169095.8</v>
      </c>
      <c r="I23" s="18" t="n">
        <v>174592.2</v>
      </c>
      <c r="J23" s="18" t="n">
        <v>207502.3</v>
      </c>
      <c r="K23" s="18" t="n">
        <v>410377.2</v>
      </c>
      <c r="L23" s="18" t="n">
        <v>533132.2</v>
      </c>
      <c r="M23" s="18" t="n">
        <v>747967.7</v>
      </c>
      <c r="N23" s="18" t="n">
        <v>907745.3</v>
      </c>
      <c r="O23" s="18" t="n">
        <v>1272424.3</v>
      </c>
      <c r="P23" s="18" t="n">
        <v>1851796.2</v>
      </c>
      <c r="Q23" s="18" t="n">
        <v>2175160.3</v>
      </c>
      <c r="R23" s="18" t="n">
        <v>2222685.3</v>
      </c>
      <c r="S23" s="18" t="n">
        <v>2175605.7</v>
      </c>
      <c r="T23" s="18" t="n">
        <v>2159840.2</v>
      </c>
      <c r="U23" s="18" t="n">
        <v>2077510.3</v>
      </c>
      <c r="V23" s="18" t="n">
        <v>2002627.9</v>
      </c>
      <c r="W23" s="18" t="n">
        <v>1912242.4</v>
      </c>
      <c r="X23" s="18" t="n">
        <v>1848350.3</v>
      </c>
      <c r="Y23" s="18" t="n">
        <v>1716081.4</v>
      </c>
      <c r="Z23" s="18" t="n">
        <v>1538174.2</v>
      </c>
      <c r="AA23" s="18" t="n">
        <v>1000470</v>
      </c>
      <c r="AB23" s="18" t="n">
        <v>772360</v>
      </c>
      <c r="AC23" s="18" t="n">
        <v>623225.8</v>
      </c>
      <c r="AD23" s="18" t="n">
        <v>375824.7</v>
      </c>
      <c r="AE23" s="18" t="n">
        <v>197161</v>
      </c>
      <c r="AF23" s="18" t="n">
        <v>164444.8</v>
      </c>
      <c r="AG23" s="18" t="n">
        <v>39584.4</v>
      </c>
      <c r="AH23" s="18" t="n">
        <v>39584.4</v>
      </c>
      <c r="AI23" s="18" t="n">
        <v>38723.9</v>
      </c>
      <c r="AJ23" s="18" t="n">
        <v>17589.3</v>
      </c>
      <c r="AK23" s="18" t="n">
        <v>14149</v>
      </c>
      <c r="AL23" s="18" t="n">
        <v>14149</v>
      </c>
      <c r="AM23" s="18" t="n">
        <v>13995.2</v>
      </c>
      <c r="AN23" s="18" t="n">
        <v>13995.2</v>
      </c>
      <c r="AO23" s="18" t="n">
        <v>14149</v>
      </c>
      <c r="AP23" s="18" t="n">
        <v>14149</v>
      </c>
      <c r="AQ23" s="18" t="n">
        <v>13841.4</v>
      </c>
      <c r="AR23" s="18" t="n">
        <v>13995.2</v>
      </c>
      <c r="AS23" s="18" t="n">
        <v>14149</v>
      </c>
      <c r="AT23" s="18" t="n">
        <v>12457.2</v>
      </c>
      <c r="AU23" s="18" t="n">
        <v>252582.7</v>
      </c>
      <c r="AV23" s="18" t="n">
        <v>694920.9</v>
      </c>
      <c r="AW23" s="18" t="n">
        <v>2599222.4</v>
      </c>
      <c r="AX23" s="18" t="n">
        <v>7522066.1</v>
      </c>
      <c r="AY23" s="18" t="n">
        <v>8415584.1</v>
      </c>
      <c r="AZ23" s="18" t="n">
        <v>7014848.3</v>
      </c>
      <c r="BA23" s="18" t="n">
        <v>2771880.5</v>
      </c>
      <c r="BB23" s="18" t="n">
        <v>440774.6</v>
      </c>
      <c r="BC23" s="18" t="n">
        <v>84611.2</v>
      </c>
      <c r="BD23" s="18" t="n">
        <v>56288.4</v>
      </c>
      <c r="BE23" s="18" t="n">
        <v>54442.8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126170.6</v>
      </c>
      <c r="F24" s="18" t="n">
        <v>126412.1</v>
      </c>
      <c r="G24" s="18" t="n">
        <v>143730.6</v>
      </c>
      <c r="H24" s="18" t="n">
        <v>169095.8</v>
      </c>
      <c r="I24" s="18" t="n">
        <v>174592.2</v>
      </c>
      <c r="J24" s="18" t="n">
        <v>207502.3</v>
      </c>
      <c r="K24" s="18" t="n">
        <v>410377.2</v>
      </c>
      <c r="L24" s="18" t="n">
        <v>533132.2</v>
      </c>
      <c r="M24" s="18" t="n">
        <v>747967.7</v>
      </c>
      <c r="N24" s="18" t="n">
        <v>907745.3</v>
      </c>
      <c r="O24" s="18" t="n">
        <v>1272424.3</v>
      </c>
      <c r="P24" s="18" t="n">
        <v>1851796.2</v>
      </c>
      <c r="Q24" s="18" t="n">
        <v>2119581.4</v>
      </c>
      <c r="R24" s="18" t="n">
        <v>2085730.9</v>
      </c>
      <c r="S24" s="18" t="n">
        <v>2036063.8</v>
      </c>
      <c r="T24" s="18" t="n">
        <v>2018747.9</v>
      </c>
      <c r="U24" s="18" t="n">
        <v>1934867.5</v>
      </c>
      <c r="V24" s="18" t="n">
        <v>1859985.2</v>
      </c>
      <c r="W24" s="18" t="n">
        <v>1771150.1</v>
      </c>
      <c r="X24" s="18" t="n">
        <v>1707258</v>
      </c>
      <c r="Y24" s="18" t="n">
        <v>1573438.7</v>
      </c>
      <c r="Z24" s="18" t="n">
        <v>1395531.5</v>
      </c>
      <c r="AA24" s="18" t="n">
        <v>860928.1</v>
      </c>
      <c r="AB24" s="18" t="n">
        <v>631267.7</v>
      </c>
      <c r="AC24" s="18" t="n">
        <v>519553.3</v>
      </c>
      <c r="AD24" s="18" t="n">
        <v>280919.4</v>
      </c>
      <c r="AE24" s="18" t="n">
        <v>121195.3</v>
      </c>
      <c r="AF24" s="18" t="n">
        <v>122541.9</v>
      </c>
      <c r="AG24" s="18" t="n">
        <v>39584.4</v>
      </c>
      <c r="AH24" s="18" t="n">
        <v>39584.4</v>
      </c>
      <c r="AI24" s="18" t="n">
        <v>38723.9</v>
      </c>
      <c r="AJ24" s="18" t="n">
        <v>17589.3</v>
      </c>
      <c r="AK24" s="18" t="n">
        <v>14149</v>
      </c>
      <c r="AL24" s="18" t="n">
        <v>14149</v>
      </c>
      <c r="AM24" s="18" t="n">
        <v>13995.2</v>
      </c>
      <c r="AN24" s="18" t="n">
        <v>13995.2</v>
      </c>
      <c r="AO24" s="18" t="n">
        <v>14149</v>
      </c>
      <c r="AP24" s="18" t="n">
        <v>14149</v>
      </c>
      <c r="AQ24" s="18" t="n">
        <v>13841.4</v>
      </c>
      <c r="AR24" s="18" t="n">
        <v>13995.2</v>
      </c>
      <c r="AS24" s="18" t="n">
        <v>14149</v>
      </c>
      <c r="AT24" s="18" t="n">
        <v>12457.2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136954.4</v>
      </c>
      <c r="S25" s="18" t="n">
        <v>139541.8</v>
      </c>
      <c r="T25" s="18" t="n">
        <v>141092.3</v>
      </c>
      <c r="U25" s="18" t="n">
        <v>142642.8</v>
      </c>
      <c r="V25" s="18" t="n">
        <v>142642.8</v>
      </c>
      <c r="W25" s="18" t="n">
        <v>141092.3</v>
      </c>
      <c r="X25" s="18" t="n">
        <v>141092.3</v>
      </c>
      <c r="Y25" s="18" t="n">
        <v>142642.8</v>
      </c>
      <c r="Z25" s="18" t="n">
        <v>142642.8</v>
      </c>
      <c r="AA25" s="18" t="n">
        <v>139541.8</v>
      </c>
      <c r="AB25" s="18" t="n">
        <v>141092.3</v>
      </c>
      <c r="AC25" s="18" t="n">
        <v>103672.4</v>
      </c>
      <c r="AD25" s="18" t="n">
        <v>94905.3</v>
      </c>
      <c r="AE25" s="18" t="n">
        <v>75965.7</v>
      </c>
      <c r="AF25" s="18" t="n">
        <v>41903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0.108</v>
      </c>
      <c r="F26" s="21" t="n">
        <v>0.108</v>
      </c>
      <c r="G26" s="21" t="n">
        <v>0.108</v>
      </c>
      <c r="H26" s="21" t="n">
        <v>0.108</v>
      </c>
      <c r="I26" s="21" t="n">
        <v>0.108</v>
      </c>
      <c r="J26" s="21" t="n">
        <v>0.108</v>
      </c>
      <c r="K26" s="21" t="n">
        <v>0.108</v>
      </c>
      <c r="L26" s="21" t="n">
        <v>0.108</v>
      </c>
      <c r="M26" s="21" t="n">
        <v>0.108</v>
      </c>
      <c r="N26" s="21" t="n">
        <v>0.108</v>
      </c>
      <c r="O26" s="21" t="n">
        <v>0.108</v>
      </c>
      <c r="P26" s="21" t="n">
        <v>0.108</v>
      </c>
      <c r="Q26" s="21" t="n">
        <v>0.108</v>
      </c>
      <c r="R26" s="21" t="n">
        <v>0.108</v>
      </c>
      <c r="S26" s="21" t="n">
        <v>0.108</v>
      </c>
      <c r="T26" s="21" t="n">
        <v>0.108</v>
      </c>
      <c r="U26" s="21" t="n">
        <v>0.108</v>
      </c>
      <c r="V26" s="21" t="n">
        <v>0.108</v>
      </c>
      <c r="W26" s="21" t="n">
        <v>0.108</v>
      </c>
      <c r="X26" s="21" t="n">
        <v>0.108</v>
      </c>
      <c r="Y26" s="21" t="n">
        <v>0.108</v>
      </c>
      <c r="Z26" s="21" t="n">
        <v>0.108</v>
      </c>
      <c r="AA26" s="21" t="n">
        <v>0.108</v>
      </c>
      <c r="AB26" s="21" t="n">
        <v>0.108</v>
      </c>
      <c r="AC26" s="21" t="n">
        <v>0.108</v>
      </c>
      <c r="AD26" s="21" t="n">
        <v>0.108</v>
      </c>
      <c r="AE26" s="21" t="n">
        <v>0.108</v>
      </c>
      <c r="AF26" s="21" t="n">
        <v>0.108</v>
      </c>
      <c r="AG26" s="21" t="n">
        <v>0.108</v>
      </c>
      <c r="AH26" s="21" t="n">
        <v>0.108</v>
      </c>
      <c r="AI26" s="21" t="n">
        <v>0.108</v>
      </c>
      <c r="AJ26" s="21" t="n">
        <v>0.108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원/달러(평균)",환율,MATCH(R$1,변수H,0),0),1342.11)</f>
        <v/>
      </c>
      <c r="S31" s="13">
        <f>IFERROR(VLOOKUP(" 원/달러(평균)",환율,MATCH(S$1,변수H,0),0),1332.1)</f>
        <v/>
      </c>
      <c r="T31" s="13">
        <f>IFERROR(VLOOKUP(" 원/달러(평균)",환율,MATCH(T$1,변수H,0),0),1332.1)</f>
        <v/>
      </c>
      <c r="U31" s="13">
        <f>IFERROR(VLOOKUP(" 원/달러(평균)",환율,MATCH(U$1,변수H,0),0),1332.1)</f>
        <v/>
      </c>
      <c r="V31" s="13">
        <f>IFERROR(VLOOKUP(" 원/달러(평균)",환율,MATCH(V$1,변수H,0),0),1332.1)</f>
        <v/>
      </c>
      <c r="W31" s="13">
        <f>IFERROR(VLOOKUP(" 원/달러(평균)",환율,MATCH(W$1,변수H,0),0),1332.1)</f>
        <v/>
      </c>
      <c r="X31" s="13">
        <f>IFERROR(VLOOKUP(" 원/달러(평균)",환율,MATCH(X$1,변수H,0),0),1332.1)</f>
        <v/>
      </c>
      <c r="Y31" s="13">
        <f>IFERROR(VLOOKUP(" 원/달러(평균)",환율,MATCH(Y$1,변수H,0),0),1332.1)</f>
        <v/>
      </c>
      <c r="Z31" s="13">
        <f>IFERROR(VLOOKUP(" 원/달러(평균)",환율,MATCH(Z$1,변수H,0),0),1332.1)</f>
        <v/>
      </c>
      <c r="AA31" s="13">
        <f>IFERROR(VLOOKUP(" 원/달러(평균)",환율,MATCH(AA$1,변수H,0),0),1332.1)</f>
        <v/>
      </c>
      <c r="AB31" s="13">
        <f>IFERROR(VLOOKUP(" 원/달러(평균)",환율,MATCH(AB$1,변수H,0),0),1332.1)</f>
        <v/>
      </c>
      <c r="AC31" s="13">
        <f>IFERROR(VLOOKUP(" 원/달러(평균)",환율,MATCH(AC$1,변수H,0),0),1332.1)</f>
        <v/>
      </c>
      <c r="AD31" s="13">
        <f>IFERROR(VLOOKUP(" 원/달러(평균)",환율,MATCH(AD$1,변수H,0),0),1332.1)</f>
        <v/>
      </c>
      <c r="AE31" s="13">
        <f>IFERROR(VLOOKUP(" 원/달러(평균)",환율,MATCH(AE$1,변수H,0),0),1332.1)</f>
        <v/>
      </c>
      <c r="AF31" s="13">
        <f>IFERROR(VLOOKUP(" 원/달러(평균)",환율,MATCH(AF$1,변수H,0),0),1332.1)</f>
        <v/>
      </c>
      <c r="AG31" s="13">
        <f>IFERROR(VLOOKUP(" 원/달러(평균)",환율,MATCH(AG$1,변수H,0),0),1332.1)</f>
        <v/>
      </c>
      <c r="AH31" s="13">
        <f>IFERROR(VLOOKUP(" 원/달러(평균)",환율,MATCH(AH$1,변수H,0),0),1332.1)</f>
        <v/>
      </c>
      <c r="AI31" s="13">
        <f>IFERROR(VLOOKUP(" 원/달러(평균)",환율,MATCH(AI$1,변수H,0),0),1332.1)</f>
        <v/>
      </c>
      <c r="AJ31" s="13">
        <f>IFERROR(VLOOKUP(" 원/달러(평균)",환율,MATCH(AJ$1,변수H,0),0),1332.1)</f>
        <v/>
      </c>
      <c r="AK31" s="13">
        <f>IFERROR(VLOOKUP(" 원/달러(평균)",환율,MATCH(AK$1,변수H,0),0),1332.1)</f>
        <v/>
      </c>
      <c r="AL31" s="13">
        <f>IFERROR(VLOOKUP(" 원/달러(평균)",환율,MATCH(AL$1,변수H,0),0),1332.1)</f>
        <v/>
      </c>
      <c r="AM31" s="13">
        <f>IFERROR(VLOOKUP(" 원/달러(평균)",환율,MATCH(AM$1,변수H,0),0),1332.1)</f>
        <v/>
      </c>
      <c r="AN31" s="13">
        <f>IFERROR(VLOOKUP(" 원/달러(평균)",환율,MATCH(AN$1,변수H,0),0),1332.1)</f>
        <v/>
      </c>
      <c r="AO31" s="13">
        <f>IFERROR(VLOOKUP(" 원/달러(평균)",환율,MATCH(AO$1,변수H,0),0),1332.1)</f>
        <v/>
      </c>
      <c r="AP31" s="13">
        <f>IFERROR(VLOOKUP(" 원/달러(평균)",환율,MATCH(AP$1,변수H,0),0),1332.1)</f>
        <v/>
      </c>
      <c r="AQ31" s="13">
        <f>IFERROR(VLOOKUP(" 원/달러(평균)",환율,MATCH(AQ$1,변수H,0),0),1332.1)</f>
        <v/>
      </c>
      <c r="AR31" s="13">
        <f>IFERROR(VLOOKUP(" 원/달러(평균)",환율,MATCH(AR$1,변수H,0),0),1332.1)</f>
        <v/>
      </c>
      <c r="AS31" s="13">
        <f>IFERROR(VLOOKUP(" 원/달러(평균)",환율,MATCH(AS$1,변수H,0),0),1332.1)</f>
        <v/>
      </c>
      <c r="AT31" s="13">
        <f>IFERROR(VLOOKUP(" 원/달러(평균)",환율,MATCH(AT$1,변수H,0),0),1332.1)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20261013800234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95.94199999999999</v>
      </c>
      <c r="F77" s="26" t="n">
        <v>95.94199999999999</v>
      </c>
      <c r="G77" s="26" t="n">
        <v>94.899</v>
      </c>
      <c r="H77" s="26" t="n">
        <v>94.899</v>
      </c>
      <c r="I77" s="26" t="n">
        <v>95.94199999999999</v>
      </c>
      <c r="J77" s="26" t="n">
        <v>95.94199999999999</v>
      </c>
      <c r="K77" s="26" t="n">
        <v>93.85599999999999</v>
      </c>
      <c r="L77" s="26" t="n">
        <v>94.899</v>
      </c>
      <c r="M77" s="26" t="n">
        <v>95.94199999999999</v>
      </c>
      <c r="N77" s="26" t="n">
        <v>95.94199999999999</v>
      </c>
      <c r="O77" s="26" t="n">
        <v>93.85599999999999</v>
      </c>
      <c r="P77" s="26" t="n">
        <v>94.899</v>
      </c>
      <c r="Q77" s="26" t="n">
        <v>95.94199999999999</v>
      </c>
      <c r="R77" s="26" t="n">
        <v>95.94199999999999</v>
      </c>
      <c r="S77" s="26" t="n">
        <v>93.85599999999999</v>
      </c>
      <c r="T77" s="26" t="n">
        <v>64.661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1493.361</v>
      </c>
      <c r="BN77" t="inlineStr">
        <is>
          <t>2027-06-01</t>
        </is>
      </c>
    </row>
    <row r="78">
      <c r="A78" t="inlineStr">
        <is>
          <t>20261015800353</t>
        </is>
      </c>
      <c r="B78" t="inlineStr">
        <is>
          <t>VLGC</t>
        </is>
      </c>
      <c r="C78" t="n">
        <v>4</v>
      </c>
      <c r="D78" t="inlineStr">
        <is>
          <t>VLGC 4척</t>
        </is>
      </c>
      <c r="R78" s="26" t="n">
        <v>27.165</v>
      </c>
      <c r="S78" s="26" t="n">
        <v>30.948</v>
      </c>
      <c r="T78" s="26" t="n">
        <v>31.292</v>
      </c>
      <c r="U78" s="26" t="n">
        <v>31.636</v>
      </c>
      <c r="V78" s="26" t="n">
        <v>31.636</v>
      </c>
      <c r="W78" s="26" t="n">
        <v>31.292</v>
      </c>
      <c r="X78" s="26" t="n">
        <v>31.292</v>
      </c>
      <c r="Y78" s="26" t="n">
        <v>31.636</v>
      </c>
      <c r="Z78" s="26" t="n">
        <v>31.636</v>
      </c>
      <c r="AA78" s="26" t="n">
        <v>30.948</v>
      </c>
      <c r="AB78" s="26" t="n">
        <v>31.292</v>
      </c>
      <c r="AC78" s="26" t="n">
        <v>31.636</v>
      </c>
      <c r="AD78" s="26" t="n">
        <v>31.636</v>
      </c>
      <c r="AE78" s="26" t="n">
        <v>30.948</v>
      </c>
      <c r="AF78" s="26" t="n">
        <v>31.288</v>
      </c>
      <c r="BG78" s="35" t="n">
        <v>0</v>
      </c>
      <c r="BH78" s="16" t="n">
        <v>1342.11</v>
      </c>
      <c r="BI78" s="42" t="n">
        <v>1</v>
      </c>
      <c r="BJ78" t="inlineStr">
        <is>
          <t>2026-10-14</t>
        </is>
      </c>
      <c r="BK78" t="n">
        <v>0</v>
      </c>
      <c r="BL78" t="inlineStr">
        <is>
          <t>⑤초호황</t>
        </is>
      </c>
      <c r="BM78" s="26" t="n">
        <v>466.281</v>
      </c>
      <c r="BN78" t="inlineStr">
        <is>
          <t>2030-06-30</t>
        </is>
      </c>
    </row>
    <row r="80">
      <c r="A80" s="1" t="inlineStr">
        <is>
          <t>② 계약별 원화(백만원, 수식)</t>
        </is>
      </c>
      <c r="B80" s="1" t="inlineStr">
        <is>
          <t>type</t>
        </is>
      </c>
      <c r="C80" s="1" t="inlineStr">
        <is>
          <t>ships</t>
        </is>
      </c>
      <c r="D80" s="1" t="inlineStr">
        <is>
          <t>name</t>
        </is>
      </c>
    </row>
    <row r="81">
      <c r="A81" t="inlineStr">
        <is>
          <t>20241118800037</t>
        </is>
      </c>
      <c r="B81" t="inlineStr">
        <is>
          <t>VLGC</t>
        </is>
      </c>
      <c r="C81" t="n">
        <v>2</v>
      </c>
      <c r="D81" t="inlineStr">
        <is>
          <t>VLGC 2척</t>
        </is>
      </c>
      <c r="J81" s="18">
        <f>IFERROR(J35*$BG35*(1+($BI35-1)*J$32)*($D$29*$BH35+(1-$D$29)*J$31),"")</f>
        <v/>
      </c>
      <c r="K81" s="18">
        <f>IFERROR(K35*$BG35*(1+($BI35-1)*K$32)*($D$29*$BH35+(1-$D$29)*K$31),"")</f>
        <v/>
      </c>
      <c r="L81" s="18">
        <f>IFERROR(L35*$BG35*(1+($BI35-1)*L$32)*($D$29*$BH35+(1-$D$29)*L$31),"")</f>
        <v/>
      </c>
      <c r="M81" s="18">
        <f>IFERROR(M35*$BG35*(1+($BI35-1)*M$32)*($D$29*$BH35+(1-$D$29)*M$31),"")</f>
        <v/>
      </c>
      <c r="N81" s="18">
        <f>IFERROR(N35*$BG35*(1+($BI35-1)*N$32)*($D$29*$BH35+(1-$D$29)*N$31),"")</f>
        <v/>
      </c>
      <c r="O81" s="18">
        <f>IFERROR(O35*$BG35*(1+($BI35-1)*O$32)*($D$29*$BH35+(1-$D$29)*O$31),"")</f>
        <v/>
      </c>
      <c r="P81" s="18">
        <f>IFERROR(P35*$BG35*(1+($BI35-1)*P$32)*($D$29*$BH35+(1-$D$29)*P$31),"")</f>
        <v/>
      </c>
      <c r="Q81" s="18">
        <f>IFERROR(Q35*$BG35*(1+($BI35-1)*Q$32)*($D$29*$BH35+(1-$D$29)*Q$31),"")</f>
        <v/>
      </c>
      <c r="R81" s="18">
        <f>IFERROR(R35*$BG35*(1+($BI35-1)*R$32)*($D$29*$BH35+(1-$D$29)*R$31),"")</f>
        <v/>
      </c>
      <c r="S81" s="18">
        <f>IFERROR(S35*$BG35*(1+($BI35-1)*S$32)*($D$29*$BH35+(1-$D$29)*S$31),"")</f>
        <v/>
      </c>
      <c r="T81" s="18">
        <f>IFERROR(T35*$BG35*(1+($BI35-1)*T$32)*($D$29*$BH35+(1-$D$29)*T$31),"")</f>
        <v/>
      </c>
      <c r="U81" s="18">
        <f>IFERROR(U35*$BG35*(1+($BI35-1)*U$32)*($D$29*$BH35+(1-$D$29)*U$31),"")</f>
        <v/>
      </c>
      <c r="V81" s="18">
        <f>IFERROR(V35*$BG35*(1+($BI35-1)*V$32)*($D$29*$BH35+(1-$D$29)*V$31),"")</f>
        <v/>
      </c>
    </row>
    <row r="82">
      <c r="A82" t="inlineStr">
        <is>
          <t>20250123800036</t>
        </is>
      </c>
      <c r="B82" t="inlineStr">
        <is>
          <t>CONT</t>
        </is>
      </c>
      <c r="C82" t="n">
        <v>12</v>
      </c>
      <c r="D82" t="inlineStr">
        <is>
          <t>초대형 컨테이너선 12척</t>
        </is>
      </c>
      <c r="K82" s="18">
        <f>IFERROR(K36*$BG36*(1+($BI36-1)*K$32)*($D$29*$BH36+(1-$D$29)*K$31),"")</f>
        <v/>
      </c>
      <c r="L82" s="18">
        <f>IFERROR(L36*$BG36*(1+($BI36-1)*L$32)*($D$29*$BH36+(1-$D$29)*L$31),"")</f>
        <v/>
      </c>
      <c r="M82" s="18">
        <f>IFERROR(M36*$BG36*(1+($BI36-1)*M$32)*($D$29*$BH36+(1-$D$29)*M$31),"")</f>
        <v/>
      </c>
      <c r="N82" s="18">
        <f>IFERROR(N36*$BG36*(1+($BI36-1)*N$32)*($D$29*$BH36+(1-$D$29)*N$31),"")</f>
        <v/>
      </c>
      <c r="O82" s="18">
        <f>IFERROR(O36*$BG36*(1+($BI36-1)*O$32)*($D$29*$BH36+(1-$D$29)*O$31),"")</f>
        <v/>
      </c>
      <c r="P82" s="18">
        <f>IFERROR(P36*$BG36*(1+($BI36-1)*P$32)*($D$29*$BH36+(1-$D$29)*P$31),"")</f>
        <v/>
      </c>
      <c r="Q82" s="18">
        <f>IFERROR(Q36*$BG36*(1+($BI36-1)*Q$32)*($D$29*$BH36+(1-$D$29)*Q$31),"")</f>
        <v/>
      </c>
      <c r="R82" s="18">
        <f>IFERROR(R36*$BG36*(1+($BI36-1)*R$32)*($D$29*$BH36+(1-$D$29)*R$31),"")</f>
        <v/>
      </c>
      <c r="S82" s="18">
        <f>IFERROR(S36*$BG36*(1+($BI36-1)*S$32)*($D$29*$BH36+(1-$D$29)*S$31),"")</f>
        <v/>
      </c>
      <c r="T82" s="18">
        <f>IFERROR(T36*$BG36*(1+($BI36-1)*T$32)*($D$29*$BH36+(1-$D$29)*T$31),"")</f>
        <v/>
      </c>
      <c r="U82" s="18">
        <f>IFERROR(U36*$BG36*(1+($BI36-1)*U$32)*($D$29*$BH36+(1-$D$29)*U$31),"")</f>
        <v/>
      </c>
      <c r="V82" s="18">
        <f>IFERROR(V36*$BG36*(1+($BI36-1)*V$32)*($D$29*$BH36+(1-$D$29)*V$31),"")</f>
        <v/>
      </c>
      <c r="W82" s="18">
        <f>IFERROR(W36*$BG36*(1+($BI36-1)*W$32)*($D$29*$BH36+(1-$D$29)*W$31),"")</f>
        <v/>
      </c>
      <c r="X82" s="18">
        <f>IFERROR(X36*$BG36*(1+($BI36-1)*X$32)*($D$29*$BH36+(1-$D$29)*X$31),"")</f>
        <v/>
      </c>
      <c r="Y82" s="18">
        <f>IFERROR(Y36*$BG36*(1+($BI36-1)*Y$32)*($D$29*$BH36+(1-$D$29)*Y$31),"")</f>
        <v/>
      </c>
      <c r="Z82" s="18">
        <f>IFERROR(Z36*$BG36*(1+($BI36-1)*Z$32)*($D$29*$BH36+(1-$D$29)*Z$31),"")</f>
        <v/>
      </c>
    </row>
    <row r="83">
      <c r="A83" t="inlineStr">
        <is>
          <t>20250213800540</t>
        </is>
      </c>
      <c r="B83" t="inlineStr">
        <is>
          <t>NAVAL</t>
        </is>
      </c>
      <c r="C83" t="n">
        <v>4</v>
      </c>
      <c r="D83" t="inlineStr">
        <is>
          <t>함정 4척 건조용 자재 및 장비 공급</t>
        </is>
      </c>
      <c r="H83" s="18">
        <f>IFERROR(H37*$BG37*(1+($BI37-1)*H$32)*($D$29*$BH37+(1-$D$29)*H$31),"")</f>
        <v/>
      </c>
      <c r="I83" s="18">
        <f>IFERROR(I37*$BG37*(1+($BI37-1)*I$32)*($D$29*$BH37+(1-$D$29)*I$31),"")</f>
        <v/>
      </c>
      <c r="J83" s="18">
        <f>IFERROR(J37*$BG37*(1+($BI37-1)*J$32)*($D$29*$BH37+(1-$D$29)*J$31),"")</f>
        <v/>
      </c>
      <c r="K83" s="18">
        <f>IFERROR(K37*$BG37*(1+($BI37-1)*K$32)*($D$29*$BH37+(1-$D$29)*K$31),"")</f>
        <v/>
      </c>
      <c r="L83" s="18">
        <f>IFERROR(L37*$BG37*(1+($BI37-1)*L$32)*($D$29*$BH37+(1-$D$29)*L$31),"")</f>
        <v/>
      </c>
      <c r="M83" s="18">
        <f>IFERROR(M37*$BG37*(1+($BI37-1)*M$32)*($D$29*$BH37+(1-$D$29)*M$31),"")</f>
        <v/>
      </c>
      <c r="N83" s="18">
        <f>IFERROR(N37*$BG37*(1+($BI37-1)*N$32)*($D$29*$BH37+(1-$D$29)*N$31),"")</f>
        <v/>
      </c>
      <c r="O83" s="18">
        <f>IFERROR(O37*$BG37*(1+($BI37-1)*O$32)*($D$29*$BH37+(1-$D$29)*O$31),"")</f>
        <v/>
      </c>
      <c r="P83" s="18">
        <f>IFERROR(P37*$BG37*(1+($BI37-1)*P$32)*($D$29*$BH37+(1-$D$29)*P$31),"")</f>
        <v/>
      </c>
      <c r="Q83" s="18">
        <f>IFERROR(Q37*$BG37*(1+($BI37-1)*Q$32)*($D$29*$BH37+(1-$D$29)*Q$31),"")</f>
        <v/>
      </c>
      <c r="R83" s="18">
        <f>IFERROR(R37*$BG37*(1+($BI37-1)*R$32)*($D$29*$BH37+(1-$D$29)*R$31),"")</f>
        <v/>
      </c>
      <c r="S83" s="18">
        <f>IFERROR(S37*$BG37*(1+($BI37-1)*S$32)*($D$29*$BH37+(1-$D$29)*S$31),"")</f>
        <v/>
      </c>
      <c r="T83" s="18">
        <f>IFERROR(T37*$BG37*(1+($BI37-1)*T$32)*($D$29*$BH37+(1-$D$29)*T$31),"")</f>
        <v/>
      </c>
      <c r="U83" s="18">
        <f>IFERROR(U37*$BG37*(1+($BI37-1)*U$32)*($D$29*$BH37+(1-$D$29)*U$31),"")</f>
        <v/>
      </c>
      <c r="V83" s="18">
        <f>IFERROR(V37*$BG37*(1+($BI37-1)*V$32)*($D$29*$BH37+(1-$D$29)*V$31),"")</f>
        <v/>
      </c>
      <c r="W83" s="18">
        <f>IFERROR(W37*$BG37*(1+($BI37-1)*W$32)*($D$29*$BH37+(1-$D$29)*W$31),"")</f>
        <v/>
      </c>
      <c r="X83" s="18">
        <f>IFERROR(X37*$BG37*(1+($BI37-1)*X$32)*($D$29*$BH37+(1-$D$29)*X$31),"")</f>
        <v/>
      </c>
      <c r="Y83" s="18">
        <f>IFERROR(Y37*$BG37*(1+($BI37-1)*Y$32)*($D$29*$BH37+(1-$D$29)*Y$31),"")</f>
        <v/>
      </c>
      <c r="Z83" s="18">
        <f>IFERROR(Z37*$BG37*(1+($BI37-1)*Z$32)*($D$29*$BH37+(1-$D$29)*Z$31),"")</f>
        <v/>
      </c>
      <c r="AA83" s="18">
        <f>IFERROR(AA37*$BG37*(1+($BI37-1)*AA$32)*($D$29*$BH37+(1-$D$29)*AA$31),"")</f>
        <v/>
      </c>
      <c r="AB83" s="18">
        <f>IFERROR(AB37*$BG37*(1+($BI37-1)*AB$32)*($D$29*$BH37+(1-$D$29)*AB$31),"")</f>
        <v/>
      </c>
      <c r="AC83" s="18">
        <f>IFERROR(AC37*$BG37*(1+($BI37-1)*AC$32)*($D$29*$BH37+(1-$D$29)*AC$31),"")</f>
        <v/>
      </c>
      <c r="AD83" s="18">
        <f>IFERROR(AD37*$BG37*(1+($BI37-1)*AD$32)*($D$29*$BH37+(1-$D$29)*AD$31),"")</f>
        <v/>
      </c>
      <c r="AE83" s="18">
        <f>IFERROR(AE37*$BG37*(1+($BI37-1)*AE$32)*($D$29*$BH37+(1-$D$29)*AE$31),"")</f>
        <v/>
      </c>
      <c r="AF83" s="18">
        <f>IFERROR(AF37*$BG37*(1+($BI37-1)*AF$32)*($D$29*$BH37+(1-$D$29)*AF$31),"")</f>
        <v/>
      </c>
      <c r="AG83" s="18">
        <f>IFERROR(AG37*$BG37*(1+($BI37-1)*AG$32)*($D$29*$BH37+(1-$D$29)*AG$31),"")</f>
        <v/>
      </c>
      <c r="AH83" s="18">
        <f>IFERROR(AH37*$BG37*(1+($BI37-1)*AH$32)*($D$29*$BH37+(1-$D$29)*AH$31),"")</f>
        <v/>
      </c>
      <c r="AI83" s="18">
        <f>IFERROR(AI37*$BG37*(1+($BI37-1)*AI$32)*($D$29*$BH37+(1-$D$29)*AI$31),"")</f>
        <v/>
      </c>
      <c r="AJ83" s="18">
        <f>IFERROR(AJ37*$BG37*(1+($BI37-1)*AJ$32)*($D$29*$BH37+(1-$D$29)*AJ$31),"")</f>
        <v/>
      </c>
    </row>
    <row r="84">
      <c r="A84" t="inlineStr">
        <is>
          <t>20250304800166</t>
        </is>
      </c>
      <c r="B84" t="inlineStr">
        <is>
          <t>VLGC</t>
        </is>
      </c>
      <c r="C84" t="n">
        <v>2</v>
      </c>
      <c r="D84" t="inlineStr">
        <is>
          <t>VLEC 2척</t>
        </is>
      </c>
      <c r="K84" s="18">
        <f>IFERROR(K38*$BG38*(1+($BI38-1)*K$32)*($D$29*$BH38+(1-$D$29)*K$31),"")</f>
        <v/>
      </c>
      <c r="L84" s="18">
        <f>IFERROR(L38*$BG38*(1+($BI38-1)*L$32)*($D$29*$BH38+(1-$D$29)*L$31),"")</f>
        <v/>
      </c>
      <c r="M84" s="18">
        <f>IFERROR(M38*$BG38*(1+($BI38-1)*M$32)*($D$29*$BH38+(1-$D$29)*M$31),"")</f>
        <v/>
      </c>
      <c r="N84" s="18">
        <f>IFERROR(N38*$BG38*(1+($BI38-1)*N$32)*($D$29*$BH38+(1-$D$29)*N$31),"")</f>
        <v/>
      </c>
      <c r="O84" s="18">
        <f>IFERROR(O38*$BG38*(1+($BI38-1)*O$32)*($D$29*$BH38+(1-$D$29)*O$31),"")</f>
        <v/>
      </c>
      <c r="P84" s="18">
        <f>IFERROR(P38*$BG38*(1+($BI38-1)*P$32)*($D$29*$BH38+(1-$D$29)*P$31),"")</f>
        <v/>
      </c>
      <c r="Q84" s="18">
        <f>IFERROR(Q38*$BG38*(1+($BI38-1)*Q$32)*($D$29*$BH38+(1-$D$29)*Q$31),"")</f>
        <v/>
      </c>
      <c r="R84" s="18">
        <f>IFERROR(R38*$BG38*(1+($BI38-1)*R$32)*($D$29*$BH38+(1-$D$29)*R$31),"")</f>
        <v/>
      </c>
      <c r="S84" s="18">
        <f>IFERROR(S38*$BG38*(1+($BI38-1)*S$32)*($D$29*$BH38+(1-$D$29)*S$31),"")</f>
        <v/>
      </c>
      <c r="T84" s="18">
        <f>IFERROR(T38*$BG38*(1+($BI38-1)*T$32)*($D$29*$BH38+(1-$D$29)*T$31),"")</f>
        <v/>
      </c>
      <c r="U84" s="18">
        <f>IFERROR(U38*$BG38*(1+($BI38-1)*U$32)*($D$29*$BH38+(1-$D$29)*U$31),"")</f>
        <v/>
      </c>
      <c r="V84" s="18">
        <f>IFERROR(V38*$BG38*(1+($BI38-1)*V$32)*($D$29*$BH38+(1-$D$29)*V$31),"")</f>
        <v/>
      </c>
      <c r="W84" s="18">
        <f>IFERROR(W38*$BG38*(1+($BI38-1)*W$32)*($D$29*$BH38+(1-$D$29)*W$31),"")</f>
        <v/>
      </c>
      <c r="X84" s="18">
        <f>IFERROR(X38*$BG38*(1+($BI38-1)*X$32)*($D$29*$BH38+(1-$D$29)*X$31),"")</f>
        <v/>
      </c>
      <c r="Y84" s="18">
        <f>IFERROR(Y38*$BG38*(1+($BI38-1)*Y$32)*($D$29*$BH38+(1-$D$29)*Y$31),"")</f>
        <v/>
      </c>
      <c r="Z84" s="18">
        <f>IFERROR(Z38*$BG38*(1+($BI38-1)*Z$32)*($D$29*$BH38+(1-$D$29)*Z$31),"")</f>
        <v/>
      </c>
    </row>
    <row r="85">
      <c r="A85" t="inlineStr">
        <is>
          <t>20250422800296</t>
        </is>
      </c>
      <c r="B85" t="inlineStr">
        <is>
          <t>VLGC</t>
        </is>
      </c>
      <c r="C85" t="n">
        <v>2</v>
      </c>
      <c r="D85" t="inlineStr">
        <is>
          <t>VLGC 2척</t>
        </is>
      </c>
      <c r="G85" s="18">
        <f>IFERROR(G39*$BG39*(1+($BI39-1)*G$32)*($D$29*$BH39+(1-$D$29)*G$31),"")</f>
        <v/>
      </c>
      <c r="H85" s="18">
        <f>IFERROR(H39*$BG39*(1+($BI39-1)*H$32)*($D$29*$BH39+(1-$D$29)*H$31),"")</f>
        <v/>
      </c>
      <c r="I85" s="18">
        <f>IFERROR(I39*$BG39*(1+($BI39-1)*I$32)*($D$29*$BH39+(1-$D$29)*I$31),"")</f>
        <v/>
      </c>
      <c r="J85" s="18">
        <f>IFERROR(J39*$BG39*(1+($BI39-1)*J$32)*($D$29*$BH39+(1-$D$29)*J$31),"")</f>
        <v/>
      </c>
      <c r="K85" s="18">
        <f>IFERROR(K39*$BG39*(1+($BI39-1)*K$32)*($D$29*$BH39+(1-$D$29)*K$31),"")</f>
        <v/>
      </c>
      <c r="L85" s="18">
        <f>IFERROR(L39*$BG39*(1+($BI39-1)*L$32)*($D$29*$BH39+(1-$D$29)*L$31),"")</f>
        <v/>
      </c>
      <c r="M85" s="18">
        <f>IFERROR(M39*$BG39*(1+($BI39-1)*M$32)*($D$29*$BH39+(1-$D$29)*M$31),"")</f>
        <v/>
      </c>
      <c r="N85" s="18">
        <f>IFERROR(N39*$BG39*(1+($BI39-1)*N$32)*($D$29*$BH39+(1-$D$29)*N$31),"")</f>
        <v/>
      </c>
      <c r="O85" s="18">
        <f>IFERROR(O39*$BG39*(1+($BI39-1)*O$32)*($D$29*$BH39+(1-$D$29)*O$31),"")</f>
        <v/>
      </c>
      <c r="P85" s="18">
        <f>IFERROR(P39*$BG39*(1+($BI39-1)*P$32)*($D$29*$BH39+(1-$D$29)*P$31),"")</f>
        <v/>
      </c>
      <c r="Q85" s="18">
        <f>IFERROR(Q39*$BG39*(1+($BI39-1)*Q$32)*($D$29*$BH39+(1-$D$29)*Q$31),"")</f>
        <v/>
      </c>
      <c r="R85" s="18">
        <f>IFERROR(R39*$BG39*(1+($BI39-1)*R$32)*($D$29*$BH39+(1-$D$29)*R$31),"")</f>
        <v/>
      </c>
      <c r="S85" s="18">
        <f>IFERROR(S39*$BG39*(1+($BI39-1)*S$32)*($D$29*$BH39+(1-$D$29)*S$31),"")</f>
        <v/>
      </c>
      <c r="T85" s="18">
        <f>IFERROR(T39*$BG39*(1+($BI39-1)*T$32)*($D$29*$BH39+(1-$D$29)*T$31),"")</f>
        <v/>
      </c>
      <c r="U85" s="18">
        <f>IFERROR(U39*$BG39*(1+($BI39-1)*U$32)*($D$29*$BH39+(1-$D$29)*U$31),"")</f>
        <v/>
      </c>
    </row>
    <row r="86">
      <c r="A86" t="inlineStr">
        <is>
          <t>20250521800001</t>
        </is>
      </c>
      <c r="B86" t="inlineStr">
        <is>
          <t>VLCC</t>
        </is>
      </c>
      <c r="C86" t="n">
        <v>2</v>
      </c>
      <c r="D86" t="inlineStr">
        <is>
          <t>157,000 DWT 원유운반선 2척</t>
        </is>
      </c>
      <c r="J86" s="18">
        <f>IFERROR(J40*$BG40*(1+($BI40-1)*J$32)*($D$29*$BH40+(1-$D$29)*J$31),"")</f>
        <v/>
      </c>
      <c r="K86" s="18">
        <f>IFERROR(K40*$BG40*(1+($BI40-1)*K$32)*($D$29*$BH40+(1-$D$29)*K$31),"")</f>
        <v/>
      </c>
      <c r="L86" s="18">
        <f>IFERROR(L40*$BG40*(1+($BI40-1)*L$32)*($D$29*$BH40+(1-$D$29)*L$31),"")</f>
        <v/>
      </c>
      <c r="M86" s="18">
        <f>IFERROR(M40*$BG40*(1+($BI40-1)*M$32)*($D$29*$BH40+(1-$D$29)*M$31),"")</f>
        <v/>
      </c>
      <c r="N86" s="18">
        <f>IFERROR(N40*$BG40*(1+($BI40-1)*N$32)*($D$29*$BH40+(1-$D$29)*N$31),"")</f>
        <v/>
      </c>
      <c r="O86" s="18">
        <f>IFERROR(O40*$BG40*(1+($BI40-1)*O$32)*($D$29*$BH40+(1-$D$29)*O$31),"")</f>
        <v/>
      </c>
      <c r="P86" s="18">
        <f>IFERROR(P40*$BG40*(1+($BI40-1)*P$32)*($D$29*$BH40+(1-$D$29)*P$31),"")</f>
        <v/>
      </c>
      <c r="Q86" s="18">
        <f>IFERROR(Q40*$BG40*(1+($BI40-1)*Q$32)*($D$29*$BH40+(1-$D$29)*Q$31),"")</f>
        <v/>
      </c>
      <c r="R86" s="18">
        <f>IFERROR(R40*$BG40*(1+($BI40-1)*R$32)*($D$29*$BH40+(1-$D$29)*R$31),"")</f>
        <v/>
      </c>
      <c r="S86" s="18">
        <f>IFERROR(S40*$BG40*(1+($BI40-1)*S$32)*($D$29*$BH40+(1-$D$29)*S$31),"")</f>
        <v/>
      </c>
      <c r="T86" s="18">
        <f>IFERROR(T40*$BG40*(1+($BI40-1)*T$32)*($D$29*$BH40+(1-$D$29)*T$31),"")</f>
        <v/>
      </c>
      <c r="U86" s="18">
        <f>IFERROR(U40*$BG40*(1+($BI40-1)*U$32)*($D$29*$BH40+(1-$D$29)*U$31),"")</f>
        <v/>
      </c>
    </row>
    <row r="87">
      <c r="A87" t="inlineStr">
        <is>
          <t>20250610800109</t>
        </is>
      </c>
      <c r="B87" t="inlineStr">
        <is>
          <t>CONT</t>
        </is>
      </c>
      <c r="C87" t="n">
        <v>8</v>
      </c>
      <c r="D87" t="inlineStr">
        <is>
          <t>컨테이너선 8척</t>
        </is>
      </c>
      <c r="L87" s="18">
        <f>IFERROR(L41*$BG41*(1+($BI41-1)*L$32)*($D$29*$BH41+(1-$D$29)*L$31),"")</f>
        <v/>
      </c>
      <c r="M87" s="18">
        <f>IFERROR(M41*$BG41*(1+($BI41-1)*M$32)*($D$29*$BH41+(1-$D$29)*M$31),"")</f>
        <v/>
      </c>
      <c r="N87" s="18">
        <f>IFERROR(N41*$BG41*(1+($BI41-1)*N$32)*($D$29*$BH41+(1-$D$29)*N$31),"")</f>
        <v/>
      </c>
      <c r="O87" s="18">
        <f>IFERROR(O41*$BG41*(1+($BI41-1)*O$32)*($D$29*$BH41+(1-$D$29)*O$31),"")</f>
        <v/>
      </c>
      <c r="P87" s="18">
        <f>IFERROR(P41*$BG41*(1+($BI41-1)*P$32)*($D$29*$BH41+(1-$D$29)*P$31),"")</f>
        <v/>
      </c>
      <c r="Q87" s="18">
        <f>IFERROR(Q41*$BG41*(1+($BI41-1)*Q$32)*($D$29*$BH41+(1-$D$29)*Q$31),"")</f>
        <v/>
      </c>
      <c r="R87" s="18">
        <f>IFERROR(R41*$BG41*(1+($BI41-1)*R$32)*($D$29*$BH41+(1-$D$29)*R$31),"")</f>
        <v/>
      </c>
      <c r="S87" s="18">
        <f>IFERROR(S41*$BG41*(1+($BI41-1)*S$32)*($D$29*$BH41+(1-$D$29)*S$31),"")</f>
        <v/>
      </c>
      <c r="T87" s="18">
        <f>IFERROR(T41*$BG41*(1+($BI41-1)*T$32)*($D$29*$BH41+(1-$D$29)*T$31),"")</f>
        <v/>
      </c>
      <c r="U87" s="18">
        <f>IFERROR(U41*$BG41*(1+($BI41-1)*U$32)*($D$29*$BH41+(1-$D$29)*U$31),"")</f>
        <v/>
      </c>
      <c r="V87" s="18">
        <f>IFERROR(V41*$BG41*(1+($BI41-1)*V$32)*($D$29*$BH41+(1-$D$29)*V$31),"")</f>
        <v/>
      </c>
      <c r="W87" s="18">
        <f>IFERROR(W41*$BG41*(1+($BI41-1)*W$32)*($D$29*$BH41+(1-$D$29)*W$31),"")</f>
        <v/>
      </c>
      <c r="X87" s="18">
        <f>IFERROR(X41*$BG41*(1+($BI41-1)*X$32)*($D$29*$BH41+(1-$D$29)*X$31),"")</f>
        <v/>
      </c>
      <c r="Y87" s="18">
        <f>IFERROR(Y41*$BG41*(1+($BI41-1)*Y$32)*($D$29*$BH41+(1-$D$29)*Y$31),"")</f>
        <v/>
      </c>
      <c r="Z87" s="18">
        <f>IFERROR(Z41*$BG41*(1+($BI41-1)*Z$32)*($D$29*$BH41+(1-$D$29)*Z$31),"")</f>
        <v/>
      </c>
    </row>
    <row r="88">
      <c r="A88" t="inlineStr">
        <is>
          <t>20250613800119</t>
        </is>
      </c>
      <c r="B88" t="inlineStr">
        <is>
          <t>VLCC</t>
        </is>
      </c>
      <c r="C88" t="n">
        <v>2</v>
      </c>
      <c r="D88" t="inlineStr">
        <is>
          <t>VLCC 2척</t>
        </is>
      </c>
      <c r="L88" s="18">
        <f>IFERROR(L42*$BG42*(1+($BI42-1)*L$32)*($D$29*$BH42+(1-$D$29)*L$31),"")</f>
        <v/>
      </c>
      <c r="M88" s="18">
        <f>IFERROR(M42*$BG42*(1+($BI42-1)*M$32)*($D$29*$BH42+(1-$D$29)*M$31),"")</f>
        <v/>
      </c>
      <c r="N88" s="18">
        <f>IFERROR(N42*$BG42*(1+($BI42-1)*N$32)*($D$29*$BH42+(1-$D$29)*N$31),"")</f>
        <v/>
      </c>
      <c r="O88" s="18">
        <f>IFERROR(O42*$BG42*(1+($BI42-1)*O$32)*($D$29*$BH42+(1-$D$29)*O$31),"")</f>
        <v/>
      </c>
      <c r="P88" s="18">
        <f>IFERROR(P42*$BG42*(1+($BI42-1)*P$32)*($D$29*$BH42+(1-$D$29)*P$31),"")</f>
        <v/>
      </c>
      <c r="Q88" s="18">
        <f>IFERROR(Q42*$BG42*(1+($BI42-1)*Q$32)*($D$29*$BH42+(1-$D$29)*Q$31),"")</f>
        <v/>
      </c>
      <c r="R88" s="18">
        <f>IFERROR(R42*$BG42*(1+($BI42-1)*R$32)*($D$29*$BH42+(1-$D$29)*R$31),"")</f>
        <v/>
      </c>
      <c r="S88" s="18">
        <f>IFERROR(S42*$BG42*(1+($BI42-1)*S$32)*($D$29*$BH42+(1-$D$29)*S$31),"")</f>
        <v/>
      </c>
      <c r="T88" s="18">
        <f>IFERROR(T42*$BG42*(1+($BI42-1)*T$32)*($D$29*$BH42+(1-$D$29)*T$31),"")</f>
        <v/>
      </c>
      <c r="U88" s="18">
        <f>IFERROR(U42*$BG42*(1+($BI42-1)*U$32)*($D$29*$BH42+(1-$D$29)*U$31),"")</f>
        <v/>
      </c>
    </row>
    <row r="89">
      <c r="A89" t="inlineStr">
        <is>
          <t>20250708800090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IFERROR(M43*$BG43*(1+($BI43-1)*M$32)*($D$29*$BH43+(1-$D$29)*M$31),"")</f>
        <v/>
      </c>
      <c r="N89" s="18">
        <f>IFERROR(N43*$BG43*(1+($BI43-1)*N$32)*($D$29*$BH43+(1-$D$29)*N$31),"")</f>
        <v/>
      </c>
      <c r="O89" s="18">
        <f>IFERROR(O43*$BG43*(1+($BI43-1)*O$32)*($D$29*$BH43+(1-$D$29)*O$31),"")</f>
        <v/>
      </c>
      <c r="P89" s="18">
        <f>IFERROR(P43*$BG43*(1+($BI43-1)*P$32)*($D$29*$BH43+(1-$D$29)*P$31),"")</f>
        <v/>
      </c>
      <c r="Q89" s="18">
        <f>IFERROR(Q43*$BG43*(1+($BI43-1)*Q$32)*($D$29*$BH43+(1-$D$29)*Q$31),"")</f>
        <v/>
      </c>
      <c r="R89" s="18">
        <f>IFERROR(R43*$BG43*(1+($BI43-1)*R$32)*($D$29*$BH43+(1-$D$29)*R$31),"")</f>
        <v/>
      </c>
      <c r="S89" s="18">
        <f>IFERROR(S43*$BG43*(1+($BI43-1)*S$32)*($D$29*$BH43+(1-$D$29)*S$31),"")</f>
        <v/>
      </c>
      <c r="T89" s="18">
        <f>IFERROR(T43*$BG43*(1+($BI43-1)*T$32)*($D$29*$BH43+(1-$D$29)*T$31),"")</f>
        <v/>
      </c>
      <c r="U89" s="18">
        <f>IFERROR(U43*$BG43*(1+($BI43-1)*U$32)*($D$29*$BH43+(1-$D$29)*U$31),"")</f>
        <v/>
      </c>
      <c r="V89" s="18">
        <f>IFERROR(V43*$BG43*(1+($BI43-1)*V$32)*($D$29*$BH43+(1-$D$29)*V$31),"")</f>
        <v/>
      </c>
      <c r="W89" s="18">
        <f>IFERROR(W43*$BG43*(1+($BI43-1)*W$32)*($D$29*$BH43+(1-$D$29)*W$31),"")</f>
        <v/>
      </c>
    </row>
    <row r="90">
      <c r="A90" t="inlineStr">
        <is>
          <t>20250908800058</t>
        </is>
      </c>
      <c r="B90" t="inlineStr">
        <is>
          <t>CONT</t>
        </is>
      </c>
      <c r="C90" t="n">
        <v>2</v>
      </c>
      <c r="D90" t="inlineStr">
        <is>
          <t>컨테이너선 2척</t>
        </is>
      </c>
      <c r="M90" s="18">
        <f>IFERROR(M44*$BG44*(1+($BI44-1)*M$32)*($D$29*$BH44+(1-$D$29)*M$31),"")</f>
        <v/>
      </c>
      <c r="N90" s="18">
        <f>IFERROR(N44*$BG44*(1+($BI44-1)*N$32)*($D$29*$BH44+(1-$D$29)*N$31),"")</f>
        <v/>
      </c>
      <c r="O90" s="18">
        <f>IFERROR(O44*$BG44*(1+($BI44-1)*O$32)*($D$29*$BH44+(1-$D$29)*O$31),"")</f>
        <v/>
      </c>
      <c r="P90" s="18">
        <f>IFERROR(P44*$BG44*(1+($BI44-1)*P$32)*($D$29*$BH44+(1-$D$29)*P$31),"")</f>
        <v/>
      </c>
      <c r="Q90" s="18">
        <f>IFERROR(Q44*$BG44*(1+($BI44-1)*Q$32)*($D$29*$BH44+(1-$D$29)*Q$31),"")</f>
        <v/>
      </c>
      <c r="R90" s="18">
        <f>IFERROR(R44*$BG44*(1+($BI44-1)*R$32)*($D$29*$BH44+(1-$D$29)*R$31),"")</f>
        <v/>
      </c>
      <c r="S90" s="18">
        <f>IFERROR(S44*$BG44*(1+($BI44-1)*S$32)*($D$29*$BH44+(1-$D$29)*S$31),"")</f>
        <v/>
      </c>
      <c r="T90" s="18">
        <f>IFERROR(T44*$BG44*(1+($BI44-1)*T$32)*($D$29*$BH44+(1-$D$29)*T$31),"")</f>
        <v/>
      </c>
      <c r="U90" s="18">
        <f>IFERROR(U44*$BG44*(1+($BI44-1)*U$32)*($D$29*$BH44+(1-$D$29)*U$31),"")</f>
        <v/>
      </c>
      <c r="V90" s="18">
        <f>IFERROR(V44*$BG44*(1+($BI44-1)*V$32)*($D$29*$BH44+(1-$D$29)*V$31),"")</f>
        <v/>
      </c>
      <c r="W90" s="18">
        <f>IFERROR(W44*$BG44*(1+($BI44-1)*W$32)*($D$29*$BH44+(1-$D$29)*W$31),"")</f>
        <v/>
      </c>
    </row>
    <row r="91">
      <c r="A91" t="inlineStr">
        <is>
          <t>20251020800152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N91" s="18">
        <f>IFERROR(N45*$BG45*(1+($BI45-1)*N$32)*($D$29*$BH45+(1-$D$29)*N$31),"")</f>
        <v/>
      </c>
      <c r="O91" s="18">
        <f>IFERROR(O45*$BG45*(1+($BI45-1)*O$32)*($D$29*$BH45+(1-$D$29)*O$31),"")</f>
        <v/>
      </c>
      <c r="P91" s="18">
        <f>IFERROR(P45*$BG45*(1+($BI45-1)*P$32)*($D$29*$BH45+(1-$D$29)*P$31),"")</f>
        <v/>
      </c>
      <c r="Q91" s="18">
        <f>IFERROR(Q45*$BG45*(1+($BI45-1)*Q$32)*($D$29*$BH45+(1-$D$29)*Q$31),"")</f>
        <v/>
      </c>
      <c r="R91" s="18">
        <f>IFERROR(R45*$BG45*(1+($BI45-1)*R$32)*($D$29*$BH45+(1-$D$29)*R$31),"")</f>
        <v/>
      </c>
      <c r="S91" s="18">
        <f>IFERROR(S45*$BG45*(1+($BI45-1)*S$32)*($D$29*$BH45+(1-$D$29)*S$31),"")</f>
        <v/>
      </c>
      <c r="T91" s="18">
        <f>IFERROR(T45*$BG45*(1+($BI45-1)*T$32)*($D$29*$BH45+(1-$D$29)*T$31),"")</f>
        <v/>
      </c>
      <c r="U91" s="18">
        <f>IFERROR(U45*$BG45*(1+($BI45-1)*U$32)*($D$29*$BH45+(1-$D$29)*U$31),"")</f>
        <v/>
      </c>
      <c r="V91" s="18">
        <f>IFERROR(V45*$BG45*(1+($BI45-1)*V$32)*($D$29*$BH45+(1-$D$29)*V$31),"")</f>
        <v/>
      </c>
    </row>
    <row r="92">
      <c r="A92" t="inlineStr">
        <is>
          <t>20251030800164</t>
        </is>
      </c>
      <c r="B92" t="inlineStr">
        <is>
          <t>NAVAL</t>
        </is>
      </c>
      <c r="D92" t="inlineStr">
        <is>
          <t>KSS-II 성능개량 체계개발사업</t>
        </is>
      </c>
      <c r="N92" s="18">
        <f>IFERROR(N46*$BG46*(1+($BI46-1)*N$32)*($D$29*$BH46+(1-$D$29)*N$31),"")</f>
        <v/>
      </c>
      <c r="O92" s="18">
        <f>IFERROR(O46*$BG46*(1+($BI46-1)*O$32)*($D$29*$BH46+(1-$D$29)*O$31),"")</f>
        <v/>
      </c>
      <c r="P92" s="18">
        <f>IFERROR(P46*$BG46*(1+($BI46-1)*P$32)*($D$29*$BH46+(1-$D$29)*P$31),"")</f>
        <v/>
      </c>
      <c r="Q92" s="18">
        <f>IFERROR(Q46*$BG46*(1+($BI46-1)*Q$32)*($D$29*$BH46+(1-$D$29)*Q$31),"")</f>
        <v/>
      </c>
      <c r="R92" s="18">
        <f>IFERROR(R46*$BG46*(1+($BI46-1)*R$32)*($D$29*$BH46+(1-$D$29)*R$31),"")</f>
        <v/>
      </c>
      <c r="S92" s="18">
        <f>IFERROR(S46*$BG46*(1+($BI46-1)*S$32)*($D$29*$BH46+(1-$D$29)*S$31),"")</f>
        <v/>
      </c>
      <c r="T92" s="18">
        <f>IFERROR(T46*$BG46*(1+($BI46-1)*T$32)*($D$29*$BH46+(1-$D$29)*T$31),"")</f>
        <v/>
      </c>
      <c r="U92" s="18">
        <f>IFERROR(U46*$BG46*(1+($BI46-1)*U$32)*($D$29*$BH46+(1-$D$29)*U$31),"")</f>
        <v/>
      </c>
      <c r="V92" s="18">
        <f>IFERROR(V46*$BG46*(1+($BI46-1)*V$32)*($D$29*$BH46+(1-$D$29)*V$31),"")</f>
        <v/>
      </c>
      <c r="W92" s="18">
        <f>IFERROR(W46*$BG46*(1+($BI46-1)*W$32)*($D$29*$BH46+(1-$D$29)*W$31),"")</f>
        <v/>
      </c>
      <c r="X92" s="18">
        <f>IFERROR(X46*$BG46*(1+($BI46-1)*X$32)*($D$29*$BH46+(1-$D$29)*X$31),"")</f>
        <v/>
      </c>
      <c r="Y92" s="18">
        <f>IFERROR(Y46*$BG46*(1+($BI46-1)*Y$32)*($D$29*$BH46+(1-$D$29)*Y$31),"")</f>
        <v/>
      </c>
      <c r="Z92" s="18">
        <f>IFERROR(Z46*$BG46*(1+($BI46-1)*Z$32)*($D$29*$BH46+(1-$D$29)*Z$31),"")</f>
        <v/>
      </c>
      <c r="AA92" s="18">
        <f>IFERROR(AA46*$BG46*(1+($BI46-1)*AA$32)*($D$29*$BH46+(1-$D$29)*AA$31),"")</f>
        <v/>
      </c>
      <c r="AB92" s="18">
        <f>IFERROR(AB46*$BG46*(1+($BI46-1)*AB$32)*($D$29*$BH46+(1-$D$29)*AB$31),"")</f>
        <v/>
      </c>
      <c r="AC92" s="18">
        <f>IFERROR(AC46*$BG46*(1+($BI46-1)*AC$32)*($D$29*$BH46+(1-$D$29)*AC$31),"")</f>
        <v/>
      </c>
      <c r="AD92" s="18">
        <f>IFERROR(AD46*$BG46*(1+($BI46-1)*AD$32)*($D$29*$BH46+(1-$D$29)*AD$31),"")</f>
        <v/>
      </c>
      <c r="AE92" s="18">
        <f>IFERROR(AE46*$BG46*(1+($BI46-1)*AE$32)*($D$29*$BH46+(1-$D$29)*AE$31),"")</f>
        <v/>
      </c>
      <c r="AF92" s="18">
        <f>IFERROR(AF46*$BG46*(1+($BI46-1)*AF$32)*($D$29*$BH46+(1-$D$29)*AF$31),"")</f>
        <v/>
      </c>
      <c r="AG92" s="18">
        <f>IFERROR(AG46*$BG46*(1+($BI46-1)*AG$32)*($D$29*$BH46+(1-$D$29)*AG$31),"")</f>
        <v/>
      </c>
      <c r="AH92" s="18">
        <f>IFERROR(AH46*$BG46*(1+($BI46-1)*AH$32)*($D$29*$BH46+(1-$D$29)*AH$31),"")</f>
        <v/>
      </c>
      <c r="AI92" s="18">
        <f>IFERROR(AI46*$BG46*(1+($BI46-1)*AI$32)*($D$29*$BH46+(1-$D$29)*AI$31),"")</f>
        <v/>
      </c>
      <c r="AJ92" s="18">
        <f>IFERROR(AJ46*$BG46*(1+($BI46-1)*AJ$32)*($D$29*$BH46+(1-$D$29)*AJ$31),"")</f>
        <v/>
      </c>
      <c r="AK92" s="18">
        <f>IFERROR(AK46*$BG46*(1+($BI46-1)*AK$32)*($D$29*$BH46+(1-$D$29)*AK$31),"")</f>
        <v/>
      </c>
      <c r="AL92" s="18">
        <f>IFERROR(AL46*$BG46*(1+($BI46-1)*AL$32)*($D$29*$BH46+(1-$D$29)*AL$31),"")</f>
        <v/>
      </c>
      <c r="AM92" s="18">
        <f>IFERROR(AM46*$BG46*(1+($BI46-1)*AM$32)*($D$29*$BH46+(1-$D$29)*AM$31),"")</f>
        <v/>
      </c>
      <c r="AN92" s="18">
        <f>IFERROR(AN46*$BG46*(1+($BI46-1)*AN$32)*($D$29*$BH46+(1-$D$29)*AN$31),"")</f>
        <v/>
      </c>
      <c r="AO92" s="18">
        <f>IFERROR(AO46*$BG46*(1+($BI46-1)*AO$32)*($D$29*$BH46+(1-$D$29)*AO$31),"")</f>
        <v/>
      </c>
      <c r="AP92" s="18">
        <f>IFERROR(AP46*$BG46*(1+($BI46-1)*AP$32)*($D$29*$BH46+(1-$D$29)*AP$31),"")</f>
        <v/>
      </c>
      <c r="AQ92" s="18">
        <f>IFERROR(AQ46*$BG46*(1+($BI46-1)*AQ$32)*($D$29*$BH46+(1-$D$29)*AQ$31),"")</f>
        <v/>
      </c>
      <c r="AR92" s="18">
        <f>IFERROR(AR46*$BG46*(1+($BI46-1)*AR$32)*($D$29*$BH46+(1-$D$29)*AR$31),"")</f>
        <v/>
      </c>
      <c r="AS92" s="18">
        <f>IFERROR(AS46*$BG46*(1+($BI46-1)*AS$32)*($D$29*$BH46+(1-$D$29)*AS$31),"")</f>
        <v/>
      </c>
      <c r="AT92" s="18">
        <f>IFERROR(AT46*$BG46*(1+($BI46-1)*AT$32)*($D$29*$BH46+(1-$D$29)*AT$31),"")</f>
        <v/>
      </c>
    </row>
    <row r="93">
      <c r="A93" t="inlineStr">
        <is>
          <t>20251110800036</t>
        </is>
      </c>
      <c r="B93" t="inlineStr">
        <is>
          <t>CONT</t>
        </is>
      </c>
      <c r="C93" t="n">
        <v>2</v>
      </c>
      <c r="D93" t="inlineStr">
        <is>
          <t>컨테이너선 2척</t>
        </is>
      </c>
      <c r="N93" s="18">
        <f>IFERROR(N47*$BG47*(1+($BI47-1)*N$32)*($D$29*$BH47+(1-$D$29)*N$31),"")</f>
        <v/>
      </c>
      <c r="O93" s="18">
        <f>IFERROR(O47*$BG47*(1+($BI47-1)*O$32)*($D$29*$BH47+(1-$D$29)*O$31),"")</f>
        <v/>
      </c>
      <c r="P93" s="18">
        <f>IFERROR(P47*$BG47*(1+($BI47-1)*P$32)*($D$29*$BH47+(1-$D$29)*P$31),"")</f>
        <v/>
      </c>
      <c r="Q93" s="18">
        <f>IFERROR(Q47*$BG47*(1+($BI47-1)*Q$32)*($D$29*$BH47+(1-$D$29)*Q$31),"")</f>
        <v/>
      </c>
      <c r="R93" s="18">
        <f>IFERROR(R47*$BG47*(1+($BI47-1)*R$32)*($D$29*$BH47+(1-$D$29)*R$31),"")</f>
        <v/>
      </c>
      <c r="S93" s="18">
        <f>IFERROR(S47*$BG47*(1+($BI47-1)*S$32)*($D$29*$BH47+(1-$D$29)*S$31),"")</f>
        <v/>
      </c>
      <c r="T93" s="18">
        <f>IFERROR(T47*$BG47*(1+($BI47-1)*T$32)*($D$29*$BH47+(1-$D$29)*T$31),"")</f>
        <v/>
      </c>
      <c r="U93" s="18">
        <f>IFERROR(U47*$BG47*(1+($BI47-1)*U$32)*($D$29*$BH47+(1-$D$29)*U$31),"")</f>
        <v/>
      </c>
      <c r="V93" s="18">
        <f>IFERROR(V47*$BG47*(1+($BI47-1)*V$32)*($D$29*$BH47+(1-$D$29)*V$31),"")</f>
        <v/>
      </c>
      <c r="W93" s="18">
        <f>IFERROR(W47*$BG47*(1+($BI47-1)*W$32)*($D$29*$BH47+(1-$D$29)*W$31),"")</f>
        <v/>
      </c>
      <c r="X93" s="18">
        <f>IFERROR(X47*$BG47*(1+($BI47-1)*X$32)*($D$29*$BH47+(1-$D$29)*X$31),"")</f>
        <v/>
      </c>
      <c r="Y93" s="18">
        <f>IFERROR(Y47*$BG47*(1+($BI47-1)*Y$32)*($D$29*$BH47+(1-$D$29)*Y$31),"")</f>
        <v/>
      </c>
      <c r="Z93" s="18">
        <f>IFERROR(Z47*$BG47*(1+($BI47-1)*Z$32)*($D$29*$BH47+(1-$D$29)*Z$31),"")</f>
        <v/>
      </c>
    </row>
    <row r="94">
      <c r="A94" t="inlineStr">
        <is>
          <t>20251114800376</t>
        </is>
      </c>
      <c r="B94" t="inlineStr">
        <is>
          <t>VLCC</t>
        </is>
      </c>
      <c r="C94" t="n">
        <v>2</v>
      </c>
      <c r="D94" t="inlineStr">
        <is>
          <t>157,000 DWT 원유운반선 2척</t>
        </is>
      </c>
      <c r="N94" s="18">
        <f>IFERROR(N48*$BG48*(1+($BI48-1)*N$32)*($D$29*$BH48+(1-$D$29)*N$31),"")</f>
        <v/>
      </c>
      <c r="O94" s="18">
        <f>IFERROR(O48*$BG48*(1+($BI48-1)*O$32)*($D$29*$BH48+(1-$D$29)*O$31),"")</f>
        <v/>
      </c>
      <c r="P94" s="18">
        <f>IFERROR(P48*$BG48*(1+($BI48-1)*P$32)*($D$29*$BH48+(1-$D$29)*P$31),"")</f>
        <v/>
      </c>
      <c r="Q94" s="18">
        <f>IFERROR(Q48*$BG48*(1+($BI48-1)*Q$32)*($D$29*$BH48+(1-$D$29)*Q$31),"")</f>
        <v/>
      </c>
      <c r="R94" s="18">
        <f>IFERROR(R48*$BG48*(1+($BI48-1)*R$32)*($D$29*$BH48+(1-$D$29)*R$31),"")</f>
        <v/>
      </c>
      <c r="S94" s="18">
        <f>IFERROR(S48*$BG48*(1+($BI48-1)*S$32)*($D$29*$BH48+(1-$D$29)*S$31),"")</f>
        <v/>
      </c>
      <c r="T94" s="18">
        <f>IFERROR(T48*$BG48*(1+($BI48-1)*T$32)*($D$29*$BH48+(1-$D$29)*T$31),"")</f>
        <v/>
      </c>
      <c r="U94" s="18">
        <f>IFERROR(U48*$BG48*(1+($BI48-1)*U$32)*($D$29*$BH48+(1-$D$29)*U$31),"")</f>
        <v/>
      </c>
      <c r="V94" s="18">
        <f>IFERROR(V48*$BG48*(1+($BI48-1)*V$32)*($D$29*$BH48+(1-$D$29)*V$31),"")</f>
        <v/>
      </c>
      <c r="W94" s="18">
        <f>IFERROR(W48*$BG48*(1+($BI48-1)*W$32)*($D$29*$BH48+(1-$D$29)*W$31),"")</f>
        <v/>
      </c>
      <c r="X94" s="18">
        <f>IFERROR(X48*$BG48*(1+($BI48-1)*X$32)*($D$29*$BH48+(1-$D$29)*X$31),"")</f>
        <v/>
      </c>
      <c r="Y94" s="18">
        <f>IFERROR(Y48*$BG48*(1+($BI48-1)*Y$32)*($D$29*$BH48+(1-$D$29)*Y$31),"")</f>
        <v/>
      </c>
      <c r="Z94" s="18">
        <f>IFERROR(Z48*$BG48*(1+($BI48-1)*Z$32)*($D$29*$BH48+(1-$D$29)*Z$31),"")</f>
        <v/>
      </c>
    </row>
    <row r="95">
      <c r="A95" t="inlineStr">
        <is>
          <t>20251124800125</t>
        </is>
      </c>
      <c r="B95" t="inlineStr">
        <is>
          <t>CONT</t>
        </is>
      </c>
      <c r="C95" t="n">
        <v>2</v>
      </c>
      <c r="D95" t="inlineStr">
        <is>
          <t>컨테이너선 2척</t>
        </is>
      </c>
      <c r="N95" s="18">
        <f>IFERROR(N49*$BG49*(1+($BI49-1)*N$32)*($D$29*$BH49+(1-$D$29)*N$31),"")</f>
        <v/>
      </c>
      <c r="O95" s="18">
        <f>IFERROR(O49*$BG49*(1+($BI49-1)*O$32)*($D$29*$BH49+(1-$D$29)*O$31),"")</f>
        <v/>
      </c>
      <c r="P95" s="18">
        <f>IFERROR(P49*$BG49*(1+($BI49-1)*P$32)*($D$29*$BH49+(1-$D$29)*P$31),"")</f>
        <v/>
      </c>
      <c r="Q95" s="18">
        <f>IFERROR(Q49*$BG49*(1+($BI49-1)*Q$32)*($D$29*$BH49+(1-$D$29)*Q$31),"")</f>
        <v/>
      </c>
      <c r="R95" s="18">
        <f>IFERROR(R49*$BG49*(1+($BI49-1)*R$32)*($D$29*$BH49+(1-$D$29)*R$31),"")</f>
        <v/>
      </c>
      <c r="S95" s="18">
        <f>IFERROR(S49*$BG49*(1+($BI49-1)*S$32)*($D$29*$BH49+(1-$D$29)*S$31),"")</f>
        <v/>
      </c>
      <c r="T95" s="18">
        <f>IFERROR(T49*$BG49*(1+($BI49-1)*T$32)*($D$29*$BH49+(1-$D$29)*T$31),"")</f>
        <v/>
      </c>
      <c r="U95" s="18">
        <f>IFERROR(U49*$BG49*(1+($BI49-1)*U$32)*($D$29*$BH49+(1-$D$29)*U$31),"")</f>
        <v/>
      </c>
      <c r="V95" s="18">
        <f>IFERROR(V49*$BG49*(1+($BI49-1)*V$32)*($D$29*$BH49+(1-$D$29)*V$31),"")</f>
        <v/>
      </c>
      <c r="W95" s="18">
        <f>IFERROR(W49*$BG49*(1+($BI49-1)*W$32)*($D$29*$BH49+(1-$D$29)*W$31),"")</f>
        <v/>
      </c>
      <c r="X95" s="18">
        <f>IFERROR(X49*$BG49*(1+($BI49-1)*X$32)*($D$29*$BH49+(1-$D$29)*X$31),"")</f>
        <v/>
      </c>
      <c r="Y95" s="18">
        <f>IFERROR(Y49*$BG49*(1+($BI49-1)*Y$32)*($D$29*$BH49+(1-$D$29)*Y$31),"")</f>
        <v/>
      </c>
    </row>
    <row r="96">
      <c r="A96" t="inlineStr">
        <is>
          <t>20251211800371</t>
        </is>
      </c>
      <c r="B96" t="inlineStr">
        <is>
          <t>VLGC</t>
        </is>
      </c>
      <c r="C96" t="n">
        <v>2</v>
      </c>
      <c r="D96" t="inlineStr">
        <is>
          <t>VLAC 2척</t>
        </is>
      </c>
      <c r="N96" s="18">
        <f>IFERROR(N50*$BG50*(1+($BI50-1)*N$32)*($D$29*$BH50+(1-$D$29)*N$31),"")</f>
        <v/>
      </c>
      <c r="O96" s="18">
        <f>IFERROR(O50*$BG50*(1+($BI50-1)*O$32)*($D$29*$BH50+(1-$D$29)*O$31),"")</f>
        <v/>
      </c>
      <c r="P96" s="18">
        <f>IFERROR(P50*$BG50*(1+($BI50-1)*P$32)*($D$29*$BH50+(1-$D$29)*P$31),"")</f>
        <v/>
      </c>
      <c r="Q96" s="18">
        <f>IFERROR(Q50*$BG50*(1+($BI50-1)*Q$32)*($D$29*$BH50+(1-$D$29)*Q$31),"")</f>
        <v/>
      </c>
      <c r="R96" s="18">
        <f>IFERROR(R50*$BG50*(1+($BI50-1)*R$32)*($D$29*$BH50+(1-$D$29)*R$31),"")</f>
        <v/>
      </c>
      <c r="S96" s="18">
        <f>IFERROR(S50*$BG50*(1+($BI50-1)*S$32)*($D$29*$BH50+(1-$D$29)*S$31),"")</f>
        <v/>
      </c>
      <c r="T96" s="18">
        <f>IFERROR(T50*$BG50*(1+($BI50-1)*T$32)*($D$29*$BH50+(1-$D$29)*T$31),"")</f>
        <v/>
      </c>
      <c r="U96" s="18">
        <f>IFERROR(U50*$BG50*(1+($BI50-1)*U$32)*($D$29*$BH50+(1-$D$29)*U$31),"")</f>
        <v/>
      </c>
      <c r="V96" s="18">
        <f>IFERROR(V50*$BG50*(1+($BI50-1)*V$32)*($D$29*$BH50+(1-$D$29)*V$31),"")</f>
        <v/>
      </c>
      <c r="W96" s="18">
        <f>IFERROR(W50*$BG50*(1+($BI50-1)*W$32)*($D$29*$BH50+(1-$D$29)*W$31),"")</f>
        <v/>
      </c>
      <c r="X96" s="18">
        <f>IFERROR(X50*$BG50*(1+($BI50-1)*X$32)*($D$29*$BH50+(1-$D$29)*X$31),"")</f>
        <v/>
      </c>
      <c r="Y96" s="18">
        <f>IFERROR(Y50*$BG50*(1+($BI50-1)*Y$32)*($D$29*$BH50+(1-$D$29)*Y$31),"")</f>
        <v/>
      </c>
    </row>
    <row r="97">
      <c r="A97" t="inlineStr">
        <is>
          <t>20251224800145</t>
        </is>
      </c>
      <c r="B97" t="inlineStr">
        <is>
          <t>PC</t>
        </is>
      </c>
      <c r="C97" t="n">
        <v>5</v>
      </c>
      <c r="D97" t="inlineStr">
        <is>
          <t>P/C선 5척</t>
        </is>
      </c>
      <c r="N97" s="18">
        <f>IFERROR(N51*$BG51*(1+($BI51-1)*N$32)*($D$29*$BH51+(1-$D$29)*N$31),"")</f>
        <v/>
      </c>
      <c r="O97" s="18">
        <f>IFERROR(O51*$BG51*(1+($BI51-1)*O$32)*($D$29*$BH51+(1-$D$29)*O$31),"")</f>
        <v/>
      </c>
      <c r="P97" s="18">
        <f>IFERROR(P51*$BG51*(1+($BI51-1)*P$32)*($D$29*$BH51+(1-$D$29)*P$31),"")</f>
        <v/>
      </c>
      <c r="Q97" s="18">
        <f>IFERROR(Q51*$BG51*(1+($BI51-1)*Q$32)*($D$29*$BH51+(1-$D$29)*Q$31),"")</f>
        <v/>
      </c>
      <c r="R97" s="18">
        <f>IFERROR(R51*$BG51*(1+($BI51-1)*R$32)*($D$29*$BH51+(1-$D$29)*R$31),"")</f>
        <v/>
      </c>
      <c r="S97" s="18">
        <f>IFERROR(S51*$BG51*(1+($BI51-1)*S$32)*($D$29*$BH51+(1-$D$29)*S$31),"")</f>
        <v/>
      </c>
      <c r="T97" s="18">
        <f>IFERROR(T51*$BG51*(1+($BI51-1)*T$32)*($D$29*$BH51+(1-$D$29)*T$31),"")</f>
        <v/>
      </c>
      <c r="U97" s="18">
        <f>IFERROR(U51*$BG51*(1+($BI51-1)*U$32)*($D$29*$BH51+(1-$D$29)*U$31),"")</f>
        <v/>
      </c>
      <c r="V97" s="18">
        <f>IFERROR(V51*$BG51*(1+($BI51-1)*V$32)*($D$29*$BH51+(1-$D$29)*V$31),"")</f>
        <v/>
      </c>
      <c r="W97" s="18">
        <f>IFERROR(W51*$BG51*(1+($BI51-1)*W$32)*($D$29*$BH51+(1-$D$29)*W$31),"")</f>
        <v/>
      </c>
      <c r="X97" s="18">
        <f>IFERROR(X51*$BG51*(1+($BI51-1)*X$32)*($D$29*$BH51+(1-$D$29)*X$31),"")</f>
        <v/>
      </c>
      <c r="Y97" s="18">
        <f>IFERROR(Y51*$BG51*(1+($BI51-1)*Y$32)*($D$29*$BH51+(1-$D$29)*Y$31),"")</f>
        <v/>
      </c>
    </row>
    <row r="98">
      <c r="A98" t="inlineStr">
        <is>
          <t>20251226800842</t>
        </is>
      </c>
      <c r="B98" t="inlineStr">
        <is>
          <t>NAVAL</t>
        </is>
      </c>
      <c r="C98" t="n">
        <v>2</v>
      </c>
      <c r="D98" t="inlineStr">
        <is>
          <t>수상함 2척</t>
        </is>
      </c>
      <c r="N98" s="18">
        <f>IFERROR(N52*$BG52*(1+($BI52-1)*N$32)*($D$29*$BH52+(1-$D$29)*N$31),"")</f>
        <v/>
      </c>
      <c r="O98" s="18">
        <f>IFERROR(O52*$BG52*(1+($BI52-1)*O$32)*($D$29*$BH52+(1-$D$29)*O$31),"")</f>
        <v/>
      </c>
      <c r="P98" s="18">
        <f>IFERROR(P52*$BG52*(1+($BI52-1)*P$32)*($D$29*$BH52+(1-$D$29)*P$31),"")</f>
        <v/>
      </c>
      <c r="Q98" s="18">
        <f>IFERROR(Q52*$BG52*(1+($BI52-1)*Q$32)*($D$29*$BH52+(1-$D$29)*Q$31),"")</f>
        <v/>
      </c>
      <c r="R98" s="18">
        <f>IFERROR(R52*$BG52*(1+($BI52-1)*R$32)*($D$29*$BH52+(1-$D$29)*R$31),"")</f>
        <v/>
      </c>
      <c r="S98" s="18">
        <f>IFERROR(S52*$BG52*(1+($BI52-1)*S$32)*($D$29*$BH52+(1-$D$29)*S$31),"")</f>
        <v/>
      </c>
      <c r="T98" s="18">
        <f>IFERROR(T52*$BG52*(1+($BI52-1)*T$32)*($D$29*$BH52+(1-$D$29)*T$31),"")</f>
        <v/>
      </c>
      <c r="U98" s="18">
        <f>IFERROR(U52*$BG52*(1+($BI52-1)*U$32)*($D$29*$BH52+(1-$D$29)*U$31),"")</f>
        <v/>
      </c>
      <c r="V98" s="18">
        <f>IFERROR(V52*$BG52*(1+($BI52-1)*V$32)*($D$29*$BH52+(1-$D$29)*V$31),"")</f>
        <v/>
      </c>
      <c r="W98" s="18">
        <f>IFERROR(W52*$BG52*(1+($BI52-1)*W$32)*($D$29*$BH52+(1-$D$29)*W$31),"")</f>
        <v/>
      </c>
      <c r="X98" s="18">
        <f>IFERROR(X52*$BG52*(1+($BI52-1)*X$32)*($D$29*$BH52+(1-$D$29)*X$31),"")</f>
        <v/>
      </c>
      <c r="Y98" s="18">
        <f>IFERROR(Y52*$BG52*(1+($BI52-1)*Y$32)*($D$29*$BH52+(1-$D$29)*Y$31),"")</f>
        <v/>
      </c>
      <c r="Z98" s="18">
        <f>IFERROR(Z52*$BG52*(1+($BI52-1)*Z$32)*($D$29*$BH52+(1-$D$29)*Z$31),"")</f>
        <v/>
      </c>
      <c r="AA98" s="18">
        <f>IFERROR(AA52*$BG52*(1+($BI52-1)*AA$32)*($D$29*$BH52+(1-$D$29)*AA$31),"")</f>
        <v/>
      </c>
      <c r="AB98" s="18">
        <f>IFERROR(AB52*$BG52*(1+($BI52-1)*AB$32)*($D$29*$BH52+(1-$D$29)*AB$31),"")</f>
        <v/>
      </c>
      <c r="AC98" s="18">
        <f>IFERROR(AC52*$BG52*(1+($BI52-1)*AC$32)*($D$29*$BH52+(1-$D$29)*AC$31),"")</f>
        <v/>
      </c>
      <c r="AD98" s="18">
        <f>IFERROR(AD52*$BG52*(1+($BI52-1)*AD$32)*($D$29*$BH52+(1-$D$29)*AD$31),"")</f>
        <v/>
      </c>
    </row>
    <row r="99">
      <c r="A99" t="inlineStr">
        <is>
          <t>20260106800134</t>
        </is>
      </c>
      <c r="B99" t="inlineStr">
        <is>
          <t>LNGC</t>
        </is>
      </c>
      <c r="C99" t="n">
        <v>4</v>
      </c>
      <c r="D99" t="inlineStr">
        <is>
          <t>LNGC 4척</t>
        </is>
      </c>
      <c r="O99" s="18">
        <f>IFERROR(O53*$BG53*(1+($BI53-1)*O$32)*($D$29*$BH53+(1-$D$29)*O$31),"")</f>
        <v/>
      </c>
      <c r="P99" s="18">
        <f>IFERROR(P53*$BG53*(1+($BI53-1)*P$32)*($D$29*$BH53+(1-$D$29)*P$31),"")</f>
        <v/>
      </c>
      <c r="Q99" s="18">
        <f>IFERROR(Q53*$BG53*(1+($BI53-1)*Q$32)*($D$29*$BH53+(1-$D$29)*Q$31),"")</f>
        <v/>
      </c>
      <c r="R99" s="18">
        <f>IFERROR(R53*$BG53*(1+($BI53-1)*R$32)*($D$29*$BH53+(1-$D$29)*R$31),"")</f>
        <v/>
      </c>
      <c r="S99" s="18">
        <f>IFERROR(S53*$BG53*(1+($BI53-1)*S$32)*($D$29*$BH53+(1-$D$29)*S$31),"")</f>
        <v/>
      </c>
      <c r="T99" s="18">
        <f>IFERROR(T53*$BG53*(1+($BI53-1)*T$32)*($D$29*$BH53+(1-$D$29)*T$31),"")</f>
        <v/>
      </c>
      <c r="U99" s="18">
        <f>IFERROR(U53*$BG53*(1+($BI53-1)*U$32)*($D$29*$BH53+(1-$D$29)*U$31),"")</f>
        <v/>
      </c>
      <c r="V99" s="18">
        <f>IFERROR(V53*$BG53*(1+($BI53-1)*V$32)*($D$29*$BH53+(1-$D$29)*V$31),"")</f>
        <v/>
      </c>
      <c r="W99" s="18">
        <f>IFERROR(W53*$BG53*(1+($BI53-1)*W$32)*($D$29*$BH53+(1-$D$29)*W$31),"")</f>
        <v/>
      </c>
      <c r="X99" s="18">
        <f>IFERROR(X53*$BG53*(1+($BI53-1)*X$32)*($D$29*$BH53+(1-$D$29)*X$31),"")</f>
        <v/>
      </c>
      <c r="Y99" s="18">
        <f>IFERROR(Y53*$BG53*(1+($BI53-1)*Y$32)*($D$29*$BH53+(1-$D$29)*Y$31),"")</f>
        <v/>
      </c>
      <c r="Z99" s="18">
        <f>IFERROR(Z53*$BG53*(1+($BI53-1)*Z$32)*($D$29*$BH53+(1-$D$29)*Z$31),"")</f>
        <v/>
      </c>
      <c r="AA99" s="18">
        <f>IFERROR(AA53*$BG53*(1+($BI53-1)*AA$32)*($D$29*$BH53+(1-$D$29)*AA$31),"")</f>
        <v/>
      </c>
    </row>
    <row r="100">
      <c r="A100" t="inlineStr">
        <is>
          <t>20260120800200</t>
        </is>
      </c>
      <c r="B100" t="inlineStr">
        <is>
          <t>VLCC</t>
        </is>
      </c>
      <c r="C100" t="n">
        <v>2</v>
      </c>
      <c r="D100" t="inlineStr">
        <is>
          <t>157,000 DWT 원유운반선 2척, 115,000 DWT P/C선 2척</t>
        </is>
      </c>
      <c r="O100" s="18">
        <f>IFERROR(O54*$BG54*(1+($BI54-1)*O$32)*($D$29*$BH54+(1-$D$29)*O$31),"")</f>
        <v/>
      </c>
      <c r="P100" s="18">
        <f>IFERROR(P54*$BG54*(1+($BI54-1)*P$32)*($D$29*$BH54+(1-$D$29)*P$31),"")</f>
        <v/>
      </c>
      <c r="Q100" s="18">
        <f>IFERROR(Q54*$BG54*(1+($BI54-1)*Q$32)*($D$29*$BH54+(1-$D$29)*Q$31),"")</f>
        <v/>
      </c>
      <c r="R100" s="18">
        <f>IFERROR(R54*$BG54*(1+($BI54-1)*R$32)*($D$29*$BH54+(1-$D$29)*R$31),"")</f>
        <v/>
      </c>
      <c r="S100" s="18">
        <f>IFERROR(S54*$BG54*(1+($BI54-1)*S$32)*($D$29*$BH54+(1-$D$29)*S$31),"")</f>
        <v/>
      </c>
      <c r="T100" s="18">
        <f>IFERROR(T54*$BG54*(1+($BI54-1)*T$32)*($D$29*$BH54+(1-$D$29)*T$31),"")</f>
        <v/>
      </c>
      <c r="U100" s="18">
        <f>IFERROR(U54*$BG54*(1+($BI54-1)*U$32)*($D$29*$BH54+(1-$D$29)*U$31),"")</f>
        <v/>
      </c>
      <c r="V100" s="18">
        <f>IFERROR(V54*$BG54*(1+($BI54-1)*V$32)*($D$29*$BH54+(1-$D$29)*V$31),"")</f>
        <v/>
      </c>
      <c r="W100" s="18">
        <f>IFERROR(W54*$BG54*(1+($BI54-1)*W$32)*($D$29*$BH54+(1-$D$29)*W$31),"")</f>
        <v/>
      </c>
      <c r="X100" s="18">
        <f>IFERROR(X54*$BG54*(1+($BI54-1)*X$32)*($D$29*$BH54+(1-$D$29)*X$31),"")</f>
        <v/>
      </c>
      <c r="Y100" s="18">
        <f>IFERROR(Y54*$BG54*(1+($BI54-1)*Y$32)*($D$29*$BH54+(1-$D$29)*Y$31),"")</f>
        <v/>
      </c>
      <c r="Z100" s="18">
        <f>IFERROR(Z54*$BG54*(1+($BI54-1)*Z$32)*($D$29*$BH54+(1-$D$29)*Z$31),"")</f>
        <v/>
      </c>
      <c r="AA100" s="18">
        <f>IFERROR(AA54*$BG54*(1+($BI54-1)*AA$32)*($D$29*$BH54+(1-$D$29)*AA$31),"")</f>
        <v/>
      </c>
      <c r="AB100" s="18">
        <f>IFERROR(AB54*$BG54*(1+($BI54-1)*AB$32)*($D$29*$BH54+(1-$D$29)*AB$31),"")</f>
        <v/>
      </c>
    </row>
    <row r="101">
      <c r="A101" t="inlineStr">
        <is>
          <t>20260226800192</t>
        </is>
      </c>
      <c r="B101" t="inlineStr">
        <is>
          <t>LNGC</t>
        </is>
      </c>
      <c r="C101" t="n">
        <v>1</v>
      </c>
      <c r="D101" t="inlineStr">
        <is>
          <t>LNGC 1척</t>
        </is>
      </c>
      <c r="O101" s="18">
        <f>IFERROR(O55*$BG55*(1+($BI55-1)*O$32)*($D$29*$BH55+(1-$D$29)*O$31),"")</f>
        <v/>
      </c>
      <c r="P101" s="18">
        <f>IFERROR(P55*$BG55*(1+($BI55-1)*P$32)*($D$29*$BH55+(1-$D$29)*P$31),"")</f>
        <v/>
      </c>
      <c r="Q101" s="18">
        <f>IFERROR(Q55*$BG55*(1+($BI55-1)*Q$32)*($D$29*$BH55+(1-$D$29)*Q$31),"")</f>
        <v/>
      </c>
      <c r="R101" s="18">
        <f>IFERROR(R55*$BG55*(1+($BI55-1)*R$32)*($D$29*$BH55+(1-$D$29)*R$31),"")</f>
        <v/>
      </c>
      <c r="S101" s="18">
        <f>IFERROR(S55*$BG55*(1+($BI55-1)*S$32)*($D$29*$BH55+(1-$D$29)*S$31),"")</f>
        <v/>
      </c>
      <c r="T101" s="18">
        <f>IFERROR(T55*$BG55*(1+($BI55-1)*T$32)*($D$29*$BH55+(1-$D$29)*T$31),"")</f>
        <v/>
      </c>
      <c r="U101" s="18">
        <f>IFERROR(U55*$BG55*(1+($BI55-1)*U$32)*($D$29*$BH55+(1-$D$29)*U$31),"")</f>
        <v/>
      </c>
      <c r="V101" s="18">
        <f>IFERROR(V55*$BG55*(1+($BI55-1)*V$32)*($D$29*$BH55+(1-$D$29)*V$31),"")</f>
        <v/>
      </c>
      <c r="W101" s="18">
        <f>IFERROR(W55*$BG55*(1+($BI55-1)*W$32)*($D$29*$BH55+(1-$D$29)*W$31),"")</f>
        <v/>
      </c>
      <c r="X101" s="18">
        <f>IFERROR(X55*$BG55*(1+($BI55-1)*X$32)*($D$29*$BH55+(1-$D$29)*X$31),"")</f>
        <v/>
      </c>
      <c r="Y101" s="18">
        <f>IFERROR(Y55*$BG55*(1+($BI55-1)*Y$32)*($D$29*$BH55+(1-$D$29)*Y$31),"")</f>
        <v/>
      </c>
    </row>
    <row r="102">
      <c r="A102" t="inlineStr">
        <is>
          <t>20260227800223</t>
        </is>
      </c>
      <c r="B102" t="inlineStr">
        <is>
          <t>CONT</t>
        </is>
      </c>
      <c r="C102" t="n">
        <v>6</v>
      </c>
      <c r="D102" t="inlineStr">
        <is>
          <t>컨테이너선 6척</t>
        </is>
      </c>
      <c r="O102" s="18">
        <f>IFERROR(O56*$BG56*(1+($BI56-1)*O$32)*($D$29*$BH56+(1-$D$29)*O$31),"")</f>
        <v/>
      </c>
      <c r="P102" s="18">
        <f>IFERROR(P56*$BG56*(1+($BI56-1)*P$32)*($D$29*$BH56+(1-$D$29)*P$31),"")</f>
        <v/>
      </c>
      <c r="Q102" s="18">
        <f>IFERROR(Q56*$BG56*(1+($BI56-1)*Q$32)*($D$29*$BH56+(1-$D$29)*Q$31),"")</f>
        <v/>
      </c>
      <c r="R102" s="18">
        <f>IFERROR(R56*$BG56*(1+($BI56-1)*R$32)*($D$29*$BH56+(1-$D$29)*R$31),"")</f>
        <v/>
      </c>
      <c r="S102" s="18">
        <f>IFERROR(S56*$BG56*(1+($BI56-1)*S$32)*($D$29*$BH56+(1-$D$29)*S$31),"")</f>
        <v/>
      </c>
      <c r="T102" s="18">
        <f>IFERROR(T56*$BG56*(1+($BI56-1)*T$32)*($D$29*$BH56+(1-$D$29)*T$31),"")</f>
        <v/>
      </c>
      <c r="U102" s="18">
        <f>IFERROR(U56*$BG56*(1+($BI56-1)*U$32)*($D$29*$BH56+(1-$D$29)*U$31),"")</f>
        <v/>
      </c>
      <c r="V102" s="18">
        <f>IFERROR(V56*$BG56*(1+($BI56-1)*V$32)*($D$29*$BH56+(1-$D$29)*V$31),"")</f>
        <v/>
      </c>
      <c r="W102" s="18">
        <f>IFERROR(W56*$BG56*(1+($BI56-1)*W$32)*($D$29*$BH56+(1-$D$29)*W$31),"")</f>
        <v/>
      </c>
      <c r="X102" s="18">
        <f>IFERROR(X56*$BG56*(1+($BI56-1)*X$32)*($D$29*$BH56+(1-$D$29)*X$31),"")</f>
        <v/>
      </c>
    </row>
    <row r="103">
      <c r="A103" t="inlineStr">
        <is>
          <t>20260305800836</t>
        </is>
      </c>
      <c r="B103" t="inlineStr">
        <is>
          <t>LNGC</t>
        </is>
      </c>
      <c r="C103" t="n">
        <v>4</v>
      </c>
      <c r="D103" t="inlineStr">
        <is>
          <t>LNGC 4척</t>
        </is>
      </c>
      <c r="O103" s="18">
        <f>IFERROR(O57*$BG57*(1+($BI57-1)*O$32)*($D$29*$BH57+(1-$D$29)*O$31),"")</f>
        <v/>
      </c>
      <c r="P103" s="18">
        <f>IFERROR(P57*$BG57*(1+($BI57-1)*P$32)*($D$29*$BH57+(1-$D$29)*P$31),"")</f>
        <v/>
      </c>
      <c r="Q103" s="18">
        <f>IFERROR(Q57*$BG57*(1+($BI57-1)*Q$32)*($D$29*$BH57+(1-$D$29)*Q$31),"")</f>
        <v/>
      </c>
      <c r="R103" s="18">
        <f>IFERROR(R57*$BG57*(1+($BI57-1)*R$32)*($D$29*$BH57+(1-$D$29)*R$31),"")</f>
        <v/>
      </c>
      <c r="S103" s="18">
        <f>IFERROR(S57*$BG57*(1+($BI57-1)*S$32)*($D$29*$BH57+(1-$D$29)*S$31),"")</f>
        <v/>
      </c>
      <c r="T103" s="18">
        <f>IFERROR(T57*$BG57*(1+($BI57-1)*T$32)*($D$29*$BH57+(1-$D$29)*T$31),"")</f>
        <v/>
      </c>
      <c r="U103" s="18">
        <f>IFERROR(U57*$BG57*(1+($BI57-1)*U$32)*($D$29*$BH57+(1-$D$29)*U$31),"")</f>
        <v/>
      </c>
      <c r="V103" s="18">
        <f>IFERROR(V57*$BG57*(1+($BI57-1)*V$32)*($D$29*$BH57+(1-$D$29)*V$31),"")</f>
        <v/>
      </c>
      <c r="W103" s="18">
        <f>IFERROR(W57*$BG57*(1+($BI57-1)*W$32)*($D$29*$BH57+(1-$D$29)*W$31),"")</f>
        <v/>
      </c>
      <c r="X103" s="18">
        <f>IFERROR(X57*$BG57*(1+($BI57-1)*X$32)*($D$29*$BH57+(1-$D$29)*X$31),"")</f>
        <v/>
      </c>
      <c r="Y103" s="18">
        <f>IFERROR(Y57*$BG57*(1+($BI57-1)*Y$32)*($D$29*$BH57+(1-$D$29)*Y$31),"")</f>
        <v/>
      </c>
      <c r="Z103" s="18">
        <f>IFERROR(Z57*$BG57*(1+($BI57-1)*Z$32)*($D$29*$BH57+(1-$D$29)*Z$31),"")</f>
        <v/>
      </c>
      <c r="AA103" s="18">
        <f>IFERROR(AA57*$BG57*(1+($BI57-1)*AA$32)*($D$29*$BH57+(1-$D$29)*AA$31),"")</f>
        <v/>
      </c>
      <c r="AB103" s="18">
        <f>IFERROR(AB57*$BG57*(1+($BI57-1)*AB$32)*($D$29*$BH57+(1-$D$29)*AB$31),"")</f>
        <v/>
      </c>
      <c r="AC103" s="18">
        <f>IFERROR(AC57*$BG57*(1+($BI57-1)*AC$32)*($D$29*$BH57+(1-$D$29)*AC$31),"")</f>
        <v/>
      </c>
      <c r="AD103" s="18">
        <f>IFERROR(AD57*$BG57*(1+($BI57-1)*AD$32)*($D$29*$BH57+(1-$D$29)*AD$31),"")</f>
        <v/>
      </c>
    </row>
    <row r="104">
      <c r="A104" t="inlineStr">
        <is>
          <t>20260316800220</t>
        </is>
      </c>
      <c r="B104" t="inlineStr">
        <is>
          <t>CONT</t>
        </is>
      </c>
      <c r="C104" t="n">
        <v>10</v>
      </c>
      <c r="D104" t="inlineStr">
        <is>
          <t>컨테이너선 10척</t>
        </is>
      </c>
      <c r="O104" s="18">
        <f>IFERROR(O58*$BG58*(1+($BI58-1)*O$32)*($D$29*$BH58+(1-$D$29)*O$31),"")</f>
        <v/>
      </c>
      <c r="P104" s="18">
        <f>IFERROR(P58*$BG58*(1+($BI58-1)*P$32)*($D$29*$BH58+(1-$D$29)*P$31),"")</f>
        <v/>
      </c>
      <c r="Q104" s="18">
        <f>IFERROR(Q58*$BG58*(1+($BI58-1)*Q$32)*($D$29*$BH58+(1-$D$29)*Q$31),"")</f>
        <v/>
      </c>
      <c r="R104" s="18">
        <f>IFERROR(R58*$BG58*(1+($BI58-1)*R$32)*($D$29*$BH58+(1-$D$29)*R$31),"")</f>
        <v/>
      </c>
      <c r="S104" s="18">
        <f>IFERROR(S58*$BG58*(1+($BI58-1)*S$32)*($D$29*$BH58+(1-$D$29)*S$31),"")</f>
        <v/>
      </c>
      <c r="T104" s="18">
        <f>IFERROR(T58*$BG58*(1+($BI58-1)*T$32)*($D$29*$BH58+(1-$D$29)*T$31),"")</f>
        <v/>
      </c>
      <c r="U104" s="18">
        <f>IFERROR(U58*$BG58*(1+($BI58-1)*U$32)*($D$29*$BH58+(1-$D$29)*U$31),"")</f>
        <v/>
      </c>
      <c r="V104" s="18">
        <f>IFERROR(V58*$BG58*(1+($BI58-1)*V$32)*($D$29*$BH58+(1-$D$29)*V$31),"")</f>
        <v/>
      </c>
      <c r="W104" s="18">
        <f>IFERROR(W58*$BG58*(1+($BI58-1)*W$32)*($D$29*$BH58+(1-$D$29)*W$31),"")</f>
        <v/>
      </c>
      <c r="X104" s="18">
        <f>IFERROR(X58*$BG58*(1+($BI58-1)*X$32)*($D$29*$BH58+(1-$D$29)*X$31),"")</f>
        <v/>
      </c>
      <c r="Y104" s="18">
        <f>IFERROR(Y58*$BG58*(1+($BI58-1)*Y$32)*($D$29*$BH58+(1-$D$29)*Y$31),"")</f>
        <v/>
      </c>
      <c r="Z104" s="18">
        <f>IFERROR(Z58*$BG58*(1+($BI58-1)*Z$32)*($D$29*$BH58+(1-$D$29)*Z$31),"")</f>
        <v/>
      </c>
    </row>
    <row r="105">
      <c r="A105" t="inlineStr">
        <is>
          <t>20260403800571</t>
        </is>
      </c>
      <c r="B105" t="inlineStr">
        <is>
          <t>PC</t>
        </is>
      </c>
      <c r="C105" t="n">
        <v>8</v>
      </c>
      <c r="D105" t="inlineStr">
        <is>
          <t>P/C선 8척</t>
        </is>
      </c>
      <c r="P105" s="18">
        <f>IFERROR(P59*$BG59*(1+($BI59-1)*P$32)*($D$29*$BH59+(1-$D$29)*P$31),"")</f>
        <v/>
      </c>
      <c r="Q105" s="18">
        <f>IFERROR(Q59*$BG59*(1+($BI59-1)*Q$32)*($D$29*$BH59+(1-$D$29)*Q$31),"")</f>
        <v/>
      </c>
      <c r="R105" s="18">
        <f>IFERROR(R59*$BG59*(1+($BI59-1)*R$32)*($D$29*$BH59+(1-$D$29)*R$31),"")</f>
        <v/>
      </c>
      <c r="S105" s="18">
        <f>IFERROR(S59*$BG59*(1+($BI59-1)*S$32)*($D$29*$BH59+(1-$D$29)*S$31),"")</f>
        <v/>
      </c>
      <c r="T105" s="18">
        <f>IFERROR(T59*$BG59*(1+($BI59-1)*T$32)*($D$29*$BH59+(1-$D$29)*T$31),"")</f>
        <v/>
      </c>
      <c r="U105" s="18">
        <f>IFERROR(U59*$BG59*(1+($BI59-1)*U$32)*($D$29*$BH59+(1-$D$29)*U$31),"")</f>
        <v/>
      </c>
      <c r="V105" s="18">
        <f>IFERROR(V59*$BG59*(1+($BI59-1)*V$32)*($D$29*$BH59+(1-$D$29)*V$31),"")</f>
        <v/>
      </c>
      <c r="W105" s="18">
        <f>IFERROR(W59*$BG59*(1+($BI59-1)*W$32)*($D$29*$BH59+(1-$D$29)*W$31),"")</f>
        <v/>
      </c>
      <c r="X105" s="18">
        <f>IFERROR(X59*$BG59*(1+($BI59-1)*X$32)*($D$29*$BH59+(1-$D$29)*X$31),"")</f>
        <v/>
      </c>
      <c r="Y105" s="18">
        <f>IFERROR(Y59*$BG59*(1+($BI59-1)*Y$32)*($D$29*$BH59+(1-$D$29)*Y$31),"")</f>
        <v/>
      </c>
      <c r="Z105" s="18">
        <f>IFERROR(Z59*$BG59*(1+($BI59-1)*Z$32)*($D$29*$BH59+(1-$D$29)*Z$31),"")</f>
        <v/>
      </c>
      <c r="AA105" s="18">
        <f>IFERROR(AA59*$BG59*(1+($BI59-1)*AA$32)*($D$29*$BH59+(1-$D$29)*AA$31),"")</f>
        <v/>
      </c>
      <c r="AB105" s="18">
        <f>IFERROR(AB59*$BG59*(1+($BI59-1)*AB$32)*($D$29*$BH59+(1-$D$29)*AB$31),"")</f>
        <v/>
      </c>
    </row>
    <row r="106">
      <c r="A106" t="inlineStr">
        <is>
          <t>20260403800577</t>
        </is>
      </c>
      <c r="B106" t="inlineStr">
        <is>
          <t>VLGC</t>
        </is>
      </c>
      <c r="C106" t="n">
        <v>2</v>
      </c>
      <c r="D106" t="inlineStr">
        <is>
          <t>LPGC 2척</t>
        </is>
      </c>
      <c r="P106" s="18">
        <f>IFERROR(P60*$BG60*(1+($BI60-1)*P$32)*($D$29*$BH60+(1-$D$29)*P$31),"")</f>
        <v/>
      </c>
      <c r="Q106" s="18">
        <f>IFERROR(Q60*$BG60*(1+($BI60-1)*Q$32)*($D$29*$BH60+(1-$D$29)*Q$31),"")</f>
        <v/>
      </c>
      <c r="R106" s="18">
        <f>IFERROR(R60*$BG60*(1+($BI60-1)*R$32)*($D$29*$BH60+(1-$D$29)*R$31),"")</f>
        <v/>
      </c>
      <c r="S106" s="18">
        <f>IFERROR(S60*$BG60*(1+($BI60-1)*S$32)*($D$29*$BH60+(1-$D$29)*S$31),"")</f>
        <v/>
      </c>
      <c r="T106" s="18">
        <f>IFERROR(T60*$BG60*(1+($BI60-1)*T$32)*($D$29*$BH60+(1-$D$29)*T$31),"")</f>
        <v/>
      </c>
      <c r="U106" s="18">
        <f>IFERROR(U60*$BG60*(1+($BI60-1)*U$32)*($D$29*$BH60+(1-$D$29)*U$31),"")</f>
        <v/>
      </c>
      <c r="V106" s="18">
        <f>IFERROR(V60*$BG60*(1+($BI60-1)*V$32)*($D$29*$BH60+(1-$D$29)*V$31),"")</f>
        <v/>
      </c>
      <c r="W106" s="18">
        <f>IFERROR(W60*$BG60*(1+($BI60-1)*W$32)*($D$29*$BH60+(1-$D$29)*W$31),"")</f>
        <v/>
      </c>
      <c r="X106" s="18">
        <f>IFERROR(X60*$BG60*(1+($BI60-1)*X$32)*($D$29*$BH60+(1-$D$29)*X$31),"")</f>
        <v/>
      </c>
    </row>
    <row r="107">
      <c r="A107" t="inlineStr">
        <is>
          <t>20260417800177</t>
        </is>
      </c>
      <c r="B107" t="inlineStr">
        <is>
          <t>VLGC</t>
        </is>
      </c>
      <c r="C107" t="n">
        <v>4</v>
      </c>
      <c r="D107" t="inlineStr">
        <is>
          <t>VLGC 4척</t>
        </is>
      </c>
      <c r="P107" s="18">
        <f>IFERROR(P61*$BG61*(1+($BI61-1)*P$32)*($D$29*$BH61+(1-$D$29)*P$31),"")</f>
        <v/>
      </c>
      <c r="Q107" s="18">
        <f>IFERROR(Q61*$BG61*(1+($BI61-1)*Q$32)*($D$29*$BH61+(1-$D$29)*Q$31),"")</f>
        <v/>
      </c>
      <c r="R107" s="18">
        <f>IFERROR(R61*$BG61*(1+($BI61-1)*R$32)*($D$29*$BH61+(1-$D$29)*R$31),"")</f>
        <v/>
      </c>
      <c r="S107" s="18">
        <f>IFERROR(S61*$BG61*(1+($BI61-1)*S$32)*($D$29*$BH61+(1-$D$29)*S$31),"")</f>
        <v/>
      </c>
      <c r="T107" s="18">
        <f>IFERROR(T61*$BG61*(1+($BI61-1)*T$32)*($D$29*$BH61+(1-$D$29)*T$31),"")</f>
        <v/>
      </c>
      <c r="U107" s="18">
        <f>IFERROR(U61*$BG61*(1+($BI61-1)*U$32)*($D$29*$BH61+(1-$D$29)*U$31),"")</f>
        <v/>
      </c>
      <c r="V107" s="18">
        <f>IFERROR(V61*$BG61*(1+($BI61-1)*V$32)*($D$29*$BH61+(1-$D$29)*V$31),"")</f>
        <v/>
      </c>
      <c r="W107" s="18">
        <f>IFERROR(W61*$BG61*(1+($BI61-1)*W$32)*($D$29*$BH61+(1-$D$29)*W$31),"")</f>
        <v/>
      </c>
      <c r="X107" s="18">
        <f>IFERROR(X61*$BG61*(1+($BI61-1)*X$32)*($D$29*$BH61+(1-$D$29)*X$31),"")</f>
        <v/>
      </c>
      <c r="Y107" s="18">
        <f>IFERROR(Y61*$BG61*(1+($BI61-1)*Y$32)*($D$29*$BH61+(1-$D$29)*Y$31),"")</f>
        <v/>
      </c>
      <c r="Z107" s="18">
        <f>IFERROR(Z61*$BG61*(1+($BI61-1)*Z$32)*($D$29*$BH61+(1-$D$29)*Z$31),"")</f>
        <v/>
      </c>
      <c r="AA107" s="18">
        <f>IFERROR(AA61*$BG61*(1+($BI61-1)*AA$32)*($D$29*$BH61+(1-$D$29)*AA$31),"")</f>
        <v/>
      </c>
      <c r="AB107" s="18">
        <f>IFERROR(AB61*$BG61*(1+($BI61-1)*AB$32)*($D$29*$BH61+(1-$D$29)*AB$31),"")</f>
        <v/>
      </c>
      <c r="AC107" s="18">
        <f>IFERROR(AC61*$BG61*(1+($BI61-1)*AC$32)*($D$29*$BH61+(1-$D$29)*AC$31),"")</f>
        <v/>
      </c>
      <c r="AD107" s="18">
        <f>IFERROR(AD61*$BG61*(1+($BI61-1)*AD$32)*($D$29*$BH61+(1-$D$29)*AD$31),"")</f>
        <v/>
      </c>
    </row>
    <row r="108">
      <c r="A108" t="inlineStr">
        <is>
          <t>20260422800038</t>
        </is>
      </c>
      <c r="B108" t="inlineStr">
        <is>
          <t>NAVAL</t>
        </is>
      </c>
      <c r="C108" t="n">
        <v>1</v>
      </c>
      <c r="D108" t="inlineStr">
        <is>
          <t>쇄빙전용선 1척</t>
        </is>
      </c>
      <c r="P108" s="18">
        <f>IFERROR(P62*$BG62*(1+($BI62-1)*P$32)*($D$29*$BH62+(1-$D$29)*P$31),"")</f>
        <v/>
      </c>
      <c r="Q108" s="18">
        <f>IFERROR(Q62*$BG62*(1+($BI62-1)*Q$32)*($D$29*$BH62+(1-$D$29)*Q$31),"")</f>
        <v/>
      </c>
      <c r="R108" s="18">
        <f>IFERROR(R62*$BG62*(1+($BI62-1)*R$32)*($D$29*$BH62+(1-$D$29)*R$31),"")</f>
        <v/>
      </c>
      <c r="S108" s="18">
        <f>IFERROR(S62*$BG62*(1+($BI62-1)*S$32)*($D$29*$BH62+(1-$D$29)*S$31),"")</f>
        <v/>
      </c>
      <c r="T108" s="18">
        <f>IFERROR(T62*$BG62*(1+($BI62-1)*T$32)*($D$29*$BH62+(1-$D$29)*T$31),"")</f>
        <v/>
      </c>
      <c r="U108" s="18">
        <f>IFERROR(U62*$BG62*(1+($BI62-1)*U$32)*($D$29*$BH62+(1-$D$29)*U$31),"")</f>
        <v/>
      </c>
      <c r="V108" s="18">
        <f>IFERROR(V62*$BG62*(1+($BI62-1)*V$32)*($D$29*$BH62+(1-$D$29)*V$31),"")</f>
        <v/>
      </c>
      <c r="W108" s="18">
        <f>IFERROR(W62*$BG62*(1+($BI62-1)*W$32)*($D$29*$BH62+(1-$D$29)*W$31),"")</f>
        <v/>
      </c>
      <c r="X108" s="18">
        <f>IFERROR(X62*$BG62*(1+($BI62-1)*X$32)*($D$29*$BH62+(1-$D$29)*X$31),"")</f>
        <v/>
      </c>
      <c r="Y108" s="18">
        <f>IFERROR(Y62*$BG62*(1+($BI62-1)*Y$32)*($D$29*$BH62+(1-$D$29)*Y$31),"")</f>
        <v/>
      </c>
      <c r="Z108" s="18">
        <f>IFERROR(Z62*$BG62*(1+($BI62-1)*Z$32)*($D$29*$BH62+(1-$D$29)*Z$31),"")</f>
        <v/>
      </c>
      <c r="AA108" s="18">
        <f>IFERROR(AA62*$BG62*(1+($BI62-1)*AA$32)*($D$29*$BH62+(1-$D$29)*AA$31),"")</f>
        <v/>
      </c>
      <c r="AB108" s="18">
        <f>IFERROR(AB62*$BG62*(1+($BI62-1)*AB$32)*($D$29*$BH62+(1-$D$29)*AB$31),"")</f>
        <v/>
      </c>
      <c r="AC108" s="18">
        <f>IFERROR(AC62*$BG62*(1+($BI62-1)*AC$32)*($D$29*$BH62+(1-$D$29)*AC$31),"")</f>
        <v/>
      </c>
    </row>
    <row r="109">
      <c r="A109" t="inlineStr">
        <is>
          <t>20260422800175</t>
        </is>
      </c>
      <c r="B109" t="inlineStr">
        <is>
          <t>OTHER</t>
        </is>
      </c>
      <c r="D109" t="inlineStr">
        <is>
          <t>엔진발전기 공급</t>
        </is>
      </c>
      <c r="P109" s="18">
        <f>IFERROR(P63*$BG63*(1+($BI63-1)*P$32)*($D$29*$BH63+(1-$D$29)*P$31),"")</f>
        <v/>
      </c>
      <c r="Q109" s="18">
        <f>IFERROR(Q63*$BG63*(1+($BI63-1)*Q$32)*($D$29*$BH63+(1-$D$29)*Q$31),"")</f>
        <v/>
      </c>
      <c r="R109" s="18">
        <f>IFERROR(R63*$BG63*(1+($BI63-1)*R$32)*($D$29*$BH63+(1-$D$29)*R$31),"")</f>
        <v/>
      </c>
      <c r="S109" s="18">
        <f>IFERROR(S63*$BG63*(1+($BI63-1)*S$32)*($D$29*$BH63+(1-$D$29)*S$31),"")</f>
        <v/>
      </c>
      <c r="T109" s="18">
        <f>IFERROR(T63*$BG63*(1+($BI63-1)*T$32)*($D$29*$BH63+(1-$D$29)*T$31),"")</f>
        <v/>
      </c>
      <c r="U109" s="18">
        <f>IFERROR(U63*$BG63*(1+($BI63-1)*U$32)*($D$29*$BH63+(1-$D$29)*U$31),"")</f>
        <v/>
      </c>
      <c r="V109" s="18">
        <f>IFERROR(V63*$BG63*(1+($BI63-1)*V$32)*($D$29*$BH63+(1-$D$29)*V$31),"")</f>
        <v/>
      </c>
      <c r="W109" s="18">
        <f>IFERROR(W63*$BG63*(1+($BI63-1)*W$32)*($D$29*$BH63+(1-$D$29)*W$31),"")</f>
        <v/>
      </c>
      <c r="X109" s="18">
        <f>IFERROR(X63*$BG63*(1+($BI63-1)*X$32)*($D$29*$BH63+(1-$D$29)*X$31),"")</f>
        <v/>
      </c>
      <c r="Y109" s="18">
        <f>IFERROR(Y63*$BG63*(1+($BI63-1)*Y$32)*($D$29*$BH63+(1-$D$29)*Y$31),"")</f>
        <v/>
      </c>
      <c r="Z109" s="18">
        <f>IFERROR(Z63*$BG63*(1+($BI63-1)*Z$32)*($D$29*$BH63+(1-$D$29)*Z$31),"")</f>
        <v/>
      </c>
      <c r="AA109" s="18">
        <f>IFERROR(AA63*$BG63*(1+($BI63-1)*AA$32)*($D$29*$BH63+(1-$D$29)*AA$31),"")</f>
        <v/>
      </c>
      <c r="AB109" s="18">
        <f>IFERROR(AB63*$BG63*(1+($BI63-1)*AB$32)*($D$29*$BH63+(1-$D$29)*AB$31),"")</f>
        <v/>
      </c>
      <c r="AC109" s="18">
        <f>IFERROR(AC63*$BG63*(1+($BI63-1)*AC$32)*($D$29*$BH63+(1-$D$29)*AC$31),"")</f>
        <v/>
      </c>
      <c r="AD109" s="18">
        <f>IFERROR(AD63*$BG63*(1+($BI63-1)*AD$32)*($D$29*$BH63+(1-$D$29)*AD$31),"")</f>
        <v/>
      </c>
      <c r="AE109" s="18">
        <f>IFERROR(AE63*$BG63*(1+($BI63-1)*AE$32)*($D$29*$BH63+(1-$D$29)*AE$31),"")</f>
        <v/>
      </c>
      <c r="AF109" s="18">
        <f>IFERROR(AF63*$BG63*(1+($BI63-1)*AF$32)*($D$29*$BH63+(1-$D$29)*AF$31),"")</f>
        <v/>
      </c>
      <c r="AG109" s="18">
        <f>IFERROR(AG63*$BG63*(1+($BI63-1)*AG$32)*($D$29*$BH63+(1-$D$29)*AG$31),"")</f>
        <v/>
      </c>
      <c r="AH109" s="18">
        <f>IFERROR(AH63*$BG63*(1+($BI63-1)*AH$32)*($D$29*$BH63+(1-$D$29)*AH$31),"")</f>
        <v/>
      </c>
    </row>
    <row r="110">
      <c r="A110" t="inlineStr">
        <is>
          <t>20260504800297</t>
        </is>
      </c>
      <c r="B110" t="inlineStr">
        <is>
          <t>VLGC</t>
        </is>
      </c>
      <c r="C110" t="n">
        <v>3</v>
      </c>
      <c r="D110" t="inlineStr">
        <is>
          <t>VLGC 3척</t>
        </is>
      </c>
      <c r="P110" s="18">
        <f>IFERROR(P64*$BG64*(1+($BI64-1)*P$32)*($D$29*$BH64+(1-$D$29)*P$31),"")</f>
        <v/>
      </c>
      <c r="Q110" s="18">
        <f>IFERROR(Q64*$BG64*(1+($BI64-1)*Q$32)*($D$29*$BH64+(1-$D$29)*Q$31),"")</f>
        <v/>
      </c>
      <c r="R110" s="18">
        <f>IFERROR(R64*$BG64*(1+($BI64-1)*R$32)*($D$29*$BH64+(1-$D$29)*R$31),"")</f>
        <v/>
      </c>
      <c r="S110" s="18">
        <f>IFERROR(S64*$BG64*(1+($BI64-1)*S$32)*($D$29*$BH64+(1-$D$29)*S$31),"")</f>
        <v/>
      </c>
      <c r="T110" s="18">
        <f>IFERROR(T64*$BG64*(1+($BI64-1)*T$32)*($D$29*$BH64+(1-$D$29)*T$31),"")</f>
        <v/>
      </c>
      <c r="U110" s="18">
        <f>IFERROR(U64*$BG64*(1+($BI64-1)*U$32)*($D$29*$BH64+(1-$D$29)*U$31),"")</f>
        <v/>
      </c>
      <c r="V110" s="18">
        <f>IFERROR(V64*$BG64*(1+($BI64-1)*V$32)*($D$29*$BH64+(1-$D$29)*V$31),"")</f>
        <v/>
      </c>
      <c r="W110" s="18">
        <f>IFERROR(W64*$BG64*(1+($BI64-1)*W$32)*($D$29*$BH64+(1-$D$29)*W$31),"")</f>
        <v/>
      </c>
      <c r="X110" s="18">
        <f>IFERROR(X64*$BG64*(1+($BI64-1)*X$32)*($D$29*$BH64+(1-$D$29)*X$31),"")</f>
        <v/>
      </c>
      <c r="Y110" s="18">
        <f>IFERROR(Y64*$BG64*(1+($BI64-1)*Y$32)*($D$29*$BH64+(1-$D$29)*Y$31),"")</f>
        <v/>
      </c>
      <c r="Z110" s="18">
        <f>IFERROR(Z64*$BG64*(1+($BI64-1)*Z$32)*($D$29*$BH64+(1-$D$29)*Z$31),"")</f>
        <v/>
      </c>
      <c r="AA110" s="18">
        <f>IFERROR(AA64*$BG64*(1+($BI64-1)*AA$32)*($D$29*$BH64+(1-$D$29)*AA$31),"")</f>
        <v/>
      </c>
      <c r="AB110" s="18">
        <f>IFERROR(AB64*$BG64*(1+($BI64-1)*AB$32)*($D$29*$BH64+(1-$D$29)*AB$31),"")</f>
        <v/>
      </c>
      <c r="AC110" s="18">
        <f>IFERROR(AC64*$BG64*(1+($BI64-1)*AC$32)*($D$29*$BH64+(1-$D$29)*AC$31),"")</f>
        <v/>
      </c>
    </row>
    <row r="111">
      <c r="A111" t="inlineStr">
        <is>
          <t>20260508800180</t>
        </is>
      </c>
      <c r="B111" t="inlineStr">
        <is>
          <t>CONT</t>
        </is>
      </c>
      <c r="C111" t="n">
        <v>6</v>
      </c>
      <c r="D111" t="inlineStr">
        <is>
          <t>컨테이너선 6척</t>
        </is>
      </c>
      <c r="P111" s="18">
        <f>IFERROR(P65*$BG65*(1+($BI65-1)*P$32)*($D$29*$BH65+(1-$D$29)*P$31),"")</f>
        <v/>
      </c>
      <c r="Q111" s="18">
        <f>IFERROR(Q65*$BG65*(1+($BI65-1)*Q$32)*($D$29*$BH65+(1-$D$29)*Q$31),"")</f>
        <v/>
      </c>
      <c r="R111" s="18">
        <f>IFERROR(R65*$BG65*(1+($BI65-1)*R$32)*($D$29*$BH65+(1-$D$29)*R$31),"")</f>
        <v/>
      </c>
      <c r="S111" s="18">
        <f>IFERROR(S65*$BG65*(1+($BI65-1)*S$32)*($D$29*$BH65+(1-$D$29)*S$31),"")</f>
        <v/>
      </c>
      <c r="T111" s="18">
        <f>IFERROR(T65*$BG65*(1+($BI65-1)*T$32)*($D$29*$BH65+(1-$D$29)*T$31),"")</f>
        <v/>
      </c>
      <c r="U111" s="18">
        <f>IFERROR(U65*$BG65*(1+($BI65-1)*U$32)*($D$29*$BH65+(1-$D$29)*U$31),"")</f>
        <v/>
      </c>
      <c r="V111" s="18">
        <f>IFERROR(V65*$BG65*(1+($BI65-1)*V$32)*($D$29*$BH65+(1-$D$29)*V$31),"")</f>
        <v/>
      </c>
      <c r="W111" s="18">
        <f>IFERROR(W65*$BG65*(1+($BI65-1)*W$32)*($D$29*$BH65+(1-$D$29)*W$31),"")</f>
        <v/>
      </c>
      <c r="X111" s="18">
        <f>IFERROR(X65*$BG65*(1+($BI65-1)*X$32)*($D$29*$BH65+(1-$D$29)*X$31),"")</f>
        <v/>
      </c>
      <c r="Y111" s="18">
        <f>IFERROR(Y65*$BG65*(1+($BI65-1)*Y$32)*($D$29*$BH65+(1-$D$29)*Y$31),"")</f>
        <v/>
      </c>
      <c r="Z111" s="18">
        <f>IFERROR(Z65*$BG65*(1+($BI65-1)*Z$32)*($D$29*$BH65+(1-$D$29)*Z$31),"")</f>
        <v/>
      </c>
      <c r="AA111" s="18">
        <f>IFERROR(AA65*$BG65*(1+($BI65-1)*AA$32)*($D$29*$BH65+(1-$D$29)*AA$31),"")</f>
        <v/>
      </c>
      <c r="AB111" s="18">
        <f>IFERROR(AB65*$BG65*(1+($BI65-1)*AB$32)*($D$29*$BH65+(1-$D$29)*AB$31),"")</f>
        <v/>
      </c>
      <c r="AC111" s="18">
        <f>IFERROR(AC65*$BG65*(1+($BI65-1)*AC$32)*($D$29*$BH65+(1-$D$29)*AC$31),"")</f>
        <v/>
      </c>
    </row>
    <row r="112">
      <c r="A112" t="inlineStr">
        <is>
          <t>20260508800181</t>
        </is>
      </c>
      <c r="B112" t="inlineStr">
        <is>
          <t>VLGC</t>
        </is>
      </c>
      <c r="C112" t="n">
        <v>2</v>
      </c>
      <c r="D112" t="inlineStr">
        <is>
          <t>VLGC 2척</t>
        </is>
      </c>
      <c r="P112" s="18">
        <f>IFERROR(P66*$BG66*(1+($BI66-1)*P$32)*($D$29*$BH66+(1-$D$29)*P$31),"")</f>
        <v/>
      </c>
      <c r="Q112" s="18">
        <f>IFERROR(Q66*$BG66*(1+($BI66-1)*Q$32)*($D$29*$BH66+(1-$D$29)*Q$31),"")</f>
        <v/>
      </c>
      <c r="R112" s="18">
        <f>IFERROR(R66*$BG66*(1+($BI66-1)*R$32)*($D$29*$BH66+(1-$D$29)*R$31),"")</f>
        <v/>
      </c>
      <c r="S112" s="18">
        <f>IFERROR(S66*$BG66*(1+($BI66-1)*S$32)*($D$29*$BH66+(1-$D$29)*S$31),"")</f>
        <v/>
      </c>
      <c r="T112" s="18">
        <f>IFERROR(T66*$BG66*(1+($BI66-1)*T$32)*($D$29*$BH66+(1-$D$29)*T$31),"")</f>
        <v/>
      </c>
      <c r="U112" s="18">
        <f>IFERROR(U66*$BG66*(1+($BI66-1)*U$32)*($D$29*$BH66+(1-$D$29)*U$31),"")</f>
        <v/>
      </c>
      <c r="V112" s="18">
        <f>IFERROR(V66*$BG66*(1+($BI66-1)*V$32)*($D$29*$BH66+(1-$D$29)*V$31),"")</f>
        <v/>
      </c>
      <c r="W112" s="18">
        <f>IFERROR(W66*$BG66*(1+($BI66-1)*W$32)*($D$29*$BH66+(1-$D$29)*W$31),"")</f>
        <v/>
      </c>
      <c r="X112" s="18">
        <f>IFERROR(X66*$BG66*(1+($BI66-1)*X$32)*($D$29*$BH66+(1-$D$29)*X$31),"")</f>
        <v/>
      </c>
      <c r="Y112" s="18">
        <f>IFERROR(Y66*$BG66*(1+($BI66-1)*Y$32)*($D$29*$BH66+(1-$D$29)*Y$31),"")</f>
        <v/>
      </c>
      <c r="Z112" s="18">
        <f>IFERROR(Z66*$BG66*(1+($BI66-1)*Z$32)*($D$29*$BH66+(1-$D$29)*Z$31),"")</f>
        <v/>
      </c>
      <c r="AA112" s="18">
        <f>IFERROR(AA66*$BG66*(1+($BI66-1)*AA$32)*($D$29*$BH66+(1-$D$29)*AA$31),"")</f>
        <v/>
      </c>
    </row>
    <row r="113">
      <c r="A113" t="inlineStr">
        <is>
          <t>20260514800315</t>
        </is>
      </c>
      <c r="B113" t="inlineStr">
        <is>
          <t>LNGC</t>
        </is>
      </c>
      <c r="C113" t="n">
        <v>2</v>
      </c>
      <c r="D113" t="inlineStr">
        <is>
          <t>LNGC 2척</t>
        </is>
      </c>
      <c r="P113" s="18">
        <f>IFERROR(P67*$BG67*(1+($BI67-1)*P$32)*($D$29*$BH67+(1-$D$29)*P$31),"")</f>
        <v/>
      </c>
      <c r="Q113" s="18">
        <f>IFERROR(Q67*$BG67*(1+($BI67-1)*Q$32)*($D$29*$BH67+(1-$D$29)*Q$31),"")</f>
        <v/>
      </c>
      <c r="R113" s="18">
        <f>IFERROR(R67*$BG67*(1+($BI67-1)*R$32)*($D$29*$BH67+(1-$D$29)*R$31),"")</f>
        <v/>
      </c>
      <c r="S113" s="18">
        <f>IFERROR(S67*$BG67*(1+($BI67-1)*S$32)*($D$29*$BH67+(1-$D$29)*S$31),"")</f>
        <v/>
      </c>
      <c r="T113" s="18">
        <f>IFERROR(T67*$BG67*(1+($BI67-1)*T$32)*($D$29*$BH67+(1-$D$29)*T$31),"")</f>
        <v/>
      </c>
      <c r="U113" s="18">
        <f>IFERROR(U67*$BG67*(1+($BI67-1)*U$32)*($D$29*$BH67+(1-$D$29)*U$31),"")</f>
        <v/>
      </c>
      <c r="V113" s="18">
        <f>IFERROR(V67*$BG67*(1+($BI67-1)*V$32)*($D$29*$BH67+(1-$D$29)*V$31),"")</f>
        <v/>
      </c>
      <c r="W113" s="18">
        <f>IFERROR(W67*$BG67*(1+($BI67-1)*W$32)*($D$29*$BH67+(1-$D$29)*W$31),"")</f>
        <v/>
      </c>
      <c r="X113" s="18">
        <f>IFERROR(X67*$BG67*(1+($BI67-1)*X$32)*($D$29*$BH67+(1-$D$29)*X$31),"")</f>
        <v/>
      </c>
      <c r="Y113" s="18">
        <f>IFERROR(Y67*$BG67*(1+($BI67-1)*Y$32)*($D$29*$BH67+(1-$D$29)*Y$31),"")</f>
        <v/>
      </c>
      <c r="Z113" s="18">
        <f>IFERROR(Z67*$BG67*(1+($BI67-1)*Z$32)*($D$29*$BH67+(1-$D$29)*Z$31),"")</f>
        <v/>
      </c>
      <c r="AA113" s="18">
        <f>IFERROR(AA67*$BG67*(1+($BI67-1)*AA$32)*($D$29*$BH67+(1-$D$29)*AA$31),"")</f>
        <v/>
      </c>
    </row>
    <row r="114">
      <c r="A114" t="inlineStr">
        <is>
          <t>20260601800384</t>
        </is>
      </c>
      <c r="B114" t="inlineStr">
        <is>
          <t>VLGC</t>
        </is>
      </c>
      <c r="C114" t="n">
        <v>8</v>
      </c>
      <c r="D114" t="inlineStr">
        <is>
          <t>VLGC 8척</t>
        </is>
      </c>
      <c r="P114" s="18">
        <f>IFERROR(P68*$BG68*(1+($BI68-1)*P$32)*($D$29*$BH68+(1-$D$29)*P$31),"")</f>
        <v/>
      </c>
      <c r="Q114" s="18">
        <f>IFERROR(Q68*$BG68*(1+($BI68-1)*Q$32)*($D$29*$BH68+(1-$D$29)*Q$31),"")</f>
        <v/>
      </c>
      <c r="R114" s="18">
        <f>IFERROR(R68*$BG68*(1+($BI68-1)*R$32)*($D$29*$BH68+(1-$D$29)*R$31),"")</f>
        <v/>
      </c>
      <c r="S114" s="18">
        <f>IFERROR(S68*$BG68*(1+($BI68-1)*S$32)*($D$29*$BH68+(1-$D$29)*S$31),"")</f>
        <v/>
      </c>
      <c r="T114" s="18">
        <f>IFERROR(T68*$BG68*(1+($BI68-1)*T$32)*($D$29*$BH68+(1-$D$29)*T$31),"")</f>
        <v/>
      </c>
      <c r="U114" s="18">
        <f>IFERROR(U68*$BG68*(1+($BI68-1)*U$32)*($D$29*$BH68+(1-$D$29)*U$31),"")</f>
        <v/>
      </c>
      <c r="V114" s="18">
        <f>IFERROR(V68*$BG68*(1+($BI68-1)*V$32)*($D$29*$BH68+(1-$D$29)*V$31),"")</f>
        <v/>
      </c>
      <c r="W114" s="18">
        <f>IFERROR(W68*$BG68*(1+($BI68-1)*W$32)*($D$29*$BH68+(1-$D$29)*W$31),"")</f>
        <v/>
      </c>
      <c r="X114" s="18">
        <f>IFERROR(X68*$BG68*(1+($BI68-1)*X$32)*($D$29*$BH68+(1-$D$29)*X$31),"")</f>
        <v/>
      </c>
      <c r="Y114" s="18">
        <f>IFERROR(Y68*$BG68*(1+($BI68-1)*Y$32)*($D$29*$BH68+(1-$D$29)*Y$31),"")</f>
        <v/>
      </c>
      <c r="Z114" s="18">
        <f>IFERROR(Z68*$BG68*(1+($BI68-1)*Z$32)*($D$29*$BH68+(1-$D$29)*Z$31),"")</f>
        <v/>
      </c>
      <c r="AA114" s="18">
        <f>IFERROR(AA68*$BG68*(1+($BI68-1)*AA$32)*($D$29*$BH68+(1-$D$29)*AA$31),"")</f>
        <v/>
      </c>
      <c r="AB114" s="18">
        <f>IFERROR(AB68*$BG68*(1+($BI68-1)*AB$32)*($D$29*$BH68+(1-$D$29)*AB$31),"")</f>
        <v/>
      </c>
      <c r="AC114" s="18">
        <f>IFERROR(AC68*$BG68*(1+($BI68-1)*AC$32)*($D$29*$BH68+(1-$D$29)*AC$31),"")</f>
        <v/>
      </c>
      <c r="AD114" s="18">
        <f>IFERROR(AD68*$BG68*(1+($BI68-1)*AD$32)*($D$29*$BH68+(1-$D$29)*AD$31),"")</f>
        <v/>
      </c>
      <c r="AE114" s="18">
        <f>IFERROR(AE68*$BG68*(1+($BI68-1)*AE$32)*($D$29*$BH68+(1-$D$29)*AE$31),"")</f>
        <v/>
      </c>
      <c r="AF114" s="18">
        <f>IFERROR(AF68*$BG68*(1+($BI68-1)*AF$32)*($D$29*$BH68+(1-$D$29)*AF$31),"")</f>
        <v/>
      </c>
    </row>
    <row r="115">
      <c r="A115" t="inlineStr">
        <is>
          <t>20260608800378</t>
        </is>
      </c>
      <c r="B115" t="inlineStr">
        <is>
          <t>VLGC</t>
        </is>
      </c>
      <c r="C115" t="n">
        <v>2</v>
      </c>
      <c r="D115" t="inlineStr">
        <is>
          <t>VLGC 2척</t>
        </is>
      </c>
      <c r="P115" s="18">
        <f>IFERROR(P69*$BG69*(1+($BI69-1)*P$32)*($D$29*$BH69+(1-$D$29)*P$31),"")</f>
        <v/>
      </c>
      <c r="Q115" s="18">
        <f>IFERROR(Q69*$BG69*(1+($BI69-1)*Q$32)*($D$29*$BH69+(1-$D$29)*Q$31),"")</f>
        <v/>
      </c>
      <c r="R115" s="18">
        <f>IFERROR(R69*$BG69*(1+($BI69-1)*R$32)*($D$29*$BH69+(1-$D$29)*R$31),"")</f>
        <v/>
      </c>
      <c r="S115" s="18">
        <f>IFERROR(S69*$BG69*(1+($BI69-1)*S$32)*($D$29*$BH69+(1-$D$29)*S$31),"")</f>
        <v/>
      </c>
      <c r="T115" s="18">
        <f>IFERROR(T69*$BG69*(1+($BI69-1)*T$32)*($D$29*$BH69+(1-$D$29)*T$31),"")</f>
        <v/>
      </c>
      <c r="U115" s="18">
        <f>IFERROR(U69*$BG69*(1+($BI69-1)*U$32)*($D$29*$BH69+(1-$D$29)*U$31),"")</f>
        <v/>
      </c>
      <c r="V115" s="18">
        <f>IFERROR(V69*$BG69*(1+($BI69-1)*V$32)*($D$29*$BH69+(1-$D$29)*V$31),"")</f>
        <v/>
      </c>
      <c r="W115" s="18">
        <f>IFERROR(W69*$BG69*(1+($BI69-1)*W$32)*($D$29*$BH69+(1-$D$29)*W$31),"")</f>
        <v/>
      </c>
      <c r="X115" s="18">
        <f>IFERROR(X69*$BG69*(1+($BI69-1)*X$32)*($D$29*$BH69+(1-$D$29)*X$31),"")</f>
        <v/>
      </c>
      <c r="Y115" s="18">
        <f>IFERROR(Y69*$BG69*(1+($BI69-1)*Y$32)*($D$29*$BH69+(1-$D$29)*Y$31),"")</f>
        <v/>
      </c>
      <c r="Z115" s="18">
        <f>IFERROR(Z69*$BG69*(1+($BI69-1)*Z$32)*($D$29*$BH69+(1-$D$29)*Z$31),"")</f>
        <v/>
      </c>
      <c r="AA115" s="18">
        <f>IFERROR(AA69*$BG69*(1+($BI69-1)*AA$32)*($D$29*$BH69+(1-$D$29)*AA$31),"")</f>
        <v/>
      </c>
      <c r="AB115" s="18">
        <f>IFERROR(AB69*$BG69*(1+($BI69-1)*AB$32)*($D$29*$BH69+(1-$D$29)*AB$31),"")</f>
        <v/>
      </c>
      <c r="AC115" s="18">
        <f>IFERROR(AC69*$BG69*(1+($BI69-1)*AC$32)*($D$29*$BH69+(1-$D$29)*AC$31),"")</f>
        <v/>
      </c>
      <c r="AD115" s="18">
        <f>IFERROR(AD69*$BG69*(1+($BI69-1)*AD$32)*($D$29*$BH69+(1-$D$29)*AD$31),"")</f>
        <v/>
      </c>
    </row>
    <row r="116">
      <c r="A116" t="inlineStr">
        <is>
          <t>20260701800212</t>
        </is>
      </c>
      <c r="B116" t="inlineStr">
        <is>
          <t>LNGC</t>
        </is>
      </c>
      <c r="C116" t="n">
        <v>1</v>
      </c>
      <c r="D116" t="inlineStr">
        <is>
          <t>FSRU 1척</t>
        </is>
      </c>
      <c r="P116" s="18">
        <f>IFERROR(P70*$BG70*(1+($BI70-1)*P$32)*($D$29*$BH70+(1-$D$29)*P$31),"")</f>
        <v/>
      </c>
      <c r="Q116" s="18">
        <f>IFERROR(Q70*$BG70*(1+($BI70-1)*Q$32)*($D$29*$BH70+(1-$D$29)*Q$31),"")</f>
        <v/>
      </c>
      <c r="R116" s="18">
        <f>IFERROR(R70*$BG70*(1+($BI70-1)*R$32)*($D$29*$BH70+(1-$D$29)*R$31),"")</f>
        <v/>
      </c>
      <c r="S116" s="18">
        <f>IFERROR(S70*$BG70*(1+($BI70-1)*S$32)*($D$29*$BH70+(1-$D$29)*S$31),"")</f>
        <v/>
      </c>
      <c r="T116" s="18">
        <f>IFERROR(T70*$BG70*(1+($BI70-1)*T$32)*($D$29*$BH70+(1-$D$29)*T$31),"")</f>
        <v/>
      </c>
      <c r="U116" s="18">
        <f>IFERROR(U70*$BG70*(1+($BI70-1)*U$32)*($D$29*$BH70+(1-$D$29)*U$31),"")</f>
        <v/>
      </c>
      <c r="V116" s="18">
        <f>IFERROR(V70*$BG70*(1+($BI70-1)*V$32)*($D$29*$BH70+(1-$D$29)*V$31),"")</f>
        <v/>
      </c>
      <c r="W116" s="18">
        <f>IFERROR(W70*$BG70*(1+($BI70-1)*W$32)*($D$29*$BH70+(1-$D$29)*W$31),"")</f>
        <v/>
      </c>
      <c r="X116" s="18">
        <f>IFERROR(X70*$BG70*(1+($BI70-1)*X$32)*($D$29*$BH70+(1-$D$29)*X$31),"")</f>
        <v/>
      </c>
      <c r="Y116" s="18">
        <f>IFERROR(Y70*$BG70*(1+($BI70-1)*Y$32)*($D$29*$BH70+(1-$D$29)*Y$31),"")</f>
        <v/>
      </c>
      <c r="Z116" s="18">
        <f>IFERROR(Z70*$BG70*(1+($BI70-1)*Z$32)*($D$29*$BH70+(1-$D$29)*Z$31),"")</f>
        <v/>
      </c>
      <c r="AA116" s="18">
        <f>IFERROR(AA70*$BG70*(1+($BI70-1)*AA$32)*($D$29*$BH70+(1-$D$29)*AA$31),"")</f>
        <v/>
      </c>
      <c r="AB116" s="18">
        <f>IFERROR(AB70*$BG70*(1+($BI70-1)*AB$32)*($D$29*$BH70+(1-$D$29)*AB$31),"")</f>
        <v/>
      </c>
    </row>
    <row r="117">
      <c r="A117" t="inlineStr">
        <is>
          <t>20260701800215</t>
        </is>
      </c>
      <c r="B117" t="inlineStr">
        <is>
          <t>LNGC</t>
        </is>
      </c>
      <c r="C117" t="n">
        <v>1</v>
      </c>
      <c r="D117" t="inlineStr">
        <is>
          <t>LNGC 1척</t>
        </is>
      </c>
      <c r="P117" s="18">
        <f>IFERROR(P71*$BG71*(1+($BI71-1)*P$32)*($D$29*$BH71+(1-$D$29)*P$31),"")</f>
        <v/>
      </c>
      <c r="Q117" s="18">
        <f>IFERROR(Q71*$BG71*(1+($BI71-1)*Q$32)*($D$29*$BH71+(1-$D$29)*Q$31),"")</f>
        <v/>
      </c>
      <c r="R117" s="18">
        <f>IFERROR(R71*$BG71*(1+($BI71-1)*R$32)*($D$29*$BH71+(1-$D$29)*R$31),"")</f>
        <v/>
      </c>
      <c r="S117" s="18">
        <f>IFERROR(S71*$BG71*(1+($BI71-1)*S$32)*($D$29*$BH71+(1-$D$29)*S$31),"")</f>
        <v/>
      </c>
      <c r="T117" s="18">
        <f>IFERROR(T71*$BG71*(1+($BI71-1)*T$32)*($D$29*$BH71+(1-$D$29)*T$31),"")</f>
        <v/>
      </c>
      <c r="U117" s="18">
        <f>IFERROR(U71*$BG71*(1+($BI71-1)*U$32)*($D$29*$BH71+(1-$D$29)*U$31),"")</f>
        <v/>
      </c>
      <c r="V117" s="18">
        <f>IFERROR(V71*$BG71*(1+($BI71-1)*V$32)*($D$29*$BH71+(1-$D$29)*V$31),"")</f>
        <v/>
      </c>
      <c r="W117" s="18">
        <f>IFERROR(W71*$BG71*(1+($BI71-1)*W$32)*($D$29*$BH71+(1-$D$29)*W$31),"")</f>
        <v/>
      </c>
      <c r="X117" s="18">
        <f>IFERROR(X71*$BG71*(1+($BI71-1)*X$32)*($D$29*$BH71+(1-$D$29)*X$31),"")</f>
        <v/>
      </c>
      <c r="Y117" s="18">
        <f>IFERROR(Y71*$BG71*(1+($BI71-1)*Y$32)*($D$29*$BH71+(1-$D$29)*Y$31),"")</f>
        <v/>
      </c>
      <c r="Z117" s="18">
        <f>IFERROR(Z71*$BG71*(1+($BI71-1)*Z$32)*($D$29*$BH71+(1-$D$29)*Z$31),"")</f>
        <v/>
      </c>
      <c r="AA117" s="18">
        <f>IFERROR(AA71*$BG71*(1+($BI71-1)*AA$32)*($D$29*$BH71+(1-$D$29)*AA$31),"")</f>
        <v/>
      </c>
    </row>
    <row r="118">
      <c r="A118" t="inlineStr">
        <is>
          <t>20260709800137</t>
        </is>
      </c>
      <c r="B118" t="inlineStr">
        <is>
          <t>PC</t>
        </is>
      </c>
      <c r="C118" t="n">
        <v>6</v>
      </c>
      <c r="D118" t="inlineStr">
        <is>
          <t>P/C선 6척</t>
        </is>
      </c>
      <c r="Q118" s="18">
        <f>IFERROR(Q72*$BG72*(1+($BI72-1)*Q$32)*($D$29*$BH72+(1-$D$29)*Q$31),"")</f>
        <v/>
      </c>
      <c r="R118" s="18">
        <f>IFERROR(R72*$BG72*(1+($BI72-1)*R$32)*($D$29*$BH72+(1-$D$29)*R$31),"")</f>
        <v/>
      </c>
      <c r="S118" s="18">
        <f>IFERROR(S72*$BG72*(1+($BI72-1)*S$32)*($D$29*$BH72+(1-$D$29)*S$31),"")</f>
        <v/>
      </c>
      <c r="T118" s="18">
        <f>IFERROR(T72*$BG72*(1+($BI72-1)*T$32)*($D$29*$BH72+(1-$D$29)*T$31),"")</f>
        <v/>
      </c>
      <c r="U118" s="18">
        <f>IFERROR(U72*$BG72*(1+($BI72-1)*U$32)*($D$29*$BH72+(1-$D$29)*U$31),"")</f>
        <v/>
      </c>
      <c r="V118" s="18">
        <f>IFERROR(V72*$BG72*(1+($BI72-1)*V$32)*($D$29*$BH72+(1-$D$29)*V$31),"")</f>
        <v/>
      </c>
      <c r="W118" s="18">
        <f>IFERROR(W72*$BG72*(1+($BI72-1)*W$32)*($D$29*$BH72+(1-$D$29)*W$31),"")</f>
        <v/>
      </c>
      <c r="X118" s="18">
        <f>IFERROR(X72*$BG72*(1+($BI72-1)*X$32)*($D$29*$BH72+(1-$D$29)*X$31),"")</f>
        <v/>
      </c>
      <c r="Y118" s="18">
        <f>IFERROR(Y72*$BG72*(1+($BI72-1)*Y$32)*($D$29*$BH72+(1-$D$29)*Y$31),"")</f>
        <v/>
      </c>
      <c r="Z118" s="18">
        <f>IFERROR(Z72*$BG72*(1+($BI72-1)*Z$32)*($D$29*$BH72+(1-$D$29)*Z$31),"")</f>
        <v/>
      </c>
      <c r="AA118" s="18">
        <f>IFERROR(AA72*$BG72*(1+($BI72-1)*AA$32)*($D$29*$BH72+(1-$D$29)*AA$31),"")</f>
        <v/>
      </c>
      <c r="AB118" s="18">
        <f>IFERROR(AB72*$BG72*(1+($BI72-1)*AB$32)*($D$29*$BH72+(1-$D$29)*AB$31),"")</f>
        <v/>
      </c>
    </row>
    <row r="119">
      <c r="A119" t="inlineStr">
        <is>
          <t>20260714800534</t>
        </is>
      </c>
      <c r="B119" t="inlineStr">
        <is>
          <t>PCTC</t>
        </is>
      </c>
      <c r="C119" t="n">
        <v>2</v>
      </c>
      <c r="D119" t="inlineStr">
        <is>
          <t>PCTC 2척</t>
        </is>
      </c>
      <c r="P119" s="18">
        <f>IFERROR(P73*$BG73*(1+($BI73-1)*P$32)*($D$29*$BH73+(1-$D$29)*P$31),"")</f>
        <v/>
      </c>
      <c r="Q119" s="18">
        <f>IFERROR(Q73*$BG73*(1+($BI73-1)*Q$32)*($D$29*$BH73+(1-$D$29)*Q$31),"")</f>
        <v/>
      </c>
      <c r="R119" s="18">
        <f>IFERROR(R73*$BG73*(1+($BI73-1)*R$32)*($D$29*$BH73+(1-$D$29)*R$31),"")</f>
        <v/>
      </c>
      <c r="S119" s="18">
        <f>IFERROR(S73*$BG73*(1+($BI73-1)*S$32)*($D$29*$BH73+(1-$D$29)*S$31),"")</f>
        <v/>
      </c>
      <c r="T119" s="18">
        <f>IFERROR(T73*$BG73*(1+($BI73-1)*T$32)*($D$29*$BH73+(1-$D$29)*T$31),"")</f>
        <v/>
      </c>
      <c r="U119" s="18">
        <f>IFERROR(U73*$BG73*(1+($BI73-1)*U$32)*($D$29*$BH73+(1-$D$29)*U$31),"")</f>
        <v/>
      </c>
      <c r="V119" s="18">
        <f>IFERROR(V73*$BG73*(1+($BI73-1)*V$32)*($D$29*$BH73+(1-$D$29)*V$31),"")</f>
        <v/>
      </c>
      <c r="W119" s="18">
        <f>IFERROR(W73*$BG73*(1+($BI73-1)*W$32)*($D$29*$BH73+(1-$D$29)*W$31),"")</f>
        <v/>
      </c>
      <c r="X119" s="18">
        <f>IFERROR(X73*$BG73*(1+($BI73-1)*X$32)*($D$29*$BH73+(1-$D$29)*X$31),"")</f>
        <v/>
      </c>
      <c r="Y119" s="18">
        <f>IFERROR(Y73*$BG73*(1+($BI73-1)*Y$32)*($D$29*$BH73+(1-$D$29)*Y$31),"")</f>
        <v/>
      </c>
      <c r="Z119" s="18">
        <f>IFERROR(Z73*$BG73*(1+($BI73-1)*Z$32)*($D$29*$BH73+(1-$D$29)*Z$31),"")</f>
        <v/>
      </c>
    </row>
    <row r="120">
      <c r="A120" t="inlineStr">
        <is>
          <t>20260810800144</t>
        </is>
      </c>
      <c r="B120" t="inlineStr">
        <is>
          <t>OTHER</t>
        </is>
      </c>
      <c r="D120" t="inlineStr">
        <is>
          <t>엔진발전기 공급</t>
        </is>
      </c>
      <c r="Q120" s="18">
        <f>IFERROR(Q74*$BG74*(1+($BI74-1)*Q$32)*($D$29*$BH74+(1-$D$29)*Q$31),"")</f>
        <v/>
      </c>
      <c r="R120" s="18">
        <f>IFERROR(R74*$BG74*(1+($BI74-1)*R$32)*($D$29*$BH74+(1-$D$29)*R$31),"")</f>
        <v/>
      </c>
      <c r="S120" s="18">
        <f>IFERROR(S74*$BG74*(1+($BI74-1)*S$32)*($D$29*$BH74+(1-$D$29)*S$31),"")</f>
        <v/>
      </c>
      <c r="T120" s="18">
        <f>IFERROR(T74*$BG74*(1+($BI74-1)*T$32)*($D$29*$BH74+(1-$D$29)*T$31),"")</f>
        <v/>
      </c>
      <c r="U120" s="18">
        <f>IFERROR(U74*$BG74*(1+($BI74-1)*U$32)*($D$29*$BH74+(1-$D$29)*U$31),"")</f>
        <v/>
      </c>
      <c r="V120" s="18">
        <f>IFERROR(V74*$BG74*(1+($BI74-1)*V$32)*($D$29*$BH74+(1-$D$29)*V$31),"")</f>
        <v/>
      </c>
      <c r="W120" s="18">
        <f>IFERROR(W74*$BG74*(1+($BI74-1)*W$32)*($D$29*$BH74+(1-$D$29)*W$31),"")</f>
        <v/>
      </c>
      <c r="X120" s="18">
        <f>IFERROR(X74*$BG74*(1+($BI74-1)*X$32)*($D$29*$BH74+(1-$D$29)*X$31),"")</f>
        <v/>
      </c>
      <c r="Y120" s="18">
        <f>IFERROR(Y74*$BG74*(1+($BI74-1)*Y$32)*($D$29*$BH74+(1-$D$29)*Y$31),"")</f>
        <v/>
      </c>
      <c r="Z120" s="18">
        <f>IFERROR(Z74*$BG74*(1+($BI74-1)*Z$32)*($D$29*$BH74+(1-$D$29)*Z$31),"")</f>
        <v/>
      </c>
      <c r="AA120" s="18">
        <f>IFERROR(AA74*$BG74*(1+($BI74-1)*AA$32)*($D$29*$BH74+(1-$D$29)*AA$31),"")</f>
        <v/>
      </c>
      <c r="AB120" s="18">
        <f>IFERROR(AB74*$BG74*(1+($BI74-1)*AB$32)*($D$29*$BH74+(1-$D$29)*AB$31),"")</f>
        <v/>
      </c>
      <c r="AC120" s="18">
        <f>IFERROR(AC74*$BG74*(1+($BI74-1)*AC$32)*($D$29*$BH74+(1-$D$29)*AC$31),"")</f>
        <v/>
      </c>
      <c r="AD120" s="18">
        <f>IFERROR(AD74*$BG74*(1+($BI74-1)*AD$32)*($D$29*$BH74+(1-$D$29)*AD$31),"")</f>
        <v/>
      </c>
      <c r="AE120" s="18">
        <f>IFERROR(AE74*$BG74*(1+($BI74-1)*AE$32)*($D$29*$BH74+(1-$D$29)*AE$31),"")</f>
        <v/>
      </c>
      <c r="AF120" s="18">
        <f>IFERROR(AF74*$BG74*(1+($BI74-1)*AF$32)*($D$29*$BH74+(1-$D$29)*AF$31),"")</f>
        <v/>
      </c>
      <c r="AG120" s="18">
        <f>IFERROR(AG74*$BG74*(1+($BI74-1)*AG$32)*($D$29*$BH74+(1-$D$29)*AG$31),"")</f>
        <v/>
      </c>
    </row>
    <row r="121">
      <c r="A121" t="inlineStr">
        <is>
          <t>20260824800122</t>
        </is>
      </c>
      <c r="B121" t="inlineStr">
        <is>
          <t>VLGC</t>
        </is>
      </c>
      <c r="C121" t="n">
        <v>4</v>
      </c>
      <c r="D121" t="inlineStr">
        <is>
          <t>LPGC 4척</t>
        </is>
      </c>
      <c r="Q121" s="18">
        <f>IFERROR(Q75*$BG75*(1+($BI75-1)*Q$32)*($D$29*$BH75+(1-$D$29)*Q$31),"")</f>
        <v/>
      </c>
      <c r="R121" s="18">
        <f>IFERROR(R75*$BG75*(1+($BI75-1)*R$32)*($D$29*$BH75+(1-$D$29)*R$31),"")</f>
        <v/>
      </c>
      <c r="S121" s="18">
        <f>IFERROR(S75*$BG75*(1+($BI75-1)*S$32)*($D$29*$BH75+(1-$D$29)*S$31),"")</f>
        <v/>
      </c>
      <c r="T121" s="18">
        <f>IFERROR(T75*$BG75*(1+($BI75-1)*T$32)*($D$29*$BH75+(1-$D$29)*T$31),"")</f>
        <v/>
      </c>
      <c r="U121" s="18">
        <f>IFERROR(U75*$BG75*(1+($BI75-1)*U$32)*($D$29*$BH75+(1-$D$29)*U$31),"")</f>
        <v/>
      </c>
      <c r="V121" s="18">
        <f>IFERROR(V75*$BG75*(1+($BI75-1)*V$32)*($D$29*$BH75+(1-$D$29)*V$31),"")</f>
        <v/>
      </c>
      <c r="W121" s="18">
        <f>IFERROR(W75*$BG75*(1+($BI75-1)*W$32)*($D$29*$BH75+(1-$D$29)*W$31),"")</f>
        <v/>
      </c>
      <c r="X121" s="18">
        <f>IFERROR(X75*$BG75*(1+($BI75-1)*X$32)*($D$29*$BH75+(1-$D$29)*X$31),"")</f>
        <v/>
      </c>
      <c r="Y121" s="18">
        <f>IFERROR(Y75*$BG75*(1+($BI75-1)*Y$32)*($D$29*$BH75+(1-$D$29)*Y$31),"")</f>
        <v/>
      </c>
      <c r="Z121" s="18">
        <f>IFERROR(Z75*$BG75*(1+($BI75-1)*Z$32)*($D$29*$BH75+(1-$D$29)*Z$31),"")</f>
        <v/>
      </c>
      <c r="AA121" s="18">
        <f>IFERROR(AA75*$BG75*(1+($BI75-1)*AA$32)*($D$29*$BH75+(1-$D$29)*AA$31),"")</f>
        <v/>
      </c>
      <c r="AB121" s="18">
        <f>IFERROR(AB75*$BG75*(1+($BI75-1)*AB$32)*($D$29*$BH75+(1-$D$29)*AB$31),"")</f>
        <v/>
      </c>
      <c r="AC121" s="18">
        <f>IFERROR(AC75*$BG75*(1+($BI75-1)*AC$32)*($D$29*$BH75+(1-$D$29)*AC$31),"")</f>
        <v/>
      </c>
      <c r="AD121" s="18">
        <f>IFERROR(AD75*$BG75*(1+($BI75-1)*AD$32)*($D$29*$BH75+(1-$D$29)*AD$31),"")</f>
        <v/>
      </c>
      <c r="AE121" s="18">
        <f>IFERROR(AE75*$BG75*(1+($BI75-1)*AE$32)*($D$29*$BH75+(1-$D$29)*AE$31),"")</f>
        <v/>
      </c>
    </row>
    <row r="122">
      <c r="A122" t="inlineStr">
        <is>
          <t>20260922800219</t>
        </is>
      </c>
      <c r="B122" t="inlineStr">
        <is>
          <t>PCTC</t>
        </is>
      </c>
      <c r="C122" t="n">
        <v>2</v>
      </c>
      <c r="D122" t="inlineStr">
        <is>
          <t>RORO선 2척</t>
        </is>
      </c>
      <c r="Q122" s="18">
        <f>IFERROR(Q76*$BG76*(1+($BI76-1)*Q$32)*($D$29*$BH76+(1-$D$29)*Q$31),"")</f>
        <v/>
      </c>
      <c r="R122" s="18">
        <f>IFERROR(R76*$BG76*(1+($BI76-1)*R$32)*($D$29*$BH76+(1-$D$29)*R$31),"")</f>
        <v/>
      </c>
      <c r="S122" s="18">
        <f>IFERROR(S76*$BG76*(1+($BI76-1)*S$32)*($D$29*$BH76+(1-$D$29)*S$31),"")</f>
        <v/>
      </c>
      <c r="T122" s="18">
        <f>IFERROR(T76*$BG76*(1+($BI76-1)*T$32)*($D$29*$BH76+(1-$D$29)*T$31),"")</f>
        <v/>
      </c>
      <c r="U122" s="18">
        <f>IFERROR(U76*$BG76*(1+($BI76-1)*U$32)*($D$29*$BH76+(1-$D$29)*U$31),"")</f>
        <v/>
      </c>
      <c r="V122" s="18">
        <f>IFERROR(V76*$BG76*(1+($BI76-1)*V$32)*($D$29*$BH76+(1-$D$29)*V$31),"")</f>
        <v/>
      </c>
      <c r="W122" s="18">
        <f>IFERROR(W76*$BG76*(1+($BI76-1)*W$32)*($D$29*$BH76+(1-$D$29)*W$31),"")</f>
        <v/>
      </c>
      <c r="X122" s="18">
        <f>IFERROR(X76*$BG76*(1+($BI76-1)*X$32)*($D$29*$BH76+(1-$D$29)*X$31),"")</f>
        <v/>
      </c>
      <c r="Y122" s="18">
        <f>IFERROR(Y76*$BG76*(1+($BI76-1)*Y$32)*($D$29*$BH76+(1-$D$29)*Y$31),"")</f>
        <v/>
      </c>
      <c r="Z122" s="18">
        <f>IFERROR(Z76*$BG76*(1+($BI76-1)*Z$32)*($D$29*$BH76+(1-$D$29)*Z$31),"")</f>
        <v/>
      </c>
      <c r="AA122" s="18">
        <f>IFERROR(AA76*$BG76*(1+($BI76-1)*AA$32)*($D$29*$BH76+(1-$D$29)*AA$31),"")</f>
        <v/>
      </c>
      <c r="AB122" s="18">
        <f>IFERROR(AB76*$BG76*(1+($BI76-1)*AB$32)*($D$29*$BH76+(1-$D$29)*AB$31),"")</f>
        <v/>
      </c>
      <c r="AC122" s="18">
        <f>IFERROR(AC76*$BG76*(1+($BI76-1)*AC$32)*($D$29*$BH76+(1-$D$29)*AC$31),"")</f>
        <v/>
      </c>
      <c r="AD122" s="18">
        <f>IFERROR(AD76*$BG76*(1+($BI76-1)*AD$32)*($D$29*$BH76+(1-$D$29)*AD$31),"")</f>
        <v/>
      </c>
    </row>
    <row r="123">
      <c r="A123" t="inlineStr">
        <is>
          <t>20261013800234</t>
        </is>
      </c>
      <c r="B123" t="inlineStr">
        <is>
          <t>OFFSH</t>
        </is>
      </c>
      <c r="C123" t="n">
        <v>1</v>
      </c>
      <c r="D123" t="inlineStr">
        <is>
          <t>FPU 1기</t>
        </is>
      </c>
      <c r="E123" s="18">
        <f>IFERROR(E77*$BG77*(1+($BI77-1)*E$32)*($D$29*$BH77+(1-$D$29)*E$31),"")</f>
        <v/>
      </c>
      <c r="F123" s="18">
        <f>IFERROR(F77*$BG77*(1+($BI77-1)*F$32)*($D$29*$BH77+(1-$D$29)*F$31),"")</f>
        <v/>
      </c>
      <c r="G123" s="18">
        <f>IFERROR(G77*$BG77*(1+($BI77-1)*G$32)*($D$29*$BH77+(1-$D$29)*G$31),"")</f>
        <v/>
      </c>
      <c r="H123" s="18">
        <f>IFERROR(H77*$BG77*(1+($BI77-1)*H$32)*($D$29*$BH77+(1-$D$29)*H$31),"")</f>
        <v/>
      </c>
      <c r="I123" s="18">
        <f>IFERROR(I77*$BG77*(1+($BI77-1)*I$32)*($D$29*$BH77+(1-$D$29)*I$31),"")</f>
        <v/>
      </c>
      <c r="J123" s="18">
        <f>IFERROR(J77*$BG77*(1+($BI77-1)*J$32)*($D$29*$BH77+(1-$D$29)*J$31),"")</f>
        <v/>
      </c>
      <c r="K123" s="18">
        <f>IFERROR(K77*$BG77*(1+($BI77-1)*K$32)*($D$29*$BH77+(1-$D$29)*K$31),"")</f>
        <v/>
      </c>
      <c r="L123" s="18">
        <f>IFERROR(L77*$BG77*(1+($BI77-1)*L$32)*($D$29*$BH77+(1-$D$29)*L$31),"")</f>
        <v/>
      </c>
      <c r="M123" s="18">
        <f>IFERROR(M77*$BG77*(1+($BI77-1)*M$32)*($D$29*$BH77+(1-$D$29)*M$31),"")</f>
        <v/>
      </c>
      <c r="N123" s="18">
        <f>IFERROR(N77*$BG77*(1+($BI77-1)*N$32)*($D$29*$BH77+(1-$D$29)*N$31),"")</f>
        <v/>
      </c>
      <c r="O123" s="18">
        <f>IFERROR(O77*$BG77*(1+($BI77-1)*O$32)*($D$29*$BH77+(1-$D$29)*O$31),"")</f>
        <v/>
      </c>
      <c r="P123" s="18">
        <f>IFERROR(P77*$BG77*(1+($BI77-1)*P$32)*($D$29*$BH77+(1-$D$29)*P$31),"")</f>
        <v/>
      </c>
      <c r="Q123" s="18">
        <f>IFERROR(Q77*$BG77*(1+($BI77-1)*Q$32)*($D$29*$BH77+(1-$D$29)*Q$31),"")</f>
        <v/>
      </c>
      <c r="R123" s="18">
        <f>IFERROR(R77*$BG77*(1+($BI77-1)*R$32)*($D$29*$BH77+(1-$D$29)*R$31),"")</f>
        <v/>
      </c>
      <c r="S123" s="18">
        <f>IFERROR(S77*$BG77*(1+($BI77-1)*S$32)*($D$29*$BH77+(1-$D$29)*S$31),"")</f>
        <v/>
      </c>
      <c r="T123" s="18">
        <f>IFERROR(T77*$BG77*(1+($BI77-1)*T$32)*($D$29*$BH77+(1-$D$29)*T$31),"")</f>
        <v/>
      </c>
    </row>
    <row r="124">
      <c r="A124" t="inlineStr">
        <is>
          <t>20261015800353</t>
        </is>
      </c>
      <c r="B124" t="inlineStr">
        <is>
          <t>VLGC</t>
        </is>
      </c>
      <c r="C124" t="n">
        <v>4</v>
      </c>
      <c r="D124" t="inlineStr">
        <is>
          <t>VLGC 4척</t>
        </is>
      </c>
      <c r="R124" s="18">
        <f>IFERROR(R78*$BG78*(1+($BI78-1)*R$32)*($D$29*$BH78+(1-$D$29)*R$31),"")</f>
        <v/>
      </c>
      <c r="S124" s="18">
        <f>IFERROR(S78*$BG78*(1+($BI78-1)*S$32)*($D$29*$BH78+(1-$D$29)*S$31),"")</f>
        <v/>
      </c>
      <c r="T124" s="18">
        <f>IFERROR(T78*$BG78*(1+($BI78-1)*T$32)*($D$29*$BH78+(1-$D$29)*T$31),"")</f>
        <v/>
      </c>
      <c r="U124" s="18">
        <f>IFERROR(U78*$BG78*(1+($BI78-1)*U$32)*($D$29*$BH78+(1-$D$29)*U$31),"")</f>
        <v/>
      </c>
      <c r="V124" s="18">
        <f>IFERROR(V78*$BG78*(1+($BI78-1)*V$32)*($D$29*$BH78+(1-$D$29)*V$31),"")</f>
        <v/>
      </c>
      <c r="W124" s="18">
        <f>IFERROR(W78*$BG78*(1+($BI78-1)*W$32)*($D$29*$BH78+(1-$D$29)*W$31),"")</f>
        <v/>
      </c>
      <c r="X124" s="18">
        <f>IFERROR(X78*$BG78*(1+($BI78-1)*X$32)*($D$29*$BH78+(1-$D$29)*X$31),"")</f>
        <v/>
      </c>
      <c r="Y124" s="18">
        <f>IFERROR(Y78*$BG78*(1+($BI78-1)*Y$32)*($D$29*$BH78+(1-$D$29)*Y$31),"")</f>
        <v/>
      </c>
      <c r="Z124" s="18">
        <f>IFERROR(Z78*$BG78*(1+($BI78-1)*Z$32)*($D$29*$BH78+(1-$D$29)*Z$31),"")</f>
        <v/>
      </c>
      <c r="AA124" s="18">
        <f>IFERROR(AA78*$BG78*(1+($BI78-1)*AA$32)*($D$29*$BH78+(1-$D$29)*AA$31),"")</f>
        <v/>
      </c>
      <c r="AB124" s="18">
        <f>IFERROR(AB78*$BG78*(1+($BI78-1)*AB$32)*($D$29*$BH78+(1-$D$29)*AB$31),"")</f>
        <v/>
      </c>
      <c r="AC124" s="18">
        <f>IFERROR(AC78*$BG78*(1+($BI78-1)*AC$32)*($D$29*$BH78+(1-$D$29)*AC$31),"")</f>
        <v/>
      </c>
      <c r="AD124" s="18">
        <f>IFERROR(AD78*$BG78*(1+($BI78-1)*AD$32)*($D$29*$BH78+(1-$D$29)*AD$31),"")</f>
        <v/>
      </c>
      <c r="AE124" s="18">
        <f>IFERROR(AE78*$BG78*(1+($BI78-1)*AE$32)*($D$29*$BH78+(1-$D$29)*AE$31),"")</f>
        <v/>
      </c>
      <c r="AF124" s="18">
        <f>IFERROR(AF78*$BG78*(1+($BI78-1)*AF$32)*($D$29*$BH78+(1-$D$29)*AF$31),"")</f>
        <v/>
      </c>
    </row>
    <row r="125">
      <c r="A125" s="12" t="inlineStr">
        <is>
          <t>usd_incl</t>
        </is>
      </c>
      <c r="D125" t="inlineStr">
        <is>
          <t>포함 계약 스케줄 합(백만$, 캡 배율 전)</t>
        </is>
      </c>
      <c r="E125" s="26">
        <f>SUMPRODUCT(E35:E78,$BG$35:$BG$78)</f>
        <v/>
      </c>
      <c r="F125" s="26">
        <f>SUMPRODUCT(F35:F78,$BG$35:$BG$78)</f>
        <v/>
      </c>
      <c r="G125" s="26">
        <f>SUMPRODUCT(G35:G78,$BG$35:$BG$78)</f>
        <v/>
      </c>
      <c r="H125" s="26">
        <f>SUMPRODUCT(H35:H78,$BG$35:$BG$78)</f>
        <v/>
      </c>
      <c r="I125" s="26">
        <f>SUMPRODUCT(I35:I78,$BG$35:$BG$78)</f>
        <v/>
      </c>
      <c r="J125" s="26">
        <f>SUMPRODUCT(J35:J78,$BG$35:$BG$78)</f>
        <v/>
      </c>
      <c r="K125" s="26">
        <f>SUMPRODUCT(K35:K78,$BG$35:$BG$78)</f>
        <v/>
      </c>
      <c r="L125" s="26">
        <f>SUMPRODUCT(L35:L78,$BG$35:$BG$78)</f>
        <v/>
      </c>
      <c r="M125" s="26">
        <f>SUMPRODUCT(M35:M78,$BG$35:$BG$78)</f>
        <v/>
      </c>
      <c r="N125" s="26">
        <f>SUMPRODUCT(N35:N78,$BG$35:$BG$78)</f>
        <v/>
      </c>
      <c r="O125" s="26">
        <f>SUMPRODUCT(O35:O78,$BG$35:$BG$78)</f>
        <v/>
      </c>
      <c r="P125" s="26">
        <f>SUMPRODUCT(P35:P78,$BG$35:$BG$78)</f>
        <v/>
      </c>
      <c r="Q125" s="26">
        <f>SUMPRODUCT(Q35:Q78,$BG$35:$BG$78)</f>
        <v/>
      </c>
      <c r="R125" s="26">
        <f>SUMPRODUCT(R35:R78,$BG$35:$BG$78)</f>
        <v/>
      </c>
      <c r="S125" s="26">
        <f>SUMPRODUCT(S35:S78,$BG$35:$BG$78)</f>
        <v/>
      </c>
      <c r="T125" s="26">
        <f>SUMPRODUCT(T35:T78,$BG$35:$BG$78)</f>
        <v/>
      </c>
      <c r="U125" s="26">
        <f>SUMPRODUCT(U35:U78,$BG$35:$BG$78)</f>
        <v/>
      </c>
      <c r="V125" s="26">
        <f>SUMPRODUCT(V35:V78,$BG$35:$BG$78)</f>
        <v/>
      </c>
      <c r="W125" s="26">
        <f>SUMPRODUCT(W35:W78,$BG$35:$BG$78)</f>
        <v/>
      </c>
      <c r="X125" s="26">
        <f>SUMPRODUCT(X35:X78,$BG$35:$BG$78)</f>
        <v/>
      </c>
      <c r="Y125" s="26">
        <f>SUMPRODUCT(Y35:Y78,$BG$35:$BG$78)</f>
        <v/>
      </c>
      <c r="Z125" s="26">
        <f>SUMPRODUCT(Z35:Z78,$BG$35:$BG$78)</f>
        <v/>
      </c>
      <c r="AA125" s="26">
        <f>SUMPRODUCT(AA35:AA78,$BG$35:$BG$78)</f>
        <v/>
      </c>
      <c r="AB125" s="26">
        <f>SUMPRODUCT(AB35:AB78,$BG$35:$BG$78)</f>
        <v/>
      </c>
      <c r="AC125" s="26">
        <f>SUMPRODUCT(AC35:AC78,$BG$35:$BG$78)</f>
        <v/>
      </c>
      <c r="AD125" s="26">
        <f>SUMPRODUCT(AD35:AD78,$BG$35:$BG$78)</f>
        <v/>
      </c>
      <c r="AE125" s="26">
        <f>SUMPRODUCT(AE35:AE78,$BG$35:$BG$78)</f>
        <v/>
      </c>
      <c r="AF125" s="26">
        <f>SUMPRODUCT(AF35:AF78,$BG$35:$BG$78)</f>
        <v/>
      </c>
      <c r="AG125" s="26">
        <f>SUMPRODUCT(AG35:AG78,$BG$35:$BG$78)</f>
        <v/>
      </c>
      <c r="AH125" s="26">
        <f>SUMPRODUCT(AH35:AH78,$BG$35:$BG$78)</f>
        <v/>
      </c>
      <c r="AI125" s="26">
        <f>SUMPRODUCT(AI35:AI78,$BG$35:$BG$78)</f>
        <v/>
      </c>
      <c r="AJ125" s="26">
        <f>SUMPRODUCT(AJ35:AJ78,$BG$35:$BG$78)</f>
        <v/>
      </c>
      <c r="AK125" s="26">
        <f>SUMPRODUCT(AK35:AK78,$BG$35:$BG$78)</f>
        <v/>
      </c>
      <c r="AL125" s="26">
        <f>SUMPRODUCT(AL35:AL78,$BG$35:$BG$78)</f>
        <v/>
      </c>
      <c r="AM125" s="26">
        <f>SUMPRODUCT(AM35:AM78,$BG$35:$BG$78)</f>
        <v/>
      </c>
      <c r="AN125" s="26">
        <f>SUMPRODUCT(AN35:AN78,$BG$35:$BG$78)</f>
        <v/>
      </c>
      <c r="AO125" s="26">
        <f>SUMPRODUCT(AO35:AO78,$BG$35:$BG$78)</f>
        <v/>
      </c>
      <c r="AP125" s="26">
        <f>SUMPRODUCT(AP35:AP78,$BG$35:$BG$78)</f>
        <v/>
      </c>
      <c r="AQ125" s="26">
        <f>SUMPRODUCT(AQ35:AQ78,$BG$35:$BG$78)</f>
        <v/>
      </c>
      <c r="AR125" s="26">
        <f>SUMPRODUCT(AR35:AR78,$BG$35:$BG$78)</f>
        <v/>
      </c>
      <c r="AS125" s="26">
        <f>SUMPRODUCT(AS35:AS78,$BG$35:$BG$78)</f>
        <v/>
      </c>
      <c r="AT125" s="26">
        <f>SUMPRODUCT(AT35:AT78,$BG$35:$BG$78)</f>
        <v/>
      </c>
    </row>
    <row r="126">
      <c r="A126" s="12" t="inlineStr">
        <is>
          <t>krw_link</t>
        </is>
      </c>
      <c r="D126" s="1" t="inlineStr">
        <is>
          <t>원화 합계(백만원) — subQ 연결 행</t>
        </is>
      </c>
      <c r="E126" s="18">
        <f>SUM(E81:E124)</f>
        <v/>
      </c>
      <c r="F126" s="18">
        <f>SUM(F81:F124)</f>
        <v/>
      </c>
      <c r="G126" s="18">
        <f>SUM(G81:G124)</f>
        <v/>
      </c>
      <c r="H126" s="18">
        <f>SUM(H81:H124)</f>
        <v/>
      </c>
      <c r="I126" s="18">
        <f>SUM(I81:I124)</f>
        <v/>
      </c>
      <c r="J126" s="18">
        <f>SUM(J81:J124)</f>
        <v/>
      </c>
      <c r="K126" s="18">
        <f>SUM(K81:K124)</f>
        <v/>
      </c>
      <c r="L126" s="18">
        <f>SUM(L81:L124)</f>
        <v/>
      </c>
      <c r="M126" s="18">
        <f>SUM(M81:M124)</f>
        <v/>
      </c>
      <c r="N126" s="18">
        <f>SUM(N81:N124)</f>
        <v/>
      </c>
      <c r="O126" s="18">
        <f>SUM(O81:O124)</f>
        <v/>
      </c>
      <c r="P126" s="18">
        <f>SUM(P81:P124)</f>
        <v/>
      </c>
      <c r="Q126" s="18">
        <f>SUM(Q81:Q124)</f>
        <v/>
      </c>
      <c r="R126" s="18">
        <f>SUM(R81:R124)</f>
        <v/>
      </c>
      <c r="S126" s="18">
        <f>SUM(S81:S124)</f>
        <v/>
      </c>
      <c r="T126" s="18">
        <f>SUM(T81:T124)</f>
        <v/>
      </c>
      <c r="U126" s="18">
        <f>SUM(U81:U124)</f>
        <v/>
      </c>
      <c r="V126" s="18">
        <f>SUM(V81:V124)</f>
        <v/>
      </c>
      <c r="W126" s="18">
        <f>SUM(W81:W124)</f>
        <v/>
      </c>
      <c r="X126" s="18">
        <f>SUM(X81:X124)</f>
        <v/>
      </c>
      <c r="Y126" s="18">
        <f>SUM(Y81:Y124)</f>
        <v/>
      </c>
      <c r="Z126" s="18">
        <f>SUM(Z81:Z124)</f>
        <v/>
      </c>
      <c r="AA126" s="18">
        <f>SUM(AA81:AA124)</f>
        <v/>
      </c>
      <c r="AB126" s="18">
        <f>SUM(AB81:AB124)</f>
        <v/>
      </c>
      <c r="AC126" s="18">
        <f>SUM(AC81:AC124)</f>
        <v/>
      </c>
      <c r="AD126" s="18">
        <f>SUM(AD81:AD124)</f>
        <v/>
      </c>
      <c r="AE126" s="18">
        <f>SUM(AE81:AE124)</f>
        <v/>
      </c>
      <c r="AF126" s="18">
        <f>SUM(AF81:AF124)</f>
        <v/>
      </c>
      <c r="AG126" s="18">
        <f>SUM(AG81:AG124)</f>
        <v/>
      </c>
      <c r="AH126" s="18">
        <f>SUM(AH81:AH124)</f>
        <v/>
      </c>
      <c r="AI126" s="18">
        <f>SUM(AI81:AI124)</f>
        <v/>
      </c>
      <c r="AJ126" s="18">
        <f>SUM(AJ81:AJ124)</f>
        <v/>
      </c>
      <c r="AK126" s="18">
        <f>SUM(AK81:AK124)</f>
        <v/>
      </c>
      <c r="AL126" s="18">
        <f>SUM(AL81:AL124)</f>
        <v/>
      </c>
      <c r="AM126" s="18">
        <f>SUM(AM81:AM124)</f>
        <v/>
      </c>
      <c r="AN126" s="18">
        <f>SUM(AN81:AN124)</f>
        <v/>
      </c>
      <c r="AO126" s="18">
        <f>SUM(AO81:AO124)</f>
        <v/>
      </c>
      <c r="AP126" s="18">
        <f>SUM(AP81:AP124)</f>
        <v/>
      </c>
      <c r="AQ126" s="18">
        <f>SUM(AQ81:AQ124)</f>
        <v/>
      </c>
      <c r="AR126" s="18">
        <f>SUM(AR81:AR124)</f>
        <v/>
      </c>
      <c r="AS126" s="18">
        <f>SUM(AS81:AS124)</f>
        <v/>
      </c>
      <c r="AT126" s="18">
        <f>SUM(AT81:AT124)</f>
        <v/>
      </c>
    </row>
    <row r="128">
      <c r="A128" s="1" t="inlineStr">
        <is>
          <t>계약 원장(contracts.json 기반 — counted 아닌 계약 포함)</t>
        </is>
      </c>
    </row>
    <row r="129">
      <c r="A129" s="1" t="inlineStr">
        <is>
          <t>rcp</t>
        </is>
      </c>
      <c r="B129" s="1" t="inlineStr">
        <is>
          <t>type</t>
        </is>
      </c>
      <c r="C129" s="1" t="inlineStr">
        <is>
          <t>ships</t>
        </is>
      </c>
      <c r="D129" s="1" t="inlineStr">
        <is>
          <t>amt_krw_m</t>
        </is>
      </c>
      <c r="E129" s="1" t="inlineStr">
        <is>
          <t>amt_usd_m</t>
        </is>
      </c>
      <c r="F129" s="1" t="inlineStr">
        <is>
          <t>fx_at_sign</t>
        </is>
      </c>
      <c r="G129" s="1" t="inlineStr">
        <is>
          <t>signed</t>
        </is>
      </c>
      <c r="H129" s="1" t="inlineStr">
        <is>
          <t>start</t>
        </is>
      </c>
      <c r="I129" s="1" t="inlineStr">
        <is>
          <t>end</t>
        </is>
      </c>
      <c r="J129" s="1" t="inlineStr">
        <is>
          <t>cohort</t>
        </is>
      </c>
      <c r="K129" s="1" t="inlineStr">
        <is>
          <t>cohort_alt</t>
        </is>
      </c>
      <c r="L129" s="1" t="inlineStr">
        <is>
          <t>curve</t>
        </is>
      </c>
      <c r="M129" s="1" t="inlineStr">
        <is>
          <t>counted</t>
        </is>
      </c>
      <c r="N129" s="1" t="inlineStr">
        <is>
          <t>signed_by_origin</t>
        </is>
      </c>
      <c r="O129" s="1" t="inlineStr">
        <is>
          <t>estimated_series</t>
        </is>
      </c>
    </row>
    <row r="130">
      <c r="A130" t="inlineStr">
        <is>
          <t>20241118800037</t>
        </is>
      </c>
      <c r="B130" t="inlineStr">
        <is>
          <t>VLGC</t>
        </is>
      </c>
      <c r="C130" t="n">
        <v>2</v>
      </c>
      <c r="D130" t="n">
        <v>340300</v>
      </c>
      <c r="E130" t="n">
        <v>243.716</v>
      </c>
      <c r="F130" t="n">
        <v>1396.3</v>
      </c>
      <c r="G130" t="inlineStr">
        <is>
          <t>2024-11-15</t>
        </is>
      </c>
      <c r="H130" t="inlineStr">
        <is>
          <t>2024-11-15</t>
        </is>
      </c>
      <c r="I130" t="inlineStr">
        <is>
          <t>2027-12-31</t>
        </is>
      </c>
      <c r="J130" t="inlineStr">
        <is>
          <t>⑤초호황</t>
        </is>
      </c>
      <c r="K130" t="inlineStr">
        <is>
          <t>③중마진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20250123800036</t>
        </is>
      </c>
      <c r="B131" t="inlineStr">
        <is>
          <t>CONT</t>
        </is>
      </c>
      <c r="C131" t="n">
        <v>12</v>
      </c>
      <c r="D131" t="n">
        <v>3716000</v>
      </c>
      <c r="E131" t="n">
        <v>2558.735</v>
      </c>
      <c r="F131" t="n">
        <v>1452.28</v>
      </c>
      <c r="G131" t="inlineStr">
        <is>
          <t>2025-01-22</t>
        </is>
      </c>
      <c r="H131" t="inlineStr">
        <is>
          <t>2025-01-22</t>
        </is>
      </c>
      <c r="I131" t="inlineStr">
        <is>
          <t>2028-12-29</t>
        </is>
      </c>
      <c r="J131" t="inlineStr">
        <is>
          <t>⑤초호황</t>
        </is>
      </c>
      <c r="K131" t="inlineStr">
        <is>
          <t>④호황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20250213800540</t>
        </is>
      </c>
      <c r="B132" t="inlineStr">
        <is>
          <t>NAVAL</t>
        </is>
      </c>
      <c r="C132" t="n">
        <v>4</v>
      </c>
      <c r="D132" t="n">
        <v>714100</v>
      </c>
      <c r="E132" t="n">
        <v>516.08</v>
      </c>
      <c r="F132" t="n">
        <v>1383.7</v>
      </c>
      <c r="G132" t="inlineStr">
        <is>
          <t>2024-04-16</t>
        </is>
      </c>
      <c r="H132" t="inlineStr">
        <is>
          <t>2024-04-16</t>
        </is>
      </c>
      <c r="I132" t="inlineStr">
        <is>
          <t>2031-04-13</t>
        </is>
      </c>
      <c r="J132" t="inlineStr">
        <is>
          <t>⑤초호황</t>
        </is>
      </c>
      <c r="K132" t="inlineStr">
        <is>
          <t>②BEP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20250304800166</t>
        </is>
      </c>
      <c r="B133" t="inlineStr">
        <is>
          <t>VLGC</t>
        </is>
      </c>
      <c r="C133" t="n">
        <v>2</v>
      </c>
      <c r="D133" t="n">
        <v>458800</v>
      </c>
      <c r="E133" t="n">
        <v>315.917</v>
      </c>
      <c r="F133" t="n">
        <v>1452.28</v>
      </c>
      <c r="G133" t="inlineStr">
        <is>
          <t>2025-02-28</t>
        </is>
      </c>
      <c r="H133" t="inlineStr">
        <is>
          <t>2025-02-28</t>
        </is>
      </c>
      <c r="I133" t="inlineStr">
        <is>
          <t>2028-12-31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1</v>
      </c>
    </row>
    <row r="134">
      <c r="A134" t="inlineStr">
        <is>
          <t>20250422800296</t>
        </is>
      </c>
      <c r="B134" t="inlineStr">
        <is>
          <t>VLGC</t>
        </is>
      </c>
      <c r="C134" t="n">
        <v>2</v>
      </c>
      <c r="D134" t="n">
        <v>310100</v>
      </c>
      <c r="E134" t="n">
        <v>233.133</v>
      </c>
      <c r="F134" t="n">
        <v>1330.14</v>
      </c>
      <c r="G134" t="inlineStr">
        <is>
          <t>2024-01-13</t>
        </is>
      </c>
      <c r="H134" t="inlineStr">
        <is>
          <t>2024-01-13</t>
        </is>
      </c>
      <c r="I134" t="inlineStr">
        <is>
          <t>2027-08-31</t>
        </is>
      </c>
      <c r="J134" t="inlineStr">
        <is>
          <t>⑤초호황</t>
        </is>
      </c>
      <c r="K134" t="inlineStr">
        <is>
          <t>③중마진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20250521800001</t>
        </is>
      </c>
      <c r="B135" t="inlineStr">
        <is>
          <t>VLCC</t>
        </is>
      </c>
      <c r="C135" t="n">
        <v>2</v>
      </c>
      <c r="D135" t="n">
        <v>237400</v>
      </c>
      <c r="E135" t="n">
        <v>170.021</v>
      </c>
      <c r="F135" t="n">
        <v>1396.3</v>
      </c>
      <c r="G135" t="inlineStr">
        <is>
          <t>2024-10-14</t>
        </is>
      </c>
      <c r="H135" t="inlineStr">
        <is>
          <t>2024-10-14</t>
        </is>
      </c>
      <c r="I135" t="inlineStr">
        <is>
          <t>2027-09-30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20250610800109</t>
        </is>
      </c>
      <c r="B136" t="inlineStr">
        <is>
          <t>CONT</t>
        </is>
      </c>
      <c r="C136" t="n">
        <v>8</v>
      </c>
      <c r="D136" t="n">
        <v>2400000</v>
      </c>
      <c r="E136" t="n">
        <v>1716.1</v>
      </c>
      <c r="F136" t="n">
        <v>1398.52</v>
      </c>
      <c r="G136" t="inlineStr">
        <is>
          <t>2025-06-09</t>
        </is>
      </c>
      <c r="H136" t="inlineStr">
        <is>
          <t>2025-06-09</t>
        </is>
      </c>
      <c r="I136" t="inlineStr">
        <is>
          <t>2028-11-30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20250613800119</t>
        </is>
      </c>
      <c r="B137" t="inlineStr">
        <is>
          <t>VLCC</t>
        </is>
      </c>
      <c r="C137" t="n">
        <v>2</v>
      </c>
      <c r="D137" t="n">
        <v>349000</v>
      </c>
      <c r="E137" t="n">
        <v>249.55</v>
      </c>
      <c r="F137" t="n">
        <v>1398.52</v>
      </c>
      <c r="G137" t="inlineStr">
        <is>
          <t>2025-06-12</t>
        </is>
      </c>
      <c r="H137" t="inlineStr">
        <is>
          <t>2025-06-12</t>
        </is>
      </c>
      <c r="I137" t="inlineStr">
        <is>
          <t>2027-08-31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20250708800090</t>
        </is>
      </c>
      <c r="B138" t="inlineStr">
        <is>
          <t>CONT</t>
        </is>
      </c>
      <c r="C138" t="n">
        <v>2</v>
      </c>
      <c r="D138" t="n">
        <v>417400</v>
      </c>
      <c r="E138" t="n">
        <v>300.948</v>
      </c>
      <c r="F138" t="n">
        <v>1386.95</v>
      </c>
      <c r="G138" t="inlineStr">
        <is>
          <t>2025-07-07</t>
        </is>
      </c>
      <c r="H138" t="inlineStr">
        <is>
          <t>2025-07-07</t>
        </is>
      </c>
      <c r="I138" t="inlineStr">
        <is>
          <t>2028-03-31</t>
        </is>
      </c>
      <c r="J138" t="inlineStr">
        <is>
          <t>⑤초호황</t>
        </is>
      </c>
      <c r="K138" t="inlineStr">
        <is>
          <t>②BEP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20250908800058</t>
        </is>
      </c>
      <c r="B139" t="inlineStr">
        <is>
          <t>CONT</t>
        </is>
      </c>
      <c r="C139" t="n">
        <v>2</v>
      </c>
      <c r="D139" t="n">
        <v>409500</v>
      </c>
      <c r="E139" t="n">
        <v>295.252</v>
      </c>
      <c r="F139" t="n">
        <v>1386.95</v>
      </c>
      <c r="G139" t="inlineStr">
        <is>
          <t>2025-09-05</t>
        </is>
      </c>
      <c r="H139" t="inlineStr">
        <is>
          <t>2025-09-05</t>
        </is>
      </c>
      <c r="I139" t="inlineStr">
        <is>
          <t>2028-02-28</t>
        </is>
      </c>
      <c r="J139" t="inlineStr">
        <is>
          <t>⑤초호황</t>
        </is>
      </c>
      <c r="K139" t="inlineStr">
        <is>
          <t>②BEP</t>
        </is>
      </c>
      <c r="L139" t="inlineStr">
        <is>
          <t>linear_progress</t>
        </is>
      </c>
      <c r="M139" t="b">
        <v>1</v>
      </c>
      <c r="N139" t="b">
        <v>1</v>
      </c>
      <c r="O139" t="b">
        <v>1</v>
      </c>
    </row>
    <row r="140">
      <c r="A140" t="inlineStr">
        <is>
          <t>20251020800152</t>
        </is>
      </c>
      <c r="B140" t="inlineStr">
        <is>
          <t>VLCC</t>
        </is>
      </c>
      <c r="C140" t="n">
        <v>2</v>
      </c>
      <c r="D140" t="n">
        <v>363300</v>
      </c>
      <c r="E140" t="n">
        <v>250.692</v>
      </c>
      <c r="F140" t="n">
        <v>1449.19</v>
      </c>
      <c r="G140" t="inlineStr">
        <is>
          <t>2025-10-17</t>
        </is>
      </c>
      <c r="H140" t="inlineStr">
        <is>
          <t>2025-10-17</t>
        </is>
      </c>
      <c r="I140" t="inlineStr">
        <is>
          <t>2027-11-30</t>
        </is>
      </c>
      <c r="J140" t="inlineStr">
        <is>
          <t>⑤초호황</t>
        </is>
      </c>
      <c r="K140" t="inlineStr">
        <is>
          <t>④호황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20251030800164</t>
        </is>
      </c>
      <c r="B141" t="inlineStr">
        <is>
          <t>NAVAL</t>
        </is>
      </c>
      <c r="D141" t="n">
        <v>468900</v>
      </c>
      <c r="E141" t="n">
        <v>323.56</v>
      </c>
      <c r="F141" t="n">
        <v>1449.19</v>
      </c>
      <c r="G141" t="inlineStr">
        <is>
          <t>2025-10-29</t>
        </is>
      </c>
      <c r="H141" t="inlineStr">
        <is>
          <t>2025-10-29</t>
        </is>
      </c>
      <c r="I141" t="inlineStr">
        <is>
          <t>2033-12-20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20251110800036</t>
        </is>
      </c>
      <c r="B142" t="inlineStr">
        <is>
          <t>CONT</t>
        </is>
      </c>
      <c r="C142" t="n">
        <v>2</v>
      </c>
      <c r="D142" t="n">
        <v>435300</v>
      </c>
      <c r="E142" t="n">
        <v>300.375</v>
      </c>
      <c r="F142" t="n">
        <v>1449.19</v>
      </c>
      <c r="G142" t="inlineStr">
        <is>
          <t>2025-11-07</t>
        </is>
      </c>
      <c r="H142" t="inlineStr">
        <is>
          <t>2025-11-07</t>
        </is>
      </c>
      <c r="I142" t="inlineStr">
        <is>
          <t>2028-10-31</t>
        </is>
      </c>
      <c r="J142" t="inlineStr">
        <is>
          <t>⑤초호황</t>
        </is>
      </c>
      <c r="K142" t="inlineStr">
        <is>
          <t>②BEP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20251114800376</t>
        </is>
      </c>
      <c r="B143" t="inlineStr">
        <is>
          <t>VLCC</t>
        </is>
      </c>
      <c r="C143" t="n">
        <v>2</v>
      </c>
      <c r="D143" t="n">
        <v>256200</v>
      </c>
      <c r="E143" t="n">
        <v>176.788</v>
      </c>
      <c r="F143" t="n">
        <v>1449.19</v>
      </c>
      <c r="G143" t="inlineStr">
        <is>
          <t>2025-11-13</t>
        </is>
      </c>
      <c r="H143" t="inlineStr">
        <is>
          <t>2025-11-13</t>
        </is>
      </c>
      <c r="I143" t="inlineStr">
        <is>
          <t>2028-10-31</t>
        </is>
      </c>
      <c r="J143" t="inlineStr">
        <is>
          <t>⑤초호황</t>
        </is>
      </c>
      <c r="K143" t="inlineStr">
        <is>
          <t>③중마진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20251124800125</t>
        </is>
      </c>
      <c r="B144" t="inlineStr">
        <is>
          <t>CONT</t>
        </is>
      </c>
      <c r="C144" t="n">
        <v>2</v>
      </c>
      <c r="D144" t="n">
        <v>534600</v>
      </c>
      <c r="E144" t="n">
        <v>368.896</v>
      </c>
      <c r="F144" t="n">
        <v>1449.19</v>
      </c>
      <c r="G144" t="inlineStr">
        <is>
          <t>2025-11-21</t>
        </is>
      </c>
      <c r="H144" t="inlineStr">
        <is>
          <t>2025-11-21</t>
        </is>
      </c>
      <c r="I144" t="inlineStr">
        <is>
          <t>2028-07-14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20251211800371</t>
        </is>
      </c>
      <c r="B145" t="inlineStr">
        <is>
          <t>VLGC</t>
        </is>
      </c>
      <c r="C145" t="n">
        <v>2</v>
      </c>
      <c r="D145" t="n">
        <v>354200</v>
      </c>
      <c r="E145" t="n">
        <v>244.412</v>
      </c>
      <c r="F145" t="n">
        <v>1449.19</v>
      </c>
      <c r="G145" t="inlineStr">
        <is>
          <t>2025-12-10</t>
        </is>
      </c>
      <c r="H145" t="inlineStr">
        <is>
          <t>2025-12-10</t>
        </is>
      </c>
      <c r="I145" t="inlineStr">
        <is>
          <t>2028-07-31</t>
        </is>
      </c>
      <c r="J145" t="inlineStr">
        <is>
          <t>⑤초호황</t>
        </is>
      </c>
      <c r="K145" t="inlineStr">
        <is>
          <t>②BEP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20251224800145</t>
        </is>
      </c>
      <c r="B146" t="inlineStr">
        <is>
          <t>PC</t>
        </is>
      </c>
      <c r="C146" t="n">
        <v>5</v>
      </c>
      <c r="D146" t="n">
        <v>375000</v>
      </c>
      <c r="E146" t="n">
        <v>258.765</v>
      </c>
      <c r="F146" t="n">
        <v>1449.19</v>
      </c>
      <c r="G146" t="inlineStr">
        <is>
          <t>2025-12-23</t>
        </is>
      </c>
      <c r="H146" t="inlineStr">
        <is>
          <t>2025-12-23</t>
        </is>
      </c>
      <c r="I146" t="inlineStr">
        <is>
          <t>2028-07-31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20251226800842</t>
        </is>
      </c>
      <c r="B147" t="inlineStr">
        <is>
          <t>NAVAL</t>
        </is>
      </c>
      <c r="C147" t="n">
        <v>2</v>
      </c>
      <c r="D147" t="n">
        <v>844700</v>
      </c>
      <c r="E147" t="n">
        <v>582.877</v>
      </c>
      <c r="F147" t="n">
        <v>1449.19</v>
      </c>
      <c r="G147" t="inlineStr">
        <is>
          <t>2025-12-26</t>
        </is>
      </c>
      <c r="H147" t="inlineStr">
        <is>
          <t>2025-12-26</t>
        </is>
      </c>
      <c r="I147" t="inlineStr">
        <is>
          <t>2029-12-20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20260106800134</t>
        </is>
      </c>
      <c r="B148" t="inlineStr">
        <is>
          <t>LNGC</t>
        </is>
      </c>
      <c r="C148" t="n">
        <v>4</v>
      </c>
      <c r="D148" t="n">
        <v>1499300</v>
      </c>
      <c r="E148" t="n">
        <v>1022.631</v>
      </c>
      <c r="F148" t="n">
        <v>1466.12</v>
      </c>
      <c r="G148" t="inlineStr">
        <is>
          <t>2026-01-05</t>
        </is>
      </c>
      <c r="H148" t="inlineStr">
        <is>
          <t>2026-01-05</t>
        </is>
      </c>
      <c r="I148" t="inlineStr">
        <is>
          <t>2029-03-27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20260120800200</t>
        </is>
      </c>
      <c r="B149" t="inlineStr">
        <is>
          <t>VLCC</t>
        </is>
      </c>
      <c r="C149" t="n">
        <v>2</v>
      </c>
      <c r="D149" t="n">
        <v>481600</v>
      </c>
      <c r="E149" t="n">
        <v>328.486</v>
      </c>
      <c r="F149" t="n">
        <v>1466.12</v>
      </c>
      <c r="G149" t="inlineStr">
        <is>
          <t>2026-01-19</t>
        </is>
      </c>
      <c r="H149" t="inlineStr">
        <is>
          <t>2026-01-19</t>
        </is>
      </c>
      <c r="I149" t="inlineStr">
        <is>
          <t>2029-06-30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20260226800192</t>
        </is>
      </c>
      <c r="B150" t="inlineStr">
        <is>
          <t>LNGC</t>
        </is>
      </c>
      <c r="C150" t="n">
        <v>1</v>
      </c>
      <c r="D150" t="n">
        <v>367800</v>
      </c>
      <c r="E150" t="n">
        <v>250.866</v>
      </c>
      <c r="F150" t="n">
        <v>1466.12</v>
      </c>
      <c r="G150" t="inlineStr">
        <is>
          <t>2026-02-25</t>
        </is>
      </c>
      <c r="H150" t="inlineStr">
        <is>
          <t>2026-02-25</t>
        </is>
      </c>
      <c r="I150" t="inlineStr">
        <is>
          <t>2028-09-29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20260227800223</t>
        </is>
      </c>
      <c r="B151" t="inlineStr">
        <is>
          <t>CONT</t>
        </is>
      </c>
      <c r="C151" t="n">
        <v>6</v>
      </c>
      <c r="D151" t="n">
        <v>372400</v>
      </c>
      <c r="E151" t="n">
        <v>254.004</v>
      </c>
      <c r="F151" t="n">
        <v>1466.12</v>
      </c>
      <c r="G151" t="inlineStr">
        <is>
          <t>2026-02-26</t>
        </is>
      </c>
      <c r="H151" t="inlineStr">
        <is>
          <t>2026-02-26</t>
        </is>
      </c>
      <c r="I151" t="inlineStr">
        <is>
          <t>2028-06-30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20260305800836</t>
        </is>
      </c>
      <c r="B152" t="inlineStr">
        <is>
          <t>LNGC</t>
        </is>
      </c>
      <c r="C152" t="n">
        <v>4</v>
      </c>
      <c r="D152" t="n">
        <v>1487200</v>
      </c>
      <c r="E152" t="n">
        <v>1014.378</v>
      </c>
      <c r="F152" t="n">
        <v>1466.12</v>
      </c>
      <c r="G152" t="inlineStr">
        <is>
          <t>2026-03-04</t>
        </is>
      </c>
      <c r="H152" t="inlineStr">
        <is>
          <t>2026-03-04</t>
        </is>
      </c>
      <c r="I152" t="inlineStr">
        <is>
          <t>2029-11-30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20260316800220</t>
        </is>
      </c>
      <c r="B153" t="inlineStr">
        <is>
          <t>CONT</t>
        </is>
      </c>
      <c r="C153" t="n">
        <v>10</v>
      </c>
      <c r="D153" t="n">
        <v>823700</v>
      </c>
      <c r="E153" t="n">
        <v>561.823</v>
      </c>
      <c r="F153" t="n">
        <v>1466.12</v>
      </c>
      <c r="G153" t="inlineStr">
        <is>
          <t>2026-03-13</t>
        </is>
      </c>
      <c r="H153" t="inlineStr">
        <is>
          <t>2026-03-13</t>
        </is>
      </c>
      <c r="I153" t="inlineStr">
        <is>
          <t>2028-12-31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20260403800571</t>
        </is>
      </c>
      <c r="B154" t="inlineStr">
        <is>
          <t>PC</t>
        </is>
      </c>
      <c r="C154" t="n">
        <v>8</v>
      </c>
      <c r="D154" t="n">
        <v>611700</v>
      </c>
      <c r="E154" t="n">
        <v>407.325</v>
      </c>
      <c r="F154" t="n">
        <v>1501.75</v>
      </c>
      <c r="G154" t="inlineStr">
        <is>
          <t>2026-04-02</t>
        </is>
      </c>
      <c r="H154" t="inlineStr">
        <is>
          <t>2026-04-02</t>
        </is>
      </c>
      <c r="I154" t="inlineStr">
        <is>
          <t>2029-05-31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20260403800577</t>
        </is>
      </c>
      <c r="B155" t="inlineStr">
        <is>
          <t>VLGC</t>
        </is>
      </c>
      <c r="C155" t="n">
        <v>2</v>
      </c>
      <c r="D155" t="n">
        <v>239300</v>
      </c>
      <c r="E155" t="n">
        <v>159.347</v>
      </c>
      <c r="F155" t="n">
        <v>1501.75</v>
      </c>
      <c r="G155" t="inlineStr">
        <is>
          <t>2026-04-02</t>
        </is>
      </c>
      <c r="H155" t="inlineStr">
        <is>
          <t>2026-04-02</t>
        </is>
      </c>
      <c r="I155" t="inlineStr">
        <is>
          <t>2028-06-30</t>
        </is>
      </c>
      <c r="J155" t="inlineStr">
        <is>
          <t>⑤초호황</t>
        </is>
      </c>
      <c r="K155" t="inlineStr">
        <is>
          <t>②BEP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20260417800177</t>
        </is>
      </c>
      <c r="B156" t="inlineStr">
        <is>
          <t>VLGC</t>
        </is>
      </c>
      <c r="C156" t="n">
        <v>4</v>
      </c>
      <c r="D156" t="n">
        <v>674700</v>
      </c>
      <c r="E156" t="n">
        <v>449.276</v>
      </c>
      <c r="F156" t="n">
        <v>1501.75</v>
      </c>
      <c r="G156" t="inlineStr">
        <is>
          <t>2026-04-16</t>
        </is>
      </c>
      <c r="H156" t="inlineStr">
        <is>
          <t>2026-04-16</t>
        </is>
      </c>
      <c r="I156" t="inlineStr">
        <is>
          <t>2029-11-30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20260422800038</t>
        </is>
      </c>
      <c r="B157" t="inlineStr">
        <is>
          <t>NAVAL</t>
        </is>
      </c>
      <c r="C157" t="n">
        <v>1</v>
      </c>
      <c r="D157" t="n">
        <v>514800</v>
      </c>
      <c r="E157" t="n">
        <v>342.8</v>
      </c>
      <c r="F157" t="n">
        <v>1501.75</v>
      </c>
      <c r="G157" t="inlineStr">
        <is>
          <t>2026-04-21</t>
        </is>
      </c>
      <c r="H157" t="inlineStr">
        <is>
          <t>2026-04-21</t>
        </is>
      </c>
      <c r="I157" t="inlineStr">
        <is>
          <t>2029-08-28</t>
        </is>
      </c>
      <c r="J157" t="inlineStr">
        <is>
          <t>⑤초호황</t>
        </is>
      </c>
      <c r="K157" t="inlineStr">
        <is>
          <t>④호황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20260422800175</t>
        </is>
      </c>
      <c r="B158" t="inlineStr">
        <is>
          <t>OTHER</t>
        </is>
      </c>
      <c r="D158" t="n">
        <v>627100</v>
      </c>
      <c r="E158" t="n">
        <v>417.579</v>
      </c>
      <c r="F158" t="n">
        <v>1501.75</v>
      </c>
      <c r="G158" t="inlineStr">
        <is>
          <t>2026-04-21</t>
        </is>
      </c>
      <c r="H158" t="inlineStr">
        <is>
          <t>2026-04-21</t>
        </is>
      </c>
      <c r="I158" t="inlineStr">
        <is>
          <t>2030-10-21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20260504800297</t>
        </is>
      </c>
      <c r="B159" t="inlineStr">
        <is>
          <t>VLGC</t>
        </is>
      </c>
      <c r="C159" t="n">
        <v>3</v>
      </c>
      <c r="D159" t="n">
        <v>504800</v>
      </c>
      <c r="E159" t="n">
        <v>336.141</v>
      </c>
      <c r="F159" t="n">
        <v>1501.75</v>
      </c>
      <c r="G159" t="inlineStr">
        <is>
          <t>2026-04-30</t>
        </is>
      </c>
      <c r="H159" t="inlineStr">
        <is>
          <t>2026-04-30</t>
        </is>
      </c>
      <c r="I159" t="inlineStr">
        <is>
          <t>2029-08-31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20260508800180</t>
        </is>
      </c>
      <c r="B160" t="inlineStr">
        <is>
          <t>CONT</t>
        </is>
      </c>
      <c r="C160" t="n">
        <v>6</v>
      </c>
      <c r="D160" t="n">
        <v>1778700</v>
      </c>
      <c r="E160" t="n">
        <v>1184.418</v>
      </c>
      <c r="F160" t="n">
        <v>1501.75</v>
      </c>
      <c r="G160" t="inlineStr">
        <is>
          <t>2026-05-07</t>
        </is>
      </c>
      <c r="H160" t="inlineStr">
        <is>
          <t>2026-05-07</t>
        </is>
      </c>
      <c r="I160" t="inlineStr">
        <is>
          <t>2029-09-30</t>
        </is>
      </c>
      <c r="J160" t="inlineStr">
        <is>
          <t>⑤초호황</t>
        </is>
      </c>
      <c r="K160" t="inlineStr">
        <is>
          <t>④호황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20260508800181</t>
        </is>
      </c>
      <c r="B161" t="inlineStr">
        <is>
          <t>VLGC</t>
        </is>
      </c>
      <c r="C161" t="n">
        <v>2</v>
      </c>
      <c r="D161" t="n">
        <v>352100</v>
      </c>
      <c r="E161" t="n">
        <v>234.46</v>
      </c>
      <c r="F161" t="n">
        <v>1501.75</v>
      </c>
      <c r="G161" t="inlineStr">
        <is>
          <t>2026-05-07</t>
        </is>
      </c>
      <c r="H161" t="inlineStr">
        <is>
          <t>2026-05-07</t>
        </is>
      </c>
      <c r="I161" t="inlineStr">
        <is>
          <t>2029-03-30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20260514800315</t>
        </is>
      </c>
      <c r="B162" t="inlineStr">
        <is>
          <t>LNGC</t>
        </is>
      </c>
      <c r="C162" t="n">
        <v>2</v>
      </c>
      <c r="D162" t="n">
        <v>743900</v>
      </c>
      <c r="E162" t="n">
        <v>495.355</v>
      </c>
      <c r="F162" t="n">
        <v>1501.75</v>
      </c>
      <c r="G162" t="inlineStr">
        <is>
          <t>2026-05-13</t>
        </is>
      </c>
      <c r="H162" t="inlineStr">
        <is>
          <t>2026-05-13</t>
        </is>
      </c>
      <c r="I162" t="inlineStr">
        <is>
          <t>2029-03-30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20260601800384</t>
        </is>
      </c>
      <c r="B163" t="inlineStr">
        <is>
          <t>VLGC</t>
        </is>
      </c>
      <c r="C163" t="n">
        <v>8</v>
      </c>
      <c r="D163" t="n">
        <v>1416100</v>
      </c>
      <c r="E163" t="n">
        <v>942.967</v>
      </c>
      <c r="F163" t="n">
        <v>1501.75</v>
      </c>
      <c r="G163" t="inlineStr">
        <is>
          <t>2026-05-30</t>
        </is>
      </c>
      <c r="H163" t="inlineStr">
        <is>
          <t>2026-05-30</t>
        </is>
      </c>
      <c r="I163" t="inlineStr">
        <is>
          <t>2030-06-30</t>
        </is>
      </c>
      <c r="J163" t="inlineStr">
        <is>
          <t>⑤초호황</t>
        </is>
      </c>
      <c r="K163" t="inlineStr">
        <is>
          <t>③중마진</t>
        </is>
      </c>
      <c r="L163" t="inlineStr">
        <is>
          <t>linear_progress</t>
        </is>
      </c>
      <c r="M163" t="b">
        <v>1</v>
      </c>
      <c r="N163" t="b">
        <v>1</v>
      </c>
      <c r="O163" t="b">
        <v>1</v>
      </c>
    </row>
    <row r="164">
      <c r="A164" t="inlineStr">
        <is>
          <t>20260608800378</t>
        </is>
      </c>
      <c r="B164" t="inlineStr">
        <is>
          <t>VLGC</t>
        </is>
      </c>
      <c r="C164" t="n">
        <v>2</v>
      </c>
      <c r="D164" t="n">
        <v>360700</v>
      </c>
      <c r="E164" t="n">
        <v>240.186</v>
      </c>
      <c r="F164" t="n">
        <v>1501.75</v>
      </c>
      <c r="G164" t="inlineStr">
        <is>
          <t>2026-06-05</t>
        </is>
      </c>
      <c r="H164" t="inlineStr">
        <is>
          <t>2026-06-05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20260701800212</t>
        </is>
      </c>
      <c r="B165" t="inlineStr">
        <is>
          <t>LNGC</t>
        </is>
      </c>
      <c r="C165" t="n">
        <v>1</v>
      </c>
      <c r="D165" t="n">
        <v>492800</v>
      </c>
      <c r="E165" t="n">
        <v>328.15</v>
      </c>
      <c r="F165" t="n">
        <v>1501.75</v>
      </c>
      <c r="G165" t="inlineStr">
        <is>
          <t>2026-06-30</t>
        </is>
      </c>
      <c r="H165" t="inlineStr">
        <is>
          <t>2026-06-30</t>
        </is>
      </c>
      <c r="I165" t="inlineStr">
        <is>
          <t>2029-05-31</t>
        </is>
      </c>
      <c r="J165" t="inlineStr">
        <is>
          <t>⑤초호황</t>
        </is>
      </c>
      <c r="K165" t="inlineStr">
        <is>
          <t>④호황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20260701800215</t>
        </is>
      </c>
      <c r="B166" t="inlineStr">
        <is>
          <t>LNGC</t>
        </is>
      </c>
      <c r="C166" t="n">
        <v>1</v>
      </c>
      <c r="D166" t="n">
        <v>392200</v>
      </c>
      <c r="E166" t="n">
        <v>261.162</v>
      </c>
      <c r="F166" t="n">
        <v>1501.75</v>
      </c>
      <c r="G166" t="inlineStr">
        <is>
          <t>2026-06-30</t>
        </is>
      </c>
      <c r="H166" t="inlineStr">
        <is>
          <t>2026-06-30</t>
        </is>
      </c>
      <c r="I166" t="inlineStr">
        <is>
          <t>2029-01-31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20260709800137</t>
        </is>
      </c>
      <c r="B167" t="inlineStr">
        <is>
          <t>PC</t>
        </is>
      </c>
      <c r="C167" t="n">
        <v>6</v>
      </c>
      <c r="D167" t="n">
        <v>469900</v>
      </c>
      <c r="E167" t="n">
        <v>331.207</v>
      </c>
      <c r="F167" t="n">
        <v>1418.75</v>
      </c>
      <c r="G167" t="inlineStr">
        <is>
          <t>2026-07-08</t>
        </is>
      </c>
      <c r="H167" t="inlineStr">
        <is>
          <t>2026-07-08</t>
        </is>
      </c>
      <c r="I167" t="inlineStr">
        <is>
          <t>2029-06-30</t>
        </is>
      </c>
      <c r="J167" t="inlineStr">
        <is>
          <t>⑤초호황</t>
        </is>
      </c>
      <c r="K167" t="inlineStr">
        <is>
          <t>③중마진</t>
        </is>
      </c>
      <c r="L167" t="inlineStr">
        <is>
          <t>linear_progress</t>
        </is>
      </c>
      <c r="M167" t="b">
        <v>1</v>
      </c>
      <c r="N167" t="b">
        <v>0</v>
      </c>
      <c r="O167" t="b">
        <v>1</v>
      </c>
    </row>
    <row r="168">
      <c r="A168" t="inlineStr">
        <is>
          <t>20260714800534</t>
        </is>
      </c>
      <c r="B168" t="inlineStr">
        <is>
          <t>PCTC</t>
        </is>
      </c>
      <c r="C168" t="n">
        <v>2</v>
      </c>
      <c r="D168" t="n">
        <v>398500</v>
      </c>
      <c r="E168" t="n">
        <v>265.357</v>
      </c>
      <c r="F168" t="n">
        <v>1501.75</v>
      </c>
      <c r="G168" t="inlineStr">
        <is>
          <t>2026-04-15</t>
        </is>
      </c>
      <c r="H168" t="inlineStr">
        <is>
          <t>2026-04-15</t>
        </is>
      </c>
      <c r="I168" t="inlineStr">
        <is>
          <t>2028-11-30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20260810800144</t>
        </is>
      </c>
      <c r="B169" t="inlineStr">
        <is>
          <t>OTHER</t>
        </is>
      </c>
      <c r="D169" t="n">
        <v>956000</v>
      </c>
      <c r="E169" t="n">
        <v>673.833</v>
      </c>
      <c r="F169" t="n">
        <v>1418.75</v>
      </c>
      <c r="G169" t="inlineStr">
        <is>
          <t>2026-08-07</t>
        </is>
      </c>
      <c r="H169" t="inlineStr">
        <is>
          <t>2026-08-07</t>
        </is>
      </c>
      <c r="I169" t="inlineStr">
        <is>
          <t>2030-07-30</t>
        </is>
      </c>
      <c r="L169" t="inlineStr">
        <is>
          <t>linear_progress</t>
        </is>
      </c>
      <c r="M169" t="b">
        <v>1</v>
      </c>
      <c r="N169" t="b">
        <v>0</v>
      </c>
      <c r="O169" t="b">
        <v>0</v>
      </c>
    </row>
    <row r="170">
      <c r="A170" t="inlineStr">
        <is>
          <t>20260824800122</t>
        </is>
      </c>
      <c r="B170" t="inlineStr">
        <is>
          <t>VLGC</t>
        </is>
      </c>
      <c r="C170" t="n">
        <v>4</v>
      </c>
      <c r="D170" t="n">
        <v>515400</v>
      </c>
      <c r="E170" t="n">
        <v>363.278</v>
      </c>
      <c r="F170" t="n">
        <v>1418.75</v>
      </c>
      <c r="G170" t="inlineStr">
        <is>
          <t>2026-08-21</t>
        </is>
      </c>
      <c r="H170" t="inlineStr">
        <is>
          <t>2026-08-21</t>
        </is>
      </c>
      <c r="I170" t="inlineStr">
        <is>
          <t>2030-03-31</t>
        </is>
      </c>
      <c r="J170" t="inlineStr">
        <is>
          <t>⑤초호황</t>
        </is>
      </c>
      <c r="K170" t="inlineStr">
        <is>
          <t>②BEP</t>
        </is>
      </c>
      <c r="L170" t="inlineStr">
        <is>
          <t>linear_progress</t>
        </is>
      </c>
      <c r="M170" t="b">
        <v>1</v>
      </c>
      <c r="N170" t="b">
        <v>0</v>
      </c>
      <c r="O170" t="b">
        <v>1</v>
      </c>
    </row>
    <row r="171">
      <c r="A171" t="inlineStr">
        <is>
          <t>20260922800219</t>
        </is>
      </c>
      <c r="B171" t="inlineStr">
        <is>
          <t>PCTC</t>
        </is>
      </c>
      <c r="C171" t="n">
        <v>2</v>
      </c>
      <c r="D171" t="n">
        <v>336200</v>
      </c>
      <c r="E171" t="n">
        <v>236.969</v>
      </c>
      <c r="F171" t="n">
        <v>1418.75</v>
      </c>
      <c r="G171" t="inlineStr">
        <is>
          <t>2026-09-21</t>
        </is>
      </c>
      <c r="H171" t="inlineStr">
        <is>
          <t>2026-09-21</t>
        </is>
      </c>
      <c r="I171" t="inlineStr">
        <is>
          <t>2029-11-30</t>
        </is>
      </c>
      <c r="J171" t="inlineStr">
        <is>
          <t>⑤초호황</t>
        </is>
      </c>
      <c r="K171" t="inlineStr">
        <is>
          <t>③중마진</t>
        </is>
      </c>
      <c r="L171" t="inlineStr">
        <is>
          <t>linear_progress</t>
        </is>
      </c>
      <c r="M171" t="b">
        <v>1</v>
      </c>
      <c r="N171" t="b">
        <v>0</v>
      </c>
      <c r="O171" t="b">
        <v>1</v>
      </c>
    </row>
    <row r="172">
      <c r="A172" t="inlineStr">
        <is>
          <t>20261013800234</t>
        </is>
      </c>
      <c r="B172" t="inlineStr">
        <is>
          <t>OFFSH</t>
        </is>
      </c>
      <c r="C172" t="n">
        <v>1</v>
      </c>
      <c r="D172" t="n">
        <v>1964800</v>
      </c>
      <c r="E172" t="n">
        <v>1493.361</v>
      </c>
      <c r="F172" t="n">
        <v>1315.69</v>
      </c>
      <c r="G172" t="inlineStr">
        <is>
          <t>2023-06-30</t>
        </is>
      </c>
      <c r="H172" t="inlineStr">
        <is>
          <t>2023-07-01</t>
        </is>
      </c>
      <c r="I172" t="inlineStr">
        <is>
          <t>2027-06-01</t>
        </is>
      </c>
      <c r="J172" t="inlineStr">
        <is>
          <t>⑤초호황</t>
        </is>
      </c>
      <c r="K172" t="inlineStr">
        <is>
          <t>④호황</t>
        </is>
      </c>
      <c r="L172" t="inlineStr">
        <is>
          <t>linear_progress</t>
        </is>
      </c>
      <c r="M172" t="b">
        <v>1</v>
      </c>
      <c r="N172" t="b">
        <v>1</v>
      </c>
      <c r="O172" t="b">
        <v>0</v>
      </c>
    </row>
    <row r="173">
      <c r="A173" t="inlineStr">
        <is>
          <t>20261015800353</t>
        </is>
      </c>
      <c r="B173" t="inlineStr">
        <is>
          <t>VLGC</t>
        </is>
      </c>
      <c r="C173" t="n">
        <v>4</v>
      </c>
      <c r="D173" t="n">
        <v>625800</v>
      </c>
      <c r="E173" t="n">
        <v>466.281</v>
      </c>
      <c r="F173" t="n">
        <v>1342.11</v>
      </c>
      <c r="G173" t="inlineStr">
        <is>
          <t>2026-10-14</t>
        </is>
      </c>
      <c r="H173" t="inlineStr">
        <is>
          <t>2026-10-14</t>
        </is>
      </c>
      <c r="I173" t="inlineStr">
        <is>
          <t>2030-06-30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0</v>
      </c>
      <c r="O173" t="b">
        <v>1</v>
      </c>
    </row>
    <row r="174">
      <c r="A174" s="2" t="inlineStr">
        <is>
          <t>⚠ 종료일 = 마지막 호선 인도 예정; 진행률 매출 분기는 계약기간 안에 선형 배분(가정)</t>
        </is>
      </c>
    </row>
    <row r="175">
      <c r="A175" s="2" t="inlineStr">
        <is>
          <t>⚠ HD한국조선해양(009540) 공시와 동일 계약 23건(shared_with) — 두 파일을 합산하지 말 것</t>
        </is>
      </c>
    </row>
    <row r="176">
      <c r="A176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7">
      <c r="A177" s="2" t="inlineStr">
        <is>
          <t>⚠ 공시 통화선도 매도 명목액 20760백만$ 을 잔고 대비 환산하면 현물(2026Q2 기말 1550.89원) 기준 0.46(-0.24) · 수주시점 평균환율(1447.51원, 계약 39건) 기준 0.43(-0.27) — 가정 0.70 과 다르다. 약정환율 미공시라 적용하지 않음(참고치 hedge.hedge_ratio_implied_spot·hedge_ratio_implied_sign_rate; 채택은 사용자 결정)</t>
        </is>
      </c>
    </row>
    <row r="178">
      <c r="A178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9">
      <c r="A179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45%, ④호황 42%;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80">
      <c r="A180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436.04</v>
      </c>
      <c r="G18" s="20">
        <f>SUM(E18:F18)</f>
        <v/>
      </c>
      <c r="H18" s="34" t="n">
        <v>1781.33</v>
      </c>
      <c r="I18" s="34" t="n">
        <v>4113.65</v>
      </c>
      <c r="J18" s="34" t="n">
        <v>7314.94</v>
      </c>
      <c r="K18" s="34" t="n">
        <v>11120.21</v>
      </c>
      <c r="L18" s="20">
        <f>SUM(H18:K18)</f>
        <v/>
      </c>
      <c r="M18" s="34" t="n">
        <v>15264.43</v>
      </c>
      <c r="N18" s="34" t="n">
        <v>19482.61</v>
      </c>
      <c r="O18" s="34" t="n">
        <v>23509.72</v>
      </c>
      <c r="P18" s="34" t="n">
        <v>27080.77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1250.25</v>
      </c>
      <c r="G24" s="20">
        <f>SUM(E24:F24)</f>
        <v/>
      </c>
      <c r="H24" s="34" t="n">
        <v>4835.69</v>
      </c>
      <c r="I24" s="34" t="n">
        <v>10530.31</v>
      </c>
      <c r="J24" s="34" t="n">
        <v>17913.43</v>
      </c>
      <c r="K24" s="34" t="n">
        <v>26418.24</v>
      </c>
      <c r="L24" s="20">
        <f>SUM(H24:K24)</f>
        <v/>
      </c>
      <c r="M24" s="34" t="n">
        <v>35477.96</v>
      </c>
      <c r="N24" s="34" t="n">
        <v>44525.8</v>
      </c>
      <c r="O24" s="34" t="n">
        <v>52994.95</v>
      </c>
      <c r="P24" s="34" t="n">
        <v>60318.63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28714.5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12.03</v>
      </c>
    </row>
    <row r="32">
      <c r="C32" s="2" t="inlineStr">
        <is>
          <t>pbr_now</t>
        </is>
      </c>
      <c r="D32" t="n">
        <v>3.44</v>
      </c>
    </row>
    <row r="33">
      <c r="C33" s="2" t="inlineStr">
        <is>
          <t>roe_fwd</t>
        </is>
      </c>
      <c r="D33" t="n">
        <v>0.2858</v>
      </c>
    </row>
    <row r="34">
      <c r="C34" s="2" t="inlineStr">
        <is>
          <t>fair_pbr</t>
        </is>
      </c>
      <c r="D34" t="n">
        <v>3.18</v>
      </c>
    </row>
    <row r="35">
      <c r="C35" s="2" t="inlineStr">
        <is>
          <t>fair_value_pbr</t>
        </is>
      </c>
      <c r="D35" t="n">
        <v>319500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15.65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