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4.88%(최근 4분기 중위)</t>
      </text>
    </comment>
    <comment ref="AD22" authorId="0" shapeId="0">
      <text>
        <t>모델값 역산(implied): v / 매출액
매출액 × 판관비율 4.88%(최근 4분기 중위)</t>
      </text>
    </comment>
    <comment ref="AF22" authorId="0" shapeId="0">
      <text>
        <t>모델값 역산(implied): v / 매출액
매출액 × 판관비율 4.88%(최근 4분기 중위)</t>
      </text>
    </comment>
    <comment ref="AG22" authorId="0" shapeId="0">
      <text>
        <t>모델값 역산(implied): v / 매출액
매출액 × 판관비율 4.88%(최근 4분기 중위)</t>
      </text>
    </comment>
    <comment ref="AH22" authorId="0" shapeId="0">
      <text>
        <t>모델값 역산(implied): v / 매출액
매출액 × 판관비율 4.88%(최근 4분기 중위)</t>
      </text>
    </comment>
    <comment ref="AI22" authorId="0" shapeId="0">
      <text>
        <t>모델값 역산(implied): v / 매출액
매출액 × 판관비율 4.88%(최근 4분기 중위)</t>
      </text>
    </comment>
    <comment ref="AK22" authorId="0" shapeId="0">
      <text>
        <t>모델값 역산(implied): v / 매출액
매출액 × 판관비율 4.88%(최근 4분기 중위)</t>
      </text>
    </comment>
    <comment ref="AL22" authorId="0" shapeId="0">
      <text>
        <t>모델값 역산(implied): v / 매출액
매출액 × 판관비율 4.88%(최근 4분기 중위)</t>
      </text>
    </comment>
    <comment ref="AM22" authorId="0" shapeId="0">
      <text>
        <t>모델값 역산(implied): v / 매출액
매출액 × 판관비율 4.88%(최근 4분기 중위)</t>
      </text>
    </comment>
    <comment ref="AN22" authorId="0" shapeId="0">
      <text>
        <t>모델값 역산(implied): v / 매출액
매출액 × 판관비율 4.88%(최근 4분기 중위)</t>
      </text>
    </comment>
    <comment ref="AC23" authorId="0" shapeId="0">
      <text>
        <t>모델값 역산(implied): v / 매출액
매출액 × OPM(SLS 코호트 타겟 6.3% + 회사 캘리브레이션 +6.4%p(최근 4분기 실측−타겟 중위))</t>
      </text>
    </comment>
    <comment ref="AD23" authorId="0" shapeId="0">
      <text>
        <t>모델값 역산(implied): v / 매출액
매출액 × OPM(SLS 코호트 타겟 6.2% + 회사 캘리브레이션 +6.4%p(최근 4분기 실측−타겟 중위))</t>
      </text>
    </comment>
    <comment ref="AF23" authorId="0" shapeId="0">
      <text>
        <t>모델값 역산(implied): v / 매출액
매출액 × OPM(SLS 코호트 타겟 6.2% + 회사 캘리브레이션 +6.4%p(최근 4분기 실측−타겟 중위))</t>
      </text>
    </comment>
    <comment ref="AG23" authorId="0" shapeId="0">
      <text>
        <t>모델값 역산(implied): v / 매출액
매출액 × OPM(SLS 코호트 타겟 6.0% + 회사 캘리브레이션 +6.4%p(최근 4분기 실측−타겟 중위))</t>
      </text>
    </comment>
    <comment ref="AH23" authorId="0" shapeId="0">
      <text>
        <t>모델값 역산(implied): v / 매출액
매출액 × OPM(SLS 코호트 타겟 6.0% + 회사 캘리브레이션 +6.4%p(최근 4분기 실측−타겟 중위))</t>
      </text>
    </comment>
    <comment ref="AI23" authorId="0" shapeId="0">
      <text>
        <t>모델값 역산(implied): v / 매출액
매출액 × OPM(SLS 코호트 타겟 6.0% + 회사 캘리브레이션 +6.4%p(최근 4분기 실측−타겟 중위))</t>
      </text>
    </comment>
    <comment ref="AK23" authorId="0" shapeId="0">
      <text>
        <t>모델값 역산(implied): v / 매출액
매출액 × OPM(SLS 코호트 타겟 6.0% + 회사 캘리브레이션 +6.4%p(최근 4분기 실측−타겟 중위))</t>
      </text>
    </comment>
    <comment ref="AL23" authorId="0" shapeId="0">
      <text>
        <t>모델값 역산(implied): v / 매출액
매출액 × OPM(SLS 코호트 타겟 6.2% + 회사 캘리브레이션 +6.4%p(최근 4분기 실측−타겟 중위))</t>
      </text>
    </comment>
    <comment ref="AM23" authorId="0" shapeId="0">
      <text>
        <t>모델값 역산(implied): v / 매출액
매출액 × OPM(SLS 코호트 타겟 6.6% + 회사 캘리브레이션 +6.4%p(최근 4분기 실측−타겟 중위))</t>
      </text>
    </comment>
    <comment ref="AN23" authorId="0" shapeId="0">
      <text>
        <t>모델값 역산(implied): v / 매출액
매출액 × OPM(SLS 코호트 타겟 6.7% + 회사 캘리브레이션 +6.4%p(최근 4분기 실측−타겟 중위))</t>
      </text>
    </comment>
    <comment ref="AC24" authorId="0" shapeId="0">
      <text>
        <t>모델값 역산(implied): v / 전년동기 − 1
SLS 코호트 타겟 6.3% + 회사 캘리브레이션 +6.4%p(최근 4분기 실측−타겟 중위)</t>
      </text>
    </comment>
    <comment ref="AD24" authorId="0" shapeId="0">
      <text>
        <t>모델값 역산(implied): v / 전년동기 − 1
SLS 코호트 타겟 6.2% + 회사 캘리브레이션 +6.4%p(최근 4분기 실측−타겟 중위)</t>
      </text>
    </comment>
    <comment ref="AF24" authorId="0" shapeId="0">
      <text>
        <t>모델값 역산(implied): v / 전년동기 − 1
SLS 코호트 타겟 6.2% + 회사 캘리브레이션 +6.4%p(최근 4분기 실측−타겟 중위)</t>
      </text>
    </comment>
    <comment ref="AG24" authorId="0" shapeId="0">
      <text>
        <t>모델값 역산(implied): v / 전년동기 − 1
SLS 코호트 타겟 6.0% + 회사 캘리브레이션 +6.4%p(최근 4분기 실측−타겟 중위)</t>
      </text>
    </comment>
    <comment ref="AH24" authorId="0" shapeId="0">
      <text>
        <t>모델값 역산(implied): v / 전년동기 − 1
SLS 코호트 타겟 6.0% + 회사 캘리브레이션 +6.4%p(최근 4분기 실측−타겟 중위)</t>
      </text>
    </comment>
    <comment ref="AI24" authorId="0" shapeId="0">
      <text>
        <t>모델값 역산(implied): v / 전년동기 − 1
SLS 코호트 타겟 6.0% + 회사 캘리브레이션 +6.4%p(최근 4분기 실측−타겟 중위)</t>
      </text>
    </comment>
    <comment ref="AK24" authorId="0" shapeId="0">
      <text>
        <t>모델값 역산(implied): v / 전년동기 − 1
SLS 코호트 타겟 6.0% + 회사 캘리브레이션 +6.4%p(최근 4분기 실측−타겟 중위)</t>
      </text>
    </comment>
    <comment ref="AL24" authorId="0" shapeId="0">
      <text>
        <t>모델값 역산(implied): v / 전년동기 − 1
SLS 코호트 타겟 6.2% + 회사 캘리브레이션 +6.4%p(최근 4분기 실측−타겟 중위)</t>
      </text>
    </comment>
    <comment ref="AM24" authorId="0" shapeId="0">
      <text>
        <t>모델값 역산(implied): v / 전년동기 − 1
SLS 코호트 타겟 6.6% + 회사 캘리브레이션 +6.4%p(최근 4분기 실측−타겟 중위)</t>
      </text>
    </comment>
    <comment ref="AN24" authorId="0" shapeId="0">
      <text>
        <t>모델값 역산(implied): v / 전년동기 − 1
SLS 코호트 타겟 6.7% + 회사 캘리브레이션 +6.4%p(최근 4분기 실측−타겟 중위)</t>
      </text>
    </comment>
    <comment ref="AC25" authorId="0" shapeId="0">
      <text>
        <t>모델값 역산(implied): 모델 v 그대로
이자손익 = 이자발생자산 66082억 × 2.15% − 총차입금 5234억 × 4.52% (연율, CF 실측) ÷ 4; 환·평가손익 0 가정</t>
      </text>
    </comment>
    <comment ref="AD25" authorId="0" shapeId="0">
      <text>
        <t>모델값 역산(implied): 모델 v 그대로
이자손익 = 이자발생자산 72747억 × 2.15% − 총차입금 5234억 × 4.52% (연율, CF 실측) ÷ 4; 환·평가손익 0 가정</t>
      </text>
    </comment>
    <comment ref="AF25" authorId="0" shapeId="0">
      <text>
        <t>모델값 역산(implied): 모델 v 그대로
이자손익 = 이자발생자산 79319억 × 2.15% − 총차입금 5234억 × 4.52% (연율, CF 실측) ÷ 4; 환·평가손익 0 가정</t>
      </text>
    </comment>
    <comment ref="AG25" authorId="0" shapeId="0">
      <text>
        <t>모델값 역산(implied): 모델 v 그대로
이자손익 = 이자발생자산 85872억 × 2.15% − 총차입금 5234억 × 4.52% (연율, CF 실측) ÷ 4; 환·평가손익 0 가정</t>
      </text>
    </comment>
    <comment ref="AH25" authorId="0" shapeId="0">
      <text>
        <t>모델값 역산(implied): 모델 v 그대로
이자손익 = 이자발생자산 86295억 × 2.15% − 총차입금 5234억 × 4.52% (연율, CF 실측) ÷ 4; 환·평가손익 0 가정</t>
      </text>
    </comment>
    <comment ref="AI25" authorId="0" shapeId="0">
      <text>
        <t>모델값 역산(implied): 모델 v 그대로
이자손익 = 이자발생자산 92652억 × 2.15% − 총차입금 5234억 × 4.52% (연율, CF 실측) ÷ 4; 환·평가손익 0 가정</t>
      </text>
    </comment>
    <comment ref="AK25" authorId="0" shapeId="0">
      <text>
        <t>모델값 역산(implied): 모델 v 그대로
이자손익 = 이자발생자산 98959억 × 2.15% − 총차입금 5234억 × 4.52% (연율, CF 실측) ÷ 4; 환·평가손익 0 가정</t>
      </text>
    </comment>
    <comment ref="AL25" authorId="0" shapeId="0">
      <text>
        <t>모델값 역산(implied): 모델 v 그대로
이자손익 = 이자발생자산 105207억 × 2.15% − 총차입금 5234억 × 4.52% (연율, CF 실측) ÷ 4; 환·평가손익 0 가정</t>
      </text>
    </comment>
    <comment ref="AM25" authorId="0" shapeId="0">
      <text>
        <t>모델값 역산(implied): 모델 v 그대로
이자손익 = 이자발생자산 105584억 × 2.15% − 총차입금 5234억 × 4.52% (연율, CF 실측) ÷ 4; 환·평가손익 0 가정</t>
      </text>
    </comment>
    <comment ref="AN25" authorId="0" shapeId="0">
      <text>
        <t>모델값 역산(implied): 모델 v 그대로
이자손익 = 이자발생자산 111947억 × 2.15% − 총차입금 5234억 × 4.52%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D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F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G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H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I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K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L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M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N28" authorId="0" shapeId="0">
      <text>
        <t>모델값 역산(implied): 모델 v 그대로
외화 순노출 -67백만$ × Δ기말 원/달러(가정 — 마지막 ECB 관측치를 2028Q4 까지 평평하게 둔다. 선도환율·컨센서스 아님.)</t>
      </text>
    </comment>
    <comment ref="AC29" authorId="0" shapeId="0">
      <text>
        <t>모델값 역산(implied): v / 세전이익
max(세전, 0) × 세율 24.5%(최근 12분기 유효세율 24.5% → 5~27% 클립)</t>
      </text>
    </comment>
    <comment ref="AD29" authorId="0" shapeId="0">
      <text>
        <t>모델값 역산(implied): v / 세전이익
max(세전, 0) × 세율 24.5%(최근 12분기 유효세율 24.5% → 5~27% 클립)</t>
      </text>
    </comment>
    <comment ref="AF29" authorId="0" shapeId="0">
      <text>
        <t>모델값 역산(implied): v / 세전이익
max(세전, 0) × 세율 24.5%(최근 12분기 유효세율 24.5% → 5~27% 클립)</t>
      </text>
    </comment>
    <comment ref="AG29" authorId="0" shapeId="0">
      <text>
        <t>모델값 역산(implied): v / 세전이익
max(세전, 0) × 세율 24.5%(최근 12분기 유효세율 24.5% → 5~27% 클립)</t>
      </text>
    </comment>
    <comment ref="AH29" authorId="0" shapeId="0">
      <text>
        <t>모델값 역산(implied): v / 세전이익
max(세전, 0) × 세율 24.5%(최근 12분기 유효세율 24.5% → 5~27% 클립)</t>
      </text>
    </comment>
    <comment ref="AI29" authorId="0" shapeId="0">
      <text>
        <t>모델값 역산(implied): v / 세전이익
max(세전, 0) × 세율 24.5%(최근 12분기 유효세율 24.5% → 5~27% 클립)</t>
      </text>
    </comment>
    <comment ref="AK29" authorId="0" shapeId="0">
      <text>
        <t>모델값 역산(implied): v / 세전이익
max(세전, 0) × 세율 24.5%(최근 12분기 유효세율 24.5% → 5~27% 클립)</t>
      </text>
    </comment>
    <comment ref="AL29" authorId="0" shapeId="0">
      <text>
        <t>모델값 역산(implied): v / 세전이익
max(세전, 0) × 세율 24.5%(최근 12분기 유효세율 24.5% → 5~27% 클립)</t>
      </text>
    </comment>
    <comment ref="AM29" authorId="0" shapeId="0">
      <text>
        <t>모델값 역산(implied): v / 세전이익
max(세전, 0) × 세율 24.5%(최근 12분기 유효세율 24.5% → 5~27% 클립)</t>
      </text>
    </comment>
    <comment ref="AN29" authorId="0" shapeId="0">
      <text>
        <t>모델값 역산(implied): v / 세전이익
max(세전, 0) × 세율 24.5%(최근 12분기 유효세율 24.5% → 5~27% 클립)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5,661원 유지</t>
      </text>
    </comment>
    <comment ref="AI41" authorId="0" shapeId="0">
      <text>
        <t>모델값 역산(implied): v / 전년동기 − 1
직전 결산 DPS 5,661원 유지</t>
      </text>
    </comment>
    <comment ref="AN41" authorId="0" shapeId="0">
      <text>
        <t>모델값 역산(implied): v / 전년동기 − 1
직전 결산 DPS 5,661원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SLS 해양 원화 21729억(sls.by_quarter.marine_hedged_krw_m(헤지 70% 적용)) + 원장 밖 잔고 소진 34849억(최근 4분기 '부문매출−SLS' 중위 34849억/분기, 잔여 322227억)</t>
      </text>
    </comment>
    <comment ref="AD44" authorId="0" shapeId="0">
      <text>
        <t>모델값 역산(implied): v / 매출액
SLS 해양 원화 21888억(sls.by_quarter.marine_hedged_krw_m(헤지 70% 적용)) + 원장 밖 잔고 소진 34849억(최근 4분기 '부문매출−SLS' 중위 34849억/분기, 잔여 287378억)</t>
      </text>
    </comment>
    <comment ref="AF44" authorId="0" shapeId="0">
      <text>
        <t>모델값 역산(implied): v / 매출액
SLS 해양 원화 21412억(sls.by_quarter.marine_hedged_krw_m(헤지 70% 적용)) + 원장 밖 잔고 소진 34849억(최근 4분기 '부문매출−SLS' 중위 34849억/분기, 잔여 252529억)</t>
      </text>
    </comment>
    <comment ref="AG44" authorId="0" shapeId="0">
      <text>
        <t>모델값 역산(implied): v / 매출액
SLS 해양 원화 20430억(sls.by_quarter.marine_hedged_krw_m(헤지 70% 적용)) + 원장 밖 잔고 소진 34849억(최근 4분기 '부문매출−SLS' 중위 34849억/분기, 잔여 217680억)</t>
      </text>
    </comment>
    <comment ref="AH44" authorId="0" shapeId="0">
      <text>
        <t>모델값 역산(implied): v / 매출액
SLS 해양 원화 20443억(sls.by_quarter.marine_hedged_krw_m(헤지 70% 적용)) + 원장 밖 잔고 소진 34849억(최근 4분기 '부문매출−SLS' 중위 34849억/분기, 잔여 182831억)</t>
      </text>
    </comment>
    <comment ref="AI44" authorId="0" shapeId="0">
      <text>
        <t>모델값 역산(implied): v / 매출액
SLS 해양 원화 19690억(sls.by_quarter.marine_hedged_krw_m(헤지 70% 적용)) + 원장 밖 잔고 소진 34849억(최근 4분기 '부문매출−SLS' 중위 34849억/분기, 잔여 147982억)</t>
      </text>
    </comment>
    <comment ref="AK44" authorId="0" shapeId="0">
      <text>
        <t>모델값 역산(implied): v / 매출액
SLS 해양 원화 18787억(sls.by_quarter.marine_hedged_krw_m(헤지 70% 적용)) + 원장 밖 잔고 소진 34849억(최근 4분기 '부문매출−SLS' 중위 34849억/분기, 잔여 113132억)</t>
      </text>
    </comment>
    <comment ref="AL44" authorId="0" shapeId="0">
      <text>
        <t>모델값 역산(implied): v / 매출액
SLS 해양 원화 18145억(sls.by_quarter.marine_hedged_krw_m(헤지 70% 적용)) + 원장 밖 잔고 소진 34849억(최근 4분기 '부문매출−SLS' 중위 34849억/분기, 잔여 78283억)</t>
      </text>
    </comment>
    <comment ref="AM44" authorId="0" shapeId="0">
      <text>
        <t>모델값 역산(implied): v / 매출액
SLS 해양 원화 16812억(sls.by_quarter.marine_hedged_krw_m(헤지 70% 적용)) + 원장 밖 잔고 소진 34849억(최근 4분기 '부문매출−SLS' 중위 34849억/분기, 잔여 43434억)</t>
      </text>
    </comment>
    <comment ref="AN44" authorId="0" shapeId="0">
      <text>
        <t>모델값 역산(implied): v / 매출액
SLS 해양 원화 15025억(sls.by_quarter.marine_hedged_krw_m(헤지 70% 적용)) + 원장 밖 잔고 소진 34849억(최근 4분기 '부문매출−SLS' 중위 34849억/분기, 잔여 8585억)</t>
      </text>
    </comment>
    <comment ref="AC45" authorId="0" shapeId="0">
      <text>
        <t>모델값 역산(implied): v / 매출조선
매출조선 × 타겟 OPM(부문 OP 미공시 → 회사 OPM 적용)</t>
      </text>
    </comment>
    <comment ref="AD45" authorId="0" shapeId="0">
      <text>
        <t>모델값 역산(implied): v / 매출조선
매출조선 × 타겟 OPM(부문 OP 미공시 → 회사 OPM 적용)</t>
      </text>
    </comment>
    <comment ref="AF45" authorId="0" shapeId="0">
      <text>
        <t>모델값 역산(implied): v / 매출조선
매출조선 × 타겟 OPM(부문 OP 미공시 → 회사 OPM 적용)</t>
      </text>
    </comment>
    <comment ref="AG45" authorId="0" shapeId="0">
      <text>
        <t>모델값 역산(implied): v / 매출조선
매출조선 × 타겟 OPM(부문 OP 미공시 → 회사 OPM 적용)</t>
      </text>
    </comment>
    <comment ref="AH45" authorId="0" shapeId="0">
      <text>
        <t>모델값 역산(implied): v / 매출조선
매출조선 × 타겟 OPM(부문 OP 미공시 → 회사 OPM 적용)</t>
      </text>
    </comment>
    <comment ref="AI45" authorId="0" shapeId="0">
      <text>
        <t>모델값 역산(implied): v / 매출조선
매출조선 × 타겟 OPM(부문 OP 미공시 → 회사 OPM 적용)</t>
      </text>
    </comment>
    <comment ref="AK45" authorId="0" shapeId="0">
      <text>
        <t>모델값 역산(implied): v / 매출조선
매출조선 × 타겟 OPM(부문 OP 미공시 → 회사 OPM 적용)</t>
      </text>
    </comment>
    <comment ref="AL45" authorId="0" shapeId="0">
      <text>
        <t>모델값 역산(implied): v / 매출조선
매출조선 × 타겟 OPM(부문 OP 미공시 → 회사 OPM 적용)</t>
      </text>
    </comment>
    <comment ref="AM45" authorId="0" shapeId="0">
      <text>
        <t>모델값 역산(implied): v / 매출조선
매출조선 × 타겟 OPM(부문 OP 미공시 → 회사 OPM 적용)</t>
      </text>
    </comment>
    <comment ref="AN45" authorId="0" shapeId="0">
      <text>
        <t>모델값 역산(implied): v / 매출조선
매출조선 × 타겟 OPM(부문 OP 미공시 → 회사 OPM 적용)</t>
      </text>
    </comment>
    <comment ref="AC46" authorId="0" shapeId="0">
      <text>
        <t>모델값 역산(implied): v / 매출액
기타 부문(연결 − 조선 부문) 최근 4분기 중위 9376억 유지</t>
      </text>
    </comment>
    <comment ref="AD46" authorId="0" shapeId="0">
      <text>
        <t>모델값 역산(implied): v / 매출액
기타 부문(연결 − 조선 부문) 최근 4분기 중위 9376억 유지</t>
      </text>
    </comment>
    <comment ref="AF46" authorId="0" shapeId="0">
      <text>
        <t>모델값 역산(implied): v / 매출액
기타 부문(연결 − 조선 부문) 최근 4분기 중위 9376억 유지</t>
      </text>
    </comment>
    <comment ref="AG46" authorId="0" shapeId="0">
      <text>
        <t>모델값 역산(implied): v / 매출액
기타 부문(연결 − 조선 부문) 최근 4분기 중위 9376억 유지</t>
      </text>
    </comment>
    <comment ref="AH46" authorId="0" shapeId="0">
      <text>
        <t>모델값 역산(implied): v / 매출액
기타 부문(연결 − 조선 부문) 최근 4분기 중위 9376억 유지</t>
      </text>
    </comment>
    <comment ref="AI46" authorId="0" shapeId="0">
      <text>
        <t>모델값 역산(implied): v / 매출액
기타 부문(연결 − 조선 부문) 최근 4분기 중위 9376억 유지</t>
      </text>
    </comment>
    <comment ref="AK46" authorId="0" shapeId="0">
      <text>
        <t>모델값 역산(implied): v / 매출액
기타 부문(연결 − 조선 부문) 최근 4분기 중위 9376억 유지</t>
      </text>
    </comment>
    <comment ref="AL46" authorId="0" shapeId="0">
      <text>
        <t>모델값 역산(implied): v / 매출액
기타 부문(연결 − 조선 부문) 최근 4분기 중위 9376억 유지</t>
      </text>
    </comment>
    <comment ref="AM46" authorId="0" shapeId="0">
      <text>
        <t>모델값 역산(implied): v / 매출액
기타 부문(연결 − 조선 부문) 최근 4분기 중위 9376억 유지</t>
      </text>
    </comment>
    <comment ref="AN46" authorId="0" shapeId="0">
      <text>
        <t>모델값 역산(implied): v / 매출액
기타 부문(연결 − 조선 부문) 최근 4분기 중위 9376억 유지</t>
      </text>
    </comment>
    <comment ref="AC47" authorId="0" shapeId="0">
      <text>
        <t>모델값 역산(implied): v / 매출기타
매출기타 × 회사 OPM(부문 OP 미공시)</t>
      </text>
    </comment>
    <comment ref="AD47" authorId="0" shapeId="0">
      <text>
        <t>모델값 역산(implied): v / 매출기타
매출기타 × 회사 OPM(부문 OP 미공시)</t>
      </text>
    </comment>
    <comment ref="AF47" authorId="0" shapeId="0">
      <text>
        <t>모델값 역산(implied): v / 매출기타
매출기타 × 회사 OPM(부문 OP 미공시)</t>
      </text>
    </comment>
    <comment ref="AG47" authorId="0" shapeId="0">
      <text>
        <t>모델값 역산(implied): v / 매출기타
매출기타 × 회사 OPM(부문 OP 미공시)</t>
      </text>
    </comment>
    <comment ref="AH47" authorId="0" shapeId="0">
      <text>
        <t>모델값 역산(implied): v / 매출기타
매출기타 × 회사 OPM(부문 OP 미공시)</t>
      </text>
    </comment>
    <comment ref="AI47" authorId="0" shapeId="0">
      <text>
        <t>모델값 역산(implied): v / 매출기타
매출기타 × 회사 OPM(부문 OP 미공시)</t>
      </text>
    </comment>
    <comment ref="AK47" authorId="0" shapeId="0">
      <text>
        <t>모델값 역산(implied): v / 매출기타
매출기타 × 회사 OPM(부문 OP 미공시)</t>
      </text>
    </comment>
    <comment ref="AL47" authorId="0" shapeId="0">
      <text>
        <t>모델값 역산(implied): v / 매출기타
매출기타 × 회사 OPM(부문 OP 미공시)</t>
      </text>
    </comment>
    <comment ref="AM47" authorId="0" shapeId="0">
      <text>
        <t>모델값 역산(implied): v / 매출기타
매출기타 × 회사 OPM(부문 OP 미공시)</t>
      </text>
    </comment>
    <comment ref="AN47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6.3% + 회사 캘리브레이션 +6.4%p(최근 4분기 실측−타겟 중위))
[ratio]</t>
      </text>
    </comment>
    <comment ref="AD9" authorId="0" shapeId="0">
      <text>
        <t>추정: 매출액 × OPM(SLS 코호트 타겟 6.2% + 회사 캘리브레이션 +6.4%p(최근 4분기 실측−타겟 중위))
[ratio]</t>
      </text>
    </comment>
    <comment ref="AF9" authorId="0" shapeId="0">
      <text>
        <t>추정: 매출액 × OPM(SLS 코호트 타겟 6.2% + 회사 캘리브레이션 +6.4%p(최근 4분기 실측−타겟 중위))
[ratio]</t>
      </text>
    </comment>
    <comment ref="AG9" authorId="0" shapeId="0">
      <text>
        <t>추정: 매출액 × OPM(SLS 코호트 타겟 6.0% + 회사 캘리브레이션 +6.4%p(최근 4분기 실측−타겟 중위))
[ratio]</t>
      </text>
    </comment>
    <comment ref="AH9" authorId="0" shapeId="0">
      <text>
        <t>추정: 매출액 × OPM(SLS 코호트 타겟 6.0% + 회사 캘리브레이션 +6.4%p(최근 4분기 실측−타겟 중위))
[ratio]</t>
      </text>
    </comment>
    <comment ref="AI9" authorId="0" shapeId="0">
      <text>
        <t>추정: 매출액 × OPM(SLS 코호트 타겟 6.0% + 회사 캘리브레이션 +6.4%p(최근 4분기 실측−타겟 중위))
[ratio]</t>
      </text>
    </comment>
    <comment ref="AK9" authorId="0" shapeId="0">
      <text>
        <t>추정: 매출액 × OPM(SLS 코호트 타겟 6.0% + 회사 캘리브레이션 +6.4%p(최근 4분기 실측−타겟 중위))
[ratio]</t>
      </text>
    </comment>
    <comment ref="AL9" authorId="0" shapeId="0">
      <text>
        <t>추정: 매출액 × OPM(SLS 코호트 타겟 6.2% + 회사 캘리브레이션 +6.4%p(최근 4분기 실측−타겟 중위))
[ratio]</t>
      </text>
    </comment>
    <comment ref="AM9" authorId="0" shapeId="0">
      <text>
        <t>추정: 매출액 × OPM(SLS 코호트 타겟 6.6% + 회사 캘리브레이션 +6.4%p(최근 4분기 실측−타겟 중위))
[ratio]</t>
      </text>
    </comment>
    <comment ref="AN9" authorId="0" shapeId="0">
      <text>
        <t>추정: 매출액 × OPM(SLS 코호트 타겟 6.7% + 회사 캘리브레이션 +6.4%p(최근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6.3% + 회사 캘리브레이션 +6.4%p(최근 4분기 실측−타겟 중위)
[yoy]</t>
      </text>
    </comment>
    <comment ref="AD10" authorId="0" shapeId="0">
      <text>
        <t>추정: SLS 코호트 타겟 6.2% + 회사 캘리브레이션 +6.4%p(최근 4분기 실측−타겟 중위)
[yoy]</t>
      </text>
    </comment>
    <comment ref="AF10" authorId="0" shapeId="0">
      <text>
        <t>추정: SLS 코호트 타겟 6.2% + 회사 캘리브레이션 +6.4%p(최근 4분기 실측−타겟 중위)
[yoy]</t>
      </text>
    </comment>
    <comment ref="AG10" authorId="0" shapeId="0">
      <text>
        <t>추정: SLS 코호트 타겟 6.0% + 회사 캘리브레이션 +6.4%p(최근 4분기 실측−타겟 중위)
[yoy]</t>
      </text>
    </comment>
    <comment ref="AH10" authorId="0" shapeId="0">
      <text>
        <t>추정: SLS 코호트 타겟 6.0% + 회사 캘리브레이션 +6.4%p(최근 4분기 실측−타겟 중위)
[yoy]</t>
      </text>
    </comment>
    <comment ref="AI10" authorId="0" shapeId="0">
      <text>
        <t>추정: SLS 코호트 타겟 6.0% + 회사 캘리브레이션 +6.4%p(최근 4분기 실측−타겟 중위)
[yoy]</t>
      </text>
    </comment>
    <comment ref="AK10" authorId="0" shapeId="0">
      <text>
        <t>추정: SLS 코호트 타겟 6.0% + 회사 캘리브레이션 +6.4%p(최근 4분기 실측−타겟 중위)
[yoy]</t>
      </text>
    </comment>
    <comment ref="AL10" authorId="0" shapeId="0">
      <text>
        <t>추정: SLS 코호트 타겟 6.2% + 회사 캘리브레이션 +6.4%p(최근 4분기 실측−타겟 중위)
[yoy]</t>
      </text>
    </comment>
    <comment ref="AM10" authorId="0" shapeId="0">
      <text>
        <t>추정: SLS 코호트 타겟 6.6% + 회사 캘리브레이션 +6.4%p(최근 4분기 실측−타겟 중위)
[yoy]</t>
      </text>
    </comment>
    <comment ref="AN10" authorId="0" shapeId="0">
      <text>
        <t>추정: SLS 코호트 타겟 6.7% + 회사 캘리브레이션 +6.4%p(최근 4분기 실측−타겟 중위)
[yoy]</t>
      </text>
    </comment>
    <comment ref="AC11" authorId="0" shapeId="0">
      <text>
        <t>추정: 이자손익 = 이자발생자산 66082억 × 2.15% − 총차입금 5234억 × 4.52% (연율, CF 실측) ÷ 4; 환·평가손익 0 가정
[abs]</t>
      </text>
    </comment>
    <comment ref="AD11" authorId="0" shapeId="0">
      <text>
        <t>추정: 이자손익 = 이자발생자산 72747억 × 2.15% − 총차입금 5234억 × 4.52% (연율, CF 실측) ÷ 4; 환·평가손익 0 가정
[abs]</t>
      </text>
    </comment>
    <comment ref="AF11" authorId="0" shapeId="0">
      <text>
        <t>추정: 이자손익 = 이자발생자산 79319억 × 2.15% − 총차입금 5234억 × 4.52% (연율, CF 실측) ÷ 4; 환·평가손익 0 가정
[abs]</t>
      </text>
    </comment>
    <comment ref="AG11" authorId="0" shapeId="0">
      <text>
        <t>추정: 이자손익 = 이자발생자산 85872억 × 2.15% − 총차입금 5234억 × 4.52% (연율, CF 실측) ÷ 4; 환·평가손익 0 가정
[abs]</t>
      </text>
    </comment>
    <comment ref="AH11" authorId="0" shapeId="0">
      <text>
        <t>추정: 이자손익 = 이자발생자산 86295억 × 2.15% − 총차입금 5234억 × 4.52% (연율, CF 실측) ÷ 4; 환·평가손익 0 가정
[abs]</t>
      </text>
    </comment>
    <comment ref="AI11" authorId="0" shapeId="0">
      <text>
        <t>추정: 이자손익 = 이자발생자산 92652억 × 2.15% − 총차입금 5234억 × 4.52% (연율, CF 실측) ÷ 4; 환·평가손익 0 가정
[abs]</t>
      </text>
    </comment>
    <comment ref="AK11" authorId="0" shapeId="0">
      <text>
        <t>추정: 이자손익 = 이자발생자산 98959억 × 2.15% − 총차입금 5234억 × 4.52% (연율, CF 실측) ÷ 4; 환·평가손익 0 가정
[abs]</t>
      </text>
    </comment>
    <comment ref="AL11" authorId="0" shapeId="0">
      <text>
        <t>추정: 이자손익 = 이자발생자산 105207억 × 2.15% − 총차입금 5234억 × 4.52% (연율, CF 실측) ÷ 4; 환·평가손익 0 가정
[abs]</t>
      </text>
    </comment>
    <comment ref="AM11" authorId="0" shapeId="0">
      <text>
        <t>추정: 이자손익 = 이자발생자산 105584억 × 2.15% − 총차입금 5234억 × 4.52% (연율, CF 실측) ÷ 4; 환·평가손익 0 가정
[abs]</t>
      </text>
    </comment>
    <comment ref="AN11" authorId="0" shapeId="0">
      <text>
        <t>추정: 이자손익 = 이자발생자산 111947억 × 2.15% − 총차입금 5234억 × 4.52%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D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F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G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H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I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K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L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M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N14" authorId="0" shapeId="0">
      <text>
        <t>추정: 외화 순노출 -67백만$ × Δ기말 원/달러(가정 — 마지막 ECB 관측치를 2028Q4 까지 평평하게 둔다. 선도환율·컨센서스 아님.)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24.5%(최근 12분기 유효세율 24.5% → 5~27% 클립)
[ratio]</t>
      </text>
    </comment>
    <comment ref="AD16" authorId="0" shapeId="0">
      <text>
        <t>추정: max(세전, 0) × 세율 24.5%(최근 12분기 유효세율 24.5% → 5~27% 클립)
[ratio]</t>
      </text>
    </comment>
    <comment ref="AF16" authorId="0" shapeId="0">
      <text>
        <t>추정: max(세전, 0) × 세율 24.5%(최근 12분기 유효세율 24.5% → 5~27% 클립)
[ratio]</t>
      </text>
    </comment>
    <comment ref="AG16" authorId="0" shapeId="0">
      <text>
        <t>추정: max(세전, 0) × 세율 24.5%(최근 12분기 유효세율 24.5% → 5~27% 클립)
[ratio]</t>
      </text>
    </comment>
    <comment ref="AH16" authorId="0" shapeId="0">
      <text>
        <t>추정: max(세전, 0) × 세율 24.5%(최근 12분기 유효세율 24.5% → 5~27% 클립)
[ratio]</t>
      </text>
    </comment>
    <comment ref="AI16" authorId="0" shapeId="0">
      <text>
        <t>추정: max(세전, 0) × 세율 24.5%(최근 12분기 유효세율 24.5% → 5~27% 클립)
[ratio]</t>
      </text>
    </comment>
    <comment ref="AK16" authorId="0" shapeId="0">
      <text>
        <t>추정: max(세전, 0) × 세율 24.5%(최근 12분기 유효세율 24.5% → 5~27% 클립)
[ratio]</t>
      </text>
    </comment>
    <comment ref="AL16" authorId="0" shapeId="0">
      <text>
        <t>추정: max(세전, 0) × 세율 24.5%(최근 12분기 유효세율 24.5% → 5~27% 클립)
[ratio]</t>
      </text>
    </comment>
    <comment ref="AM16" authorId="0" shapeId="0">
      <text>
        <t>추정: max(세전, 0) × 세율 24.5%(최근 12분기 유효세율 24.5% → 5~27% 클립)
[ratio]</t>
      </text>
    </comment>
    <comment ref="AN16" authorId="0" shapeId="0">
      <text>
        <t>추정: max(세전, 0) × 세율 24.5%(최근 12분기 유효세율 24.5% → 5~27% 클립)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5,661원 유지
[yoy]</t>
      </text>
    </comment>
    <comment ref="AI32" authorId="0" shapeId="0">
      <text>
        <t>추정: 직전 결산 DPS 5,661원 유지
[yoy]</t>
      </text>
    </comment>
    <comment ref="AN32" authorId="0" shapeId="0">
      <text>
        <t>추정: 직전 결산 DPS 5,661원 유지
[yoy]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N35" authorId="0" shapeId="0">
      <text>
        <t>실측(계정 매핑 없음 — 모델값 직접) — sls.reconcile.reported_segment_rev_m ← yards_cache 부문표(3개월분)</t>
      </text>
    </comment>
    <comment ref="O35" authorId="0" shapeId="0">
      <text>
        <t>실측(계정 매핑 없음 — 모델값 직접) — sls.reconcile.reported_segment_rev_m ← yards_cache 부문표(3개월분)</t>
      </text>
    </comment>
    <comment ref="Q35" authorId="0" shapeId="0">
      <text>
        <t>실측(계정 매핑 없음 — 모델값 직접) — sls.reconcile.reported_segment_rev_m ← yards_cache 부문표(3개월분)</t>
      </text>
    </comment>
    <comment ref="R35" authorId="0" shapeId="0">
      <text>
        <t>실측(계정 매핑 없음 — 모델값 직접) — sls.reconcile.reported_segment_rev_m ← yards_cache 부문표(3개월분)</t>
      </text>
    </comment>
    <comment ref="S35" authorId="0" shapeId="0">
      <text>
        <t>실측(계정 매핑 없음 — 모델값 직접) — sls.reconcile.reported_segment_rev_m ← yards_cache 부문표(3개월분)</t>
      </text>
    </comment>
    <comment ref="T35" authorId="0" shapeId="0">
      <text>
        <t>실측(계정 매핑 없음 — 모델값 직접) — sls.reconcile.reported_segment_rev_m ← yards_cache 부문표(3개월분)</t>
      </text>
    </comment>
    <comment ref="V35" authorId="0" shapeId="0">
      <text>
        <t>실측(계정 매핑 없음 — 모델값 직접) — sls.reconcile.reported_segment_rev_m ← yards_cache 부문표(3개월분)</t>
      </text>
    </comment>
    <comment ref="W35" authorId="0" shapeId="0">
      <text>
        <t>실측(계정 매핑 없음 — 모델값 직접) — sls.reconcile.reported_segment_rev_m ← yards_cache 부문표(3개월분)</t>
      </text>
    </comment>
    <comment ref="X35" authorId="0" shapeId="0">
      <text>
        <t>실측(계정 매핑 없음 — 모델값 직접) — sls.reconcile.reported_segment_rev_m ← yards_cache 부문표(3개월분)</t>
      </text>
    </comment>
    <comment ref="Y35" authorId="0" shapeId="0">
      <text>
        <t>실측(계정 매핑 없음 — 모델값 직접) — sls.reconcile.reported_segment_rev_m ← yards_cache 부문표(3개월분)</t>
      </text>
    </comment>
    <comment ref="AA35" authorId="0" shapeId="0">
      <text>
        <t>실측(계정 매핑 없음 — 모델값 직접) — sls.reconcile.reported_segment_rev_m ← yards_cache 부문표(3개월분)</t>
      </text>
    </comment>
    <comment ref="AB35" authorId="0" shapeId="0">
      <text>
        <t>실측(계정 매핑 없음 — 모델값 직접) — sls.reconcile.reported_segment_rev_m ← yards_cache 부문표(3개월분)</t>
      </text>
    </comment>
    <comment ref="AC35" authorId="0" shapeId="0">
      <text>
        <t>추정: SLS 해양 원화 21729억(sls.by_quarter.marine_hedged_krw_m(헤지 70% 적용)) + 원장 밖 잔고 소진 34849억(최근 4분기 '부문매출−SLS' 중위 34849억/분기, 잔여 322227억)
[ratio]</t>
      </text>
    </comment>
    <comment ref="AD35" authorId="0" shapeId="0">
      <text>
        <t>추정: SLS 해양 원화 21888억(sls.by_quarter.marine_hedged_krw_m(헤지 70% 적용)) + 원장 밖 잔고 소진 34849억(최근 4분기 '부문매출−SLS' 중위 34849억/분기, 잔여 287378억)
[ratio]</t>
      </text>
    </comment>
    <comment ref="AF35" authorId="0" shapeId="0">
      <text>
        <t>추정: SLS 해양 원화 21412억(sls.by_quarter.marine_hedged_krw_m(헤지 70% 적용)) + 원장 밖 잔고 소진 34849억(최근 4분기 '부문매출−SLS' 중위 34849억/분기, 잔여 252529억)
[ratio]</t>
      </text>
    </comment>
    <comment ref="AG35" authorId="0" shapeId="0">
      <text>
        <t>추정: SLS 해양 원화 20430억(sls.by_quarter.marine_hedged_krw_m(헤지 70% 적용)) + 원장 밖 잔고 소진 34849억(최근 4분기 '부문매출−SLS' 중위 34849억/분기, 잔여 217680억)
[ratio]</t>
      </text>
    </comment>
    <comment ref="AH35" authorId="0" shapeId="0">
      <text>
        <t>추정: SLS 해양 원화 20443억(sls.by_quarter.marine_hedged_krw_m(헤지 70% 적용)) + 원장 밖 잔고 소진 34849억(최근 4분기 '부문매출−SLS' 중위 34849억/분기, 잔여 182831억)
[ratio]</t>
      </text>
    </comment>
    <comment ref="AI35" authorId="0" shapeId="0">
      <text>
        <t>추정: SLS 해양 원화 19690억(sls.by_quarter.marine_hedged_krw_m(헤지 70% 적용)) + 원장 밖 잔고 소진 34849억(최근 4분기 '부문매출−SLS' 중위 34849억/분기, 잔여 147982억)
[ratio]</t>
      </text>
    </comment>
    <comment ref="AK35" authorId="0" shapeId="0">
      <text>
        <t>추정: SLS 해양 원화 18787억(sls.by_quarter.marine_hedged_krw_m(헤지 70% 적용)) + 원장 밖 잔고 소진 34849억(최근 4분기 '부문매출−SLS' 중위 34849억/분기, 잔여 113132억)
[ratio]</t>
      </text>
    </comment>
    <comment ref="AL35" authorId="0" shapeId="0">
      <text>
        <t>추정: SLS 해양 원화 18145억(sls.by_quarter.marine_hedged_krw_m(헤지 70% 적용)) + 원장 밖 잔고 소진 34849억(최근 4분기 '부문매출−SLS' 중위 34849억/분기, 잔여 78283억)
[ratio]</t>
      </text>
    </comment>
    <comment ref="AM35" authorId="0" shapeId="0">
      <text>
        <t>추정: SLS 해양 원화 16812억(sls.by_quarter.marine_hedged_krw_m(헤지 70% 적용)) + 원장 밖 잔고 소진 34849억(최근 4분기 '부문매출−SLS' 중위 34849억/분기, 잔여 43434억)
[ratio]</t>
      </text>
    </comment>
    <comment ref="AN35" authorId="0" shapeId="0">
      <text>
        <t>추정: SLS 해양 원화 15025억(sls.by_quarter.marine_hedged_krw_m(헤지 70% 적용)) + 원장 밖 잔고 소진 34849억(최근 4분기 '부문매출−SLS' 중위 34849억/분기, 잔여 8585억)
[ratio]</t>
      </text>
    </comment>
    <comment ref="AC36" authorId="0" shapeId="0">
      <text>
        <t>추정: 매출조선 × 타겟 OPM(부문 OP 미공시 → 회사 OPM 적용)
[ratio]</t>
      </text>
    </comment>
    <comment ref="AD36" authorId="0" shapeId="0">
      <text>
        <t>추정: 매출조선 × 타겟 OPM(부문 OP 미공시 → 회사 OPM 적용)
[ratio]</t>
      </text>
    </comment>
    <comment ref="AF36" authorId="0" shapeId="0">
      <text>
        <t>추정: 매출조선 × 타겟 OPM(부문 OP 미공시 → 회사 OPM 적용)
[ratio]</t>
      </text>
    </comment>
    <comment ref="AG36" authorId="0" shapeId="0">
      <text>
        <t>추정: 매출조선 × 타겟 OPM(부문 OP 미공시 → 회사 OPM 적용)
[ratio]</t>
      </text>
    </comment>
    <comment ref="AH36" authorId="0" shapeId="0">
      <text>
        <t>추정: 매출조선 × 타겟 OPM(부문 OP 미공시 → 회사 OPM 적용)
[ratio]</t>
      </text>
    </comment>
    <comment ref="AI36" authorId="0" shapeId="0">
      <text>
        <t>추정: 매출조선 × 타겟 OPM(부문 OP 미공시 → 회사 OPM 적용)
[ratio]</t>
      </text>
    </comment>
    <comment ref="AK36" authorId="0" shapeId="0">
      <text>
        <t>추정: 매출조선 × 타겟 OPM(부문 OP 미공시 → 회사 OPM 적용)
[ratio]</t>
      </text>
    </comment>
    <comment ref="AL36" authorId="0" shapeId="0">
      <text>
        <t>추정: 매출조선 × 타겟 OPM(부문 OP 미공시 → 회사 OPM 적용)
[ratio]</t>
      </text>
    </comment>
    <comment ref="AM36" authorId="0" shapeId="0">
      <text>
        <t>추정: 매출조선 × 타겟 OPM(부문 OP 미공시 → 회사 OPM 적용)
[ratio]</t>
      </text>
    </comment>
    <comment ref="AN36" authorId="0" shapeId="0">
      <text>
        <t>추정: 매출조선 × 타겟 OPM(부문 OP 미공시 → 회사 OPM 적용)
[ratio]</t>
      </text>
    </comment>
    <comment ref="N37" authorId="0" shapeId="0">
      <text>
        <t>실측(계정 매핑 없음 — 모델값 직접) — 연결 매출 − 조선 부문(파생)</t>
      </text>
    </comment>
    <comment ref="O37" authorId="0" shapeId="0">
      <text>
        <t>실측(계정 매핑 없음 — 모델값 직접) — 연결 매출 − 조선 부문(파생)</t>
      </text>
    </comment>
    <comment ref="Q37" authorId="0" shapeId="0">
      <text>
        <t>실측(계정 매핑 없음 — 모델값 직접) — 연결 매출 − 조선 부문(파생)</t>
      </text>
    </comment>
    <comment ref="R37" authorId="0" shapeId="0">
      <text>
        <t>실측(계정 매핑 없음 — 모델값 직접) — 연결 매출 − 조선 부문(파생)</t>
      </text>
    </comment>
    <comment ref="S37" authorId="0" shapeId="0">
      <text>
        <t>실측(계정 매핑 없음 — 모델값 직접) — 연결 매출 − 조선 부문(파생)</t>
      </text>
    </comment>
    <comment ref="T37" authorId="0" shapeId="0">
      <text>
        <t>실측(계정 매핑 없음 — 모델값 직접) — 연결 매출 − 조선 부문(파생)</t>
      </text>
    </comment>
    <comment ref="V37" authorId="0" shapeId="0">
      <text>
        <t>실측(계정 매핑 없음 — 모델값 직접) — 연결 매출 − 조선 부문(파생)</t>
      </text>
    </comment>
    <comment ref="W37" authorId="0" shapeId="0">
      <text>
        <t>실측(계정 매핑 없음 — 모델값 직접) — 연결 매출 − 조선 부문(파생)</t>
      </text>
    </comment>
    <comment ref="X37" authorId="0" shapeId="0">
      <text>
        <t>실측(계정 매핑 없음 — 모델값 직접) — 연결 매출 − 조선 부문(파생)</t>
      </text>
    </comment>
    <comment ref="Y37" authorId="0" shapeId="0">
      <text>
        <t>실측(계정 매핑 없음 — 모델값 직접) — 연결 매출 − 조선 부문(파생)</t>
      </text>
    </comment>
    <comment ref="AA37" authorId="0" shapeId="0">
      <text>
        <t>실측(계정 매핑 없음 — 모델값 직접) — 연결 매출 − 조선 부문(파생)</t>
      </text>
    </comment>
    <comment ref="AB37" authorId="0" shapeId="0">
      <text>
        <t>실측(계정 매핑 없음 — 모델값 직접) — 연결 매출 − 조선 부문(파생)</t>
      </text>
    </comment>
    <comment ref="AC37" authorId="0" shapeId="0">
      <text>
        <t>추정: 기타 부문(연결 − 조선 부문) 최근 4분기 중위 9376억 유지
[ratio]</t>
      </text>
    </comment>
    <comment ref="AD37" authorId="0" shapeId="0">
      <text>
        <t>추정: 기타 부문(연결 − 조선 부문) 최근 4분기 중위 9376억 유지
[ratio]</t>
      </text>
    </comment>
    <comment ref="AF37" authorId="0" shapeId="0">
      <text>
        <t>추정: 기타 부문(연결 − 조선 부문) 최근 4분기 중위 9376억 유지
[ratio]</t>
      </text>
    </comment>
    <comment ref="AG37" authorId="0" shapeId="0">
      <text>
        <t>추정: 기타 부문(연결 − 조선 부문) 최근 4분기 중위 9376억 유지
[ratio]</t>
      </text>
    </comment>
    <comment ref="AH37" authorId="0" shapeId="0">
      <text>
        <t>추정: 기타 부문(연결 − 조선 부문) 최근 4분기 중위 9376억 유지
[ratio]</t>
      </text>
    </comment>
    <comment ref="AI37" authorId="0" shapeId="0">
      <text>
        <t>추정: 기타 부문(연결 − 조선 부문) 최근 4분기 중위 9376억 유지
[ratio]</t>
      </text>
    </comment>
    <comment ref="AK37" authorId="0" shapeId="0">
      <text>
        <t>추정: 기타 부문(연결 − 조선 부문) 최근 4분기 중위 9376억 유지
[ratio]</t>
      </text>
    </comment>
    <comment ref="AL37" authorId="0" shapeId="0">
      <text>
        <t>추정: 기타 부문(연결 − 조선 부문) 최근 4분기 중위 9376억 유지
[ratio]</t>
      </text>
    </comment>
    <comment ref="AM37" authorId="0" shapeId="0">
      <text>
        <t>추정: 기타 부문(연결 − 조선 부문) 최근 4분기 중위 9376억 유지
[ratio]</t>
      </text>
    </comment>
    <comment ref="AN37" authorId="0" shapeId="0">
      <text>
        <t>추정: 기타 부문(연결 − 조선 부문) 최근 4분기 중위 9376억 유지
[ratio]</t>
      </text>
    </comment>
    <comment ref="AC38" authorId="0" shapeId="0">
      <text>
        <t>추정: 매출기타 × 회사 OPM(부문 OP 미공시)
[ratio]</t>
      </text>
    </comment>
    <comment ref="AD38" authorId="0" shapeId="0">
      <text>
        <t>추정: 매출기타 × 회사 OPM(부문 OP 미공시)
[ratio]</t>
      </text>
    </comment>
    <comment ref="AF38" authorId="0" shapeId="0">
      <text>
        <t>추정: 매출기타 × 회사 OPM(부문 OP 미공시)
[ratio]</t>
      </text>
    </comment>
    <comment ref="AG38" authorId="0" shapeId="0">
      <text>
        <t>추정: 매출기타 × 회사 OPM(부문 OP 미공시)
[ratio]</t>
      </text>
    </comment>
    <comment ref="AH38" authorId="0" shapeId="0">
      <text>
        <t>추정: 매출기타 × 회사 OPM(부문 OP 미공시)
[ratio]</t>
      </text>
    </comment>
    <comment ref="AI38" authorId="0" shapeId="0">
      <text>
        <t>추정: 매출기타 × 회사 OPM(부문 OP 미공시)
[ratio]</t>
      </text>
    </comment>
    <comment ref="AK38" authorId="0" shapeId="0">
      <text>
        <t>추정: 매출기타 × 회사 OPM(부문 OP 미공시)
[ratio]</t>
      </text>
    </comment>
    <comment ref="AL38" authorId="0" shapeId="0">
      <text>
        <t>추정: 매출기타 × 회사 OPM(부문 OP 미공시)
[ratio]</t>
      </text>
    </comment>
    <comment ref="AM38" authorId="0" shapeId="0">
      <text>
        <t>추정: 매출기타 × 회사 OPM(부문 OP 미공시)
[ratio]</t>
      </text>
    </comment>
    <comment ref="AN38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assets/models/329180.json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24.0, "op_wape_pct": 44.4,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41613.04, "rev_act": 44178.98, "op_pred": 4280.09, "op_act": 5572.85}, {"q": "2025Q4", "rev_pred": 41613.04, "rev_act": 51930.94, "op_pred": 4280.09, "op_act": 5750.35}, {"q": "2026Q1", "rev_pred": 41460.97, "rev_act": 59163.32, "op_pred": 4264.44, "op_act": 9053.86}, {"q": "2026Q2", "rev_pred": 41537.0, "rev_act": 63321.55, "op_pred": 4272.27,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280000</v>
      </c>
      <c r="W15" s="18" t="n">
        <v>428000</v>
      </c>
      <c r="X15" s="18" t="n">
        <v>514000</v>
      </c>
      <c r="Y15" s="18" t="n">
        <v>514000</v>
      </c>
      <c r="Z15" s="9" t="n"/>
      <c r="AA15" s="18" t="n">
        <v>464000</v>
      </c>
      <c r="AB15" s="19" t="n">
        <v>592000</v>
      </c>
      <c r="AC15" s="20" t="n">
        <v>434500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531000</v>
      </c>
      <c r="X16" s="18" t="n">
        <v>560000</v>
      </c>
      <c r="Y16" s="18" t="n">
        <v>640000</v>
      </c>
      <c r="Z16" s="9" t="n"/>
      <c r="AA16" s="18" t="n">
        <v>652000</v>
      </c>
      <c r="AB16" s="19" t="n">
        <v>768000</v>
      </c>
      <c r="AC16" s="20" t="n">
        <v>626000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270500</v>
      </c>
      <c r="X17" s="18" t="n">
        <v>344500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307465.5</v>
      </c>
      <c r="W18" s="18" t="n">
        <v>391625</v>
      </c>
      <c r="X18" s="18" t="n">
        <v>464123.1</v>
      </c>
      <c r="Y18" s="18" t="n">
        <v>547584.7</v>
      </c>
      <c r="Z18" s="9" t="n"/>
      <c r="AA18" s="18" t="n">
        <v>572601.7</v>
      </c>
      <c r="AB18" s="19" t="n">
        <v>617073.8</v>
      </c>
      <c r="AC18" s="20" t="n">
        <v>478112.9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0.49289</v>
      </c>
      <c r="AD21" s="24" t="n">
        <v>0.273095</v>
      </c>
      <c r="AE21" s="25" t="n"/>
      <c r="AF21" s="24" t="n">
        <v>0.109424</v>
      </c>
      <c r="AG21" s="24" t="n">
        <v>0.021065</v>
      </c>
      <c r="AH21" s="24" t="n">
        <v>-0.019505</v>
      </c>
      <c r="AI21" s="24" t="n">
        <v>-0.033237</v>
      </c>
      <c r="AJ21" s="25" t="n"/>
      <c r="AK21" s="24" t="n">
        <v>-0.039992</v>
      </c>
      <c r="AL21" s="24" t="n">
        <v>-0.035342</v>
      </c>
      <c r="AM21" s="24" t="n">
        <v>-0.056145</v>
      </c>
      <c r="AN21" s="24" t="n">
        <v>-0.07299700000000001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0.048759</v>
      </c>
      <c r="AD22" s="24" t="n">
        <v>0.048759</v>
      </c>
      <c r="AE22" s="25">
        <f>IFERROR(subQ!AE8/subQ!AE5,"")</f>
        <v/>
      </c>
      <c r="AF22" s="24" t="n">
        <v>0.048759</v>
      </c>
      <c r="AG22" s="24" t="n">
        <v>0.048759</v>
      </c>
      <c r="AH22" s="24" t="n">
        <v>0.048759</v>
      </c>
      <c r="AI22" s="24" t="n">
        <v>0.048759</v>
      </c>
      <c r="AJ22" s="25">
        <f>IFERROR(subQ!AJ8/subQ!AJ5,"")</f>
        <v/>
      </c>
      <c r="AK22" s="24" t="n">
        <v>0.048759</v>
      </c>
      <c r="AL22" s="24" t="n">
        <v>0.048759</v>
      </c>
      <c r="AM22" s="24" t="n">
        <v>0.048759</v>
      </c>
      <c r="AN22" s="24" t="n">
        <v>0.048759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0.127337</v>
      </c>
      <c r="AD23" s="24" t="n">
        <v>0.126637</v>
      </c>
      <c r="AE23" s="25">
        <f>IFERROR(subQ!AE9/subQ!AE5,"")</f>
        <v/>
      </c>
      <c r="AF23" s="24" t="n">
        <v>0.126637</v>
      </c>
      <c r="AG23" s="24" t="n">
        <v>0.124137</v>
      </c>
      <c r="AH23" s="24" t="n">
        <v>0.123937</v>
      </c>
      <c r="AI23" s="24" t="n">
        <v>0.123837</v>
      </c>
      <c r="AJ23" s="25">
        <f>IFERROR(subQ!AJ9/subQ!AJ5,"")</f>
        <v/>
      </c>
      <c r="AK23" s="24" t="n">
        <v>0.123837</v>
      </c>
      <c r="AL23" s="24" t="n">
        <v>0.126037</v>
      </c>
      <c r="AM23" s="24" t="n">
        <v>0.129737</v>
      </c>
      <c r="AN23" s="24" t="n">
        <v>0.130637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0.009516</v>
      </c>
      <c r="AD24" s="24" t="n">
        <v>0.143631</v>
      </c>
      <c r="AE24" s="25" t="n"/>
      <c r="AF24" s="24" t="n">
        <v>-0.172549</v>
      </c>
      <c r="AG24" s="24" t="n">
        <v>-0.244214</v>
      </c>
      <c r="AH24" s="24" t="n">
        <v>-0.026709</v>
      </c>
      <c r="AI24" s="24" t="n">
        <v>-0.022117</v>
      </c>
      <c r="AJ24" s="25" t="n"/>
      <c r="AK24" s="24" t="n">
        <v>-0.022117</v>
      </c>
      <c r="AL24" s="24" t="n">
        <v>0.01531</v>
      </c>
      <c r="AM24" s="24" t="n">
        <v>0.046812</v>
      </c>
      <c r="AN24" s="24" t="n">
        <v>0.054927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295.58</v>
      </c>
      <c r="AD25" s="29" t="n">
        <v>331.36</v>
      </c>
      <c r="AE25" s="30">
        <f>subQ!AE11</f>
        <v/>
      </c>
      <c r="AF25" s="29" t="n">
        <v>366.65</v>
      </c>
      <c r="AG25" s="29" t="n">
        <v>401.83</v>
      </c>
      <c r="AH25" s="29" t="n">
        <v>404.1</v>
      </c>
      <c r="AI25" s="29" t="n">
        <v>438.23</v>
      </c>
      <c r="AJ25" s="30">
        <f>subQ!AJ11</f>
        <v/>
      </c>
      <c r="AK25" s="29" t="n">
        <v>472.09</v>
      </c>
      <c r="AL25" s="29" t="n">
        <v>505.63</v>
      </c>
      <c r="AM25" s="29" t="n">
        <v>507.66</v>
      </c>
      <c r="AN25" s="29" t="n">
        <v>541.8200000000001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-0.07000000000000001</v>
      </c>
      <c r="AD27" s="29" t="n">
        <v>-0.07000000000000001</v>
      </c>
      <c r="AE27" s="30">
        <f>subQ!AE13</f>
        <v/>
      </c>
      <c r="AF27" s="29" t="n">
        <v>-0.07000000000000001</v>
      </c>
      <c r="AG27" s="29" t="n">
        <v>-0.07000000000000001</v>
      </c>
      <c r="AH27" s="29" t="n">
        <v>-0.07000000000000001</v>
      </c>
      <c r="AI27" s="29" t="n">
        <v>-0.07000000000000001</v>
      </c>
      <c r="AJ27" s="30">
        <f>subQ!AJ13</f>
        <v/>
      </c>
      <c r="AK27" s="29" t="n">
        <v>-0.07000000000000001</v>
      </c>
      <c r="AL27" s="29" t="n">
        <v>-0.07000000000000001</v>
      </c>
      <c r="AM27" s="29" t="n">
        <v>-0.07000000000000001</v>
      </c>
      <c r="AN27" s="29" t="n">
        <v>-0.07000000000000001</v>
      </c>
      <c r="AO27" s="30">
        <f>subQ!AO13</f>
        <v/>
      </c>
    </row>
    <row r="28">
      <c r="A28" s="12" t="inlineStr">
        <is>
          <t>drv:환관련손익</t>
        </is>
      </c>
      <c r="B28" s="2" t="inlineStr">
        <is>
          <t>abs</t>
        </is>
      </c>
      <c r="C28" t="inlineStr">
        <is>
          <t>환관련손익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132.71</v>
      </c>
      <c r="AD28" s="29" t="n">
        <v>-0</v>
      </c>
      <c r="AE28" s="30">
        <f>subQ!AE14</f>
        <v/>
      </c>
      <c r="AF28" s="29" t="n">
        <v>-0</v>
      </c>
      <c r="AG28" s="29" t="n">
        <v>-0</v>
      </c>
      <c r="AH28" s="29" t="n">
        <v>-0</v>
      </c>
      <c r="AI28" s="29" t="n">
        <v>-0</v>
      </c>
      <c r="AJ28" s="30">
        <f>subQ!AJ14</f>
        <v/>
      </c>
      <c r="AK28" s="29" t="n">
        <v>-0</v>
      </c>
      <c r="AL28" s="29" t="n">
        <v>-0</v>
      </c>
      <c r="AM28" s="29" t="n">
        <v>-0</v>
      </c>
      <c r="AN28" s="29" t="n">
        <v>-0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0.24494</v>
      </c>
      <c r="AD29" s="24" t="n">
        <v>0.244939</v>
      </c>
      <c r="AE29" s="25">
        <f>IFERROR(subQ!AE16/subQ!AE15,"")</f>
        <v/>
      </c>
      <c r="AF29" s="24" t="n">
        <v>0.24494</v>
      </c>
      <c r="AG29" s="24" t="n">
        <v>0.24494</v>
      </c>
      <c r="AH29" s="24" t="n">
        <v>0.24494</v>
      </c>
      <c r="AI29" s="24" t="n">
        <v>0.24494</v>
      </c>
      <c r="AJ29" s="25">
        <f>IFERROR(subQ!AJ16/subQ!AJ15,"")</f>
        <v/>
      </c>
      <c r="AK29" s="24" t="n">
        <v>0.244941</v>
      </c>
      <c r="AL29" s="24" t="n">
        <v>0.24494</v>
      </c>
      <c r="AM29" s="24" t="n">
        <v>0.244941</v>
      </c>
      <c r="AN29" s="24" t="n">
        <v>0.24494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0.0049</v>
      </c>
      <c r="AD32" s="29" t="n">
        <v>0</v>
      </c>
      <c r="AE32" s="30" t="n"/>
      <c r="AF32" s="29" t="n">
        <v>0</v>
      </c>
      <c r="AG32" s="29" t="n">
        <v>5940.24</v>
      </c>
      <c r="AH32" s="29" t="n">
        <v>0</v>
      </c>
      <c r="AI32" s="29" t="n">
        <v>0</v>
      </c>
      <c r="AJ32" s="30" t="n"/>
      <c r="AK32" s="29" t="n">
        <v>-0</v>
      </c>
      <c r="AL32" s="29" t="n">
        <v>5940.24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0.0023</v>
      </c>
      <c r="AD33" s="29" t="n">
        <v>0</v>
      </c>
      <c r="AE33" s="30" t="n"/>
      <c r="AF33" s="29" t="n">
        <v>0</v>
      </c>
      <c r="AG33" s="29" t="n">
        <v>5940.24</v>
      </c>
      <c r="AH33" s="29" t="n">
        <v>0</v>
      </c>
      <c r="AI33" s="29" t="n">
        <v>0</v>
      </c>
      <c r="AJ33" s="30" t="n"/>
      <c r="AK33" s="29" t="n">
        <v>0.01</v>
      </c>
      <c r="AL33" s="29" t="n">
        <v>5940.24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0.10999</v>
      </c>
      <c r="AD35" s="24" t="n">
        <v>0.09771000000000001</v>
      </c>
      <c r="AE35" s="25" t="n"/>
      <c r="AF35" s="24" t="n">
        <v>0.088757</v>
      </c>
      <c r="AG35" s="24" t="n">
        <v>0.005266</v>
      </c>
      <c r="AH35" s="24" t="n">
        <v>0.078666</v>
      </c>
      <c r="AI35" s="24" t="n">
        <v>0.072362</v>
      </c>
      <c r="AJ35" s="25" t="n"/>
      <c r="AK35" s="24" t="n">
        <v>0.06684900000000001</v>
      </c>
      <c r="AL35" s="24" t="n">
        <v>0.003781</v>
      </c>
      <c r="AM35" s="24" t="n">
        <v>0.063564</v>
      </c>
      <c r="AN35" s="24" t="n">
        <v>0.058741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0.100854</v>
      </c>
      <c r="AD36" s="24" t="n">
        <v>0.090337</v>
      </c>
      <c r="AE36" s="25" t="n"/>
      <c r="AF36" s="24" t="n">
        <v>0.08261499999999999</v>
      </c>
      <c r="AG36" s="24" t="n">
        <v>0.00493</v>
      </c>
      <c r="AH36" s="24" t="n">
        <v>0.07366200000000001</v>
      </c>
      <c r="AI36" s="24" t="n">
        <v>0.068075</v>
      </c>
      <c r="AJ36" s="25" t="n"/>
      <c r="AK36" s="24" t="n">
        <v>0.063141</v>
      </c>
      <c r="AL36" s="24" t="n">
        <v>0.003583</v>
      </c>
      <c r="AM36" s="24" t="n">
        <v>0.060259</v>
      </c>
      <c r="AN36" s="24" t="n">
        <v>0.05586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-0.485257</v>
      </c>
      <c r="AD42" s="24" t="n">
        <v>-0.573477</v>
      </c>
      <c r="AE42" s="25" t="n"/>
      <c r="AF42" s="24" t="n">
        <v>-0.457268</v>
      </c>
      <c r="AG42" s="24" t="n">
        <v>-0.307816</v>
      </c>
      <c r="AH42" s="24" t="n">
        <v>0.065204</v>
      </c>
      <c r="AI42" s="24" t="n">
        <v>0.141564</v>
      </c>
      <c r="AJ42" s="25" t="n"/>
      <c r="AK42" s="24" t="n">
        <v>0.107874</v>
      </c>
      <c r="AL42" s="24" t="n">
        <v>0.037058</v>
      </c>
      <c r="AM42" s="24" t="n">
        <v>0.024027</v>
      </c>
      <c r="AN42" s="24" t="n">
        <v>0.015855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-0.367347</v>
      </c>
      <c r="AD43" s="24" t="n">
        <v>-0.380488</v>
      </c>
      <c r="AE43" s="25" t="n"/>
      <c r="AF43" s="24" t="n">
        <v>-0.416801</v>
      </c>
      <c r="AG43" s="24" t="n">
        <v>-0.413681</v>
      </c>
      <c r="AH43" s="24" t="n">
        <v>-0.151365</v>
      </c>
      <c r="AI43" s="24" t="n">
        <v>-0.141732</v>
      </c>
      <c r="AJ43" s="25" t="n"/>
      <c r="AK43" s="24" t="n">
        <v>-0.132964</v>
      </c>
      <c r="AL43" s="24" t="n">
        <v>-0.133333</v>
      </c>
      <c r="AM43" s="24" t="n">
        <v>-0.125731</v>
      </c>
      <c r="AN43" s="24" t="n">
        <v>-0.122324</v>
      </c>
      <c r="AO43" s="25" t="n"/>
    </row>
    <row r="44">
      <c r="A44" s="12" t="inlineStr">
        <is>
          <t>drv:매출조선</t>
        </is>
      </c>
      <c r="B44" s="2" t="inlineStr">
        <is>
          <t>ratio</t>
        </is>
      </c>
      <c r="C44" t="inlineStr">
        <is>
          <t>매출조선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0.857841</v>
      </c>
      <c r="AD44" s="24" t="n">
        <v>0.858182</v>
      </c>
      <c r="AE44" s="25">
        <f>IFERROR(subQ!AE35/subQ!AE5,"")</f>
        <v/>
      </c>
      <c r="AF44" s="24" t="n">
        <v>0.857154</v>
      </c>
      <c r="AG44" s="24" t="n">
        <v>0.854985</v>
      </c>
      <c r="AH44" s="24" t="n">
        <v>0.855013</v>
      </c>
      <c r="AI44" s="24" t="n">
        <v>0.853306</v>
      </c>
      <c r="AJ44" s="25">
        <f>IFERROR(subQ!AJ35/subQ!AJ5,"")</f>
        <v/>
      </c>
      <c r="AK44" s="24" t="n">
        <v>0.851203</v>
      </c>
      <c r="AL44" s="24" t="n">
        <v>0.849672</v>
      </c>
      <c r="AM44" s="24" t="n">
        <v>0.846388</v>
      </c>
      <c r="AN44" s="24" t="n">
        <v>0.841755</v>
      </c>
      <c r="AO44" s="25">
        <f>IFERROR(subQ!AO35/subQ!AO5,"")</f>
        <v/>
      </c>
    </row>
    <row r="45">
      <c r="A45" s="12" t="inlineStr">
        <is>
          <t>drv:OP조선</t>
        </is>
      </c>
      <c r="B45" s="2" t="inlineStr">
        <is>
          <t>ratio</t>
        </is>
      </c>
      <c r="C45" t="inlineStr">
        <is>
          <t>OP조선 마진(/매출조선)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0.127337</v>
      </c>
      <c r="AD45" s="24" t="n">
        <v>0.126637</v>
      </c>
      <c r="AE45" s="25">
        <f>IFERROR(subQ!AE36/subQ!AE35,"")</f>
        <v/>
      </c>
      <c r="AF45" s="24" t="n">
        <v>0.126637</v>
      </c>
      <c r="AG45" s="24" t="n">
        <v>0.124137</v>
      </c>
      <c r="AH45" s="24" t="n">
        <v>0.123937</v>
      </c>
      <c r="AI45" s="24" t="n">
        <v>0.123837</v>
      </c>
      <c r="AJ45" s="25">
        <f>IFERROR(subQ!AJ36/subQ!AJ35,"")</f>
        <v/>
      </c>
      <c r="AK45" s="24" t="n">
        <v>0.123837</v>
      </c>
      <c r="AL45" s="24" t="n">
        <v>0.126037</v>
      </c>
      <c r="AM45" s="24" t="n">
        <v>0.129737</v>
      </c>
      <c r="AN45" s="24" t="n">
        <v>0.130637</v>
      </c>
      <c r="AO45" s="25">
        <f>IFERROR(subQ!AO36/subQ!AO35,"")</f>
        <v/>
      </c>
    </row>
    <row r="46">
      <c r="A46" s="12" t="inlineStr">
        <is>
          <t>drv:매출기타</t>
        </is>
      </c>
      <c r="B46" s="2" t="inlineStr">
        <is>
          <t>ratio</t>
        </is>
      </c>
      <c r="C46" t="inlineStr">
        <is>
          <t>매출기타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0.142159</v>
      </c>
      <c r="AD46" s="24" t="n">
        <v>0.141818</v>
      </c>
      <c r="AE46" s="25">
        <f>IFERROR(subQ!AE37/subQ!AE5,"")</f>
        <v/>
      </c>
      <c r="AF46" s="24" t="n">
        <v>0.142846</v>
      </c>
      <c r="AG46" s="24" t="n">
        <v>0.145015</v>
      </c>
      <c r="AH46" s="24" t="n">
        <v>0.144987</v>
      </c>
      <c r="AI46" s="24" t="n">
        <v>0.146694</v>
      </c>
      <c r="AJ46" s="25">
        <f>IFERROR(subQ!AJ37/subQ!AJ5,"")</f>
        <v/>
      </c>
      <c r="AK46" s="24" t="n">
        <v>0.148797</v>
      </c>
      <c r="AL46" s="24" t="n">
        <v>0.150328</v>
      </c>
      <c r="AM46" s="24" t="n">
        <v>0.153612</v>
      </c>
      <c r="AN46" s="24" t="n">
        <v>0.158245</v>
      </c>
      <c r="AO46" s="25">
        <f>IFERROR(subQ!AO37/subQ!AO5,"")</f>
        <v/>
      </c>
    </row>
    <row r="47">
      <c r="A47" s="12" t="inlineStr">
        <is>
          <t>drv:OP기타</t>
        </is>
      </c>
      <c r="B47" s="2" t="inlineStr">
        <is>
          <t>ratio</t>
        </is>
      </c>
      <c r="C47" t="inlineStr">
        <is>
          <t>OP기타 마진(/매출기타)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0.127337</v>
      </c>
      <c r="AD47" s="24" t="n">
        <v>0.126637</v>
      </c>
      <c r="AE47" s="25">
        <f>IFERROR(subQ!AE38/subQ!AE37,"")</f>
        <v/>
      </c>
      <c r="AF47" s="24" t="n">
        <v>0.126637</v>
      </c>
      <c r="AG47" s="24" t="n">
        <v>0.124137</v>
      </c>
      <c r="AH47" s="24" t="n">
        <v>0.123937</v>
      </c>
      <c r="AI47" s="24" t="n">
        <v>0.123837</v>
      </c>
      <c r="AJ47" s="25">
        <f>IFERROR(subQ!AJ38/subQ!AJ37,"")</f>
        <v/>
      </c>
      <c r="AK47" s="24" t="n">
        <v>0.123837</v>
      </c>
      <c r="AL47" s="24" t="n">
        <v>0.126037</v>
      </c>
      <c r="AM47" s="24" t="n">
        <v>0.129737</v>
      </c>
      <c r="AN47" s="24" t="n">
        <v>0.130637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430500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36.3배가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0.2449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0.0488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0.4197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4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4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4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4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4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4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4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4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4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4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4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4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4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4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4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4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4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4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4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4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4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4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4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4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4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4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4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4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4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4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4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4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4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4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4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4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4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4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4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4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4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4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4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4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4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4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4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4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4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4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4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4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4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4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4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4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4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4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4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4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4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4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4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4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4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4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4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4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4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4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4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4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4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4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4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4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4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4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4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399253.31</v>
      </c>
      <c r="U32" s="34" t="n">
        <v>399253.31</v>
      </c>
      <c r="V32" s="18" t="n">
        <v>405850.87</v>
      </c>
      <c r="W32" s="18" t="n">
        <v>357867.09</v>
      </c>
      <c r="X32" s="18" t="n">
        <v>263898.54</v>
      </c>
      <c r="Y32" s="18" t="n">
        <v>156966.8</v>
      </c>
      <c r="Z32" s="34" t="n">
        <v>156966.8</v>
      </c>
      <c r="AA32" s="18" t="n">
        <v>603939.45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655904.62</v>
      </c>
      <c r="T33" s="18" t="n">
        <v>399253.31</v>
      </c>
      <c r="U33" s="34" t="n">
        <v>399253.31</v>
      </c>
      <c r="V33" s="18" t="n">
        <v>405850.87</v>
      </c>
      <c r="W33" s="18" t="n">
        <v>357867.09</v>
      </c>
      <c r="X33" s="18" t="n">
        <v>263898.54</v>
      </c>
      <c r="Y33" s="18" t="n">
        <v>156966.8</v>
      </c>
      <c r="Z33" s="34" t="n">
        <v>156966.8</v>
      </c>
      <c r="AA33" s="18" t="n">
        <v>603939.45</v>
      </c>
      <c r="AB33" s="19" t="n">
        <v>523403.57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8383.440000000001</v>
      </c>
      <c r="H34" s="18" t="n">
        <v>8261.68</v>
      </c>
      <c r="I34" s="18" t="n">
        <v>7741.63</v>
      </c>
      <c r="J34" s="18" t="n">
        <v>13173.65</v>
      </c>
      <c r="K34" s="34" t="n">
        <v>13173.65</v>
      </c>
      <c r="L34" s="18" t="n">
        <v>13810.58</v>
      </c>
      <c r="M34" s="18" t="n">
        <v>13459.48</v>
      </c>
      <c r="N34" s="18" t="n">
        <v>12756.53</v>
      </c>
      <c r="O34" s="18" t="n">
        <v>12077.2</v>
      </c>
      <c r="P34" s="34" t="n">
        <v>12077.2</v>
      </c>
      <c r="Q34" s="18" t="n">
        <v>13438.8</v>
      </c>
      <c r="R34" s="18" t="n">
        <v>12797.16</v>
      </c>
      <c r="S34" s="18" t="n">
        <v>12460.62</v>
      </c>
      <c r="T34" s="18" t="n">
        <v>13192.17</v>
      </c>
      <c r="U34" s="34" t="n">
        <v>13192.17</v>
      </c>
      <c r="V34" s="18" t="n">
        <v>12996.89</v>
      </c>
      <c r="W34" s="18" t="n">
        <v>12154.09</v>
      </c>
      <c r="X34" s="18" t="n">
        <v>12640.64</v>
      </c>
      <c r="Y34" s="18" t="n">
        <v>16149.94</v>
      </c>
      <c r="Z34" s="34" t="n">
        <v>16149.94</v>
      </c>
      <c r="AA34" s="18" t="n">
        <v>17894.8</v>
      </c>
      <c r="AB34" s="19" t="n">
        <v>15474.01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22656.07</v>
      </c>
      <c r="H35" s="18" t="n">
        <v>23970.65</v>
      </c>
      <c r="I35" s="18" t="n">
        <v>23861.68</v>
      </c>
      <c r="J35" s="18" t="n">
        <v>44451.13</v>
      </c>
      <c r="K35" s="34" t="n">
        <v>44451.13</v>
      </c>
      <c r="L35" s="18" t="n">
        <v>43378.48</v>
      </c>
      <c r="M35" s="18" t="n">
        <v>42060.67</v>
      </c>
      <c r="N35" s="18" t="n">
        <v>39347.47</v>
      </c>
      <c r="O35" s="18" t="n">
        <v>39086.56</v>
      </c>
      <c r="P35" s="34" t="n">
        <v>39086.56</v>
      </c>
      <c r="Q35" s="18" t="n">
        <v>39635.57</v>
      </c>
      <c r="R35" s="18" t="n">
        <v>36167.96</v>
      </c>
      <c r="S35" s="18" t="n">
        <v>33570.55</v>
      </c>
      <c r="T35" s="18" t="n">
        <v>33322.41</v>
      </c>
      <c r="U35" s="34" t="n">
        <v>33322.41</v>
      </c>
      <c r="V35" s="18" t="n">
        <v>30061.15</v>
      </c>
      <c r="W35" s="18" t="n">
        <v>25806.24</v>
      </c>
      <c r="X35" s="18" t="n">
        <v>25331.7</v>
      </c>
      <c r="Y35" s="18" t="n">
        <v>36743.75</v>
      </c>
      <c r="Z35" s="34" t="n">
        <v>36743.75</v>
      </c>
      <c r="AA35" s="18" t="n">
        <v>38333.83</v>
      </c>
      <c r="AB35" s="19" t="n">
        <v>34393.17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221007.97</v>
      </c>
      <c r="H36" s="18" t="n">
        <v>451273.81</v>
      </c>
      <c r="I36" s="18" t="n">
        <v>977948.2</v>
      </c>
      <c r="J36" s="18" t="n">
        <v>387951.37</v>
      </c>
      <c r="K36" s="34" t="n">
        <v>387951.37</v>
      </c>
      <c r="L36" s="18" t="n">
        <v>463222.6</v>
      </c>
      <c r="M36" s="18" t="n">
        <v>493399.85</v>
      </c>
      <c r="N36" s="18" t="n">
        <v>593946.6</v>
      </c>
      <c r="O36" s="18" t="n">
        <v>368273.04</v>
      </c>
      <c r="P36" s="34" t="n">
        <v>368273.04</v>
      </c>
      <c r="Q36" s="18" t="n">
        <v>587376.37</v>
      </c>
      <c r="R36" s="18" t="n">
        <v>716883.5</v>
      </c>
      <c r="S36" s="18" t="n">
        <v>420550.32</v>
      </c>
      <c r="T36" s="18" t="n">
        <v>1114641.08</v>
      </c>
      <c r="U36" s="34" t="n">
        <v>1114641.08</v>
      </c>
      <c r="V36" s="18" t="n">
        <v>874290.74</v>
      </c>
      <c r="W36" s="18" t="n">
        <v>355693.78</v>
      </c>
      <c r="X36" s="18" t="n">
        <v>459757.86</v>
      </c>
      <c r="Y36" s="18" t="n">
        <v>700194.24</v>
      </c>
      <c r="Z36" s="34" t="n">
        <v>700194.24</v>
      </c>
      <c r="AA36" s="18" t="n">
        <v>1216731.81</v>
      </c>
      <c r="AB36" s="19" t="n">
        <v>1451807.7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1745928.95</v>
      </c>
      <c r="F37" s="34" t="n">
        <v>1745928.95</v>
      </c>
      <c r="G37" s="18" t="n">
        <v>1683830.73</v>
      </c>
      <c r="H37" s="18" t="n">
        <v>1646145.33</v>
      </c>
      <c r="I37" s="18" t="n">
        <v>1778423.28</v>
      </c>
      <c r="J37" s="18" t="n">
        <v>1573600.24</v>
      </c>
      <c r="K37" s="34" t="n">
        <v>1573600.24</v>
      </c>
      <c r="L37" s="18" t="n">
        <v>2048249.54</v>
      </c>
      <c r="M37" s="18" t="n">
        <v>1959883.69</v>
      </c>
      <c r="N37" s="18" t="n">
        <v>1873190.64</v>
      </c>
      <c r="O37" s="18" t="n">
        <v>2024927.96</v>
      </c>
      <c r="P37" s="34" t="n">
        <v>2024927.96</v>
      </c>
      <c r="Q37" s="18" t="n">
        <v>2089368.6</v>
      </c>
      <c r="R37" s="18" t="n">
        <v>2125587.47</v>
      </c>
      <c r="S37" s="18" t="n">
        <v>2162037.93</v>
      </c>
      <c r="T37" s="18" t="n">
        <v>2310897.49</v>
      </c>
      <c r="U37" s="34" t="n">
        <v>2310897.49</v>
      </c>
      <c r="V37" s="18" t="n">
        <v>2392256.42</v>
      </c>
      <c r="W37" s="18" t="n">
        <v>2248744.32</v>
      </c>
      <c r="X37" s="18" t="n">
        <v>2223546.29</v>
      </c>
      <c r="Y37" s="18" t="n">
        <v>3294779.52</v>
      </c>
      <c r="Z37" s="34" t="n">
        <v>3294779.52</v>
      </c>
      <c r="AA37" s="18" t="n">
        <v>3541524.6</v>
      </c>
      <c r="AB37" s="19" t="n">
        <v>3547797.37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3728042.33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6019828.2</v>
      </c>
      <c r="R38" s="18" t="n">
        <v>6661910.76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180445.8</v>
      </c>
      <c r="P39" s="34" t="n">
        <v>180445.8</v>
      </c>
      <c r="Q39" s="18" t="n">
        <v>236344.54</v>
      </c>
      <c r="R39" s="18" t="n">
        <v>267073.39</v>
      </c>
      <c r="S39" s="18" t="n">
        <v>238391.09</v>
      </c>
      <c r="T39" s="18" t="n">
        <v>247337.77</v>
      </c>
      <c r="U39" s="34" t="n">
        <v>247337.77</v>
      </c>
      <c r="V39" s="18" t="n">
        <v>256530.1</v>
      </c>
      <c r="W39" s="18" t="n">
        <v>281851.08</v>
      </c>
      <c r="X39" s="18" t="n">
        <v>280589.43</v>
      </c>
      <c r="Y39" s="18" t="n">
        <v>333747.01</v>
      </c>
      <c r="Z39" s="34" t="n">
        <v>333747.01</v>
      </c>
      <c r="AA39" s="18" t="n">
        <v>345286.84</v>
      </c>
      <c r="AB39" s="19" t="n">
        <v>355465.35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2119784.99</v>
      </c>
      <c r="H41" s="18" t="n">
        <v>2064664.66</v>
      </c>
      <c r="I41" s="18" t="n">
        <v>2936892.72</v>
      </c>
      <c r="J41" s="18" t="n">
        <v>1929574.38</v>
      </c>
      <c r="K41" s="34" t="n">
        <v>1929574.38</v>
      </c>
      <c r="L41" s="18" t="n">
        <v>2002224.45</v>
      </c>
      <c r="M41" s="18" t="n">
        <v>2506244.58</v>
      </c>
      <c r="N41" s="18" t="n">
        <v>2400876.85</v>
      </c>
      <c r="O41" s="18" t="n">
        <v>1981150.31</v>
      </c>
      <c r="P41" s="34" t="n">
        <v>1981150.31</v>
      </c>
      <c r="Q41" s="18" t="n">
        <v>1820248.69</v>
      </c>
      <c r="R41" s="18" t="n">
        <v>1857096.55</v>
      </c>
      <c r="S41" s="18" t="n">
        <v>1190233.2</v>
      </c>
      <c r="T41" s="18" t="n">
        <v>1890282.45</v>
      </c>
      <c r="U41" s="34" t="n">
        <v>1890282.45</v>
      </c>
      <c r="V41" s="18" t="n">
        <v>1828864.19</v>
      </c>
      <c r="W41" s="18" t="n">
        <v>1000139.31</v>
      </c>
      <c r="X41" s="18" t="n">
        <v>1160357.29</v>
      </c>
      <c r="Y41" s="18" t="n">
        <v>1488838.35</v>
      </c>
      <c r="Z41" s="34" t="n">
        <v>1488838.35</v>
      </c>
      <c r="AA41" s="18" t="n">
        <v>1529094</v>
      </c>
      <c r="AB41" s="19" t="n">
        <v>1552167.96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1259450.25</v>
      </c>
      <c r="J42" s="18" t="n">
        <v>1159024.16</v>
      </c>
      <c r="K42" s="34" t="n">
        <v>1159024.16</v>
      </c>
      <c r="L42" s="18" t="n">
        <v>1245710</v>
      </c>
      <c r="M42" s="18" t="n">
        <v>1799094.69</v>
      </c>
      <c r="N42" s="18" t="n">
        <v>1611871.04</v>
      </c>
      <c r="O42" s="18" t="n">
        <v>1568942.82</v>
      </c>
      <c r="P42" s="34" t="n">
        <v>1568942.82</v>
      </c>
      <c r="Q42" s="18" t="n">
        <v>1335593.75</v>
      </c>
      <c r="R42" s="18" t="n">
        <v>1215680.26</v>
      </c>
      <c r="S42" s="18" t="n">
        <v>809134.1899999999</v>
      </c>
      <c r="T42" s="18" t="n">
        <v>751605.74</v>
      </c>
      <c r="U42" s="34" t="n">
        <v>751605.74</v>
      </c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1259450.25</v>
      </c>
      <c r="J43" s="18" t="n">
        <v>1159024.16</v>
      </c>
      <c r="K43" s="34" t="n">
        <v>1159024.16</v>
      </c>
      <c r="L43" s="18" t="n">
        <v>1245710</v>
      </c>
      <c r="M43" s="18" t="n">
        <v>1799094.69</v>
      </c>
      <c r="N43" s="18" t="n">
        <v>1611871.04</v>
      </c>
      <c r="O43" s="18" t="n">
        <v>1568942.82</v>
      </c>
      <c r="P43" s="34" t="n">
        <v>1568942.82</v>
      </c>
      <c r="Q43" s="18" t="n">
        <v>1335593.75</v>
      </c>
      <c r="R43" s="18" t="n">
        <v>1215680.26</v>
      </c>
      <c r="S43" s="18" t="n">
        <v>809134.1899999999</v>
      </c>
      <c r="T43" s="18" t="n">
        <v>751605.74</v>
      </c>
      <c r="U43" s="34" t="n">
        <v>751605.74</v>
      </c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14272.63</v>
      </c>
      <c r="H44" s="18" t="n">
        <v>15708.97</v>
      </c>
      <c r="I44" s="18" t="n">
        <v>16120.05</v>
      </c>
      <c r="J44" s="18" t="n">
        <v>31277.48</v>
      </c>
      <c r="K44" s="34" t="n">
        <v>31277.48</v>
      </c>
      <c r="L44" s="18" t="n">
        <v>29567.9</v>
      </c>
      <c r="M44" s="18" t="n">
        <v>28601.19</v>
      </c>
      <c r="N44" s="18" t="n">
        <v>26590.94</v>
      </c>
      <c r="O44" s="18" t="n">
        <v>27009.36</v>
      </c>
      <c r="P44" s="34" t="n">
        <v>27009.36</v>
      </c>
      <c r="Q44" s="18" t="n">
        <v>26196.77</v>
      </c>
      <c r="R44" s="18" t="n">
        <v>23370.8</v>
      </c>
      <c r="S44" s="18" t="n">
        <v>21109.93</v>
      </c>
      <c r="T44" s="18" t="n">
        <v>20130.24</v>
      </c>
      <c r="U44" s="34" t="n">
        <v>20130.24</v>
      </c>
      <c r="V44" s="18" t="n">
        <v>17064.26</v>
      </c>
      <c r="W44" s="18" t="n">
        <v>13652.15</v>
      </c>
      <c r="X44" s="18" t="n">
        <v>12691.06</v>
      </c>
      <c r="Y44" s="18" t="n">
        <v>20593.81</v>
      </c>
      <c r="Z44" s="34" t="n">
        <v>20593.81</v>
      </c>
      <c r="AA44" s="18" t="n">
        <v>20439.03</v>
      </c>
      <c r="AB44" s="19" t="n">
        <v>18919.16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169575.13</v>
      </c>
      <c r="H45" s="18" t="n">
        <v>526040.46</v>
      </c>
      <c r="I45" s="18" t="n">
        <v>1310729.11</v>
      </c>
      <c r="J45" s="18" t="n">
        <v>451407.02</v>
      </c>
      <c r="K45" s="34" t="n">
        <v>451407.02</v>
      </c>
      <c r="L45" s="18" t="n">
        <v>470853.59</v>
      </c>
      <c r="M45" s="18" t="n">
        <v>400464</v>
      </c>
      <c r="N45" s="18" t="n">
        <v>473892.22</v>
      </c>
      <c r="O45" s="18" t="n">
        <v>315039.59</v>
      </c>
      <c r="P45" s="34" t="n">
        <v>315039.59</v>
      </c>
      <c r="Q45" s="18" t="n">
        <v>382663.31</v>
      </c>
      <c r="R45" s="18" t="n">
        <v>529489.36</v>
      </c>
      <c r="S45" s="18" t="n">
        <v>259102.52</v>
      </c>
      <c r="T45" s="18" t="n">
        <v>1014637.26</v>
      </c>
      <c r="U45" s="34" t="n">
        <v>1014637.26</v>
      </c>
      <c r="V45" s="18" t="n">
        <v>1012318.5</v>
      </c>
      <c r="W45" s="18" t="n">
        <v>407508.69</v>
      </c>
      <c r="X45" s="18" t="n">
        <v>550271.7</v>
      </c>
      <c r="Y45" s="18" t="n">
        <v>852644.37</v>
      </c>
      <c r="Z45" s="34" t="n">
        <v>852644.37</v>
      </c>
      <c r="AA45" s="18" t="n">
        <v>1374536.46</v>
      </c>
      <c r="AB45" s="19" t="n">
        <v>1394360.71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4170.42</v>
      </c>
      <c r="S46" s="18" t="n">
        <v>4974.65</v>
      </c>
      <c r="T46" s="18" t="n">
        <v>8909.030000000001</v>
      </c>
      <c r="U46" s="34" t="n">
        <v>8909.030000000001</v>
      </c>
      <c r="V46" s="18" t="n">
        <v>10280.47</v>
      </c>
      <c r="W46" s="18" t="n">
        <v>11424.25</v>
      </c>
      <c r="X46" s="18" t="n">
        <v>12674.93</v>
      </c>
      <c r="Y46" s="18" t="n">
        <v>16148.02</v>
      </c>
      <c r="Z46" s="34" t="n">
        <v>16148.02</v>
      </c>
      <c r="AA46" s="18" t="n">
        <v>18711.05</v>
      </c>
      <c r="AB46" s="19" t="n">
        <v>19959.74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28471.37</v>
      </c>
      <c r="M47" s="18" t="n">
        <v>28491.73</v>
      </c>
      <c r="N47" s="18" t="n">
        <v>28514.73</v>
      </c>
      <c r="O47" s="18" t="n">
        <v>31630.73</v>
      </c>
      <c r="P47" s="34" t="n">
        <v>31630.73</v>
      </c>
      <c r="Q47" s="18" t="n">
        <v>31672.21</v>
      </c>
      <c r="R47" s="18" t="n">
        <v>31721.88</v>
      </c>
      <c r="S47" s="18" t="n">
        <v>31773.89</v>
      </c>
      <c r="T47" s="18" t="n">
        <v>33647.53</v>
      </c>
      <c r="U47" s="34" t="n">
        <v>33647.53</v>
      </c>
      <c r="V47" s="18" t="n">
        <v>26254.58</v>
      </c>
      <c r="W47" s="18" t="n">
        <v>26353.6</v>
      </c>
      <c r="X47" s="18" t="n">
        <v>26494.22</v>
      </c>
      <c r="Y47" s="18" t="n">
        <v>31153.15</v>
      </c>
      <c r="Z47" s="34" t="n">
        <v>31153.15</v>
      </c>
      <c r="AA47" s="18" t="n">
        <v>31153.15</v>
      </c>
      <c r="AB47" s="19" t="n">
        <v>31206.27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279748.7</v>
      </c>
      <c r="K48" s="34" t="n">
        <v>279748.7</v>
      </c>
      <c r="L48" s="18" t="n">
        <v>246317.72</v>
      </c>
      <c r="M48" s="18" t="n">
        <v>267195.68</v>
      </c>
      <c r="N48" s="18" t="n">
        <v>275578.73</v>
      </c>
      <c r="O48" s="18" t="n">
        <v>51468.15</v>
      </c>
      <c r="P48" s="34" t="n">
        <v>51468.15</v>
      </c>
      <c r="Q48" s="18" t="n">
        <v>57144.46</v>
      </c>
      <c r="R48" s="18" t="n">
        <v>65897.66</v>
      </c>
      <c r="S48" s="18" t="n">
        <v>75181.58</v>
      </c>
      <c r="T48" s="18" t="n">
        <v>71487.14</v>
      </c>
      <c r="U48" s="34" t="n">
        <v>71487.14</v>
      </c>
      <c r="V48" s="18" t="n">
        <v>84357.35000000001</v>
      </c>
      <c r="W48" s="18" t="n">
        <v>80212.96000000001</v>
      </c>
      <c r="X48" s="18" t="n">
        <v>82584.45</v>
      </c>
      <c r="Y48" s="18" t="n">
        <v>90049.59</v>
      </c>
      <c r="Z48" s="34" t="n">
        <v>90049.59</v>
      </c>
      <c r="AA48" s="18" t="n">
        <v>94310.06</v>
      </c>
      <c r="AB48" s="19" t="n">
        <v>96333.50999999999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9484646.539999999</v>
      </c>
      <c r="F50" s="34" t="n">
        <v>9484646.539999999</v>
      </c>
      <c r="G50" s="18" t="n">
        <v>9606699.380000001</v>
      </c>
      <c r="H50" s="18" t="n">
        <v>10839077.2</v>
      </c>
      <c r="I50" s="18" t="n">
        <v>12431933.48</v>
      </c>
      <c r="J50" s="18" t="n">
        <v>11001578.57</v>
      </c>
      <c r="K50" s="34" t="n">
        <v>11001578.57</v>
      </c>
      <c r="L50" s="18" t="n">
        <v>11719986.23</v>
      </c>
      <c r="M50" s="18" t="n">
        <v>11952443.09</v>
      </c>
      <c r="N50" s="18" t="n">
        <v>12676814.18</v>
      </c>
      <c r="O50" s="18" t="n">
        <v>11926177.8</v>
      </c>
      <c r="P50" s="34" t="n">
        <v>11926177.8</v>
      </c>
      <c r="Q50" s="18" t="n">
        <v>12197293.8</v>
      </c>
      <c r="R50" s="18" t="n">
        <v>12316102.26</v>
      </c>
      <c r="S50" s="18" t="n">
        <v>11395494.37</v>
      </c>
      <c r="T50" s="18" t="n">
        <v>13686498.25</v>
      </c>
      <c r="U50" s="34" t="n">
        <v>13686498.25</v>
      </c>
      <c r="V50" s="18" t="n">
        <v>15098481.88</v>
      </c>
      <c r="W50" s="18" t="n">
        <v>13558714.92</v>
      </c>
      <c r="X50" s="18" t="n">
        <v>14328614.65</v>
      </c>
      <c r="Y50" s="18" t="n">
        <v>16821424.44</v>
      </c>
      <c r="Z50" s="34" t="n">
        <v>16821424.44</v>
      </c>
      <c r="AA50" s="18" t="n">
        <v>17863950.34</v>
      </c>
      <c r="AB50" s="19" t="n">
        <v>18829229.04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3122805.17</v>
      </c>
      <c r="O52" s="18" t="n">
        <v>3123227.19</v>
      </c>
      <c r="P52" s="34" t="n">
        <v>3123227.19</v>
      </c>
      <c r="Q52" s="18" t="n">
        <v>3122522.7</v>
      </c>
      <c r="R52" s="18" t="n">
        <v>3122522.7</v>
      </c>
      <c r="S52" s="18" t="n">
        <v>3122522.7</v>
      </c>
      <c r="T52" s="18" t="n">
        <v>3122522.7</v>
      </c>
      <c r="U52" s="34" t="n">
        <v>3122522.7</v>
      </c>
      <c r="V52" s="18" t="n">
        <v>3122522.77</v>
      </c>
      <c r="W52" s="18" t="n">
        <v>3122522.77</v>
      </c>
      <c r="X52" s="18" t="n">
        <v>3122522.77</v>
      </c>
      <c r="Y52" s="18" t="n">
        <v>5129601.24</v>
      </c>
      <c r="Z52" s="34" t="n">
        <v>5129601.24</v>
      </c>
      <c r="AA52" s="18" t="n">
        <v>5129601.24</v>
      </c>
      <c r="AB52" s="19" t="n">
        <v>5129601.24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-1642.93</v>
      </c>
      <c r="H53" s="18" t="n">
        <v>-1642.93</v>
      </c>
      <c r="I53" s="18" t="n">
        <v>-1642.93</v>
      </c>
      <c r="J53" s="18" t="n">
        <v>-1642.93</v>
      </c>
      <c r="K53" s="34" t="n">
        <v>-1642.93</v>
      </c>
      <c r="L53" s="18" t="n">
        <v>-1642.93</v>
      </c>
      <c r="M53" s="18" t="n">
        <v>-1642.93</v>
      </c>
      <c r="N53" s="18" t="n">
        <v>-1642.93</v>
      </c>
      <c r="O53" s="18" t="n">
        <v>-1642.93</v>
      </c>
      <c r="P53" s="34" t="n">
        <v>-1642.93</v>
      </c>
      <c r="Q53" s="18" t="n">
        <v>-1642.93</v>
      </c>
      <c r="R53" s="18" t="n">
        <v>-1642.93</v>
      </c>
      <c r="S53" s="18" t="n">
        <v>-1642.93</v>
      </c>
      <c r="T53" s="18" t="n">
        <v>-1642.93</v>
      </c>
      <c r="U53" s="34" t="n">
        <v>-1642.93</v>
      </c>
      <c r="V53" s="18" t="n">
        <v>-1642.93</v>
      </c>
      <c r="W53" s="18" t="n">
        <v>-1642.93</v>
      </c>
      <c r="X53" s="18" t="n">
        <v>-1642.93</v>
      </c>
      <c r="Y53" s="18" t="n">
        <v>-42928.72</v>
      </c>
      <c r="Z53" s="34" t="n">
        <v>-42928.72</v>
      </c>
      <c r="AA53" s="18" t="n">
        <v>-42928.72</v>
      </c>
      <c r="AB53" s="19" t="n">
        <v>-42928.72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881487.62</v>
      </c>
      <c r="F54" s="34" t="n">
        <v>881487.62</v>
      </c>
      <c r="G54" s="18" t="n">
        <v>881507.22</v>
      </c>
      <c r="H54" s="18" t="n">
        <v>881866.16</v>
      </c>
      <c r="I54" s="18" t="n">
        <v>883762.8199999999</v>
      </c>
      <c r="J54" s="18" t="n">
        <v>881829.1</v>
      </c>
      <c r="K54" s="34" t="n">
        <v>881829.1</v>
      </c>
      <c r="L54" s="18" t="n">
        <v>877983.16</v>
      </c>
      <c r="M54" s="18" t="n">
        <v>874488.25</v>
      </c>
      <c r="N54" s="18" t="n">
        <v>871926.75</v>
      </c>
      <c r="O54" s="18" t="n">
        <v>869146.27</v>
      </c>
      <c r="P54" s="34" t="n">
        <v>869146.27</v>
      </c>
      <c r="Q54" s="18" t="n">
        <v>851704.15</v>
      </c>
      <c r="R54" s="18" t="n">
        <v>850314.48</v>
      </c>
      <c r="S54" s="18" t="n">
        <v>856150.95</v>
      </c>
      <c r="T54" s="18" t="n">
        <v>851361.41</v>
      </c>
      <c r="U54" s="34" t="n">
        <v>851361.41</v>
      </c>
      <c r="V54" s="18" t="n">
        <v>854282.64</v>
      </c>
      <c r="W54" s="18" t="n">
        <v>1020031.72</v>
      </c>
      <c r="X54" s="18" t="n">
        <v>1019854.75</v>
      </c>
      <c r="Y54" s="18" t="n">
        <v>1336277.09</v>
      </c>
      <c r="Z54" s="34" t="n">
        <v>1336277.09</v>
      </c>
      <c r="AA54" s="18" t="n">
        <v>1352752.33</v>
      </c>
      <c r="AB54" s="19" t="n">
        <v>1360248.69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1151717.79</v>
      </c>
      <c r="F55" s="34" t="n">
        <v>1151717.79</v>
      </c>
      <c r="G55" s="18" t="n">
        <v>1008855.63</v>
      </c>
      <c r="H55" s="18" t="n">
        <v>943342.73</v>
      </c>
      <c r="I55" s="18" t="n">
        <v>993725.98</v>
      </c>
      <c r="J55" s="18" t="n">
        <v>845402.77</v>
      </c>
      <c r="K55" s="34" t="n">
        <v>845402.77</v>
      </c>
      <c r="L55" s="18" t="n">
        <v>824971.61</v>
      </c>
      <c r="M55" s="18" t="n">
        <v>849037.5699999999</v>
      </c>
      <c r="N55" s="18" t="n">
        <v>839210.38</v>
      </c>
      <c r="O55" s="18" t="n">
        <v>772843.97</v>
      </c>
      <c r="P55" s="34" t="n">
        <v>772843.97</v>
      </c>
      <c r="Q55" s="18" t="n">
        <v>813165.59</v>
      </c>
      <c r="R55" s="18" t="n">
        <v>967275.1</v>
      </c>
      <c r="S55" s="18" t="n">
        <v>1039472.84</v>
      </c>
      <c r="T55" s="18" t="n">
        <v>1288341.19</v>
      </c>
      <c r="U55" s="34" t="n">
        <v>1288341.19</v>
      </c>
      <c r="V55" s="18" t="n">
        <v>1387035.78</v>
      </c>
      <c r="W55" s="18" t="n">
        <v>1597947.08</v>
      </c>
      <c r="X55" s="18" t="n">
        <v>1880397.8</v>
      </c>
      <c r="Y55" s="18" t="n">
        <v>2393864.23</v>
      </c>
      <c r="Z55" s="34" t="n">
        <v>2393864.23</v>
      </c>
      <c r="AA55" s="18" t="n">
        <v>2749005.85</v>
      </c>
      <c r="AB55" s="19" t="n">
        <v>3571148.9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5594024.95</v>
      </c>
      <c r="F56" s="34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4" t="n">
        <v>5287819.49</v>
      </c>
      <c r="L56" s="18" t="n">
        <v>5263585.87</v>
      </c>
      <c r="M56" s="18" t="n">
        <v>5288884.17</v>
      </c>
      <c r="N56" s="18" t="n">
        <v>5276165.58</v>
      </c>
      <c r="O56" s="18" t="n">
        <v>5207440.31</v>
      </c>
      <c r="P56" s="34" t="n">
        <v>5207440.31</v>
      </c>
      <c r="Q56" s="18" t="n">
        <v>5229615.06</v>
      </c>
      <c r="R56" s="18" t="n">
        <v>5382335.17</v>
      </c>
      <c r="S56" s="18" t="n">
        <v>5460369.69</v>
      </c>
      <c r="T56" s="18" t="n">
        <v>5704448.5</v>
      </c>
      <c r="U56" s="34" t="n">
        <v>5704448.5</v>
      </c>
      <c r="V56" s="18" t="n">
        <v>5806064.22</v>
      </c>
      <c r="W56" s="18" t="n">
        <v>6182724.55</v>
      </c>
      <c r="X56" s="18" t="n">
        <v>6464998.15</v>
      </c>
      <c r="Y56" s="18" t="n">
        <v>9341620.1</v>
      </c>
      <c r="Z56" s="34" t="n">
        <v>9341620.1</v>
      </c>
      <c r="AA56" s="18" t="n">
        <v>9713237.01</v>
      </c>
      <c r="AB56" s="19" t="n">
        <v>10542876.49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15078671.49</v>
      </c>
      <c r="F57" s="34" t="n">
        <v>15078671.49</v>
      </c>
      <c r="G57" s="18" t="n">
        <v>15057649.84</v>
      </c>
      <c r="H57" s="18" t="n">
        <v>16224873.7</v>
      </c>
      <c r="I57" s="18" t="n">
        <v>17870009.9</v>
      </c>
      <c r="J57" s="18" t="n">
        <v>16289398.05</v>
      </c>
      <c r="K57" s="34" t="n">
        <v>16289398.05</v>
      </c>
      <c r="L57" s="18" t="n">
        <v>16983572.1</v>
      </c>
      <c r="M57" s="18" t="n">
        <v>17241327.26</v>
      </c>
      <c r="N57" s="18" t="n">
        <v>17952979.76</v>
      </c>
      <c r="O57" s="18" t="n">
        <v>17133618.11</v>
      </c>
      <c r="P57" s="34" t="n">
        <v>17133618.11</v>
      </c>
      <c r="Q57" s="18" t="n">
        <v>17426908.86</v>
      </c>
      <c r="R57" s="18" t="n">
        <v>17698437.43</v>
      </c>
      <c r="S57" s="18" t="n">
        <v>16855864.06</v>
      </c>
      <c r="T57" s="18" t="n">
        <v>19390946.75</v>
      </c>
      <c r="U57" s="34" t="n">
        <v>19390946.75</v>
      </c>
      <c r="V57" s="18" t="n">
        <v>20904546.09</v>
      </c>
      <c r="W57" s="18" t="n">
        <v>19741439.47</v>
      </c>
      <c r="X57" s="18" t="n">
        <v>20793612.8</v>
      </c>
      <c r="Y57" s="18" t="n">
        <v>26163044.54</v>
      </c>
      <c r="Z57" s="34" t="n">
        <v>26163044.54</v>
      </c>
      <c r="AA57" s="18" t="n">
        <v>27577187.36</v>
      </c>
      <c r="AB57" s="19" t="n">
        <v>29372105.53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5594024.95</v>
      </c>
      <c r="F58" s="34" t="n">
        <v>5594024.95</v>
      </c>
      <c r="G58" s="18" t="n">
        <v>5450950.46</v>
      </c>
      <c r="H58" s="18" t="n">
        <v>5385796.5</v>
      </c>
      <c r="I58" s="18" t="n">
        <v>5438076.42</v>
      </c>
      <c r="J58" s="18" t="n">
        <v>5287819.49</v>
      </c>
      <c r="K58" s="34" t="n">
        <v>5287819.49</v>
      </c>
      <c r="L58" s="18" t="n">
        <v>5263542.38</v>
      </c>
      <c r="M58" s="18" t="n">
        <v>5288845.56</v>
      </c>
      <c r="N58" s="18" t="n">
        <v>5276164.95</v>
      </c>
      <c r="O58" s="18" t="n">
        <v>5207440.08</v>
      </c>
      <c r="P58" s="34" t="n">
        <v>5207440.08</v>
      </c>
      <c r="Q58" s="18" t="n">
        <v>5229615.09</v>
      </c>
      <c r="R58" s="18" t="n">
        <v>5382334.94</v>
      </c>
      <c r="S58" s="18" t="n">
        <v>5460369.14</v>
      </c>
      <c r="T58" s="18" t="n">
        <v>5704447.95</v>
      </c>
      <c r="U58" s="34" t="n">
        <v>5704447.95</v>
      </c>
      <c r="V58" s="18" t="n">
        <v>5806063.84</v>
      </c>
      <c r="W58" s="18" t="n">
        <v>6182724.22</v>
      </c>
      <c r="X58" s="18" t="n">
        <v>6464997.97</v>
      </c>
      <c r="Y58" s="18" t="n">
        <v>9341619.960000001</v>
      </c>
      <c r="Z58" s="34" t="n">
        <v>9341619.960000001</v>
      </c>
      <c r="AA58" s="18" t="n">
        <v>9713236.83</v>
      </c>
      <c r="AB58" s="19" t="n">
        <v>10542876.23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3389811</v>
      </c>
      <c r="J59" s="18" t="n">
        <v>2603656.33</v>
      </c>
      <c r="K59" s="34" t="n">
        <v>2603656.33</v>
      </c>
      <c r="L59" s="18" t="n">
        <v>2774484.19</v>
      </c>
      <c r="M59" s="18" t="n">
        <v>3200739.5</v>
      </c>
      <c r="N59" s="18" t="n">
        <v>3352917.27</v>
      </c>
      <c r="O59" s="18" t="n">
        <v>3128973.49</v>
      </c>
      <c r="P59" s="34" t="n">
        <v>3128973.49</v>
      </c>
      <c r="Q59" s="18" t="n">
        <v>2779716.19</v>
      </c>
      <c r="R59" s="18" t="n">
        <v>1902923.67</v>
      </c>
      <c r="S59" s="18" t="n">
        <v>1465038.81</v>
      </c>
      <c r="T59" s="18" t="n">
        <v>1150859.05</v>
      </c>
      <c r="U59" s="34" t="n">
        <v>1150859.05</v>
      </c>
      <c r="V59" s="18" t="n">
        <v>1091581.45</v>
      </c>
      <c r="W59" s="18" t="n">
        <v>822657.25</v>
      </c>
      <c r="X59" s="18" t="n">
        <v>742453.91</v>
      </c>
      <c r="Y59" s="18" t="n">
        <v>645351.1899999999</v>
      </c>
      <c r="Z59" s="34" t="n">
        <v>645351.1899999999</v>
      </c>
      <c r="AA59" s="18" t="n">
        <v>603939.45</v>
      </c>
      <c r="AB59" s="19" t="n">
        <v>523403.57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1069231.4</v>
      </c>
      <c r="F60" s="34" t="n">
        <v>1069231.4</v>
      </c>
      <c r="G60" s="18" t="n">
        <v>1307677.67</v>
      </c>
      <c r="H60" s="18" t="n">
        <v>1145531.95</v>
      </c>
      <c r="I60" s="18" t="n">
        <v>901520.27</v>
      </c>
      <c r="J60" s="18" t="n">
        <v>1373515.93</v>
      </c>
      <c r="K60" s="34" t="n">
        <v>1373515.93</v>
      </c>
      <c r="L60" s="18" t="n">
        <v>1381895.99</v>
      </c>
      <c r="M60" s="18" t="n">
        <v>1910840.96</v>
      </c>
      <c r="N60" s="18" t="n">
        <v>1730581.43</v>
      </c>
      <c r="O60" s="18" t="n">
        <v>1768243.63</v>
      </c>
      <c r="P60" s="34" t="n">
        <v>1768243.63</v>
      </c>
      <c r="Q60" s="18" t="n">
        <v>1491440.96</v>
      </c>
      <c r="R60" s="18" t="n">
        <v>459484.77</v>
      </c>
      <c r="S60" s="18" t="n">
        <v>734321</v>
      </c>
      <c r="T60" s="18" t="n">
        <v>-1061884.75</v>
      </c>
      <c r="U60" s="34" t="n">
        <v>-1061884.75</v>
      </c>
      <c r="V60" s="18" t="n">
        <v>-2450198.79</v>
      </c>
      <c r="W60" s="18" t="n">
        <v>-2304255.14</v>
      </c>
      <c r="X60" s="18" t="n">
        <v>-3624905.32</v>
      </c>
      <c r="Y60" s="18" t="n">
        <v>-3435747.66</v>
      </c>
      <c r="Z60" s="34" t="n">
        <v>-3435747.66</v>
      </c>
      <c r="AA60" s="18" t="n">
        <v>-4584447.9</v>
      </c>
      <c r="AB60" s="19" t="n">
        <v>-6059335.5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2406089.01</v>
      </c>
      <c r="F61" s="34" t="n">
        <v>2406089.01</v>
      </c>
      <c r="G61" s="18" t="n">
        <v>2102617.57</v>
      </c>
      <c r="H61" s="18" t="n">
        <v>2206018.13</v>
      </c>
      <c r="I61" s="18" t="n">
        <v>2497845</v>
      </c>
      <c r="J61" s="18" t="n">
        <v>1239694.67</v>
      </c>
      <c r="K61" s="34" t="n">
        <v>1239694.67</v>
      </c>
      <c r="L61" s="18" t="n">
        <v>1402142.47</v>
      </c>
      <c r="M61" s="18" t="n">
        <v>1300452.81</v>
      </c>
      <c r="N61" s="18" t="n">
        <v>1632890.11</v>
      </c>
      <c r="O61" s="18" t="n">
        <v>1371292.09</v>
      </c>
      <c r="P61" s="34" t="n">
        <v>1371292.09</v>
      </c>
      <c r="Q61" s="18" t="n">
        <v>1298837.46</v>
      </c>
      <c r="R61" s="18" t="n">
        <v>1454001.13</v>
      </c>
      <c r="S61" s="18" t="n">
        <v>741280.04</v>
      </c>
      <c r="T61" s="18" t="n">
        <v>2223306.03</v>
      </c>
      <c r="U61" s="34" t="n">
        <v>2223306.03</v>
      </c>
      <c r="V61" s="18" t="n">
        <v>3552342.47</v>
      </c>
      <c r="W61" s="18" t="n">
        <v>3137474.62</v>
      </c>
      <c r="X61" s="18" t="n">
        <v>4377921.46</v>
      </c>
      <c r="Y61" s="18" t="n">
        <v>4106578.91</v>
      </c>
      <c r="Z61" s="34" t="n">
        <v>4106578.91</v>
      </c>
      <c r="AA61" s="18" t="n">
        <v>5213881.53</v>
      </c>
      <c r="AB61" s="19" t="n">
        <v>6608248.44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4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4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4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4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4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이연법인세부채</t>
        </is>
      </c>
      <c r="F64" s="9" t="n"/>
      <c r="K64" s="9" t="n"/>
      <c r="P64" s="9" t="n"/>
      <c r="U64" s="9" t="n"/>
      <c r="Y64" s="18" t="n">
        <v>755.27</v>
      </c>
      <c r="Z64" s="34" t="n">
        <v>755.27</v>
      </c>
      <c r="AA64" s="18" t="n">
        <v>755.27</v>
      </c>
      <c r="AB64" s="19" t="n">
        <v>755.27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2475866.72</v>
      </c>
      <c r="F65" s="9" t="n"/>
      <c r="G65" s="18" t="n">
        <v>2001636.46</v>
      </c>
      <c r="H65" s="18" t="n">
        <v>2166032.39</v>
      </c>
      <c r="I65" s="18" t="n">
        <v>2203563.73</v>
      </c>
      <c r="J65" s="18" t="n">
        <v>2674247.91</v>
      </c>
      <c r="K65" s="34" t="n">
        <v>9045480.49</v>
      </c>
      <c r="L65" s="18" t="n">
        <v>2632890.26</v>
      </c>
      <c r="M65" s="18" t="n">
        <v>3064397.81</v>
      </c>
      <c r="N65" s="18" t="n">
        <v>2853526.39</v>
      </c>
      <c r="O65" s="18" t="n">
        <v>3413111.53</v>
      </c>
      <c r="P65" s="34" t="n">
        <v>11963925.99</v>
      </c>
      <c r="Q65" s="18" t="n">
        <v>2987745.01</v>
      </c>
      <c r="R65" s="18" t="n">
        <v>3883982.54</v>
      </c>
      <c r="S65" s="18" t="n">
        <v>3609175.68</v>
      </c>
      <c r="T65" s="18" t="n">
        <v>4005550.3</v>
      </c>
      <c r="U65" s="34" t="n">
        <v>14486453.53</v>
      </c>
      <c r="V65" s="18" t="n">
        <v>3822515.74</v>
      </c>
      <c r="W65" s="18" t="n">
        <v>4147124.84</v>
      </c>
      <c r="X65" s="18" t="n">
        <v>4417898.2</v>
      </c>
      <c r="Y65" s="18" t="n">
        <v>5193094.48</v>
      </c>
      <c r="Z65" s="34" t="n">
        <v>17580633.26</v>
      </c>
      <c r="AA65" s="18" t="n">
        <v>5916331.79</v>
      </c>
      <c r="AB65" s="19" t="n">
        <v>6332155.04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2727132.94</v>
      </c>
      <c r="F66" s="9" t="n"/>
      <c r="G66" s="18" t="n">
        <v>2089477.63</v>
      </c>
      <c r="H66" s="18" t="n">
        <v>2151534.36</v>
      </c>
      <c r="I66" s="18" t="n">
        <v>2067127.49</v>
      </c>
      <c r="J66" s="18" t="n">
        <v>2574479.96</v>
      </c>
      <c r="K66" s="34" t="n">
        <v>8882619.439999999</v>
      </c>
      <c r="L66" s="18" t="n">
        <v>2506895.08</v>
      </c>
      <c r="M66" s="18" t="n">
        <v>2866040.48</v>
      </c>
      <c r="N66" s="18" t="n">
        <v>2692363.76</v>
      </c>
      <c r="O66" s="18" t="n">
        <v>3243763.16</v>
      </c>
      <c r="P66" s="34" t="n">
        <v>11309062.48</v>
      </c>
      <c r="Q66" s="18" t="n">
        <v>2837657.53</v>
      </c>
      <c r="R66" s="18" t="n">
        <v>3443086.28</v>
      </c>
      <c r="S66" s="18" t="n">
        <v>3202405.41</v>
      </c>
      <c r="T66" s="18" t="n">
        <v>3509373.45</v>
      </c>
      <c r="U66" s="34" t="n">
        <v>12992522.67</v>
      </c>
      <c r="V66" s="18" t="n">
        <v>3193437.91</v>
      </c>
      <c r="W66" s="18" t="n">
        <v>3453430.96</v>
      </c>
      <c r="X66" s="18" t="n">
        <v>3650707.08</v>
      </c>
      <c r="Y66" s="18" t="n">
        <v>4318840.99</v>
      </c>
      <c r="Z66" s="34" t="n">
        <v>14616416.94</v>
      </c>
      <c r="AA66" s="18" t="n">
        <v>4743761.11</v>
      </c>
      <c r="AB66" s="19" t="n">
        <v>4975570.5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-251266.21</v>
      </c>
      <c r="F67" s="9" t="n"/>
      <c r="G67" s="18" t="n">
        <v>-87841.17</v>
      </c>
      <c r="H67" s="18" t="n">
        <v>14498.03</v>
      </c>
      <c r="I67" s="18" t="n">
        <v>136436.24</v>
      </c>
      <c r="J67" s="18" t="n">
        <v>99767.95</v>
      </c>
      <c r="K67" s="34" t="n">
        <v>162861.05</v>
      </c>
      <c r="L67" s="18" t="n">
        <v>125995.18</v>
      </c>
      <c r="M67" s="18" t="n">
        <v>198357.33</v>
      </c>
      <c r="N67" s="18" t="n">
        <v>161162.62</v>
      </c>
      <c r="O67" s="18" t="n">
        <v>169348.38</v>
      </c>
      <c r="P67" s="34" t="n">
        <v>654863.51</v>
      </c>
      <c r="Q67" s="18" t="n">
        <v>150087.48</v>
      </c>
      <c r="R67" s="18" t="n">
        <v>440896.26</v>
      </c>
      <c r="S67" s="18" t="n">
        <v>406770.28</v>
      </c>
      <c r="T67" s="18" t="n">
        <v>496176.86</v>
      </c>
      <c r="U67" s="34" t="n">
        <v>1493930.88</v>
      </c>
      <c r="V67" s="18" t="n">
        <v>629077.83</v>
      </c>
      <c r="W67" s="18" t="n">
        <v>693693.87</v>
      </c>
      <c r="X67" s="18" t="n">
        <v>767191.13</v>
      </c>
      <c r="Y67" s="18" t="n">
        <v>874253.49</v>
      </c>
      <c r="Z67" s="34" t="n">
        <v>2964216.32</v>
      </c>
      <c r="AA67" s="18" t="n">
        <v>1172570.68</v>
      </c>
      <c r="AB67" s="19" t="n">
        <v>1356584.54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229430.52</v>
      </c>
      <c r="F68" s="9" t="n"/>
      <c r="G68" s="18" t="n">
        <v>129577.42</v>
      </c>
      <c r="H68" s="18" t="n">
        <v>122749.78</v>
      </c>
      <c r="I68" s="18" t="n">
        <v>122096.1</v>
      </c>
      <c r="J68" s="18" t="n">
        <v>77588.89999999999</v>
      </c>
      <c r="K68" s="34" t="n">
        <v>452012.2</v>
      </c>
      <c r="L68" s="18" t="n">
        <v>167463.91</v>
      </c>
      <c r="M68" s="18" t="n">
        <v>129823.11</v>
      </c>
      <c r="N68" s="18" t="n">
        <v>148254.87</v>
      </c>
      <c r="O68" s="18" t="n">
        <v>30681.66</v>
      </c>
      <c r="P68" s="34" t="n">
        <v>476223.55</v>
      </c>
      <c r="Q68" s="18" t="n">
        <v>128823.57</v>
      </c>
      <c r="R68" s="18" t="n">
        <v>245266.13</v>
      </c>
      <c r="S68" s="18" t="n">
        <v>200625.27</v>
      </c>
      <c r="T68" s="18" t="n">
        <v>213992.42</v>
      </c>
      <c r="U68" s="34" t="n">
        <v>788707.39</v>
      </c>
      <c r="V68" s="18" t="n">
        <v>195343.66</v>
      </c>
      <c r="W68" s="18" t="n">
        <v>222237.89</v>
      </c>
      <c r="X68" s="18" t="n">
        <v>209905.74</v>
      </c>
      <c r="Y68" s="18" t="n">
        <v>299218.92</v>
      </c>
      <c r="Z68" s="34" t="n">
        <v>926706.21</v>
      </c>
      <c r="AA68" s="18" t="n">
        <v>267184.78</v>
      </c>
      <c r="AB68" s="19" t="n">
        <v>316646.91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-480696.74</v>
      </c>
      <c r="F69" s="9" t="n"/>
      <c r="G69" s="18" t="n">
        <v>-217418.59</v>
      </c>
      <c r="H69" s="18" t="n">
        <v>-108251.75</v>
      </c>
      <c r="I69" s="18" t="n">
        <v>14340.14</v>
      </c>
      <c r="J69" s="18" t="n">
        <v>22179.05</v>
      </c>
      <c r="K69" s="34" t="n">
        <v>-289151.15</v>
      </c>
      <c r="L69" s="18" t="n">
        <v>-41468.73</v>
      </c>
      <c r="M69" s="18" t="n">
        <v>68534.23</v>
      </c>
      <c r="N69" s="18" t="n">
        <v>12907.76</v>
      </c>
      <c r="O69" s="18" t="n">
        <v>138666.71</v>
      </c>
      <c r="P69" s="34" t="n">
        <v>178639.97</v>
      </c>
      <c r="Q69" s="18" t="n">
        <v>21263.91</v>
      </c>
      <c r="R69" s="18" t="n">
        <v>195630.12</v>
      </c>
      <c r="S69" s="18" t="n">
        <v>206145</v>
      </c>
      <c r="T69" s="18" t="n">
        <v>282184.44</v>
      </c>
      <c r="U69" s="34" t="n">
        <v>705223.47</v>
      </c>
      <c r="V69" s="18" t="n">
        <v>433734.17</v>
      </c>
      <c r="W69" s="18" t="n">
        <v>471455.98</v>
      </c>
      <c r="X69" s="18" t="n">
        <v>557285.39</v>
      </c>
      <c r="Y69" s="18" t="n">
        <v>575034.55</v>
      </c>
      <c r="Z69" s="34" t="n">
        <v>2037510.09</v>
      </c>
      <c r="AA69" s="18" t="n">
        <v>905385.91</v>
      </c>
      <c r="AB69" s="19" t="n">
        <v>1039937.63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64421.62</v>
      </c>
      <c r="F70" s="9" t="n"/>
      <c r="G70" s="18" t="n">
        <v>166207.39</v>
      </c>
      <c r="H70" s="18" t="n">
        <v>379445.01</v>
      </c>
      <c r="I70" s="18" t="n">
        <v>595500.3199999999</v>
      </c>
      <c r="J70" s="18" t="n">
        <v>-1798.22</v>
      </c>
      <c r="K70" s="34" t="n">
        <v>1139354.5</v>
      </c>
      <c r="L70" s="18" t="n">
        <v>284345.31</v>
      </c>
      <c r="M70" s="18" t="n">
        <v>225030.58</v>
      </c>
      <c r="N70" s="18" t="n">
        <v>185104.36</v>
      </c>
      <c r="O70" s="18" t="n">
        <v>37012.45</v>
      </c>
      <c r="P70" s="34" t="n">
        <v>731492.7</v>
      </c>
      <c r="Q70" s="18" t="n">
        <v>287572.76</v>
      </c>
      <c r="R70" s="18" t="n">
        <v>219895.85</v>
      </c>
      <c r="S70" s="18" t="n">
        <v>861737.86</v>
      </c>
      <c r="T70" s="18" t="n">
        <v>400396.43</v>
      </c>
      <c r="U70" s="34" t="n">
        <v>1769602.9</v>
      </c>
      <c r="V70" s="18" t="n">
        <v>156428.53</v>
      </c>
      <c r="W70" s="18" t="n">
        <v>1576490.64</v>
      </c>
      <c r="X70" s="18" t="n">
        <v>388797.51</v>
      </c>
      <c r="Y70" s="18" t="n">
        <v>-43230.08</v>
      </c>
      <c r="Z70" s="34" t="n">
        <v>2078486.6</v>
      </c>
      <c r="AA70" s="18" t="n">
        <v>547979</v>
      </c>
      <c r="AB70" s="19" t="n">
        <v>321873.67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79456.99000000001</v>
      </c>
      <c r="F71" s="9" t="n"/>
      <c r="G71" s="18" t="n">
        <v>199629.38</v>
      </c>
      <c r="H71" s="18" t="n">
        <v>1020739.9</v>
      </c>
      <c r="I71" s="18" t="n">
        <v>1846819.97</v>
      </c>
      <c r="J71" s="18" t="n">
        <v>-1475499.04</v>
      </c>
      <c r="K71" s="34" t="n">
        <v>1591690.21</v>
      </c>
      <c r="L71" s="18" t="n">
        <v>659565.86</v>
      </c>
      <c r="M71" s="18" t="n">
        <v>298520.23</v>
      </c>
      <c r="N71" s="18" t="n">
        <v>617540.7</v>
      </c>
      <c r="O71" s="18" t="n">
        <v>-351128.91</v>
      </c>
      <c r="P71" s="34" t="n">
        <v>1224497.88</v>
      </c>
      <c r="Q71" s="18" t="n">
        <v>918985.28</v>
      </c>
      <c r="R71" s="18" t="n">
        <v>762185.29</v>
      </c>
      <c r="S71" s="18" t="n">
        <v>390887.9</v>
      </c>
      <c r="T71" s="18" t="n">
        <v>1977654.51</v>
      </c>
      <c r="U71" s="34" t="n">
        <v>4049712.98</v>
      </c>
      <c r="V71" s="18" t="n">
        <v>309801.1</v>
      </c>
      <c r="W71" s="18" t="n">
        <v>517499.37</v>
      </c>
      <c r="X71" s="18" t="n">
        <v>1048267.69</v>
      </c>
      <c r="Y71" s="18" t="n">
        <v>449402.76</v>
      </c>
      <c r="Z71" s="34" t="n">
        <v>2324970.92</v>
      </c>
      <c r="AA71" s="18" t="n">
        <v>1574878.16</v>
      </c>
      <c r="AB71" s="19" t="n">
        <v>751693.09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11020.64</v>
      </c>
      <c r="F72" s="9" t="n"/>
      <c r="G72" s="18" t="n">
        <v>67849.39999999999</v>
      </c>
      <c r="H72" s="18" t="n">
        <v>688736.49</v>
      </c>
      <c r="I72" s="18" t="n">
        <v>1398739.53</v>
      </c>
      <c r="J72" s="18" t="n">
        <v>-1342235.17</v>
      </c>
      <c r="K72" s="34" t="n">
        <v>813090.25</v>
      </c>
      <c r="L72" s="18" t="n">
        <v>456424.18</v>
      </c>
      <c r="M72" s="18" t="n">
        <v>75969.63</v>
      </c>
      <c r="N72" s="18" t="n">
        <v>423777.48</v>
      </c>
      <c r="O72" s="18" t="n">
        <v>-375757.88</v>
      </c>
      <c r="P72" s="34" t="n">
        <v>580413.41</v>
      </c>
      <c r="Q72" s="18" t="n">
        <v>693574.16</v>
      </c>
      <c r="R72" s="18" t="n">
        <v>575022.13</v>
      </c>
      <c r="S72" s="18" t="n">
        <v>9531.84</v>
      </c>
      <c r="T72" s="18" t="n">
        <v>1762567.1</v>
      </c>
      <c r="U72" s="34" t="n">
        <v>3040695.23</v>
      </c>
      <c r="V72" s="18" t="n">
        <v>143086.67</v>
      </c>
      <c r="W72" s="18" t="n">
        <v>34654.73</v>
      </c>
      <c r="X72" s="18" t="n">
        <v>710986.8199999999</v>
      </c>
      <c r="Y72" s="18" t="n">
        <v>276717.84</v>
      </c>
      <c r="Z72" s="34" t="n">
        <v>1165446.06</v>
      </c>
      <c r="AA72" s="18" t="n">
        <v>1238178.41</v>
      </c>
      <c r="AB72" s="19" t="n">
        <v>598442.74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221748.27</v>
      </c>
      <c r="F73" s="9" t="n"/>
      <c r="G73" s="18" t="n">
        <v>55092.36</v>
      </c>
      <c r="H73" s="18" t="n">
        <v>32642.91</v>
      </c>
      <c r="I73" s="18" t="n">
        <v>90900.34</v>
      </c>
      <c r="J73" s="18" t="n">
        <v>313007.47</v>
      </c>
      <c r="K73" s="34" t="n">
        <v>491643.08</v>
      </c>
      <c r="L73" s="18" t="n">
        <v>66346.53999999999</v>
      </c>
      <c r="M73" s="18" t="n">
        <v>37463.21</v>
      </c>
      <c r="N73" s="18" t="n">
        <v>17537.84</v>
      </c>
      <c r="O73" s="18" t="n">
        <v>110323.49</v>
      </c>
      <c r="P73" s="34" t="n">
        <v>231671.08</v>
      </c>
      <c r="Q73" s="18" t="n">
        <v>53885.31</v>
      </c>
      <c r="R73" s="18" t="n">
        <v>26234.73</v>
      </c>
      <c r="S73" s="18" t="n">
        <v>599306.41</v>
      </c>
      <c r="T73" s="18" t="n">
        <v>-11954.28</v>
      </c>
      <c r="U73" s="34" t="n">
        <v>667472.17</v>
      </c>
      <c r="V73" s="18" t="n">
        <v>47081.21</v>
      </c>
      <c r="W73" s="18" t="n">
        <v>1284823.23</v>
      </c>
      <c r="X73" s="18" t="n">
        <v>37906.37</v>
      </c>
      <c r="Y73" s="18" t="n">
        <v>-218657.51</v>
      </c>
      <c r="Z73" s="34" t="n">
        <v>1151153.3</v>
      </c>
      <c r="AA73" s="18" t="n">
        <v>60273.4</v>
      </c>
      <c r="AB73" s="19" t="n">
        <v>52879.79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종속기업,공동지배기업및관계기업관련손익</t>
        </is>
      </c>
      <c r="E74" s="18" t="n">
        <v>-146.01</v>
      </c>
      <c r="F74" s="9" t="n"/>
      <c r="G74" s="18" t="n">
        <v>-98.23</v>
      </c>
      <c r="H74" s="18" t="n">
        <v>-188.91</v>
      </c>
      <c r="I74" s="18" t="n">
        <v>-127.73</v>
      </c>
      <c r="J74" s="18" t="n">
        <v>-1029.21</v>
      </c>
      <c r="K74" s="34" t="n">
        <v>-1444.08</v>
      </c>
      <c r="L74" s="18" t="n">
        <v>-99.84</v>
      </c>
      <c r="M74" s="18" t="n">
        <v>-101</v>
      </c>
      <c r="N74" s="18" t="n">
        <v>-86.98</v>
      </c>
      <c r="O74" s="18" t="n">
        <v>273.69</v>
      </c>
      <c r="P74" s="34" t="n">
        <v>-14.13</v>
      </c>
      <c r="Q74" s="18" t="n">
        <v>-139.75</v>
      </c>
      <c r="R74" s="18" t="n">
        <v>-130.47</v>
      </c>
      <c r="S74" s="18" t="n">
        <v>-128.17</v>
      </c>
      <c r="T74" s="18" t="n">
        <v>199.64</v>
      </c>
      <c r="U74" s="34" t="n">
        <v>-198.75</v>
      </c>
      <c r="V74" s="18" t="n">
        <v>-102.38</v>
      </c>
      <c r="W74" s="18" t="n">
        <v>-93.58</v>
      </c>
      <c r="X74" s="18" t="n">
        <v>-81.64</v>
      </c>
      <c r="Y74" s="18" t="n">
        <v>-4124.4</v>
      </c>
      <c r="Z74" s="34" t="n">
        <v>-4402</v>
      </c>
      <c r="AA74" s="18" t="n">
        <v>66.79000000000001</v>
      </c>
      <c r="AB74" s="19" t="n">
        <v>693.84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지분법관련손익</t>
        </is>
      </c>
      <c r="E75" s="18" t="n">
        <v>-146.01</v>
      </c>
      <c r="F75" s="9" t="n"/>
      <c r="G75" s="18" t="n">
        <v>-98.23</v>
      </c>
      <c r="H75" s="18" t="n">
        <v>-188.91</v>
      </c>
      <c r="I75" s="18" t="n">
        <v>-127.73</v>
      </c>
      <c r="J75" s="18" t="n">
        <v>-1029.21</v>
      </c>
      <c r="K75" s="34" t="n">
        <v>-1444.08</v>
      </c>
      <c r="L75" s="18" t="n">
        <v>-99.84</v>
      </c>
      <c r="M75" s="18" t="n">
        <v>-101</v>
      </c>
      <c r="N75" s="18" t="n">
        <v>-86.98</v>
      </c>
      <c r="O75" s="18" t="n">
        <v>273.69</v>
      </c>
      <c r="P75" s="34" t="n">
        <v>-14.13</v>
      </c>
      <c r="Q75" s="18" t="n">
        <v>-139.75</v>
      </c>
      <c r="R75" s="18" t="n">
        <v>-130.47</v>
      </c>
      <c r="S75" s="18" t="n">
        <v>-128.17</v>
      </c>
      <c r="T75" s="18" t="n">
        <v>199.64</v>
      </c>
      <c r="U75" s="34" t="n">
        <v>-198.75</v>
      </c>
      <c r="V75" s="18" t="n">
        <v>-102.38</v>
      </c>
      <c r="W75" s="18" t="n">
        <v>-93.58</v>
      </c>
      <c r="X75" s="18" t="n">
        <v>-81.64</v>
      </c>
      <c r="Y75" s="18" t="n">
        <v>-4124.4</v>
      </c>
      <c r="Z75" s="34" t="n">
        <v>-4402</v>
      </c>
      <c r="AA75" s="18" t="n">
        <v>66.79000000000001</v>
      </c>
      <c r="AB75" s="19" t="n">
        <v>693.84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-706605.74</v>
      </c>
      <c r="F76" s="9" t="n"/>
      <c r="G76" s="18" t="n">
        <v>-238181.78</v>
      </c>
      <c r="H76" s="18" t="n">
        <v>-93641.98</v>
      </c>
      <c r="I76" s="18" t="n">
        <v>70731.95</v>
      </c>
      <c r="J76" s="18" t="n">
        <v>-160391.98</v>
      </c>
      <c r="K76" s="34" t="n">
        <v>-421483.79</v>
      </c>
      <c r="L76" s="18" t="n">
        <v>-26711.47</v>
      </c>
      <c r="M76" s="18" t="n">
        <v>33449.99</v>
      </c>
      <c r="N76" s="18" t="n">
        <v>-13375.92</v>
      </c>
      <c r="O76" s="18" t="n">
        <v>41000.4</v>
      </c>
      <c r="P76" s="34" t="n">
        <v>34363</v>
      </c>
      <c r="Q76" s="18" t="n">
        <v>29400.49</v>
      </c>
      <c r="R76" s="18" t="n">
        <v>201997.62</v>
      </c>
      <c r="S76" s="18" t="n">
        <v>87092.22</v>
      </c>
      <c r="T76" s="18" t="n">
        <v>479647.38</v>
      </c>
      <c r="U76" s="34" t="n">
        <v>798137.71</v>
      </c>
      <c r="V76" s="18" t="n">
        <v>376264.68</v>
      </c>
      <c r="W76" s="18" t="n">
        <v>280185.18</v>
      </c>
      <c r="X76" s="18" t="n">
        <v>570814.02</v>
      </c>
      <c r="Y76" s="18" t="n">
        <v>573652.66</v>
      </c>
      <c r="Z76" s="34" t="n">
        <v>1800916.54</v>
      </c>
      <c r="AA76" s="18" t="n">
        <v>1056458.55</v>
      </c>
      <c r="AB76" s="19" t="n">
        <v>1156375.01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-186492.21</v>
      </c>
      <c r="F77" s="9" t="n"/>
      <c r="G77" s="18" t="n">
        <v>-62271.66</v>
      </c>
      <c r="H77" s="18" t="n">
        <v>-28912.96</v>
      </c>
      <c r="I77" s="18" t="n">
        <v>20348.7</v>
      </c>
      <c r="J77" s="18" t="n">
        <v>1416.77</v>
      </c>
      <c r="K77" s="34" t="n">
        <v>-69419.14999999999</v>
      </c>
      <c r="L77" s="18" t="n">
        <v>-6159.72</v>
      </c>
      <c r="M77" s="18" t="n">
        <v>9381.18</v>
      </c>
      <c r="N77" s="18" t="n">
        <v>-3547.78</v>
      </c>
      <c r="O77" s="18" t="n">
        <v>10000.11</v>
      </c>
      <c r="P77" s="34" t="n">
        <v>9673.790000000001</v>
      </c>
      <c r="Q77" s="18" t="n">
        <v>776.76</v>
      </c>
      <c r="R77" s="18" t="n">
        <v>47887.83</v>
      </c>
      <c r="S77" s="18" t="n">
        <v>14894.1</v>
      </c>
      <c r="T77" s="18" t="n">
        <v>113069.61</v>
      </c>
      <c r="U77" s="34" t="n">
        <v>176628.3</v>
      </c>
      <c r="V77" s="18" t="n">
        <v>92034.37</v>
      </c>
      <c r="W77" s="18" t="n">
        <v>69273.84</v>
      </c>
      <c r="X77" s="18" t="n">
        <v>140023.55</v>
      </c>
      <c r="Y77" s="18" t="n">
        <v>84100.2</v>
      </c>
      <c r="Z77" s="34" t="n">
        <v>385431.96</v>
      </c>
      <c r="AA77" s="18" t="n">
        <v>282646.2</v>
      </c>
      <c r="AB77" s="19" t="n">
        <v>334231.88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-15035.37</v>
      </c>
      <c r="F78" s="9" t="n"/>
      <c r="G78" s="18" t="n">
        <v>-33421.99</v>
      </c>
      <c r="H78" s="18" t="n">
        <v>-641294.89</v>
      </c>
      <c r="I78" s="18" t="n">
        <v>-1251319.65</v>
      </c>
      <c r="J78" s="18" t="n">
        <v>1473700.82</v>
      </c>
      <c r="K78" s="34" t="n">
        <v>-452335.71</v>
      </c>
      <c r="L78" s="18" t="n">
        <v>-375220.55</v>
      </c>
      <c r="M78" s="18" t="n">
        <v>-73489.64999999999</v>
      </c>
      <c r="N78" s="18" t="n">
        <v>-432436.34</v>
      </c>
      <c r="O78" s="18" t="n">
        <v>388141.36</v>
      </c>
      <c r="P78" s="34" t="n">
        <v>-493005.18</v>
      </c>
      <c r="Q78" s="18" t="n">
        <v>-631412.52</v>
      </c>
      <c r="R78" s="18" t="n">
        <v>-542289.4399999999</v>
      </c>
      <c r="S78" s="18" t="n">
        <v>470849.96</v>
      </c>
      <c r="T78" s="18" t="n">
        <v>-1577258.08</v>
      </c>
      <c r="U78" s="34" t="n">
        <v>-2280110.08</v>
      </c>
      <c r="V78" s="18" t="n">
        <v>-153372.57</v>
      </c>
      <c r="W78" s="18" t="n">
        <v>1058991.27</v>
      </c>
      <c r="X78" s="18" t="n">
        <v>-659470.1800000001</v>
      </c>
      <c r="Y78" s="18" t="n">
        <v>-492632.84</v>
      </c>
      <c r="Z78" s="34" t="n">
        <v>-246484.32</v>
      </c>
      <c r="AA78" s="18" t="n">
        <v>-1026899.16</v>
      </c>
      <c r="AB78" s="19" t="n">
        <v>-429819.42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-210727.63</v>
      </c>
      <c r="F79" s="9" t="n"/>
      <c r="G79" s="18" t="n">
        <v>12757.04</v>
      </c>
      <c r="H79" s="18" t="n">
        <v>656093.58</v>
      </c>
      <c r="I79" s="18" t="n">
        <v>1307839.19</v>
      </c>
      <c r="J79" s="18" t="n">
        <v>-1655242.64</v>
      </c>
      <c r="K79" s="34" t="n">
        <v>321447.17</v>
      </c>
      <c r="L79" s="18" t="n">
        <v>390077.64</v>
      </c>
      <c r="M79" s="18" t="n">
        <v>38506.42</v>
      </c>
      <c r="N79" s="18" t="n">
        <v>406239.64</v>
      </c>
      <c r="O79" s="18" t="n">
        <v>-486081.37</v>
      </c>
      <c r="P79" s="34" t="n">
        <v>348742.33</v>
      </c>
      <c r="Q79" s="18" t="n">
        <v>639688.85</v>
      </c>
      <c r="R79" s="18" t="n">
        <v>548787.4</v>
      </c>
      <c r="S79" s="18" t="n">
        <v>-589774.5699999999</v>
      </c>
      <c r="T79" s="18" t="n">
        <v>1774521.38</v>
      </c>
      <c r="U79" s="34" t="n">
        <v>2373223.06</v>
      </c>
      <c r="V79" s="18" t="n">
        <v>96005.46000000001</v>
      </c>
      <c r="W79" s="18" t="n">
        <v>-1250168.5</v>
      </c>
      <c r="X79" s="18" t="n">
        <v>673080.45</v>
      </c>
      <c r="Y79" s="18" t="n">
        <v>495375.35</v>
      </c>
      <c r="Z79" s="34" t="n">
        <v>14292.76</v>
      </c>
      <c r="AA79" s="18" t="n">
        <v>1177905.01</v>
      </c>
      <c r="AB79" s="19" t="n">
        <v>545562.95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F80" s="9" t="n"/>
      <c r="G80" s="18" t="n">
        <v>-175910.12</v>
      </c>
      <c r="H80" s="18" t="n">
        <v>-64729.02</v>
      </c>
      <c r="I80" s="18" t="n">
        <v>50383.25</v>
      </c>
      <c r="J80" s="18" t="n">
        <v>-161808.74</v>
      </c>
      <c r="K80" s="34" t="n">
        <v>-352064.63</v>
      </c>
      <c r="L80" s="18" t="n">
        <v>-20551.75</v>
      </c>
      <c r="M80" s="18" t="n">
        <v>24068.8</v>
      </c>
      <c r="N80" s="18" t="n">
        <v>-9828.129999999999</v>
      </c>
      <c r="O80" s="18" t="n">
        <v>31000.29</v>
      </c>
      <c r="P80" s="34" t="n">
        <v>24689.21</v>
      </c>
      <c r="Q80" s="18" t="n">
        <v>28623.73</v>
      </c>
      <c r="R80" s="18" t="n">
        <v>154109.79</v>
      </c>
      <c r="S80" s="18" t="n">
        <v>72198.12</v>
      </c>
      <c r="T80" s="18" t="n">
        <v>366577.77</v>
      </c>
      <c r="U80" s="34" t="n">
        <v>621509.41</v>
      </c>
      <c r="V80" s="18" t="n">
        <v>284230.31</v>
      </c>
      <c r="W80" s="18" t="n">
        <v>210911.34</v>
      </c>
      <c r="X80" s="18" t="n">
        <v>430790.46</v>
      </c>
      <c r="Y80" s="18" t="n">
        <v>489552.45</v>
      </c>
      <c r="Z80" s="34" t="n">
        <v>1415484.56</v>
      </c>
      <c r="AA80" s="18" t="n">
        <v>773812.34</v>
      </c>
      <c r="AB80" s="19" t="n">
        <v>822143.13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F81" s="9" t="n"/>
      <c r="G81" s="18" t="n">
        <v>-142842.56</v>
      </c>
      <c r="H81" s="18" t="n">
        <v>-65153.97</v>
      </c>
      <c r="I81" s="18" t="n">
        <v>52279.92</v>
      </c>
      <c r="J81" s="18" t="n">
        <v>-150256.94</v>
      </c>
      <c r="K81" s="34" t="n">
        <v>-305973.55</v>
      </c>
      <c r="L81" s="18" t="n">
        <v>-24277.11</v>
      </c>
      <c r="M81" s="18" t="n">
        <v>20566.17</v>
      </c>
      <c r="N81" s="18" t="n">
        <v>-12388.83</v>
      </c>
      <c r="O81" s="18" t="n">
        <v>-69147.03999999999</v>
      </c>
      <c r="P81" s="34" t="n">
        <v>-85246.81</v>
      </c>
      <c r="Q81" s="18" t="n">
        <v>22879.24</v>
      </c>
      <c r="R81" s="18" t="n">
        <v>152720.11</v>
      </c>
      <c r="S81" s="18" t="n">
        <v>78034.52</v>
      </c>
      <c r="T81" s="18" t="n">
        <v>244078.81</v>
      </c>
      <c r="U81" s="34" t="n">
        <v>497712.68</v>
      </c>
      <c r="V81" s="18" t="n">
        <v>287151.53</v>
      </c>
      <c r="W81" s="18" t="n">
        <v>376660.34</v>
      </c>
      <c r="X81" s="18" t="n">
        <v>430613.48</v>
      </c>
      <c r="Y81" s="18" t="n">
        <v>487602.58</v>
      </c>
      <c r="Z81" s="34" t="n">
        <v>1582027.93</v>
      </c>
      <c r="AA81" s="18" t="n">
        <v>790298.6800000001</v>
      </c>
      <c r="AB81" s="19" t="n">
        <v>829639.47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(지배주주지분)당기순이익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4" t="n">
        <v>-352064.63</v>
      </c>
      <c r="L82" s="18" t="n">
        <v>-20551.75</v>
      </c>
      <c r="M82" s="18" t="n">
        <v>24065.96</v>
      </c>
      <c r="N82" s="18" t="n">
        <v>-9828.129999999999</v>
      </c>
      <c r="O82" s="18" t="n">
        <v>30999.99</v>
      </c>
      <c r="P82" s="34" t="n">
        <v>24686.07</v>
      </c>
      <c r="Q82" s="18" t="n">
        <v>28623.99</v>
      </c>
      <c r="R82" s="18" t="n">
        <v>154109.51</v>
      </c>
      <c r="S82" s="18" t="n">
        <v>72197.74000000001</v>
      </c>
      <c r="T82" s="18" t="n">
        <v>366577.81</v>
      </c>
      <c r="U82" s="34" t="n">
        <v>621509.05</v>
      </c>
      <c r="V82" s="18" t="n">
        <v>284230.4</v>
      </c>
      <c r="W82" s="18" t="n">
        <v>210911.29</v>
      </c>
      <c r="X82" s="18" t="n">
        <v>430790.6</v>
      </c>
      <c r="Y82" s="18" t="n">
        <v>489552.47</v>
      </c>
      <c r="Z82" s="34" t="n">
        <v>1415484.76</v>
      </c>
      <c r="AA82" s="18" t="n">
        <v>773812.3199999999</v>
      </c>
      <c r="AB82" s="19" t="n">
        <v>822143.05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F83" s="9" t="n"/>
      <c r="G83" s="18" t="n">
        <v>-175910.12</v>
      </c>
      <c r="H83" s="18" t="n">
        <v>-64729.02</v>
      </c>
      <c r="I83" s="18" t="n">
        <v>50383.25</v>
      </c>
      <c r="J83" s="18" t="n">
        <v>-161808.74</v>
      </c>
      <c r="K83" s="34" t="n">
        <v>-352064.63</v>
      </c>
      <c r="L83" s="18" t="n">
        <v>-20551.75</v>
      </c>
      <c r="M83" s="18" t="n">
        <v>24068.8</v>
      </c>
      <c r="N83" s="18" t="n">
        <v>-9828.129999999999</v>
      </c>
      <c r="O83" s="18" t="n">
        <v>31000.29</v>
      </c>
      <c r="P83" s="34" t="n">
        <v>24689.21</v>
      </c>
      <c r="Q83" s="18" t="n">
        <v>28623.73</v>
      </c>
      <c r="R83" s="18" t="n">
        <v>154109.79</v>
      </c>
      <c r="S83" s="18" t="n">
        <v>72198.12</v>
      </c>
      <c r="T83" s="18" t="n">
        <v>366577.77</v>
      </c>
      <c r="U83" s="34" t="n">
        <v>621509.41</v>
      </c>
      <c r="V83" s="18" t="n">
        <v>284230.31</v>
      </c>
      <c r="W83" s="18" t="n">
        <v>210911.34</v>
      </c>
      <c r="X83" s="18" t="n">
        <v>430790.46</v>
      </c>
      <c r="Y83" s="18" t="n">
        <v>489552.45</v>
      </c>
      <c r="Z83" s="34" t="n">
        <v>1415484.56</v>
      </c>
      <c r="AA83" s="18" t="n">
        <v>773812.34</v>
      </c>
      <c r="AB83" s="19" t="n">
        <v>822143.13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M84" s="18" t="n">
        <v>2.84</v>
      </c>
      <c r="N84" s="18" t="n">
        <v>0</v>
      </c>
      <c r="O84" s="18" t="n">
        <v>0.3</v>
      </c>
      <c r="P84" s="9" t="n"/>
      <c r="Q84" s="18" t="n">
        <v>-0.26</v>
      </c>
      <c r="R84" s="18" t="n">
        <v>0.28</v>
      </c>
      <c r="S84" s="18" t="n">
        <v>0.39</v>
      </c>
      <c r="T84" s="18" t="n">
        <v>-0.04</v>
      </c>
      <c r="U84" s="34" t="n">
        <v>0.37</v>
      </c>
      <c r="V84" s="18" t="n">
        <v>-0.09</v>
      </c>
      <c r="W84" s="18" t="n">
        <v>0.04</v>
      </c>
      <c r="X84" s="18" t="n">
        <v>-0.14</v>
      </c>
      <c r="Y84" s="18" t="n">
        <v>-0.03</v>
      </c>
      <c r="Z84" s="34" t="n">
        <v>-0.22</v>
      </c>
      <c r="AA84" s="18" t="n">
        <v>0.02</v>
      </c>
      <c r="AB84" s="19" t="n">
        <v>0.08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757.66</v>
      </c>
      <c r="F85" s="9" t="n"/>
      <c r="G85" s="18" t="n">
        <v>-160190.51</v>
      </c>
      <c r="H85" s="18" t="n">
        <v>160687.17</v>
      </c>
      <c r="I85" s="18" t="n">
        <v>128905.84</v>
      </c>
      <c r="J85" s="18" t="n">
        <v>-58184.1</v>
      </c>
      <c r="K85" s="34" t="n">
        <v>71218.39999999999</v>
      </c>
      <c r="L85" s="18" t="n">
        <v>67804.62</v>
      </c>
      <c r="M85" s="18" t="n">
        <v>-388546.35</v>
      </c>
      <c r="N85" s="18" t="n">
        <v>268396.48</v>
      </c>
      <c r="O85" s="18" t="n">
        <v>221182.43</v>
      </c>
      <c r="P85" s="34" t="n">
        <v>168837.18</v>
      </c>
      <c r="Q85" s="18" t="n">
        <v>310992.26</v>
      </c>
      <c r="R85" s="18" t="n">
        <v>1054495.9</v>
      </c>
      <c r="S85" s="18" t="n">
        <v>45369.8</v>
      </c>
      <c r="T85" s="18" t="n">
        <v>1473024.75</v>
      </c>
      <c r="U85" s="34" t="n">
        <v>2883882.71</v>
      </c>
      <c r="V85" s="18" t="n">
        <v>1704749.67</v>
      </c>
      <c r="W85" s="18" t="n">
        <v>501374.72</v>
      </c>
      <c r="X85" s="18" t="n">
        <v>1575239.73</v>
      </c>
      <c r="Y85" s="18" t="n">
        <v>-270971.68</v>
      </c>
      <c r="Z85" s="34" t="n">
        <v>3510392.44</v>
      </c>
      <c r="AA85" s="18" t="n">
        <v>883359.8100000001</v>
      </c>
      <c r="AB85" s="19" t="n">
        <v>1842690.08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-20991.58</v>
      </c>
      <c r="F86" s="9" t="n"/>
      <c r="G86" s="18" t="n">
        <v>-103233.82</v>
      </c>
      <c r="H86" s="18" t="n">
        <v>-113097.47</v>
      </c>
      <c r="I86" s="18" t="n">
        <v>-125787.35</v>
      </c>
      <c r="J86" s="18" t="n">
        <v>-175760.51</v>
      </c>
      <c r="K86" s="34" t="n">
        <v>-517879.15</v>
      </c>
      <c r="L86" s="18" t="n">
        <v>-108192.29</v>
      </c>
      <c r="M86" s="18" t="n">
        <v>-104457.52</v>
      </c>
      <c r="N86" s="18" t="n">
        <v>-130448.59</v>
      </c>
      <c r="O86" s="18" t="n">
        <v>-134806.21</v>
      </c>
      <c r="P86" s="34" t="n">
        <v>-477904.61</v>
      </c>
      <c r="Q86" s="18" t="n">
        <v>-118600.37</v>
      </c>
      <c r="R86" s="18" t="n">
        <v>-128453.95</v>
      </c>
      <c r="S86" s="18" t="n">
        <v>-138038.01</v>
      </c>
      <c r="T86" s="18" t="n">
        <v>-114031.64</v>
      </c>
      <c r="U86" s="34" t="n">
        <v>-499123.97</v>
      </c>
      <c r="V86" s="18" t="n">
        <v>-164264.15</v>
      </c>
      <c r="W86" s="18" t="n">
        <v>-459973.87</v>
      </c>
      <c r="X86" s="18" t="n">
        <v>-1318710.66</v>
      </c>
      <c r="Y86" s="18" t="n">
        <v>-96679.2</v>
      </c>
      <c r="Z86" s="34" t="n">
        <v>-2039627.88</v>
      </c>
      <c r="AA86" s="18" t="n">
        <v>293770.24</v>
      </c>
      <c r="AB86" s="19" t="n">
        <v>243632.01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2056.39</v>
      </c>
      <c r="F87" s="9" t="n"/>
      <c r="G87" s="18" t="n">
        <v>2480.8</v>
      </c>
      <c r="H87" s="18" t="n">
        <v>5774.82</v>
      </c>
      <c r="I87" s="18" t="n">
        <v>2620.51</v>
      </c>
      <c r="J87" s="18" t="n">
        <v>2013.74</v>
      </c>
      <c r="K87" s="34" t="n">
        <v>12889.87</v>
      </c>
      <c r="L87" s="18" t="n">
        <v>1966.99</v>
      </c>
      <c r="M87" s="18" t="n">
        <v>4265.44</v>
      </c>
      <c r="N87" s="18" t="n">
        <v>1088.89</v>
      </c>
      <c r="O87" s="18" t="n">
        <v>2335.43</v>
      </c>
      <c r="P87" s="34" t="n">
        <v>9656.75</v>
      </c>
      <c r="Q87" s="18" t="n">
        <v>8087.27</v>
      </c>
      <c r="R87" s="18" t="n">
        <v>1546.34</v>
      </c>
      <c r="S87" s="18" t="n">
        <v>1694.02</v>
      </c>
      <c r="T87" s="18" t="n">
        <v>417.8</v>
      </c>
      <c r="U87" s="34" t="n">
        <v>11745.43</v>
      </c>
      <c r="V87" s="18" t="n">
        <v>1048.17</v>
      </c>
      <c r="W87" s="18" t="n">
        <v>1543.59</v>
      </c>
      <c r="X87" s="18" t="n">
        <v>1570.36</v>
      </c>
      <c r="Y87" s="18" t="n">
        <v>10949</v>
      </c>
      <c r="Z87" s="34" t="n">
        <v>15111.12</v>
      </c>
      <c r="AA87" s="18" t="n">
        <v>1100.54</v>
      </c>
      <c r="AB87" s="19" t="n">
        <v>1288.83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P88" s="9" t="n"/>
      <c r="U88" s="9" t="n"/>
      <c r="Y88" s="18" t="n">
        <v>4302.04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62303.9</v>
      </c>
      <c r="F89" s="9" t="n"/>
      <c r="G89" s="18" t="n">
        <v>91812.63</v>
      </c>
      <c r="H89" s="18" t="n">
        <v>87305.67999999999</v>
      </c>
      <c r="I89" s="18" t="n">
        <v>149675.38</v>
      </c>
      <c r="J89" s="18" t="n">
        <v>155684.48</v>
      </c>
      <c r="K89" s="34" t="n">
        <v>484478.17</v>
      </c>
      <c r="L89" s="18" t="n">
        <v>105523.96</v>
      </c>
      <c r="M89" s="18" t="n">
        <v>128091.59</v>
      </c>
      <c r="N89" s="18" t="n">
        <v>123215.53</v>
      </c>
      <c r="O89" s="18" t="n">
        <v>121380.71</v>
      </c>
      <c r="P89" s="34" t="n">
        <v>478211.79</v>
      </c>
      <c r="Q89" s="18" t="n">
        <v>120412.83</v>
      </c>
      <c r="R89" s="18" t="n">
        <v>122820.64</v>
      </c>
      <c r="S89" s="18" t="n">
        <v>120123.25</v>
      </c>
      <c r="T89" s="18" t="n">
        <v>100106.31</v>
      </c>
      <c r="U89" s="34" t="n">
        <v>463463.03</v>
      </c>
      <c r="V89" s="18" t="n">
        <v>175237.16</v>
      </c>
      <c r="W89" s="18" t="n">
        <v>104565.74</v>
      </c>
      <c r="X89" s="18" t="n">
        <v>125453.28</v>
      </c>
      <c r="Y89" s="18" t="n">
        <v>106687.51</v>
      </c>
      <c r="Z89" s="34" t="n">
        <v>511943.69</v>
      </c>
      <c r="AA89" s="18" t="n">
        <v>122048.95</v>
      </c>
      <c r="AB89" s="19" t="n">
        <v>111617.78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78353.71000000001</v>
      </c>
      <c r="F90" s="9" t="n"/>
      <c r="G90" s="18" t="n">
        <v>95114.82000000001</v>
      </c>
      <c r="H90" s="18" t="n">
        <v>91878.3</v>
      </c>
      <c r="I90" s="18" t="n">
        <v>158409.65</v>
      </c>
      <c r="J90" s="18" t="n">
        <v>168749.16</v>
      </c>
      <c r="K90" s="34" t="n">
        <v>514151.93</v>
      </c>
      <c r="L90" s="18" t="n">
        <v>110954.99</v>
      </c>
      <c r="M90" s="18" t="n">
        <v>135877.15</v>
      </c>
      <c r="N90" s="18" t="n">
        <v>132963.25</v>
      </c>
      <c r="O90" s="18" t="n">
        <v>134110.13</v>
      </c>
      <c r="P90" s="34" t="n">
        <v>513905.52</v>
      </c>
      <c r="Q90" s="18" t="n">
        <v>126871.73</v>
      </c>
      <c r="R90" s="18" t="n">
        <v>129210.58</v>
      </c>
      <c r="S90" s="18" t="n">
        <v>126033.36</v>
      </c>
      <c r="T90" s="18" t="n">
        <v>114482.93</v>
      </c>
      <c r="U90" s="34" t="n">
        <v>496598.6</v>
      </c>
      <c r="V90" s="18" t="n">
        <v>179257.14</v>
      </c>
      <c r="W90" s="18" t="n">
        <v>110604.12</v>
      </c>
      <c r="X90" s="18" t="n">
        <v>131183.27</v>
      </c>
      <c r="Y90" s="18" t="n">
        <v>120445.31</v>
      </c>
      <c r="Z90" s="34" t="n">
        <v>541489.84</v>
      </c>
      <c r="AA90" s="18" t="n">
        <v>125977.26</v>
      </c>
      <c r="AB90" s="19" t="n">
        <v>119933.09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16049.81</v>
      </c>
      <c r="F91" s="9" t="n"/>
      <c r="G91" s="18" t="n">
        <v>3302.19</v>
      </c>
      <c r="H91" s="18" t="n">
        <v>4572.62</v>
      </c>
      <c r="I91" s="18" t="n">
        <v>8734.27</v>
      </c>
      <c r="J91" s="18" t="n">
        <v>13064.68</v>
      </c>
      <c r="K91" s="34" t="n">
        <v>29673.76</v>
      </c>
      <c r="L91" s="18" t="n">
        <v>5431.03</v>
      </c>
      <c r="M91" s="18" t="n">
        <v>7785.56</v>
      </c>
      <c r="N91" s="18" t="n">
        <v>9747.719999999999</v>
      </c>
      <c r="O91" s="18" t="n">
        <v>12729.42</v>
      </c>
      <c r="P91" s="34" t="n">
        <v>35693.73</v>
      </c>
      <c r="Q91" s="18" t="n">
        <v>6458.9</v>
      </c>
      <c r="R91" s="18" t="n">
        <v>6389.94</v>
      </c>
      <c r="S91" s="18" t="n">
        <v>5910.11</v>
      </c>
      <c r="T91" s="18" t="n">
        <v>14376.62</v>
      </c>
      <c r="U91" s="34" t="n">
        <v>33135.57</v>
      </c>
      <c r="V91" s="18" t="n">
        <v>4019.98</v>
      </c>
      <c r="W91" s="18" t="n">
        <v>6038.38</v>
      </c>
      <c r="X91" s="18" t="n">
        <v>5729.99</v>
      </c>
      <c r="Y91" s="18" t="n">
        <v>13757.8</v>
      </c>
      <c r="Z91" s="34" t="n">
        <v>29546.15</v>
      </c>
      <c r="AA91" s="18" t="n">
        <v>3928.31</v>
      </c>
      <c r="AB91" s="19" t="n">
        <v>8315.309999999999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-622870.95</v>
      </c>
      <c r="F92" s="9" t="n"/>
      <c r="G92" s="18" t="n">
        <v>-95362.07000000001</v>
      </c>
      <c r="H92" s="18" t="n">
        <v>-178120.91</v>
      </c>
      <c r="I92" s="18" t="n">
        <v>-135820.98</v>
      </c>
      <c r="J92" s="18" t="n">
        <v>-523535.82</v>
      </c>
      <c r="K92" s="34" t="n">
        <v>-932839.78</v>
      </c>
      <c r="L92" s="18" t="n">
        <v>138322.86</v>
      </c>
      <c r="M92" s="18" t="n">
        <v>414850.68</v>
      </c>
      <c r="N92" s="18" t="n">
        <v>113803.16</v>
      </c>
      <c r="O92" s="18" t="n">
        <v>-164215.61</v>
      </c>
      <c r="P92" s="34" t="n">
        <v>502761.09</v>
      </c>
      <c r="Q92" s="18" t="n">
        <v>-387471.4</v>
      </c>
      <c r="R92" s="18" t="n">
        <v>-887799.77</v>
      </c>
      <c r="S92" s="18" t="n">
        <v>-410559.44</v>
      </c>
      <c r="T92" s="18" t="n">
        <v>-363002.6</v>
      </c>
      <c r="U92" s="34" t="n">
        <v>-2048833.21</v>
      </c>
      <c r="V92" s="18" t="n">
        <v>-62114.37</v>
      </c>
      <c r="W92" s="18" t="n">
        <v>-425025.23</v>
      </c>
      <c r="X92" s="18" t="n">
        <v>-247235.03</v>
      </c>
      <c r="Y92" s="18" t="n">
        <v>-125878.4</v>
      </c>
      <c r="Z92" s="34" t="n">
        <v>-860253.03</v>
      </c>
      <c r="AA92" s="18" t="n">
        <v>-69987.42</v>
      </c>
      <c r="AB92" s="19" t="n">
        <v>-513509.12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2453.37</v>
      </c>
      <c r="F93" s="9" t="n"/>
      <c r="G93" s="18" t="n">
        <v>1886.57</v>
      </c>
      <c r="H93" s="18" t="n">
        <v>3102.07</v>
      </c>
      <c r="I93" s="18" t="n">
        <v>2332.63</v>
      </c>
      <c r="J93" s="18" t="n">
        <v>2315.67</v>
      </c>
      <c r="K93" s="34" t="n">
        <v>9636.940000000001</v>
      </c>
      <c r="L93" s="18" t="n">
        <v>2931.79</v>
      </c>
      <c r="M93" s="18" t="n">
        <v>4393.52</v>
      </c>
      <c r="N93" s="18" t="n">
        <v>3628.15</v>
      </c>
      <c r="O93" s="18" t="n">
        <v>2847.63</v>
      </c>
      <c r="P93" s="34" t="n">
        <v>13801.09</v>
      </c>
      <c r="Q93" s="18" t="n">
        <v>3290.26</v>
      </c>
      <c r="R93" s="18" t="n">
        <v>4426.5</v>
      </c>
      <c r="S93" s="18" t="n">
        <v>3701.96</v>
      </c>
      <c r="T93" s="18" t="n">
        <v>2871.35</v>
      </c>
      <c r="U93" s="34" t="n">
        <v>14290.07</v>
      </c>
      <c r="V93" s="18" t="n">
        <v>3555.6</v>
      </c>
      <c r="W93" s="18" t="n">
        <v>4558.99</v>
      </c>
      <c r="X93" s="18" t="n">
        <v>3744.14</v>
      </c>
      <c r="Y93" s="18" t="n">
        <v>3381.45</v>
      </c>
      <c r="Z93" s="34" t="n">
        <v>15240.18</v>
      </c>
      <c r="AA93" s="18" t="n">
        <v>4987.42</v>
      </c>
      <c r="AB93" s="19" t="n">
        <v>5827.77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-643001.1</v>
      </c>
      <c r="F94" s="9" t="n"/>
      <c r="G94" s="18" t="n">
        <v>-358846.18</v>
      </c>
      <c r="H94" s="18" t="n">
        <v>-130905.36</v>
      </c>
      <c r="I94" s="18" t="n">
        <v>-133560.13</v>
      </c>
      <c r="J94" s="18" t="n">
        <v>-769931.63</v>
      </c>
      <c r="K94" s="34" t="n">
        <v>-1393243.3</v>
      </c>
      <c r="L94" s="18" t="n">
        <v>100595.53</v>
      </c>
      <c r="M94" s="18" t="n">
        <v>-81416.5</v>
      </c>
      <c r="N94" s="18" t="n">
        <v>250681.28</v>
      </c>
      <c r="O94" s="18" t="n">
        <v>-85965.32000000001</v>
      </c>
      <c r="P94" s="34" t="n">
        <v>183894.99</v>
      </c>
      <c r="Q94" s="18" t="n">
        <v>-199451.33</v>
      </c>
      <c r="R94" s="18" t="n">
        <v>41432.6</v>
      </c>
      <c r="S94" s="18" t="n">
        <v>-501497.87</v>
      </c>
      <c r="T94" s="18" t="n">
        <v>989340.64</v>
      </c>
      <c r="U94" s="34" t="n">
        <v>329824.04</v>
      </c>
      <c r="V94" s="18" t="n">
        <v>1478934.76</v>
      </c>
      <c r="W94" s="18" t="n">
        <v>-381837.27</v>
      </c>
      <c r="X94" s="18" t="n">
        <v>133.24</v>
      </c>
      <c r="Y94" s="18" t="n">
        <v>-485180.19</v>
      </c>
      <c r="Z94" s="34" t="n">
        <v>612050.54</v>
      </c>
      <c r="AA94" s="18" t="n">
        <v>1105538.14</v>
      </c>
      <c r="AB94" s="19" t="n">
        <v>1575457.4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-643001.09</v>
      </c>
      <c r="F95" s="9" t="n"/>
      <c r="G95" s="18" t="n">
        <v>1778545.24</v>
      </c>
      <c r="H95" s="18" t="n">
        <v>-130905.36</v>
      </c>
      <c r="I95" s="18" t="n">
        <v>-133560.13</v>
      </c>
      <c r="J95" s="18" t="n">
        <v>-769931.63</v>
      </c>
      <c r="K95" s="34" t="n">
        <v>744148.12</v>
      </c>
      <c r="L95" s="18" t="n">
        <v>844743.65</v>
      </c>
      <c r="M95" s="18" t="n">
        <v>-81416.5</v>
      </c>
      <c r="N95" s="18" t="n">
        <v>250681.28</v>
      </c>
      <c r="O95" s="18" t="n">
        <v>-85965.32000000001</v>
      </c>
      <c r="P95" s="34" t="n">
        <v>928043.11</v>
      </c>
      <c r="Q95" s="18" t="n">
        <v>728591.78</v>
      </c>
      <c r="R95" s="18" t="n">
        <v>41432.6</v>
      </c>
      <c r="S95" s="18" t="n">
        <v>-501497.88</v>
      </c>
      <c r="T95" s="18" t="n">
        <v>989340.65</v>
      </c>
      <c r="U95" s="34" t="n">
        <v>1257867.15</v>
      </c>
      <c r="V95" s="18" t="n">
        <v>2736801.91</v>
      </c>
      <c r="W95" s="18" t="n">
        <v>-381837.27</v>
      </c>
      <c r="X95" s="18" t="n">
        <v>133.24</v>
      </c>
      <c r="Y95" s="18" t="n">
        <v>-485180.18</v>
      </c>
      <c r="Z95" s="34" t="n">
        <v>1869917.7</v>
      </c>
      <c r="AA95" s="18" t="n">
        <v>2975455.83</v>
      </c>
      <c r="AB95" s="19" t="n">
        <v>1575457.4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G96" s="18" t="n">
        <v>8594.1</v>
      </c>
      <c r="H96" s="18" t="n">
        <v>7303.85</v>
      </c>
      <c r="I96" s="18" t="n">
        <v>12751.3</v>
      </c>
      <c r="J96" s="18" t="n">
        <v>12732.93</v>
      </c>
      <c r="K96" s="34" t="n">
        <v>41382.18</v>
      </c>
      <c r="L96" s="18" t="n">
        <v>15412.13</v>
      </c>
      <c r="M96" s="18" t="n">
        <v>9332.139999999999</v>
      </c>
      <c r="N96" s="18" t="n">
        <v>5934.15</v>
      </c>
      <c r="O96" s="18" t="n">
        <v>17831.09</v>
      </c>
      <c r="P96" s="34" t="n">
        <v>48509.51</v>
      </c>
      <c r="Q96" s="18" t="n">
        <v>24353.27</v>
      </c>
      <c r="R96" s="18" t="n">
        <v>9311.389999999999</v>
      </c>
      <c r="S96" s="18" t="n">
        <v>13873.98</v>
      </c>
      <c r="T96" s="18" t="n">
        <v>10496.3</v>
      </c>
      <c r="U96" s="34" t="n">
        <v>58034.94</v>
      </c>
      <c r="V96" s="18" t="n">
        <v>19803.26</v>
      </c>
      <c r="W96" s="18" t="n">
        <v>18515.52</v>
      </c>
      <c r="X96" s="18" t="n">
        <v>22576.83</v>
      </c>
      <c r="Y96" s="18" t="n">
        <v>21286.56</v>
      </c>
      <c r="Z96" s="34" t="n">
        <v>82182.17</v>
      </c>
      <c r="AA96" s="18" t="n">
        <v>30770.58</v>
      </c>
      <c r="AB96" s="19" t="n">
        <v>34386.95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G97" s="18" t="n">
        <v>-20605.67</v>
      </c>
      <c r="H97" s="18" t="n">
        <v>-12784.61</v>
      </c>
      <c r="I97" s="18" t="n">
        <v>-24186.27</v>
      </c>
      <c r="J97" s="18" t="n">
        <v>-19366.21</v>
      </c>
      <c r="K97" s="34" t="n">
        <v>-76942.75999999999</v>
      </c>
      <c r="L97" s="18" t="n">
        <v>-28830.55</v>
      </c>
      <c r="M97" s="18" t="n">
        <v>-20642.24</v>
      </c>
      <c r="N97" s="18" t="n">
        <v>-21712.23</v>
      </c>
      <c r="O97" s="18" t="n">
        <v>-45460.85</v>
      </c>
      <c r="P97" s="34" t="n">
        <v>-116645.87</v>
      </c>
      <c r="Q97" s="18" t="n">
        <v>-44786.48</v>
      </c>
      <c r="R97" s="18" t="n">
        <v>-26638.68</v>
      </c>
      <c r="S97" s="18" t="n">
        <v>-32189.77</v>
      </c>
      <c r="T97" s="18" t="n">
        <v>-11149.66</v>
      </c>
      <c r="U97" s="34" t="n">
        <v>-114764.59</v>
      </c>
      <c r="V97" s="18" t="n">
        <v>-18438.26</v>
      </c>
      <c r="W97" s="18" t="n">
        <v>-5623.36</v>
      </c>
      <c r="X97" s="18" t="n">
        <v>-14560.83</v>
      </c>
      <c r="Y97" s="18" t="n">
        <v>-753.1799999999999</v>
      </c>
      <c r="Z97" s="34" t="n">
        <v>-39375.63</v>
      </c>
      <c r="AA97" s="18" t="n">
        <v>-11493.62</v>
      </c>
      <c r="AB97" s="19" t="n">
        <v>1638.29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법인세납부(CF)</t>
        </is>
      </c>
      <c r="F98" s="9" t="n"/>
      <c r="G98" s="18" t="n">
        <v>-1240.81</v>
      </c>
      <c r="H98" s="18" t="n">
        <v>1222.79</v>
      </c>
      <c r="I98" s="18" t="n">
        <v>-2355.24</v>
      </c>
      <c r="J98" s="18" t="n">
        <v>-2375.07</v>
      </c>
      <c r="K98" s="34" t="n">
        <v>-4748.33</v>
      </c>
      <c r="L98" s="18" t="n">
        <v>-1658.95</v>
      </c>
      <c r="M98" s="18" t="n">
        <v>2265.66</v>
      </c>
      <c r="N98" s="18" t="n">
        <v>-1210.13</v>
      </c>
      <c r="O98" s="18" t="n">
        <v>-1867.94</v>
      </c>
      <c r="P98" s="34" t="n">
        <v>-2471.36</v>
      </c>
      <c r="Q98" s="18" t="n">
        <v>-928.64</v>
      </c>
      <c r="R98" s="18" t="n">
        <v>2827.82</v>
      </c>
      <c r="S98" s="18" t="n">
        <v>-2446.18</v>
      </c>
      <c r="T98" s="18" t="n">
        <v>-1677.46</v>
      </c>
      <c r="U98" s="34" t="n">
        <v>-2224.46</v>
      </c>
      <c r="V98" s="18" t="n">
        <v>-6393.32</v>
      </c>
      <c r="W98" s="18" t="n">
        <v>-11760.32</v>
      </c>
      <c r="X98" s="18" t="n">
        <v>-28446.78</v>
      </c>
      <c r="Y98" s="18" t="n">
        <v>-4265.66</v>
      </c>
      <c r="Z98" s="34" t="n">
        <v>-50866.08</v>
      </c>
      <c r="AA98" s="18" t="n">
        <v>-17729.77</v>
      </c>
      <c r="AB98" s="19" t="n">
        <v>-30995.92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0</v>
      </c>
      <c r="T99" s="18" t="n">
        <v>0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F100" s="9" t="n"/>
      <c r="K100" s="9" t="n"/>
      <c r="P100" s="9" t="n"/>
      <c r="U100" s="9" t="n"/>
      <c r="X100" s="18" t="n">
        <v>148339.88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4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4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4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4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4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4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4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4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4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4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4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4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4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4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4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4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4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4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4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4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4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4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4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4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4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4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4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4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4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4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4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4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4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4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4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4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4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4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4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4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4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4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4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4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4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4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4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4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4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4" t="n">
        <v>4719.32</v>
      </c>
      <c r="K15" s="9" t="n"/>
      <c r="O15" s="18" t="n">
        <v>0</v>
      </c>
      <c r="P15" s="34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4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4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4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4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4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4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4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4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4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4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4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4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4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4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4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4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4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4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4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4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4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4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4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4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4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4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4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4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4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4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4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4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4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4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4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4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4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4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4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4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4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4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4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4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4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4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4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4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4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4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4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4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4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4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4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4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4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4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4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4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4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4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4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4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4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4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4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4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4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4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4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4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4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4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4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4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4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4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4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4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4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4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4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4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4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4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4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4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4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4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4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4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4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4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4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4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4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4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4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4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4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4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4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4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4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4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4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4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4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4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4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4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4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4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4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4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4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4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4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4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4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4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4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4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4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4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4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4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4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4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4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4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4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4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4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4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4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4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4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4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4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4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4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4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4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4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4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4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4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4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4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4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4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4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4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4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4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4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4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4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4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4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4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4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4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4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4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4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4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4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4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4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4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4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4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4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4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4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4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4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4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4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4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4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4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4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4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4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4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4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4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4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4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4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4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4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4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4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4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4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4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4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4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4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4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4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4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4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4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4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4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4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4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4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4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4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4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4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4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4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4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4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4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4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4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4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4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4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4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4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4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4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4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4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4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4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4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4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4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4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4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4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4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4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4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4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4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4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4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4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4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4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4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4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4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4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4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4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4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4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4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4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4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4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4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4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4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4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4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4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4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4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4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4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4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4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4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4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4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4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4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4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4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4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4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4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4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4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4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4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4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4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4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4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4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4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4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4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4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4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4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4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4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4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4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4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4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4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4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4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4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4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4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4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4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4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4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4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4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4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4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4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4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4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4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4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4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4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4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4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4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4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4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4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4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4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4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4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4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4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4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4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4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4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4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4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4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4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4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4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-0.1942</v>
      </c>
      <c r="F10" s="34" t="n"/>
      <c r="G10" s="18" t="n">
        <v>-0.1086</v>
      </c>
      <c r="H10" s="18" t="n">
        <v>-0.05</v>
      </c>
      <c r="I10" s="18" t="n">
        <v>0.0065</v>
      </c>
      <c r="J10" s="18" t="n">
        <v>0.0083</v>
      </c>
      <c r="K10" s="34">
        <f>SUM(G10:J10)</f>
        <v/>
      </c>
      <c r="L10" s="18" t="n">
        <v>-0.0158</v>
      </c>
      <c r="M10" s="18" t="n">
        <v>0.0224</v>
      </c>
      <c r="N10" s="18" t="n">
        <v>0.0045</v>
      </c>
      <c r="O10" s="18" t="n">
        <v>0.0406</v>
      </c>
      <c r="P10" s="34">
        <f>SUM(L10:O10)</f>
        <v/>
      </c>
      <c r="Q10" s="18" t="n">
        <v>0.0071</v>
      </c>
      <c r="R10" s="18" t="n">
        <v>0.0504</v>
      </c>
      <c r="S10" s="18" t="n">
        <v>0.0571</v>
      </c>
      <c r="T10" s="18" t="n">
        <v>0.0704</v>
      </c>
      <c r="U10" s="34">
        <f>SUM(Q10:T10)</f>
        <v/>
      </c>
      <c r="V10" s="18" t="n">
        <v>0.1135</v>
      </c>
      <c r="W10" s="18" t="n">
        <v>0.1137</v>
      </c>
      <c r="X10" s="18" t="n">
        <v>0.1261</v>
      </c>
      <c r="Y10" s="18" t="n">
        <v>0.1107</v>
      </c>
      <c r="Z10" s="34">
        <f>SUM(V10:Y10)</f>
        <v/>
      </c>
      <c r="AA10" s="18" t="n">
        <v>0.153</v>
      </c>
      <c r="AB10" s="19" t="n">
        <v>0.1642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환관련손익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환관련손익(모델 추정분)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IFERROR(AC9+AC11+AC12+AC13+AC14,"")</f>
        <v/>
      </c>
      <c r="AD15" s="20">
        <f>IFERROR(AD9+AD11+AD12+AD13+AD14,"")</f>
        <v/>
      </c>
      <c r="AE15" s="35">
        <f>SUM(AA15:AD15)</f>
        <v/>
      </c>
      <c r="AF15" s="20">
        <f>IFERROR(AF9+AF11+AF12+AF13+AF14,"")</f>
        <v/>
      </c>
      <c r="AG15" s="20">
        <f>IFERROR(AG9+AG11+AG12+AG13+AG14,"")</f>
        <v/>
      </c>
      <c r="AH15" s="20">
        <f>IFERROR(AH9+AH11+AH12+AH13+AH14,"")</f>
        <v/>
      </c>
      <c r="AI15" s="20">
        <f>IFERROR(AI9+AI11+AI12+AI13+AI14,"")</f>
        <v/>
      </c>
      <c r="AJ15" s="35">
        <f>SUM(AF15:AI15)</f>
        <v/>
      </c>
      <c r="AK15" s="20">
        <f>IFERROR(AK9+AK11+AK12+AK13+AK14,"")</f>
        <v/>
      </c>
      <c r="AL15" s="20">
        <f>IFERROR(AL9+AL11+AL12+AL13+AL14,"")</f>
        <v/>
      </c>
      <c r="AM15" s="20">
        <f>IFERROR(AM9+AM11+AM12+AM13+AM14,"")</f>
        <v/>
      </c>
      <c r="AN15" s="20">
        <f>IFERROR(AN9+AN11+AN12+AN13+AN14,"")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7.58</v>
      </c>
      <c r="F28" s="34" t="n"/>
      <c r="G28" s="18" t="n">
        <v>-1601.91</v>
      </c>
      <c r="H28" s="18" t="n">
        <v>1606.87</v>
      </c>
      <c r="I28" s="18" t="n">
        <v>1289.06</v>
      </c>
      <c r="J28" s="18" t="n">
        <v>-581.84</v>
      </c>
      <c r="K28" s="34">
        <f>SUM(G28:J28)</f>
        <v/>
      </c>
      <c r="L28" s="18" t="n">
        <v>678.05</v>
      </c>
      <c r="M28" s="18" t="n">
        <v>-3885.46</v>
      </c>
      <c r="N28" s="18" t="n">
        <v>2683.96</v>
      </c>
      <c r="O28" s="18" t="n">
        <v>2211.82</v>
      </c>
      <c r="P28" s="34">
        <f>SUM(L28:O28)</f>
        <v/>
      </c>
      <c r="Q28" s="18" t="n">
        <v>3109.92</v>
      </c>
      <c r="R28" s="18" t="n">
        <v>10544.96</v>
      </c>
      <c r="S28" s="18" t="n">
        <v>453.7</v>
      </c>
      <c r="T28" s="18" t="n">
        <v>14730.25</v>
      </c>
      <c r="U28" s="34">
        <f>SUM(Q28:T28)</f>
        <v/>
      </c>
      <c r="V28" s="18" t="n">
        <v>17047.5</v>
      </c>
      <c r="W28" s="18" t="n">
        <v>5013.75</v>
      </c>
      <c r="X28" s="18" t="n">
        <v>15752.4</v>
      </c>
      <c r="Y28" s="18" t="n">
        <v>-2709.72</v>
      </c>
      <c r="Z28" s="34">
        <f>SUM(V28:Y28)</f>
        <v/>
      </c>
      <c r="AA28" s="18" t="n">
        <v>8833.6</v>
      </c>
      <c r="AB28" s="19" t="n">
        <v>18426.9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88.773</v>
      </c>
      <c r="F29" s="27">
        <f>E29</f>
        <v/>
      </c>
      <c r="G29" s="26" t="n">
        <v>88.773</v>
      </c>
      <c r="H29" s="26" t="n">
        <v>88.773</v>
      </c>
      <c r="I29" s="26" t="n">
        <v>88.773</v>
      </c>
      <c r="J29" s="26" t="n">
        <v>88.773</v>
      </c>
      <c r="K29" s="27">
        <f>J29</f>
        <v/>
      </c>
      <c r="L29" s="26" t="n">
        <v>88.773</v>
      </c>
      <c r="M29" s="26" t="n">
        <v>88.773</v>
      </c>
      <c r="N29" s="26" t="n">
        <v>88.773</v>
      </c>
      <c r="O29" s="26" t="n">
        <v>88.773</v>
      </c>
      <c r="P29" s="27">
        <f>O29</f>
        <v/>
      </c>
      <c r="Q29" s="26" t="n">
        <v>88.773</v>
      </c>
      <c r="R29" s="26" t="n">
        <v>88.773</v>
      </c>
      <c r="S29" s="26" t="n">
        <v>88.773</v>
      </c>
      <c r="T29" s="26" t="n">
        <v>88.773</v>
      </c>
      <c r="U29" s="27">
        <f>T29</f>
        <v/>
      </c>
      <c r="V29" s="26" t="n">
        <v>88.773</v>
      </c>
      <c r="W29" s="26" t="n">
        <v>88.773</v>
      </c>
      <c r="X29" s="26" t="n">
        <v>88.773</v>
      </c>
      <c r="Y29" s="26" t="n">
        <v>104.933</v>
      </c>
      <c r="Z29" s="27">
        <f>Y29</f>
        <v/>
      </c>
      <c r="AA29" s="26" t="n">
        <v>104.933</v>
      </c>
      <c r="AB29" s="28" t="n">
        <v>104.933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4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2090</v>
      </c>
      <c r="U32" s="34">
        <f>SUM(Q32:T32)</f>
        <v/>
      </c>
      <c r="V32" s="18" t="n"/>
      <c r="W32" s="18" t="n"/>
      <c r="X32" s="18" t="n"/>
      <c r="Y32" s="18" t="n">
        <v>5661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>
        <v>421.19</v>
      </c>
      <c r="P33" s="34">
        <f>SUM(L33:O33)</f>
        <v/>
      </c>
      <c r="Q33" s="18" t="n">
        <v>140.49</v>
      </c>
      <c r="R33" s="18" t="n">
        <v>57.43</v>
      </c>
      <c r="S33" s="18" t="n">
        <v>57.6</v>
      </c>
      <c r="T33" s="18" t="n">
        <v>30.68</v>
      </c>
      <c r="U33" s="34">
        <f>SUM(Q33:T33)</f>
        <v/>
      </c>
      <c r="V33" s="18" t="n">
        <v>31.12</v>
      </c>
      <c r="W33" s="18" t="n">
        <v>37.23</v>
      </c>
      <c r="X33" s="18" t="n">
        <v>31.88</v>
      </c>
      <c r="Y33" s="18" t="n">
        <v>36.27</v>
      </c>
      <c r="Z33" s="34">
        <f>SUM(V33:Y33)</f>
        <v/>
      </c>
      <c r="AA33" s="18" t="n">
        <v>29.72</v>
      </c>
      <c r="AB33" s="19" t="n">
        <v>24.95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1.68</v>
      </c>
      <c r="F34" s="34" t="n">
        <v>1.51</v>
      </c>
      <c r="G34" s="18" t="n">
        <v>1.74</v>
      </c>
      <c r="H34" s="18" t="n">
        <v>2.16</v>
      </c>
      <c r="I34" s="18" t="n">
        <v>2.11</v>
      </c>
      <c r="J34" s="18" t="n">
        <v>1.94</v>
      </c>
      <c r="K34" s="34">
        <f>SUM(G34:J34)</f>
        <v/>
      </c>
      <c r="L34" s="18" t="n">
        <v>1.78</v>
      </c>
      <c r="M34" s="18" t="n">
        <v>1.94</v>
      </c>
      <c r="N34" s="18" t="n">
        <v>2.22</v>
      </c>
      <c r="O34" s="18" t="n">
        <v>2</v>
      </c>
      <c r="P34" s="34">
        <f>SUM(L34:O34)</f>
        <v/>
      </c>
      <c r="Q34" s="18" t="n">
        <v>1.98</v>
      </c>
      <c r="R34" s="18" t="n">
        <v>2.18</v>
      </c>
      <c r="S34" s="18" t="n">
        <v>3.02</v>
      </c>
      <c r="T34" s="18" t="n">
        <v>3.34</v>
      </c>
      <c r="U34" s="34">
        <f>SUM(Q34:T34)</f>
        <v/>
      </c>
      <c r="V34" s="18" t="n">
        <v>4.7</v>
      </c>
      <c r="W34" s="18" t="n">
        <v>5.62</v>
      </c>
      <c r="X34" s="18" t="n">
        <v>6.37</v>
      </c>
      <c r="Y34" s="18" t="n">
        <v>6.15</v>
      </c>
      <c r="Z34" s="34">
        <f>SUM(V34:Y34)</f>
        <v/>
      </c>
      <c r="AA34" s="18" t="n">
        <v>6.19</v>
      </c>
      <c r="AB34" s="19" t="n">
        <v>6.14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조선·해양(조선·해양플랜트)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>
        <v>21403.13</v>
      </c>
      <c r="O35" s="18" t="n">
        <v>25569.47</v>
      </c>
      <c r="P35" s="34">
        <f>SUM(L35:O35)</f>
        <v/>
      </c>
      <c r="Q35" s="18" t="n">
        <v>22676</v>
      </c>
      <c r="R35" s="18" t="n">
        <v>29978.88</v>
      </c>
      <c r="S35" s="18" t="n">
        <v>27807.18</v>
      </c>
      <c r="T35" s="18" t="n">
        <v>32262.4</v>
      </c>
      <c r="U35" s="34">
        <f>SUM(Q35:T35)</f>
        <v/>
      </c>
      <c r="V35" s="18" t="n">
        <v>29023.67</v>
      </c>
      <c r="W35" s="18" t="n">
        <v>30956.65</v>
      </c>
      <c r="X35" s="18" t="n">
        <v>33355.92</v>
      </c>
      <c r="Y35" s="18" t="n">
        <v>43685.01</v>
      </c>
      <c r="Z35" s="34">
        <f>SUM(V35:Y35)</f>
        <v/>
      </c>
      <c r="AA35" s="18" t="n">
        <v>50177.88</v>
      </c>
      <c r="AB35" s="19" t="n">
        <v>53554.92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조선·해양(조선·해양플랜트)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/>
      <c r="S36" s="18" t="n"/>
      <c r="T36" s="18" t="n"/>
      <c r="U36" s="34">
        <f>SUM(Q36:T36)</f>
        <v/>
      </c>
      <c r="V36" s="18" t="n"/>
      <c r="W36" s="18" t="n"/>
      <c r="X36" s="18" t="n"/>
      <c r="Y36" s="18" t="n"/>
      <c r="Z36" s="34">
        <f>SUM(V36:Y36)</f>
        <v/>
      </c>
      <c r="AA36" s="18" t="n"/>
      <c r="AB36" s="19" t="n"/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A37" s="12" t="inlineStr">
        <is>
          <t>매출기타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>
        <v>7132.13</v>
      </c>
      <c r="O37" s="18" t="n">
        <v>8561.65</v>
      </c>
      <c r="P37" s="34">
        <f>SUM(L37:O37)</f>
        <v/>
      </c>
      <c r="Q37" s="18" t="n">
        <v>7201.45</v>
      </c>
      <c r="R37" s="18" t="n">
        <v>8860.950000000001</v>
      </c>
      <c r="S37" s="18" t="n">
        <v>8284.58</v>
      </c>
      <c r="T37" s="18" t="n">
        <v>7793.1</v>
      </c>
      <c r="U37" s="34">
        <f>SUM(Q37:T37)</f>
        <v/>
      </c>
      <c r="V37" s="18" t="n">
        <v>9201.49</v>
      </c>
      <c r="W37" s="18" t="n">
        <v>10514.6</v>
      </c>
      <c r="X37" s="18" t="n">
        <v>10823.06</v>
      </c>
      <c r="Y37" s="18" t="n">
        <v>8245.93</v>
      </c>
      <c r="Z37" s="34">
        <f>SUM(V37:Y37)</f>
        <v/>
      </c>
      <c r="AA37" s="18" t="n">
        <v>8985.440000000001</v>
      </c>
      <c r="AB37" s="19" t="n">
        <v>9766.629999999999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기타 부문(총매출 − 조선)</t>
        </is>
      </c>
      <c r="E38" s="18" t="n"/>
      <c r="F38" s="34" t="n"/>
      <c r="G38" s="18" t="n"/>
      <c r="H38" s="18" t="n"/>
      <c r="I38" s="18" t="n"/>
      <c r="J38" s="18" t="n"/>
      <c r="K38" s="34">
        <f>SUM(G38:J38)</f>
        <v/>
      </c>
      <c r="L38" s="18" t="n"/>
      <c r="M38" s="18" t="n"/>
      <c r="N38" s="18" t="n"/>
      <c r="O38" s="18" t="n"/>
      <c r="P38" s="34">
        <f>SUM(L38:O38)</f>
        <v/>
      </c>
      <c r="Q38" s="18" t="n"/>
      <c r="R38" s="18" t="n"/>
      <c r="S38" s="18" t="n"/>
      <c r="T38" s="18" t="n"/>
      <c r="U38" s="34">
        <f>SUM(Q38:T38)</f>
        <v/>
      </c>
      <c r="V38" s="18" t="n"/>
      <c r="W38" s="18" t="n"/>
      <c r="X38" s="18" t="n"/>
      <c r="Y38" s="18" t="n"/>
      <c r="Z38" s="34">
        <f>SUM(V38:Y38)</f>
        <v/>
      </c>
      <c r="AA38" s="18" t="n"/>
      <c r="AB38" s="19" t="n"/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93.958</v>
      </c>
      <c r="F5" s="26" t="n">
        <v>93.958</v>
      </c>
      <c r="G5" s="26" t="n">
        <v>106.816</v>
      </c>
      <c r="H5" s="26" t="n">
        <v>124.281</v>
      </c>
      <c r="I5" s="26" t="n">
        <v>128.711</v>
      </c>
      <c r="J5" s="26" t="n">
        <v>151.155</v>
      </c>
      <c r="K5" s="26" t="n">
        <v>289.244</v>
      </c>
      <c r="L5" s="26" t="n">
        <v>378.996</v>
      </c>
      <c r="M5" s="26" t="n">
        <v>534.1180000000001</v>
      </c>
      <c r="N5" s="26" t="n">
        <v>638.164</v>
      </c>
      <c r="O5" s="26" t="n">
        <v>885.264</v>
      </c>
      <c r="P5" s="26" t="n">
        <v>1285.208</v>
      </c>
      <c r="Q5" s="26" t="n">
        <v>1558.259</v>
      </c>
      <c r="R5" s="26" t="n">
        <v>1608.198</v>
      </c>
      <c r="S5" s="26" t="n">
        <v>1573.237</v>
      </c>
      <c r="T5" s="26" t="n">
        <v>1498.802</v>
      </c>
      <c r="U5" s="26" t="n">
        <v>1499.739</v>
      </c>
      <c r="V5" s="26" t="n">
        <v>1445.284</v>
      </c>
      <c r="W5" s="26" t="n">
        <v>1380.22</v>
      </c>
      <c r="X5" s="26" t="n">
        <v>1333.6</v>
      </c>
      <c r="Y5" s="26" t="n">
        <v>1241.049</v>
      </c>
      <c r="Z5" s="26" t="n">
        <v>1114.616</v>
      </c>
      <c r="AA5" s="26" t="n">
        <v>733.34</v>
      </c>
      <c r="AB5" s="26" t="n">
        <v>575.304</v>
      </c>
      <c r="AC5" s="26" t="n">
        <v>471.471</v>
      </c>
      <c r="AD5" s="26" t="n">
        <v>300.196</v>
      </c>
      <c r="AE5" s="26" t="n">
        <v>174.115</v>
      </c>
      <c r="AF5" s="26" t="n">
        <v>151.004</v>
      </c>
      <c r="AG5" s="26" t="n">
        <v>65.84399999999999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187.916</v>
      </c>
      <c r="AV5" s="26" t="n">
        <v>510.963</v>
      </c>
      <c r="AW5" s="26" t="n">
        <v>1840.522</v>
      </c>
      <c r="AX5" s="26" t="n">
        <v>5336.929</v>
      </c>
      <c r="AY5" s="26" t="n">
        <v>6017.062</v>
      </c>
      <c r="AZ5" s="26" t="n">
        <v>5069.485</v>
      </c>
      <c r="BA5" s="26" t="n">
        <v>2080.311</v>
      </c>
      <c r="BB5" s="26" t="n">
        <v>424.89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type:OFFSH</t>
        </is>
      </c>
      <c r="D6" t="inlineStr">
        <is>
          <t>선종 OFFSH</t>
        </is>
      </c>
      <c r="E6" s="26" t="n">
        <v>93.958</v>
      </c>
      <c r="F6" s="26" t="n">
        <v>93.958</v>
      </c>
      <c r="G6" s="26" t="n">
        <v>92.937</v>
      </c>
      <c r="H6" s="26" t="n">
        <v>92.937</v>
      </c>
      <c r="I6" s="26" t="n">
        <v>93.958</v>
      </c>
      <c r="J6" s="26" t="n">
        <v>93.958</v>
      </c>
      <c r="K6" s="26" t="n">
        <v>91.91500000000001</v>
      </c>
      <c r="L6" s="26" t="n">
        <v>92.937</v>
      </c>
      <c r="M6" s="26" t="n">
        <v>93.958</v>
      </c>
      <c r="N6" s="26" t="n">
        <v>93.958</v>
      </c>
      <c r="O6" s="26" t="n">
        <v>91.91500000000001</v>
      </c>
      <c r="P6" s="26" t="n">
        <v>92.937</v>
      </c>
      <c r="Q6" s="26" t="n">
        <v>93.958</v>
      </c>
      <c r="R6" s="26" t="n">
        <v>93.958</v>
      </c>
      <c r="S6" s="26" t="n">
        <v>91.91500000000001</v>
      </c>
      <c r="T6" s="26" t="n">
        <v>1.021</v>
      </c>
      <c r="AU6" s="26" t="n">
        <v>187.916</v>
      </c>
      <c r="AV6" s="26" t="n">
        <v>373.79</v>
      </c>
      <c r="AW6" s="26" t="n">
        <v>372.768</v>
      </c>
      <c r="AX6" s="26" t="n">
        <v>372.768</v>
      </c>
      <c r="AY6" s="26" t="n">
        <v>92.93600000000001</v>
      </c>
    </row>
    <row r="7">
      <c r="A7" s="12" t="inlineStr">
        <is>
          <t>type:VLGC</t>
        </is>
      </c>
      <c r="D7" t="inlineStr">
        <is>
          <t>선종 VLGC</t>
        </is>
      </c>
      <c r="G7" s="26" t="n">
        <v>13.879</v>
      </c>
      <c r="H7" s="26" t="n">
        <v>15.987</v>
      </c>
      <c r="I7" s="26" t="n">
        <v>16.163</v>
      </c>
      <c r="J7" s="26" t="n">
        <v>26.193</v>
      </c>
      <c r="K7" s="26" t="n">
        <v>42.224</v>
      </c>
      <c r="L7" s="26" t="n">
        <v>55.898</v>
      </c>
      <c r="M7" s="26" t="n">
        <v>56.513</v>
      </c>
      <c r="N7" s="26" t="n">
        <v>62.085</v>
      </c>
      <c r="O7" s="26" t="n">
        <v>78.07899999999999</v>
      </c>
      <c r="P7" s="26" t="n">
        <v>176.553</v>
      </c>
      <c r="Q7" s="26" t="n">
        <v>261.304</v>
      </c>
      <c r="R7" s="26" t="n">
        <v>275.341</v>
      </c>
      <c r="S7" s="26" t="n">
        <v>269.355</v>
      </c>
      <c r="T7" s="26" t="n">
        <v>272.348</v>
      </c>
      <c r="U7" s="26" t="n">
        <v>270.07</v>
      </c>
      <c r="V7" s="26" t="n">
        <v>259.178</v>
      </c>
      <c r="W7" s="26" t="n">
        <v>236.94</v>
      </c>
      <c r="X7" s="26" t="n">
        <v>236.94</v>
      </c>
      <c r="Y7" s="26" t="n">
        <v>206.238</v>
      </c>
      <c r="Z7" s="26" t="n">
        <v>198.387</v>
      </c>
      <c r="AA7" s="26" t="n">
        <v>173.587</v>
      </c>
      <c r="AB7" s="26" t="n">
        <v>155.592</v>
      </c>
      <c r="AC7" s="26" t="n">
        <v>149.036</v>
      </c>
      <c r="AD7" s="26" t="n">
        <v>115.603</v>
      </c>
      <c r="AE7" s="26" t="n">
        <v>81.614</v>
      </c>
      <c r="AF7" s="26" t="n">
        <v>57.475</v>
      </c>
      <c r="AV7" s="26" t="n">
        <v>72.22199999999999</v>
      </c>
      <c r="AW7" s="26" t="n">
        <v>216.72</v>
      </c>
      <c r="AX7" s="26" t="n">
        <v>791.277</v>
      </c>
      <c r="AY7" s="26" t="n">
        <v>1070.951</v>
      </c>
      <c r="AZ7" s="26" t="n">
        <v>878.505</v>
      </c>
      <c r="BA7" s="26" t="n">
        <v>593.818</v>
      </c>
      <c r="BB7" s="26" t="n">
        <v>139.089</v>
      </c>
    </row>
    <row r="8">
      <c r="A8" s="12" t="inlineStr">
        <is>
          <t>type:NAVAL</t>
        </is>
      </c>
      <c r="D8" t="inlineStr">
        <is>
          <t>선종 NAVAL</t>
        </is>
      </c>
      <c r="H8" s="26" t="n">
        <v>15.357</v>
      </c>
      <c r="I8" s="26" t="n">
        <v>18.59</v>
      </c>
      <c r="J8" s="26" t="n">
        <v>18.59</v>
      </c>
      <c r="K8" s="26" t="n">
        <v>18.186</v>
      </c>
      <c r="L8" s="26" t="n">
        <v>18.388</v>
      </c>
      <c r="M8" s="26" t="n">
        <v>18.59</v>
      </c>
      <c r="N8" s="26" t="n">
        <v>27.953</v>
      </c>
      <c r="O8" s="26" t="n">
        <v>64.004</v>
      </c>
      <c r="P8" s="26" t="n">
        <v>84.56699999999999</v>
      </c>
      <c r="Q8" s="26" t="n">
        <v>91.15000000000001</v>
      </c>
      <c r="R8" s="26" t="n">
        <v>91.15000000000001</v>
      </c>
      <c r="S8" s="26" t="n">
        <v>89.169</v>
      </c>
      <c r="T8" s="26" t="n">
        <v>90.15900000000001</v>
      </c>
      <c r="U8" s="26" t="n">
        <v>91.15000000000001</v>
      </c>
      <c r="V8" s="26" t="n">
        <v>91.15000000000001</v>
      </c>
      <c r="W8" s="26" t="n">
        <v>90.15900000000001</v>
      </c>
      <c r="X8" s="26" t="n">
        <v>90.15900000000001</v>
      </c>
      <c r="Y8" s="26" t="n">
        <v>91.15000000000001</v>
      </c>
      <c r="Z8" s="26" t="n">
        <v>91.15000000000001</v>
      </c>
      <c r="AA8" s="26" t="n">
        <v>89.169</v>
      </c>
      <c r="AB8" s="26" t="n">
        <v>90.15900000000001</v>
      </c>
      <c r="AC8" s="26" t="n">
        <v>81.923</v>
      </c>
      <c r="AD8" s="26" t="n">
        <v>61.023</v>
      </c>
      <c r="AE8" s="26" t="n">
        <v>27.974</v>
      </c>
      <c r="AF8" s="26" t="n">
        <v>28.285</v>
      </c>
      <c r="AG8" s="26" t="n">
        <v>28.596</v>
      </c>
      <c r="AH8" s="26" t="n">
        <v>28.596</v>
      </c>
      <c r="AI8" s="26" t="n">
        <v>27.974</v>
      </c>
      <c r="AJ8" s="26" t="n">
        <v>12.524</v>
      </c>
      <c r="AK8" s="26" t="n">
        <v>10.006</v>
      </c>
      <c r="AL8" s="26" t="n">
        <v>10.006</v>
      </c>
      <c r="AM8" s="26" t="n">
        <v>9.897</v>
      </c>
      <c r="AN8" s="26" t="n">
        <v>9.897</v>
      </c>
      <c r="AO8" s="26" t="n">
        <v>10.006</v>
      </c>
      <c r="AP8" s="26" t="n">
        <v>10.006</v>
      </c>
      <c r="AQ8" s="26" t="n">
        <v>9.788</v>
      </c>
      <c r="AR8" s="26" t="n">
        <v>9.897</v>
      </c>
      <c r="AS8" s="26" t="n">
        <v>10.006</v>
      </c>
      <c r="AT8" s="26" t="n">
        <v>8.81</v>
      </c>
      <c r="AV8" s="26" t="n">
        <v>52.537</v>
      </c>
      <c r="AW8" s="26" t="n">
        <v>83.117</v>
      </c>
      <c r="AX8" s="26" t="n">
        <v>330.871</v>
      </c>
      <c r="AY8" s="26" t="n">
        <v>361.628</v>
      </c>
      <c r="AZ8" s="26" t="n">
        <v>362.618</v>
      </c>
      <c r="BA8" s="26" t="n">
        <v>322.274</v>
      </c>
      <c r="BB8" s="26" t="n">
        <v>113.451</v>
      </c>
      <c r="BC8" s="26" t="n">
        <v>60.51</v>
      </c>
      <c r="BD8" s="26" t="n">
        <v>39.806</v>
      </c>
      <c r="BE8" s="26" t="n">
        <v>38.501</v>
      </c>
    </row>
    <row r="9">
      <c r="A9" s="12" t="inlineStr">
        <is>
          <t>type:VLCC</t>
        </is>
      </c>
      <c r="D9" t="inlineStr">
        <is>
          <t>선종 VLCC</t>
        </is>
      </c>
      <c r="J9" s="26" t="n">
        <v>12.414</v>
      </c>
      <c r="K9" s="26" t="n">
        <v>14.142</v>
      </c>
      <c r="L9" s="26" t="n">
        <v>20.146</v>
      </c>
      <c r="M9" s="26" t="n">
        <v>42.766</v>
      </c>
      <c r="N9" s="26" t="n">
        <v>75.34099999999999</v>
      </c>
      <c r="O9" s="26" t="n">
        <v>104.412</v>
      </c>
      <c r="P9" s="26" t="n">
        <v>110.321</v>
      </c>
      <c r="Q9" s="26" t="n">
        <v>111.533</v>
      </c>
      <c r="R9" s="26" t="n">
        <v>111.533</v>
      </c>
      <c r="S9" s="26" t="n">
        <v>109.108</v>
      </c>
      <c r="T9" s="26" t="n">
        <v>110.321</v>
      </c>
      <c r="U9" s="26" t="n">
        <v>102.302</v>
      </c>
      <c r="V9" s="26" t="n">
        <v>58.74</v>
      </c>
      <c r="W9" s="26" t="n">
        <v>38.584</v>
      </c>
      <c r="X9" s="26" t="n">
        <v>38.584</v>
      </c>
      <c r="Y9" s="26" t="n">
        <v>39.008</v>
      </c>
      <c r="Z9" s="26" t="n">
        <v>29.059</v>
      </c>
      <c r="AA9" s="26" t="n">
        <v>23.482</v>
      </c>
      <c r="AB9" s="26" t="n">
        <v>23.743</v>
      </c>
      <c r="AV9" s="26" t="n">
        <v>12.414</v>
      </c>
      <c r="AW9" s="26" t="n">
        <v>152.395</v>
      </c>
      <c r="AX9" s="26" t="n">
        <v>437.799</v>
      </c>
      <c r="AY9" s="26" t="n">
        <v>380.471</v>
      </c>
      <c r="AZ9" s="26" t="n">
        <v>145.235</v>
      </c>
      <c r="BA9" s="26" t="n">
        <v>47.225</v>
      </c>
    </row>
    <row r="10">
      <c r="A10" s="12" t="inlineStr">
        <is>
          <t>type:CONT</t>
        </is>
      </c>
      <c r="D10" t="inlineStr">
        <is>
          <t>선종 CONT</t>
        </is>
      </c>
      <c r="K10" s="26" t="n">
        <v>122.777</v>
      </c>
      <c r="L10" s="26" t="n">
        <v>191.627</v>
      </c>
      <c r="M10" s="26" t="n">
        <v>322.291</v>
      </c>
      <c r="N10" s="26" t="n">
        <v>376.381</v>
      </c>
      <c r="O10" s="26" t="n">
        <v>417.709</v>
      </c>
      <c r="P10" s="26" t="n">
        <v>530.909</v>
      </c>
      <c r="Q10" s="26" t="n">
        <v>571.424</v>
      </c>
      <c r="R10" s="26" t="n">
        <v>571.424</v>
      </c>
      <c r="S10" s="26" t="n">
        <v>559.001</v>
      </c>
      <c r="T10" s="26" t="n">
        <v>565.212</v>
      </c>
      <c r="U10" s="26" t="n">
        <v>571.424</v>
      </c>
      <c r="V10" s="26" t="n">
        <v>571.424</v>
      </c>
      <c r="W10" s="26" t="n">
        <v>554.796</v>
      </c>
      <c r="X10" s="26" t="n">
        <v>508.176</v>
      </c>
      <c r="Y10" s="26" t="n">
        <v>456.705</v>
      </c>
      <c r="Z10" s="26" t="n">
        <v>389.139</v>
      </c>
      <c r="AA10" s="26" t="n">
        <v>85.758</v>
      </c>
      <c r="AB10" s="26" t="n">
        <v>86.711</v>
      </c>
      <c r="AC10" s="26" t="n">
        <v>87.664</v>
      </c>
      <c r="AW10" s="26" t="n">
        <v>1013.076</v>
      </c>
      <c r="AX10" s="26" t="n">
        <v>2091.466</v>
      </c>
      <c r="AY10" s="26" t="n">
        <v>2267.061</v>
      </c>
      <c r="AZ10" s="26" t="n">
        <v>1908.816</v>
      </c>
      <c r="BA10" s="26" t="n">
        <v>260.133</v>
      </c>
    </row>
    <row r="11">
      <c r="A11" s="12" t="inlineStr">
        <is>
          <t>type:PC</t>
        </is>
      </c>
      <c r="D11" t="inlineStr">
        <is>
          <t>선종 PC</t>
        </is>
      </c>
      <c r="N11" s="26" t="n">
        <v>2.446</v>
      </c>
      <c r="O11" s="26" t="n">
        <v>24.463</v>
      </c>
      <c r="P11" s="26" t="n">
        <v>56.447</v>
      </c>
      <c r="Q11" s="26" t="n">
        <v>83.258</v>
      </c>
      <c r="R11" s="26" t="n">
        <v>85.38500000000001</v>
      </c>
      <c r="S11" s="26" t="n">
        <v>83.529</v>
      </c>
      <c r="T11" s="26" t="n">
        <v>84.45699999999999</v>
      </c>
      <c r="U11" s="26" t="n">
        <v>85.38500000000001</v>
      </c>
      <c r="V11" s="26" t="n">
        <v>85.38500000000001</v>
      </c>
      <c r="W11" s="26" t="n">
        <v>84.45699999999999</v>
      </c>
      <c r="X11" s="26" t="n">
        <v>84.45699999999999</v>
      </c>
      <c r="Y11" s="26" t="n">
        <v>68.80500000000001</v>
      </c>
      <c r="Z11" s="26" t="n">
        <v>60.379</v>
      </c>
      <c r="AA11" s="26" t="n">
        <v>59.066</v>
      </c>
      <c r="AB11" s="26" t="n">
        <v>49.152</v>
      </c>
      <c r="AW11" s="26" t="n">
        <v>2.446</v>
      </c>
      <c r="AX11" s="26" t="n">
        <v>249.553</v>
      </c>
      <c r="AY11" s="26" t="n">
        <v>338.756</v>
      </c>
      <c r="AZ11" s="26" t="n">
        <v>298.098</v>
      </c>
      <c r="BA11" s="26" t="n">
        <v>108.218</v>
      </c>
    </row>
    <row r="12">
      <c r="A12" s="12" t="inlineStr">
        <is>
          <t>type:LNGC</t>
        </is>
      </c>
      <c r="D12" t="inlineStr">
        <is>
          <t>선종 LNGC</t>
        </is>
      </c>
      <c r="O12" s="26" t="n">
        <v>104.681</v>
      </c>
      <c r="P12" s="26" t="n">
        <v>194.19</v>
      </c>
      <c r="Q12" s="26" t="n">
        <v>269.375</v>
      </c>
      <c r="R12" s="26" t="n">
        <v>269.375</v>
      </c>
      <c r="S12" s="26" t="n">
        <v>263.519</v>
      </c>
      <c r="T12" s="26" t="n">
        <v>266.447</v>
      </c>
      <c r="U12" s="26" t="n">
        <v>269.375</v>
      </c>
      <c r="V12" s="26" t="n">
        <v>269.375</v>
      </c>
      <c r="W12" s="26" t="n">
        <v>266.447</v>
      </c>
      <c r="X12" s="26" t="n">
        <v>266.447</v>
      </c>
      <c r="Y12" s="26" t="n">
        <v>269.11</v>
      </c>
      <c r="Z12" s="26" t="n">
        <v>245.029</v>
      </c>
      <c r="AA12" s="26" t="n">
        <v>219.488</v>
      </c>
      <c r="AB12" s="26" t="n">
        <v>86.23699999999999</v>
      </c>
      <c r="AC12" s="26" t="n">
        <v>68.218</v>
      </c>
      <c r="AD12" s="26" t="n">
        <v>45.232</v>
      </c>
      <c r="AX12" s="26" t="n">
        <v>837.621</v>
      </c>
      <c r="AY12" s="26" t="n">
        <v>1068.716</v>
      </c>
      <c r="AZ12" s="26" t="n">
        <v>1047.033</v>
      </c>
      <c r="BA12" s="26" t="n">
        <v>419.175</v>
      </c>
    </row>
    <row r="13">
      <c r="A13" s="12" t="inlineStr">
        <is>
          <t>type:OTHER</t>
        </is>
      </c>
      <c r="D13" t="inlineStr">
        <is>
          <t>선종 OTHER</t>
        </is>
      </c>
      <c r="P13" s="26" t="n">
        <v>18.023</v>
      </c>
      <c r="Q13" s="26" t="n">
        <v>48.825</v>
      </c>
      <c r="R13" s="26" t="n">
        <v>65.961</v>
      </c>
      <c r="S13" s="26" t="n">
        <v>64.527</v>
      </c>
      <c r="T13" s="26" t="n">
        <v>65.244</v>
      </c>
      <c r="U13" s="26" t="n">
        <v>65.961</v>
      </c>
      <c r="V13" s="26" t="n">
        <v>65.961</v>
      </c>
      <c r="W13" s="26" t="n">
        <v>65.244</v>
      </c>
      <c r="X13" s="26" t="n">
        <v>65.244</v>
      </c>
      <c r="Y13" s="26" t="n">
        <v>65.961</v>
      </c>
      <c r="Z13" s="26" t="n">
        <v>65.961</v>
      </c>
      <c r="AA13" s="26" t="n">
        <v>64.527</v>
      </c>
      <c r="AB13" s="26" t="n">
        <v>65.244</v>
      </c>
      <c r="AC13" s="26" t="n">
        <v>65.961</v>
      </c>
      <c r="AD13" s="26" t="n">
        <v>65.961</v>
      </c>
      <c r="AE13" s="26" t="n">
        <v>64.527</v>
      </c>
      <c r="AF13" s="26" t="n">
        <v>65.244</v>
      </c>
      <c r="AG13" s="26" t="n">
        <v>37.247</v>
      </c>
      <c r="AH13" s="26" t="n">
        <v>5.331</v>
      </c>
      <c r="AX13" s="26" t="n">
        <v>132.809</v>
      </c>
      <c r="AY13" s="26" t="n">
        <v>261.693</v>
      </c>
      <c r="AZ13" s="26" t="n">
        <v>262.41</v>
      </c>
      <c r="BA13" s="26" t="n">
        <v>261.693</v>
      </c>
      <c r="BB13" s="26" t="n">
        <v>172.349</v>
      </c>
    </row>
    <row r="14">
      <c r="A14" s="12" t="inlineStr">
        <is>
          <t>type:PCTC</t>
        </is>
      </c>
      <c r="D14" t="inlineStr">
        <is>
          <t>선종 PCTC</t>
        </is>
      </c>
      <c r="P14" s="26" t="n">
        <v>21.262</v>
      </c>
      <c r="Q14" s="26" t="n">
        <v>27.433</v>
      </c>
      <c r="R14" s="26" t="n">
        <v>44.072</v>
      </c>
      <c r="S14" s="26" t="n">
        <v>43.114</v>
      </c>
      <c r="T14" s="26" t="n">
        <v>43.593</v>
      </c>
      <c r="U14" s="26" t="n">
        <v>44.072</v>
      </c>
      <c r="V14" s="26" t="n">
        <v>44.072</v>
      </c>
      <c r="W14" s="26" t="n">
        <v>43.593</v>
      </c>
      <c r="X14" s="26" t="n">
        <v>43.593</v>
      </c>
      <c r="Y14" s="26" t="n">
        <v>44.072</v>
      </c>
      <c r="Z14" s="26" t="n">
        <v>35.512</v>
      </c>
      <c r="AA14" s="26" t="n">
        <v>18.263</v>
      </c>
      <c r="AB14" s="26" t="n">
        <v>18.466</v>
      </c>
      <c r="AC14" s="26" t="n">
        <v>18.669</v>
      </c>
      <c r="AD14" s="26" t="n">
        <v>12.378</v>
      </c>
      <c r="AX14" s="26" t="n">
        <v>92.767</v>
      </c>
      <c r="AY14" s="26" t="n">
        <v>174.851</v>
      </c>
      <c r="AZ14" s="26" t="n">
        <v>166.77</v>
      </c>
      <c r="BA14" s="26" t="n">
        <v>67.776</v>
      </c>
    </row>
    <row r="15">
      <c r="A15" s="12" t="inlineStr">
        <is>
          <t>cohort:④호황</t>
        </is>
      </c>
      <c r="D15" t="inlineStr">
        <is>
          <t>코호트 ④호황</t>
        </is>
      </c>
      <c r="E15" s="26" t="n">
        <v>93.958</v>
      </c>
      <c r="F15" s="26" t="n">
        <v>93.958</v>
      </c>
      <c r="G15" s="26" t="n">
        <v>92.937</v>
      </c>
      <c r="H15" s="26" t="n">
        <v>92.937</v>
      </c>
      <c r="I15" s="26" t="n">
        <v>93.958</v>
      </c>
      <c r="J15" s="26" t="n">
        <v>93.958</v>
      </c>
      <c r="K15" s="26" t="n">
        <v>214.692</v>
      </c>
      <c r="L15" s="26" t="n">
        <v>290.41</v>
      </c>
      <c r="M15" s="26" t="n">
        <v>410.187</v>
      </c>
      <c r="N15" s="26" t="n">
        <v>437.173</v>
      </c>
      <c r="O15" s="26" t="n">
        <v>485.198</v>
      </c>
      <c r="P15" s="26" t="n">
        <v>567.905</v>
      </c>
      <c r="Q15" s="26" t="n">
        <v>642.463</v>
      </c>
      <c r="R15" s="26" t="n">
        <v>642.463</v>
      </c>
      <c r="S15" s="26" t="n">
        <v>628.496</v>
      </c>
      <c r="T15" s="26" t="n">
        <v>543.564</v>
      </c>
      <c r="U15" s="26" t="n">
        <v>539.274</v>
      </c>
      <c r="V15" s="26" t="n">
        <v>510.168</v>
      </c>
      <c r="W15" s="26" t="n">
        <v>485.105</v>
      </c>
      <c r="X15" s="26" t="n">
        <v>485.105</v>
      </c>
      <c r="Y15" s="26" t="n">
        <v>490.436</v>
      </c>
      <c r="Z15" s="26" t="n">
        <v>445.021</v>
      </c>
      <c r="AA15" s="26" t="n">
        <v>198.114</v>
      </c>
      <c r="AB15" s="26" t="n">
        <v>191.088</v>
      </c>
      <c r="AC15" s="26" t="n">
        <v>140.991</v>
      </c>
      <c r="AD15" s="26" t="n">
        <v>32.427</v>
      </c>
      <c r="AU15" s="26" t="n">
        <v>187.916</v>
      </c>
      <c r="AV15" s="26" t="n">
        <v>373.79</v>
      </c>
      <c r="AW15" s="26" t="n">
        <v>1352.462</v>
      </c>
      <c r="AX15" s="26" t="n">
        <v>2338.029</v>
      </c>
      <c r="AY15" s="26" t="n">
        <v>2221.502</v>
      </c>
      <c r="AZ15" s="26" t="n">
        <v>1905.667</v>
      </c>
      <c r="BA15" s="26" t="n">
        <v>562.62</v>
      </c>
    </row>
    <row r="16">
      <c r="A16" s="12" t="inlineStr">
        <is>
          <t>cohort:③중마진</t>
        </is>
      </c>
      <c r="D16" t="inlineStr">
        <is>
          <t>코호트 ③중마진</t>
        </is>
      </c>
      <c r="G16" s="26" t="n">
        <v>13.879</v>
      </c>
      <c r="H16" s="26" t="n">
        <v>15.987</v>
      </c>
      <c r="I16" s="26" t="n">
        <v>16.163</v>
      </c>
      <c r="J16" s="26" t="n">
        <v>26.193</v>
      </c>
      <c r="K16" s="26" t="n">
        <v>42.224</v>
      </c>
      <c r="L16" s="26" t="n">
        <v>55.898</v>
      </c>
      <c r="M16" s="26" t="n">
        <v>56.513</v>
      </c>
      <c r="N16" s="26" t="n">
        <v>82.59099999999999</v>
      </c>
      <c r="O16" s="26" t="n">
        <v>233.44</v>
      </c>
      <c r="P16" s="26" t="n">
        <v>457.184</v>
      </c>
      <c r="Q16" s="26" t="n">
        <v>610.734</v>
      </c>
      <c r="R16" s="26" t="n">
        <v>629.501</v>
      </c>
      <c r="S16" s="26" t="n">
        <v>615.816</v>
      </c>
      <c r="T16" s="26" t="n">
        <v>622.658</v>
      </c>
      <c r="U16" s="26" t="n">
        <v>624.23</v>
      </c>
      <c r="V16" s="26" t="n">
        <v>613.338</v>
      </c>
      <c r="W16" s="26" t="n">
        <v>587.251</v>
      </c>
      <c r="X16" s="26" t="n">
        <v>587.251</v>
      </c>
      <c r="Y16" s="26" t="n">
        <v>547.103</v>
      </c>
      <c r="Z16" s="26" t="n">
        <v>490.747</v>
      </c>
      <c r="AA16" s="26" t="n">
        <v>417.954</v>
      </c>
      <c r="AB16" s="26" t="n">
        <v>265.64</v>
      </c>
      <c r="AC16" s="26" t="n">
        <v>210.602</v>
      </c>
      <c r="AD16" s="26" t="n">
        <v>147.891</v>
      </c>
      <c r="AE16" s="26" t="n">
        <v>56.843</v>
      </c>
      <c r="AF16" s="26" t="n">
        <v>57.475</v>
      </c>
      <c r="AV16" s="26" t="n">
        <v>72.22199999999999</v>
      </c>
      <c r="AW16" s="26" t="n">
        <v>237.226</v>
      </c>
      <c r="AX16" s="26" t="n">
        <v>1930.859</v>
      </c>
      <c r="AY16" s="26" t="n">
        <v>2476.042</v>
      </c>
      <c r="AZ16" s="26" t="n">
        <v>2212.352</v>
      </c>
      <c r="BA16" s="26" t="n">
        <v>1042.087</v>
      </c>
      <c r="BB16" s="26" t="n">
        <v>114.318</v>
      </c>
    </row>
    <row r="17">
      <c r="A17" s="12" t="inlineStr">
        <is>
          <t>cohort:②BEP</t>
        </is>
      </c>
      <c r="D17" t="inlineStr">
        <is>
          <t>코호트 ②BEP</t>
        </is>
      </c>
      <c r="H17" s="26" t="n">
        <v>15.357</v>
      </c>
      <c r="I17" s="26" t="n">
        <v>18.59</v>
      </c>
      <c r="J17" s="26" t="n">
        <v>31.004</v>
      </c>
      <c r="K17" s="26" t="n">
        <v>32.328</v>
      </c>
      <c r="L17" s="26" t="n">
        <v>32.687</v>
      </c>
      <c r="M17" s="26" t="n">
        <v>67.41800000000001</v>
      </c>
      <c r="N17" s="26" t="n">
        <v>111.439</v>
      </c>
      <c r="O17" s="26" t="n">
        <v>156.838</v>
      </c>
      <c r="P17" s="26" t="n">
        <v>232.199</v>
      </c>
      <c r="Q17" s="26" t="n">
        <v>246.231</v>
      </c>
      <c r="R17" s="26" t="n">
        <v>260.268</v>
      </c>
      <c r="S17" s="26" t="n">
        <v>254.61</v>
      </c>
      <c r="T17" s="26" t="n">
        <v>257.439</v>
      </c>
      <c r="U17" s="26" t="n">
        <v>260.268</v>
      </c>
      <c r="V17" s="26" t="n">
        <v>245.812</v>
      </c>
      <c r="W17" s="26" t="n">
        <v>232.723</v>
      </c>
      <c r="X17" s="26" t="n">
        <v>186.103</v>
      </c>
      <c r="Y17" s="26" t="n">
        <v>127.543</v>
      </c>
      <c r="Z17" s="26" t="n">
        <v>102.881</v>
      </c>
      <c r="AA17" s="26" t="n">
        <v>42.957</v>
      </c>
      <c r="AB17" s="26" t="n">
        <v>43.434</v>
      </c>
      <c r="AC17" s="26" t="n">
        <v>43.911</v>
      </c>
      <c r="AD17" s="26" t="n">
        <v>43.911</v>
      </c>
      <c r="AE17" s="26" t="n">
        <v>42.957</v>
      </c>
      <c r="AF17" s="26" t="n">
        <v>18.388</v>
      </c>
      <c r="AG17" s="26" t="n">
        <v>18.59</v>
      </c>
      <c r="AH17" s="26" t="n">
        <v>18.59</v>
      </c>
      <c r="AI17" s="26" t="n">
        <v>18.186</v>
      </c>
      <c r="AJ17" s="26" t="n">
        <v>2.627</v>
      </c>
      <c r="AV17" s="26" t="n">
        <v>64.95099999999999</v>
      </c>
      <c r="AW17" s="26" t="n">
        <v>243.872</v>
      </c>
      <c r="AX17" s="26" t="n">
        <v>895.5359999999999</v>
      </c>
      <c r="AY17" s="26" t="n">
        <v>1018.129</v>
      </c>
      <c r="AZ17" s="26" t="n">
        <v>649.25</v>
      </c>
      <c r="BA17" s="26" t="n">
        <v>174.213</v>
      </c>
      <c r="BB17" s="26" t="n">
        <v>98.52500000000001</v>
      </c>
      <c r="BC17" s="26" t="n">
        <v>20.813</v>
      </c>
    </row>
    <row r="18">
      <c r="A18" s="12" t="inlineStr">
        <is>
          <t>cohort:등급없음</t>
        </is>
      </c>
      <c r="D18" t="inlineStr">
        <is>
          <t>코호트 등급없음</t>
        </is>
      </c>
      <c r="N18" s="26" t="n">
        <v>6.961</v>
      </c>
      <c r="O18" s="26" t="n">
        <v>9.788</v>
      </c>
      <c r="P18" s="26" t="n">
        <v>27.92</v>
      </c>
      <c r="Q18" s="26" t="n">
        <v>58.831</v>
      </c>
      <c r="R18" s="26" t="n">
        <v>75.967</v>
      </c>
      <c r="S18" s="26" t="n">
        <v>74.315</v>
      </c>
      <c r="T18" s="26" t="n">
        <v>75.14100000000001</v>
      </c>
      <c r="U18" s="26" t="n">
        <v>75.967</v>
      </c>
      <c r="V18" s="26" t="n">
        <v>75.967</v>
      </c>
      <c r="W18" s="26" t="n">
        <v>75.14100000000001</v>
      </c>
      <c r="X18" s="26" t="n">
        <v>75.14100000000001</v>
      </c>
      <c r="Y18" s="26" t="n">
        <v>75.967</v>
      </c>
      <c r="Z18" s="26" t="n">
        <v>75.967</v>
      </c>
      <c r="AA18" s="26" t="n">
        <v>74.315</v>
      </c>
      <c r="AB18" s="26" t="n">
        <v>75.14100000000001</v>
      </c>
      <c r="AC18" s="26" t="n">
        <v>75.967</v>
      </c>
      <c r="AD18" s="26" t="n">
        <v>75.967</v>
      </c>
      <c r="AE18" s="26" t="n">
        <v>74.315</v>
      </c>
      <c r="AF18" s="26" t="n">
        <v>75.14100000000001</v>
      </c>
      <c r="AG18" s="26" t="n">
        <v>47.253</v>
      </c>
      <c r="AH18" s="26" t="n">
        <v>15.337</v>
      </c>
      <c r="AI18" s="26" t="n">
        <v>9.788</v>
      </c>
      <c r="AJ18" s="26" t="n">
        <v>9.897</v>
      </c>
      <c r="AK18" s="26" t="n">
        <v>10.006</v>
      </c>
      <c r="AL18" s="26" t="n">
        <v>10.006</v>
      </c>
      <c r="AM18" s="26" t="n">
        <v>9.897</v>
      </c>
      <c r="AN18" s="26" t="n">
        <v>9.897</v>
      </c>
      <c r="AO18" s="26" t="n">
        <v>10.006</v>
      </c>
      <c r="AP18" s="26" t="n">
        <v>10.006</v>
      </c>
      <c r="AQ18" s="26" t="n">
        <v>9.788</v>
      </c>
      <c r="AR18" s="26" t="n">
        <v>9.897</v>
      </c>
      <c r="AS18" s="26" t="n">
        <v>10.006</v>
      </c>
      <c r="AT18" s="26" t="n">
        <v>8.81</v>
      </c>
      <c r="AW18" s="26" t="n">
        <v>6.961</v>
      </c>
      <c r="AX18" s="26" t="n">
        <v>172.506</v>
      </c>
      <c r="AY18" s="26" t="n">
        <v>301.39</v>
      </c>
      <c r="AZ18" s="26" t="n">
        <v>302.216</v>
      </c>
      <c r="BA18" s="26" t="n">
        <v>301.39</v>
      </c>
      <c r="BB18" s="26" t="n">
        <v>212.046</v>
      </c>
      <c r="BC18" s="26" t="n">
        <v>39.697</v>
      </c>
      <c r="BD18" s="26" t="n">
        <v>39.806</v>
      </c>
      <c r="BE18" s="26" t="n">
        <v>38.501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0.7</v>
      </c>
      <c r="F19" s="21" t="n">
        <v>0.7</v>
      </c>
      <c r="G19" s="21" t="n">
        <v>0.7</v>
      </c>
      <c r="H19" s="21" t="n">
        <v>0.7</v>
      </c>
      <c r="I19" s="21" t="n">
        <v>0.7</v>
      </c>
      <c r="J19" s="21" t="n">
        <v>0.7</v>
      </c>
      <c r="K19" s="21" t="n">
        <v>0.7</v>
      </c>
      <c r="L19" s="21" t="n">
        <v>0.7</v>
      </c>
      <c r="M19" s="21" t="n">
        <v>0.7</v>
      </c>
      <c r="N19" s="21" t="n">
        <v>0.7</v>
      </c>
      <c r="O19" s="21" t="n">
        <v>0.7</v>
      </c>
      <c r="P19" s="21" t="n">
        <v>0.7</v>
      </c>
      <c r="Q19" s="21" t="n">
        <v>0.7</v>
      </c>
      <c r="R19" s="21" t="n">
        <v>0.7</v>
      </c>
      <c r="S19" s="21" t="n">
        <v>0.7</v>
      </c>
      <c r="T19" s="21" t="n">
        <v>0.7</v>
      </c>
      <c r="U19" s="21" t="n">
        <v>0.7</v>
      </c>
      <c r="V19" s="21" t="n">
        <v>0.7</v>
      </c>
      <c r="W19" s="21" t="n">
        <v>0.7</v>
      </c>
      <c r="X19" s="21" t="n">
        <v>0.7</v>
      </c>
      <c r="Y19" s="21" t="n">
        <v>0.7</v>
      </c>
      <c r="Z19" s="21" t="n">
        <v>0.7</v>
      </c>
      <c r="AA19" s="21" t="n">
        <v>0.7</v>
      </c>
      <c r="AB19" s="21" t="n">
        <v>0.7</v>
      </c>
      <c r="AC19" s="21" t="n">
        <v>0.7</v>
      </c>
      <c r="AD19" s="21" t="n">
        <v>0.7</v>
      </c>
      <c r="AE19" s="21" t="n">
        <v>0.7</v>
      </c>
      <c r="AF19" s="21" t="n">
        <v>0.7</v>
      </c>
      <c r="AG19" s="21" t="n">
        <v>0.7</v>
      </c>
      <c r="AH19" s="21" t="n">
        <v>0.7</v>
      </c>
      <c r="AI19" s="21" t="n">
        <v>0.7</v>
      </c>
      <c r="AJ19" s="21" t="n">
        <v>0.7</v>
      </c>
      <c r="AK19" s="21" t="n">
        <v>0.7</v>
      </c>
      <c r="AL19" s="21" t="n">
        <v>0.7</v>
      </c>
      <c r="AM19" s="21" t="n">
        <v>0.7</v>
      </c>
      <c r="AN19" s="21" t="n">
        <v>0.7</v>
      </c>
      <c r="AO19" s="21" t="n">
        <v>0.7</v>
      </c>
      <c r="AP19" s="21" t="n">
        <v>0.7</v>
      </c>
      <c r="AQ19" s="21" t="n">
        <v>0.7</v>
      </c>
      <c r="AR19" s="21" t="n">
        <v>0.7</v>
      </c>
      <c r="AS19" s="21" t="n">
        <v>0.7</v>
      </c>
      <c r="AT19" s="21" t="n">
        <v>0.7</v>
      </c>
    </row>
    <row r="20">
      <c r="A20" s="12" t="inlineStr">
        <is>
          <t>hedge_rate</t>
        </is>
      </c>
      <c r="D20" t="inlineStr">
        <is>
          <t>헤지환율</t>
        </is>
      </c>
      <c r="E20" s="13" t="n">
        <v>1315.69</v>
      </c>
      <c r="F20" s="13" t="n">
        <v>1315.69</v>
      </c>
      <c r="G20" s="13" t="n">
        <v>1317.57</v>
      </c>
      <c r="H20" s="13" t="n">
        <v>1325.95</v>
      </c>
      <c r="I20" s="13" t="n">
        <v>1327.33</v>
      </c>
      <c r="J20" s="13" t="n">
        <v>1337.57</v>
      </c>
      <c r="K20" s="13" t="n">
        <v>1391.43</v>
      </c>
      <c r="L20" s="13" t="n">
        <v>1400.28</v>
      </c>
      <c r="M20" s="13" t="n">
        <v>1399.04</v>
      </c>
      <c r="N20" s="13" t="n">
        <v>1404.94</v>
      </c>
      <c r="O20" s="13" t="n">
        <v>1420.74</v>
      </c>
      <c r="P20" s="13" t="n">
        <v>1441.85</v>
      </c>
      <c r="Q20" s="13" t="n">
        <v>1448.4</v>
      </c>
      <c r="R20" s="13" t="n">
        <v>1447.51</v>
      </c>
      <c r="S20" s="13" t="n">
        <v>1447.51</v>
      </c>
      <c r="T20" s="13" t="n">
        <v>1455.59</v>
      </c>
      <c r="U20" s="13" t="n">
        <v>1456.48</v>
      </c>
      <c r="V20" s="13" t="n">
        <v>1458.85</v>
      </c>
      <c r="W20" s="13" t="n">
        <v>1460.41</v>
      </c>
      <c r="X20" s="13" t="n">
        <v>1462.98</v>
      </c>
      <c r="Y20" s="13" t="n">
        <v>1463.04</v>
      </c>
      <c r="Z20" s="13" t="n">
        <v>1465.73</v>
      </c>
      <c r="AA20" s="13" t="n">
        <v>1474.99</v>
      </c>
      <c r="AB20" s="13" t="n">
        <v>1471.94</v>
      </c>
      <c r="AC20" s="13" t="n">
        <v>1471.65</v>
      </c>
      <c r="AD20" s="13" t="n">
        <v>1459.7</v>
      </c>
      <c r="AE20" s="13" t="n">
        <v>1455.16</v>
      </c>
      <c r="AF20" s="13" t="n">
        <v>1461.04</v>
      </c>
      <c r="AG20" s="13" t="n">
        <v>1443.12</v>
      </c>
      <c r="AH20" s="13" t="n">
        <v>1421.56</v>
      </c>
      <c r="AI20" s="13" t="n">
        <v>1406.62</v>
      </c>
      <c r="AJ20" s="13" t="n">
        <v>1435.45</v>
      </c>
      <c r="AK20" s="13" t="n">
        <v>1449.19</v>
      </c>
      <c r="AL20" s="13" t="n">
        <v>1449.19</v>
      </c>
      <c r="AM20" s="13" t="n">
        <v>1449.19</v>
      </c>
      <c r="AN20" s="13" t="n">
        <v>1449.19</v>
      </c>
      <c r="AO20" s="13" t="n">
        <v>1449.19</v>
      </c>
      <c r="AP20" s="13" t="n">
        <v>1449.19</v>
      </c>
      <c r="AQ20" s="13" t="n">
        <v>1449.19</v>
      </c>
      <c r="AR20" s="13" t="n">
        <v>1449.19</v>
      </c>
      <c r="AS20" s="13" t="n">
        <v>1449.19</v>
      </c>
      <c r="AT20" s="13" t="n">
        <v>1449.19</v>
      </c>
    </row>
    <row r="21">
      <c r="A21" s="12" t="inlineStr">
        <is>
          <t>spot_assumed</t>
        </is>
      </c>
      <c r="D21" t="inlineStr">
        <is>
          <t>건조시점 환율(가정)</t>
        </is>
      </c>
      <c r="E21" s="13" t="n">
        <v>1313.62</v>
      </c>
      <c r="F21" s="13" t="n">
        <v>1322.01</v>
      </c>
      <c r="G21" s="13" t="n">
        <v>1330.14</v>
      </c>
      <c r="H21" s="13" t="n">
        <v>1371.28</v>
      </c>
      <c r="I21" s="13" t="n">
        <v>1356.22</v>
      </c>
      <c r="J21" s="13" t="n">
        <v>1396.3</v>
      </c>
      <c r="K21" s="13" t="n">
        <v>1452.28</v>
      </c>
      <c r="L21" s="13" t="n">
        <v>1398.52</v>
      </c>
      <c r="M21" s="13" t="n">
        <v>1386.95</v>
      </c>
      <c r="N21" s="13" t="n">
        <v>1449.19</v>
      </c>
      <c r="O21" s="13" t="n">
        <v>1466.12</v>
      </c>
      <c r="P21" s="13" t="n">
        <v>1501.75</v>
      </c>
      <c r="Q21" s="13" t="n">
        <v>1419.72</v>
      </c>
      <c r="R21" s="13" t="n">
        <v>1353.36</v>
      </c>
      <c r="S21" s="13" t="n">
        <v>1353.36</v>
      </c>
      <c r="T21" s="13" t="n">
        <v>1353.36</v>
      </c>
      <c r="U21" s="13" t="n">
        <v>1353.36</v>
      </c>
      <c r="V21" s="13" t="n">
        <v>1353.36</v>
      </c>
      <c r="W21" s="13" t="n">
        <v>1353.36</v>
      </c>
      <c r="X21" s="13" t="n">
        <v>1353.36</v>
      </c>
      <c r="Y21" s="13" t="n">
        <v>1353.36</v>
      </c>
      <c r="Z21" s="13" t="n">
        <v>1353.36</v>
      </c>
      <c r="AA21" s="13" t="n">
        <v>1353.36</v>
      </c>
      <c r="AB21" s="13" t="n">
        <v>1353.36</v>
      </c>
      <c r="AC21" s="13" t="n">
        <v>1353.36</v>
      </c>
      <c r="AD21" s="13" t="n">
        <v>1353.36</v>
      </c>
      <c r="AE21" s="13" t="n">
        <v>1353.36</v>
      </c>
      <c r="AF21" s="13" t="n">
        <v>1353.36</v>
      </c>
      <c r="AG21" s="13" t="n">
        <v>1353.36</v>
      </c>
      <c r="AH21" s="13" t="n">
        <v>1353.36</v>
      </c>
      <c r="AI21" s="13" t="n">
        <v>1353.36</v>
      </c>
      <c r="AJ21" s="13" t="n">
        <v>1353.36</v>
      </c>
      <c r="AK21" s="13" t="n">
        <v>1353.36</v>
      </c>
      <c r="AL21" s="13" t="n">
        <v>1353.36</v>
      </c>
      <c r="AM21" s="13" t="n">
        <v>1353.36</v>
      </c>
      <c r="AN21" s="13" t="n">
        <v>1353.36</v>
      </c>
      <c r="AO21" s="13" t="n">
        <v>1353.36</v>
      </c>
      <c r="AP21" s="13" t="n">
        <v>1353.36</v>
      </c>
      <c r="AQ21" s="13" t="n">
        <v>1353.36</v>
      </c>
      <c r="AR21" s="13" t="n">
        <v>1353.36</v>
      </c>
      <c r="AS21" s="13" t="n">
        <v>1353.36</v>
      </c>
      <c r="AT21" s="13" t="n">
        <v>1353.36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1315.07</v>
      </c>
      <c r="F22" s="13" t="n">
        <v>1317.59</v>
      </c>
      <c r="G22" s="13" t="n">
        <v>1321.34</v>
      </c>
      <c r="H22" s="13" t="n">
        <v>1339.55</v>
      </c>
      <c r="I22" s="13" t="n">
        <v>1336</v>
      </c>
      <c r="J22" s="13" t="n">
        <v>1355.19</v>
      </c>
      <c r="K22" s="13" t="n">
        <v>1409.69</v>
      </c>
      <c r="L22" s="13" t="n">
        <v>1399.75</v>
      </c>
      <c r="M22" s="13" t="n">
        <v>1395.41</v>
      </c>
      <c r="N22" s="13" t="n">
        <v>1418.22</v>
      </c>
      <c r="O22" s="13" t="n">
        <v>1434.35</v>
      </c>
      <c r="P22" s="13" t="n">
        <v>1459.82</v>
      </c>
      <c r="Q22" s="13" t="n">
        <v>1439.8</v>
      </c>
      <c r="R22" s="13" t="n">
        <v>1419.26</v>
      </c>
      <c r="S22" s="13" t="n">
        <v>1419.26</v>
      </c>
      <c r="T22" s="13" t="n">
        <v>1424.92</v>
      </c>
      <c r="U22" s="13" t="n">
        <v>1425.55</v>
      </c>
      <c r="V22" s="13" t="n">
        <v>1427.2</v>
      </c>
      <c r="W22" s="13" t="n">
        <v>1428.3</v>
      </c>
      <c r="X22" s="13" t="n">
        <v>1430.09</v>
      </c>
      <c r="Y22" s="13" t="n">
        <v>1430.13</v>
      </c>
      <c r="Z22" s="13" t="n">
        <v>1432.02</v>
      </c>
      <c r="AA22" s="13" t="n">
        <v>1438.5</v>
      </c>
      <c r="AB22" s="13" t="n">
        <v>1436.36</v>
      </c>
      <c r="AC22" s="13" t="n">
        <v>1436.16</v>
      </c>
      <c r="AD22" s="13" t="n">
        <v>1427.8</v>
      </c>
      <c r="AE22" s="13" t="n">
        <v>1424.62</v>
      </c>
      <c r="AF22" s="13" t="n">
        <v>1428.73</v>
      </c>
      <c r="AG22" s="13" t="n">
        <v>1416.19</v>
      </c>
      <c r="AH22" s="13" t="n">
        <v>1401.1</v>
      </c>
      <c r="AI22" s="13" t="n">
        <v>1390.64</v>
      </c>
      <c r="AJ22" s="13" t="n">
        <v>1410.83</v>
      </c>
      <c r="AK22" s="13" t="n">
        <v>1420.44</v>
      </c>
      <c r="AL22" s="13" t="n">
        <v>1420.44</v>
      </c>
      <c r="AM22" s="13" t="n">
        <v>1420.44</v>
      </c>
      <c r="AN22" s="13" t="n">
        <v>1420.44</v>
      </c>
      <c r="AO22" s="13" t="n">
        <v>1420.44</v>
      </c>
      <c r="AP22" s="13" t="n">
        <v>1420.44</v>
      </c>
      <c r="AQ22" s="13" t="n">
        <v>1420.44</v>
      </c>
      <c r="AR22" s="13" t="n">
        <v>1420.44</v>
      </c>
      <c r="AS22" s="13" t="n">
        <v>1420.44</v>
      </c>
      <c r="AT22" s="13" t="n">
        <v>1420.44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123561.2</v>
      </c>
      <c r="F23" s="18" t="n">
        <v>123797.7</v>
      </c>
      <c r="G23" s="18" t="n">
        <v>141139.8</v>
      </c>
      <c r="H23" s="18" t="n">
        <v>166480.8</v>
      </c>
      <c r="I23" s="18" t="n">
        <v>171957.4</v>
      </c>
      <c r="J23" s="18" t="n">
        <v>204843.7</v>
      </c>
      <c r="K23" s="18" t="n">
        <v>407743.8</v>
      </c>
      <c r="L23" s="18" t="n">
        <v>530501.2</v>
      </c>
      <c r="M23" s="18" t="n">
        <v>745314.7</v>
      </c>
      <c r="N23" s="18" t="n">
        <v>905055.3</v>
      </c>
      <c r="O23" s="18" t="n">
        <v>1269782.9</v>
      </c>
      <c r="P23" s="18" t="n">
        <v>1876170.7</v>
      </c>
      <c r="Q23" s="18" t="n">
        <v>2243575.6</v>
      </c>
      <c r="R23" s="18" t="n">
        <v>2282458.9</v>
      </c>
      <c r="S23" s="18" t="n">
        <v>2232840.3</v>
      </c>
      <c r="T23" s="18" t="n">
        <v>2135678.7</v>
      </c>
      <c r="U23" s="18" t="n">
        <v>2137945.4</v>
      </c>
      <c r="V23" s="18" t="n">
        <v>2062715.7</v>
      </c>
      <c r="W23" s="18" t="n">
        <v>1971362.3</v>
      </c>
      <c r="X23" s="18" t="n">
        <v>1907172.9</v>
      </c>
      <c r="Y23" s="18" t="n">
        <v>1774866.6</v>
      </c>
      <c r="Z23" s="18" t="n">
        <v>1596153</v>
      </c>
      <c r="AA23" s="18" t="n">
        <v>1054911.1</v>
      </c>
      <c r="AB23" s="18" t="n">
        <v>826346.1</v>
      </c>
      <c r="AC23" s="18" t="n">
        <v>677110.2</v>
      </c>
      <c r="AD23" s="18" t="n">
        <v>428618.4</v>
      </c>
      <c r="AE23" s="18" t="n">
        <v>248047.9</v>
      </c>
      <c r="AF23" s="18" t="n">
        <v>215744.3</v>
      </c>
      <c r="AG23" s="18" t="n">
        <v>93247.3</v>
      </c>
      <c r="AH23" s="18" t="n">
        <v>47535</v>
      </c>
      <c r="AI23" s="18" t="n">
        <v>38902.3</v>
      </c>
      <c r="AJ23" s="18" t="n">
        <v>17669.2</v>
      </c>
      <c r="AK23" s="18" t="n">
        <v>14212.8</v>
      </c>
      <c r="AL23" s="18" t="n">
        <v>14212.8</v>
      </c>
      <c r="AM23" s="18" t="n">
        <v>14058.3</v>
      </c>
      <c r="AN23" s="18" t="n">
        <v>14058.3</v>
      </c>
      <c r="AO23" s="18" t="n">
        <v>14212.8</v>
      </c>
      <c r="AP23" s="18" t="n">
        <v>14212.8</v>
      </c>
      <c r="AQ23" s="18" t="n">
        <v>13903.8</v>
      </c>
      <c r="AR23" s="18" t="n">
        <v>14058.3</v>
      </c>
      <c r="AS23" s="18" t="n">
        <v>14212.8</v>
      </c>
      <c r="AT23" s="18" t="n">
        <v>12513.4</v>
      </c>
      <c r="AU23" s="18" t="n">
        <v>247358.9</v>
      </c>
      <c r="AV23" s="18" t="n">
        <v>684421.7</v>
      </c>
      <c r="AW23" s="18" t="n">
        <v>2588615</v>
      </c>
      <c r="AX23" s="18" t="n">
        <v>7671988.1</v>
      </c>
      <c r="AY23" s="18" t="n">
        <v>8569180.1</v>
      </c>
      <c r="AZ23" s="18" t="n">
        <v>7249554.8</v>
      </c>
      <c r="BA23" s="18" t="n">
        <v>2986985.8</v>
      </c>
      <c r="BB23" s="18" t="n">
        <v>604574.5</v>
      </c>
      <c r="BC23" s="18" t="n">
        <v>84997.10000000001</v>
      </c>
      <c r="BD23" s="18" t="n">
        <v>56542.2</v>
      </c>
      <c r="BE23" s="18" t="n">
        <v>54688.3</v>
      </c>
    </row>
    <row r="24">
      <c r="A24" s="12" t="inlineStr">
        <is>
          <t>target_opm</t>
        </is>
      </c>
      <c r="D24" t="inlineStr">
        <is>
          <t>타겟 OPM(코호트)</t>
        </is>
      </c>
      <c r="E24" s="21" t="n">
        <v>0.1</v>
      </c>
      <c r="F24" s="21" t="n">
        <v>0.1</v>
      </c>
      <c r="G24" s="21" t="n">
        <v>0.0935</v>
      </c>
      <c r="H24" s="21" t="n">
        <v>0.08119999999999999</v>
      </c>
      <c r="I24" s="21" t="n">
        <v>0.0793</v>
      </c>
      <c r="J24" s="21" t="n">
        <v>0.0708</v>
      </c>
      <c r="K24" s="21" t="n">
        <v>0.0815</v>
      </c>
      <c r="L24" s="21" t="n">
        <v>0.08400000000000001</v>
      </c>
      <c r="M24" s="21" t="n">
        <v>0.08210000000000001</v>
      </c>
      <c r="N24" s="21" t="n">
        <v>0.07580000000000001</v>
      </c>
      <c r="O24" s="21" t="n">
        <v>0.0688</v>
      </c>
      <c r="P24" s="21" t="n">
        <v>0.0634</v>
      </c>
      <c r="Q24" s="21" t="n">
        <v>0.06320000000000001</v>
      </c>
      <c r="R24" s="21" t="n">
        <v>0.0625</v>
      </c>
      <c r="S24" s="21" t="n">
        <v>0.0625</v>
      </c>
      <c r="T24" s="21" t="n">
        <v>0.06</v>
      </c>
      <c r="U24" s="21" t="n">
        <v>0.0598</v>
      </c>
      <c r="V24" s="21" t="n">
        <v>0.0597</v>
      </c>
      <c r="W24" s="21" t="n">
        <v>0.0597</v>
      </c>
      <c r="X24" s="21" t="n">
        <v>0.0619</v>
      </c>
      <c r="Y24" s="21" t="n">
        <v>0.06560000000000001</v>
      </c>
      <c r="Z24" s="21" t="n">
        <v>0.0665</v>
      </c>
      <c r="AA24" s="21" t="n">
        <v>0.0618</v>
      </c>
      <c r="AB24" s="21" t="n">
        <v>0.0648</v>
      </c>
      <c r="AC24" s="21" t="n">
        <v>0.0623</v>
      </c>
      <c r="AD24" s="21" t="n">
        <v>0.0474</v>
      </c>
      <c r="AE24" s="21" t="n">
        <v>0.0285</v>
      </c>
      <c r="AF24" s="21" t="n">
        <v>0.0379</v>
      </c>
      <c r="AG24" s="21" t="n">
        <v>0</v>
      </c>
      <c r="AH24" s="21" t="n">
        <v>0</v>
      </c>
      <c r="AI24" s="21" t="n">
        <v>0</v>
      </c>
      <c r="AJ24" s="21" t="n">
        <v>0</v>
      </c>
    </row>
    <row r="26">
      <c r="A26" s="1" t="inlineStr">
        <is>
          <t>계약 원장(contracts.json 기반)</t>
        </is>
      </c>
    </row>
    <row r="27">
      <c r="A27" s="1" t="inlineStr">
        <is>
          <t>rcp</t>
        </is>
      </c>
      <c r="B27" s="1" t="inlineStr">
        <is>
          <t>type</t>
        </is>
      </c>
      <c r="C27" s="1" t="inlineStr">
        <is>
          <t>ships</t>
        </is>
      </c>
      <c r="D27" s="1" t="inlineStr">
        <is>
          <t>amt_krw_m</t>
        </is>
      </c>
      <c r="E27" s="1" t="inlineStr">
        <is>
          <t>amt_usd_m</t>
        </is>
      </c>
      <c r="F27" s="1" t="inlineStr">
        <is>
          <t>fx_at_sign</t>
        </is>
      </c>
      <c r="G27" s="1" t="inlineStr">
        <is>
          <t>signed</t>
        </is>
      </c>
      <c r="H27" s="1" t="inlineStr">
        <is>
          <t>start</t>
        </is>
      </c>
      <c r="I27" s="1" t="inlineStr">
        <is>
          <t>end</t>
        </is>
      </c>
      <c r="J27" s="1" t="inlineStr">
        <is>
          <t>cohort</t>
        </is>
      </c>
      <c r="K27" s="1" t="inlineStr">
        <is>
          <t>curve</t>
        </is>
      </c>
      <c r="L27" s="1" t="inlineStr">
        <is>
          <t>estimated_series</t>
        </is>
      </c>
    </row>
    <row r="28">
      <c r="A28" t="inlineStr">
        <is>
          <t>20241118800037</t>
        </is>
      </c>
      <c r="B28" t="inlineStr">
        <is>
          <t>VLGC</t>
        </is>
      </c>
      <c r="C28" t="n">
        <v>2</v>
      </c>
      <c r="D28" t="n">
        <v>340300</v>
      </c>
      <c r="E28" t="n">
        <v>243.716</v>
      </c>
      <c r="F28" t="n">
        <v>1396.3</v>
      </c>
      <c r="G28" t="inlineStr">
        <is>
          <t>2024-11-15</t>
        </is>
      </c>
      <c r="H28" t="inlineStr">
        <is>
          <t>2024-11-15</t>
        </is>
      </c>
      <c r="I28" t="inlineStr">
        <is>
          <t>2027-12-31</t>
        </is>
      </c>
      <c r="J28" t="inlineStr">
        <is>
          <t>③중마진</t>
        </is>
      </c>
      <c r="K28" t="inlineStr">
        <is>
          <t>linear_progress</t>
        </is>
      </c>
      <c r="L28" t="b">
        <v>1</v>
      </c>
    </row>
    <row r="29">
      <c r="A29" t="inlineStr">
        <is>
          <t>20241223800052</t>
        </is>
      </c>
      <c r="B29" t="inlineStr">
        <is>
          <t>OFFSH</t>
        </is>
      </c>
      <c r="C29" t="n">
        <v>1</v>
      </c>
      <c r="D29" t="n">
        <v>1842200</v>
      </c>
      <c r="E29" t="n">
        <v>1400.178</v>
      </c>
      <c r="F29" t="n">
        <v>1315.69</v>
      </c>
      <c r="G29" t="inlineStr">
        <is>
          <t>2023-06-30</t>
        </is>
      </c>
      <c r="H29" t="inlineStr">
        <is>
          <t>2023-07-01</t>
        </is>
      </c>
      <c r="I29" t="inlineStr">
        <is>
          <t>2027-04-01</t>
        </is>
      </c>
      <c r="J29" t="inlineStr">
        <is>
          <t>④호황</t>
        </is>
      </c>
      <c r="K29" t="inlineStr">
        <is>
          <t>linear_progress</t>
        </is>
      </c>
      <c r="L29" t="b">
        <v>0</v>
      </c>
    </row>
    <row r="30">
      <c r="A30" t="inlineStr">
        <is>
          <t>20250123800036</t>
        </is>
      </c>
      <c r="B30" t="inlineStr">
        <is>
          <t>CONT</t>
        </is>
      </c>
      <c r="C30" t="n">
        <v>12</v>
      </c>
      <c r="D30" t="n">
        <v>3716000</v>
      </c>
      <c r="E30" t="n">
        <v>2558.735</v>
      </c>
      <c r="F30" t="n">
        <v>1452.28</v>
      </c>
      <c r="G30" t="inlineStr">
        <is>
          <t>2025-01-22</t>
        </is>
      </c>
      <c r="H30" t="inlineStr">
        <is>
          <t>2025-01-22</t>
        </is>
      </c>
      <c r="I30" t="inlineStr">
        <is>
          <t>2028-12-29</t>
        </is>
      </c>
      <c r="J30" t="inlineStr">
        <is>
          <t>④호황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20250213800540</t>
        </is>
      </c>
      <c r="B31" t="inlineStr">
        <is>
          <t>NAVAL</t>
        </is>
      </c>
      <c r="C31" t="n">
        <v>4</v>
      </c>
      <c r="D31" t="n">
        <v>714100</v>
      </c>
      <c r="E31" t="n">
        <v>516.08</v>
      </c>
      <c r="F31" t="n">
        <v>1383.7</v>
      </c>
      <c r="G31" t="inlineStr">
        <is>
          <t>2024-04-16</t>
        </is>
      </c>
      <c r="H31" t="inlineStr">
        <is>
          <t>2024-04-16</t>
        </is>
      </c>
      <c r="I31" t="inlineStr">
        <is>
          <t>2031-04-13</t>
        </is>
      </c>
      <c r="J31" t="inlineStr">
        <is>
          <t>②BEP</t>
        </is>
      </c>
      <c r="K31" t="inlineStr">
        <is>
          <t>linear_progress</t>
        </is>
      </c>
      <c r="L31" t="b">
        <v>1</v>
      </c>
    </row>
    <row r="32">
      <c r="A32" t="inlineStr">
        <is>
          <t>20250304800166</t>
        </is>
      </c>
      <c r="B32" t="inlineStr">
        <is>
          <t>VLGC</t>
        </is>
      </c>
      <c r="C32" t="n">
        <v>2</v>
      </c>
      <c r="D32" t="n">
        <v>458800</v>
      </c>
      <c r="E32" t="n">
        <v>315.917</v>
      </c>
      <c r="F32" t="n">
        <v>1452.28</v>
      </c>
      <c r="G32" t="inlineStr">
        <is>
          <t>2025-02-28</t>
        </is>
      </c>
      <c r="H32" t="inlineStr">
        <is>
          <t>2025-02-28</t>
        </is>
      </c>
      <c r="I32" t="inlineStr">
        <is>
          <t>2028-12-31</t>
        </is>
      </c>
      <c r="J32" t="inlineStr">
        <is>
          <t>③중마진</t>
        </is>
      </c>
      <c r="K32" t="inlineStr">
        <is>
          <t>linear_progress</t>
        </is>
      </c>
      <c r="L32" t="b">
        <v>1</v>
      </c>
    </row>
    <row r="33">
      <c r="A33" t="inlineStr">
        <is>
          <t>20250422800296</t>
        </is>
      </c>
      <c r="B33" t="inlineStr">
        <is>
          <t>VLGC</t>
        </is>
      </c>
      <c r="C33" t="n">
        <v>2</v>
      </c>
      <c r="D33" t="n">
        <v>310100</v>
      </c>
      <c r="E33" t="n">
        <v>233.133</v>
      </c>
      <c r="F33" t="n">
        <v>1330.14</v>
      </c>
      <c r="G33" t="inlineStr">
        <is>
          <t>2024-01-13</t>
        </is>
      </c>
      <c r="H33" t="inlineStr">
        <is>
          <t>2024-01-13</t>
        </is>
      </c>
      <c r="I33" t="inlineStr">
        <is>
          <t>2027-08-31</t>
        </is>
      </c>
      <c r="J33" t="inlineStr">
        <is>
          <t>③중마진</t>
        </is>
      </c>
      <c r="K33" t="inlineStr">
        <is>
          <t>linear_progress</t>
        </is>
      </c>
      <c r="L33" t="b">
        <v>0</v>
      </c>
    </row>
    <row r="34">
      <c r="A34" t="inlineStr">
        <is>
          <t>20250521800001</t>
        </is>
      </c>
      <c r="B34" t="inlineStr">
        <is>
          <t>VLCC</t>
        </is>
      </c>
      <c r="C34" t="n">
        <v>2</v>
      </c>
      <c r="D34" t="n">
        <v>237400</v>
      </c>
      <c r="E34" t="n">
        <v>170.021</v>
      </c>
      <c r="F34" t="n">
        <v>1396.3</v>
      </c>
      <c r="G34" t="inlineStr">
        <is>
          <t>2024-10-14</t>
        </is>
      </c>
      <c r="H34" t="inlineStr">
        <is>
          <t>2024-10-14</t>
        </is>
      </c>
      <c r="I34" t="inlineStr">
        <is>
          <t>2027-09-30</t>
        </is>
      </c>
      <c r="J34" t="inlineStr">
        <is>
          <t>②BEP</t>
        </is>
      </c>
      <c r="K34" t="inlineStr">
        <is>
          <t>linear_progress</t>
        </is>
      </c>
      <c r="L34" t="b">
        <v>0</v>
      </c>
    </row>
    <row r="35">
      <c r="A35" t="inlineStr">
        <is>
          <t>20250610800109</t>
        </is>
      </c>
      <c r="B35" t="inlineStr">
        <is>
          <t>CONT</t>
        </is>
      </c>
      <c r="C35" t="n">
        <v>8</v>
      </c>
      <c r="D35" t="n">
        <v>2400000</v>
      </c>
      <c r="E35" t="n">
        <v>1716.1</v>
      </c>
      <c r="F35" t="n">
        <v>1398.52</v>
      </c>
      <c r="G35" t="inlineStr">
        <is>
          <t>2025-06-09</t>
        </is>
      </c>
      <c r="H35" t="inlineStr">
        <is>
          <t>2025-06-09</t>
        </is>
      </c>
      <c r="I35" t="inlineStr">
        <is>
          <t>2028-11-30</t>
        </is>
      </c>
      <c r="J35" t="inlineStr">
        <is>
          <t>④호황</t>
        </is>
      </c>
      <c r="K35" t="inlineStr">
        <is>
          <t>linear_progress</t>
        </is>
      </c>
      <c r="L35" t="b">
        <v>1</v>
      </c>
    </row>
    <row r="36">
      <c r="A36" t="inlineStr">
        <is>
          <t>20250613800119</t>
        </is>
      </c>
      <c r="B36" t="inlineStr">
        <is>
          <t>VLCC</t>
        </is>
      </c>
      <c r="C36" t="n">
        <v>2</v>
      </c>
      <c r="D36" t="n">
        <v>349000</v>
      </c>
      <c r="E36" t="n">
        <v>249.55</v>
      </c>
      <c r="F36" t="n">
        <v>1398.52</v>
      </c>
      <c r="G36" t="inlineStr">
        <is>
          <t>2025-06-12</t>
        </is>
      </c>
      <c r="H36" t="inlineStr">
        <is>
          <t>2025-06-12</t>
        </is>
      </c>
      <c r="I36" t="inlineStr">
        <is>
          <t>2027-08-31</t>
        </is>
      </c>
      <c r="J36" t="inlineStr">
        <is>
          <t>④호황</t>
        </is>
      </c>
      <c r="K36" t="inlineStr">
        <is>
          <t>linear_progress</t>
        </is>
      </c>
      <c r="L36" t="b">
        <v>0</v>
      </c>
    </row>
    <row r="37">
      <c r="A37" t="inlineStr">
        <is>
          <t>20250708800090</t>
        </is>
      </c>
      <c r="B37" t="inlineStr">
        <is>
          <t>CONT</t>
        </is>
      </c>
      <c r="C37" t="n">
        <v>2</v>
      </c>
      <c r="D37" t="n">
        <v>417400</v>
      </c>
      <c r="E37" t="n">
        <v>300.948</v>
      </c>
      <c r="F37" t="n">
        <v>1386.95</v>
      </c>
      <c r="G37" t="inlineStr">
        <is>
          <t>2025-07-07</t>
        </is>
      </c>
      <c r="H37" t="inlineStr">
        <is>
          <t>2025-07-07</t>
        </is>
      </c>
      <c r="I37" t="inlineStr">
        <is>
          <t>2028-03-31</t>
        </is>
      </c>
      <c r="J37" t="inlineStr">
        <is>
          <t>②BEP</t>
        </is>
      </c>
      <c r="K37" t="inlineStr">
        <is>
          <t>linear_progress</t>
        </is>
      </c>
      <c r="L37" t="b">
        <v>0</v>
      </c>
    </row>
    <row r="38">
      <c r="A38" t="inlineStr">
        <is>
          <t>20250908800058</t>
        </is>
      </c>
      <c r="B38" t="inlineStr">
        <is>
          <t>CONT</t>
        </is>
      </c>
      <c r="C38" t="n">
        <v>2</v>
      </c>
      <c r="D38" t="n">
        <v>409500</v>
      </c>
      <c r="E38" t="n">
        <v>295.252</v>
      </c>
      <c r="F38" t="n">
        <v>1386.95</v>
      </c>
      <c r="G38" t="inlineStr">
        <is>
          <t>2025-09-05</t>
        </is>
      </c>
      <c r="H38" t="inlineStr">
        <is>
          <t>2025-09-05</t>
        </is>
      </c>
      <c r="I38" t="inlineStr">
        <is>
          <t>2028-02-28</t>
        </is>
      </c>
      <c r="J38" t="inlineStr">
        <is>
          <t>②BEP</t>
        </is>
      </c>
      <c r="K38" t="inlineStr">
        <is>
          <t>linear_progress</t>
        </is>
      </c>
      <c r="L38" t="b">
        <v>1</v>
      </c>
    </row>
    <row r="39">
      <c r="A39" t="inlineStr">
        <is>
          <t>20251020800152</t>
        </is>
      </c>
      <c r="B39" t="inlineStr">
        <is>
          <t>VLCC</t>
        </is>
      </c>
      <c r="C39" t="n">
        <v>2</v>
      </c>
      <c r="D39" t="n">
        <v>363300</v>
      </c>
      <c r="E39" t="n">
        <v>250.692</v>
      </c>
      <c r="F39" t="n">
        <v>1449.19</v>
      </c>
      <c r="G39" t="inlineStr">
        <is>
          <t>2025-10-17</t>
        </is>
      </c>
      <c r="H39" t="inlineStr">
        <is>
          <t>2025-10-17</t>
        </is>
      </c>
      <c r="I39" t="inlineStr">
        <is>
          <t>2027-11-30</t>
        </is>
      </c>
      <c r="J39" t="inlineStr">
        <is>
          <t>④호황</t>
        </is>
      </c>
      <c r="K39" t="inlineStr">
        <is>
          <t>linear_progress</t>
        </is>
      </c>
      <c r="L39" t="b">
        <v>0</v>
      </c>
    </row>
    <row r="40">
      <c r="A40" t="inlineStr">
        <is>
          <t>20251030800164</t>
        </is>
      </c>
      <c r="B40" t="inlineStr">
        <is>
          <t>NAVAL</t>
        </is>
      </c>
      <c r="D40" t="n">
        <v>468900</v>
      </c>
      <c r="E40" t="n">
        <v>323.56</v>
      </c>
      <c r="F40" t="n">
        <v>1449.19</v>
      </c>
      <c r="G40" t="inlineStr">
        <is>
          <t>2025-10-29</t>
        </is>
      </c>
      <c r="H40" t="inlineStr">
        <is>
          <t>2025-10-29</t>
        </is>
      </c>
      <c r="I40" t="inlineStr">
        <is>
          <t>2033-12-20</t>
        </is>
      </c>
      <c r="K40" t="inlineStr">
        <is>
          <t>linear_progress</t>
        </is>
      </c>
      <c r="L40" t="b">
        <v>0</v>
      </c>
    </row>
    <row r="41">
      <c r="A41" t="inlineStr">
        <is>
          <t>20251110800036</t>
        </is>
      </c>
      <c r="B41" t="inlineStr">
        <is>
          <t>CONT</t>
        </is>
      </c>
      <c r="C41" t="n">
        <v>2</v>
      </c>
      <c r="D41" t="n">
        <v>435300</v>
      </c>
      <c r="E41" t="n">
        <v>300.375</v>
      </c>
      <c r="F41" t="n">
        <v>1449.19</v>
      </c>
      <c r="G41" t="inlineStr">
        <is>
          <t>2025-11-07</t>
        </is>
      </c>
      <c r="H41" t="inlineStr">
        <is>
          <t>2025-11-07</t>
        </is>
      </c>
      <c r="I41" t="inlineStr">
        <is>
          <t>2028-10-31</t>
        </is>
      </c>
      <c r="J41" t="inlineStr">
        <is>
          <t>②BEP</t>
        </is>
      </c>
      <c r="K41" t="inlineStr">
        <is>
          <t>linear_progress</t>
        </is>
      </c>
      <c r="L41" t="b">
        <v>1</v>
      </c>
    </row>
    <row r="42">
      <c r="A42" t="inlineStr">
        <is>
          <t>20251114800376</t>
        </is>
      </c>
      <c r="B42" t="inlineStr">
        <is>
          <t>VLCC</t>
        </is>
      </c>
      <c r="C42" t="n">
        <v>2</v>
      </c>
      <c r="D42" t="n">
        <v>256200</v>
      </c>
      <c r="E42" t="n">
        <v>176.788</v>
      </c>
      <c r="F42" t="n">
        <v>1449.19</v>
      </c>
      <c r="G42" t="inlineStr">
        <is>
          <t>2025-11-13</t>
        </is>
      </c>
      <c r="H42" t="inlineStr">
        <is>
          <t>2025-11-13</t>
        </is>
      </c>
      <c r="I42" t="inlineStr">
        <is>
          <t>2028-10-31</t>
        </is>
      </c>
      <c r="J42" t="inlineStr">
        <is>
          <t>③중마진</t>
        </is>
      </c>
      <c r="K42" t="inlineStr">
        <is>
          <t>linear_progress</t>
        </is>
      </c>
      <c r="L42" t="b">
        <v>1</v>
      </c>
    </row>
    <row r="43">
      <c r="A43" t="inlineStr">
        <is>
          <t>20251124800125</t>
        </is>
      </c>
      <c r="B43" t="inlineStr">
        <is>
          <t>CONT</t>
        </is>
      </c>
      <c r="C43" t="n">
        <v>2</v>
      </c>
      <c r="D43" t="n">
        <v>534600</v>
      </c>
      <c r="E43" t="n">
        <v>368.896</v>
      </c>
      <c r="F43" t="n">
        <v>1449.19</v>
      </c>
      <c r="G43" t="inlineStr">
        <is>
          <t>2025-11-21</t>
        </is>
      </c>
      <c r="H43" t="inlineStr">
        <is>
          <t>2025-11-21</t>
        </is>
      </c>
      <c r="I43" t="inlineStr">
        <is>
          <t>2028-07-14</t>
        </is>
      </c>
      <c r="J43" t="inlineStr">
        <is>
          <t>③중마진</t>
        </is>
      </c>
      <c r="K43" t="inlineStr">
        <is>
          <t>linear_progress</t>
        </is>
      </c>
      <c r="L43" t="b">
        <v>0</v>
      </c>
    </row>
    <row r="44">
      <c r="A44" t="inlineStr">
        <is>
          <t>20251211800371</t>
        </is>
      </c>
      <c r="B44" t="inlineStr">
        <is>
          <t>VLGC</t>
        </is>
      </c>
      <c r="C44" t="n">
        <v>2</v>
      </c>
      <c r="D44" t="n">
        <v>354200</v>
      </c>
      <c r="E44" t="n">
        <v>244.412</v>
      </c>
      <c r="F44" t="n">
        <v>1449.19</v>
      </c>
      <c r="G44" t="inlineStr">
        <is>
          <t>2025-12-10</t>
        </is>
      </c>
      <c r="H44" t="inlineStr">
        <is>
          <t>2025-12-10</t>
        </is>
      </c>
      <c r="I44" t="inlineStr">
        <is>
          <t>2028-07-31</t>
        </is>
      </c>
      <c r="J44" t="inlineStr">
        <is>
          <t>②BEP</t>
        </is>
      </c>
      <c r="K44" t="inlineStr">
        <is>
          <t>linear_progress</t>
        </is>
      </c>
      <c r="L44" t="b">
        <v>0</v>
      </c>
    </row>
    <row r="45">
      <c r="A45" t="inlineStr">
        <is>
          <t>20251224800145</t>
        </is>
      </c>
      <c r="B45" t="inlineStr">
        <is>
          <t>PC</t>
        </is>
      </c>
      <c r="C45" t="n">
        <v>5</v>
      </c>
      <c r="D45" t="n">
        <v>375000</v>
      </c>
      <c r="E45" t="n">
        <v>258.765</v>
      </c>
      <c r="F45" t="n">
        <v>1449.19</v>
      </c>
      <c r="G45" t="inlineStr">
        <is>
          <t>2025-12-23</t>
        </is>
      </c>
      <c r="H45" t="inlineStr">
        <is>
          <t>2025-12-23</t>
        </is>
      </c>
      <c r="I45" t="inlineStr">
        <is>
          <t>2028-07-31</t>
        </is>
      </c>
      <c r="J45" t="inlineStr">
        <is>
          <t>③중마진</t>
        </is>
      </c>
      <c r="K45" t="inlineStr">
        <is>
          <t>linear_progress</t>
        </is>
      </c>
      <c r="L45" t="b">
        <v>1</v>
      </c>
    </row>
    <row r="46">
      <c r="A46" t="inlineStr">
        <is>
          <t>20251226800842</t>
        </is>
      </c>
      <c r="B46" t="inlineStr">
        <is>
          <t>NAVAL</t>
        </is>
      </c>
      <c r="C46" t="n">
        <v>2</v>
      </c>
      <c r="D46" t="n">
        <v>844700</v>
      </c>
      <c r="E46" t="n">
        <v>582.877</v>
      </c>
      <c r="F46" t="n">
        <v>1449.19</v>
      </c>
      <c r="G46" t="inlineStr">
        <is>
          <t>2025-12-26</t>
        </is>
      </c>
      <c r="H46" t="inlineStr">
        <is>
          <t>2025-12-26</t>
        </is>
      </c>
      <c r="I46" t="inlineStr">
        <is>
          <t>2029-12-20</t>
        </is>
      </c>
      <c r="J46" t="inlineStr">
        <is>
          <t>④호황</t>
        </is>
      </c>
      <c r="K46" t="inlineStr">
        <is>
          <t>linear_progress</t>
        </is>
      </c>
      <c r="L46" t="b">
        <v>0</v>
      </c>
    </row>
    <row r="47">
      <c r="A47" t="inlineStr">
        <is>
          <t>20260106800134</t>
        </is>
      </c>
      <c r="B47" t="inlineStr">
        <is>
          <t>LNGC</t>
        </is>
      </c>
      <c r="C47" t="n">
        <v>4</v>
      </c>
      <c r="D47" t="n">
        <v>1499300</v>
      </c>
      <c r="E47" t="n">
        <v>1022.631</v>
      </c>
      <c r="F47" t="n">
        <v>1466.12</v>
      </c>
      <c r="G47" t="inlineStr">
        <is>
          <t>2026-01-05</t>
        </is>
      </c>
      <c r="H47" t="inlineStr">
        <is>
          <t>2026-01-05</t>
        </is>
      </c>
      <c r="I47" t="inlineStr">
        <is>
          <t>2029-03-27</t>
        </is>
      </c>
      <c r="J47" t="inlineStr">
        <is>
          <t>③중마진</t>
        </is>
      </c>
      <c r="K47" t="inlineStr">
        <is>
          <t>linear_progress</t>
        </is>
      </c>
      <c r="L47" t="b">
        <v>1</v>
      </c>
    </row>
    <row r="48">
      <c r="A48" t="inlineStr">
        <is>
          <t>20260120800200</t>
        </is>
      </c>
      <c r="B48" t="inlineStr">
        <is>
          <t>VLCC</t>
        </is>
      </c>
      <c r="C48" t="n">
        <v>2</v>
      </c>
      <c r="D48" t="n">
        <v>481600</v>
      </c>
      <c r="E48" t="n">
        <v>328.486</v>
      </c>
      <c r="F48" t="n">
        <v>1466.12</v>
      </c>
      <c r="G48" t="inlineStr">
        <is>
          <t>2026-01-19</t>
        </is>
      </c>
      <c r="H48" t="inlineStr">
        <is>
          <t>2026-01-19</t>
        </is>
      </c>
      <c r="I48" t="inlineStr">
        <is>
          <t>2029-06-30</t>
        </is>
      </c>
      <c r="J48" t="inlineStr">
        <is>
          <t>④호황</t>
        </is>
      </c>
      <c r="K48" t="inlineStr">
        <is>
          <t>linear_progress</t>
        </is>
      </c>
      <c r="L48" t="b">
        <v>1</v>
      </c>
    </row>
    <row r="49">
      <c r="A49" t="inlineStr">
        <is>
          <t>20260226800192</t>
        </is>
      </c>
      <c r="B49" t="inlineStr">
        <is>
          <t>LNGC</t>
        </is>
      </c>
      <c r="C49" t="n">
        <v>1</v>
      </c>
      <c r="D49" t="n">
        <v>367800</v>
      </c>
      <c r="E49" t="n">
        <v>250.866</v>
      </c>
      <c r="F49" t="n">
        <v>1466.12</v>
      </c>
      <c r="G49" t="inlineStr">
        <is>
          <t>2026-02-25</t>
        </is>
      </c>
      <c r="H49" t="inlineStr">
        <is>
          <t>2026-02-25</t>
        </is>
      </c>
      <c r="I49" t="inlineStr">
        <is>
          <t>2028-09-29</t>
        </is>
      </c>
      <c r="J49" t="inlineStr">
        <is>
          <t>③중마진</t>
        </is>
      </c>
      <c r="K49" t="inlineStr">
        <is>
          <t>linear_progress</t>
        </is>
      </c>
      <c r="L49" t="b">
        <v>1</v>
      </c>
    </row>
    <row r="50">
      <c r="A50" t="inlineStr">
        <is>
          <t>20260227800223</t>
        </is>
      </c>
      <c r="B50" t="inlineStr">
        <is>
          <t>CONT</t>
        </is>
      </c>
      <c r="C50" t="n">
        <v>6</v>
      </c>
      <c r="D50" t="n">
        <v>372400</v>
      </c>
      <c r="E50" t="n">
        <v>254.004</v>
      </c>
      <c r="F50" t="n">
        <v>1466.12</v>
      </c>
      <c r="G50" t="inlineStr">
        <is>
          <t>2026-02-26</t>
        </is>
      </c>
      <c r="H50" t="inlineStr">
        <is>
          <t>2026-02-26</t>
        </is>
      </c>
      <c r="I50" t="inlineStr">
        <is>
          <t>2028-06-30</t>
        </is>
      </c>
      <c r="J50" t="inlineStr">
        <is>
          <t>②BEP</t>
        </is>
      </c>
      <c r="K50" t="inlineStr">
        <is>
          <t>linear_progress</t>
        </is>
      </c>
      <c r="L50" t="b">
        <v>1</v>
      </c>
    </row>
    <row r="51">
      <c r="A51" t="inlineStr">
        <is>
          <t>20260305800836</t>
        </is>
      </c>
      <c r="B51" t="inlineStr">
        <is>
          <t>LNGC</t>
        </is>
      </c>
      <c r="C51" t="n">
        <v>4</v>
      </c>
      <c r="D51" t="n">
        <v>1487200</v>
      </c>
      <c r="E51" t="n">
        <v>1014.378</v>
      </c>
      <c r="F51" t="n">
        <v>1466.12</v>
      </c>
      <c r="G51" t="inlineStr">
        <is>
          <t>2026-03-04</t>
        </is>
      </c>
      <c r="H51" t="inlineStr">
        <is>
          <t>2026-03-04</t>
        </is>
      </c>
      <c r="I51" t="inlineStr">
        <is>
          <t>2029-11-30</t>
        </is>
      </c>
      <c r="J51" t="inlineStr">
        <is>
          <t>③중마진</t>
        </is>
      </c>
      <c r="K51" t="inlineStr">
        <is>
          <t>linear_progress</t>
        </is>
      </c>
      <c r="L51" t="b">
        <v>1</v>
      </c>
    </row>
    <row r="52">
      <c r="A52" t="inlineStr">
        <is>
          <t>20260316800220</t>
        </is>
      </c>
      <c r="B52" t="inlineStr">
        <is>
          <t>CONT</t>
        </is>
      </c>
      <c r="C52" t="n">
        <v>10</v>
      </c>
      <c r="D52" t="n">
        <v>823700</v>
      </c>
      <c r="E52" t="n">
        <v>561.823</v>
      </c>
      <c r="F52" t="n">
        <v>1466.12</v>
      </c>
      <c r="G52" t="inlineStr">
        <is>
          <t>2026-03-13</t>
        </is>
      </c>
      <c r="H52" t="inlineStr">
        <is>
          <t>2026-03-13</t>
        </is>
      </c>
      <c r="I52" t="inlineStr">
        <is>
          <t>2028-12-31</t>
        </is>
      </c>
      <c r="J52" t="inlineStr">
        <is>
          <t>②BEP</t>
        </is>
      </c>
      <c r="K52" t="inlineStr">
        <is>
          <t>linear_progress</t>
        </is>
      </c>
      <c r="L52" t="b">
        <v>1</v>
      </c>
    </row>
    <row r="53">
      <c r="A53" t="inlineStr">
        <is>
          <t>20260403800571</t>
        </is>
      </c>
      <c r="B53" t="inlineStr">
        <is>
          <t>PC</t>
        </is>
      </c>
      <c r="C53" t="n">
        <v>8</v>
      </c>
      <c r="D53" t="n">
        <v>611700</v>
      </c>
      <c r="E53" t="n">
        <v>407.325</v>
      </c>
      <c r="F53" t="n">
        <v>1501.75</v>
      </c>
      <c r="G53" t="inlineStr">
        <is>
          <t>2026-04-02</t>
        </is>
      </c>
      <c r="H53" t="inlineStr">
        <is>
          <t>2026-04-02</t>
        </is>
      </c>
      <c r="I53" t="inlineStr">
        <is>
          <t>2029-05-31</t>
        </is>
      </c>
      <c r="J53" t="inlineStr">
        <is>
          <t>③중마진</t>
        </is>
      </c>
      <c r="K53" t="inlineStr">
        <is>
          <t>linear_progress</t>
        </is>
      </c>
      <c r="L53" t="b">
        <v>1</v>
      </c>
    </row>
    <row r="54">
      <c r="A54" t="inlineStr">
        <is>
          <t>20260403800577</t>
        </is>
      </c>
      <c r="B54" t="inlineStr">
        <is>
          <t>VLGC</t>
        </is>
      </c>
      <c r="C54" t="n">
        <v>2</v>
      </c>
      <c r="D54" t="n">
        <v>239300</v>
      </c>
      <c r="E54" t="n">
        <v>159.347</v>
      </c>
      <c r="F54" t="n">
        <v>1501.75</v>
      </c>
      <c r="G54" t="inlineStr">
        <is>
          <t>2026-04-02</t>
        </is>
      </c>
      <c r="H54" t="inlineStr">
        <is>
          <t>2026-04-02</t>
        </is>
      </c>
      <c r="I54" t="inlineStr">
        <is>
          <t>2028-06-30</t>
        </is>
      </c>
      <c r="J54" t="inlineStr">
        <is>
          <t>②BEP</t>
        </is>
      </c>
      <c r="K54" t="inlineStr">
        <is>
          <t>linear_progress</t>
        </is>
      </c>
      <c r="L54" t="b">
        <v>1</v>
      </c>
    </row>
    <row r="55">
      <c r="A55" t="inlineStr">
        <is>
          <t>20260417800177</t>
        </is>
      </c>
      <c r="B55" t="inlineStr">
        <is>
          <t>VLGC</t>
        </is>
      </c>
      <c r="C55" t="n">
        <v>4</v>
      </c>
      <c r="D55" t="n">
        <v>674700</v>
      </c>
      <c r="E55" t="n">
        <v>449.276</v>
      </c>
      <c r="F55" t="n">
        <v>1501.75</v>
      </c>
      <c r="G55" t="inlineStr">
        <is>
          <t>2026-04-16</t>
        </is>
      </c>
      <c r="H55" t="inlineStr">
        <is>
          <t>2026-04-16</t>
        </is>
      </c>
      <c r="I55" t="inlineStr">
        <is>
          <t>2029-11-30</t>
        </is>
      </c>
      <c r="J55" t="inlineStr">
        <is>
          <t>③중마진</t>
        </is>
      </c>
      <c r="K55" t="inlineStr">
        <is>
          <t>linear_progress</t>
        </is>
      </c>
      <c r="L55" t="b">
        <v>1</v>
      </c>
    </row>
    <row r="56">
      <c r="A56" t="inlineStr">
        <is>
          <t>20260422800038</t>
        </is>
      </c>
      <c r="B56" t="inlineStr">
        <is>
          <t>NAVAL</t>
        </is>
      </c>
      <c r="C56" t="n">
        <v>1</v>
      </c>
      <c r="D56" t="n">
        <v>514800</v>
      </c>
      <c r="E56" t="n">
        <v>342.8</v>
      </c>
      <c r="F56" t="n">
        <v>1501.75</v>
      </c>
      <c r="G56" t="inlineStr">
        <is>
          <t>2026-04-21</t>
        </is>
      </c>
      <c r="H56" t="inlineStr">
        <is>
          <t>2026-04-21</t>
        </is>
      </c>
      <c r="I56" t="inlineStr">
        <is>
          <t>2029-08-28</t>
        </is>
      </c>
      <c r="J56" t="inlineStr">
        <is>
          <t>④호황</t>
        </is>
      </c>
      <c r="K56" t="inlineStr">
        <is>
          <t>linear_progress</t>
        </is>
      </c>
      <c r="L56" t="b">
        <v>0</v>
      </c>
    </row>
    <row r="57">
      <c r="A57" t="inlineStr">
        <is>
          <t>20260422800175</t>
        </is>
      </c>
      <c r="B57" t="inlineStr">
        <is>
          <t>OTHER</t>
        </is>
      </c>
      <c r="D57" t="n">
        <v>627100</v>
      </c>
      <c r="E57" t="n">
        <v>417.579</v>
      </c>
      <c r="F57" t="n">
        <v>1501.75</v>
      </c>
      <c r="G57" t="inlineStr">
        <is>
          <t>2026-04-21</t>
        </is>
      </c>
      <c r="H57" t="inlineStr">
        <is>
          <t>2026-04-21</t>
        </is>
      </c>
      <c r="I57" t="inlineStr">
        <is>
          <t>2030-10-21</t>
        </is>
      </c>
      <c r="K57" t="inlineStr">
        <is>
          <t>linear_progress</t>
        </is>
      </c>
      <c r="L57" t="b">
        <v>0</v>
      </c>
    </row>
    <row r="58">
      <c r="A58" t="inlineStr">
        <is>
          <t>20260504800297</t>
        </is>
      </c>
      <c r="B58" t="inlineStr">
        <is>
          <t>VLGC</t>
        </is>
      </c>
      <c r="C58" t="n">
        <v>3</v>
      </c>
      <c r="D58" t="n">
        <v>504800</v>
      </c>
      <c r="E58" t="n">
        <v>336.141</v>
      </c>
      <c r="F58" t="n">
        <v>1501.75</v>
      </c>
      <c r="G58" t="inlineStr">
        <is>
          <t>2026-04-30</t>
        </is>
      </c>
      <c r="H58" t="inlineStr">
        <is>
          <t>2026-04-30</t>
        </is>
      </c>
      <c r="I58" t="inlineStr">
        <is>
          <t>2029-08-31</t>
        </is>
      </c>
      <c r="J58" t="inlineStr">
        <is>
          <t>③중마진</t>
        </is>
      </c>
      <c r="K58" t="inlineStr">
        <is>
          <t>linear_progress</t>
        </is>
      </c>
      <c r="L58" t="b">
        <v>0</v>
      </c>
    </row>
    <row r="59">
      <c r="A59" t="inlineStr">
        <is>
          <t>20260508800180</t>
        </is>
      </c>
      <c r="B59" t="inlineStr">
        <is>
          <t>CONT</t>
        </is>
      </c>
      <c r="C59" t="n">
        <v>6</v>
      </c>
      <c r="D59" t="n">
        <v>1778700</v>
      </c>
      <c r="E59" t="n">
        <v>1184.418</v>
      </c>
      <c r="F59" t="n">
        <v>1501.75</v>
      </c>
      <c r="G59" t="inlineStr">
        <is>
          <t>2026-05-07</t>
        </is>
      </c>
      <c r="H59" t="inlineStr">
        <is>
          <t>2026-05-07</t>
        </is>
      </c>
      <c r="I59" t="inlineStr">
        <is>
          <t>2029-09-30</t>
        </is>
      </c>
      <c r="J59" t="inlineStr">
        <is>
          <t>④호황</t>
        </is>
      </c>
      <c r="K59" t="inlineStr">
        <is>
          <t>linear_progress</t>
        </is>
      </c>
      <c r="L59" t="b">
        <v>1</v>
      </c>
    </row>
    <row r="60">
      <c r="A60" t="inlineStr">
        <is>
          <t>20260508800181</t>
        </is>
      </c>
      <c r="B60" t="inlineStr">
        <is>
          <t>VLGC</t>
        </is>
      </c>
      <c r="C60" t="n">
        <v>2</v>
      </c>
      <c r="D60" t="n">
        <v>352100</v>
      </c>
      <c r="E60" t="n">
        <v>234.46</v>
      </c>
      <c r="F60" t="n">
        <v>1501.75</v>
      </c>
      <c r="G60" t="inlineStr">
        <is>
          <t>2026-05-07</t>
        </is>
      </c>
      <c r="H60" t="inlineStr">
        <is>
          <t>2026-05-07</t>
        </is>
      </c>
      <c r="I60" t="inlineStr">
        <is>
          <t>2029-03-30</t>
        </is>
      </c>
      <c r="J60" t="inlineStr">
        <is>
          <t>③중마진</t>
        </is>
      </c>
      <c r="K60" t="inlineStr">
        <is>
          <t>linear_progress</t>
        </is>
      </c>
      <c r="L60" t="b">
        <v>1</v>
      </c>
    </row>
    <row r="61">
      <c r="A61" t="inlineStr">
        <is>
          <t>20260514800315</t>
        </is>
      </c>
      <c r="B61" t="inlineStr">
        <is>
          <t>LNGC</t>
        </is>
      </c>
      <c r="C61" t="n">
        <v>2</v>
      </c>
      <c r="D61" t="n">
        <v>743900</v>
      </c>
      <c r="E61" t="n">
        <v>495.355</v>
      </c>
      <c r="F61" t="n">
        <v>1501.75</v>
      </c>
      <c r="G61" t="inlineStr">
        <is>
          <t>2026-05-13</t>
        </is>
      </c>
      <c r="H61" t="inlineStr">
        <is>
          <t>2026-05-13</t>
        </is>
      </c>
      <c r="I61" t="inlineStr">
        <is>
          <t>2029-03-30</t>
        </is>
      </c>
      <c r="J61" t="inlineStr">
        <is>
          <t>③중마진</t>
        </is>
      </c>
      <c r="K61" t="inlineStr">
        <is>
          <t>linear_progress</t>
        </is>
      </c>
      <c r="L61" t="b">
        <v>1</v>
      </c>
    </row>
    <row r="62">
      <c r="A62" t="inlineStr">
        <is>
          <t>20260601800384</t>
        </is>
      </c>
      <c r="B62" t="inlineStr">
        <is>
          <t>VLGC</t>
        </is>
      </c>
      <c r="C62" t="n">
        <v>8</v>
      </c>
      <c r="D62" t="n">
        <v>1416100</v>
      </c>
      <c r="E62" t="n">
        <v>942.967</v>
      </c>
      <c r="F62" t="n">
        <v>1501.75</v>
      </c>
      <c r="G62" t="inlineStr">
        <is>
          <t>2026-05-30</t>
        </is>
      </c>
      <c r="H62" t="inlineStr">
        <is>
          <t>2026-05-30</t>
        </is>
      </c>
      <c r="I62" t="inlineStr">
        <is>
          <t>2030-06-30</t>
        </is>
      </c>
      <c r="J62" t="inlineStr">
        <is>
          <t>③중마진</t>
        </is>
      </c>
      <c r="K62" t="inlineStr">
        <is>
          <t>linear_progress</t>
        </is>
      </c>
      <c r="L62" t="b">
        <v>1</v>
      </c>
    </row>
    <row r="63">
      <c r="A63" t="inlineStr">
        <is>
          <t>20260608800378</t>
        </is>
      </c>
      <c r="B63" t="inlineStr">
        <is>
          <t>VLGC</t>
        </is>
      </c>
      <c r="C63" t="n">
        <v>2</v>
      </c>
      <c r="D63" t="n">
        <v>360700</v>
      </c>
      <c r="E63" t="n">
        <v>240.186</v>
      </c>
      <c r="F63" t="n">
        <v>1501.75</v>
      </c>
      <c r="G63" t="inlineStr">
        <is>
          <t>2026-06-05</t>
        </is>
      </c>
      <c r="H63" t="inlineStr">
        <is>
          <t>2026-06-05</t>
        </is>
      </c>
      <c r="I63" t="inlineStr">
        <is>
          <t>2029-11-30</t>
        </is>
      </c>
      <c r="J63" t="inlineStr">
        <is>
          <t>③중마진</t>
        </is>
      </c>
      <c r="K63" t="inlineStr">
        <is>
          <t>linear_progress</t>
        </is>
      </c>
      <c r="L63" t="b">
        <v>0</v>
      </c>
    </row>
    <row r="64">
      <c r="A64" t="inlineStr">
        <is>
          <t>20260701800212</t>
        </is>
      </c>
      <c r="B64" t="inlineStr">
        <is>
          <t>LNGC</t>
        </is>
      </c>
      <c r="C64" t="n">
        <v>1</v>
      </c>
      <c r="D64" t="n">
        <v>492800</v>
      </c>
      <c r="E64" t="n">
        <v>328.15</v>
      </c>
      <c r="F64" t="n">
        <v>1501.75</v>
      </c>
      <c r="G64" t="inlineStr">
        <is>
          <t>2026-06-30</t>
        </is>
      </c>
      <c r="H64" t="inlineStr">
        <is>
          <t>2026-06-30</t>
        </is>
      </c>
      <c r="I64" t="inlineStr">
        <is>
          <t>2029-05-31</t>
        </is>
      </c>
      <c r="J64" t="inlineStr">
        <is>
          <t>④호황</t>
        </is>
      </c>
      <c r="K64" t="inlineStr">
        <is>
          <t>linear_progress</t>
        </is>
      </c>
      <c r="L64" t="b">
        <v>0</v>
      </c>
    </row>
    <row r="65">
      <c r="A65" t="inlineStr">
        <is>
          <t>20260701800215</t>
        </is>
      </c>
      <c r="B65" t="inlineStr">
        <is>
          <t>LNGC</t>
        </is>
      </c>
      <c r="C65" t="n">
        <v>1</v>
      </c>
      <c r="D65" t="n">
        <v>392200</v>
      </c>
      <c r="E65" t="n">
        <v>261.162</v>
      </c>
      <c r="F65" t="n">
        <v>1501.75</v>
      </c>
      <c r="G65" t="inlineStr">
        <is>
          <t>2026-06-30</t>
        </is>
      </c>
      <c r="H65" t="inlineStr">
        <is>
          <t>2026-06-30</t>
        </is>
      </c>
      <c r="I65" t="inlineStr">
        <is>
          <t>2029-01-31</t>
        </is>
      </c>
      <c r="J65" t="inlineStr">
        <is>
          <t>③중마진</t>
        </is>
      </c>
      <c r="K65" t="inlineStr">
        <is>
          <t>linear_progress</t>
        </is>
      </c>
      <c r="L65" t="b">
        <v>1</v>
      </c>
    </row>
    <row r="66">
      <c r="A66" t="inlineStr">
        <is>
          <t>20260709800137</t>
        </is>
      </c>
      <c r="B66" t="inlineStr">
        <is>
          <t>PC</t>
        </is>
      </c>
      <c r="C66" t="n">
        <v>6</v>
      </c>
      <c r="D66" t="n">
        <v>469900</v>
      </c>
      <c r="E66" t="n">
        <v>330.981</v>
      </c>
      <c r="F66" t="n">
        <v>1419.72</v>
      </c>
      <c r="G66" t="inlineStr">
        <is>
          <t>2026-07-08</t>
        </is>
      </c>
      <c r="H66" t="inlineStr">
        <is>
          <t>2026-07-08</t>
        </is>
      </c>
      <c r="I66" t="inlineStr">
        <is>
          <t>2029-06-30</t>
        </is>
      </c>
      <c r="J66" t="inlineStr">
        <is>
          <t>③중마진</t>
        </is>
      </c>
      <c r="K66" t="inlineStr">
        <is>
          <t>linear_progress</t>
        </is>
      </c>
      <c r="L66" t="b">
        <v>1</v>
      </c>
    </row>
    <row r="67">
      <c r="A67" t="inlineStr">
        <is>
          <t>20260714800534</t>
        </is>
      </c>
      <c r="B67" t="inlineStr">
        <is>
          <t>PCTC</t>
        </is>
      </c>
      <c r="C67" t="n">
        <v>2</v>
      </c>
      <c r="D67" t="n">
        <v>398500</v>
      </c>
      <c r="E67" t="n">
        <v>265.357</v>
      </c>
      <c r="F67" t="n">
        <v>1501.75</v>
      </c>
      <c r="G67" t="inlineStr">
        <is>
          <t>2026-04-15</t>
        </is>
      </c>
      <c r="H67" t="inlineStr">
        <is>
          <t>2026-04-15</t>
        </is>
      </c>
      <c r="I67" t="inlineStr">
        <is>
          <t>2028-11-30</t>
        </is>
      </c>
      <c r="J67" t="inlineStr">
        <is>
          <t>③중마진</t>
        </is>
      </c>
      <c r="K67" t="inlineStr">
        <is>
          <t>linear_progress</t>
        </is>
      </c>
      <c r="L67" t="b">
        <v>1</v>
      </c>
    </row>
    <row r="68">
      <c r="A68" t="inlineStr">
        <is>
          <t>20260810800144</t>
        </is>
      </c>
      <c r="B68" t="inlineStr">
        <is>
          <t>OTHER</t>
        </is>
      </c>
      <c r="D68" t="n">
        <v>956000</v>
      </c>
      <c r="E68" t="n">
        <v>673.372</v>
      </c>
      <c r="F68" t="n">
        <v>1419.72</v>
      </c>
      <c r="G68" t="inlineStr">
        <is>
          <t>2026-08-07</t>
        </is>
      </c>
      <c r="H68" t="inlineStr">
        <is>
          <t>2026-08-07</t>
        </is>
      </c>
      <c r="I68" t="inlineStr">
        <is>
          <t>2030-07-30</t>
        </is>
      </c>
      <c r="K68" t="inlineStr">
        <is>
          <t>linear_progress</t>
        </is>
      </c>
      <c r="L68" t="b">
        <v>0</v>
      </c>
    </row>
    <row r="69">
      <c r="A69" t="inlineStr">
        <is>
          <t>20260824800122</t>
        </is>
      </c>
      <c r="B69" t="inlineStr">
        <is>
          <t>VLGC</t>
        </is>
      </c>
      <c r="C69" t="n">
        <v>4</v>
      </c>
      <c r="D69" t="n">
        <v>515400</v>
      </c>
      <c r="E69" t="n">
        <v>363.029</v>
      </c>
      <c r="F69" t="n">
        <v>1419.72</v>
      </c>
      <c r="G69" t="inlineStr">
        <is>
          <t>2026-08-21</t>
        </is>
      </c>
      <c r="H69" t="inlineStr">
        <is>
          <t>2026-08-21</t>
        </is>
      </c>
      <c r="I69" t="inlineStr">
        <is>
          <t>2030-03-31</t>
        </is>
      </c>
      <c r="J69" t="inlineStr">
        <is>
          <t>②BEP</t>
        </is>
      </c>
      <c r="K69" t="inlineStr">
        <is>
          <t>linear_progress</t>
        </is>
      </c>
      <c r="L69" t="b">
        <v>1</v>
      </c>
    </row>
    <row r="70">
      <c r="A70" t="inlineStr">
        <is>
          <t>20260922800219</t>
        </is>
      </c>
      <c r="B70" t="inlineStr">
        <is>
          <t>PCTC</t>
        </is>
      </c>
      <c r="C70" t="n">
        <v>2</v>
      </c>
      <c r="D70" t="n">
        <v>336200</v>
      </c>
      <c r="E70" t="n">
        <v>236.807</v>
      </c>
      <c r="F70" t="n">
        <v>1419.72</v>
      </c>
      <c r="G70" t="inlineStr">
        <is>
          <t>2026-09-21</t>
        </is>
      </c>
      <c r="H70" t="inlineStr">
        <is>
          <t>2026-09-21</t>
        </is>
      </c>
      <c r="I70" t="inlineStr">
        <is>
          <t>2029-11-30</t>
        </is>
      </c>
      <c r="J70" t="inlineStr">
        <is>
          <t>③중마진</t>
        </is>
      </c>
      <c r="K70" t="inlineStr">
        <is>
          <t>linear_progress</t>
        </is>
      </c>
      <c r="L70" t="b">
        <v>1</v>
      </c>
    </row>
    <row r="71">
      <c r="A71" s="2" t="inlineStr">
        <is>
          <t>⚠ 종료일 = 마지막 호선 인도 예정; 진행률 매출 분기는 계약기간 안에 선형 배분(가정)</t>
        </is>
      </c>
    </row>
    <row r="72">
      <c r="A72" s="2" t="inlineStr">
        <is>
          <t>⚠ HD한국조선해양(009540) 공시와 동일 계약 21건(shared_with) — 두 파일을 합산하지 말 것</t>
        </is>
      </c>
    </row>
    <row r="73">
      <c r="A73" s="2" t="inlineStr">
        <is>
          <t>⚠ 헤지비율 0.7 은 가정(약정환율 미공시 → 레퍼런스 SLS 시트의 HEDGE 70% 가정. hedge_rate 는 계약별 수주시점 환율로 대체)</t>
        </is>
      </c>
    </row>
    <row r="74">
      <c r="A74" s="2" t="inlineStr">
        <is>
          <t>⚠ 공시 통화선도 매도 명목액 20760백만$ 을 현물(2026Q2 기말 1550.89원)로 잔고 대비 환산하면 0.46 — 가정 0.70 과 -0.24 차이. 약정환율 미공시라 적용하지 않음(참고치 hedge.hedge_ratio_implied_spot; 채택은 사용자 결정)</t>
        </is>
      </c>
    </row>
    <row r="75">
      <c r="A75" s="2" t="inlineStr">
        <is>
          <t>⚠ 코호트는 원장 내부 상대 등급(신조선가 지수 없음): 2025~ 수주 물량(백만$) 판정 ②BEP 14%, ③중마진 43%, ④호황 43%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76">
      <c r="A76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OP조선</t>
        </is>
      </c>
      <c r="D36" t="inlineStr">
        <is>
          <t>OP 조선·해양(조선·해양플랜트)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매출기타</t>
        </is>
      </c>
      <c r="D37" t="inlineStr">
        <is>
          <t>매출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OP기타</t>
        </is>
      </c>
      <c r="D38" t="inlineStr">
        <is>
          <t>OP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환관련손익</t>
        </is>
      </c>
      <c r="D14" t="inlineStr">
        <is>
          <t>환관련손익(모델 추정분)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매출조선</t>
        </is>
      </c>
      <c r="D35" t="inlineStr">
        <is>
          <t>매출 조선·해양(조선·해양플랜트)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OP조선</t>
        </is>
      </c>
      <c r="D36" t="inlineStr">
        <is>
          <t>OP 조선·해양(조선·해양플랜트)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매출기타</t>
        </is>
      </c>
      <c r="D37" t="inlineStr">
        <is>
          <t>매출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OP기타</t>
        </is>
      </c>
      <c r="D38" t="inlineStr">
        <is>
          <t>OP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24923.6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17.27</v>
      </c>
    </row>
    <row r="32">
      <c r="C32" s="2" t="inlineStr">
        <is>
          <t>pbr_now</t>
        </is>
      </c>
      <c r="D32" t="n">
        <v>4.28</v>
      </c>
    </row>
    <row r="33">
      <c r="C33" s="2" t="inlineStr">
        <is>
          <t>roe_fwd</t>
        </is>
      </c>
      <c r="D33" t="n">
        <v>0.2481</v>
      </c>
    </row>
    <row r="34">
      <c r="C34" s="2" t="inlineStr">
        <is>
          <t>fair_pbr</t>
        </is>
      </c>
      <c r="D34" t="n">
        <v>2.76</v>
      </c>
    </row>
    <row r="35">
      <c r="C35" s="2" t="inlineStr">
        <is>
          <t>fair_value_pbr</t>
        </is>
      </c>
      <c r="D35" t="n">
        <v>277300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132.71</v>
      </c>
      <c r="Y18" s="20" t="n">
        <v>-0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