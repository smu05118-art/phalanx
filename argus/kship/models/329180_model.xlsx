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21872억(sls.by_quarter.marine_hedged_krw_m(헤지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21386억(sls.by_quarter.marine_hedged_krw_m(헤지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21226억(sls.by_quarter.marine_hedged_krw_m(헤지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20400억(sls.by_quarter.marine_hedged_krw_m(헤지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19650억(sls.by_quarter.marine_hedged_krw_m(헤지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18748억(sls.by_quarter.marine_hedged_krw_m(헤지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18108억(sls.by_quarter.marine_hedged_krw_m(헤지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16777억(sls.by_quarter.marine_hedged_krw_m(헤지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14994억(sls.by_quarter.marine_hedged_krw_m(헤지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80671억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88203억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90209억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98593억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107529억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117043억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121226억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131827억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80671억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88203억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90209억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98593억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107529억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117043억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121226억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131827억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
[sls_link]</t>
      </text>
    </comment>
    <comment ref="AD39" authorId="0" shapeId="0">
      <text>
        <t>추정: SLS 해양 원화 21872억(sls.by_quarter.marine_hedged_krw_m(헤지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
[sls_link]</t>
      </text>
    </comment>
    <comment ref="AF39" authorId="0" shapeId="0">
      <text>
        <t>추정: SLS 해양 원화 21386억(sls.by_quarter.marine_hedged_krw_m(헤지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
[sls_link]</t>
      </text>
    </comment>
    <comment ref="AG39" authorId="0" shapeId="0">
      <text>
        <t>추정: SLS 해양 원화 21226억(sls.by_quarter.marine_hedged_krw_m(헤지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H39" authorId="0" shapeId="0">
      <text>
        <t>추정: SLS 해양 원화 20400억(sls.by_quarter.marine_hedged_krw_m(헤지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I39" authorId="0" shapeId="0">
      <text>
        <t>추정: SLS 해양 원화 19650억(sls.by_quarter.marine_hedged_krw_m(헤지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K39" authorId="0" shapeId="0">
      <text>
        <t>추정: SLS 해양 원화 18748억(sls.by_quarter.marine_hedged_krw_m(헤지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L39" authorId="0" shapeId="0">
      <text>
        <t>추정: SLS 해양 원화 18108억(sls.by_quarter.marine_hedged_krw_m(헤지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M39" authorId="0" shapeId="0">
      <text>
        <t>추정: SLS 해양 원화 16777억(sls.by_quarter.marine_hedged_krw_m(헤지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N39" authorId="0" shapeId="0">
      <text>
        <t>추정: SLS 해양 원화 14994억(sls.by_quarter.marine_hedged_krw_m(헤지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8.1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new_order_revenue 신규수주 매출(미보정 book-value proxy, status partial; FY합 163,971억) — 보수/낙관은 scenarios 블록(합산 안 함) / origin 이후 공시 수주 3건 13,215억은 SLS 일정으로 전부 유지, 패널 신규수주에서 체결 분기별 상계(2026Q3 패널 47,475억 − 공시 13,215억 = 34,260억) — 패널 base 신규 매출 −11,241억(2026 275억 · 2027 4,902억 · 2028 6,064억)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유지 SLS(공시) vs 패널 base 신규 매출(상계 후): 2026 1,562억 vs 714억 · 2027 3,988억 vs 38,092억 · 2028 3,999억 vs 125,165억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384500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383000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412700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-0.006084223</v>
      </c>
      <c r="AD30" s="29" t="n">
        <v>0.006485586</v>
      </c>
      <c r="AE30" s="30" t="n"/>
      <c r="AF30" s="29" t="n">
        <v>-0.002280682</v>
      </c>
      <c r="AG30" s="29" t="n">
        <v>5940.251441722</v>
      </c>
      <c r="AH30" s="29" t="n">
        <v>-0.002952796</v>
      </c>
      <c r="AI30" s="29" t="n">
        <v>0.001369966</v>
      </c>
      <c r="AJ30" s="30" t="n"/>
      <c r="AK30" s="29" t="n">
        <v>0.012350983</v>
      </c>
      <c r="AL30" s="29" t="n">
        <v>5940.25372659</v>
      </c>
      <c r="AM30" s="29" t="n">
        <v>0.00414803</v>
      </c>
      <c r="AN30" s="29" t="n">
        <v>0.008039416000000001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-0.009504848999999999</v>
      </c>
      <c r="AD31" s="29" t="n">
        <v>0.005659847</v>
      </c>
      <c r="AE31" s="30" t="n"/>
      <c r="AF31" s="29" t="n">
        <v>0.006869346</v>
      </c>
      <c r="AG31" s="29" t="n">
        <v>5940.24054502</v>
      </c>
      <c r="AH31" s="29" t="n">
        <v>0.006101095</v>
      </c>
      <c r="AI31" s="29" t="n">
        <v>0.000361495</v>
      </c>
      <c r="AJ31" s="30" t="n"/>
      <c r="AK31" s="29" t="n">
        <v>0.011277252</v>
      </c>
      <c r="AL31" s="29" t="n">
        <v>5940.242584162</v>
      </c>
      <c r="AM31" s="29" t="n">
        <v>0.012951705</v>
      </c>
      <c r="AN31" s="29" t="n">
        <v>-0.003200485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0.120009447</v>
      </c>
      <c r="AD33" s="31" t="n">
        <v>0.107817815</v>
      </c>
      <c r="AE33" s="25" t="n"/>
      <c r="AF33" s="31" t="n">
        <v>0.100180894</v>
      </c>
      <c r="AG33" s="31" t="n">
        <v>0.024248005</v>
      </c>
      <c r="AH33" s="31" t="n">
        <v>0.098958247</v>
      </c>
      <c r="AI33" s="31" t="n">
        <v>0.095982659</v>
      </c>
      <c r="AJ33" s="25" t="n"/>
      <c r="AK33" s="31" t="n">
        <v>0.093243913</v>
      </c>
      <c r="AL33" s="31" t="n">
        <v>0.037498251</v>
      </c>
      <c r="AM33" s="31" t="n">
        <v>0.091594711</v>
      </c>
      <c r="AN33" s="31" t="n">
        <v>0.086965401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0.110040893</v>
      </c>
      <c r="AD34" s="31" t="n">
        <v>0.09974976200000001</v>
      </c>
      <c r="AE34" s="25" t="n"/>
      <c r="AF34" s="31" t="n">
        <v>0.093364272</v>
      </c>
      <c r="AG34" s="31" t="n">
        <v>0.022738984</v>
      </c>
      <c r="AH34" s="31" t="n">
        <v>0.09293672</v>
      </c>
      <c r="AI34" s="31" t="n">
        <v>0.090638833</v>
      </c>
      <c r="AJ34" s="25" t="n"/>
      <c r="AK34" s="31" t="n">
        <v>0.08848399899999999</v>
      </c>
      <c r="AL34" s="31" t="n">
        <v>0.035739649</v>
      </c>
      <c r="AM34" s="31" t="n">
        <v>0.087447306</v>
      </c>
      <c r="AN34" s="31" t="n">
        <v>0.083344269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35385.264339</v>
      </c>
      <c r="AD40" s="29" t="n">
        <v>35835.219113</v>
      </c>
      <c r="AE40" s="30" t="n"/>
      <c r="AF40" s="29" t="n">
        <v>35812.872982</v>
      </c>
      <c r="AG40" s="29" t="n">
        <v>35823.827443</v>
      </c>
      <c r="AH40" s="29" t="n">
        <v>35834.673932</v>
      </c>
      <c r="AI40" s="29" t="n">
        <v>35834.737684</v>
      </c>
      <c r="AJ40" s="30" t="n"/>
      <c r="AK40" s="29" t="n">
        <v>35823.75471</v>
      </c>
      <c r="AL40" s="29" t="n">
        <v>35823.746931</v>
      </c>
      <c r="AM40" s="29" t="n">
        <v>35834.737982</v>
      </c>
      <c r="AN40" s="29" t="n">
        <v>35834.800437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2954</v>
      </c>
      <c r="AG41" s="29" t="n">
        <v>6661.68</v>
      </c>
      <c r="AH41" s="29" t="n">
        <v>11468.92</v>
      </c>
      <c r="AI41" s="29" t="n">
        <v>17007.63</v>
      </c>
      <c r="AJ41" s="30">
        <f>subQ!AJ40</f>
        <v/>
      </c>
      <c r="AK41" s="29" t="n">
        <v>22909.76</v>
      </c>
      <c r="AL41" s="29" t="n">
        <v>28807.24</v>
      </c>
      <c r="AM41" s="29" t="n">
        <v>34331.99</v>
      </c>
      <c r="AN41" s="29" t="n">
        <v>39115.96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0.140604211</v>
      </c>
      <c r="AD42" s="31" t="n">
        <v>0.140904283</v>
      </c>
      <c r="AE42" s="25">
        <f>IFERROR(subQ!AE41/subQ!AE39,"")</f>
        <v/>
      </c>
      <c r="AF42" s="31" t="n">
        <v>0.140904406</v>
      </c>
      <c r="AG42" s="31" t="n">
        <v>0.14093271</v>
      </c>
      <c r="AH42" s="31" t="n">
        <v>0.141014829</v>
      </c>
      <c r="AI42" s="31" t="n">
        <v>0.141074935</v>
      </c>
      <c r="AJ42" s="25">
        <f>IFERROR(subQ!AJ41/subQ!AJ39,"")</f>
        <v/>
      </c>
      <c r="AK42" s="31" t="n">
        <v>0.141134918</v>
      </c>
      <c r="AL42" s="31" t="n">
        <v>0.141194976</v>
      </c>
      <c r="AM42" s="31" t="n">
        <v>0.141346581</v>
      </c>
      <c r="AN42" s="31" t="n">
        <v>0.141567708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384500</v>
      </c>
      <c r="E47" s="2" t="inlineStr">
        <is>
          <t>원 — 네이버 정규장 종가(aik 확정종가 대조 · aik 400,000원)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0.2449400647010494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0.04875938767847952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0.9999998871490914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0.02472802091885307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0.1390168718901475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1345.74</v>
      </c>
      <c r="S20" s="13" t="n">
        <v>1343.46</v>
      </c>
      <c r="T20" s="13" t="n">
        <v>1343.46</v>
      </c>
      <c r="U20" s="13" t="n">
        <v>1343.46</v>
      </c>
      <c r="V20" s="13" t="n">
        <v>1343.46</v>
      </c>
      <c r="W20" s="13" t="n">
        <v>1343.46</v>
      </c>
      <c r="X20" s="13" t="n">
        <v>1343.46</v>
      </c>
      <c r="Y20" s="13" t="n">
        <v>1343.46</v>
      </c>
      <c r="Z20" s="13" t="n">
        <v>1343.46</v>
      </c>
      <c r="AA20" s="13" t="n">
        <v>1343.46</v>
      </c>
      <c r="AB20" s="13" t="n">
        <v>1343.46</v>
      </c>
      <c r="AC20" s="13" t="n">
        <v>1343.46</v>
      </c>
      <c r="AD20" s="13" t="n">
        <v>1343.46</v>
      </c>
      <c r="AE20" s="13" t="n">
        <v>1343.46</v>
      </c>
      <c r="AF20" s="13" t="n">
        <v>1343.46</v>
      </c>
      <c r="AG20" s="13" t="n">
        <v>1343.46</v>
      </c>
      <c r="AH20" s="13" t="n">
        <v>1343.46</v>
      </c>
      <c r="AI20" s="13" t="n">
        <v>1343.46</v>
      </c>
      <c r="AJ20" s="13" t="n">
        <v>1343.46</v>
      </c>
      <c r="AK20" s="13" t="n">
        <v>1343.46</v>
      </c>
      <c r="AL20" s="13" t="n">
        <v>1343.46</v>
      </c>
      <c r="AM20" s="13" t="n">
        <v>1343.46</v>
      </c>
      <c r="AN20" s="13" t="n">
        <v>1343.46</v>
      </c>
      <c r="AO20" s="13" t="n">
        <v>1343.46</v>
      </c>
      <c r="AP20" s="13" t="n">
        <v>1343.46</v>
      </c>
      <c r="AQ20" s="13" t="n">
        <v>1343.46</v>
      </c>
      <c r="AR20" s="13" t="n">
        <v>1343.46</v>
      </c>
      <c r="AS20" s="13" t="n">
        <v>1343.46</v>
      </c>
      <c r="AT20" s="13" t="n">
        <v>1343.46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1416.85</v>
      </c>
      <c r="S21" s="13" t="n">
        <v>1416.16</v>
      </c>
      <c r="T21" s="13" t="n">
        <v>1417.94</v>
      </c>
      <c r="U21" s="13" t="n">
        <v>1422.52</v>
      </c>
      <c r="V21" s="13" t="n">
        <v>1424.18</v>
      </c>
      <c r="W21" s="13" t="n">
        <v>1425.27</v>
      </c>
      <c r="X21" s="13" t="n">
        <v>1427.06</v>
      </c>
      <c r="Y21" s="13" t="n">
        <v>1427.1</v>
      </c>
      <c r="Z21" s="13" t="n">
        <v>1428.98</v>
      </c>
      <c r="AA21" s="13" t="n">
        <v>1435.42</v>
      </c>
      <c r="AB21" s="13" t="n">
        <v>1433.26</v>
      </c>
      <c r="AC21" s="13" t="n">
        <v>1433.06</v>
      </c>
      <c r="AD21" s="13" t="n">
        <v>1424.64</v>
      </c>
      <c r="AE21" s="13" t="n">
        <v>1421.38</v>
      </c>
      <c r="AF21" s="13" t="n">
        <v>1425.57</v>
      </c>
      <c r="AG21" s="13" t="n">
        <v>1413.08</v>
      </c>
      <c r="AH21" s="13" t="n">
        <v>1398.13</v>
      </c>
      <c r="AI21" s="13" t="n">
        <v>1387.67</v>
      </c>
      <c r="AJ21" s="13" t="n">
        <v>1407.86</v>
      </c>
      <c r="AK21" s="13" t="n">
        <v>1417.47</v>
      </c>
      <c r="AL21" s="13" t="n">
        <v>1417.47</v>
      </c>
      <c r="AM21" s="13" t="n">
        <v>1417.47</v>
      </c>
      <c r="AN21" s="13" t="n">
        <v>1417.47</v>
      </c>
      <c r="AO21" s="13" t="n">
        <v>1417.47</v>
      </c>
      <c r="AP21" s="13" t="n">
        <v>1417.47</v>
      </c>
      <c r="AQ21" s="13" t="n">
        <v>1417.47</v>
      </c>
      <c r="AR21" s="13" t="n">
        <v>1417.47</v>
      </c>
      <c r="AS21" s="13" t="n">
        <v>1417.47</v>
      </c>
      <c r="AT21" s="13" t="n">
        <v>1417.47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2280737.7</v>
      </c>
      <c r="S22" s="18" t="n">
        <v>2230079.3</v>
      </c>
      <c r="T22" s="18" t="n">
        <v>2215038.3</v>
      </c>
      <c r="U22" s="18" t="n">
        <v>2133522.8</v>
      </c>
      <c r="V22" s="18" t="n">
        <v>2058454.9</v>
      </c>
      <c r="W22" s="18" t="n">
        <v>1967294.4</v>
      </c>
      <c r="X22" s="18" t="n">
        <v>1903243.4</v>
      </c>
      <c r="Y22" s="18" t="n">
        <v>1771212.4</v>
      </c>
      <c r="Z22" s="18" t="n">
        <v>1592874.3</v>
      </c>
      <c r="AA22" s="18" t="n">
        <v>1052764.1</v>
      </c>
      <c r="AB22" s="18" t="n">
        <v>824668.8</v>
      </c>
      <c r="AC22" s="18" t="n">
        <v>675733.9</v>
      </c>
      <c r="AD22" s="18" t="n">
        <v>427749.1</v>
      </c>
      <c r="AE22" s="18" t="n">
        <v>247549.2</v>
      </c>
      <c r="AF22" s="18" t="n">
        <v>215307.5</v>
      </c>
      <c r="AG22" s="18" t="n">
        <v>93055.60000000001</v>
      </c>
      <c r="AH22" s="18" t="n">
        <v>47434.3</v>
      </c>
      <c r="AI22" s="18" t="n">
        <v>38819.2</v>
      </c>
      <c r="AJ22" s="18" t="n">
        <v>17632</v>
      </c>
      <c r="AK22" s="18" t="n">
        <v>14183.1</v>
      </c>
      <c r="AL22" s="18" t="n">
        <v>14183.1</v>
      </c>
      <c r="AM22" s="18" t="n">
        <v>14028.9</v>
      </c>
      <c r="AN22" s="18" t="n">
        <v>14028.9</v>
      </c>
      <c r="AO22" s="18" t="n">
        <v>14183.1</v>
      </c>
      <c r="AP22" s="18" t="n">
        <v>14183.1</v>
      </c>
      <c r="AQ22" s="18" t="n">
        <v>13874.7</v>
      </c>
      <c r="AR22" s="18" t="n">
        <v>14028.9</v>
      </c>
      <c r="AS22" s="18" t="n">
        <v>14183.1</v>
      </c>
      <c r="AT22" s="18" t="n">
        <v>12487.3</v>
      </c>
      <c r="AU22" s="18" t="n">
        <v>251181.4</v>
      </c>
      <c r="AV22" s="18" t="n">
        <v>692104.4</v>
      </c>
      <c r="AW22" s="18" t="n">
        <v>2596376.9</v>
      </c>
      <c r="AX22" s="18" t="n">
        <v>7675689.9</v>
      </c>
      <c r="AY22" s="18" t="n">
        <v>8637095.300000001</v>
      </c>
      <c r="AZ22" s="18" t="n">
        <v>7234624.5</v>
      </c>
      <c r="BA22" s="18" t="n">
        <v>2980915.9</v>
      </c>
      <c r="BB22" s="18" t="n">
        <v>603346.6</v>
      </c>
      <c r="BC22" s="18" t="n">
        <v>84817.39999999999</v>
      </c>
      <c r="BD22" s="18" t="n">
        <v>56424</v>
      </c>
      <c r="BE22" s="18" t="n">
        <v>54574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2187203.1</v>
      </c>
      <c r="S23" s="18" t="n">
        <v>2138622.2</v>
      </c>
      <c r="T23" s="18" t="n">
        <v>2122564.9</v>
      </c>
      <c r="U23" s="18" t="n">
        <v>2040033.3</v>
      </c>
      <c r="V23" s="18" t="n">
        <v>1964965.4</v>
      </c>
      <c r="W23" s="18" t="n">
        <v>1874821.1</v>
      </c>
      <c r="X23" s="18" t="n">
        <v>1810770.1</v>
      </c>
      <c r="Y23" s="18" t="n">
        <v>1677722.9</v>
      </c>
      <c r="Z23" s="18" t="n">
        <v>1499384.8</v>
      </c>
      <c r="AA23" s="18" t="n">
        <v>961307</v>
      </c>
      <c r="AB23" s="18" t="n">
        <v>732195.5</v>
      </c>
      <c r="AC23" s="18" t="n">
        <v>582244.4</v>
      </c>
      <c r="AD23" s="18" t="n">
        <v>334259.6</v>
      </c>
      <c r="AE23" s="18" t="n">
        <v>156092</v>
      </c>
      <c r="AF23" s="18" t="n">
        <v>122834.2</v>
      </c>
      <c r="AG23" s="18" t="n">
        <v>39681.9</v>
      </c>
      <c r="AH23" s="18" t="n">
        <v>39681.9</v>
      </c>
      <c r="AI23" s="18" t="n">
        <v>38819.2</v>
      </c>
      <c r="AJ23" s="18" t="n">
        <v>17632</v>
      </c>
      <c r="AK23" s="18" t="n">
        <v>14183.1</v>
      </c>
      <c r="AL23" s="18" t="n">
        <v>14183.1</v>
      </c>
      <c r="AM23" s="18" t="n">
        <v>14028.9</v>
      </c>
      <c r="AN23" s="18" t="n">
        <v>14028.9</v>
      </c>
      <c r="AO23" s="18" t="n">
        <v>14183.1</v>
      </c>
      <c r="AP23" s="18" t="n">
        <v>14183.1</v>
      </c>
      <c r="AQ23" s="18" t="n">
        <v>13874.7</v>
      </c>
      <c r="AR23" s="18" t="n">
        <v>14028.9</v>
      </c>
      <c r="AS23" s="18" t="n">
        <v>14183.1</v>
      </c>
      <c r="AT23" s="18" t="n">
        <v>12487.3</v>
      </c>
      <c r="AU23" s="18" t="n">
        <v>251181.4</v>
      </c>
      <c r="AV23" s="18" t="n">
        <v>692104.4</v>
      </c>
      <c r="AW23" s="18" t="n">
        <v>2596376.9</v>
      </c>
      <c r="AX23" s="18" t="n">
        <v>7484436.4</v>
      </c>
      <c r="AY23" s="18" t="n">
        <v>8266185.8</v>
      </c>
      <c r="AZ23" s="18" t="n">
        <v>6862698.9</v>
      </c>
      <c r="BA23" s="18" t="n">
        <v>2610006.5</v>
      </c>
      <c r="BB23" s="18" t="n">
        <v>358290</v>
      </c>
      <c r="BC23" s="18" t="n">
        <v>84817.39999999999</v>
      </c>
      <c r="BD23" s="18" t="n">
        <v>56424</v>
      </c>
      <c r="BE23" s="18" t="n">
        <v>54574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2086629.1</v>
      </c>
      <c r="S24" s="18" t="n">
        <v>2040282.8</v>
      </c>
      <c r="T24" s="18" t="n">
        <v>2023132.9</v>
      </c>
      <c r="U24" s="18" t="n">
        <v>1939508.6</v>
      </c>
      <c r="V24" s="18" t="n">
        <v>1864440.7</v>
      </c>
      <c r="W24" s="18" t="n">
        <v>1775389</v>
      </c>
      <c r="X24" s="18" t="n">
        <v>1711338.1</v>
      </c>
      <c r="Y24" s="18" t="n">
        <v>1577198.2</v>
      </c>
      <c r="Z24" s="18" t="n">
        <v>1398860.1</v>
      </c>
      <c r="AA24" s="18" t="n">
        <v>862967.6</v>
      </c>
      <c r="AB24" s="18" t="n">
        <v>632763.4</v>
      </c>
      <c r="AC24" s="18" t="n">
        <v>520785.4</v>
      </c>
      <c r="AD24" s="18" t="n">
        <v>281589.2</v>
      </c>
      <c r="AE24" s="18" t="n">
        <v>121484.3</v>
      </c>
      <c r="AF24" s="18" t="n">
        <v>122834.2</v>
      </c>
      <c r="AG24" s="18" t="n">
        <v>39681.9</v>
      </c>
      <c r="AH24" s="18" t="n">
        <v>39681.9</v>
      </c>
      <c r="AI24" s="18" t="n">
        <v>38819.2</v>
      </c>
      <c r="AJ24" s="18" t="n">
        <v>17632</v>
      </c>
      <c r="AK24" s="18" t="n">
        <v>14183.1</v>
      </c>
      <c r="AL24" s="18" t="n">
        <v>14183.1</v>
      </c>
      <c r="AM24" s="18" t="n">
        <v>14028.9</v>
      </c>
      <c r="AN24" s="18" t="n">
        <v>14028.9</v>
      </c>
      <c r="AO24" s="18" t="n">
        <v>14183.1</v>
      </c>
      <c r="AP24" s="18" t="n">
        <v>14183.1</v>
      </c>
      <c r="AQ24" s="18" t="n">
        <v>13874.7</v>
      </c>
      <c r="AR24" s="18" t="n">
        <v>14028.9</v>
      </c>
      <c r="AS24" s="18" t="n">
        <v>14183.1</v>
      </c>
      <c r="AT24" s="18" t="n">
        <v>12487.3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100573.9</v>
      </c>
      <c r="S25" s="18" t="n">
        <v>98339.39999999999</v>
      </c>
      <c r="T25" s="18" t="n">
        <v>99432</v>
      </c>
      <c r="U25" s="18" t="n">
        <v>100524.7</v>
      </c>
      <c r="V25" s="18" t="n">
        <v>100524.7</v>
      </c>
      <c r="W25" s="18" t="n">
        <v>99432</v>
      </c>
      <c r="X25" s="18" t="n">
        <v>99432</v>
      </c>
      <c r="Y25" s="18" t="n">
        <v>100524.7</v>
      </c>
      <c r="Z25" s="18" t="n">
        <v>100524.7</v>
      </c>
      <c r="AA25" s="18" t="n">
        <v>98339.39999999999</v>
      </c>
      <c r="AB25" s="18" t="n">
        <v>99432</v>
      </c>
      <c r="AC25" s="18" t="n">
        <v>61459</v>
      </c>
      <c r="AD25" s="18" t="n">
        <v>52670.4</v>
      </c>
      <c r="AE25" s="18" t="n">
        <v>34607.7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원/달러(평균)",환율,MATCH(R$1,변수H,0),0),1345.74)</f>
        <v/>
      </c>
      <c r="S31" s="13">
        <f>IFERROR(VLOOKUP(" 원/달러(평균)",환율,MATCH(S$1,변수H,0),0),1343.46)</f>
        <v/>
      </c>
      <c r="T31" s="13">
        <f>IFERROR(VLOOKUP(" 원/달러(평균)",환율,MATCH(T$1,변수H,0),0),1343.46)</f>
        <v/>
      </c>
      <c r="U31" s="13">
        <f>IFERROR(VLOOKUP(" 원/달러(평균)",환율,MATCH(U$1,변수H,0),0),1343.46)</f>
        <v/>
      </c>
      <c r="V31" s="13">
        <f>IFERROR(VLOOKUP(" 원/달러(평균)",환율,MATCH(V$1,변수H,0),0),1343.46)</f>
        <v/>
      </c>
      <c r="W31" s="13">
        <f>IFERROR(VLOOKUP(" 원/달러(평균)",환율,MATCH(W$1,변수H,0),0),1343.46)</f>
        <v/>
      </c>
      <c r="X31" s="13">
        <f>IFERROR(VLOOKUP(" 원/달러(평균)",환율,MATCH(X$1,변수H,0),0),1343.46)</f>
        <v/>
      </c>
      <c r="Y31" s="13">
        <f>IFERROR(VLOOKUP(" 원/달러(평균)",환율,MATCH(Y$1,변수H,0),0),1343.46)</f>
        <v/>
      </c>
      <c r="Z31" s="13">
        <f>IFERROR(VLOOKUP(" 원/달러(평균)",환율,MATCH(Z$1,변수H,0),0),1343.46)</f>
        <v/>
      </c>
      <c r="AA31" s="13">
        <f>IFERROR(VLOOKUP(" 원/달러(평균)",환율,MATCH(AA$1,변수H,0),0),1343.46)</f>
        <v/>
      </c>
      <c r="AB31" s="13">
        <f>IFERROR(VLOOKUP(" 원/달러(평균)",환율,MATCH(AB$1,변수H,0),0),1343.46)</f>
        <v/>
      </c>
      <c r="AC31" s="13">
        <f>IFERROR(VLOOKUP(" 원/달러(평균)",환율,MATCH(AC$1,변수H,0),0),1343.46)</f>
        <v/>
      </c>
      <c r="AD31" s="13">
        <f>IFERROR(VLOOKUP(" 원/달러(평균)",환율,MATCH(AD$1,변수H,0),0),1343.46)</f>
        <v/>
      </c>
      <c r="AE31" s="13">
        <f>IFERROR(VLOOKUP(" 원/달러(평균)",환율,MATCH(AE$1,변수H,0),0),1343.46)</f>
        <v/>
      </c>
      <c r="AF31" s="13">
        <f>IFERROR(VLOOKUP(" 원/달러(평균)",환율,MATCH(AF$1,변수H,0),0),1343.46)</f>
        <v/>
      </c>
      <c r="AG31" s="13">
        <f>IFERROR(VLOOKUP(" 원/달러(평균)",환율,MATCH(AG$1,변수H,0),0),1343.46)</f>
        <v/>
      </c>
      <c r="AH31" s="13">
        <f>IFERROR(VLOOKUP(" 원/달러(평균)",환율,MATCH(AH$1,변수H,0),0),1343.46)</f>
        <v/>
      </c>
      <c r="AI31" s="13">
        <f>IFERROR(VLOOKUP(" 원/달러(평균)",환율,MATCH(AI$1,변수H,0),0),1343.46)</f>
        <v/>
      </c>
      <c r="AJ31" s="13">
        <f>IFERROR(VLOOKUP(" 원/달러(평균)",환율,MATCH(AJ$1,변수H,0),0),1343.46)</f>
        <v/>
      </c>
      <c r="AK31" s="13">
        <f>IFERROR(VLOOKUP(" 원/달러(평균)",환율,MATCH(AK$1,변수H,0),0),1343.46)</f>
        <v/>
      </c>
      <c r="AL31" s="13">
        <f>IFERROR(VLOOKUP(" 원/달러(평균)",환율,MATCH(AL$1,변수H,0),0),1343.46)</f>
        <v/>
      </c>
      <c r="AM31" s="13">
        <f>IFERROR(VLOOKUP(" 원/달러(평균)",환율,MATCH(AM$1,변수H,0),0),1343.46)</f>
        <v/>
      </c>
      <c r="AN31" s="13">
        <f>IFERROR(VLOOKUP(" 원/달러(평균)",환율,MATCH(AN$1,변수H,0),0),1343.46)</f>
        <v/>
      </c>
      <c r="AO31" s="13">
        <f>IFERROR(VLOOKUP(" 원/달러(평균)",환율,MATCH(AO$1,변수H,0),0),1343.46)</f>
        <v/>
      </c>
      <c r="AP31" s="13">
        <f>IFERROR(VLOOKUP(" 원/달러(평균)",환율,MATCH(AP$1,변수H,0),0),1343.46)</f>
        <v/>
      </c>
      <c r="AQ31" s="13">
        <f>IFERROR(VLOOKUP(" 원/달러(평균)",환율,MATCH(AQ$1,변수H,0),0),1343.46)</f>
        <v/>
      </c>
      <c r="AR31" s="13">
        <f>IFERROR(VLOOKUP(" 원/달러(평균)",환율,MATCH(AR$1,변수H,0),0),1343.46)</f>
        <v/>
      </c>
      <c r="AS31" s="13">
        <f>IFERROR(VLOOKUP(" 원/달러(평균)",환율,MATCH(AS$1,변수H,0),0),1343.46)</f>
        <v/>
      </c>
      <c r="AT31" s="13">
        <f>IFERROR(VLOOKUP(" 원/달러(평균)",환율,MATCH(AT$1,변수H,0),0),1343.46)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1912.08</v>
      </c>
      <c r="I18" s="34" t="n">
        <v>4473.45</v>
      </c>
      <c r="J18" s="34" t="n">
        <v>7855.15</v>
      </c>
      <c r="K18" s="34" t="n">
        <v>11792.16</v>
      </c>
      <c r="L18" s="20">
        <f>SUM(H18:K18)</f>
        <v/>
      </c>
      <c r="M18" s="34" t="n">
        <v>16019.47</v>
      </c>
      <c r="N18" s="34" t="n">
        <v>20272.08</v>
      </c>
      <c r="O18" s="34" t="n">
        <v>24284.98</v>
      </c>
      <c r="P18" s="34" t="n">
        <v>27793.15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4965.7</v>
      </c>
      <c r="I24" s="34" t="n">
        <v>10888.12</v>
      </c>
      <c r="J24" s="34" t="n">
        <v>18450.7</v>
      </c>
      <c r="K24" s="34" t="n">
        <v>27086.66</v>
      </c>
      <c r="L24" s="20">
        <f>SUM(H24:K24)</f>
        <v/>
      </c>
      <c r="M24" s="34" t="n">
        <v>36229.2</v>
      </c>
      <c r="N24" s="34" t="n">
        <v>45311.53</v>
      </c>
      <c r="O24" s="34" t="n">
        <v>53766.84</v>
      </c>
      <c r="P24" s="34" t="n">
        <v>61028.36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28653.2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13.42</v>
      </c>
    </row>
    <row r="32">
      <c r="C32" s="2" t="inlineStr">
        <is>
          <t>pbr_now</t>
        </is>
      </c>
      <c r="D32" t="n">
        <v>3.83</v>
      </c>
    </row>
    <row r="33">
      <c r="C33" s="2" t="inlineStr">
        <is>
          <t>roe_fwd</t>
        </is>
      </c>
      <c r="D33" t="n">
        <v>0.2852</v>
      </c>
    </row>
    <row r="34">
      <c r="C34" s="2" t="inlineStr">
        <is>
          <t>fair_pbr</t>
        </is>
      </c>
      <c r="D34" t="n">
        <v>3.17</v>
      </c>
    </row>
    <row r="35">
      <c r="C35" s="2" t="inlineStr">
        <is>
          <t>fair_value_pbr</t>
        </is>
      </c>
      <c r="D35" t="n">
        <v>318500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8.02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