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omments/comment2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ADME" sheetId="1" state="visible" r:id="rId1"/>
    <sheet xmlns:r="http://schemas.openxmlformats.org/officeDocument/2006/relationships" name="변수" sheetId="2" state="visible" r:id="rId2"/>
    <sheet xmlns:r="http://schemas.openxmlformats.org/officeDocument/2006/relationships" name="BS연결" sheetId="3" state="visible" r:id="rId3"/>
    <sheet xmlns:r="http://schemas.openxmlformats.org/officeDocument/2006/relationships" name="BS별도" sheetId="4" state="visible" r:id="rId4"/>
    <sheet xmlns:r="http://schemas.openxmlformats.org/officeDocument/2006/relationships" name="subQ" sheetId="5" state="visible" r:id="rId5"/>
    <sheet xmlns:r="http://schemas.openxmlformats.org/officeDocument/2006/relationships" name="분기" sheetId="6" state="visible" r:id="rId6"/>
    <sheet xmlns:r="http://schemas.openxmlformats.org/officeDocument/2006/relationships" name="연간예상" sheetId="7" state="visible" r:id="rId7"/>
    <sheet xmlns:r="http://schemas.openxmlformats.org/officeDocument/2006/relationships" name="TP" sheetId="8" state="visible" r:id="rId8"/>
    <sheet xmlns:r="http://schemas.openxmlformats.org/officeDocument/2006/relationships" name="외화" sheetId="9" state="visible" r:id="rId9"/>
  </sheets>
  <definedNames>
    <definedName name="변수H">변수!$C$1:$AO$1</definedName>
    <definedName name="환율">변수!$C$6:$AO$13</definedName>
    <definedName name="BS연결H">BS연결!$C$1:$AO$1</definedName>
    <definedName name="BS연결">BS연결!$C$5:$AO$69</definedName>
    <definedName name="BS별도H">BS별도!$C$1:$AO$1</definedName>
    <definedName name="BS별도">BS별도!$C$5:$AO$67</definedName>
    <definedName name="SUBQH">subQ!$A$1:$AO$1</definedName>
    <definedName name="subQ">subQ!$A$5:$AO$37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0.0%"/>
    <numFmt numFmtId="165" formatCode="#,##0.0"/>
  </numFmts>
  <fonts count="5">
    <font>
      <name val="Calibri"/>
      <family val="2"/>
      <color theme="1"/>
      <sz val="11"/>
      <scheme val="minor"/>
    </font>
    <font>
      <b val="1"/>
    </font>
    <font>
      <i val="1"/>
      <color rgb="00666666"/>
      <sz val="9"/>
    </font>
    <font>
      <b val="1"/>
      <color rgb="00FFFFFF"/>
    </font>
    <font>
      <color rgb="001F4E79"/>
    </font>
  </fonts>
  <fills count="6">
    <fill>
      <patternFill/>
    </fill>
    <fill>
      <patternFill patternType="gray125"/>
    </fill>
    <fill>
      <patternFill patternType="solid">
        <fgColor rgb="0044546A"/>
      </patternFill>
    </fill>
    <fill>
      <patternFill patternType="solid">
        <fgColor rgb="00FFF2AB"/>
      </patternFill>
    </fill>
    <fill>
      <patternFill patternType="solid">
        <fgColor rgb="00EDEDED"/>
      </patternFill>
    </fill>
    <fill>
      <patternFill patternType="solid">
        <fgColor rgb="00FFF9DB"/>
      </patternFill>
    </fill>
  </fills>
  <borders count="3">
    <border>
      <left/>
      <right/>
      <top/>
      <bottom/>
      <diagonal/>
    </border>
    <border>
      <left/>
      <right style="medium">
        <color rgb="00000000"/>
      </right>
      <top/>
      <bottom/>
    </border>
    <border>
      <right style="medium">
        <color rgb="00000000"/>
      </right>
    </border>
  </borders>
  <cellStyleXfs count="1">
    <xf numFmtId="0" fontId="0" fillId="0" borderId="0"/>
  </cellStyleXfs>
  <cellXfs count="4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applyAlignment="1" pivotButton="0" quotePrefix="0" xfId="0">
      <alignment horizontal="center"/>
    </xf>
    <xf numFmtId="0" fontId="3" fillId="2" borderId="1" applyAlignment="1" pivotButton="0" quotePrefix="0" xfId="0">
      <alignment horizontal="center"/>
    </xf>
    <xf numFmtId="0" fontId="0" fillId="0" borderId="1" pivotButton="0" quotePrefix="0" xfId="0"/>
    <xf numFmtId="0" fontId="2" fillId="0" borderId="1" pivotButton="0" quotePrefix="0" xfId="0"/>
    <xf numFmtId="0" fontId="2" fillId="0" borderId="0" applyAlignment="1" pivotButton="0" quotePrefix="0" xfId="0">
      <alignment horizontal="center"/>
    </xf>
    <xf numFmtId="0" fontId="2" fillId="0" borderId="1" applyAlignment="1" pivotButton="0" quotePrefix="0" xfId="0">
      <alignment horizontal="center"/>
    </xf>
    <xf numFmtId="0" fontId="1" fillId="4" borderId="0" pivotButton="0" quotePrefix="0" xfId="0"/>
    <xf numFmtId="0" fontId="0" fillId="5" borderId="0" pivotButton="0" quotePrefix="0" xfId="0"/>
    <xf numFmtId="0" fontId="1" fillId="5" borderId="0" pivotButton="0" quotePrefix="0" xfId="0"/>
    <xf numFmtId="0" fontId="4" fillId="0" borderId="0" pivotButton="0" quotePrefix="0" xfId="0"/>
    <xf numFmtId="4" fontId="0" fillId="0" borderId="0" pivotButton="0" quotePrefix="0" xfId="0"/>
    <xf numFmtId="4" fontId="1" fillId="4" borderId="0" pivotButton="0" quotePrefix="0" xfId="0"/>
    <xf numFmtId="4" fontId="0" fillId="0" borderId="1" pivotButton="0" quotePrefix="0" xfId="0"/>
    <xf numFmtId="4" fontId="0" fillId="3" borderId="0" pivotButton="0" quotePrefix="0" xfId="0"/>
    <xf numFmtId="4" fontId="1" fillId="3" borderId="0" pivotButton="0" quotePrefix="0" xfId="0"/>
    <xf numFmtId="3" fontId="0" fillId="0" borderId="0" pivotButton="0" quotePrefix="0" xfId="0"/>
    <xf numFmtId="3" fontId="0" fillId="0" borderId="1" pivotButton="0" quotePrefix="0" xfId="0"/>
    <xf numFmtId="3" fontId="0" fillId="5" borderId="0" pivotButton="0" quotePrefix="0" xfId="0"/>
    <xf numFmtId="164" fontId="0" fillId="0" borderId="0" pivotButton="0" quotePrefix="0" xfId="0"/>
    <xf numFmtId="164" fontId="1" fillId="4" borderId="0" pivotButton="0" quotePrefix="0" xfId="0"/>
    <xf numFmtId="164" fontId="0" fillId="0" borderId="1" pivotButton="0" quotePrefix="0" xfId="0"/>
    <xf numFmtId="164" fontId="0" fillId="3" borderId="0" pivotButton="0" quotePrefix="0" xfId="0"/>
    <xf numFmtId="164" fontId="1" fillId="5" borderId="0" pivotButton="0" quotePrefix="0" xfId="0"/>
    <xf numFmtId="165" fontId="0" fillId="0" borderId="0" pivotButton="0" quotePrefix="0" xfId="0"/>
    <xf numFmtId="165" fontId="1" fillId="4" borderId="0" pivotButton="0" quotePrefix="0" xfId="0"/>
    <xf numFmtId="165" fontId="0" fillId="0" borderId="1" pivotButton="0" quotePrefix="0" xfId="0"/>
    <xf numFmtId="165" fontId="0" fillId="3" borderId="0" pivotButton="0" quotePrefix="0" xfId="0"/>
    <xf numFmtId="165" fontId="1" fillId="5" borderId="0" pivotButton="0" quotePrefix="0" xfId="0"/>
    <xf numFmtId="164" fontId="0" fillId="5" borderId="0" pivotButton="0" quotePrefix="0" xfId="0"/>
    <xf numFmtId="3" fontId="0" fillId="3" borderId="0" pivotButton="0" quotePrefix="0" xfId="0"/>
    <xf numFmtId="0" fontId="0" fillId="3" borderId="0" pivotButton="0" quotePrefix="0" xfId="0"/>
    <xf numFmtId="3" fontId="1" fillId="4" borderId="0" pivotButton="0" quotePrefix="0" xfId="0"/>
    <xf numFmtId="3" fontId="1" fillId="5" borderId="0" pivotButton="0" quotePrefix="0" xfId="0"/>
    <xf numFmtId="165" fontId="0" fillId="5" borderId="0" pivotButton="0" quotePrefix="0" xfId="0"/>
    <xf numFmtId="0" fontId="3" fillId="2" borderId="2" applyAlignment="1" pivotButton="0" quotePrefix="0" xfId="0">
      <alignment horizontal="center"/>
    </xf>
    <xf numFmtId="0" fontId="0" fillId="0" borderId="2" pivotButton="0" quotePrefix="0" xfId="0"/>
    <xf numFmtId="0" fontId="2" fillId="0" borderId="2" pivotButton="0" quotePrefix="0" xfId="0"/>
    <xf numFmtId="0" fontId="2" fillId="0" borderId="2" applyAlignment="1" pivotButton="0" quotePrefix="0" xfId="0">
      <alignment horizontal="center"/>
    </xf>
    <xf numFmtId="3" fontId="0" fillId="0" borderId="2" pivotButton="0" quotePrefix="0" xfId="0"/>
    <xf numFmtId="164" fontId="0" fillId="0" borderId="2" pivotButton="0" quotePrefix="0" xfId="0"/>
    <xf numFmtId="165" fontId="0" fillId="0" borderId="2" pivotButton="0" quotePrefix="0" xfId="0"/>
    <xf numFmtId="0" fontId="3" fillId="2" borderId="0" pivotButton="0" quotePrefix="0" xfId="0"/>
    <xf numFmtId="4" fontId="0" fillId="5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comments/comment1.xml><?xml version="1.0" encoding="utf-8"?>
<comments xmlns="http://schemas.openxmlformats.org/spreadsheetml/2006/main">
  <authors>
    <author>kship</author>
  </authors>
  <commentList>
    <comment ref="AC6" authorId="0" shapeId="0">
      <text>
        <t>모델 assumptions.fx — 가정 — 마지막 ECB 관측치를 2028Q4 까지 평평하게 둔다. 선도환율·컨센서스 아님.</t>
      </text>
    </comment>
    <comment ref="AD6" authorId="0" shapeId="0">
      <text>
        <t>모델 assumptions.fx — 가정 — 마지막 ECB 관측치를 2028Q4 까지 평평하게 둔다. 선도환율·컨센서스 아님.</t>
      </text>
    </comment>
    <comment ref="AF6" authorId="0" shapeId="0">
      <text>
        <t>모델 assumptions.fx — 가정 — 마지막 ECB 관측치를 2028Q4 까지 평평하게 둔다. 선도환율·컨센서스 아님.</t>
      </text>
    </comment>
    <comment ref="AG6" authorId="0" shapeId="0">
      <text>
        <t>모델 assumptions.fx — 가정 — 마지막 ECB 관측치를 2028Q4 까지 평평하게 둔다. 선도환율·컨센서스 아님.</t>
      </text>
    </comment>
    <comment ref="AH6" authorId="0" shapeId="0">
      <text>
        <t>모델 assumptions.fx — 가정 — 마지막 ECB 관측치를 2028Q4 까지 평평하게 둔다. 선도환율·컨센서스 아님.</t>
      </text>
    </comment>
    <comment ref="AI6" authorId="0" shapeId="0">
      <text>
        <t>모델 assumptions.fx — 가정 — 마지막 ECB 관측치를 2028Q4 까지 평평하게 둔다. 선도환율·컨센서스 아님.</t>
      </text>
    </comment>
    <comment ref="AK6" authorId="0" shapeId="0">
      <text>
        <t>모델 assumptions.fx — 가정 — 마지막 ECB 관측치를 2028Q4 까지 평평하게 둔다. 선도환율·컨센서스 아님.</t>
      </text>
    </comment>
    <comment ref="AL6" authorId="0" shapeId="0">
      <text>
        <t>모델 assumptions.fx — 가정 — 마지막 ECB 관측치를 2028Q4 까지 평평하게 둔다. 선도환율·컨센서스 아님.</t>
      </text>
    </comment>
    <comment ref="AM6" authorId="0" shapeId="0">
      <text>
        <t>모델 assumptions.fx — 가정 — 마지막 ECB 관측치를 2028Q4 까지 평평하게 둔다. 선도환율·컨센서스 아님.</t>
      </text>
    </comment>
    <comment ref="AN6" authorId="0" shapeId="0">
      <text>
        <t>모델 assumptions.fx — 가정 — 마지막 ECB 관측치를 2028Q4 까지 평평하게 둔다. 선도환율·컨센서스 아님.</t>
      </text>
    </comment>
    <comment ref="AC7" authorId="0" shapeId="0">
      <text>
        <t>모델 assumptions.fx — 가정 — 마지막 ECB 관측치를 2028Q4 까지 평평하게 둔다. 선도환율·컨센서스 아님.</t>
      </text>
    </comment>
    <comment ref="AD7" authorId="0" shapeId="0">
      <text>
        <t>모델 assumptions.fx — 가정 — 마지막 ECB 관측치를 2028Q4 까지 평평하게 둔다. 선도환율·컨센서스 아님.</t>
      </text>
    </comment>
    <comment ref="AF7" authorId="0" shapeId="0">
      <text>
        <t>모델 assumptions.fx — 가정 — 마지막 ECB 관측치를 2028Q4 까지 평평하게 둔다. 선도환율·컨센서스 아님.</t>
      </text>
    </comment>
    <comment ref="AG7" authorId="0" shapeId="0">
      <text>
        <t>모델 assumptions.fx — 가정 — 마지막 ECB 관측치를 2028Q4 까지 평평하게 둔다. 선도환율·컨센서스 아님.</t>
      </text>
    </comment>
    <comment ref="AH7" authorId="0" shapeId="0">
      <text>
        <t>모델 assumptions.fx — 가정 — 마지막 ECB 관측치를 2028Q4 까지 평평하게 둔다. 선도환율·컨센서스 아님.</t>
      </text>
    </comment>
    <comment ref="AI7" authorId="0" shapeId="0">
      <text>
        <t>모델 assumptions.fx — 가정 — 마지막 ECB 관측치를 2028Q4 까지 평평하게 둔다. 선도환율·컨센서스 아님.</t>
      </text>
    </comment>
    <comment ref="AK7" authorId="0" shapeId="0">
      <text>
        <t>모델 assumptions.fx — 가정 — 마지막 ECB 관측치를 2028Q4 까지 평평하게 둔다. 선도환율·컨센서스 아님.</t>
      </text>
    </comment>
    <comment ref="AL7" authorId="0" shapeId="0">
      <text>
        <t>모델 assumptions.fx — 가정 — 마지막 ECB 관측치를 2028Q4 까지 평평하게 둔다. 선도환율·컨센서스 아님.</t>
      </text>
    </comment>
    <comment ref="AM7" authorId="0" shapeId="0">
      <text>
        <t>모델 assumptions.fx — 가정 — 마지막 ECB 관측치를 2028Q4 까지 평평하게 둔다. 선도환율·컨센서스 아님.</t>
      </text>
    </comment>
    <comment ref="AN7" authorId="0" shapeId="0">
      <text>
        <t>모델 assumptions.fx — 가정 — 마지막 ECB 관측치를 2028Q4 까지 평평하게 둔다. 선도환율·컨센서스 아님.</t>
      </text>
    </comment>
    <comment ref="AD8" authorId="0" shapeId="0">
      <text>
        <t>fx.json forward(flat_last_end) — 가정</t>
      </text>
    </comment>
    <comment ref="AF8" authorId="0" shapeId="0">
      <text>
        <t>fx.json forward(flat_last_end) — 가정</t>
      </text>
    </comment>
    <comment ref="AG8" authorId="0" shapeId="0">
      <text>
        <t>fx.json forward(flat_last_end) — 가정</t>
      </text>
    </comment>
    <comment ref="AH8" authorId="0" shapeId="0">
      <text>
        <t>fx.json forward(flat_last_end) — 가정</t>
      </text>
    </comment>
    <comment ref="AI8" authorId="0" shapeId="0">
      <text>
        <t>fx.json forward(flat_last_end) — 가정</t>
      </text>
    </comment>
    <comment ref="AK8" authorId="0" shapeId="0">
      <text>
        <t>fx.json forward(flat_last_end) — 가정</t>
      </text>
    </comment>
    <comment ref="AL8" authorId="0" shapeId="0">
      <text>
        <t>fx.json forward(flat_last_end) — 가정</t>
      </text>
    </comment>
    <comment ref="AM8" authorId="0" shapeId="0">
      <text>
        <t>fx.json forward(flat_last_end) — 가정</t>
      </text>
    </comment>
    <comment ref="AN8" authorId="0" shapeId="0">
      <text>
        <t>fx.json forward(flat_last_end) — 가정</t>
      </text>
    </comment>
    <comment ref="AD9" authorId="0" shapeId="0">
      <text>
        <t>fx.json forward(flat_last_end) — 가정</t>
      </text>
    </comment>
    <comment ref="AF9" authorId="0" shapeId="0">
      <text>
        <t>fx.json forward(flat_last_end) — 가정</t>
      </text>
    </comment>
    <comment ref="AG9" authorId="0" shapeId="0">
      <text>
        <t>fx.json forward(flat_last_end) — 가정</t>
      </text>
    </comment>
    <comment ref="AH9" authorId="0" shapeId="0">
      <text>
        <t>fx.json forward(flat_last_end) — 가정</t>
      </text>
    </comment>
    <comment ref="AI9" authorId="0" shapeId="0">
      <text>
        <t>fx.json forward(flat_last_end) — 가정</t>
      </text>
    </comment>
    <comment ref="AK9" authorId="0" shapeId="0">
      <text>
        <t>fx.json forward(flat_last_end) — 가정</t>
      </text>
    </comment>
    <comment ref="AL9" authorId="0" shapeId="0">
      <text>
        <t>fx.json forward(flat_last_end) — 가정</t>
      </text>
    </comment>
    <comment ref="AM9" authorId="0" shapeId="0">
      <text>
        <t>fx.json forward(flat_last_end) — 가정</t>
      </text>
    </comment>
    <comment ref="AN9" authorId="0" shapeId="0">
      <text>
        <t>fx.json forward(flat_last_end) — 가정</t>
      </text>
    </comment>
    <comment ref="AD10" authorId="0" shapeId="0">
      <text>
        <t>fx.json forward(flat_last_end) — 가정</t>
      </text>
    </comment>
    <comment ref="AF10" authorId="0" shapeId="0">
      <text>
        <t>fx.json forward(flat_last_end) — 가정</t>
      </text>
    </comment>
    <comment ref="AG10" authorId="0" shapeId="0">
      <text>
        <t>fx.json forward(flat_last_end) — 가정</t>
      </text>
    </comment>
    <comment ref="AH10" authorId="0" shapeId="0">
      <text>
        <t>fx.json forward(flat_last_end) — 가정</t>
      </text>
    </comment>
    <comment ref="AI10" authorId="0" shapeId="0">
      <text>
        <t>fx.json forward(flat_last_end) — 가정</t>
      </text>
    </comment>
    <comment ref="AK10" authorId="0" shapeId="0">
      <text>
        <t>fx.json forward(flat_last_end) — 가정</t>
      </text>
    </comment>
    <comment ref="AL10" authorId="0" shapeId="0">
      <text>
        <t>fx.json forward(flat_last_end) — 가정</t>
      </text>
    </comment>
    <comment ref="AM10" authorId="0" shapeId="0">
      <text>
        <t>fx.json forward(flat_last_end) — 가정</t>
      </text>
    </comment>
    <comment ref="AN10" authorId="0" shapeId="0">
      <text>
        <t>fx.json forward(flat_last_end) — 가정</t>
      </text>
    </comment>
    <comment ref="AD11" authorId="0" shapeId="0">
      <text>
        <t>fx.json forward(flat_last_end) — 가정</t>
      </text>
    </comment>
    <comment ref="AF11" authorId="0" shapeId="0">
      <text>
        <t>fx.json forward(flat_last_end) — 가정</t>
      </text>
    </comment>
    <comment ref="AG11" authorId="0" shapeId="0">
      <text>
        <t>fx.json forward(flat_last_end) — 가정</t>
      </text>
    </comment>
    <comment ref="AH11" authorId="0" shapeId="0">
      <text>
        <t>fx.json forward(flat_last_end) — 가정</t>
      </text>
    </comment>
    <comment ref="AI11" authorId="0" shapeId="0">
      <text>
        <t>fx.json forward(flat_last_end) — 가정</t>
      </text>
    </comment>
    <comment ref="AK11" authorId="0" shapeId="0">
      <text>
        <t>fx.json forward(flat_last_end) — 가정</t>
      </text>
    </comment>
    <comment ref="AL11" authorId="0" shapeId="0">
      <text>
        <t>fx.json forward(flat_last_end) — 가정</t>
      </text>
    </comment>
    <comment ref="AM11" authorId="0" shapeId="0">
      <text>
        <t>fx.json forward(flat_last_end) — 가정</t>
      </text>
    </comment>
    <comment ref="AN11" authorId="0" shapeId="0">
      <text>
        <t>fx.json forward(flat_last_end) — 가정</t>
      </text>
    </comment>
    <comment ref="AD12" authorId="0" shapeId="0">
      <text>
        <t>fx.json forward(flat_last_end) — 가정</t>
      </text>
    </comment>
    <comment ref="AF12" authorId="0" shapeId="0">
      <text>
        <t>fx.json forward(flat_last_end) — 가정</t>
      </text>
    </comment>
    <comment ref="AG12" authorId="0" shapeId="0">
      <text>
        <t>fx.json forward(flat_last_end) — 가정</t>
      </text>
    </comment>
    <comment ref="AH12" authorId="0" shapeId="0">
      <text>
        <t>fx.json forward(flat_last_end) — 가정</t>
      </text>
    </comment>
    <comment ref="AI12" authorId="0" shapeId="0">
      <text>
        <t>fx.json forward(flat_last_end) — 가정</t>
      </text>
    </comment>
    <comment ref="AK12" authorId="0" shapeId="0">
      <text>
        <t>fx.json forward(flat_last_end) — 가정</t>
      </text>
    </comment>
    <comment ref="AL12" authorId="0" shapeId="0">
      <text>
        <t>fx.json forward(flat_last_end) — 가정</t>
      </text>
    </comment>
    <comment ref="AM12" authorId="0" shapeId="0">
      <text>
        <t>fx.json forward(flat_last_end) — 가정</t>
      </text>
    </comment>
    <comment ref="AN12" authorId="0" shapeId="0">
      <text>
        <t>fx.json forward(flat_last_end) — 가정</t>
      </text>
    </comment>
    <comment ref="AD13" authorId="0" shapeId="0">
      <text>
        <t>fx.json forward(flat_last_end) — 가정</t>
      </text>
    </comment>
    <comment ref="AF13" authorId="0" shapeId="0">
      <text>
        <t>fx.json forward(flat_last_end) — 가정</t>
      </text>
    </comment>
    <comment ref="AG13" authorId="0" shapeId="0">
      <text>
        <t>fx.json forward(flat_last_end) — 가정</t>
      </text>
    </comment>
    <comment ref="AH13" authorId="0" shapeId="0">
      <text>
        <t>fx.json forward(flat_last_end) — 가정</t>
      </text>
    </comment>
    <comment ref="AI13" authorId="0" shapeId="0">
      <text>
        <t>fx.json forward(flat_last_end) — 가정</t>
      </text>
    </comment>
    <comment ref="AK13" authorId="0" shapeId="0">
      <text>
        <t>fx.json forward(flat_last_end) — 가정</t>
      </text>
    </comment>
    <comment ref="AL13" authorId="0" shapeId="0">
      <text>
        <t>fx.json forward(flat_last_end) — 가정</t>
      </text>
    </comment>
    <comment ref="AM13" authorId="0" shapeId="0">
      <text>
        <t>fx.json forward(flat_last_end) — 가정</t>
      </text>
    </comment>
    <comment ref="AN13" authorId="0" shapeId="0">
      <text>
        <t>fx.json forward(flat_last_end) — 가정</t>
      </text>
    </comment>
    <comment ref="AC15" authorId="0" shapeId="0">
      <text>
        <t>분기 진행 중(partial) — aikstockdata/토스 일봉</t>
      </text>
    </comment>
    <comment ref="AC16" authorId="0" shapeId="0">
      <text>
        <t>분기 진행 중(partial) — aikstockdata/토스 일봉</t>
      </text>
    </comment>
    <comment ref="AC17" authorId="0" shapeId="0">
      <text>
        <t>분기 진행 중(partial) — aikstockdata/토스 일봉</t>
      </text>
    </comment>
    <comment ref="AC18" authorId="0" shapeId="0">
      <text>
        <t>분기 진행 중(partial) — aikstockdata/토스 일봉</t>
      </text>
    </comment>
    <comment ref="AC21" authorId="0" shapeId="0">
      <text>
        <t>모델값 역산(implied): v / 전년동기 − 1
전년동기 × (1+13.4%) — g=최근 4분기 합 YoY 13.4% 클립(−30~+50%), 연차별 절반 감쇠(가정)</t>
      </text>
    </comment>
    <comment ref="AD21" authorId="0" shapeId="0">
      <text>
        <t>모델값 역산(implied): v / 전년동기 − 1
전년동기 × (1+13.4%) — g=최근 4분기 합 YoY 13.4% 클립(−30~+50%), 연차별 절반 감쇠(가정)</t>
      </text>
    </comment>
    <comment ref="AF21" authorId="0" shapeId="0">
      <text>
        <t>모델값 역산(implied): v / 전년동기 − 1
전년동기 × (1+13.4%) — g=최근 4분기 합 YoY 13.4% 클립(−30~+50%), 연차별 절반 감쇠(가정)</t>
      </text>
    </comment>
    <comment ref="AG21" authorId="0" shapeId="0">
      <text>
        <t>모델값 역산(implied): v / 전년동기 − 1
전년동기 × (1+13.4%) — g=최근 4분기 합 YoY 13.4% 클립(−30~+50%), 연차별 절반 감쇠(가정)</t>
      </text>
    </comment>
    <comment ref="AH21" authorId="0" shapeId="0">
      <text>
        <t>모델값 역산(implied): v / 전년동기 − 1
전년동기 × (1+6.7%) — g=최근 4분기 합 YoY 13.4% 클립(−30~+50%), 연차별 절반 감쇠(가정)</t>
      </text>
    </comment>
    <comment ref="AI21" authorId="0" shapeId="0">
      <text>
        <t>모델값 역산(implied): v / 전년동기 − 1
전년동기 × (1+6.7%) — g=최근 4분기 합 YoY 13.4% 클립(−30~+50%), 연차별 절반 감쇠(가정)</t>
      </text>
    </comment>
    <comment ref="AK21" authorId="0" shapeId="0">
      <text>
        <t>모델값 역산(implied): v / 전년동기 − 1
전년동기 × (1+6.7%) — g=최근 4분기 합 YoY 13.4% 클립(−30~+50%), 연차별 절반 감쇠(가정)</t>
      </text>
    </comment>
    <comment ref="AL21" authorId="0" shapeId="0">
      <text>
        <t>모델값 역산(implied): v / 전년동기 − 1
전년동기 × (1+6.7%) — g=최근 4분기 합 YoY 13.4% 클립(−30~+50%), 연차별 절반 감쇠(가정)</t>
      </text>
    </comment>
    <comment ref="AM21" authorId="0" shapeId="0">
      <text>
        <t>모델값 역산(implied): v / 전년동기 − 1
전년동기 × (1+3.4%) — g=최근 4분기 합 YoY 13.4% 클립(−30~+50%), 연차별 절반 감쇠(가정)</t>
      </text>
    </comment>
    <comment ref="AN21" authorId="0" shapeId="0">
      <text>
        <t>모델값 역산(implied): v / 전년동기 − 1
전년동기 × (1+3.4%) — g=최근 4분기 합 YoY 13.4% 클립(−30~+50%), 연차별 절반 감쇠(가정)</t>
      </text>
    </comment>
    <comment ref="AC22" authorId="0" shapeId="0">
      <text>
        <t>모델값 역산(implied): v / 매출액
매출액 × 판관비율 12.27%(최근 4분기 중위)</t>
      </text>
    </comment>
    <comment ref="AD22" authorId="0" shapeId="0">
      <text>
        <t>모델값 역산(implied): v / 매출액
매출액 × 판관비율 12.27%(최근 4분기 중위)</t>
      </text>
    </comment>
    <comment ref="AF22" authorId="0" shapeId="0">
      <text>
        <t>모델값 역산(implied): v / 매출액
매출액 × 판관비율 12.27%(최근 4분기 중위)</t>
      </text>
    </comment>
    <comment ref="AG22" authorId="0" shapeId="0">
      <text>
        <t>모델값 역산(implied): v / 매출액
매출액 × 판관비율 12.27%(최근 4분기 중위)</t>
      </text>
    </comment>
    <comment ref="AH22" authorId="0" shapeId="0">
      <text>
        <t>모델값 역산(implied): v / 매출액
매출액 × 판관비율 12.27%(최근 4분기 중위)</t>
      </text>
    </comment>
    <comment ref="AI22" authorId="0" shapeId="0">
      <text>
        <t>모델값 역산(implied): v / 매출액
매출액 × 판관비율 12.27%(최근 4분기 중위)</t>
      </text>
    </comment>
    <comment ref="AK22" authorId="0" shapeId="0">
      <text>
        <t>모델값 역산(implied): v / 매출액
매출액 × 판관비율 12.27%(최근 4분기 중위)</t>
      </text>
    </comment>
    <comment ref="AL22" authorId="0" shapeId="0">
      <text>
        <t>모델값 역산(implied): v / 매출액
매출액 × 판관비율 12.27%(최근 4분기 중위)</t>
      </text>
    </comment>
    <comment ref="AM22" authorId="0" shapeId="0">
      <text>
        <t>모델값 역산(implied): v / 매출액
매출액 × 판관비율 12.27%(최근 4분기 중위)</t>
      </text>
    </comment>
    <comment ref="AN22" authorId="0" shapeId="0">
      <text>
        <t>모델값 역산(implied): v / 매출액
매출액 × 판관비율 12.27%(최근 4분기 중위)</t>
      </text>
    </comment>
    <comment ref="AC23" authorId="0" shapeId="0">
      <text>
        <t>모델값 역산(implied): v / 매출액
매출액 × OPM(최근 8분기 OPM 중위 27.9% 유지(클립 −20~40%))</t>
      </text>
    </comment>
    <comment ref="AD23" authorId="0" shapeId="0">
      <text>
        <t>모델값 역산(implied): v / 매출액
매출액 × OPM(최근 8분기 OPM 중위 27.9% 유지(클립 −20~40%))</t>
      </text>
    </comment>
    <comment ref="AF23" authorId="0" shapeId="0">
      <text>
        <t>모델값 역산(implied): v / 매출액
매출액 × OPM(최근 8분기 OPM 중위 27.9% 유지(클립 −20~40%))</t>
      </text>
    </comment>
    <comment ref="AG23" authorId="0" shapeId="0">
      <text>
        <t>모델값 역산(implied): v / 매출액
매출액 × OPM(최근 8분기 OPM 중위 27.9% 유지(클립 −20~40%))</t>
      </text>
    </comment>
    <comment ref="AH23" authorId="0" shapeId="0">
      <text>
        <t>모델값 역산(implied): v / 매출액
매출액 × OPM(최근 8분기 OPM 중위 27.9% 유지(클립 −20~40%))</t>
      </text>
    </comment>
    <comment ref="AI23" authorId="0" shapeId="0">
      <text>
        <t>모델값 역산(implied): v / 매출액
매출액 × OPM(최근 8분기 OPM 중위 27.9% 유지(클립 −20~40%))</t>
      </text>
    </comment>
    <comment ref="AK23" authorId="0" shapeId="0">
      <text>
        <t>모델값 역산(implied): v / 매출액
매출액 × OPM(최근 8분기 OPM 중위 27.9% 유지(클립 −20~40%))</t>
      </text>
    </comment>
    <comment ref="AL23" authorId="0" shapeId="0">
      <text>
        <t>모델값 역산(implied): v / 매출액
매출액 × OPM(최근 8분기 OPM 중위 27.9% 유지(클립 −20~40%))</t>
      </text>
    </comment>
    <comment ref="AM23" authorId="0" shapeId="0">
      <text>
        <t>모델값 역산(implied): v / 매출액
매출액 × OPM(최근 8분기 OPM 중위 27.9% 유지(클립 −20~40%))</t>
      </text>
    </comment>
    <comment ref="AN23" authorId="0" shapeId="0">
      <text>
        <t>모델값 역산(implied): v / 매출액
매출액 × OPM(최근 8분기 OPM 중위 27.9% 유지(클립 −20~40%))</t>
      </text>
    </comment>
    <comment ref="AC24" authorId="0" shapeId="0">
      <text>
        <t>모델값 역산(implied): v / 전년동기 − 1
최근 8분기 OPM 중위 27.9% 유지(클립 −20~40%)</t>
      </text>
    </comment>
    <comment ref="AD24" authorId="0" shapeId="0">
      <text>
        <t>모델값 역산(implied): v / 전년동기 − 1
최근 8분기 OPM 중위 27.9% 유지(클립 −20~40%)</t>
      </text>
    </comment>
    <comment ref="AF24" authorId="0" shapeId="0">
      <text>
        <t>모델값 역산(implied): v / 전년동기 − 1
최근 8분기 OPM 중위 27.9% 유지(클립 −20~40%)</t>
      </text>
    </comment>
    <comment ref="AG24" authorId="0" shapeId="0">
      <text>
        <t>모델값 역산(implied): v / 전년동기 − 1
최근 8분기 OPM 중위 27.9% 유지(클립 −20~40%)</t>
      </text>
    </comment>
    <comment ref="AH24" authorId="0" shapeId="0">
      <text>
        <t>모델값 역산(implied): v / 전년동기 − 1
최근 8분기 OPM 중위 27.9% 유지(클립 −20~40%)</t>
      </text>
    </comment>
    <comment ref="AI24" authorId="0" shapeId="0">
      <text>
        <t>모델값 역산(implied): v / 전년동기 − 1
최근 8분기 OPM 중위 27.9% 유지(클립 −20~40%)</t>
      </text>
    </comment>
    <comment ref="AK24" authorId="0" shapeId="0">
      <text>
        <t>모델값 역산(implied): v / 전년동기 − 1
최근 8분기 OPM 중위 27.9% 유지(클립 −20~40%)</t>
      </text>
    </comment>
    <comment ref="AL24" authorId="0" shapeId="0">
      <text>
        <t>모델값 역산(implied): v / 전년동기 − 1
최근 8분기 OPM 중위 27.9% 유지(클립 −20~40%)</t>
      </text>
    </comment>
    <comment ref="AM24" authorId="0" shapeId="0">
      <text>
        <t>모델값 역산(implied): v / 전년동기 − 1
최근 8분기 OPM 중위 27.9% 유지(클립 −20~40%)</t>
      </text>
    </comment>
    <comment ref="AN24" authorId="0" shapeId="0">
      <text>
        <t>모델값 역산(implied): v / 전년동기 − 1
최근 8분기 OPM 중위 27.9% 유지(클립 −20~40%)</t>
      </text>
    </comment>
    <comment ref="AC25" authorId="0" shapeId="0">
      <text>
        <t>모델값 역산(implied): 모델 v 그대로
이자손익 = 이자발생자산 1906억 × 2.67% − 총차입금 0억 × 0.00% (연율, CF 실측) ÷ 4; 환·평가손익 0 가정</t>
      </text>
    </comment>
    <comment ref="AD25" authorId="0" shapeId="0">
      <text>
        <t>모델값 역산(implied): 모델 v 그대로
이자손익 = 이자발생자산 2047억 × 2.67% − 총차입금 0억 × 0.00% (연율, CF 실측) ÷ 4; 환·평가손익 0 가정</t>
      </text>
    </comment>
    <comment ref="AF25" authorId="0" shapeId="0">
      <text>
        <t>모델값 역산(implied): 모델 v 그대로
이자손익 = 이자발생자산 2197억 × 2.67% − 총차입금 0억 × 0.00% (연율, CF 실측) ÷ 4; 환·평가손익 0 가정</t>
      </text>
    </comment>
    <comment ref="AG25" authorId="0" shapeId="0">
      <text>
        <t>모델값 역산(implied): 모델 v 그대로
이자손익 = 이자발생자산 2340억 × 2.67% − 총차입금 0억 × 0.00% (연율, CF 실측) ÷ 4; 환·평가손익 0 가정</t>
      </text>
    </comment>
    <comment ref="AH25" authorId="0" shapeId="0">
      <text>
        <t>모델값 역산(implied): 모델 v 그대로
이자손익 = 이자발생자산 2337억 × 2.67% − 총차입금 0억 × 0.00% (연율, CF 실측) ÷ 4; 환·평가손익 0 가정</t>
      </text>
    </comment>
    <comment ref="AI25" authorId="0" shapeId="0">
      <text>
        <t>모델값 역산(implied): 모델 v 그대로
이자손익 = 이자발생자산 2489억 × 2.67% − 총차입금 0억 × 0.00% (연율, CF 실측) ÷ 4; 환·평가손익 0 가정</t>
      </text>
    </comment>
    <comment ref="AK25" authorId="0" shapeId="0">
      <text>
        <t>모델값 역산(implied): 모델 v 그대로
이자손익 = 이자발생자산 2650억 × 2.67% − 총차입금 0억 × 0.00% (연율, CF 실측) ÷ 4; 환·평가손익 0 가정</t>
      </text>
    </comment>
    <comment ref="AL25" authorId="0" shapeId="0">
      <text>
        <t>모델값 역산(implied): 모델 v 그대로
이자손익 = 이자발생자산 2804억 × 2.67% − 총차입금 0억 × 0.00% (연율, CF 실측) ÷ 4; 환·평가손익 0 가정</t>
      </text>
    </comment>
    <comment ref="AM25" authorId="0" shapeId="0">
      <text>
        <t>모델값 역산(implied): 모델 v 그대로
이자손익 = 이자발생자산 2814억 × 2.67% − 총차입금 0억 × 0.00% (연율, CF 실측) ÷ 4; 환·평가손익 0 가정</t>
      </text>
    </comment>
    <comment ref="AN25" authorId="0" shapeId="0">
      <text>
        <t>모델값 역산(implied): 모델 v 그대로
이자손익 = 이자발생자산 2973억 × 2.67% − 총차입금 0억 × 0.00% (연율, CF 실측) ÷ 4; 환·평가손익 0 가정</t>
      </text>
    </comment>
    <comment ref="AC26" authorId="0" shapeId="0">
      <text>
        <t>모델값 역산(implied): 모델 v 그대로
일회성 미가정 → 0</t>
      </text>
    </comment>
    <comment ref="AD26" authorId="0" shapeId="0">
      <text>
        <t>모델값 역산(implied): 모델 v 그대로
일회성 미가정 → 0</t>
      </text>
    </comment>
    <comment ref="AF26" authorId="0" shapeId="0">
      <text>
        <t>모델값 역산(implied): 모델 v 그대로
일회성 미가정 → 0</t>
      </text>
    </comment>
    <comment ref="AG26" authorId="0" shapeId="0">
      <text>
        <t>모델값 역산(implied): 모델 v 그대로
일회성 미가정 → 0</t>
      </text>
    </comment>
    <comment ref="AH26" authorId="0" shapeId="0">
      <text>
        <t>모델값 역산(implied): 모델 v 그대로
일회성 미가정 → 0</t>
      </text>
    </comment>
    <comment ref="AI26" authorId="0" shapeId="0">
      <text>
        <t>모델값 역산(implied): 모델 v 그대로
일회성 미가정 → 0</t>
      </text>
    </comment>
    <comment ref="AK26" authorId="0" shapeId="0">
      <text>
        <t>모델값 역산(implied): 모델 v 그대로
일회성 미가정 → 0</t>
      </text>
    </comment>
    <comment ref="AL26" authorId="0" shapeId="0">
      <text>
        <t>모델값 역산(implied): 모델 v 그대로
일회성 미가정 → 0</t>
      </text>
    </comment>
    <comment ref="AM26" authorId="0" shapeId="0">
      <text>
        <t>모델값 역산(implied): 모델 v 그대로
일회성 미가정 → 0</t>
      </text>
    </comment>
    <comment ref="AN26" authorId="0" shapeId="0">
      <text>
        <t>모델값 역산(implied): 모델 v 그대로
일회성 미가정 → 0</t>
      </text>
    </comment>
    <comment ref="AC27" authorId="0" shapeId="0">
      <text>
        <t>모델값 역산(implied): v / 세전이익
max(세전, 0) × 세율 23.2%(최근 12분기 유효세율 23.2% → 5~27% 클립)</t>
      </text>
    </comment>
    <comment ref="AD27" authorId="0" shapeId="0">
      <text>
        <t>모델값 역산(implied): v / 세전이익
max(세전, 0) × 세율 23.2%(최근 12분기 유효세율 23.2% → 5~27% 클립)</t>
      </text>
    </comment>
    <comment ref="AF27" authorId="0" shapeId="0">
      <text>
        <t>모델값 역산(implied): v / 세전이익
max(세전, 0) × 세율 23.2%(최근 12분기 유효세율 23.2% → 5~27% 클립)</t>
      </text>
    </comment>
    <comment ref="AG27" authorId="0" shapeId="0">
      <text>
        <t>모델값 역산(implied): v / 세전이익
max(세전, 0) × 세율 23.2%(최근 12분기 유효세율 23.2% → 5~27% 클립)</t>
      </text>
    </comment>
    <comment ref="AH27" authorId="0" shapeId="0">
      <text>
        <t>모델값 역산(implied): v / 세전이익
max(세전, 0) × 세율 23.2%(최근 12분기 유효세율 23.2% → 5~27% 클립)</t>
      </text>
    </comment>
    <comment ref="AI27" authorId="0" shapeId="0">
      <text>
        <t>모델값 역산(implied): v / 세전이익
max(세전, 0) × 세율 23.2%(최근 12분기 유효세율 23.2% → 5~27% 클립)</t>
      </text>
    </comment>
    <comment ref="AK27" authorId="0" shapeId="0">
      <text>
        <t>모델값 역산(implied): v / 세전이익
max(세전, 0) × 세율 23.2%(최근 12분기 유효세율 23.2% → 5~27% 클립)</t>
      </text>
    </comment>
    <comment ref="AL27" authorId="0" shapeId="0">
      <text>
        <t>모델값 역산(implied): v / 세전이익
max(세전, 0) × 세율 23.2%(최근 12분기 유효세율 23.2% → 5~27% 클립)</t>
      </text>
    </comment>
    <comment ref="AM27" authorId="0" shapeId="0">
      <text>
        <t>모델값 역산(implied): v / 세전이익
max(세전, 0) × 세율 23.2%(최근 12분기 유효세율 23.2% → 5~27% 클립)</t>
      </text>
    </comment>
    <comment ref="AN27" authorId="0" shapeId="0">
      <text>
        <t>모델값 역산(implied): v / 세전이익
max(세전, 0) × 세율 23.2%(최근 12분기 유효세율 23.2% → 5~27% 클립)</t>
      </text>
    </comment>
    <comment ref="AC28" authorId="0" shapeId="0">
      <text>
        <t>모델값 역산(implied): v / 당기순이익
당기순이익 × (1 − 비지배 비중 0.9%, 최근 8분기 실측)</t>
      </text>
    </comment>
    <comment ref="AD28" authorId="0" shapeId="0">
      <text>
        <t>모델값 역산(implied): v / 당기순이익
당기순이익 × (1 − 비지배 비중 0.9%, 최근 8분기 실측)</t>
      </text>
    </comment>
    <comment ref="AF28" authorId="0" shapeId="0">
      <text>
        <t>모델값 역산(implied): v / 당기순이익
당기순이익 × (1 − 비지배 비중 0.9%, 최근 8분기 실측)</t>
      </text>
    </comment>
    <comment ref="AG28" authorId="0" shapeId="0">
      <text>
        <t>모델값 역산(implied): v / 당기순이익
당기순이익 × (1 − 비지배 비중 0.9%, 최근 8분기 실측)</t>
      </text>
    </comment>
    <comment ref="AH28" authorId="0" shapeId="0">
      <text>
        <t>모델값 역산(implied): v / 당기순이익
당기순이익 × (1 − 비지배 비중 0.9%, 최근 8분기 실측)</t>
      </text>
    </comment>
    <comment ref="AI28" authorId="0" shapeId="0">
      <text>
        <t>모델값 역산(implied): v / 당기순이익
당기순이익 × (1 − 비지배 비중 0.9%, 최근 8분기 실측)</t>
      </text>
    </comment>
    <comment ref="AK28" authorId="0" shapeId="0">
      <text>
        <t>모델값 역산(implied): v / 당기순이익
당기순이익 × (1 − 비지배 비중 0.9%, 최근 8분기 실측)</t>
      </text>
    </comment>
    <comment ref="AL28" authorId="0" shapeId="0">
      <text>
        <t>모델값 역산(implied): v / 당기순이익
당기순이익 × (1 − 비지배 비중 0.9%, 최근 8분기 실측)</t>
      </text>
    </comment>
    <comment ref="AM28" authorId="0" shapeId="0">
      <text>
        <t>모델값 역산(implied): v / 당기순이익
당기순이익 × (1 − 비지배 비중 0.9%, 최근 8분기 실측)</t>
      </text>
    </comment>
    <comment ref="AN28" authorId="0" shapeId="0">
      <text>
        <t>모델값 역산(implied): v / 당기순이익
당기순이익 × (1 − 비지배 비중 0.9%, 최근 8분기 실측)</t>
      </text>
    </comment>
    <comment ref="AC29" authorId="0" shapeId="0">
      <text>
        <t>모델값 역산(implied): v / 전분기 − 1
마지막 실적 유지(가정)</t>
      </text>
    </comment>
    <comment ref="AD29" authorId="0" shapeId="0">
      <text>
        <t>모델값 역산(implied): v / 전분기 − 1
마지막 실적 유지(가정)</t>
      </text>
    </comment>
    <comment ref="AF29" authorId="0" shapeId="0">
      <text>
        <t>모델값 역산(implied): v / 전분기 − 1
마지막 실적 유지(가정)</t>
      </text>
    </comment>
    <comment ref="AG29" authorId="0" shapeId="0">
      <text>
        <t>모델값 역산(implied): v / 전분기 − 1
마지막 실적 유지(가정)</t>
      </text>
    </comment>
    <comment ref="AH29" authorId="0" shapeId="0">
      <text>
        <t>모델값 역산(implied): v / 전분기 − 1
마지막 실적 유지(가정)</t>
      </text>
    </comment>
    <comment ref="AI29" authorId="0" shapeId="0">
      <text>
        <t>모델값 역산(implied): v / 전분기 − 1
마지막 실적 유지(가정)</t>
      </text>
    </comment>
    <comment ref="AK29" authorId="0" shapeId="0">
      <text>
        <t>모델값 역산(implied): v / 전분기 − 1
마지막 실적 유지(가정)</t>
      </text>
    </comment>
    <comment ref="AL29" authorId="0" shapeId="0">
      <text>
        <t>모델값 역산(implied): v / 전분기 − 1
마지막 실적 유지(가정)</t>
      </text>
    </comment>
    <comment ref="AM29" authorId="0" shapeId="0">
      <text>
        <t>모델값 역산(implied): v / 전분기 − 1
마지막 실적 유지(가정)</t>
      </text>
    </comment>
    <comment ref="AN29" authorId="0" shapeId="0">
      <text>
        <t>모델값 역산(implied): v / 전분기 − 1
마지막 실적 유지(가정)</t>
      </text>
    </comment>
    <comment ref="AC30" authorId="0" shapeId="0">
      <text>
        <t>모델값 역산(implied): 전분기 + 당기순이익 − v
전분기 + 당기순이익 − 배당(Q2 지급 가정)</t>
      </text>
    </comment>
    <comment ref="AD30" authorId="0" shapeId="0">
      <text>
        <t>모델값 역산(implied): 전분기 + 당기순이익 − v
전분기 + 당기순이익 − 배당(Q2 지급 가정)</t>
      </text>
    </comment>
    <comment ref="AF30" authorId="0" shapeId="0">
      <text>
        <t>모델값 역산(implied): 전분기 + 당기순이익 − v
전분기 + 당기순이익 − 배당(Q2 지급 가정)</t>
      </text>
    </comment>
    <comment ref="AG30" authorId="0" shapeId="0">
      <text>
        <t>모델값 역산(implied): 전분기 + 당기순이익 − v
전분기 + 당기순이익 − 배당(Q2 지급 가정)</t>
      </text>
    </comment>
    <comment ref="AH30" authorId="0" shapeId="0">
      <text>
        <t>모델값 역산(implied): 전분기 + 당기순이익 − v
전분기 + 당기순이익 − 배당(Q2 지급 가정)</t>
      </text>
    </comment>
    <comment ref="AI30" authorId="0" shapeId="0">
      <text>
        <t>모델값 역산(implied): 전분기 + 당기순이익 − v
전분기 + 당기순이익 − 배당(Q2 지급 가정)</t>
      </text>
    </comment>
    <comment ref="AK30" authorId="0" shapeId="0">
      <text>
        <t>모델값 역산(implied): 전분기 + 당기순이익 − v
전분기 + 당기순이익 − 배당(Q2 지급 가정)</t>
      </text>
    </comment>
    <comment ref="AL30" authorId="0" shapeId="0">
      <text>
        <t>모델값 역산(implied): 전분기 + 당기순이익 − v
전분기 + 당기순이익 − 배당(Q2 지급 가정)</t>
      </text>
    </comment>
    <comment ref="AM30" authorId="0" shapeId="0">
      <text>
        <t>모델값 역산(implied): 전분기 + 당기순이익 − v
전분기 + 당기순이익 − 배당(Q2 지급 가정)</t>
      </text>
    </comment>
    <comment ref="AN30" authorId="0" shapeId="0">
      <text>
        <t>모델값 역산(implied): 전분기 + 당기순이익 − v
전분기 + 당기순이익 − 배당(Q2 지급 가정)</t>
      </text>
    </comment>
    <comment ref="AC31" authorId="0" shapeId="0">
      <text>
        <t>모델값 역산(implied): 전분기 + 지배주주순이익 − v
전분기 + 지배주주순이익 − 배당</t>
      </text>
    </comment>
    <comment ref="AD31" authorId="0" shapeId="0">
      <text>
        <t>모델값 역산(implied): 전분기 + 지배주주순이익 − v
전분기 + 지배주주순이익 − 배당</t>
      </text>
    </comment>
    <comment ref="AF31" authorId="0" shapeId="0">
      <text>
        <t>모델값 역산(implied): 전분기 + 지배주주순이익 − v
전분기 + 지배주주순이익 − 배당</t>
      </text>
    </comment>
    <comment ref="AG31" authorId="0" shapeId="0">
      <text>
        <t>모델값 역산(implied): 전분기 + 지배주주순이익 − v
전분기 + 지배주주순이익 − 배당</t>
      </text>
    </comment>
    <comment ref="AH31" authorId="0" shapeId="0">
      <text>
        <t>모델값 역산(implied): 전분기 + 지배주주순이익 − v
전분기 + 지배주주순이익 − 배당</t>
      </text>
    </comment>
    <comment ref="AI31" authorId="0" shapeId="0">
      <text>
        <t>모델값 역산(implied): 전분기 + 지배주주순이익 − v
전분기 + 지배주주순이익 − 배당</t>
      </text>
    </comment>
    <comment ref="AK31" authorId="0" shapeId="0">
      <text>
        <t>모델값 역산(implied): 전분기 + 지배주주순이익 − v
전분기 + 지배주주순이익 − 배당</t>
      </text>
    </comment>
    <comment ref="AL31" authorId="0" shapeId="0">
      <text>
        <t>모델값 역산(implied): 전분기 + 지배주주순이익 − v
전분기 + 지배주주순이익 − 배당</t>
      </text>
    </comment>
    <comment ref="AM31" authorId="0" shapeId="0">
      <text>
        <t>모델값 역산(implied): 전분기 + 지배주주순이익 − v
전분기 + 지배주주순이익 − 배당</t>
      </text>
    </comment>
    <comment ref="AN31" authorId="0" shapeId="0">
      <text>
        <t>모델값 역산(implied): 전분기 + 지배주주순이익 − v
전분기 + 지배주주순이익 − 배당</t>
      </text>
    </comment>
    <comment ref="AC32" authorId="0" shapeId="0">
      <text>
        <t>모델값 역산(implied): v / 전분기 − 1
전분기 + (순이익 − 배당) — 순차입금 롤과 같은 가정</t>
      </text>
    </comment>
    <comment ref="AD32" authorId="0" shapeId="0">
      <text>
        <t>모델값 역산(implied): v / 전분기 − 1
전분기 + (순이익 − 배당) — 순차입금 롤과 같은 가정</t>
      </text>
    </comment>
    <comment ref="AF32" authorId="0" shapeId="0">
      <text>
        <t>모델값 역산(implied): v / 전분기 − 1
전분기 + (순이익 − 배당) — 순차입금 롤과 같은 가정</t>
      </text>
    </comment>
    <comment ref="AG32" authorId="0" shapeId="0">
      <text>
        <t>모델값 역산(implied): v / 전분기 − 1
전분기 + (순이익 − 배당) — 순차입금 롤과 같은 가정</t>
      </text>
    </comment>
    <comment ref="AH32" authorId="0" shapeId="0">
      <text>
        <t>모델값 역산(implied): v / 전분기 − 1
전분기 + (순이익 − 배당) — 순차입금 롤과 같은 가정</t>
      </text>
    </comment>
    <comment ref="AI32" authorId="0" shapeId="0">
      <text>
        <t>모델값 역산(implied): v / 전분기 − 1
전분기 + (순이익 − 배당) — 순차입금 롤과 같은 가정</t>
      </text>
    </comment>
    <comment ref="AK32" authorId="0" shapeId="0">
      <text>
        <t>모델값 역산(implied): v / 전분기 − 1
전분기 + (순이익 − 배당) — 순차입금 롤과 같은 가정</t>
      </text>
    </comment>
    <comment ref="AL32" authorId="0" shapeId="0">
      <text>
        <t>모델값 역산(implied): v / 전분기 − 1
전분기 + (순이익 − 배당) — 순차입금 롤과 같은 가정</t>
      </text>
    </comment>
    <comment ref="AM32" authorId="0" shapeId="0">
      <text>
        <t>모델값 역산(implied): v / 전분기 − 1
전분기 + (순이익 − 배당) — 순차입금 롤과 같은 가정</t>
      </text>
    </comment>
    <comment ref="AN32" authorId="0" shapeId="0">
      <text>
        <t>모델값 역산(implied): v / 전분기 − 1
전분기 + (순이익 − 배당) — 순차입금 롤과 같은 가정</t>
      </text>
    </comment>
    <comment ref="AC36" authorId="0" shapeId="0">
      <text>
        <t>모델값 역산(implied): v / 전분기 − 1
유통주식수 유지 — fin.shares.common_outstanding(2026Q2)</t>
      </text>
    </comment>
    <comment ref="AD36" authorId="0" shapeId="0">
      <text>
        <t>모델값 역산(implied): v / 전분기 − 1
유통주식수 유지 — fin.shares.common_outstanding(2026Q2)</t>
      </text>
    </comment>
    <comment ref="AF36" authorId="0" shapeId="0">
      <text>
        <t>모델값 역산(implied): v / 전분기 − 1
유통주식수 유지 — fin.shares.common_outstanding(2026Q2)</t>
      </text>
    </comment>
    <comment ref="AG36" authorId="0" shapeId="0">
      <text>
        <t>모델값 역산(implied): v / 전분기 − 1
유통주식수 유지 — fin.shares.common_outstanding(2026Q2)</t>
      </text>
    </comment>
    <comment ref="AH36" authorId="0" shapeId="0">
      <text>
        <t>모델값 역산(implied): v / 전분기 − 1
유통주식수 유지 — fin.shares.common_outstanding(2026Q2)</t>
      </text>
    </comment>
    <comment ref="AI36" authorId="0" shapeId="0">
      <text>
        <t>모델값 역산(implied): v / 전분기 − 1
유통주식수 유지 — fin.shares.common_outstanding(2026Q2)</t>
      </text>
    </comment>
    <comment ref="AK36" authorId="0" shapeId="0">
      <text>
        <t>모델값 역산(implied): v / 전분기 − 1
유통주식수 유지 — fin.shares.common_outstanding(2026Q2)</t>
      </text>
    </comment>
    <comment ref="AL36" authorId="0" shapeId="0">
      <text>
        <t>모델값 역산(implied): v / 전분기 − 1
유통주식수 유지 — fin.shares.common_outstanding(2026Q2)</t>
      </text>
    </comment>
    <comment ref="AM36" authorId="0" shapeId="0">
      <text>
        <t>모델값 역산(implied): v / 전분기 − 1
유통주식수 유지 — fin.shares.common_outstanding(2026Q2)</t>
      </text>
    </comment>
    <comment ref="AN36" authorId="0" shapeId="0">
      <text>
        <t>모델값 역산(implied): v / 전분기 − 1
유통주식수 유지 — fin.shares.common_outstanding(2026Q2)</t>
      </text>
    </comment>
    <comment ref="AD37" authorId="0" shapeId="0">
      <text>
        <t>모델값 역산(implied): v / 전년동기 − 1
직전 결산 DPS 1,350원 유지</t>
      </text>
    </comment>
    <comment ref="AI37" authorId="0" shapeId="0">
      <text>
        <t>모델값 역산(implied): v / 전년동기 − 1
직전 결산 DPS 1,350원 유지</t>
      </text>
    </comment>
    <comment ref="AN37" authorId="0" shapeId="0">
      <text>
        <t>모델값 역산(implied): v / 전년동기 − 1
직전 결산 DPS 1,350원 유지</t>
      </text>
    </comment>
    <comment ref="AC38" authorId="0" shapeId="0">
      <text>
        <t>모델값 역산(implied): v / 전년동기 − 1
현재 종가 ÷ TTM EPS(추정 포함)</t>
      </text>
    </comment>
    <comment ref="AD38" authorId="0" shapeId="0">
      <text>
        <t>모델값 역산(implied): v / 전년동기 − 1
현재 종가 ÷ TTM EPS(추정 포함)</t>
      </text>
    </comment>
    <comment ref="AF38" authorId="0" shapeId="0">
      <text>
        <t>모델값 역산(implied): v / 전년동기 − 1
현재 종가 ÷ TTM EPS(추정 포함)</t>
      </text>
    </comment>
    <comment ref="AG38" authorId="0" shapeId="0">
      <text>
        <t>모델값 역산(implied): v / 전년동기 − 1
현재 종가 ÷ TTM EPS(추정 포함)</t>
      </text>
    </comment>
    <comment ref="AH38" authorId="0" shapeId="0">
      <text>
        <t>모델값 역산(implied): v / 전년동기 − 1
현재 종가 ÷ TTM EPS(추정 포함)</t>
      </text>
    </comment>
    <comment ref="AI38" authorId="0" shapeId="0">
      <text>
        <t>모델값 역산(implied): v / 전년동기 − 1
현재 종가 ÷ TTM EPS(추정 포함)</t>
      </text>
    </comment>
    <comment ref="AK38" authorId="0" shapeId="0">
      <text>
        <t>모델값 역산(implied): v / 전년동기 − 1
현재 종가 ÷ TTM EPS(추정 포함)</t>
      </text>
    </comment>
    <comment ref="AL38" authorId="0" shapeId="0">
      <text>
        <t>모델값 역산(implied): v / 전년동기 − 1
현재 종가 ÷ TTM EPS(추정 포함)</t>
      </text>
    </comment>
    <comment ref="AM38" authorId="0" shapeId="0">
      <text>
        <t>모델값 역산(implied): v / 전년동기 − 1
현재 종가 ÷ TTM EPS(추정 포함)</t>
      </text>
    </comment>
    <comment ref="AN38" authorId="0" shapeId="0">
      <text>
        <t>모델값 역산(implied): v / 전년동기 − 1
현재 종가 ÷ TTM EPS(추정 포함)</t>
      </text>
    </comment>
    <comment ref="AC39" authorId="0" shapeId="0">
      <text>
        <t>모델값 역산(implied): v / 전년동기 − 1
현재 종가 ÷ BPS(추정 포함)</t>
      </text>
    </comment>
    <comment ref="AD39" authorId="0" shapeId="0">
      <text>
        <t>모델값 역산(implied): v / 전년동기 − 1
현재 종가 ÷ BPS(추정 포함)</t>
      </text>
    </comment>
    <comment ref="AF39" authorId="0" shapeId="0">
      <text>
        <t>모델값 역산(implied): v / 전년동기 − 1
현재 종가 ÷ BPS(추정 포함)</t>
      </text>
    </comment>
    <comment ref="AG39" authorId="0" shapeId="0">
      <text>
        <t>모델값 역산(implied): v / 전년동기 − 1
현재 종가 ÷ BPS(추정 포함)</t>
      </text>
    </comment>
    <comment ref="AH39" authorId="0" shapeId="0">
      <text>
        <t>모델값 역산(implied): v / 전년동기 − 1
현재 종가 ÷ BPS(추정 포함)</t>
      </text>
    </comment>
    <comment ref="AI39" authorId="0" shapeId="0">
      <text>
        <t>모델값 역산(implied): v / 전년동기 − 1
현재 종가 ÷ BPS(추정 포함)</t>
      </text>
    </comment>
    <comment ref="AK39" authorId="0" shapeId="0">
      <text>
        <t>모델값 역산(implied): v / 전년동기 − 1
현재 종가 ÷ BPS(추정 포함)</t>
      </text>
    </comment>
    <comment ref="AL39" authorId="0" shapeId="0">
      <text>
        <t>모델값 역산(implied): v / 전년동기 − 1
현재 종가 ÷ BPS(추정 포함)</t>
      </text>
    </comment>
    <comment ref="AM39" authorId="0" shapeId="0">
      <text>
        <t>모델값 역산(implied): v / 전년동기 − 1
현재 종가 ÷ BPS(추정 포함)</t>
      </text>
    </comment>
    <comment ref="AN39" authorId="0" shapeId="0">
      <text>
        <t>모델값 역산(implied): v / 전년동기 − 1
현재 종가 ÷ BPS(추정 포함)</t>
      </text>
    </comment>
    <comment ref="AC40" authorId="0" shapeId="0">
      <text>
        <t>모델값 역산(implied): v / 매출액
= 매출액 추정(부문 미분리)</t>
      </text>
    </comment>
    <comment ref="AD40" authorId="0" shapeId="0">
      <text>
        <t>모델값 역산(implied): v / 매출액
= 매출액 추정(부문 미분리)</t>
      </text>
    </comment>
    <comment ref="AF40" authorId="0" shapeId="0">
      <text>
        <t>모델값 역산(implied): v / 매출액
= 매출액 추정(부문 미분리)</t>
      </text>
    </comment>
    <comment ref="AG40" authorId="0" shapeId="0">
      <text>
        <t>모델값 역산(implied): v / 매출액
= 매출액 추정(부문 미분리)</t>
      </text>
    </comment>
    <comment ref="AH40" authorId="0" shapeId="0">
      <text>
        <t>모델값 역산(implied): v / 매출액
= 매출액 추정(부문 미분리)</t>
      </text>
    </comment>
    <comment ref="AI40" authorId="0" shapeId="0">
      <text>
        <t>모델값 역산(implied): v / 매출액
= 매출액 추정(부문 미분리)</t>
      </text>
    </comment>
    <comment ref="AK40" authorId="0" shapeId="0">
      <text>
        <t>모델값 역산(implied): v / 매출액
= 매출액 추정(부문 미분리)</t>
      </text>
    </comment>
    <comment ref="AL40" authorId="0" shapeId="0">
      <text>
        <t>모델값 역산(implied): v / 매출액
= 매출액 추정(부문 미분리)</t>
      </text>
    </comment>
    <comment ref="AM40" authorId="0" shapeId="0">
      <text>
        <t>모델값 역산(implied): v / 매출액
= 매출액 추정(부문 미분리)</t>
      </text>
    </comment>
    <comment ref="AN40" authorId="0" shapeId="0">
      <text>
        <t>모델값 역산(implied): v / 매출액
= 매출액 추정(부문 미분리)</t>
      </text>
    </comment>
    <comment ref="AC41" authorId="0" shapeId="0">
      <text>
        <t>모델값 역산(implied): v / 매출전사
= 매출액 × OPM(부문 미분리)</t>
      </text>
    </comment>
    <comment ref="AD41" authorId="0" shapeId="0">
      <text>
        <t>모델값 역산(implied): v / 매출전사
= 매출액 × OPM(부문 미분리)</t>
      </text>
    </comment>
    <comment ref="AF41" authorId="0" shapeId="0">
      <text>
        <t>모델값 역산(implied): v / 매출전사
= 매출액 × OPM(부문 미분리)</t>
      </text>
    </comment>
    <comment ref="AG41" authorId="0" shapeId="0">
      <text>
        <t>모델값 역산(implied): v / 매출전사
= 매출액 × OPM(부문 미분리)</t>
      </text>
    </comment>
    <comment ref="AH41" authorId="0" shapeId="0">
      <text>
        <t>모델값 역산(implied): v / 매출전사
= 매출액 × OPM(부문 미분리)</t>
      </text>
    </comment>
    <comment ref="AI41" authorId="0" shapeId="0">
      <text>
        <t>모델값 역산(implied): v / 매출전사
= 매출액 × OPM(부문 미분리)</t>
      </text>
    </comment>
    <comment ref="AK41" authorId="0" shapeId="0">
      <text>
        <t>모델값 역산(implied): v / 매출전사
= 매출액 × OPM(부문 미분리)</t>
      </text>
    </comment>
    <comment ref="AL41" authorId="0" shapeId="0">
      <text>
        <t>모델값 역산(implied): v / 매출전사
= 매출액 × OPM(부문 미분리)</t>
      </text>
    </comment>
    <comment ref="AM41" authorId="0" shapeId="0">
      <text>
        <t>모델값 역산(implied): v / 매출전사
= 매출액 × OPM(부문 미분리)</t>
      </text>
    </comment>
    <comment ref="AN41" authorId="0" shapeId="0">
      <text>
        <t>모델값 역산(implied): v / 매출전사
= 매출액 × OPM(부문 미분리)</t>
      </text>
    </comment>
  </commentList>
</comments>
</file>

<file path=xl/comments/comment2.xml><?xml version="1.0" encoding="utf-8"?>
<comments xmlns="http://schemas.openxmlformats.org/spreadsheetml/2006/main">
  <authors>
    <author>kship</author>
  </authors>
  <commentList>
    <comment ref="AC5" authorId="0" shapeId="0">
      <text>
        <t>추정: 전년동기 × (1+13.4%) — g=최근 4분기 합 YoY 13.4% 클립(−30~+50%), 연차별 절반 감쇠(가정)
[yoy]</t>
      </text>
    </comment>
    <comment ref="AD5" authorId="0" shapeId="0">
      <text>
        <t>추정: 전년동기 × (1+13.4%) — g=최근 4분기 합 YoY 13.4% 클립(−30~+50%), 연차별 절반 감쇠(가정)
[yoy]</t>
      </text>
    </comment>
    <comment ref="AF5" authorId="0" shapeId="0">
      <text>
        <t>추정: 전년동기 × (1+13.4%) — g=최근 4분기 합 YoY 13.4% 클립(−30~+50%), 연차별 절반 감쇠(가정)
[yoy]</t>
      </text>
    </comment>
    <comment ref="AG5" authorId="0" shapeId="0">
      <text>
        <t>추정: 전년동기 × (1+13.4%) — g=최근 4분기 합 YoY 13.4% 클립(−30~+50%), 연차별 절반 감쇠(가정)
[yoy]</t>
      </text>
    </comment>
    <comment ref="AH5" authorId="0" shapeId="0">
      <text>
        <t>추정: 전년동기 × (1+6.7%) — g=최근 4분기 합 YoY 13.4% 클립(−30~+50%), 연차별 절반 감쇠(가정)
[yoy]</t>
      </text>
    </comment>
    <comment ref="AI5" authorId="0" shapeId="0">
      <text>
        <t>추정: 전년동기 × (1+6.7%) — g=최근 4분기 합 YoY 13.4% 클립(−30~+50%), 연차별 절반 감쇠(가정)
[yoy]</t>
      </text>
    </comment>
    <comment ref="AK5" authorId="0" shapeId="0">
      <text>
        <t>추정: 전년동기 × (1+6.7%) — g=최근 4분기 합 YoY 13.4% 클립(−30~+50%), 연차별 절반 감쇠(가정)
[yoy]</t>
      </text>
    </comment>
    <comment ref="AL5" authorId="0" shapeId="0">
      <text>
        <t>추정: 전년동기 × (1+6.7%) — g=최근 4분기 합 YoY 13.4% 클립(−30~+50%), 연차별 절반 감쇠(가정)
[yoy]</t>
      </text>
    </comment>
    <comment ref="AM5" authorId="0" shapeId="0">
      <text>
        <t>추정: 전년동기 × (1+3.4%) — g=최근 4분기 합 YoY 13.4% 클립(−30~+50%), 연차별 절반 감쇠(가정)
[yoy]</t>
      </text>
    </comment>
    <comment ref="AN5" authorId="0" shapeId="0">
      <text>
        <t>추정: 전년동기 × (1+3.4%) — g=최근 4분기 합 YoY 13.4% 클립(−30~+50%), 연차별 절반 감쇠(가정)
[yoy]</t>
      </text>
    </comment>
    <comment ref="AC6" authorId="0" shapeId="0">
      <text>
        <t>추정: 매출액 − 매출총이익(항등식)
[identity]</t>
      </text>
    </comment>
    <comment ref="AD6" authorId="0" shapeId="0">
      <text>
        <t>추정: 매출액 − 매출총이익(항등식)
[identity]</t>
      </text>
    </comment>
    <comment ref="AF6" authorId="0" shapeId="0">
      <text>
        <t>추정: 매출액 − 매출총이익(항등식)
[identity]</t>
      </text>
    </comment>
    <comment ref="AG6" authorId="0" shapeId="0">
      <text>
        <t>추정: 매출액 − 매출총이익(항등식)
[identity]</t>
      </text>
    </comment>
    <comment ref="AH6" authorId="0" shapeId="0">
      <text>
        <t>추정: 매출액 − 매출총이익(항등식)
[identity]</t>
      </text>
    </comment>
    <comment ref="AI6" authorId="0" shapeId="0">
      <text>
        <t>추정: 매출액 − 매출총이익(항등식)
[identity]</t>
      </text>
    </comment>
    <comment ref="AK6" authorId="0" shapeId="0">
      <text>
        <t>추정: 매출액 − 매출총이익(항등식)
[identity]</t>
      </text>
    </comment>
    <comment ref="AL6" authorId="0" shapeId="0">
      <text>
        <t>추정: 매출액 − 매출총이익(항등식)
[identity]</t>
      </text>
    </comment>
    <comment ref="AM6" authorId="0" shapeId="0">
      <text>
        <t>추정: 매출액 − 매출총이익(항등식)
[identity]</t>
      </text>
    </comment>
    <comment ref="AN6" authorId="0" shapeId="0">
      <text>
        <t>추정: 매출액 − 매출총이익(항등식)
[identity]</t>
      </text>
    </comment>
    <comment ref="AC7" authorId="0" shapeId="0">
      <text>
        <t>추정: 영업이익 + 판관비 − 기타영업손익(항등식)
[identity]</t>
      </text>
    </comment>
    <comment ref="AD7" authorId="0" shapeId="0">
      <text>
        <t>추정: 영업이익 + 판관비 − 기타영업손익(항등식)
[identity]</t>
      </text>
    </comment>
    <comment ref="AF7" authorId="0" shapeId="0">
      <text>
        <t>추정: 영업이익 + 판관비 − 기타영업손익(항등식)
[identity]</t>
      </text>
    </comment>
    <comment ref="AG7" authorId="0" shapeId="0">
      <text>
        <t>추정: 영업이익 + 판관비 − 기타영업손익(항등식)
[identity]</t>
      </text>
    </comment>
    <comment ref="AH7" authorId="0" shapeId="0">
      <text>
        <t>추정: 영업이익 + 판관비 − 기타영업손익(항등식)
[identity]</t>
      </text>
    </comment>
    <comment ref="AI7" authorId="0" shapeId="0">
      <text>
        <t>추정: 영업이익 + 판관비 − 기타영업손익(항등식)
[identity]</t>
      </text>
    </comment>
    <comment ref="AK7" authorId="0" shapeId="0">
      <text>
        <t>추정: 영업이익 + 판관비 − 기타영업손익(항등식)
[identity]</t>
      </text>
    </comment>
    <comment ref="AL7" authorId="0" shapeId="0">
      <text>
        <t>추정: 영업이익 + 판관비 − 기타영업손익(항등식)
[identity]</t>
      </text>
    </comment>
    <comment ref="AM7" authorId="0" shapeId="0">
      <text>
        <t>추정: 영업이익 + 판관비 − 기타영업손익(항등식)
[identity]</t>
      </text>
    </comment>
    <comment ref="AN7" authorId="0" shapeId="0">
      <text>
        <t>추정: 영업이익 + 판관비 − 기타영업손익(항등식)
[identity]</t>
      </text>
    </comment>
    <comment ref="AC8" authorId="0" shapeId="0">
      <text>
        <t>추정: 매출액 × 판관비율 12.27%(최근 4분기 중위)
[ratio]</t>
      </text>
    </comment>
    <comment ref="AD8" authorId="0" shapeId="0">
      <text>
        <t>추정: 매출액 × 판관비율 12.27%(최근 4분기 중위)
[ratio]</t>
      </text>
    </comment>
    <comment ref="AF8" authorId="0" shapeId="0">
      <text>
        <t>추정: 매출액 × 판관비율 12.27%(최근 4분기 중위)
[ratio]</t>
      </text>
    </comment>
    <comment ref="AG8" authorId="0" shapeId="0">
      <text>
        <t>추정: 매출액 × 판관비율 12.27%(최근 4분기 중위)
[ratio]</t>
      </text>
    </comment>
    <comment ref="AH8" authorId="0" shapeId="0">
      <text>
        <t>추정: 매출액 × 판관비율 12.27%(최근 4분기 중위)
[ratio]</t>
      </text>
    </comment>
    <comment ref="AI8" authorId="0" shapeId="0">
      <text>
        <t>추정: 매출액 × 판관비율 12.27%(최근 4분기 중위)
[ratio]</t>
      </text>
    </comment>
    <comment ref="AK8" authorId="0" shapeId="0">
      <text>
        <t>추정: 매출액 × 판관비율 12.27%(최근 4분기 중위)
[ratio]</t>
      </text>
    </comment>
    <comment ref="AL8" authorId="0" shapeId="0">
      <text>
        <t>추정: 매출액 × 판관비율 12.27%(최근 4분기 중위)
[ratio]</t>
      </text>
    </comment>
    <comment ref="AM8" authorId="0" shapeId="0">
      <text>
        <t>추정: 매출액 × 판관비율 12.27%(최근 4분기 중위)
[ratio]</t>
      </text>
    </comment>
    <comment ref="AN8" authorId="0" shapeId="0">
      <text>
        <t>추정: 매출액 × 판관비율 12.27%(최근 4분기 중위)
[ratio]</t>
      </text>
    </comment>
    <comment ref="AC9" authorId="0" shapeId="0">
      <text>
        <t>추정: 매출액 × OPM(최근 8분기 OPM 중위 27.9% 유지(클립 −20~40%))
[ratio]</t>
      </text>
    </comment>
    <comment ref="AD9" authorId="0" shapeId="0">
      <text>
        <t>추정: 매출액 × OPM(최근 8분기 OPM 중위 27.9% 유지(클립 −20~40%))
[ratio]</t>
      </text>
    </comment>
    <comment ref="AF9" authorId="0" shapeId="0">
      <text>
        <t>추정: 매출액 × OPM(최근 8분기 OPM 중위 27.9% 유지(클립 −20~40%))
[ratio]</t>
      </text>
    </comment>
    <comment ref="AG9" authorId="0" shapeId="0">
      <text>
        <t>추정: 매출액 × OPM(최근 8분기 OPM 중위 27.9% 유지(클립 −20~40%))
[ratio]</t>
      </text>
    </comment>
    <comment ref="AH9" authorId="0" shapeId="0">
      <text>
        <t>추정: 매출액 × OPM(최근 8분기 OPM 중위 27.9% 유지(클립 −20~40%))
[ratio]</t>
      </text>
    </comment>
    <comment ref="AI9" authorId="0" shapeId="0">
      <text>
        <t>추정: 매출액 × OPM(최근 8분기 OPM 중위 27.9% 유지(클립 −20~40%))
[ratio]</t>
      </text>
    </comment>
    <comment ref="AK9" authorId="0" shapeId="0">
      <text>
        <t>추정: 매출액 × OPM(최근 8분기 OPM 중위 27.9% 유지(클립 −20~40%))
[ratio]</t>
      </text>
    </comment>
    <comment ref="AL9" authorId="0" shapeId="0">
      <text>
        <t>추정: 매출액 × OPM(최근 8분기 OPM 중위 27.9% 유지(클립 −20~40%))
[ratio]</t>
      </text>
    </comment>
    <comment ref="AM9" authorId="0" shapeId="0">
      <text>
        <t>추정: 매출액 × OPM(최근 8분기 OPM 중위 27.9% 유지(클립 −20~40%))
[ratio]</t>
      </text>
    </comment>
    <comment ref="AN9" authorId="0" shapeId="0">
      <text>
        <t>추정: 매출액 × OPM(최근 8분기 OPM 중위 27.9% 유지(클립 −20~40%))
[ratio]</t>
      </text>
    </comment>
    <comment ref="E10" authorId="0" shapeId="0">
      <text>
        <t>실측(계정 매핑 없음 — 모델값 직접) — 영업이익 ÷ 매출액(파생)</t>
      </text>
    </comment>
    <comment ref="G10" authorId="0" shapeId="0">
      <text>
        <t>실측(계정 매핑 없음 — 모델값 직접) — 영업이익 ÷ 매출액(파생)</t>
      </text>
    </comment>
    <comment ref="H10" authorId="0" shapeId="0">
      <text>
        <t>실측(계정 매핑 없음 — 모델값 직접) — 영업이익 ÷ 매출액(파생)</t>
      </text>
    </comment>
    <comment ref="I10" authorId="0" shapeId="0">
      <text>
        <t>실측(계정 매핑 없음 — 모델값 직접) — 영업이익 ÷ 매출액(파생)</t>
      </text>
    </comment>
    <comment ref="J10" authorId="0" shapeId="0">
      <text>
        <t>실측(계정 매핑 없음 — 모델값 직접) — 영업이익 ÷ 매출액(파생)</t>
      </text>
    </comment>
    <comment ref="L10" authorId="0" shapeId="0">
      <text>
        <t>실측(계정 매핑 없음 — 모델값 직접) — 영업이익 ÷ 매출액(파생)</t>
      </text>
    </comment>
    <comment ref="M10" authorId="0" shapeId="0">
      <text>
        <t>실측(계정 매핑 없음 — 모델값 직접) — 영업이익 ÷ 매출액(파생)</t>
      </text>
    </comment>
    <comment ref="N10" authorId="0" shapeId="0">
      <text>
        <t>실측(계정 매핑 없음 — 모델값 직접) — 영업이익 ÷ 매출액(파생)</t>
      </text>
    </comment>
    <comment ref="O10" authorId="0" shapeId="0">
      <text>
        <t>실측(계정 매핑 없음 — 모델값 직접) — 영업이익 ÷ 매출액(파생)</t>
      </text>
    </comment>
    <comment ref="Q10" authorId="0" shapeId="0">
      <text>
        <t>실측(계정 매핑 없음 — 모델값 직접) — 영업이익 ÷ 매출액(파생)</t>
      </text>
    </comment>
    <comment ref="R10" authorId="0" shapeId="0">
      <text>
        <t>실측(계정 매핑 없음 — 모델값 직접) — 영업이익 ÷ 매출액(파생)</t>
      </text>
    </comment>
    <comment ref="S10" authorId="0" shapeId="0">
      <text>
        <t>실측(계정 매핑 없음 — 모델값 직접) — 영업이익 ÷ 매출액(파생)</t>
      </text>
    </comment>
    <comment ref="T10" authorId="0" shapeId="0">
      <text>
        <t>실측(계정 매핑 없음 — 모델값 직접) — 영업이익 ÷ 매출액(파생)</t>
      </text>
    </comment>
    <comment ref="V10" authorId="0" shapeId="0">
      <text>
        <t>실측(계정 매핑 없음 — 모델값 직접) — 영업이익 ÷ 매출액(파생)</t>
      </text>
    </comment>
    <comment ref="W10" authorId="0" shapeId="0">
      <text>
        <t>실측(계정 매핑 없음 — 모델값 직접) — 영업이익 ÷ 매출액(파생)</t>
      </text>
    </comment>
    <comment ref="X10" authorId="0" shapeId="0">
      <text>
        <t>실측(계정 매핑 없음 — 모델값 직접) — 영업이익 ÷ 매출액(파생)</t>
      </text>
    </comment>
    <comment ref="Y10" authorId="0" shapeId="0">
      <text>
        <t>실측(계정 매핑 없음 — 모델값 직접) — 영업이익 ÷ 매출액(파생)</t>
      </text>
    </comment>
    <comment ref="AA10" authorId="0" shapeId="0">
      <text>
        <t>실측(계정 매핑 없음 — 모델값 직접) — 영업이익 ÷ 매출액(파생)</t>
      </text>
    </comment>
    <comment ref="AB10" authorId="0" shapeId="0">
      <text>
        <t>실측(계정 매핑 없음 — 모델값 직접) — 영업이익 ÷ 매출액(파생)</t>
      </text>
    </comment>
    <comment ref="AC10" authorId="0" shapeId="0">
      <text>
        <t>추정: 최근 8분기 OPM 중위 27.9% 유지(클립 −20~40%)
[yoy]</t>
      </text>
    </comment>
    <comment ref="AD10" authorId="0" shapeId="0">
      <text>
        <t>추정: 최근 8분기 OPM 중위 27.9% 유지(클립 −20~40%)
[yoy]</t>
      </text>
    </comment>
    <comment ref="AF10" authorId="0" shapeId="0">
      <text>
        <t>추정: 최근 8분기 OPM 중위 27.9% 유지(클립 −20~40%)
[yoy]</t>
      </text>
    </comment>
    <comment ref="AG10" authorId="0" shapeId="0">
      <text>
        <t>추정: 최근 8분기 OPM 중위 27.9% 유지(클립 −20~40%)
[yoy]</t>
      </text>
    </comment>
    <comment ref="AH10" authorId="0" shapeId="0">
      <text>
        <t>추정: 최근 8분기 OPM 중위 27.9% 유지(클립 −20~40%)
[yoy]</t>
      </text>
    </comment>
    <comment ref="AI10" authorId="0" shapeId="0">
      <text>
        <t>추정: 최근 8분기 OPM 중위 27.9% 유지(클립 −20~40%)
[yoy]</t>
      </text>
    </comment>
    <comment ref="AK10" authorId="0" shapeId="0">
      <text>
        <t>추정: 최근 8분기 OPM 중위 27.9% 유지(클립 −20~40%)
[yoy]</t>
      </text>
    </comment>
    <comment ref="AL10" authorId="0" shapeId="0">
      <text>
        <t>추정: 최근 8분기 OPM 중위 27.9% 유지(클립 −20~40%)
[yoy]</t>
      </text>
    </comment>
    <comment ref="AM10" authorId="0" shapeId="0">
      <text>
        <t>추정: 최근 8분기 OPM 중위 27.9% 유지(클립 −20~40%)
[yoy]</t>
      </text>
    </comment>
    <comment ref="AN10" authorId="0" shapeId="0">
      <text>
        <t>추정: 최근 8분기 OPM 중위 27.9% 유지(클립 −20~40%)
[yoy]</t>
      </text>
    </comment>
    <comment ref="AC11" authorId="0" shapeId="0">
      <text>
        <t>추정: 이자손익 = 이자발생자산 1906억 × 2.67% − 총차입금 0억 × 0.00% (연율, CF 실측) ÷ 4; 환·평가손익 0 가정
[abs]</t>
      </text>
    </comment>
    <comment ref="AD11" authorId="0" shapeId="0">
      <text>
        <t>추정: 이자손익 = 이자발생자산 2047억 × 2.67% − 총차입금 0억 × 0.00% (연율, CF 실측) ÷ 4; 환·평가손익 0 가정
[abs]</t>
      </text>
    </comment>
    <comment ref="AF11" authorId="0" shapeId="0">
      <text>
        <t>추정: 이자손익 = 이자발생자산 2197억 × 2.67% − 총차입금 0억 × 0.00% (연율, CF 실측) ÷ 4; 환·평가손익 0 가정
[abs]</t>
      </text>
    </comment>
    <comment ref="AG11" authorId="0" shapeId="0">
      <text>
        <t>추정: 이자손익 = 이자발생자산 2340억 × 2.67% − 총차입금 0억 × 0.00% (연율, CF 실측) ÷ 4; 환·평가손익 0 가정
[abs]</t>
      </text>
    </comment>
    <comment ref="AH11" authorId="0" shapeId="0">
      <text>
        <t>추정: 이자손익 = 이자발생자산 2337억 × 2.67% − 총차입금 0억 × 0.00% (연율, CF 실측) ÷ 4; 환·평가손익 0 가정
[abs]</t>
      </text>
    </comment>
    <comment ref="AI11" authorId="0" shapeId="0">
      <text>
        <t>추정: 이자손익 = 이자발생자산 2489억 × 2.67% − 총차입금 0억 × 0.00% (연율, CF 실측) ÷ 4; 환·평가손익 0 가정
[abs]</t>
      </text>
    </comment>
    <comment ref="AK11" authorId="0" shapeId="0">
      <text>
        <t>추정: 이자손익 = 이자발생자산 2650억 × 2.67% − 총차입금 0억 × 0.00% (연율, CF 실측) ÷ 4; 환·평가손익 0 가정
[abs]</t>
      </text>
    </comment>
    <comment ref="AL11" authorId="0" shapeId="0">
      <text>
        <t>추정: 이자손익 = 이자발생자산 2804억 × 2.67% − 총차입금 0억 × 0.00% (연율, CF 실측) ÷ 4; 환·평가손익 0 가정
[abs]</t>
      </text>
    </comment>
    <comment ref="AM11" authorId="0" shapeId="0">
      <text>
        <t>추정: 이자손익 = 이자발생자산 2814억 × 2.67% − 총차입금 0억 × 0.00% (연율, CF 실측) ÷ 4; 환·평가손익 0 가정
[abs]</t>
      </text>
    </comment>
    <comment ref="AN11" authorId="0" shapeId="0">
      <text>
        <t>추정: 이자손익 = 이자발생자산 2973억 × 2.67% − 총차입금 0억 × 0.00% (연율, CF 실측) ÷ 4; 환·평가손익 0 가정
[abs]</t>
      </text>
    </comment>
    <comment ref="AC12" authorId="0" shapeId="0">
      <text>
        <t>추정: 일회성 미가정 → 0
[abs]</t>
      </text>
    </comment>
    <comment ref="AD12" authorId="0" shapeId="0">
      <text>
        <t>추정: 일회성 미가정 → 0
[abs]</t>
      </text>
    </comment>
    <comment ref="AF12" authorId="0" shapeId="0">
      <text>
        <t>추정: 일회성 미가정 → 0
[abs]</t>
      </text>
    </comment>
    <comment ref="AG12" authorId="0" shapeId="0">
      <text>
        <t>추정: 일회성 미가정 → 0
[abs]</t>
      </text>
    </comment>
    <comment ref="AH12" authorId="0" shapeId="0">
      <text>
        <t>추정: 일회성 미가정 → 0
[abs]</t>
      </text>
    </comment>
    <comment ref="AI12" authorId="0" shapeId="0">
      <text>
        <t>추정: 일회성 미가정 → 0
[abs]</t>
      </text>
    </comment>
    <comment ref="AK12" authorId="0" shapeId="0">
      <text>
        <t>추정: 일회성 미가정 → 0
[abs]</t>
      </text>
    </comment>
    <comment ref="AL12" authorId="0" shapeId="0">
      <text>
        <t>추정: 일회성 미가정 → 0
[abs]</t>
      </text>
    </comment>
    <comment ref="AM12" authorId="0" shapeId="0">
      <text>
        <t>추정: 일회성 미가정 → 0
[abs]</t>
      </text>
    </comment>
    <comment ref="AN12" authorId="0" shapeId="0">
      <text>
        <t>추정: 일회성 미가정 → 0
[abs]</t>
      </text>
    </comment>
    <comment ref="AC13" authorId="0" shapeId="0">
      <text>
        <t>추정: 영업이익 + 금융손익 + 기타영업외 + 지분법 + 환관련(항등식)
[identity]</t>
      </text>
    </comment>
    <comment ref="AD13" authorId="0" shapeId="0">
      <text>
        <t>추정: 영업이익 + 금융손익 + 기타영업외 + 지분법 + 환관련(항등식)
[identity]</t>
      </text>
    </comment>
    <comment ref="AF13" authorId="0" shapeId="0">
      <text>
        <t>추정: 영업이익 + 금융손익 + 기타영업외 + 지분법 + 환관련(항등식)
[identity]</t>
      </text>
    </comment>
    <comment ref="AG13" authorId="0" shapeId="0">
      <text>
        <t>추정: 영업이익 + 금융손익 + 기타영업외 + 지분법 + 환관련(항등식)
[identity]</t>
      </text>
    </comment>
    <comment ref="AH13" authorId="0" shapeId="0">
      <text>
        <t>추정: 영업이익 + 금융손익 + 기타영업외 + 지분법 + 환관련(항등식)
[identity]</t>
      </text>
    </comment>
    <comment ref="AI13" authorId="0" shapeId="0">
      <text>
        <t>추정: 영업이익 + 금융손익 + 기타영업외 + 지분법 + 환관련(항등식)
[identity]</t>
      </text>
    </comment>
    <comment ref="AK13" authorId="0" shapeId="0">
      <text>
        <t>추정: 영업이익 + 금융손익 + 기타영업외 + 지분법 + 환관련(항등식)
[identity]</t>
      </text>
    </comment>
    <comment ref="AL13" authorId="0" shapeId="0">
      <text>
        <t>추정: 영업이익 + 금융손익 + 기타영업외 + 지분법 + 환관련(항등식)
[identity]</t>
      </text>
    </comment>
    <comment ref="AM13" authorId="0" shapeId="0">
      <text>
        <t>추정: 영업이익 + 금융손익 + 기타영업외 + 지분법 + 환관련(항등식)
[identity]</t>
      </text>
    </comment>
    <comment ref="AN13" authorId="0" shapeId="0">
      <text>
        <t>추정: 영업이익 + 금융손익 + 기타영업외 + 지분법 + 환관련(항등식)
[identity]</t>
      </text>
    </comment>
    <comment ref="AC14" authorId="0" shapeId="0">
      <text>
        <t>추정: max(세전, 0) × 세율 23.2%(최근 12분기 유효세율 23.2% → 5~27% 클립)
[ratio]</t>
      </text>
    </comment>
    <comment ref="AD14" authorId="0" shapeId="0">
      <text>
        <t>추정: max(세전, 0) × 세율 23.2%(최근 12분기 유효세율 23.2% → 5~27% 클립)
[ratio]</t>
      </text>
    </comment>
    <comment ref="AF14" authorId="0" shapeId="0">
      <text>
        <t>추정: max(세전, 0) × 세율 23.2%(최근 12분기 유효세율 23.2% → 5~27% 클립)
[ratio]</t>
      </text>
    </comment>
    <comment ref="AG14" authorId="0" shapeId="0">
      <text>
        <t>추정: max(세전, 0) × 세율 23.2%(최근 12분기 유효세율 23.2% → 5~27% 클립)
[ratio]</t>
      </text>
    </comment>
    <comment ref="AH14" authorId="0" shapeId="0">
      <text>
        <t>추정: max(세전, 0) × 세율 23.2%(최근 12분기 유효세율 23.2% → 5~27% 클립)
[ratio]</t>
      </text>
    </comment>
    <comment ref="AI14" authorId="0" shapeId="0">
      <text>
        <t>추정: max(세전, 0) × 세율 23.2%(최근 12분기 유효세율 23.2% → 5~27% 클립)
[ratio]</t>
      </text>
    </comment>
    <comment ref="AK14" authorId="0" shapeId="0">
      <text>
        <t>추정: max(세전, 0) × 세율 23.2%(최근 12분기 유효세율 23.2% → 5~27% 클립)
[ratio]</t>
      </text>
    </comment>
    <comment ref="AL14" authorId="0" shapeId="0">
      <text>
        <t>추정: max(세전, 0) × 세율 23.2%(최근 12분기 유효세율 23.2% → 5~27% 클립)
[ratio]</t>
      </text>
    </comment>
    <comment ref="AM14" authorId="0" shapeId="0">
      <text>
        <t>추정: max(세전, 0) × 세율 23.2%(최근 12분기 유효세율 23.2% → 5~27% 클립)
[ratio]</t>
      </text>
    </comment>
    <comment ref="AN14" authorId="0" shapeId="0">
      <text>
        <t>추정: max(세전, 0) × 세율 23.2%(최근 12분기 유효세율 23.2% → 5~27% 클립)
[ratio]</t>
      </text>
    </comment>
    <comment ref="AC15" authorId="0" shapeId="0">
      <text>
        <t>추정: 세전이익 − 법인세비용(항등식)
[identity]</t>
      </text>
    </comment>
    <comment ref="AD15" authorId="0" shapeId="0">
      <text>
        <t>추정: 세전이익 − 법인세비용(항등식)
[identity]</t>
      </text>
    </comment>
    <comment ref="AF15" authorId="0" shapeId="0">
      <text>
        <t>추정: 세전이익 − 법인세비용(항등식)
[identity]</t>
      </text>
    </comment>
    <comment ref="AG15" authorId="0" shapeId="0">
      <text>
        <t>추정: 세전이익 − 법인세비용(항등식)
[identity]</t>
      </text>
    </comment>
    <comment ref="AH15" authorId="0" shapeId="0">
      <text>
        <t>추정: 세전이익 − 법인세비용(항등식)
[identity]</t>
      </text>
    </comment>
    <comment ref="AI15" authorId="0" shapeId="0">
      <text>
        <t>추정: 세전이익 − 법인세비용(항등식)
[identity]</t>
      </text>
    </comment>
    <comment ref="AK15" authorId="0" shapeId="0">
      <text>
        <t>추정: 세전이익 − 법인세비용(항등식)
[identity]</t>
      </text>
    </comment>
    <comment ref="AL15" authorId="0" shapeId="0">
      <text>
        <t>추정: 세전이익 − 법인세비용(항등식)
[identity]</t>
      </text>
    </comment>
    <comment ref="AM15" authorId="0" shapeId="0">
      <text>
        <t>추정: 세전이익 − 법인세비용(항등식)
[identity]</t>
      </text>
    </comment>
    <comment ref="AN15" authorId="0" shapeId="0">
      <text>
        <t>추정: 세전이익 − 법인세비용(항등식)
[identity]</t>
      </text>
    </comment>
    <comment ref="AC16" authorId="0" shapeId="0">
      <text>
        <t>추정: 당기순이익 × (1 − 비지배 비중 0.9%, 최근 8분기 실측)
[ratio]</t>
      </text>
    </comment>
    <comment ref="AD16" authorId="0" shapeId="0">
      <text>
        <t>추정: 당기순이익 × (1 − 비지배 비중 0.9%, 최근 8분기 실측)
[ratio]</t>
      </text>
    </comment>
    <comment ref="AF16" authorId="0" shapeId="0">
      <text>
        <t>추정: 당기순이익 × (1 − 비지배 비중 0.9%, 최근 8분기 실측)
[ratio]</t>
      </text>
    </comment>
    <comment ref="AG16" authorId="0" shapeId="0">
      <text>
        <t>추정: 당기순이익 × (1 − 비지배 비중 0.9%, 최근 8분기 실측)
[ratio]</t>
      </text>
    </comment>
    <comment ref="AH16" authorId="0" shapeId="0">
      <text>
        <t>추정: 당기순이익 × (1 − 비지배 비중 0.9%, 최근 8분기 실측)
[ratio]</t>
      </text>
    </comment>
    <comment ref="AI16" authorId="0" shapeId="0">
      <text>
        <t>추정: 당기순이익 × (1 − 비지배 비중 0.9%, 최근 8분기 실측)
[ratio]</t>
      </text>
    </comment>
    <comment ref="AK16" authorId="0" shapeId="0">
      <text>
        <t>추정: 당기순이익 × (1 − 비지배 비중 0.9%, 최근 8분기 실측)
[ratio]</t>
      </text>
    </comment>
    <comment ref="AL16" authorId="0" shapeId="0">
      <text>
        <t>추정: 당기순이익 × (1 − 비지배 비중 0.9%, 최근 8분기 실측)
[ratio]</t>
      </text>
    </comment>
    <comment ref="AM16" authorId="0" shapeId="0">
      <text>
        <t>추정: 당기순이익 × (1 − 비지배 비중 0.9%, 최근 8분기 실측)
[ratio]</t>
      </text>
    </comment>
    <comment ref="AN16" authorId="0" shapeId="0">
      <text>
        <t>추정: 당기순이익 × (1 − 비지배 비중 0.9%, 최근 8분기 실측)
[ratio]</t>
      </text>
    </comment>
    <comment ref="AC17" authorId="0" shapeId="0">
      <text>
        <t>추정: 부채총계 + 자본총계(항등식)
[identity]</t>
      </text>
    </comment>
    <comment ref="AD17" authorId="0" shapeId="0">
      <text>
        <t>추정: 부채총계 + 자본총계(항등식)
[identity]</t>
      </text>
    </comment>
    <comment ref="AF17" authorId="0" shapeId="0">
      <text>
        <t>추정: 부채총계 + 자본총계(항등식)
[identity]</t>
      </text>
    </comment>
    <comment ref="AG17" authorId="0" shapeId="0">
      <text>
        <t>추정: 부채총계 + 자본총계(항등식)
[identity]</t>
      </text>
    </comment>
    <comment ref="AH17" authorId="0" shapeId="0">
      <text>
        <t>추정: 부채총계 + 자본총계(항등식)
[identity]</t>
      </text>
    </comment>
    <comment ref="AI17" authorId="0" shapeId="0">
      <text>
        <t>추정: 부채총계 + 자본총계(항등식)
[identity]</t>
      </text>
    </comment>
    <comment ref="AK17" authorId="0" shapeId="0">
      <text>
        <t>추정: 부채총계 + 자본총계(항등식)
[identity]</t>
      </text>
    </comment>
    <comment ref="AL17" authorId="0" shapeId="0">
      <text>
        <t>추정: 부채총계 + 자본총계(항등식)
[identity]</t>
      </text>
    </comment>
    <comment ref="AM17" authorId="0" shapeId="0">
      <text>
        <t>추정: 부채총계 + 자본총계(항등식)
[identity]</t>
      </text>
    </comment>
    <comment ref="AN17" authorId="0" shapeId="0">
      <text>
        <t>추정: 부채총계 + 자본총계(항등식)
[identity]</t>
      </text>
    </comment>
    <comment ref="AC18" authorId="0" shapeId="0">
      <text>
        <t>추정: 마지막 실적 유지(가정)
[qoq]</t>
      </text>
    </comment>
    <comment ref="AD18" authorId="0" shapeId="0">
      <text>
        <t>추정: 마지막 실적 유지(가정)
[qoq]</t>
      </text>
    </comment>
    <comment ref="AF18" authorId="0" shapeId="0">
      <text>
        <t>추정: 마지막 실적 유지(가정)
[qoq]</t>
      </text>
    </comment>
    <comment ref="AG18" authorId="0" shapeId="0">
      <text>
        <t>추정: 마지막 실적 유지(가정)
[qoq]</t>
      </text>
    </comment>
    <comment ref="AH18" authorId="0" shapeId="0">
      <text>
        <t>추정: 마지막 실적 유지(가정)
[qoq]</t>
      </text>
    </comment>
    <comment ref="AI18" authorId="0" shapeId="0">
      <text>
        <t>추정: 마지막 실적 유지(가정)
[qoq]</t>
      </text>
    </comment>
    <comment ref="AK18" authorId="0" shapeId="0">
      <text>
        <t>추정: 마지막 실적 유지(가정)
[qoq]</t>
      </text>
    </comment>
    <comment ref="AL18" authorId="0" shapeId="0">
      <text>
        <t>추정: 마지막 실적 유지(가정)
[qoq]</t>
      </text>
    </comment>
    <comment ref="AM18" authorId="0" shapeId="0">
      <text>
        <t>추정: 마지막 실적 유지(가정)
[qoq]</t>
      </text>
    </comment>
    <comment ref="AN18" authorId="0" shapeId="0">
      <text>
        <t>추정: 마지막 실적 유지(가정)
[qoq]</t>
      </text>
    </comment>
    <comment ref="AC19" authorId="0" shapeId="0">
      <text>
        <t>추정: 전분기 + 당기순이익 − 배당(Q2 지급 가정)
[roll]</t>
      </text>
    </comment>
    <comment ref="AD19" authorId="0" shapeId="0">
      <text>
        <t>추정: 전분기 + 당기순이익 − 배당(Q2 지급 가정)
[roll]</t>
      </text>
    </comment>
    <comment ref="AF19" authorId="0" shapeId="0">
      <text>
        <t>추정: 전분기 + 당기순이익 − 배당(Q2 지급 가정)
[roll]</t>
      </text>
    </comment>
    <comment ref="AG19" authorId="0" shapeId="0">
      <text>
        <t>추정: 전분기 + 당기순이익 − 배당(Q2 지급 가정)
[roll]</t>
      </text>
    </comment>
    <comment ref="AH19" authorId="0" shapeId="0">
      <text>
        <t>추정: 전분기 + 당기순이익 − 배당(Q2 지급 가정)
[roll]</t>
      </text>
    </comment>
    <comment ref="AI19" authorId="0" shapeId="0">
      <text>
        <t>추정: 전분기 + 당기순이익 − 배당(Q2 지급 가정)
[roll]</t>
      </text>
    </comment>
    <comment ref="AK19" authorId="0" shapeId="0">
      <text>
        <t>추정: 전분기 + 당기순이익 − 배당(Q2 지급 가정)
[roll]</t>
      </text>
    </comment>
    <comment ref="AL19" authorId="0" shapeId="0">
      <text>
        <t>추정: 전분기 + 당기순이익 − 배당(Q2 지급 가정)
[roll]</t>
      </text>
    </comment>
    <comment ref="AM19" authorId="0" shapeId="0">
      <text>
        <t>추정: 전분기 + 당기순이익 − 배당(Q2 지급 가정)
[roll]</t>
      </text>
    </comment>
    <comment ref="AN19" authorId="0" shapeId="0">
      <text>
        <t>추정: 전분기 + 당기순이익 − 배당(Q2 지급 가정)
[roll]</t>
      </text>
    </comment>
    <comment ref="AC20" authorId="0" shapeId="0">
      <text>
        <t>추정: 전분기 + 지배주주순이익 − 배당
[roll]</t>
      </text>
    </comment>
    <comment ref="AD20" authorId="0" shapeId="0">
      <text>
        <t>추정: 전분기 + 지배주주순이익 − 배당
[roll]</t>
      </text>
    </comment>
    <comment ref="AF20" authorId="0" shapeId="0">
      <text>
        <t>추정: 전분기 + 지배주주순이익 − 배당
[roll]</t>
      </text>
    </comment>
    <comment ref="AG20" authorId="0" shapeId="0">
      <text>
        <t>추정: 전분기 + 지배주주순이익 − 배당
[roll]</t>
      </text>
    </comment>
    <comment ref="AH20" authorId="0" shapeId="0">
      <text>
        <t>추정: 전분기 + 지배주주순이익 − 배당
[roll]</t>
      </text>
    </comment>
    <comment ref="AI20" authorId="0" shapeId="0">
      <text>
        <t>추정: 전분기 + 지배주주순이익 − 배당
[roll]</t>
      </text>
    </comment>
    <comment ref="AK20" authorId="0" shapeId="0">
      <text>
        <t>추정: 전분기 + 지배주주순이익 − 배당
[roll]</t>
      </text>
    </comment>
    <comment ref="AL20" authorId="0" shapeId="0">
      <text>
        <t>추정: 전분기 + 지배주주순이익 − 배당
[roll]</t>
      </text>
    </comment>
    <comment ref="AM20" authorId="0" shapeId="0">
      <text>
        <t>추정: 전분기 + 지배주주순이익 − 배당
[roll]</t>
      </text>
    </comment>
    <comment ref="AN20" authorId="0" shapeId="0">
      <text>
        <t>추정: 전분기 + 지배주주순이익 − 배당
[roll]</t>
      </text>
    </comment>
    <comment ref="AC21" authorId="0" shapeId="0">
      <text>
        <t>추정: 전분기 + (순이익 − 배당) — 순차입금 롤과 같은 가정
[qoq]</t>
      </text>
    </comment>
    <comment ref="AD21" authorId="0" shapeId="0">
      <text>
        <t>추정: 전분기 + (순이익 − 배당) — 순차입금 롤과 같은 가정
[qoq]</t>
      </text>
    </comment>
    <comment ref="AF21" authorId="0" shapeId="0">
      <text>
        <t>추정: 전분기 + (순이익 − 배당) — 순차입금 롤과 같은 가정
[qoq]</t>
      </text>
    </comment>
    <comment ref="AG21" authorId="0" shapeId="0">
      <text>
        <t>추정: 전분기 + (순이익 − 배당) — 순차입금 롤과 같은 가정
[qoq]</t>
      </text>
    </comment>
    <comment ref="AH21" authorId="0" shapeId="0">
      <text>
        <t>추정: 전분기 + (순이익 − 배당) — 순차입금 롤과 같은 가정
[qoq]</t>
      </text>
    </comment>
    <comment ref="AI21" authorId="0" shapeId="0">
      <text>
        <t>추정: 전분기 + (순이익 − 배당) — 순차입금 롤과 같은 가정
[qoq]</t>
      </text>
    </comment>
    <comment ref="AK21" authorId="0" shapeId="0">
      <text>
        <t>추정: 전분기 + (순이익 − 배당) — 순차입금 롤과 같은 가정
[qoq]</t>
      </text>
    </comment>
    <comment ref="AL21" authorId="0" shapeId="0">
      <text>
        <t>추정: 전분기 + (순이익 − 배당) — 순차입금 롤과 같은 가정
[qoq]</t>
      </text>
    </comment>
    <comment ref="AM21" authorId="0" shapeId="0">
      <text>
        <t>추정: 전분기 + (순이익 − 배당) — 순차입금 롤과 같은 가정
[qoq]</t>
      </text>
    </comment>
    <comment ref="AN21" authorId="0" shapeId="0">
      <text>
        <t>추정: 전분기 + (순이익 − 배당) — 순차입금 롤과 같은 가정
[qoq]</t>
      </text>
    </comment>
    <comment ref="E24" authorId="0" shapeId="0">
      <text>
        <t>실측(계정 매핑 없음 — 모델값 직접) — fin.cons.cf.영업활동으로인한현금흐름</t>
      </text>
    </comment>
    <comment ref="G24" authorId="0" shapeId="0">
      <text>
        <t>실측(계정 매핑 없음 — 모델값 직접) — fin.cons.cf.영업활동으로인한현금흐름</t>
      </text>
    </comment>
    <comment ref="H24" authorId="0" shapeId="0">
      <text>
        <t>실측(계정 매핑 없음 — 모델값 직접) — fin.cons.cf.영업활동으로인한현금흐름</t>
      </text>
    </comment>
    <comment ref="I24" authorId="0" shapeId="0">
      <text>
        <t>실측(계정 매핑 없음 — 모델값 직접) — fin.cons.cf.영업활동으로인한현금흐름</t>
      </text>
    </comment>
    <comment ref="J24" authorId="0" shapeId="0">
      <text>
        <t>실측(계정 매핑 없음 — 모델값 직접) — fin.cons.cf.영업활동으로인한현금흐름</t>
      </text>
    </comment>
    <comment ref="L24" authorId="0" shapeId="0">
      <text>
        <t>실측(계정 매핑 없음 — 모델값 직접) — fin.cons.cf.영업활동으로인한현금흐름</t>
      </text>
    </comment>
    <comment ref="M24" authorId="0" shapeId="0">
      <text>
        <t>실측(계정 매핑 없음 — 모델값 직접) — fin.cons.cf.영업활동으로인한현금흐름</t>
      </text>
    </comment>
    <comment ref="N24" authorId="0" shapeId="0">
      <text>
        <t>실측(계정 매핑 없음 — 모델값 직접) — fin.cons.cf.영업활동으로인한현금흐름</t>
      </text>
    </comment>
    <comment ref="O24" authorId="0" shapeId="0">
      <text>
        <t>실측(계정 매핑 없음 — 모델값 직접) — fin.cons.cf.영업활동으로인한현금흐름</t>
      </text>
    </comment>
    <comment ref="Q24" authorId="0" shapeId="0">
      <text>
        <t>실측(계정 매핑 없음 — 모델값 직접) — fin.cons.cf.영업활동으로인한현금흐름</t>
      </text>
    </comment>
    <comment ref="R24" authorId="0" shapeId="0">
      <text>
        <t>실측(계정 매핑 없음 — 모델값 직접) — fin.cons.cf.영업활동으로인한현금흐름</t>
      </text>
    </comment>
    <comment ref="S24" authorId="0" shapeId="0">
      <text>
        <t>실측(계정 매핑 없음 — 모델값 직접) — fin.cons.cf.영업활동으로인한현금흐름</t>
      </text>
    </comment>
    <comment ref="T24" authorId="0" shapeId="0">
      <text>
        <t>실측(계정 매핑 없음 — 모델값 직접) — fin.cons.cf.영업활동으로인한현금흐름</t>
      </text>
    </comment>
    <comment ref="V24" authorId="0" shapeId="0">
      <text>
        <t>실측(계정 매핑 없음 — 모델값 직접) — fin.cons.cf.영업활동으로인한현금흐름</t>
      </text>
    </comment>
    <comment ref="W24" authorId="0" shapeId="0">
      <text>
        <t>실측(계정 매핑 없음 — 모델값 직접) — fin.cons.cf.영업활동으로인한현금흐름</t>
      </text>
    </comment>
    <comment ref="X24" authorId="0" shapeId="0">
      <text>
        <t>실측(계정 매핑 없음 — 모델값 직접) — fin.cons.cf.영업활동으로인한현금흐름</t>
      </text>
    </comment>
    <comment ref="Y24" authorId="0" shapeId="0">
      <text>
        <t>실측(계정 매핑 없음 — 모델값 직접) — fin.cons.cf.영업활동으로인한현금흐름</t>
      </text>
    </comment>
    <comment ref="AA24" authorId="0" shapeId="0">
      <text>
        <t>실측(계정 매핑 없음 — 모델값 직접) — fin.cons.cf.영업활동으로인한현금흐름</t>
      </text>
    </comment>
    <comment ref="AB24" authorId="0" shapeId="0">
      <text>
        <t>실측(계정 매핑 없음 — 모델값 직접) — fin.cons.cf.영업활동으로인한현금흐름</t>
      </text>
    </comment>
    <comment ref="E25" authorId="0" shapeId="0">
      <text>
        <t>실측(계정 매핑 없음 — 모델값 직접) — fin.shares.common_outstanding</t>
      </text>
    </comment>
    <comment ref="G25" authorId="0" shapeId="0">
      <text>
        <t>실측(계정 매핑 없음 — 모델값 직접) — fin.shares.common_outstanding</t>
      </text>
    </comment>
    <comment ref="H25" authorId="0" shapeId="0">
      <text>
        <t>실측(계정 매핑 없음 — 모델값 직접) — fin.shares.common_outstanding</t>
      </text>
    </comment>
    <comment ref="I25" authorId="0" shapeId="0">
      <text>
        <t>실측(계정 매핑 없음 — 모델값 직접) — fin.shares.common_outstanding</t>
      </text>
    </comment>
    <comment ref="J25" authorId="0" shapeId="0">
      <text>
        <t>실측(계정 매핑 없음 — 모델값 직접) — fin.shares.common_outstanding</t>
      </text>
    </comment>
    <comment ref="L25" authorId="0" shapeId="0">
      <text>
        <t>실측(계정 매핑 없음 — 모델값 직접) — fin.shares.common_outstanding</t>
      </text>
    </comment>
    <comment ref="M25" authorId="0" shapeId="0">
      <text>
        <t>실측(계정 매핑 없음 — 모델값 직접) — fin.shares.common_outstanding</t>
      </text>
    </comment>
    <comment ref="N25" authorId="0" shapeId="0">
      <text>
        <t>실측(계정 매핑 없음 — 모델값 직접) — fin.shares.common_outstanding</t>
      </text>
    </comment>
    <comment ref="O25" authorId="0" shapeId="0">
      <text>
        <t>실측(계정 매핑 없음 — 모델값 직접) — fin.shares.common_outstanding</t>
      </text>
    </comment>
    <comment ref="Q25" authorId="0" shapeId="0">
      <text>
        <t>실측(계정 매핑 없음 — 모델값 직접) — fin.shares.common_outstanding</t>
      </text>
    </comment>
    <comment ref="R25" authorId="0" shapeId="0">
      <text>
        <t>실측(계정 매핑 없음 — 모델값 직접) — fin.shares.common_outstanding</t>
      </text>
    </comment>
    <comment ref="S25" authorId="0" shapeId="0">
      <text>
        <t>실측(계정 매핑 없음 — 모델값 직접) — fin.shares.common_outstanding</t>
      </text>
    </comment>
    <comment ref="T25" authorId="0" shapeId="0">
      <text>
        <t>실측(계정 매핑 없음 — 모델값 직접) — fin.shares.common_outstanding</t>
      </text>
    </comment>
    <comment ref="V25" authorId="0" shapeId="0">
      <text>
        <t>실측(계정 매핑 없음 — 모델값 직접) — fin.shares.common_outstanding</t>
      </text>
    </comment>
    <comment ref="W25" authorId="0" shapeId="0">
      <text>
        <t>실측(계정 매핑 없음 — 모델값 직접) — fin.shares.common_outstanding</t>
      </text>
    </comment>
    <comment ref="X25" authorId="0" shapeId="0">
      <text>
        <t>실측(계정 매핑 없음 — 모델값 직접) — fin.shares.common_outstanding</t>
      </text>
    </comment>
    <comment ref="Y25" authorId="0" shapeId="0">
      <text>
        <t>실측(계정 매핑 없음 — 모델값 직접) — fin.shares.common_outstanding</t>
      </text>
    </comment>
    <comment ref="AA25" authorId="0" shapeId="0">
      <text>
        <t>실측(계정 매핑 없음 — 모델값 직접) — fin.shares.common_outstanding</t>
      </text>
    </comment>
    <comment ref="AB25" authorId="0" shapeId="0">
      <text>
        <t>실측(계정 매핑 없음 — 모델값 직접) — fin.shares.common_outstanding</t>
      </text>
    </comment>
    <comment ref="AC25" authorId="0" shapeId="0">
      <text>
        <t>추정: 유통주식수 유지 — fin.shares.common_outstanding(2026Q2)
[qoq]</t>
      </text>
    </comment>
    <comment ref="AD25" authorId="0" shapeId="0">
      <text>
        <t>추정: 유통주식수 유지 — fin.shares.common_outstanding(2026Q2)
[qoq]</t>
      </text>
    </comment>
    <comment ref="AF25" authorId="0" shapeId="0">
      <text>
        <t>추정: 유통주식수 유지 — fin.shares.common_outstanding(2026Q2)
[qoq]</t>
      </text>
    </comment>
    <comment ref="AG25" authorId="0" shapeId="0">
      <text>
        <t>추정: 유통주식수 유지 — fin.shares.common_outstanding(2026Q2)
[qoq]</t>
      </text>
    </comment>
    <comment ref="AH25" authorId="0" shapeId="0">
      <text>
        <t>추정: 유통주식수 유지 — fin.shares.common_outstanding(2026Q2)
[qoq]</t>
      </text>
    </comment>
    <comment ref="AI25" authorId="0" shapeId="0">
      <text>
        <t>추정: 유통주식수 유지 — fin.shares.common_outstanding(2026Q2)
[qoq]</t>
      </text>
    </comment>
    <comment ref="AK25" authorId="0" shapeId="0">
      <text>
        <t>추정: 유통주식수 유지 — fin.shares.common_outstanding(2026Q2)
[qoq]</t>
      </text>
    </comment>
    <comment ref="AL25" authorId="0" shapeId="0">
      <text>
        <t>추정: 유통주식수 유지 — fin.shares.common_outstanding(2026Q2)
[qoq]</t>
      </text>
    </comment>
    <comment ref="AM25" authorId="0" shapeId="0">
      <text>
        <t>추정: 유통주식수 유지 — fin.shares.common_outstanding(2026Q2)
[qoq]</t>
      </text>
    </comment>
    <comment ref="AN25" authorId="0" shapeId="0">
      <text>
        <t>추정: 유통주식수 유지 — fin.shares.common_outstanding(2026Q2)
[qoq]</t>
      </text>
    </comment>
    <comment ref="AC26" authorId="0" shapeId="0">
      <text>
        <t>추정: 지배주주순이익 ÷ 유통주식수
[per_share]</t>
      </text>
    </comment>
    <comment ref="AD26" authorId="0" shapeId="0">
      <text>
        <t>추정: 지배주주순이익 ÷ 유통주식수
[per_share]</t>
      </text>
    </comment>
    <comment ref="AF26" authorId="0" shapeId="0">
      <text>
        <t>추정: 지배주주순이익 ÷ 유통주식수
[per_share]</t>
      </text>
    </comment>
    <comment ref="AG26" authorId="0" shapeId="0">
      <text>
        <t>추정: 지배주주순이익 ÷ 유통주식수
[per_share]</t>
      </text>
    </comment>
    <comment ref="AH26" authorId="0" shapeId="0">
      <text>
        <t>추정: 지배주주순이익 ÷ 유통주식수
[per_share]</t>
      </text>
    </comment>
    <comment ref="AI26" authorId="0" shapeId="0">
      <text>
        <t>추정: 지배주주순이익 ÷ 유통주식수
[per_share]</t>
      </text>
    </comment>
    <comment ref="AK26" authorId="0" shapeId="0">
      <text>
        <t>추정: 지배주주순이익 ÷ 유통주식수
[per_share]</t>
      </text>
    </comment>
    <comment ref="AL26" authorId="0" shapeId="0">
      <text>
        <t>추정: 지배주주순이익 ÷ 유통주식수
[per_share]</t>
      </text>
    </comment>
    <comment ref="AM26" authorId="0" shapeId="0">
      <text>
        <t>추정: 지배주주순이익 ÷ 유통주식수
[per_share]</t>
      </text>
    </comment>
    <comment ref="AN26" authorId="0" shapeId="0">
      <text>
        <t>추정: 지배주주순이익 ÷ 유통주식수
[per_share]</t>
      </text>
    </comment>
    <comment ref="AC27" authorId="0" shapeId="0">
      <text>
        <t>추정: 지배주주지분 ÷ 유통주식수
[per_share]</t>
      </text>
    </comment>
    <comment ref="AD27" authorId="0" shapeId="0">
      <text>
        <t>추정: 지배주주지분 ÷ 유통주식수
[per_share]</t>
      </text>
    </comment>
    <comment ref="AF27" authorId="0" shapeId="0">
      <text>
        <t>추정: 지배주주지분 ÷ 유통주식수
[per_share]</t>
      </text>
    </comment>
    <comment ref="AG27" authorId="0" shapeId="0">
      <text>
        <t>추정: 지배주주지분 ÷ 유통주식수
[per_share]</t>
      </text>
    </comment>
    <comment ref="AH27" authorId="0" shapeId="0">
      <text>
        <t>추정: 지배주주지분 ÷ 유통주식수
[per_share]</t>
      </text>
    </comment>
    <comment ref="AI27" authorId="0" shapeId="0">
      <text>
        <t>추정: 지배주주지분 ÷ 유통주식수
[per_share]</t>
      </text>
    </comment>
    <comment ref="AK27" authorId="0" shapeId="0">
      <text>
        <t>추정: 지배주주지분 ÷ 유통주식수
[per_share]</t>
      </text>
    </comment>
    <comment ref="AL27" authorId="0" shapeId="0">
      <text>
        <t>추정: 지배주주지분 ÷ 유통주식수
[per_share]</t>
      </text>
    </comment>
    <comment ref="AM27" authorId="0" shapeId="0">
      <text>
        <t>추정: 지배주주지분 ÷ 유통주식수
[per_share]</t>
      </text>
    </comment>
    <comment ref="AN27" authorId="0" shapeId="0">
      <text>
        <t>추정: 지배주주지분 ÷ 유통주식수
[per_share]</t>
      </text>
    </comment>
    <comment ref="E28" authorId="0" shapeId="0">
      <text>
        <t>실측(계정 매핑 없음 — 모델값 직접) — fin.dividend.dps_common(연간, Q4 에 표기)</t>
      </text>
    </comment>
    <comment ref="F28" authorId="0" shapeId="0">
      <text>
        <t>연간(actual) — 분기 미완 연도, 모델 a 값 직접</t>
      </text>
    </comment>
    <comment ref="J28" authorId="0" shapeId="0">
      <text>
        <t>실측(계정 매핑 없음 — 모델값 직접) — fin.dividend.dps_common(연간, Q4 에 표기)</t>
      </text>
    </comment>
    <comment ref="O28" authorId="0" shapeId="0">
      <text>
        <t>실측(계정 매핑 없음 — 모델값 직접) — fin.dividend.dps_common(연간, Q4 에 표기)</t>
      </text>
    </comment>
    <comment ref="T28" authorId="0" shapeId="0">
      <text>
        <t>실측(계정 매핑 없음 — 모델값 직접) — fin.dividend.dps_common(연간, Q4 에 표기)</t>
      </text>
    </comment>
    <comment ref="Y28" authorId="0" shapeId="0">
      <text>
        <t>실측(계정 매핑 없음 — 모델값 직접) — fin.dividend.dps_common(연간, Q4 에 표기)</t>
      </text>
    </comment>
    <comment ref="AD28" authorId="0" shapeId="0">
      <text>
        <t>추정: 직전 결산 DPS 1,350원 유지
[yoy]</t>
      </text>
    </comment>
    <comment ref="AI28" authorId="0" shapeId="0">
      <text>
        <t>추정: 직전 결산 DPS 1,350원 유지
[yoy]</t>
      </text>
    </comment>
    <comment ref="AN28" authorId="0" shapeId="0">
      <text>
        <t>추정: 직전 결산 DPS 1,350원 유지
[yoy]</t>
      </text>
    </comment>
    <comment ref="I29" authorId="0" shapeId="0">
      <text>
        <t>실측(계정 매핑 없음 — 모델값 직접) — 토스 일봉 분기 평균 ÷ TTM EPS</t>
      </text>
    </comment>
    <comment ref="J29" authorId="0" shapeId="0">
      <text>
        <t>실측(계정 매핑 없음 — 모델값 직접) — 토스 일봉 분기 평균 ÷ TTM EPS</t>
      </text>
    </comment>
    <comment ref="L29" authorId="0" shapeId="0">
      <text>
        <t>실측(계정 매핑 없음 — 모델값 직접) — 토스 일봉 분기 평균 ÷ TTM EPS</t>
      </text>
    </comment>
    <comment ref="M29" authorId="0" shapeId="0">
      <text>
        <t>실측(계정 매핑 없음 — 모델값 직접) — 토스 일봉 분기 평균 ÷ TTM EPS</t>
      </text>
    </comment>
    <comment ref="N29" authorId="0" shapeId="0">
      <text>
        <t>실측(계정 매핑 없음 — 모델값 직접) — 토스 일봉 분기 평균 ÷ TTM EPS</t>
      </text>
    </comment>
    <comment ref="O29" authorId="0" shapeId="0">
      <text>
        <t>실측(계정 매핑 없음 — 모델값 직접) — 토스 일봉 분기 평균 ÷ TTM EPS</t>
      </text>
    </comment>
    <comment ref="Q29" authorId="0" shapeId="0">
      <text>
        <t>실측(계정 매핑 없음 — 모델값 직접) — 토스 일봉 분기 평균 ÷ TTM EPS</t>
      </text>
    </comment>
    <comment ref="R29" authorId="0" shapeId="0">
      <text>
        <t>실측(계정 매핑 없음 — 모델값 직접) — 토스 일봉 분기 평균 ÷ TTM EPS</t>
      </text>
    </comment>
    <comment ref="S29" authorId="0" shapeId="0">
      <text>
        <t>실측(계정 매핑 없음 — 모델값 직접) — 토스 일봉 분기 평균 ÷ TTM EPS</t>
      </text>
    </comment>
    <comment ref="T29" authorId="0" shapeId="0">
      <text>
        <t>실측(계정 매핑 없음 — 모델값 직접) — 토스 일봉 분기 평균 ÷ TTM EPS</t>
      </text>
    </comment>
    <comment ref="V29" authorId="0" shapeId="0">
      <text>
        <t>실측(계정 매핑 없음 — 모델값 직접) — 토스 일봉 분기 평균 ÷ TTM EPS</t>
      </text>
    </comment>
    <comment ref="W29" authorId="0" shapeId="0">
      <text>
        <t>실측(계정 매핑 없음 — 모델값 직접) — 토스 일봉 분기 평균 ÷ TTM EPS</t>
      </text>
    </comment>
    <comment ref="X29" authorId="0" shapeId="0">
      <text>
        <t>실측(계정 매핑 없음 — 모델값 직접) — 토스 일봉 분기 평균 ÷ TTM EPS</t>
      </text>
    </comment>
    <comment ref="Y29" authorId="0" shapeId="0">
      <text>
        <t>실측(계정 매핑 없음 — 모델값 직접) — 토스 일봉 분기 평균 ÷ TTM EPS</t>
      </text>
    </comment>
    <comment ref="AA29" authorId="0" shapeId="0">
      <text>
        <t>실측(계정 매핑 없음 — 모델값 직접) — 토스 일봉 분기 평균 ÷ TTM EPS</t>
      </text>
    </comment>
    <comment ref="AB29" authorId="0" shapeId="0">
      <text>
        <t>실측(계정 매핑 없음 — 모델값 직접) — 토스 일봉 분기 평균 ÷ TTM EPS</t>
      </text>
    </comment>
    <comment ref="AC29" authorId="0" shapeId="0">
      <text>
        <t>추정: 현재 종가 ÷ TTM EPS(추정 포함)
[yoy]</t>
      </text>
    </comment>
    <comment ref="AD29" authorId="0" shapeId="0">
      <text>
        <t>추정: 현재 종가 ÷ TTM EPS(추정 포함)
[yoy]</t>
      </text>
    </comment>
    <comment ref="AF29" authorId="0" shapeId="0">
      <text>
        <t>추정: 현재 종가 ÷ TTM EPS(추정 포함)
[yoy]</t>
      </text>
    </comment>
    <comment ref="AG29" authorId="0" shapeId="0">
      <text>
        <t>추정: 현재 종가 ÷ TTM EPS(추정 포함)
[yoy]</t>
      </text>
    </comment>
    <comment ref="AH29" authorId="0" shapeId="0">
      <text>
        <t>추정: 현재 종가 ÷ TTM EPS(추정 포함)
[yoy]</t>
      </text>
    </comment>
    <comment ref="AI29" authorId="0" shapeId="0">
      <text>
        <t>추정: 현재 종가 ÷ TTM EPS(추정 포함)
[yoy]</t>
      </text>
    </comment>
    <comment ref="AK29" authorId="0" shapeId="0">
      <text>
        <t>추정: 현재 종가 ÷ TTM EPS(추정 포함)
[yoy]</t>
      </text>
    </comment>
    <comment ref="AL29" authorId="0" shapeId="0">
      <text>
        <t>추정: 현재 종가 ÷ TTM EPS(추정 포함)
[yoy]</t>
      </text>
    </comment>
    <comment ref="AM29" authorId="0" shapeId="0">
      <text>
        <t>추정: 현재 종가 ÷ TTM EPS(추정 포함)
[yoy]</t>
      </text>
    </comment>
    <comment ref="AN29" authorId="0" shapeId="0">
      <text>
        <t>추정: 현재 종가 ÷ TTM EPS(추정 포함)
[yoy]</t>
      </text>
    </comment>
    <comment ref="E30" authorId="0" shapeId="0">
      <text>
        <t>실측(계정 매핑 없음 — 모델값 직접) — 토스 일봉 분기 평균 ÷ BPS</t>
      </text>
    </comment>
    <comment ref="F30" authorId="0" shapeId="0">
      <text>
        <t>연간(actual) — 분기 미완 연도, 모델 a 값 직접</t>
      </text>
    </comment>
    <comment ref="G30" authorId="0" shapeId="0">
      <text>
        <t>실측(계정 매핑 없음 — 모델값 직접) — 토스 일봉 분기 평균 ÷ BPS</t>
      </text>
    </comment>
    <comment ref="H30" authorId="0" shapeId="0">
      <text>
        <t>실측(계정 매핑 없음 — 모델값 직접) — 토스 일봉 분기 평균 ÷ BPS</t>
      </text>
    </comment>
    <comment ref="I30" authorId="0" shapeId="0">
      <text>
        <t>실측(계정 매핑 없음 — 모델값 직접) — 토스 일봉 분기 평균 ÷ BPS</t>
      </text>
    </comment>
    <comment ref="J30" authorId="0" shapeId="0">
      <text>
        <t>실측(계정 매핑 없음 — 모델값 직접) — 토스 일봉 분기 평균 ÷ BPS</t>
      </text>
    </comment>
    <comment ref="L30" authorId="0" shapeId="0">
      <text>
        <t>실측(계정 매핑 없음 — 모델값 직접) — 토스 일봉 분기 평균 ÷ BPS</t>
      </text>
    </comment>
    <comment ref="M30" authorId="0" shapeId="0">
      <text>
        <t>실측(계정 매핑 없음 — 모델값 직접) — 토스 일봉 분기 평균 ÷ BPS</t>
      </text>
    </comment>
    <comment ref="N30" authorId="0" shapeId="0">
      <text>
        <t>실측(계정 매핑 없음 — 모델값 직접) — 토스 일봉 분기 평균 ÷ BPS</t>
      </text>
    </comment>
    <comment ref="O30" authorId="0" shapeId="0">
      <text>
        <t>실측(계정 매핑 없음 — 모델값 직접) — 토스 일봉 분기 평균 ÷ BPS</t>
      </text>
    </comment>
    <comment ref="Q30" authorId="0" shapeId="0">
      <text>
        <t>실측(계정 매핑 없음 — 모델값 직접) — 토스 일봉 분기 평균 ÷ BPS</t>
      </text>
    </comment>
    <comment ref="R30" authorId="0" shapeId="0">
      <text>
        <t>실측(계정 매핑 없음 — 모델값 직접) — 토스 일봉 분기 평균 ÷ BPS</t>
      </text>
    </comment>
    <comment ref="S30" authorId="0" shapeId="0">
      <text>
        <t>실측(계정 매핑 없음 — 모델값 직접) — 토스 일봉 분기 평균 ÷ BPS</t>
      </text>
    </comment>
    <comment ref="T30" authorId="0" shapeId="0">
      <text>
        <t>실측(계정 매핑 없음 — 모델값 직접) — 토스 일봉 분기 평균 ÷ BPS</t>
      </text>
    </comment>
    <comment ref="V30" authorId="0" shapeId="0">
      <text>
        <t>실측(계정 매핑 없음 — 모델값 직접) — 토스 일봉 분기 평균 ÷ BPS</t>
      </text>
    </comment>
    <comment ref="W30" authorId="0" shapeId="0">
      <text>
        <t>실측(계정 매핑 없음 — 모델값 직접) — 토스 일봉 분기 평균 ÷ BPS</t>
      </text>
    </comment>
    <comment ref="X30" authorId="0" shapeId="0">
      <text>
        <t>실측(계정 매핑 없음 — 모델값 직접) — 토스 일봉 분기 평균 ÷ BPS</t>
      </text>
    </comment>
    <comment ref="Y30" authorId="0" shapeId="0">
      <text>
        <t>실측(계정 매핑 없음 — 모델값 직접) — 토스 일봉 분기 평균 ÷ BPS</t>
      </text>
    </comment>
    <comment ref="AA30" authorId="0" shapeId="0">
      <text>
        <t>실측(계정 매핑 없음 — 모델값 직접) — 토스 일봉 분기 평균 ÷ BPS</t>
      </text>
    </comment>
    <comment ref="AB30" authorId="0" shapeId="0">
      <text>
        <t>실측(계정 매핑 없음 — 모델값 직접) — 토스 일봉 분기 평균 ÷ BPS</t>
      </text>
    </comment>
    <comment ref="AC30" authorId="0" shapeId="0">
      <text>
        <t>추정: 현재 종가 ÷ BPS(추정 포함)
[yoy]</t>
      </text>
    </comment>
    <comment ref="AD30" authorId="0" shapeId="0">
      <text>
        <t>추정: 현재 종가 ÷ BPS(추정 포함)
[yoy]</t>
      </text>
    </comment>
    <comment ref="AF30" authorId="0" shapeId="0">
      <text>
        <t>추정: 현재 종가 ÷ BPS(추정 포함)
[yoy]</t>
      </text>
    </comment>
    <comment ref="AG30" authorId="0" shapeId="0">
      <text>
        <t>추정: 현재 종가 ÷ BPS(추정 포함)
[yoy]</t>
      </text>
    </comment>
    <comment ref="AH30" authorId="0" shapeId="0">
      <text>
        <t>추정: 현재 종가 ÷ BPS(추정 포함)
[yoy]</t>
      </text>
    </comment>
    <comment ref="AI30" authorId="0" shapeId="0">
      <text>
        <t>추정: 현재 종가 ÷ BPS(추정 포함)
[yoy]</t>
      </text>
    </comment>
    <comment ref="AK30" authorId="0" shapeId="0">
      <text>
        <t>추정: 현재 종가 ÷ BPS(추정 포함)
[yoy]</t>
      </text>
    </comment>
    <comment ref="AL30" authorId="0" shapeId="0">
      <text>
        <t>추정: 현재 종가 ÷ BPS(추정 포함)
[yoy]</t>
      </text>
    </comment>
    <comment ref="AM30" authorId="0" shapeId="0">
      <text>
        <t>추정: 현재 종가 ÷ BPS(추정 포함)
[yoy]</t>
      </text>
    </comment>
    <comment ref="AN30" authorId="0" shapeId="0">
      <text>
        <t>추정: 현재 종가 ÷ BPS(추정 포함)
[yoy]</t>
      </text>
    </comment>
    <comment ref="E31" authorId="0" shapeId="0">
      <text>
        <t>실측(계정 매핑 없음 — 모델값 직접) — = 매출액(부문 미분리)</t>
      </text>
    </comment>
    <comment ref="G31" authorId="0" shapeId="0">
      <text>
        <t>실측(계정 매핑 없음 — 모델값 직접) — = 매출액(부문 미분리)</t>
      </text>
    </comment>
    <comment ref="H31" authorId="0" shapeId="0">
      <text>
        <t>실측(계정 매핑 없음 — 모델값 직접) — = 매출액(부문 미분리)</t>
      </text>
    </comment>
    <comment ref="I31" authorId="0" shapeId="0">
      <text>
        <t>실측(계정 매핑 없음 — 모델값 직접) — = 매출액(부문 미분리)</t>
      </text>
    </comment>
    <comment ref="J31" authorId="0" shapeId="0">
      <text>
        <t>실측(계정 매핑 없음 — 모델값 직접) — = 매출액(부문 미분리)</t>
      </text>
    </comment>
    <comment ref="L31" authorId="0" shapeId="0">
      <text>
        <t>실측(계정 매핑 없음 — 모델값 직접) — = 매출액(부문 미분리)</t>
      </text>
    </comment>
    <comment ref="M31" authorId="0" shapeId="0">
      <text>
        <t>실측(계정 매핑 없음 — 모델값 직접) — = 매출액(부문 미분리)</t>
      </text>
    </comment>
    <comment ref="N31" authorId="0" shapeId="0">
      <text>
        <t>실측(계정 매핑 없음 — 모델값 직접) — = 매출액(부문 미분리)</t>
      </text>
    </comment>
    <comment ref="O31" authorId="0" shapeId="0">
      <text>
        <t>실측(계정 매핑 없음 — 모델값 직접) — = 매출액(부문 미분리)</t>
      </text>
    </comment>
    <comment ref="Q31" authorId="0" shapeId="0">
      <text>
        <t>실측(계정 매핑 없음 — 모델값 직접) — = 매출액(부문 미분리)</t>
      </text>
    </comment>
    <comment ref="R31" authorId="0" shapeId="0">
      <text>
        <t>실측(계정 매핑 없음 — 모델값 직접) — = 매출액(부문 미분리)</t>
      </text>
    </comment>
    <comment ref="S31" authorId="0" shapeId="0">
      <text>
        <t>실측(계정 매핑 없음 — 모델값 직접) — = 매출액(부문 미분리)</t>
      </text>
    </comment>
    <comment ref="T31" authorId="0" shapeId="0">
      <text>
        <t>실측(계정 매핑 없음 — 모델값 직접) — = 매출액(부문 미분리)</t>
      </text>
    </comment>
    <comment ref="V31" authorId="0" shapeId="0">
      <text>
        <t>실측(계정 매핑 없음 — 모델값 직접) — = 매출액(부문 미분리)</t>
      </text>
    </comment>
    <comment ref="W31" authorId="0" shapeId="0">
      <text>
        <t>실측(계정 매핑 없음 — 모델값 직접) — = 매출액(부문 미분리)</t>
      </text>
    </comment>
    <comment ref="X31" authorId="0" shapeId="0">
      <text>
        <t>실측(계정 매핑 없음 — 모델값 직접) — = 매출액(부문 미분리)</t>
      </text>
    </comment>
    <comment ref="Y31" authorId="0" shapeId="0">
      <text>
        <t>실측(계정 매핑 없음 — 모델값 직접) — = 매출액(부문 미분리)</t>
      </text>
    </comment>
    <comment ref="AA31" authorId="0" shapeId="0">
      <text>
        <t>실측(계정 매핑 없음 — 모델값 직접) — = 매출액(부문 미분리)</t>
      </text>
    </comment>
    <comment ref="AB31" authorId="0" shapeId="0">
      <text>
        <t>실측(계정 매핑 없음 — 모델값 직접) — = 매출액(부문 미분리)</t>
      </text>
    </comment>
    <comment ref="AC31" authorId="0" shapeId="0">
      <text>
        <t>추정: = 매출액 추정(부문 미분리)
[ratio]</t>
      </text>
    </comment>
    <comment ref="AD31" authorId="0" shapeId="0">
      <text>
        <t>추정: = 매출액 추정(부문 미분리)
[ratio]</t>
      </text>
    </comment>
    <comment ref="AF31" authorId="0" shapeId="0">
      <text>
        <t>추정: = 매출액 추정(부문 미분리)
[ratio]</t>
      </text>
    </comment>
    <comment ref="AG31" authorId="0" shapeId="0">
      <text>
        <t>추정: = 매출액 추정(부문 미분리)
[ratio]</t>
      </text>
    </comment>
    <comment ref="AH31" authorId="0" shapeId="0">
      <text>
        <t>추정: = 매출액 추정(부문 미분리)
[ratio]</t>
      </text>
    </comment>
    <comment ref="AI31" authorId="0" shapeId="0">
      <text>
        <t>추정: = 매출액 추정(부문 미분리)
[ratio]</t>
      </text>
    </comment>
    <comment ref="AK31" authorId="0" shapeId="0">
      <text>
        <t>추정: = 매출액 추정(부문 미분리)
[ratio]</t>
      </text>
    </comment>
    <comment ref="AL31" authorId="0" shapeId="0">
      <text>
        <t>추정: = 매출액 추정(부문 미분리)
[ratio]</t>
      </text>
    </comment>
    <comment ref="AM31" authorId="0" shapeId="0">
      <text>
        <t>추정: = 매출액 추정(부문 미분리)
[ratio]</t>
      </text>
    </comment>
    <comment ref="AN31" authorId="0" shapeId="0">
      <text>
        <t>추정: = 매출액 추정(부문 미분리)
[ratio]</t>
      </text>
    </comment>
    <comment ref="E32" authorId="0" shapeId="0">
      <text>
        <t>실측(계정 매핑 없음 — 모델값 직접) — = 영업이익(부문 미분리)</t>
      </text>
    </comment>
    <comment ref="G32" authorId="0" shapeId="0">
      <text>
        <t>실측(계정 매핑 없음 — 모델값 직접) — = 영업이익(부문 미분리)</t>
      </text>
    </comment>
    <comment ref="H32" authorId="0" shapeId="0">
      <text>
        <t>실측(계정 매핑 없음 — 모델값 직접) — = 영업이익(부문 미분리)</t>
      </text>
    </comment>
    <comment ref="I32" authorId="0" shapeId="0">
      <text>
        <t>실측(계정 매핑 없음 — 모델값 직접) — = 영업이익(부문 미분리)</t>
      </text>
    </comment>
    <comment ref="J32" authorId="0" shapeId="0">
      <text>
        <t>실측(계정 매핑 없음 — 모델값 직접) — = 영업이익(부문 미분리)</t>
      </text>
    </comment>
    <comment ref="L32" authorId="0" shapeId="0">
      <text>
        <t>실측(계정 매핑 없음 — 모델값 직접) — = 영업이익(부문 미분리)</t>
      </text>
    </comment>
    <comment ref="M32" authorId="0" shapeId="0">
      <text>
        <t>실측(계정 매핑 없음 — 모델값 직접) — = 영업이익(부문 미분리)</t>
      </text>
    </comment>
    <comment ref="N32" authorId="0" shapeId="0">
      <text>
        <t>실측(계정 매핑 없음 — 모델값 직접) — = 영업이익(부문 미분리)</t>
      </text>
    </comment>
    <comment ref="O32" authorId="0" shapeId="0">
      <text>
        <t>실측(계정 매핑 없음 — 모델값 직접) — = 영업이익(부문 미분리)</t>
      </text>
    </comment>
    <comment ref="Q32" authorId="0" shapeId="0">
      <text>
        <t>실측(계정 매핑 없음 — 모델값 직접) — = 영업이익(부문 미분리)</t>
      </text>
    </comment>
    <comment ref="R32" authorId="0" shapeId="0">
      <text>
        <t>실측(계정 매핑 없음 — 모델값 직접) — = 영업이익(부문 미분리)</t>
      </text>
    </comment>
    <comment ref="S32" authorId="0" shapeId="0">
      <text>
        <t>실측(계정 매핑 없음 — 모델값 직접) — = 영업이익(부문 미분리)</t>
      </text>
    </comment>
    <comment ref="T32" authorId="0" shapeId="0">
      <text>
        <t>실측(계정 매핑 없음 — 모델값 직접) — = 영업이익(부문 미분리)</t>
      </text>
    </comment>
    <comment ref="V32" authorId="0" shapeId="0">
      <text>
        <t>실측(계정 매핑 없음 — 모델값 직접) — = 영업이익(부문 미분리)</t>
      </text>
    </comment>
    <comment ref="W32" authorId="0" shapeId="0">
      <text>
        <t>실측(계정 매핑 없음 — 모델값 직접) — = 영업이익(부문 미분리)</t>
      </text>
    </comment>
    <comment ref="X32" authorId="0" shapeId="0">
      <text>
        <t>실측(계정 매핑 없음 — 모델값 직접) — = 영업이익(부문 미분리)</t>
      </text>
    </comment>
    <comment ref="Y32" authorId="0" shapeId="0">
      <text>
        <t>실측(계정 매핑 없음 — 모델값 직접) — = 영업이익(부문 미분리)</t>
      </text>
    </comment>
    <comment ref="AA32" authorId="0" shapeId="0">
      <text>
        <t>실측(계정 매핑 없음 — 모델값 직접) — = 영업이익(부문 미분리)</t>
      </text>
    </comment>
    <comment ref="AB32" authorId="0" shapeId="0">
      <text>
        <t>실측(계정 매핑 없음 — 모델값 직접) — = 영업이익(부문 미분리)</t>
      </text>
    </comment>
    <comment ref="AC32" authorId="0" shapeId="0">
      <text>
        <t>추정: = 매출액 × OPM(부문 미분리)
[ratio]</t>
      </text>
    </comment>
    <comment ref="AD32" authorId="0" shapeId="0">
      <text>
        <t>추정: = 매출액 × OPM(부문 미분리)
[ratio]</t>
      </text>
    </comment>
    <comment ref="AF32" authorId="0" shapeId="0">
      <text>
        <t>추정: = 매출액 × OPM(부문 미분리)
[ratio]</t>
      </text>
    </comment>
    <comment ref="AG32" authorId="0" shapeId="0">
      <text>
        <t>추정: = 매출액 × OPM(부문 미분리)
[ratio]</t>
      </text>
    </comment>
    <comment ref="AH32" authorId="0" shapeId="0">
      <text>
        <t>추정: = 매출액 × OPM(부문 미분리)
[ratio]</t>
      </text>
    </comment>
    <comment ref="AI32" authorId="0" shapeId="0">
      <text>
        <t>추정: = 매출액 × OPM(부문 미분리)
[ratio]</t>
      </text>
    </comment>
    <comment ref="AK32" authorId="0" shapeId="0">
      <text>
        <t>추정: = 매출액 × OPM(부문 미분리)
[ratio]</t>
      </text>
    </comment>
    <comment ref="AL32" authorId="0" shapeId="0">
      <text>
        <t>추정: = 매출액 × OPM(부문 미분리)
[ratio]</t>
      </text>
    </comment>
    <comment ref="AM32" authorId="0" shapeId="0">
      <text>
        <t>추정: = 매출액 × OPM(부문 미분리)
[ratio]</t>
      </text>
    </comment>
    <comment ref="AN32" authorId="0" shapeId="0">
      <text>
        <t>추정: = 매출액 × OPM(부문 미분리)
[ratio]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22"/>
  <sheetViews>
    <sheetView workbookViewId="0">
      <selection activeCell="A1" sqref="A1"/>
    </sheetView>
  </sheetViews>
  <sheetFormatPr baseColWidth="8" defaultRowHeight="15"/>
  <cols>
    <col width="160" customWidth="1" min="1" max="1"/>
  </cols>
  <sheetData>
    <row r="1">
      <c r="A1" s="1" t="inlineStr">
        <is>
          <t>하이록코리아(013030) 실적 모델 — ARGUS 한국조선</t>
        </is>
      </c>
    </row>
    <row r="2">
      <c r="A2" t="inlineStr">
        <is>
          <t>기준 분기 2026Q2 · 마지막 실적 2026Q2 · 생성 2026-10-02</t>
        </is>
      </c>
    </row>
    <row r="3">
      <c r="A3" t="inlineStr"/>
    </row>
    <row r="4">
      <c r="A4" s="1" t="inlineStr">
        <is>
          <t>시트</t>
        </is>
      </c>
    </row>
    <row r="5">
      <c r="A5" t="inlineStr">
        <is>
          <t>변수      가정 시계열. 환율 8행(ECB via frankfurter — L2 fx.json), 추정 드라이버(노란 셀 = 모델값에서 역산한 가정, 바꾸면 재계산), 밸류에이션 스칼라</t>
        </is>
      </c>
    </row>
    <row r="6">
      <c r="A6" t="inlineStr">
        <is>
          <t>BS연결/BS별도  FnGuide 계정명 × 기간 값 덤프(백만원). 행1 분기라벨, 행4 YYYY.MM / YYYY.12A. 이름정의 BS연결H·BS연결(계정명 C열부터)</t>
        </is>
      </c>
    </row>
    <row r="7">
      <c r="A7" t="inlineStr">
        <is>
          <t>subQ      분기 서브모델(억원 = 백만원/100). 확정 행: =IFERROR(VLOOKUP($D행,BS연결,MATCH(E$1,BS연결H,0),0)/100,"")  추정 행: 변수 시트 가정 셀 참조 수식</t>
        </is>
      </c>
    </row>
    <row r="8">
      <c r="A8" t="inlineStr">
        <is>
          <t>SLS       선표 매출인식(백만$)·헤지 적용 원화·코호트(조선사만, sls json 있을 때)</t>
        </is>
      </c>
    </row>
    <row r="9">
      <c r="A9" t="inlineStr">
        <is>
          <t>분기/연간예상  subQ 를 이름(A열 key)으로 VLOOKUP 한 보고서 표(억원)</t>
        </is>
      </c>
    </row>
    <row r="10">
      <c r="A10" t="inlineStr">
        <is>
          <t>TP        PER 밴드 × 12M fwd EPS, PBR = ROE/COE × BPS — 모델 산출값 구간, 목표주가·추천 아님</t>
        </is>
      </c>
    </row>
    <row r="11">
      <c r="A11" t="inlineStr">
        <is>
          <t>외화      환율 QoQ, 외화 순노출 × Δ기말환율 → 환관련손익 추정</t>
        </is>
      </c>
    </row>
    <row r="12">
      <c r="A12" t="inlineStr"/>
    </row>
    <row r="13">
      <c r="A13" s="1" t="inlineStr">
        <is>
          <t>규약</t>
        </is>
      </c>
    </row>
    <row r="14">
      <c r="A14" t="inlineStr">
        <is>
          <t>· 데이터는 E열부터, 4분기 뒤 연간 1열(라벨은 숫자 연도). 실적/추정 경계 = 굵은 세로선, 추정 열 = 연노랑, 연간 열 = 회색</t>
        </is>
      </c>
    </row>
    <row r="15">
      <c r="A15" t="inlineStr">
        <is>
          <t>· 숫자 서식 #,##0(억원) · EPS/BPS 원 · 주식수 백만주 · 환율 원</t>
        </is>
      </c>
    </row>
    <row r="16">
      <c r="A16" t="inlineStr">
        <is>
          <t>· 추정 셀 메모 = 모델 json 의 basis. 변수 시트 노란 셀 메모 = 역산 방법. 출처 없는 숫자는 없다 — 가정이면 가정이라고 적었다</t>
        </is>
      </c>
    </row>
    <row r="17">
      <c r="A17" t="inlineStr">
        <is>
          <t>· BS 시트에 값이 없는 기간의 VLOOKUP 은 0 으로 보일 수 있다(엑셀 VLOOKUP 빈 셀 규칙). fin(L1) 수집 후 재생성</t>
        </is>
      </c>
    </row>
    <row r="18">
      <c r="A18" t="inlineStr"/>
    </row>
    <row r="19">
      <c r="A19" t="inlineStr">
        <is>
          <t>출처: DART 정기보고서(연결/별도 재무제표), FnGuide 계정명 규약, ECB 환율(api.frankfurter.app), aikstockdata.com(금융위 확정종가 T+1, 출처표기·비영리)</t>
        </is>
      </c>
    </row>
    <row r="20">
      <c r="A20" t="inlineStr">
        <is>
          <t>재현: cd argus/kship/tools &amp;&amp; ~/Library/phalanx_venv/bin/python kship_model_xlsx.py --model assets/models/013030.json --verify   (모델 json 부터: kship_model.py --build --all --xlsx · xlsx 58사 일괄: kship_model_xlsx.py --all --verify)</t>
        </is>
      </c>
    </row>
    <row r="21">
      <c r="A21" t="inlineStr">
        <is>
          <t>한계: 모델 quality.warnings — 매출 드라이버 폴백(고객 조선사 연결 없음(suppliers.json)): 전년동기 × (1+g) 추세 / 감가상각비가 face·CF 에 없음(주석 미파싱) → EBITDA·EV/EBITDA 미산출</t>
        </is>
      </c>
    </row>
    <row r="22">
      <c r="A22" t="inlineStr">
        <is>
          <t>백테스트: {"freeze": "2025Q2", "horizon": 4, "revenue_wape_pct": 7.8, "op_wape_pct": 0.8, "n": 4, "note": "단일 회사 4분기 — 통계 아님", "driver_at_freeze": "trend_seasonal", "selection_oos_at_freeze": null, "frozen_inputs": "fin(연결/별도)·고객 조선사 모델·지주 자회사 모델은 2025Q2 까지의 분기만; 선표는 체결일 ≤ 2025Q2 말일 계약(원장 최신 금액·코호트 등급, 환산 없음); 잔고는 yards_cache 2025Q2; 시세·환율 forward·prices·forecast_panel 신규수주 미사용. 고객 가중치(suppliers.json 언급 비중)와 합병 체인링크는 현재 지식; 고객 연동 채택은 동결 모델 안에서도 자기 la−4분기 OOS 규칙(selection_oos_at_freeze)", "detail": [{"q": "2025Q3", "rev_pred": 473.52, "rev_act": 538.45, "op_pred": 142.99, "op_act": 141.98}, {"q": "2025Q4", "rev_pred": 516.21, "rev_act": 573.52, "op_pred": 155.87, "op_act": 155.81}, {"q": "2026Q1", "rev_pred": 512.74, "rev_act": 541.46, "op_pred": 154.83, "op_act": 156.86}, {"q": "2026Q2", "rev_pred": 568.14, "rev_act": 592.51, "op_pred": 171.56, "op_act": 169.91}]}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O54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</cols>
  <sheetData>
    <row r="1">
      <c r="C1" s="2" t="inlineStr">
        <is>
          <t>이름: 변수H</t>
        </is>
      </c>
      <c r="E1" s="3" t="inlineStr">
        <is>
          <t>4Q21</t>
        </is>
      </c>
      <c r="F1" s="3" t="n">
        <v>2021</v>
      </c>
      <c r="G1" s="3" t="inlineStr">
        <is>
          <t>1Q22</t>
        </is>
      </c>
      <c r="H1" s="3" t="inlineStr">
        <is>
          <t>2Q22</t>
        </is>
      </c>
      <c r="I1" s="3" t="inlineStr">
        <is>
          <t>3Q22</t>
        </is>
      </c>
      <c r="J1" s="3" t="inlineStr">
        <is>
          <t>4Q22</t>
        </is>
      </c>
      <c r="K1" s="3" t="n">
        <v>2022</v>
      </c>
      <c r="L1" s="3" t="inlineStr">
        <is>
          <t>1Q23</t>
        </is>
      </c>
      <c r="M1" s="3" t="inlineStr">
        <is>
          <t>2Q23</t>
        </is>
      </c>
      <c r="N1" s="3" t="inlineStr">
        <is>
          <t>3Q23</t>
        </is>
      </c>
      <c r="O1" s="3" t="inlineStr">
        <is>
          <t>4Q23</t>
        </is>
      </c>
      <c r="P1" s="3" t="n">
        <v>2023</v>
      </c>
      <c r="Q1" s="3" t="inlineStr">
        <is>
          <t>1Q24</t>
        </is>
      </c>
      <c r="R1" s="3" t="inlineStr">
        <is>
          <t>2Q24</t>
        </is>
      </c>
      <c r="S1" s="3" t="inlineStr">
        <is>
          <t>3Q24</t>
        </is>
      </c>
      <c r="T1" s="3" t="inlineStr">
        <is>
          <t>4Q24</t>
        </is>
      </c>
      <c r="U1" s="3" t="n">
        <v>2024</v>
      </c>
      <c r="V1" s="3" t="inlineStr">
        <is>
          <t>1Q25</t>
        </is>
      </c>
      <c r="W1" s="3" t="inlineStr">
        <is>
          <t>2Q25</t>
        </is>
      </c>
      <c r="X1" s="3" t="inlineStr">
        <is>
          <t>3Q25</t>
        </is>
      </c>
      <c r="Y1" s="3" t="inlineStr">
        <is>
          <t>4Q25</t>
        </is>
      </c>
      <c r="Z1" s="3" t="n">
        <v>2025</v>
      </c>
      <c r="AA1" s="3" t="inlineStr">
        <is>
          <t>1Q26</t>
        </is>
      </c>
      <c r="AB1" s="4" t="inlineStr">
        <is>
          <t>2Q26</t>
        </is>
      </c>
      <c r="AC1" s="3" t="inlineStr">
        <is>
          <t>3Q26</t>
        </is>
      </c>
      <c r="AD1" s="3" t="inlineStr">
        <is>
          <t>4Q26</t>
        </is>
      </c>
      <c r="AE1" s="3" t="n">
        <v>2026</v>
      </c>
      <c r="AF1" s="3" t="inlineStr">
        <is>
          <t>1Q27</t>
        </is>
      </c>
      <c r="AG1" s="3" t="inlineStr">
        <is>
          <t>2Q27</t>
        </is>
      </c>
      <c r="AH1" s="3" t="inlineStr">
        <is>
          <t>3Q27</t>
        </is>
      </c>
      <c r="AI1" s="3" t="inlineStr">
        <is>
          <t>4Q27</t>
        </is>
      </c>
      <c r="AJ1" s="3" t="n">
        <v>2027</v>
      </c>
      <c r="AK1" s="3" t="inlineStr">
        <is>
          <t>1Q28</t>
        </is>
      </c>
      <c r="AL1" s="3" t="inlineStr">
        <is>
          <t>2Q28</t>
        </is>
      </c>
      <c r="AM1" s="3" t="inlineStr">
        <is>
          <t>3Q28</t>
        </is>
      </c>
      <c r="AN1" s="3" t="inlineStr">
        <is>
          <t>4Q28</t>
        </is>
      </c>
      <c r="AO1" s="3" t="n">
        <v>2028</v>
      </c>
    </row>
    <row r="2">
      <c r="A2" s="2" t="inlineStr">
        <is>
          <t>가정 시계열 — 노란 셀은 추정 가정(모델값에서 역산). 바꾸면 subQ·분기·연간예상·TP 가 재계산됩니다.</t>
        </is>
      </c>
      <c r="AB2" s="5" t="n"/>
    </row>
    <row r="3"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6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</row>
    <row r="4">
      <c r="E4" s="7" t="inlineStr">
        <is>
          <t>2021.12</t>
        </is>
      </c>
      <c r="F4" s="7" t="inlineStr">
        <is>
          <t>2021.12A</t>
        </is>
      </c>
      <c r="G4" s="7" t="inlineStr">
        <is>
          <t>2022.03</t>
        </is>
      </c>
      <c r="H4" s="7" t="inlineStr">
        <is>
          <t>2022.06</t>
        </is>
      </c>
      <c r="I4" s="7" t="inlineStr">
        <is>
          <t>2022.09</t>
        </is>
      </c>
      <c r="J4" s="7" t="inlineStr">
        <is>
          <t>2022.12</t>
        </is>
      </c>
      <c r="K4" s="7" t="inlineStr">
        <is>
          <t>2022.12A</t>
        </is>
      </c>
      <c r="L4" s="7" t="inlineStr">
        <is>
          <t>2023.03</t>
        </is>
      </c>
      <c r="M4" s="7" t="inlineStr">
        <is>
          <t>2023.06</t>
        </is>
      </c>
      <c r="N4" s="7" t="inlineStr">
        <is>
          <t>2023.09</t>
        </is>
      </c>
      <c r="O4" s="7" t="inlineStr">
        <is>
          <t>2023.12</t>
        </is>
      </c>
      <c r="P4" s="7" t="inlineStr">
        <is>
          <t>2023.12A</t>
        </is>
      </c>
      <c r="Q4" s="7" t="inlineStr">
        <is>
          <t>2024.03</t>
        </is>
      </c>
      <c r="R4" s="7" t="inlineStr">
        <is>
          <t>2024.06</t>
        </is>
      </c>
      <c r="S4" s="7" t="inlineStr">
        <is>
          <t>2024.09</t>
        </is>
      </c>
      <c r="T4" s="7" t="inlineStr">
        <is>
          <t>2024.12</t>
        </is>
      </c>
      <c r="U4" s="7" t="inlineStr">
        <is>
          <t>2024.12A</t>
        </is>
      </c>
      <c r="V4" s="7" t="inlineStr">
        <is>
          <t>2025.03</t>
        </is>
      </c>
      <c r="W4" s="7" t="inlineStr">
        <is>
          <t>2025.06</t>
        </is>
      </c>
      <c r="X4" s="7" t="inlineStr">
        <is>
          <t>2025.09</t>
        </is>
      </c>
      <c r="Y4" s="7" t="inlineStr">
        <is>
          <t>2025.12</t>
        </is>
      </c>
      <c r="Z4" s="7" t="inlineStr">
        <is>
          <t>2025.12A</t>
        </is>
      </c>
      <c r="AA4" s="7" t="inlineStr">
        <is>
          <t>2026.03</t>
        </is>
      </c>
      <c r="AB4" s="8" t="inlineStr">
        <is>
          <t>2026.06</t>
        </is>
      </c>
      <c r="AC4" s="7" t="inlineStr">
        <is>
          <t>2026.09</t>
        </is>
      </c>
      <c r="AD4" s="7" t="inlineStr">
        <is>
          <t>2026.12</t>
        </is>
      </c>
      <c r="AE4" s="7" t="inlineStr">
        <is>
          <t>2026.12A</t>
        </is>
      </c>
      <c r="AF4" s="7" t="inlineStr">
        <is>
          <t>2027.03</t>
        </is>
      </c>
      <c r="AG4" s="7" t="inlineStr">
        <is>
          <t>2027.06</t>
        </is>
      </c>
      <c r="AH4" s="7" t="inlineStr">
        <is>
          <t>2027.09</t>
        </is>
      </c>
      <c r="AI4" s="7" t="inlineStr">
        <is>
          <t>2027.12</t>
        </is>
      </c>
      <c r="AJ4" s="7" t="inlineStr">
        <is>
          <t>2027.12A</t>
        </is>
      </c>
      <c r="AK4" s="7" t="inlineStr">
        <is>
          <t>2028.03</t>
        </is>
      </c>
      <c r="AL4" s="7" t="inlineStr">
        <is>
          <t>2028.06</t>
        </is>
      </c>
      <c r="AM4" s="7" t="inlineStr">
        <is>
          <t>2028.09</t>
        </is>
      </c>
      <c r="AN4" s="7" t="inlineStr">
        <is>
          <t>2028.12</t>
        </is>
      </c>
      <c r="AO4" s="7" t="inlineStr">
        <is>
          <t>2028.12A</t>
        </is>
      </c>
    </row>
    <row r="5">
      <c r="B5" s="1" t="inlineStr">
        <is>
          <t>1. FX</t>
        </is>
      </c>
      <c r="C5" s="2" t="inlineStr">
        <is>
          <t>이름: 환율</t>
        </is>
      </c>
      <c r="F5" s="9" t="n"/>
      <c r="K5" s="9" t="n"/>
      <c r="P5" s="9" t="n"/>
      <c r="U5" s="9" t="n"/>
      <c r="Z5" s="9" t="n"/>
      <c r="AB5" s="5" t="n"/>
      <c r="AC5" s="10" t="n"/>
      <c r="AD5" s="10" t="n"/>
      <c r="AE5" s="11" t="n"/>
      <c r="AF5" s="10" t="n"/>
      <c r="AG5" s="10" t="n"/>
      <c r="AH5" s="10" t="n"/>
      <c r="AI5" s="10" t="n"/>
      <c r="AJ5" s="11" t="n"/>
      <c r="AK5" s="10" t="n"/>
      <c r="AL5" s="10" t="n"/>
      <c r="AM5" s="10" t="n"/>
      <c r="AN5" s="10" t="n"/>
      <c r="AO5" s="11" t="n"/>
    </row>
    <row r="6">
      <c r="A6" s="12" t="inlineStr">
        <is>
          <t>USDKRW_avg</t>
        </is>
      </c>
      <c r="C6" t="inlineStr">
        <is>
          <t xml:space="preserve"> 원/달러(평균)</t>
        </is>
      </c>
      <c r="E6" s="13" t="n">
        <v>1183.5</v>
      </c>
      <c r="F6" s="14" t="n">
        <v>1145.51</v>
      </c>
      <c r="G6" s="13" t="n">
        <v>1205.78</v>
      </c>
      <c r="H6" s="13" t="n">
        <v>1262.09</v>
      </c>
      <c r="I6" s="13" t="n">
        <v>1341.93</v>
      </c>
      <c r="J6" s="13" t="n">
        <v>1360.12</v>
      </c>
      <c r="K6" s="14" t="n">
        <v>1292.98</v>
      </c>
      <c r="L6" s="13" t="n">
        <v>1276.95</v>
      </c>
      <c r="M6" s="13" t="n">
        <v>1315.69</v>
      </c>
      <c r="N6" s="13" t="n">
        <v>1313.62</v>
      </c>
      <c r="O6" s="13" t="n">
        <v>1322.01</v>
      </c>
      <c r="P6" s="14" t="n">
        <v>1306.85</v>
      </c>
      <c r="Q6" s="13" t="n">
        <v>1330.14</v>
      </c>
      <c r="R6" s="13" t="n">
        <v>1371.28</v>
      </c>
      <c r="S6" s="13" t="n">
        <v>1356.22</v>
      </c>
      <c r="T6" s="13" t="n">
        <v>1396.3</v>
      </c>
      <c r="U6" s="14" t="n">
        <v>1363.53</v>
      </c>
      <c r="V6" s="13" t="n">
        <v>1452.28</v>
      </c>
      <c r="W6" s="13" t="n">
        <v>1398.52</v>
      </c>
      <c r="X6" s="13" t="n">
        <v>1386.95</v>
      </c>
      <c r="Y6" s="13" t="n">
        <v>1449.19</v>
      </c>
      <c r="Z6" s="14" t="n">
        <v>1421.52</v>
      </c>
      <c r="AA6" s="13" t="n">
        <v>1466.12</v>
      </c>
      <c r="AB6" s="15" t="n">
        <v>1501.75</v>
      </c>
      <c r="AC6" s="16" t="n">
        <v>1419.72</v>
      </c>
      <c r="AD6" s="16" t="n">
        <v>1353.36</v>
      </c>
      <c r="AE6" s="17" t="n">
        <v>1461.87</v>
      </c>
      <c r="AF6" s="16" t="n">
        <v>1353.36</v>
      </c>
      <c r="AG6" s="16" t="n">
        <v>1353.36</v>
      </c>
      <c r="AH6" s="16" t="n">
        <v>1353.36</v>
      </c>
      <c r="AI6" s="16" t="n">
        <v>1353.36</v>
      </c>
      <c r="AJ6" s="11" t="n"/>
      <c r="AK6" s="16" t="n">
        <v>1353.36</v>
      </c>
      <c r="AL6" s="16" t="n">
        <v>1353.36</v>
      </c>
      <c r="AM6" s="16" t="n">
        <v>1353.36</v>
      </c>
      <c r="AN6" s="16" t="n">
        <v>1353.36</v>
      </c>
      <c r="AO6" s="11" t="n"/>
    </row>
    <row r="7">
      <c r="A7" s="12" t="inlineStr">
        <is>
          <t>USDKRW_end</t>
        </is>
      </c>
      <c r="C7" t="inlineStr">
        <is>
          <t xml:space="preserve"> 원/달러(기말)</t>
        </is>
      </c>
      <c r="E7" s="13" t="n">
        <v>1188.75</v>
      </c>
      <c r="F7" s="14" t="n">
        <v>1188.75</v>
      </c>
      <c r="G7" s="13" t="n">
        <v>1213.74</v>
      </c>
      <c r="H7" s="13" t="n">
        <v>1301.24</v>
      </c>
      <c r="I7" s="13" t="n">
        <v>1436.9</v>
      </c>
      <c r="J7" s="13" t="n">
        <v>1260.16</v>
      </c>
      <c r="K7" s="14" t="n">
        <v>1260.16</v>
      </c>
      <c r="L7" s="13" t="n">
        <v>1305.99</v>
      </c>
      <c r="M7" s="13" t="n">
        <v>1321.44</v>
      </c>
      <c r="N7" s="13" t="n">
        <v>1345.35</v>
      </c>
      <c r="O7" s="13" t="n">
        <v>1297.43</v>
      </c>
      <c r="P7" s="14" t="n">
        <v>1297.43</v>
      </c>
      <c r="Q7" s="13" t="n">
        <v>1349.25</v>
      </c>
      <c r="R7" s="13" t="n">
        <v>1377.73</v>
      </c>
      <c r="S7" s="13" t="n">
        <v>1312.17</v>
      </c>
      <c r="T7" s="13" t="n">
        <v>1474.78</v>
      </c>
      <c r="U7" s="14" t="n">
        <v>1474.78</v>
      </c>
      <c r="V7" s="13" t="n">
        <v>1474.54</v>
      </c>
      <c r="W7" s="13" t="n">
        <v>1355.13</v>
      </c>
      <c r="X7" s="13" t="n">
        <v>1403.67</v>
      </c>
      <c r="Y7" s="13" t="n">
        <v>1444.2</v>
      </c>
      <c r="Z7" s="14" t="n">
        <v>1444.2</v>
      </c>
      <c r="AA7" s="13" t="n">
        <v>1524.8</v>
      </c>
      <c r="AB7" s="15" t="n">
        <v>1550.89</v>
      </c>
      <c r="AC7" s="16" t="n">
        <v>1353.36</v>
      </c>
      <c r="AD7" s="16" t="n">
        <v>1353.36</v>
      </c>
      <c r="AE7" s="17" t="n">
        <v>1353.36</v>
      </c>
      <c r="AF7" s="16" t="n">
        <v>1353.36</v>
      </c>
      <c r="AG7" s="16" t="n">
        <v>1353.36</v>
      </c>
      <c r="AH7" s="16" t="n">
        <v>1353.36</v>
      </c>
      <c r="AI7" s="16" t="n">
        <v>1353.36</v>
      </c>
      <c r="AJ7" s="11" t="n"/>
      <c r="AK7" s="16" t="n">
        <v>1353.36</v>
      </c>
      <c r="AL7" s="16" t="n">
        <v>1353.36</v>
      </c>
      <c r="AM7" s="16" t="n">
        <v>1353.36</v>
      </c>
      <c r="AN7" s="16" t="n">
        <v>1353.36</v>
      </c>
      <c r="AO7" s="11" t="n"/>
    </row>
    <row r="8">
      <c r="A8" s="12" t="inlineStr">
        <is>
          <t>JPY100KRW_avg</t>
        </is>
      </c>
      <c r="C8" t="inlineStr">
        <is>
          <t xml:space="preserve"> 원/100Y(평균)</t>
        </is>
      </c>
      <c r="E8" s="13" t="n">
        <v>1041.02</v>
      </c>
      <c r="F8" s="14" t="n">
        <v>1042.74</v>
      </c>
      <c r="G8" s="13" t="n">
        <v>1036.79</v>
      </c>
      <c r="H8" s="13" t="n">
        <v>972.23</v>
      </c>
      <c r="I8" s="13" t="n">
        <v>970.61</v>
      </c>
      <c r="J8" s="13" t="n">
        <v>961.03</v>
      </c>
      <c r="K8" s="14" t="n">
        <v>985.1</v>
      </c>
      <c r="L8" s="13" t="n">
        <v>964.89</v>
      </c>
      <c r="M8" s="13" t="n">
        <v>957.36</v>
      </c>
      <c r="N8" s="13" t="n">
        <v>909</v>
      </c>
      <c r="O8" s="13" t="n">
        <v>893.22</v>
      </c>
      <c r="P8" s="14" t="n">
        <v>931.11</v>
      </c>
      <c r="Q8" s="13" t="n">
        <v>896.29</v>
      </c>
      <c r="R8" s="13" t="n">
        <v>880.14</v>
      </c>
      <c r="S8" s="13" t="n">
        <v>909.35</v>
      </c>
      <c r="T8" s="13" t="n">
        <v>917.25</v>
      </c>
      <c r="U8" s="14" t="n">
        <v>900.92</v>
      </c>
      <c r="V8" s="13" t="n">
        <v>952.59</v>
      </c>
      <c r="W8" s="13" t="n">
        <v>967.92</v>
      </c>
      <c r="X8" s="13" t="n">
        <v>940.3200000000001</v>
      </c>
      <c r="Y8" s="13" t="n">
        <v>940.77</v>
      </c>
      <c r="Z8" s="14" t="n">
        <v>950.17</v>
      </c>
      <c r="AA8" s="13" t="n">
        <v>934.39</v>
      </c>
      <c r="AB8" s="15" t="n">
        <v>942.16</v>
      </c>
      <c r="AC8" s="16" t="n">
        <v>890.83</v>
      </c>
      <c r="AD8" s="16" t="n">
        <v>861.35</v>
      </c>
      <c r="AE8" s="17" t="n">
        <v>922.02</v>
      </c>
      <c r="AF8" s="16" t="n">
        <v>861.35</v>
      </c>
      <c r="AG8" s="16" t="n">
        <v>861.35</v>
      </c>
      <c r="AH8" s="16" t="n">
        <v>861.35</v>
      </c>
      <c r="AI8" s="16" t="n">
        <v>861.35</v>
      </c>
      <c r="AJ8" s="11" t="n"/>
      <c r="AK8" s="16" t="n">
        <v>861.35</v>
      </c>
      <c r="AL8" s="16" t="n">
        <v>861.35</v>
      </c>
      <c r="AM8" s="16" t="n">
        <v>861.35</v>
      </c>
      <c r="AN8" s="16" t="n">
        <v>861.35</v>
      </c>
      <c r="AO8" s="11" t="n"/>
    </row>
    <row r="9">
      <c r="A9" s="12" t="inlineStr">
        <is>
          <t>JPY100KRW_end</t>
        </is>
      </c>
      <c r="C9" t="inlineStr">
        <is>
          <t xml:space="preserve"> 원/100Y(기말)</t>
        </is>
      </c>
      <c r="E9" s="13" t="n">
        <v>1032.62</v>
      </c>
      <c r="F9" s="14" t="n">
        <v>1032.62</v>
      </c>
      <c r="G9" s="13" t="n">
        <v>996.83</v>
      </c>
      <c r="H9" s="13" t="n">
        <v>954.9</v>
      </c>
      <c r="I9" s="13" t="n">
        <v>993.29</v>
      </c>
      <c r="J9" s="13" t="n">
        <v>955.54</v>
      </c>
      <c r="K9" s="14" t="n">
        <v>955.54</v>
      </c>
      <c r="L9" s="13" t="n">
        <v>980.62</v>
      </c>
      <c r="M9" s="13" t="n">
        <v>913.67</v>
      </c>
      <c r="N9" s="13" t="n">
        <v>901.47</v>
      </c>
      <c r="O9" s="13" t="n">
        <v>917.04</v>
      </c>
      <c r="P9" s="14" t="n">
        <v>917.04</v>
      </c>
      <c r="Q9" s="13" t="n">
        <v>892.42</v>
      </c>
      <c r="R9" s="13" t="n">
        <v>857.76</v>
      </c>
      <c r="S9" s="13" t="n">
        <v>919.21</v>
      </c>
      <c r="T9" s="13" t="n">
        <v>939.65</v>
      </c>
      <c r="U9" s="14" t="n">
        <v>939.65</v>
      </c>
      <c r="V9" s="13" t="n">
        <v>986.84</v>
      </c>
      <c r="W9" s="13" t="n">
        <v>938.85</v>
      </c>
      <c r="X9" s="13" t="n">
        <v>948.49</v>
      </c>
      <c r="Y9" s="13" t="n">
        <v>921.8099999999999</v>
      </c>
      <c r="Z9" s="14" t="n">
        <v>921.8099999999999</v>
      </c>
      <c r="AA9" s="13" t="n">
        <v>955.99</v>
      </c>
      <c r="AB9" s="15" t="n">
        <v>954.75</v>
      </c>
      <c r="AC9" s="16" t="n">
        <v>861.35</v>
      </c>
      <c r="AD9" s="16" t="n">
        <v>861.35</v>
      </c>
      <c r="AE9" s="17" t="n">
        <v>861.35</v>
      </c>
      <c r="AF9" s="16" t="n">
        <v>861.35</v>
      </c>
      <c r="AG9" s="16" t="n">
        <v>861.35</v>
      </c>
      <c r="AH9" s="16" t="n">
        <v>861.35</v>
      </c>
      <c r="AI9" s="16" t="n">
        <v>861.35</v>
      </c>
      <c r="AJ9" s="11" t="n"/>
      <c r="AK9" s="16" t="n">
        <v>861.35</v>
      </c>
      <c r="AL9" s="16" t="n">
        <v>861.35</v>
      </c>
      <c r="AM9" s="16" t="n">
        <v>861.35</v>
      </c>
      <c r="AN9" s="16" t="n">
        <v>861.35</v>
      </c>
      <c r="AO9" s="11" t="n"/>
    </row>
    <row r="10">
      <c r="A10" s="12" t="inlineStr">
        <is>
          <t>EURKRW_avg</t>
        </is>
      </c>
      <c r="C10" t="inlineStr">
        <is>
          <t xml:space="preserve"> W/Euro(평균)</t>
        </is>
      </c>
      <c r="E10" s="13" t="n">
        <v>1353.32</v>
      </c>
      <c r="F10" s="14" t="n">
        <v>1354.06</v>
      </c>
      <c r="G10" s="13" t="n">
        <v>1352.29</v>
      </c>
      <c r="H10" s="13" t="n">
        <v>1343.31</v>
      </c>
      <c r="I10" s="13" t="n">
        <v>1350.63</v>
      </c>
      <c r="J10" s="13" t="n">
        <v>1386.07</v>
      </c>
      <c r="K10" s="14" t="n">
        <v>1358.07</v>
      </c>
      <c r="L10" s="13" t="n">
        <v>1369.93</v>
      </c>
      <c r="M10" s="13" t="n">
        <v>1432.41</v>
      </c>
      <c r="N10" s="13" t="n">
        <v>1429.41</v>
      </c>
      <c r="O10" s="13" t="n">
        <v>1420.91</v>
      </c>
      <c r="P10" s="14" t="n">
        <v>1412.88</v>
      </c>
      <c r="Q10" s="13" t="n">
        <v>1444.21</v>
      </c>
      <c r="R10" s="13" t="n">
        <v>1476.42</v>
      </c>
      <c r="S10" s="13" t="n">
        <v>1489.3</v>
      </c>
      <c r="T10" s="13" t="n">
        <v>1490.78</v>
      </c>
      <c r="U10" s="14" t="n">
        <v>1475.4</v>
      </c>
      <c r="V10" s="13" t="n">
        <v>1528.33</v>
      </c>
      <c r="W10" s="13" t="n">
        <v>1585.13</v>
      </c>
      <c r="X10" s="13" t="n">
        <v>1620.04</v>
      </c>
      <c r="Y10" s="13" t="n">
        <v>1686.02</v>
      </c>
      <c r="Z10" s="14" t="n">
        <v>1605.45</v>
      </c>
      <c r="AA10" s="13" t="n">
        <v>1715.47</v>
      </c>
      <c r="AB10" s="15" t="n">
        <v>1746.09</v>
      </c>
      <c r="AC10" s="16" t="n">
        <v>1633.4</v>
      </c>
      <c r="AD10" s="16" t="n">
        <v>1536.74</v>
      </c>
      <c r="AE10" s="17" t="n">
        <v>1697.39</v>
      </c>
      <c r="AF10" s="16" t="n">
        <v>1536.74</v>
      </c>
      <c r="AG10" s="16" t="n">
        <v>1536.74</v>
      </c>
      <c r="AH10" s="16" t="n">
        <v>1536.74</v>
      </c>
      <c r="AI10" s="16" t="n">
        <v>1536.74</v>
      </c>
      <c r="AJ10" s="11" t="n"/>
      <c r="AK10" s="16" t="n">
        <v>1536.74</v>
      </c>
      <c r="AL10" s="16" t="n">
        <v>1536.74</v>
      </c>
      <c r="AM10" s="16" t="n">
        <v>1536.74</v>
      </c>
      <c r="AN10" s="16" t="n">
        <v>1536.74</v>
      </c>
      <c r="AO10" s="11" t="n"/>
    </row>
    <row r="11">
      <c r="A11" s="12" t="inlineStr">
        <is>
          <t>EURKRW_end</t>
        </is>
      </c>
      <c r="C11" t="inlineStr">
        <is>
          <t xml:space="preserve"> W/Euro(기말)</t>
        </is>
      </c>
      <c r="E11" s="13" t="n">
        <v>1346.38</v>
      </c>
      <c r="F11" s="14" t="n">
        <v>1346.38</v>
      </c>
      <c r="G11" s="13" t="n">
        <v>1347.37</v>
      </c>
      <c r="H11" s="13" t="n">
        <v>1351.6</v>
      </c>
      <c r="I11" s="13" t="n">
        <v>1400.62</v>
      </c>
      <c r="J11" s="13" t="n">
        <v>1344.08</v>
      </c>
      <c r="K11" s="14" t="n">
        <v>1344.08</v>
      </c>
      <c r="L11" s="13" t="n">
        <v>1420.26</v>
      </c>
      <c r="M11" s="13" t="n">
        <v>1435.88</v>
      </c>
      <c r="N11" s="13" t="n">
        <v>1425.26</v>
      </c>
      <c r="O11" s="13" t="n">
        <v>1433.66</v>
      </c>
      <c r="P11" s="14" t="n">
        <v>1433.66</v>
      </c>
      <c r="Q11" s="13" t="n">
        <v>1458.68</v>
      </c>
      <c r="R11" s="13" t="n">
        <v>1474.86</v>
      </c>
      <c r="S11" s="13" t="n">
        <v>1469.1</v>
      </c>
      <c r="T11" s="13" t="n">
        <v>1532.14</v>
      </c>
      <c r="U11" s="14" t="n">
        <v>1532.14</v>
      </c>
      <c r="V11" s="13" t="n">
        <v>1594.72</v>
      </c>
      <c r="W11" s="13" t="n">
        <v>1588.22</v>
      </c>
      <c r="X11" s="13" t="n">
        <v>1648.04</v>
      </c>
      <c r="Y11" s="13" t="n">
        <v>1696.94</v>
      </c>
      <c r="Z11" s="14" t="n">
        <v>1696.94</v>
      </c>
      <c r="AA11" s="13" t="n">
        <v>1753.21</v>
      </c>
      <c r="AB11" s="15" t="n">
        <v>1767.09</v>
      </c>
      <c r="AC11" s="16" t="n">
        <v>1536.74</v>
      </c>
      <c r="AD11" s="16" t="n">
        <v>1536.74</v>
      </c>
      <c r="AE11" s="17" t="n">
        <v>1536.74</v>
      </c>
      <c r="AF11" s="16" t="n">
        <v>1536.74</v>
      </c>
      <c r="AG11" s="16" t="n">
        <v>1536.74</v>
      </c>
      <c r="AH11" s="16" t="n">
        <v>1536.74</v>
      </c>
      <c r="AI11" s="16" t="n">
        <v>1536.74</v>
      </c>
      <c r="AJ11" s="11" t="n"/>
      <c r="AK11" s="16" t="n">
        <v>1536.74</v>
      </c>
      <c r="AL11" s="16" t="n">
        <v>1536.74</v>
      </c>
      <c r="AM11" s="16" t="n">
        <v>1536.74</v>
      </c>
      <c r="AN11" s="16" t="n">
        <v>1536.74</v>
      </c>
      <c r="AO11" s="11" t="n"/>
    </row>
    <row r="12">
      <c r="A12" s="12" t="inlineStr">
        <is>
          <t>CNYKRW_avg</t>
        </is>
      </c>
      <c r="C12" t="inlineStr">
        <is>
          <t xml:space="preserve"> 원/중국원(평균)</t>
        </is>
      </c>
      <c r="E12" s="13" t="n">
        <v>185.14</v>
      </c>
      <c r="F12" s="14" t="n">
        <v>177.65</v>
      </c>
      <c r="G12" s="13" t="n">
        <v>189.93</v>
      </c>
      <c r="H12" s="13" t="n">
        <v>190.76</v>
      </c>
      <c r="I12" s="13" t="n">
        <v>195.79</v>
      </c>
      <c r="J12" s="13" t="n">
        <v>191.09</v>
      </c>
      <c r="K12" s="14" t="n">
        <v>191.93</v>
      </c>
      <c r="L12" s="13" t="n">
        <v>186.59</v>
      </c>
      <c r="M12" s="13" t="n">
        <v>187.45</v>
      </c>
      <c r="N12" s="13" t="n">
        <v>181.28</v>
      </c>
      <c r="O12" s="13" t="n">
        <v>182.86</v>
      </c>
      <c r="P12" s="14" t="n">
        <v>184.52</v>
      </c>
      <c r="Q12" s="13" t="n">
        <v>185.04</v>
      </c>
      <c r="R12" s="13" t="n">
        <v>189.35</v>
      </c>
      <c r="S12" s="13" t="n">
        <v>189.24</v>
      </c>
      <c r="T12" s="13" t="n">
        <v>194.24</v>
      </c>
      <c r="U12" s="14" t="n">
        <v>189.49</v>
      </c>
      <c r="V12" s="13" t="n">
        <v>199.63</v>
      </c>
      <c r="W12" s="13" t="n">
        <v>193.41</v>
      </c>
      <c r="X12" s="13" t="n">
        <v>193.79</v>
      </c>
      <c r="Y12" s="13" t="n">
        <v>204.38</v>
      </c>
      <c r="Z12" s="14" t="n">
        <v>197.8</v>
      </c>
      <c r="AA12" s="13" t="n">
        <v>211.75</v>
      </c>
      <c r="AB12" s="15" t="n">
        <v>220.8</v>
      </c>
      <c r="AC12" s="16" t="n">
        <v>210.55</v>
      </c>
      <c r="AD12" s="16" t="n">
        <v>201.89</v>
      </c>
      <c r="AE12" s="17" t="n">
        <v>214.29</v>
      </c>
      <c r="AF12" s="16" t="n">
        <v>201.89</v>
      </c>
      <c r="AG12" s="16" t="n">
        <v>201.89</v>
      </c>
      <c r="AH12" s="16" t="n">
        <v>201.89</v>
      </c>
      <c r="AI12" s="16" t="n">
        <v>201.89</v>
      </c>
      <c r="AJ12" s="11" t="n"/>
      <c r="AK12" s="16" t="n">
        <v>201.89</v>
      </c>
      <c r="AL12" s="16" t="n">
        <v>201.89</v>
      </c>
      <c r="AM12" s="16" t="n">
        <v>201.89</v>
      </c>
      <c r="AN12" s="16" t="n">
        <v>201.89</v>
      </c>
      <c r="AO12" s="11" t="n"/>
    </row>
    <row r="13">
      <c r="A13" s="12" t="inlineStr">
        <is>
          <t>CNYKRW_end</t>
        </is>
      </c>
      <c r="C13" t="inlineStr">
        <is>
          <t xml:space="preserve"> 원/중국원(기말)</t>
        </is>
      </c>
      <c r="E13" s="13" t="n">
        <v>187.13</v>
      </c>
      <c r="F13" s="14" t="n">
        <v>187.13</v>
      </c>
      <c r="G13" s="13" t="n">
        <v>191.38</v>
      </c>
      <c r="H13" s="13" t="n">
        <v>194.13</v>
      </c>
      <c r="I13" s="13" t="n">
        <v>201.92</v>
      </c>
      <c r="J13" s="13" t="n">
        <v>182.67</v>
      </c>
      <c r="K13" s="14" t="n">
        <v>182.67</v>
      </c>
      <c r="L13" s="13" t="n">
        <v>189.97</v>
      </c>
      <c r="M13" s="13" t="n">
        <v>181.8</v>
      </c>
      <c r="N13" s="13" t="n">
        <v>184.26</v>
      </c>
      <c r="O13" s="13" t="n">
        <v>182.61</v>
      </c>
      <c r="P13" s="14" t="n">
        <v>182.61</v>
      </c>
      <c r="Q13" s="13" t="n">
        <v>186.66</v>
      </c>
      <c r="R13" s="13" t="n">
        <v>189.7</v>
      </c>
      <c r="S13" s="13" t="n">
        <v>187.12</v>
      </c>
      <c r="T13" s="13" t="n">
        <v>202.04</v>
      </c>
      <c r="U13" s="14" t="n">
        <v>202.04</v>
      </c>
      <c r="V13" s="13" t="n">
        <v>203.3</v>
      </c>
      <c r="W13" s="13" t="n">
        <v>189.14</v>
      </c>
      <c r="X13" s="13" t="n">
        <v>197.16</v>
      </c>
      <c r="Y13" s="13" t="n">
        <v>206.28</v>
      </c>
      <c r="Z13" s="14" t="n">
        <v>206.28</v>
      </c>
      <c r="AA13" s="13" t="n">
        <v>220.97</v>
      </c>
      <c r="AB13" s="15" t="n">
        <v>228.56</v>
      </c>
      <c r="AC13" s="16" t="n">
        <v>201.89</v>
      </c>
      <c r="AD13" s="16" t="n">
        <v>201.89</v>
      </c>
      <c r="AE13" s="17" t="n">
        <v>201.89</v>
      </c>
      <c r="AF13" s="16" t="n">
        <v>201.89</v>
      </c>
      <c r="AG13" s="16" t="n">
        <v>201.89</v>
      </c>
      <c r="AH13" s="16" t="n">
        <v>201.89</v>
      </c>
      <c r="AI13" s="16" t="n">
        <v>201.89</v>
      </c>
      <c r="AJ13" s="11" t="n"/>
      <c r="AK13" s="16" t="n">
        <v>201.89</v>
      </c>
      <c r="AL13" s="16" t="n">
        <v>201.89</v>
      </c>
      <c r="AM13" s="16" t="n">
        <v>201.89</v>
      </c>
      <c r="AN13" s="16" t="n">
        <v>201.89</v>
      </c>
      <c r="AO13" s="11" t="n"/>
    </row>
    <row r="14">
      <c r="B14" s="1" t="inlineStr">
        <is>
          <t>1b. 종가</t>
        </is>
      </c>
      <c r="F14" s="9" t="n"/>
      <c r="K14" s="9" t="n"/>
      <c r="P14" s="9" t="n"/>
      <c r="U14" s="9" t="n"/>
      <c r="Z14" s="9" t="n"/>
      <c r="AB14" s="5" t="n"/>
      <c r="AC14" s="10" t="n"/>
      <c r="AD14" s="10" t="n"/>
      <c r="AE14" s="11" t="n"/>
      <c r="AF14" s="10" t="n"/>
      <c r="AG14" s="10" t="n"/>
      <c r="AH14" s="10" t="n"/>
      <c r="AI14" s="10" t="n"/>
      <c r="AJ14" s="11" t="n"/>
      <c r="AK14" s="10" t="n"/>
      <c r="AL14" s="10" t="n"/>
      <c r="AM14" s="10" t="n"/>
      <c r="AN14" s="10" t="n"/>
      <c r="AO14" s="11" t="n"/>
    </row>
    <row r="15">
      <c r="A15" s="12" t="inlineStr">
        <is>
          <t>price_close_end</t>
        </is>
      </c>
      <c r="C15" t="inlineStr">
        <is>
          <t>종가(기말)</t>
        </is>
      </c>
      <c r="E15" s="18" t="n">
        <v>16750</v>
      </c>
      <c r="F15" s="9" t="n"/>
      <c r="G15" s="18" t="n">
        <v>17950</v>
      </c>
      <c r="H15" s="18" t="n">
        <v>18650</v>
      </c>
      <c r="I15" s="18" t="n">
        <v>21000</v>
      </c>
      <c r="J15" s="18" t="n">
        <v>20500</v>
      </c>
      <c r="K15" s="9" t="n"/>
      <c r="L15" s="18" t="n">
        <v>23050</v>
      </c>
      <c r="M15" s="18" t="n">
        <v>26350</v>
      </c>
      <c r="N15" s="18" t="n">
        <v>27250</v>
      </c>
      <c r="O15" s="18" t="n">
        <v>26650</v>
      </c>
      <c r="P15" s="9" t="n"/>
      <c r="Q15" s="18" t="n">
        <v>25950</v>
      </c>
      <c r="R15" s="18" t="n">
        <v>27900</v>
      </c>
      <c r="S15" s="18" t="n">
        <v>25100</v>
      </c>
      <c r="T15" s="18" t="n">
        <v>25150</v>
      </c>
      <c r="U15" s="9" t="n"/>
      <c r="V15" s="18" t="n">
        <v>26600</v>
      </c>
      <c r="W15" s="18" t="n">
        <v>30150</v>
      </c>
      <c r="X15" s="18" t="n">
        <v>34650</v>
      </c>
      <c r="Y15" s="18" t="n">
        <v>30750</v>
      </c>
      <c r="Z15" s="9" t="n"/>
      <c r="AA15" s="18" t="n">
        <v>35150</v>
      </c>
      <c r="AB15" s="19" t="n">
        <v>31650</v>
      </c>
      <c r="AC15" s="20" t="n">
        <v>36650</v>
      </c>
      <c r="AD15" s="10" t="n"/>
      <c r="AE15" s="11" t="n"/>
      <c r="AF15" s="10" t="n"/>
      <c r="AG15" s="10" t="n"/>
      <c r="AH15" s="10" t="n"/>
      <c r="AI15" s="10" t="n"/>
      <c r="AJ15" s="11" t="n"/>
      <c r="AK15" s="10" t="n"/>
      <c r="AL15" s="10" t="n"/>
      <c r="AM15" s="10" t="n"/>
      <c r="AN15" s="10" t="n"/>
      <c r="AO15" s="11" t="n"/>
    </row>
    <row r="16">
      <c r="A16" s="12" t="inlineStr">
        <is>
          <t>price_high</t>
        </is>
      </c>
      <c r="C16" t="inlineStr">
        <is>
          <t>종가(최고)</t>
        </is>
      </c>
      <c r="E16" s="18" t="n">
        <v>19600</v>
      </c>
      <c r="F16" s="9" t="n"/>
      <c r="G16" s="18" t="n">
        <v>18550</v>
      </c>
      <c r="H16" s="18" t="n">
        <v>19550</v>
      </c>
      <c r="I16" s="18" t="n">
        <v>26900</v>
      </c>
      <c r="J16" s="18" t="n">
        <v>23700</v>
      </c>
      <c r="K16" s="9" t="n"/>
      <c r="L16" s="18" t="n">
        <v>25450</v>
      </c>
      <c r="M16" s="18" t="n">
        <v>26650</v>
      </c>
      <c r="N16" s="18" t="n">
        <v>31600</v>
      </c>
      <c r="O16" s="18" t="n">
        <v>28550</v>
      </c>
      <c r="P16" s="9" t="n"/>
      <c r="Q16" s="18" t="n">
        <v>28100</v>
      </c>
      <c r="R16" s="18" t="n">
        <v>30250</v>
      </c>
      <c r="S16" s="18" t="n">
        <v>29350</v>
      </c>
      <c r="T16" s="18" t="n">
        <v>27550</v>
      </c>
      <c r="U16" s="9" t="n"/>
      <c r="V16" s="18" t="n">
        <v>32450</v>
      </c>
      <c r="W16" s="18" t="n">
        <v>32200</v>
      </c>
      <c r="X16" s="18" t="n">
        <v>41500</v>
      </c>
      <c r="Y16" s="18" t="n">
        <v>39600</v>
      </c>
      <c r="Z16" s="9" t="n"/>
      <c r="AA16" s="18" t="n">
        <v>42000</v>
      </c>
      <c r="AB16" s="19" t="n">
        <v>49000</v>
      </c>
      <c r="AC16" s="20" t="n">
        <v>39150</v>
      </c>
      <c r="AD16" s="10" t="n"/>
      <c r="AE16" s="11" t="n"/>
      <c r="AF16" s="10" t="n"/>
      <c r="AG16" s="10" t="n"/>
      <c r="AH16" s="10" t="n"/>
      <c r="AI16" s="10" t="n"/>
      <c r="AJ16" s="11" t="n"/>
      <c r="AK16" s="10" t="n"/>
      <c r="AL16" s="10" t="n"/>
      <c r="AM16" s="10" t="n"/>
      <c r="AN16" s="10" t="n"/>
      <c r="AO16" s="11" t="n"/>
    </row>
    <row r="17">
      <c r="A17" s="12" t="inlineStr">
        <is>
          <t>price_low</t>
        </is>
      </c>
      <c r="C17" t="inlineStr">
        <is>
          <t>종가(최저)</t>
        </is>
      </c>
      <c r="E17" s="18" t="n">
        <v>15100</v>
      </c>
      <c r="F17" s="9" t="n"/>
      <c r="G17" s="18" t="n">
        <v>14950</v>
      </c>
      <c r="H17" s="18" t="n">
        <v>16100</v>
      </c>
      <c r="I17" s="18" t="n">
        <v>16550</v>
      </c>
      <c r="J17" s="18" t="n">
        <v>18750</v>
      </c>
      <c r="K17" s="9" t="n"/>
      <c r="L17" s="18" t="n">
        <v>18750</v>
      </c>
      <c r="M17" s="18" t="n">
        <v>20200</v>
      </c>
      <c r="N17" s="18" t="n">
        <v>24950</v>
      </c>
      <c r="O17" s="18" t="n">
        <v>22950</v>
      </c>
      <c r="P17" s="9" t="n"/>
      <c r="Q17" s="18" t="n">
        <v>23250</v>
      </c>
      <c r="R17" s="18" t="n">
        <v>24100</v>
      </c>
      <c r="S17" s="18" t="n">
        <v>23400</v>
      </c>
      <c r="T17" s="18" t="n">
        <v>22400</v>
      </c>
      <c r="U17" s="9" t="n"/>
      <c r="V17" s="18" t="n">
        <v>24700</v>
      </c>
      <c r="W17" s="18" t="n">
        <v>25050</v>
      </c>
      <c r="X17" s="18" t="n">
        <v>28250</v>
      </c>
      <c r="Y17" s="18" t="n">
        <v>30400</v>
      </c>
      <c r="Z17" s="9" t="n"/>
      <c r="AA17" s="18" t="n">
        <v>25050</v>
      </c>
      <c r="AB17" s="19" t="n">
        <v>29150</v>
      </c>
      <c r="AC17" s="20" t="n">
        <v>27550</v>
      </c>
      <c r="AD17" s="10" t="n"/>
      <c r="AE17" s="11" t="n"/>
      <c r="AF17" s="10" t="n"/>
      <c r="AG17" s="10" t="n"/>
      <c r="AH17" s="10" t="n"/>
      <c r="AI17" s="10" t="n"/>
      <c r="AJ17" s="11" t="n"/>
      <c r="AK17" s="10" t="n"/>
      <c r="AL17" s="10" t="n"/>
      <c r="AM17" s="10" t="n"/>
      <c r="AN17" s="10" t="n"/>
      <c r="AO17" s="11" t="n"/>
    </row>
    <row r="18">
      <c r="A18" s="12" t="inlineStr">
        <is>
          <t>price_avg</t>
        </is>
      </c>
      <c r="C18" t="inlineStr">
        <is>
          <t>종가(평균)</t>
        </is>
      </c>
      <c r="E18" s="18" t="n">
        <v>17332.5</v>
      </c>
      <c r="F18" s="9" t="n"/>
      <c r="G18" s="18" t="n">
        <v>17076.3</v>
      </c>
      <c r="H18" s="18" t="n">
        <v>18184.7</v>
      </c>
      <c r="I18" s="18" t="n">
        <v>20820.6</v>
      </c>
      <c r="J18" s="18" t="n">
        <v>21030.6</v>
      </c>
      <c r="K18" s="9" t="n"/>
      <c r="L18" s="18" t="n">
        <v>22295.2</v>
      </c>
      <c r="M18" s="18" t="n">
        <v>22935.2</v>
      </c>
      <c r="N18" s="18" t="n">
        <v>27416.1</v>
      </c>
      <c r="O18" s="18" t="n">
        <v>26108.3</v>
      </c>
      <c r="P18" s="9" t="n"/>
      <c r="Q18" s="18" t="n">
        <v>25520.5</v>
      </c>
      <c r="R18" s="18" t="n">
        <v>27053.3</v>
      </c>
      <c r="S18" s="18" t="n">
        <v>26740.3</v>
      </c>
      <c r="T18" s="18" t="n">
        <v>24737.7</v>
      </c>
      <c r="U18" s="9" t="n"/>
      <c r="V18" s="18" t="n">
        <v>28184.5</v>
      </c>
      <c r="W18" s="18" t="n">
        <v>28673.3</v>
      </c>
      <c r="X18" s="18" t="n">
        <v>31993.8</v>
      </c>
      <c r="Y18" s="18" t="n">
        <v>34214.4</v>
      </c>
      <c r="Z18" s="9" t="n"/>
      <c r="AA18" s="18" t="n">
        <v>34435.6</v>
      </c>
      <c r="AB18" s="19" t="n">
        <v>38227</v>
      </c>
      <c r="AC18" s="20" t="n">
        <v>32908.9</v>
      </c>
      <c r="AD18" s="10" t="n"/>
      <c r="AE18" s="11" t="n"/>
      <c r="AF18" s="10" t="n"/>
      <c r="AG18" s="10" t="n"/>
      <c r="AH18" s="10" t="n"/>
      <c r="AI18" s="10" t="n"/>
      <c r="AJ18" s="11" t="n"/>
      <c r="AK18" s="10" t="n"/>
      <c r="AL18" s="10" t="n"/>
      <c r="AM18" s="10" t="n"/>
      <c r="AN18" s="10" t="n"/>
      <c r="AO18" s="11" t="n"/>
    </row>
    <row r="19">
      <c r="F19" s="9" t="n"/>
      <c r="K19" s="9" t="n"/>
      <c r="P19" s="9" t="n"/>
      <c r="U19" s="9" t="n"/>
      <c r="Z19" s="9" t="n"/>
      <c r="AB19" s="5" t="n"/>
      <c r="AC19" s="10" t="n"/>
      <c r="AD19" s="10" t="n"/>
      <c r="AE19" s="11" t="n"/>
      <c r="AF19" s="10" t="n"/>
      <c r="AG19" s="10" t="n"/>
      <c r="AH19" s="10" t="n"/>
      <c r="AI19" s="10" t="n"/>
      <c r="AJ19" s="11" t="n"/>
      <c r="AK19" s="10" t="n"/>
      <c r="AL19" s="10" t="n"/>
      <c r="AM19" s="10" t="n"/>
      <c r="AN19" s="10" t="n"/>
      <c r="AO19" s="11" t="n"/>
    </row>
    <row r="20">
      <c r="B20" s="1" t="inlineStr">
        <is>
          <t>2. 추정 드라이버</t>
        </is>
      </c>
      <c r="C20" s="2" t="inlineStr">
        <is>
          <t>실적 열 = subQ 실현값(수식), 추정 열 = 가정(노란, 모델값 역산)</t>
        </is>
      </c>
      <c r="F20" s="9" t="n"/>
      <c r="K20" s="9" t="n"/>
      <c r="P20" s="9" t="n"/>
      <c r="U20" s="9" t="n"/>
      <c r="Z20" s="9" t="n"/>
      <c r="AB20" s="5" t="n"/>
      <c r="AC20" s="10" t="n"/>
      <c r="AD20" s="10" t="n"/>
      <c r="AE20" s="11" t="n"/>
      <c r="AF20" s="10" t="n"/>
      <c r="AG20" s="10" t="n"/>
      <c r="AH20" s="10" t="n"/>
      <c r="AI20" s="10" t="n"/>
      <c r="AJ20" s="11" t="n"/>
      <c r="AK20" s="10" t="n"/>
      <c r="AL20" s="10" t="n"/>
      <c r="AM20" s="10" t="n"/>
      <c r="AN20" s="10" t="n"/>
      <c r="AO20" s="11" t="n"/>
    </row>
    <row r="21">
      <c r="A21" s="12" t="inlineStr">
        <is>
          <t>drv:매출액</t>
        </is>
      </c>
      <c r="B21" s="2" t="inlineStr">
        <is>
          <t>yoy</t>
        </is>
      </c>
      <c r="C21" t="inlineStr">
        <is>
          <t>매출액 YoY</t>
        </is>
      </c>
      <c r="E21" s="21" t="n"/>
      <c r="F21" s="22" t="n"/>
      <c r="G21" s="21" t="n"/>
      <c r="H21" s="21" t="n"/>
      <c r="I21" s="21" t="n"/>
      <c r="J21" s="21">
        <f>IFERROR(subQ!J5/subQ!E5-1,"")</f>
        <v/>
      </c>
      <c r="K21" s="22" t="n"/>
      <c r="L21" s="21">
        <f>IFERROR(subQ!L5/subQ!G5-1,"")</f>
        <v/>
      </c>
      <c r="M21" s="21">
        <f>IFERROR(subQ!M5/subQ!H5-1,"")</f>
        <v/>
      </c>
      <c r="N21" s="21">
        <f>IFERROR(subQ!N5/subQ!I5-1,"")</f>
        <v/>
      </c>
      <c r="O21" s="21">
        <f>IFERROR(subQ!O5/subQ!J5-1,"")</f>
        <v/>
      </c>
      <c r="P21" s="22" t="n"/>
      <c r="Q21" s="21">
        <f>IFERROR(subQ!Q5/subQ!L5-1,"")</f>
        <v/>
      </c>
      <c r="R21" s="21">
        <f>IFERROR(subQ!R5/subQ!M5-1,"")</f>
        <v/>
      </c>
      <c r="S21" s="21">
        <f>IFERROR(subQ!S5/subQ!N5-1,"")</f>
        <v/>
      </c>
      <c r="T21" s="21">
        <f>IFERROR(subQ!T5/subQ!O5-1,"")</f>
        <v/>
      </c>
      <c r="U21" s="22" t="n"/>
      <c r="V21" s="21">
        <f>IFERROR(subQ!V5/subQ!Q5-1,"")</f>
        <v/>
      </c>
      <c r="W21" s="21">
        <f>IFERROR(subQ!W5/subQ!R5-1,"")</f>
        <v/>
      </c>
      <c r="X21" s="21">
        <f>IFERROR(subQ!X5/subQ!S5-1,"")</f>
        <v/>
      </c>
      <c r="Y21" s="21">
        <f>IFERROR(subQ!Y5/subQ!T5-1,"")</f>
        <v/>
      </c>
      <c r="Z21" s="22" t="n"/>
      <c r="AA21" s="21">
        <f>IFERROR(subQ!AA5/subQ!V5-1,"")</f>
        <v/>
      </c>
      <c r="AB21" s="23">
        <f>IFERROR(subQ!AB5/subQ!W5-1,"")</f>
        <v/>
      </c>
      <c r="AC21" s="24" t="n">
        <v>0.134198</v>
      </c>
      <c r="AD21" s="24" t="n">
        <v>0.134202</v>
      </c>
      <c r="AE21" s="25" t="n"/>
      <c r="AF21" s="24" t="n">
        <v>0.134196</v>
      </c>
      <c r="AG21" s="24" t="n">
        <v>0.134195</v>
      </c>
      <c r="AH21" s="24" t="n">
        <v>0.06710199999999999</v>
      </c>
      <c r="AI21" s="24" t="n">
        <v>0.067103</v>
      </c>
      <c r="AJ21" s="25" t="n"/>
      <c r="AK21" s="24" t="n">
        <v>0.067104</v>
      </c>
      <c r="AL21" s="24" t="n">
        <v>0.067111</v>
      </c>
      <c r="AM21" s="24" t="n">
        <v>0.033544</v>
      </c>
      <c r="AN21" s="24" t="n">
        <v>0.033538</v>
      </c>
      <c r="AO21" s="25" t="n"/>
    </row>
    <row r="22">
      <c r="A22" s="12" t="inlineStr">
        <is>
          <t>drv:판관비</t>
        </is>
      </c>
      <c r="B22" s="2" t="inlineStr">
        <is>
          <t>ratio</t>
        </is>
      </c>
      <c r="C22" t="inlineStr">
        <is>
          <t>판관비율(/매출)</t>
        </is>
      </c>
      <c r="E22" s="21">
        <f>IFERROR(subQ!E8/subQ!E5,"")</f>
        <v/>
      </c>
      <c r="F22" s="22">
        <f>IFERROR(subQ!F8/subQ!F5,"")</f>
        <v/>
      </c>
      <c r="G22" s="21">
        <f>IFERROR(subQ!G8/subQ!G5,"")</f>
        <v/>
      </c>
      <c r="H22" s="21">
        <f>IFERROR(subQ!H8/subQ!H5,"")</f>
        <v/>
      </c>
      <c r="I22" s="21">
        <f>IFERROR(subQ!I8/subQ!I5,"")</f>
        <v/>
      </c>
      <c r="J22" s="21">
        <f>IFERROR(subQ!J8/subQ!J5,"")</f>
        <v/>
      </c>
      <c r="K22" s="22">
        <f>IFERROR(subQ!K8/subQ!K5,"")</f>
        <v/>
      </c>
      <c r="L22" s="21">
        <f>IFERROR(subQ!L8/subQ!L5,"")</f>
        <v/>
      </c>
      <c r="M22" s="21">
        <f>IFERROR(subQ!M8/subQ!M5,"")</f>
        <v/>
      </c>
      <c r="N22" s="21">
        <f>IFERROR(subQ!N8/subQ!N5,"")</f>
        <v/>
      </c>
      <c r="O22" s="21">
        <f>IFERROR(subQ!O8/subQ!O5,"")</f>
        <v/>
      </c>
      <c r="P22" s="22">
        <f>IFERROR(subQ!P8/subQ!P5,"")</f>
        <v/>
      </c>
      <c r="Q22" s="21">
        <f>IFERROR(subQ!Q8/subQ!Q5,"")</f>
        <v/>
      </c>
      <c r="R22" s="21">
        <f>IFERROR(subQ!R8/subQ!R5,"")</f>
        <v/>
      </c>
      <c r="S22" s="21">
        <f>IFERROR(subQ!S8/subQ!S5,"")</f>
        <v/>
      </c>
      <c r="T22" s="21">
        <f>IFERROR(subQ!T8/subQ!T5,"")</f>
        <v/>
      </c>
      <c r="U22" s="22">
        <f>IFERROR(subQ!U8/subQ!U5,"")</f>
        <v/>
      </c>
      <c r="V22" s="21">
        <f>IFERROR(subQ!V8/subQ!V5,"")</f>
        <v/>
      </c>
      <c r="W22" s="21">
        <f>IFERROR(subQ!W8/subQ!W5,"")</f>
        <v/>
      </c>
      <c r="X22" s="21">
        <f>IFERROR(subQ!X8/subQ!X5,"")</f>
        <v/>
      </c>
      <c r="Y22" s="21">
        <f>IFERROR(subQ!Y8/subQ!Y5,"")</f>
        <v/>
      </c>
      <c r="Z22" s="22">
        <f>IFERROR(subQ!Z8/subQ!Z5,"")</f>
        <v/>
      </c>
      <c r="AA22" s="21">
        <f>IFERROR(subQ!AA8/subQ!AA5,"")</f>
        <v/>
      </c>
      <c r="AB22" s="23">
        <f>IFERROR(subQ!AB8/subQ!AB5,"")</f>
        <v/>
      </c>
      <c r="AC22" s="24" t="n">
        <v>0.122693</v>
      </c>
      <c r="AD22" s="24" t="n">
        <v>0.122692</v>
      </c>
      <c r="AE22" s="25">
        <f>IFERROR(subQ!AE8/subQ!AE5,"")</f>
        <v/>
      </c>
      <c r="AF22" s="24" t="n">
        <v>0.122696</v>
      </c>
      <c r="AG22" s="24" t="n">
        <v>0.12269</v>
      </c>
      <c r="AH22" s="24" t="n">
        <v>0.122696</v>
      </c>
      <c r="AI22" s="24" t="n">
        <v>0.122699</v>
      </c>
      <c r="AJ22" s="25">
        <f>IFERROR(subQ!AJ8/subQ!AJ5,"")</f>
        <v/>
      </c>
      <c r="AK22" s="24" t="n">
        <v>0.122702</v>
      </c>
      <c r="AL22" s="24" t="n">
        <v>0.122699</v>
      </c>
      <c r="AM22" s="24" t="n">
        <v>0.122693</v>
      </c>
      <c r="AN22" s="24" t="n">
        <v>0.12269</v>
      </c>
      <c r="AO22" s="25">
        <f>IFERROR(subQ!AO8/subQ!AO5,"")</f>
        <v/>
      </c>
    </row>
    <row r="23">
      <c r="A23" s="12" t="inlineStr">
        <is>
          <t>drv:영업이익</t>
        </is>
      </c>
      <c r="B23" s="2" t="inlineStr">
        <is>
          <t>ratio</t>
        </is>
      </c>
      <c r="C23" t="inlineStr">
        <is>
          <t>영업이익률(OPM)</t>
        </is>
      </c>
      <c r="E23" s="21">
        <f>IFERROR(subQ!E9/subQ!E5,"")</f>
        <v/>
      </c>
      <c r="F23" s="22">
        <f>IFERROR(subQ!F9/subQ!F5,"")</f>
        <v/>
      </c>
      <c r="G23" s="21">
        <f>IFERROR(subQ!G9/subQ!G5,"")</f>
        <v/>
      </c>
      <c r="H23" s="21">
        <f>IFERROR(subQ!H9/subQ!H5,"")</f>
        <v/>
      </c>
      <c r="I23" s="21">
        <f>IFERROR(subQ!I9/subQ!I5,"")</f>
        <v/>
      </c>
      <c r="J23" s="21">
        <f>IFERROR(subQ!J9/subQ!J5,"")</f>
        <v/>
      </c>
      <c r="K23" s="22">
        <f>IFERROR(subQ!K9/subQ!K5,"")</f>
        <v/>
      </c>
      <c r="L23" s="21">
        <f>IFERROR(subQ!L9/subQ!L5,"")</f>
        <v/>
      </c>
      <c r="M23" s="21">
        <f>IFERROR(subQ!M9/subQ!M5,"")</f>
        <v/>
      </c>
      <c r="N23" s="21">
        <f>IFERROR(subQ!N9/subQ!N5,"")</f>
        <v/>
      </c>
      <c r="O23" s="21">
        <f>IFERROR(subQ!O9/subQ!O5,"")</f>
        <v/>
      </c>
      <c r="P23" s="22">
        <f>IFERROR(subQ!P9/subQ!P5,"")</f>
        <v/>
      </c>
      <c r="Q23" s="21">
        <f>IFERROR(subQ!Q9/subQ!Q5,"")</f>
        <v/>
      </c>
      <c r="R23" s="21">
        <f>IFERROR(subQ!R9/subQ!R5,"")</f>
        <v/>
      </c>
      <c r="S23" s="21">
        <f>IFERROR(subQ!S9/subQ!S5,"")</f>
        <v/>
      </c>
      <c r="T23" s="21">
        <f>IFERROR(subQ!T9/subQ!T5,"")</f>
        <v/>
      </c>
      <c r="U23" s="22">
        <f>IFERROR(subQ!U9/subQ!U5,"")</f>
        <v/>
      </c>
      <c r="V23" s="21">
        <f>IFERROR(subQ!V9/subQ!V5,"")</f>
        <v/>
      </c>
      <c r="W23" s="21">
        <f>IFERROR(subQ!W9/subQ!W5,"")</f>
        <v/>
      </c>
      <c r="X23" s="21">
        <f>IFERROR(subQ!X9/subQ!X5,"")</f>
        <v/>
      </c>
      <c r="Y23" s="21">
        <f>IFERROR(subQ!Y9/subQ!Y5,"")</f>
        <v/>
      </c>
      <c r="Z23" s="22">
        <f>IFERROR(subQ!Z9/subQ!Z5,"")</f>
        <v/>
      </c>
      <c r="AA23" s="21">
        <f>IFERROR(subQ!AA9/subQ!AA5,"")</f>
        <v/>
      </c>
      <c r="AB23" s="23">
        <f>IFERROR(subQ!AB9/subQ!AB5,"")</f>
        <v/>
      </c>
      <c r="AC23" s="24" t="n">
        <v>0.279216</v>
      </c>
      <c r="AD23" s="24" t="n">
        <v>0.27922</v>
      </c>
      <c r="AE23" s="25">
        <f>IFERROR(subQ!AE9/subQ!AE5,"")</f>
        <v/>
      </c>
      <c r="AF23" s="24" t="n">
        <v>0.279213</v>
      </c>
      <c r="AG23" s="24" t="n">
        <v>0.279218</v>
      </c>
      <c r="AH23" s="24" t="n">
        <v>0.279213</v>
      </c>
      <c r="AI23" s="24" t="n">
        <v>0.279209</v>
      </c>
      <c r="AJ23" s="25">
        <f>IFERROR(subQ!AJ9/subQ!AJ5,"")</f>
        <v/>
      </c>
      <c r="AK23" s="24" t="n">
        <v>0.279218</v>
      </c>
      <c r="AL23" s="24" t="n">
        <v>0.279214</v>
      </c>
      <c r="AM23" s="24" t="n">
        <v>0.279222</v>
      </c>
      <c r="AN23" s="24" t="n">
        <v>0.279209</v>
      </c>
      <c r="AO23" s="25">
        <f>IFERROR(subQ!AO9/subQ!AO5,"")</f>
        <v/>
      </c>
    </row>
    <row r="24">
      <c r="A24" s="12" t="inlineStr">
        <is>
          <t>drv:OPM</t>
        </is>
      </c>
      <c r="B24" s="2" t="inlineStr">
        <is>
          <t>yoy</t>
        </is>
      </c>
      <c r="C24" t="inlineStr">
        <is>
          <t>OPM YoY</t>
        </is>
      </c>
      <c r="E24" s="21" t="n"/>
      <c r="F24" s="22" t="n"/>
      <c r="G24" s="21" t="n"/>
      <c r="H24" s="21" t="n"/>
      <c r="I24" s="21" t="n"/>
      <c r="J24" s="21">
        <f>IFERROR(subQ!J34/subQ!E34-1,"")</f>
        <v/>
      </c>
      <c r="K24" s="22" t="n"/>
      <c r="L24" s="21">
        <f>IFERROR(subQ!L34/subQ!G34-1,"")</f>
        <v/>
      </c>
      <c r="M24" s="21">
        <f>IFERROR(subQ!M34/subQ!H34-1,"")</f>
        <v/>
      </c>
      <c r="N24" s="21">
        <f>IFERROR(subQ!N34/subQ!I34-1,"")</f>
        <v/>
      </c>
      <c r="O24" s="21">
        <f>IFERROR(subQ!O34/subQ!J34-1,"")</f>
        <v/>
      </c>
      <c r="P24" s="22" t="n"/>
      <c r="Q24" s="21">
        <f>IFERROR(subQ!Q34/subQ!L34-1,"")</f>
        <v/>
      </c>
      <c r="R24" s="21">
        <f>IFERROR(subQ!R34/subQ!M34-1,"")</f>
        <v/>
      </c>
      <c r="S24" s="21">
        <f>IFERROR(subQ!S34/subQ!N34-1,"")</f>
        <v/>
      </c>
      <c r="T24" s="21">
        <f>IFERROR(subQ!T34/subQ!O34-1,"")</f>
        <v/>
      </c>
      <c r="U24" s="22" t="n"/>
      <c r="V24" s="21">
        <f>IFERROR(subQ!V34/subQ!Q34-1,"")</f>
        <v/>
      </c>
      <c r="W24" s="21">
        <f>IFERROR(subQ!W34/subQ!R34-1,"")</f>
        <v/>
      </c>
      <c r="X24" s="21">
        <f>IFERROR(subQ!X34/subQ!S34-1,"")</f>
        <v/>
      </c>
      <c r="Y24" s="21">
        <f>IFERROR(subQ!Y34/subQ!T34-1,"")</f>
        <v/>
      </c>
      <c r="Z24" s="22" t="n"/>
      <c r="AA24" s="21">
        <f>IFERROR(subQ!AA34/subQ!V34-1,"")</f>
        <v/>
      </c>
      <c r="AB24" s="23">
        <f>IFERROR(subQ!AB34/subQ!W34-1,"")</f>
        <v/>
      </c>
      <c r="AC24" s="24" t="n">
        <v>0.058779</v>
      </c>
      <c r="AD24" s="24" t="n">
        <v>0.027604</v>
      </c>
      <c r="AE24" s="25" t="n"/>
      <c r="AF24" s="24" t="n">
        <v>-0.036244</v>
      </c>
      <c r="AG24" s="24" t="n">
        <v>-0.026499</v>
      </c>
      <c r="AH24" s="24" t="n">
        <v>0</v>
      </c>
      <c r="AI24" s="24" t="n">
        <v>0</v>
      </c>
      <c r="AJ24" s="25" t="n"/>
      <c r="AK24" s="24" t="n">
        <v>0</v>
      </c>
      <c r="AL24" s="24" t="n">
        <v>0</v>
      </c>
      <c r="AM24" s="24" t="n">
        <v>0</v>
      </c>
      <c r="AN24" s="24" t="n">
        <v>0</v>
      </c>
      <c r="AO24" s="25" t="n"/>
    </row>
    <row r="25">
      <c r="A25" s="12" t="inlineStr">
        <is>
          <t>drv:금융손익</t>
        </is>
      </c>
      <c r="B25" s="2" t="inlineStr">
        <is>
          <t>abs</t>
        </is>
      </c>
      <c r="C25" t="inlineStr">
        <is>
          <t>금융손익 (가정, 억원)</t>
        </is>
      </c>
      <c r="E25" s="26">
        <f>subQ!E11</f>
        <v/>
      </c>
      <c r="F25" s="27">
        <f>subQ!F11</f>
        <v/>
      </c>
      <c r="G25" s="26">
        <f>subQ!G11</f>
        <v/>
      </c>
      <c r="H25" s="26">
        <f>subQ!H11</f>
        <v/>
      </c>
      <c r="I25" s="26">
        <f>subQ!I11</f>
        <v/>
      </c>
      <c r="J25" s="26">
        <f>subQ!J11</f>
        <v/>
      </c>
      <c r="K25" s="27">
        <f>subQ!K11</f>
        <v/>
      </c>
      <c r="L25" s="26">
        <f>subQ!L11</f>
        <v/>
      </c>
      <c r="M25" s="26">
        <f>subQ!M11</f>
        <v/>
      </c>
      <c r="N25" s="26">
        <f>subQ!N11</f>
        <v/>
      </c>
      <c r="O25" s="26">
        <f>subQ!O11</f>
        <v/>
      </c>
      <c r="P25" s="27">
        <f>subQ!P11</f>
        <v/>
      </c>
      <c r="Q25" s="26">
        <f>subQ!Q11</f>
        <v/>
      </c>
      <c r="R25" s="26">
        <f>subQ!R11</f>
        <v/>
      </c>
      <c r="S25" s="26">
        <f>subQ!S11</f>
        <v/>
      </c>
      <c r="T25" s="26">
        <f>subQ!T11</f>
        <v/>
      </c>
      <c r="U25" s="27">
        <f>subQ!U11</f>
        <v/>
      </c>
      <c r="V25" s="26">
        <f>subQ!V11</f>
        <v/>
      </c>
      <c r="W25" s="26">
        <f>subQ!W11</f>
        <v/>
      </c>
      <c r="X25" s="26">
        <f>subQ!X11</f>
        <v/>
      </c>
      <c r="Y25" s="26">
        <f>subQ!Y11</f>
        <v/>
      </c>
      <c r="Z25" s="27">
        <f>subQ!Z11</f>
        <v/>
      </c>
      <c r="AA25" s="26">
        <f>subQ!AA11</f>
        <v/>
      </c>
      <c r="AB25" s="28">
        <f>subQ!AB11</f>
        <v/>
      </c>
      <c r="AC25" s="29" t="n">
        <v>12.73</v>
      </c>
      <c r="AD25" s="29" t="n">
        <v>13.67</v>
      </c>
      <c r="AE25" s="30">
        <f>subQ!AE11</f>
        <v/>
      </c>
      <c r="AF25" s="29" t="n">
        <v>14.67</v>
      </c>
      <c r="AG25" s="29" t="n">
        <v>15.62</v>
      </c>
      <c r="AH25" s="29" t="n">
        <v>15.61</v>
      </c>
      <c r="AI25" s="29" t="n">
        <v>16.62</v>
      </c>
      <c r="AJ25" s="30">
        <f>subQ!AJ11</f>
        <v/>
      </c>
      <c r="AK25" s="29" t="n">
        <v>17.7</v>
      </c>
      <c r="AL25" s="29" t="n">
        <v>18.73</v>
      </c>
      <c r="AM25" s="29" t="n">
        <v>18.79</v>
      </c>
      <c r="AN25" s="29" t="n">
        <v>19.85</v>
      </c>
      <c r="AO25" s="30">
        <f>subQ!AO11</f>
        <v/>
      </c>
    </row>
    <row r="26">
      <c r="A26" s="12" t="inlineStr">
        <is>
          <t>drv:기타영업외손익</t>
        </is>
      </c>
      <c r="B26" s="2" t="inlineStr">
        <is>
          <t>abs</t>
        </is>
      </c>
      <c r="C26" t="inlineStr">
        <is>
          <t>기타영업외손익 (가정, 억원)</t>
        </is>
      </c>
      <c r="E26" s="26">
        <f>subQ!E12</f>
        <v/>
      </c>
      <c r="F26" s="27">
        <f>subQ!F12</f>
        <v/>
      </c>
      <c r="G26" s="26">
        <f>subQ!G12</f>
        <v/>
      </c>
      <c r="H26" s="26">
        <f>subQ!H12</f>
        <v/>
      </c>
      <c r="I26" s="26">
        <f>subQ!I12</f>
        <v/>
      </c>
      <c r="J26" s="26">
        <f>subQ!J12</f>
        <v/>
      </c>
      <c r="K26" s="27">
        <f>subQ!K12</f>
        <v/>
      </c>
      <c r="L26" s="26">
        <f>subQ!L12</f>
        <v/>
      </c>
      <c r="M26" s="26">
        <f>subQ!M12</f>
        <v/>
      </c>
      <c r="N26" s="26">
        <f>subQ!N12</f>
        <v/>
      </c>
      <c r="O26" s="26">
        <f>subQ!O12</f>
        <v/>
      </c>
      <c r="P26" s="27">
        <f>subQ!P12</f>
        <v/>
      </c>
      <c r="Q26" s="26">
        <f>subQ!Q12</f>
        <v/>
      </c>
      <c r="R26" s="26">
        <f>subQ!R12</f>
        <v/>
      </c>
      <c r="S26" s="26">
        <f>subQ!S12</f>
        <v/>
      </c>
      <c r="T26" s="26">
        <f>subQ!T12</f>
        <v/>
      </c>
      <c r="U26" s="27">
        <f>subQ!U12</f>
        <v/>
      </c>
      <c r="V26" s="26">
        <f>subQ!V12</f>
        <v/>
      </c>
      <c r="W26" s="26">
        <f>subQ!W12</f>
        <v/>
      </c>
      <c r="X26" s="26">
        <f>subQ!X12</f>
        <v/>
      </c>
      <c r="Y26" s="26">
        <f>subQ!Y12</f>
        <v/>
      </c>
      <c r="Z26" s="27">
        <f>subQ!Z12</f>
        <v/>
      </c>
      <c r="AA26" s="26">
        <f>subQ!AA12</f>
        <v/>
      </c>
      <c r="AB26" s="28">
        <f>subQ!AB12</f>
        <v/>
      </c>
      <c r="AC26" s="29" t="n">
        <v>0</v>
      </c>
      <c r="AD26" s="29" t="n">
        <v>0</v>
      </c>
      <c r="AE26" s="30">
        <f>subQ!AE12</f>
        <v/>
      </c>
      <c r="AF26" s="29" t="n">
        <v>0</v>
      </c>
      <c r="AG26" s="29" t="n">
        <v>0</v>
      </c>
      <c r="AH26" s="29" t="n">
        <v>0</v>
      </c>
      <c r="AI26" s="29" t="n">
        <v>0</v>
      </c>
      <c r="AJ26" s="30">
        <f>subQ!AJ12</f>
        <v/>
      </c>
      <c r="AK26" s="29" t="n">
        <v>0</v>
      </c>
      <c r="AL26" s="29" t="n">
        <v>0</v>
      </c>
      <c r="AM26" s="29" t="n">
        <v>0</v>
      </c>
      <c r="AN26" s="29" t="n">
        <v>0</v>
      </c>
      <c r="AO26" s="30">
        <f>subQ!AO12</f>
        <v/>
      </c>
    </row>
    <row r="27">
      <c r="A27" s="12" t="inlineStr">
        <is>
          <t>drv:법인세비용</t>
        </is>
      </c>
      <c r="B27" s="2" t="inlineStr">
        <is>
          <t>ratio</t>
        </is>
      </c>
      <c r="C27" t="inlineStr">
        <is>
          <t>법인세율(/세전)</t>
        </is>
      </c>
      <c r="E27" s="21">
        <f>IFERROR(subQ!E14/subQ!E13,"")</f>
        <v/>
      </c>
      <c r="F27" s="22">
        <f>IFERROR(subQ!F14/subQ!F13,"")</f>
        <v/>
      </c>
      <c r="G27" s="21">
        <f>IFERROR(subQ!G14/subQ!G13,"")</f>
        <v/>
      </c>
      <c r="H27" s="21">
        <f>IFERROR(subQ!H14/subQ!H13,"")</f>
        <v/>
      </c>
      <c r="I27" s="21">
        <f>IFERROR(subQ!I14/subQ!I13,"")</f>
        <v/>
      </c>
      <c r="J27" s="21">
        <f>IFERROR(subQ!J14/subQ!J13,"")</f>
        <v/>
      </c>
      <c r="K27" s="22">
        <f>IFERROR(subQ!K14/subQ!K13,"")</f>
        <v/>
      </c>
      <c r="L27" s="21">
        <f>IFERROR(subQ!L14/subQ!L13,"")</f>
        <v/>
      </c>
      <c r="M27" s="21">
        <f>IFERROR(subQ!M14/subQ!M13,"")</f>
        <v/>
      </c>
      <c r="N27" s="21">
        <f>IFERROR(subQ!N14/subQ!N13,"")</f>
        <v/>
      </c>
      <c r="O27" s="21">
        <f>IFERROR(subQ!O14/subQ!O13,"")</f>
        <v/>
      </c>
      <c r="P27" s="22">
        <f>IFERROR(subQ!P14/subQ!P13,"")</f>
        <v/>
      </c>
      <c r="Q27" s="21">
        <f>IFERROR(subQ!Q14/subQ!Q13,"")</f>
        <v/>
      </c>
      <c r="R27" s="21">
        <f>IFERROR(subQ!R14/subQ!R13,"")</f>
        <v/>
      </c>
      <c r="S27" s="21">
        <f>IFERROR(subQ!S14/subQ!S13,"")</f>
        <v/>
      </c>
      <c r="T27" s="21">
        <f>IFERROR(subQ!T14/subQ!T13,"")</f>
        <v/>
      </c>
      <c r="U27" s="22">
        <f>IFERROR(subQ!U14/subQ!U13,"")</f>
        <v/>
      </c>
      <c r="V27" s="21">
        <f>IFERROR(subQ!V14/subQ!V13,"")</f>
        <v/>
      </c>
      <c r="W27" s="21">
        <f>IFERROR(subQ!W14/subQ!W13,"")</f>
        <v/>
      </c>
      <c r="X27" s="21">
        <f>IFERROR(subQ!X14/subQ!X13,"")</f>
        <v/>
      </c>
      <c r="Y27" s="21">
        <f>IFERROR(subQ!Y14/subQ!Y13,"")</f>
        <v/>
      </c>
      <c r="Z27" s="22">
        <f>IFERROR(subQ!Z14/subQ!Z13,"")</f>
        <v/>
      </c>
      <c r="AA27" s="21">
        <f>IFERROR(subQ!AA14/subQ!AA13,"")</f>
        <v/>
      </c>
      <c r="AB27" s="23">
        <f>IFERROR(subQ!AB14/subQ!AB13,"")</f>
        <v/>
      </c>
      <c r="AC27" s="24" t="n">
        <v>0.232196</v>
      </c>
      <c r="AD27" s="24" t="n">
        <v>0.232219</v>
      </c>
      <c r="AE27" s="25">
        <f>IFERROR(subQ!AE14/subQ!AE13,"")</f>
        <v/>
      </c>
      <c r="AF27" s="24" t="n">
        <v>0.232245</v>
      </c>
      <c r="AG27" s="24" t="n">
        <v>0.232215</v>
      </c>
      <c r="AH27" s="24" t="n">
        <v>0.232221</v>
      </c>
      <c r="AI27" s="24" t="n">
        <v>0.232239</v>
      </c>
      <c r="AJ27" s="25">
        <f>IFERROR(subQ!AJ14/subQ!AJ13,"")</f>
        <v/>
      </c>
      <c r="AK27" s="24" t="n">
        <v>0.232222</v>
      </c>
      <c r="AL27" s="24" t="n">
        <v>0.232245</v>
      </c>
      <c r="AM27" s="24" t="n">
        <v>0.232246</v>
      </c>
      <c r="AN27" s="24" t="n">
        <v>0.23224</v>
      </c>
      <c r="AO27" s="25">
        <f>IFERROR(subQ!AO14/subQ!AO13,"")</f>
        <v/>
      </c>
    </row>
    <row r="28">
      <c r="A28" s="12" t="inlineStr">
        <is>
          <t>drv:지배주주순이익</t>
        </is>
      </c>
      <c r="B28" s="2" t="inlineStr">
        <is>
          <t>ratio</t>
        </is>
      </c>
      <c r="C28" t="inlineStr">
        <is>
          <t>지배주주 비중(/당기순이익)</t>
        </is>
      </c>
      <c r="E28" s="21">
        <f>IFERROR(subQ!E16/subQ!E15,"")</f>
        <v/>
      </c>
      <c r="F28" s="22">
        <f>IFERROR(subQ!F16/subQ!F15,"")</f>
        <v/>
      </c>
      <c r="G28" s="21">
        <f>IFERROR(subQ!G16/subQ!G15,"")</f>
        <v/>
      </c>
      <c r="H28" s="21">
        <f>IFERROR(subQ!H16/subQ!H15,"")</f>
        <v/>
      </c>
      <c r="I28" s="21">
        <f>IFERROR(subQ!I16/subQ!I15,"")</f>
        <v/>
      </c>
      <c r="J28" s="21">
        <f>IFERROR(subQ!J16/subQ!J15,"")</f>
        <v/>
      </c>
      <c r="K28" s="22">
        <f>IFERROR(subQ!K16/subQ!K15,"")</f>
        <v/>
      </c>
      <c r="L28" s="21">
        <f>IFERROR(subQ!L16/subQ!L15,"")</f>
        <v/>
      </c>
      <c r="M28" s="21">
        <f>IFERROR(subQ!M16/subQ!M15,"")</f>
        <v/>
      </c>
      <c r="N28" s="21">
        <f>IFERROR(subQ!N16/subQ!N15,"")</f>
        <v/>
      </c>
      <c r="O28" s="21">
        <f>IFERROR(subQ!O16/subQ!O15,"")</f>
        <v/>
      </c>
      <c r="P28" s="22">
        <f>IFERROR(subQ!P16/subQ!P15,"")</f>
        <v/>
      </c>
      <c r="Q28" s="21">
        <f>IFERROR(subQ!Q16/subQ!Q15,"")</f>
        <v/>
      </c>
      <c r="R28" s="21">
        <f>IFERROR(subQ!R16/subQ!R15,"")</f>
        <v/>
      </c>
      <c r="S28" s="21">
        <f>IFERROR(subQ!S16/subQ!S15,"")</f>
        <v/>
      </c>
      <c r="T28" s="21">
        <f>IFERROR(subQ!T16/subQ!T15,"")</f>
        <v/>
      </c>
      <c r="U28" s="22">
        <f>IFERROR(subQ!U16/subQ!U15,"")</f>
        <v/>
      </c>
      <c r="V28" s="21">
        <f>IFERROR(subQ!V16/subQ!V15,"")</f>
        <v/>
      </c>
      <c r="W28" s="21">
        <f>IFERROR(subQ!W16/subQ!W15,"")</f>
        <v/>
      </c>
      <c r="X28" s="21">
        <f>IFERROR(subQ!X16/subQ!X15,"")</f>
        <v/>
      </c>
      <c r="Y28" s="21">
        <f>IFERROR(subQ!Y16/subQ!Y15,"")</f>
        <v/>
      </c>
      <c r="Z28" s="22">
        <f>IFERROR(subQ!Z16/subQ!Z15,"")</f>
        <v/>
      </c>
      <c r="AA28" s="21">
        <f>IFERROR(subQ!AA16/subQ!AA15,"")</f>
        <v/>
      </c>
      <c r="AB28" s="23">
        <f>IFERROR(subQ!AB16/subQ!AB15,"")</f>
        <v/>
      </c>
      <c r="AC28" s="24" t="n">
        <v>0.991044</v>
      </c>
      <c r="AD28" s="24" t="n">
        <v>0.990996</v>
      </c>
      <c r="AE28" s="25">
        <f>IFERROR(subQ!AE16/subQ!AE15,"")</f>
        <v/>
      </c>
      <c r="AF28" s="24" t="n">
        <v>0.990974</v>
      </c>
      <c r="AG28" s="24" t="n">
        <v>0.991029</v>
      </c>
      <c r="AH28" s="24" t="n">
        <v>0.990968</v>
      </c>
      <c r="AI28" s="24" t="n">
        <v>0.991025</v>
      </c>
      <c r="AJ28" s="25">
        <f>IFERROR(subQ!AJ16/subQ!AJ15,"")</f>
        <v/>
      </c>
      <c r="AK28" s="24" t="n">
        <v>0.991043</v>
      </c>
      <c r="AL28" s="24" t="n">
        <v>0.991018</v>
      </c>
      <c r="AM28" s="24" t="n">
        <v>0.990996</v>
      </c>
      <c r="AN28" s="24" t="n">
        <v>0.991008</v>
      </c>
      <c r="AO28" s="25">
        <f>IFERROR(subQ!AO16/subQ!AO15,"")</f>
        <v/>
      </c>
    </row>
    <row r="29">
      <c r="A29" s="12" t="inlineStr">
        <is>
          <t>drv:부채총계</t>
        </is>
      </c>
      <c r="B29" s="2" t="inlineStr">
        <is>
          <t>qoq</t>
        </is>
      </c>
      <c r="C29" t="inlineStr">
        <is>
          <t>부채총계 QoQ</t>
        </is>
      </c>
      <c r="E29" s="21" t="n"/>
      <c r="F29" s="22" t="n"/>
      <c r="G29" s="21">
        <f>IFERROR(subQ!G18/subQ!E18-1,"")</f>
        <v/>
      </c>
      <c r="H29" s="21">
        <f>IFERROR(subQ!H18/subQ!G18-1,"")</f>
        <v/>
      </c>
      <c r="I29" s="21">
        <f>IFERROR(subQ!I18/subQ!H18-1,"")</f>
        <v/>
      </c>
      <c r="J29" s="21">
        <f>IFERROR(subQ!J18/subQ!I18-1,"")</f>
        <v/>
      </c>
      <c r="K29" s="22" t="n"/>
      <c r="L29" s="21">
        <f>IFERROR(subQ!L18/subQ!J18-1,"")</f>
        <v/>
      </c>
      <c r="M29" s="21">
        <f>IFERROR(subQ!M18/subQ!L18-1,"")</f>
        <v/>
      </c>
      <c r="N29" s="21">
        <f>IFERROR(subQ!N18/subQ!M18-1,"")</f>
        <v/>
      </c>
      <c r="O29" s="21">
        <f>IFERROR(subQ!O18/subQ!N18-1,"")</f>
        <v/>
      </c>
      <c r="P29" s="22" t="n"/>
      <c r="Q29" s="21">
        <f>IFERROR(subQ!Q18/subQ!O18-1,"")</f>
        <v/>
      </c>
      <c r="R29" s="21">
        <f>IFERROR(subQ!R18/subQ!Q18-1,"")</f>
        <v/>
      </c>
      <c r="S29" s="21">
        <f>IFERROR(subQ!S18/subQ!R18-1,"")</f>
        <v/>
      </c>
      <c r="T29" s="21">
        <f>IFERROR(subQ!T18/subQ!S18-1,"")</f>
        <v/>
      </c>
      <c r="U29" s="22" t="n"/>
      <c r="V29" s="21">
        <f>IFERROR(subQ!V18/subQ!T18-1,"")</f>
        <v/>
      </c>
      <c r="W29" s="21">
        <f>IFERROR(subQ!W18/subQ!V18-1,"")</f>
        <v/>
      </c>
      <c r="X29" s="21">
        <f>IFERROR(subQ!X18/subQ!W18-1,"")</f>
        <v/>
      </c>
      <c r="Y29" s="21">
        <f>IFERROR(subQ!Y18/subQ!X18-1,"")</f>
        <v/>
      </c>
      <c r="Z29" s="22" t="n"/>
      <c r="AA29" s="21">
        <f>IFERROR(subQ!AA18/subQ!Y18-1,"")</f>
        <v/>
      </c>
      <c r="AB29" s="23">
        <f>IFERROR(subQ!AB18/subQ!AA18-1,"")</f>
        <v/>
      </c>
      <c r="AC29" s="24" t="n">
        <v>-2e-06</v>
      </c>
      <c r="AD29" s="24" t="n">
        <v>0</v>
      </c>
      <c r="AE29" s="25" t="n"/>
      <c r="AF29" s="24" t="n">
        <v>0</v>
      </c>
      <c r="AG29" s="24" t="n">
        <v>0</v>
      </c>
      <c r="AH29" s="24" t="n">
        <v>0</v>
      </c>
      <c r="AI29" s="24" t="n">
        <v>0</v>
      </c>
      <c r="AJ29" s="25" t="n"/>
      <c r="AK29" s="24" t="n">
        <v>0</v>
      </c>
      <c r="AL29" s="24" t="n">
        <v>0</v>
      </c>
      <c r="AM29" s="24" t="n">
        <v>0</v>
      </c>
      <c r="AN29" s="24" t="n">
        <v>0</v>
      </c>
      <c r="AO29" s="25" t="n"/>
    </row>
    <row r="30">
      <c r="A30" s="12" t="inlineStr">
        <is>
          <t>drv:자본총계</t>
        </is>
      </c>
      <c r="B30" s="2" t="inlineStr">
        <is>
          <t>roll</t>
        </is>
      </c>
      <c r="C30" t="inlineStr">
        <is>
          <t>자본총계 기타변동(배당 등, 억원)</t>
        </is>
      </c>
      <c r="E30" s="26" t="n"/>
      <c r="F30" s="27" t="n"/>
      <c r="G30" s="26">
        <f>IFERROR(subQ!E19+subQ!G15-subQ!G19,"")</f>
        <v/>
      </c>
      <c r="H30" s="26">
        <f>IFERROR(subQ!G19+subQ!H15-subQ!H19,"")</f>
        <v/>
      </c>
      <c r="I30" s="26">
        <f>IFERROR(subQ!H19+subQ!I15-subQ!I19,"")</f>
        <v/>
      </c>
      <c r="J30" s="26">
        <f>IFERROR(subQ!I19+subQ!J15-subQ!J19,"")</f>
        <v/>
      </c>
      <c r="K30" s="27" t="n"/>
      <c r="L30" s="26">
        <f>IFERROR(subQ!J19+subQ!L15-subQ!L19,"")</f>
        <v/>
      </c>
      <c r="M30" s="26">
        <f>IFERROR(subQ!L19+subQ!M15-subQ!M19,"")</f>
        <v/>
      </c>
      <c r="N30" s="26">
        <f>IFERROR(subQ!M19+subQ!N15-subQ!N19,"")</f>
        <v/>
      </c>
      <c r="O30" s="26">
        <f>IFERROR(subQ!N19+subQ!O15-subQ!O19,"")</f>
        <v/>
      </c>
      <c r="P30" s="27" t="n"/>
      <c r="Q30" s="26">
        <f>IFERROR(subQ!O19+subQ!Q15-subQ!Q19,"")</f>
        <v/>
      </c>
      <c r="R30" s="26">
        <f>IFERROR(subQ!Q19+subQ!R15-subQ!R19,"")</f>
        <v/>
      </c>
      <c r="S30" s="26">
        <f>IFERROR(subQ!R19+subQ!S15-subQ!S19,"")</f>
        <v/>
      </c>
      <c r="T30" s="26">
        <f>IFERROR(subQ!S19+subQ!T15-subQ!T19,"")</f>
        <v/>
      </c>
      <c r="U30" s="27" t="n"/>
      <c r="V30" s="26">
        <f>IFERROR(subQ!T19+subQ!V15-subQ!V19,"")</f>
        <v/>
      </c>
      <c r="W30" s="26">
        <f>IFERROR(subQ!V19+subQ!W15-subQ!W19,"")</f>
        <v/>
      </c>
      <c r="X30" s="26">
        <f>IFERROR(subQ!W19+subQ!X15-subQ!X19,"")</f>
        <v/>
      </c>
      <c r="Y30" s="26">
        <f>IFERROR(subQ!X19+subQ!Y15-subQ!Y19,"")</f>
        <v/>
      </c>
      <c r="Z30" s="27" t="n"/>
      <c r="AA30" s="26">
        <f>IFERROR(subQ!Y19+subQ!AA15-subQ!AA19,"")</f>
        <v/>
      </c>
      <c r="AB30" s="28">
        <f>IFERROR(subQ!AA19+subQ!AB15-subQ!AB19,"")</f>
        <v/>
      </c>
      <c r="AC30" s="29" t="n">
        <v>-0.0068</v>
      </c>
      <c r="AD30" s="29" t="n">
        <v>0</v>
      </c>
      <c r="AE30" s="30" t="n"/>
      <c r="AF30" s="29" t="n">
        <v>0</v>
      </c>
      <c r="AG30" s="29" t="n">
        <v>158.87</v>
      </c>
      <c r="AH30" s="29" t="n">
        <v>0</v>
      </c>
      <c r="AI30" s="29" t="n">
        <v>0</v>
      </c>
      <c r="AJ30" s="30" t="n"/>
      <c r="AK30" s="29" t="n">
        <v>0</v>
      </c>
      <c r="AL30" s="29" t="n">
        <v>158.87</v>
      </c>
      <c r="AM30" s="29" t="n">
        <v>0</v>
      </c>
      <c r="AN30" s="29" t="n">
        <v>-0</v>
      </c>
      <c r="AO30" s="30" t="n"/>
    </row>
    <row r="31">
      <c r="A31" s="12" t="inlineStr">
        <is>
          <t>drv:지배주주지분</t>
        </is>
      </c>
      <c r="B31" s="2" t="inlineStr">
        <is>
          <t>roll</t>
        </is>
      </c>
      <c r="C31" t="inlineStr">
        <is>
          <t>지배주주지분 기타변동(배당 등, 억원)</t>
        </is>
      </c>
      <c r="E31" s="26" t="n"/>
      <c r="F31" s="27" t="n"/>
      <c r="G31" s="26">
        <f>IFERROR(subQ!E20+subQ!G16-subQ!G20,"")</f>
        <v/>
      </c>
      <c r="H31" s="26">
        <f>IFERROR(subQ!G20+subQ!H16-subQ!H20,"")</f>
        <v/>
      </c>
      <c r="I31" s="26">
        <f>IFERROR(subQ!H20+subQ!I16-subQ!I20,"")</f>
        <v/>
      </c>
      <c r="J31" s="26">
        <f>IFERROR(subQ!I20+subQ!J16-subQ!J20,"")</f>
        <v/>
      </c>
      <c r="K31" s="27" t="n"/>
      <c r="L31" s="26">
        <f>IFERROR(subQ!J20+subQ!L16-subQ!L20,"")</f>
        <v/>
      </c>
      <c r="M31" s="26">
        <f>IFERROR(subQ!L20+subQ!M16-subQ!M20,"")</f>
        <v/>
      </c>
      <c r="N31" s="26">
        <f>IFERROR(subQ!M20+subQ!N16-subQ!N20,"")</f>
        <v/>
      </c>
      <c r="O31" s="26">
        <f>IFERROR(subQ!N20+subQ!O16-subQ!O20,"")</f>
        <v/>
      </c>
      <c r="P31" s="27" t="n"/>
      <c r="Q31" s="26">
        <f>IFERROR(subQ!O20+subQ!Q16-subQ!Q20,"")</f>
        <v/>
      </c>
      <c r="R31" s="26">
        <f>IFERROR(subQ!Q20+subQ!R16-subQ!R20,"")</f>
        <v/>
      </c>
      <c r="S31" s="26">
        <f>IFERROR(subQ!R20+subQ!S16-subQ!S20,"")</f>
        <v/>
      </c>
      <c r="T31" s="26">
        <f>IFERROR(subQ!S20+subQ!T16-subQ!T20,"")</f>
        <v/>
      </c>
      <c r="U31" s="27" t="n"/>
      <c r="V31" s="26">
        <f>IFERROR(subQ!T20+subQ!V16-subQ!V20,"")</f>
        <v/>
      </c>
      <c r="W31" s="26">
        <f>IFERROR(subQ!V20+subQ!W16-subQ!W20,"")</f>
        <v/>
      </c>
      <c r="X31" s="26">
        <f>IFERROR(subQ!W20+subQ!X16-subQ!X20,"")</f>
        <v/>
      </c>
      <c r="Y31" s="26">
        <f>IFERROR(subQ!X20+subQ!Y16-subQ!Y20,"")</f>
        <v/>
      </c>
      <c r="Z31" s="27" t="n"/>
      <c r="AA31" s="26">
        <f>IFERROR(subQ!Y20+subQ!AA16-subQ!AA20,"")</f>
        <v/>
      </c>
      <c r="AB31" s="28">
        <f>IFERROR(subQ!AA20+subQ!AB16-subQ!AB20,"")</f>
        <v/>
      </c>
      <c r="AC31" s="29" t="n">
        <v>-0.0022</v>
      </c>
      <c r="AD31" s="29" t="n">
        <v>0</v>
      </c>
      <c r="AE31" s="30" t="n"/>
      <c r="AF31" s="29" t="n">
        <v>0</v>
      </c>
      <c r="AG31" s="29" t="n">
        <v>158.87</v>
      </c>
      <c r="AH31" s="29" t="n">
        <v>-0</v>
      </c>
      <c r="AI31" s="29" t="n">
        <v>-0.01</v>
      </c>
      <c r="AJ31" s="30" t="n"/>
      <c r="AK31" s="29" t="n">
        <v>0.01</v>
      </c>
      <c r="AL31" s="29" t="n">
        <v>158.87</v>
      </c>
      <c r="AM31" s="29" t="n">
        <v>0</v>
      </c>
      <c r="AN31" s="29" t="n">
        <v>0</v>
      </c>
      <c r="AO31" s="30" t="n"/>
    </row>
    <row r="32">
      <c r="A32" s="12" t="inlineStr">
        <is>
          <t>drv:이자발생자산</t>
        </is>
      </c>
      <c r="B32" s="2" t="inlineStr">
        <is>
          <t>qoq</t>
        </is>
      </c>
      <c r="C32" t="inlineStr">
        <is>
          <t>이자발생자산 QoQ</t>
        </is>
      </c>
      <c r="E32" s="21" t="n"/>
      <c r="F32" s="22" t="n"/>
      <c r="G32" s="21">
        <f>IFERROR(subQ!G21/subQ!E21-1,"")</f>
        <v/>
      </c>
      <c r="H32" s="21">
        <f>IFERROR(subQ!H21/subQ!G21-1,"")</f>
        <v/>
      </c>
      <c r="I32" s="21">
        <f>IFERROR(subQ!I21/subQ!H21-1,"")</f>
        <v/>
      </c>
      <c r="J32" s="21">
        <f>IFERROR(subQ!J21/subQ!I21-1,"")</f>
        <v/>
      </c>
      <c r="K32" s="22" t="n"/>
      <c r="L32" s="21">
        <f>IFERROR(subQ!L21/subQ!J21-1,"")</f>
        <v/>
      </c>
      <c r="M32" s="21">
        <f>IFERROR(subQ!M21/subQ!L21-1,"")</f>
        <v/>
      </c>
      <c r="N32" s="21">
        <f>IFERROR(subQ!N21/subQ!M21-1,"")</f>
        <v/>
      </c>
      <c r="O32" s="21">
        <f>IFERROR(subQ!O21/subQ!N21-1,"")</f>
        <v/>
      </c>
      <c r="P32" s="22" t="n"/>
      <c r="Q32" s="21">
        <f>IFERROR(subQ!Q21/subQ!O21-1,"")</f>
        <v/>
      </c>
      <c r="R32" s="21">
        <f>IFERROR(subQ!R21/subQ!Q21-1,"")</f>
        <v/>
      </c>
      <c r="S32" s="21">
        <f>IFERROR(subQ!S21/subQ!R21-1,"")</f>
        <v/>
      </c>
      <c r="T32" s="21">
        <f>IFERROR(subQ!T21/subQ!S21-1,"")</f>
        <v/>
      </c>
      <c r="U32" s="22" t="n"/>
      <c r="V32" s="21">
        <f>IFERROR(subQ!V21/subQ!T21-1,"")</f>
        <v/>
      </c>
      <c r="W32" s="21">
        <f>IFERROR(subQ!W21/subQ!V21-1,"")</f>
        <v/>
      </c>
      <c r="X32" s="21">
        <f>IFERROR(subQ!X21/subQ!W21-1,"")</f>
        <v/>
      </c>
      <c r="Y32" s="21">
        <f>IFERROR(subQ!Y21/subQ!X21-1,"")</f>
        <v/>
      </c>
      <c r="Z32" s="22" t="n"/>
      <c r="AA32" s="21">
        <f>IFERROR(subQ!AA21/subQ!Y21-1,"")</f>
        <v/>
      </c>
      <c r="AB32" s="23">
        <f>IFERROR(subQ!AB21/subQ!AA21-1,"")</f>
        <v/>
      </c>
      <c r="AC32" s="24" t="n">
        <v>0.073799</v>
      </c>
      <c r="AD32" s="24" t="n">
        <v>0.07325</v>
      </c>
      <c r="AE32" s="25" t="n"/>
      <c r="AF32" s="24" t="n">
        <v>0.06504600000000001</v>
      </c>
      <c r="AG32" s="24" t="n">
        <v>-0.001201</v>
      </c>
      <c r="AH32" s="24" t="n">
        <v>0.064904</v>
      </c>
      <c r="AI32" s="24" t="n">
        <v>0.064914</v>
      </c>
      <c r="AJ32" s="25" t="n"/>
      <c r="AK32" s="24" t="n">
        <v>0.058134</v>
      </c>
      <c r="AL32" s="24" t="n">
        <v>0.003295</v>
      </c>
      <c r="AM32" s="24" t="n">
        <v>0.056445</v>
      </c>
      <c r="AN32" s="24" t="n">
        <v>0.056864</v>
      </c>
      <c r="AO32" s="25" t="n"/>
    </row>
    <row r="33">
      <c r="A33" s="12" t="inlineStr">
        <is>
          <t>drv:현금및현금성자산</t>
        </is>
      </c>
      <c r="B33" s="2" t="inlineStr">
        <is>
          <t>qoq</t>
        </is>
      </c>
      <c r="C33" t="inlineStr">
        <is>
          <t>현금및현금성자산 QoQ</t>
        </is>
      </c>
      <c r="E33" s="21" t="n"/>
      <c r="F33" s="22" t="n"/>
      <c r="G33" s="21">
        <f>IFERROR(subQ!G22/subQ!E22-1,"")</f>
        <v/>
      </c>
      <c r="H33" s="21">
        <f>IFERROR(subQ!H22/subQ!G22-1,"")</f>
        <v/>
      </c>
      <c r="I33" s="21">
        <f>IFERROR(subQ!I22/subQ!H22-1,"")</f>
        <v/>
      </c>
      <c r="J33" s="21">
        <f>IFERROR(subQ!J22/subQ!I22-1,"")</f>
        <v/>
      </c>
      <c r="K33" s="22" t="n"/>
      <c r="L33" s="21">
        <f>IFERROR(subQ!L22/subQ!J22-1,"")</f>
        <v/>
      </c>
      <c r="M33" s="21">
        <f>IFERROR(subQ!M22/subQ!L22-1,"")</f>
        <v/>
      </c>
      <c r="N33" s="21">
        <f>IFERROR(subQ!N22/subQ!M22-1,"")</f>
        <v/>
      </c>
      <c r="O33" s="21">
        <f>IFERROR(subQ!O22/subQ!N22-1,"")</f>
        <v/>
      </c>
      <c r="P33" s="22" t="n"/>
      <c r="Q33" s="21">
        <f>IFERROR(subQ!Q22/subQ!O22-1,"")</f>
        <v/>
      </c>
      <c r="R33" s="21">
        <f>IFERROR(subQ!R22/subQ!Q22-1,"")</f>
        <v/>
      </c>
      <c r="S33" s="21">
        <f>IFERROR(subQ!S22/subQ!R22-1,"")</f>
        <v/>
      </c>
      <c r="T33" s="21">
        <f>IFERROR(subQ!T22/subQ!S22-1,"")</f>
        <v/>
      </c>
      <c r="U33" s="22" t="n"/>
      <c r="V33" s="21">
        <f>IFERROR(subQ!V22/subQ!T22-1,"")</f>
        <v/>
      </c>
      <c r="W33" s="21">
        <f>IFERROR(subQ!W22/subQ!V22-1,"")</f>
        <v/>
      </c>
      <c r="X33" s="21">
        <f>IFERROR(subQ!X22/subQ!W22-1,"")</f>
        <v/>
      </c>
      <c r="Y33" s="21">
        <f>IFERROR(subQ!Y22/subQ!X22-1,"")</f>
        <v/>
      </c>
      <c r="Z33" s="22" t="n"/>
      <c r="AA33" s="21">
        <f>IFERROR(subQ!AA22/subQ!Y22-1,"")</f>
        <v/>
      </c>
      <c r="AB33" s="23">
        <f>IFERROR(subQ!AB22/subQ!AA22-1,"")</f>
        <v/>
      </c>
      <c r="AC33" s="31" t="n"/>
      <c r="AD33" s="31" t="n"/>
      <c r="AE33" s="25" t="n"/>
      <c r="AF33" s="31" t="n"/>
      <c r="AG33" s="31" t="n"/>
      <c r="AH33" s="31" t="n"/>
      <c r="AI33" s="31" t="n"/>
      <c r="AJ33" s="25" t="n"/>
      <c r="AK33" s="31" t="n"/>
      <c r="AL33" s="31" t="n"/>
      <c r="AM33" s="31" t="n"/>
      <c r="AN33" s="31" t="n"/>
      <c r="AO33" s="25" t="n"/>
    </row>
    <row r="34">
      <c r="A34" s="12" t="inlineStr">
        <is>
          <t>drv:CAPEX</t>
        </is>
      </c>
      <c r="B34" s="2" t="inlineStr">
        <is>
          <t>yoy</t>
        </is>
      </c>
      <c r="C34" t="inlineStr">
        <is>
          <t>CAPEX YoY</t>
        </is>
      </c>
      <c r="E34" s="21" t="n"/>
      <c r="F34" s="22" t="n"/>
      <c r="G34" s="21" t="n"/>
      <c r="H34" s="21" t="n"/>
      <c r="I34" s="21" t="n"/>
      <c r="J34" s="21">
        <f>IFERROR(subQ!J23/subQ!E23-1,"")</f>
        <v/>
      </c>
      <c r="K34" s="22" t="n"/>
      <c r="L34" s="21">
        <f>IFERROR(subQ!L23/subQ!G23-1,"")</f>
        <v/>
      </c>
      <c r="M34" s="21">
        <f>IFERROR(subQ!M23/subQ!H23-1,"")</f>
        <v/>
      </c>
      <c r="N34" s="21">
        <f>IFERROR(subQ!N23/subQ!I23-1,"")</f>
        <v/>
      </c>
      <c r="O34" s="21">
        <f>IFERROR(subQ!O23/subQ!J23-1,"")</f>
        <v/>
      </c>
      <c r="P34" s="22" t="n"/>
      <c r="Q34" s="21">
        <f>IFERROR(subQ!Q23/subQ!L23-1,"")</f>
        <v/>
      </c>
      <c r="R34" s="21">
        <f>IFERROR(subQ!R23/subQ!M23-1,"")</f>
        <v/>
      </c>
      <c r="S34" s="21">
        <f>IFERROR(subQ!S23/subQ!N23-1,"")</f>
        <v/>
      </c>
      <c r="T34" s="21">
        <f>IFERROR(subQ!T23/subQ!O23-1,"")</f>
        <v/>
      </c>
      <c r="U34" s="22" t="n"/>
      <c r="V34" s="21">
        <f>IFERROR(subQ!V23/subQ!Q23-1,"")</f>
        <v/>
      </c>
      <c r="W34" s="21">
        <f>IFERROR(subQ!W23/subQ!R23-1,"")</f>
        <v/>
      </c>
      <c r="X34" s="21">
        <f>IFERROR(subQ!X23/subQ!S23-1,"")</f>
        <v/>
      </c>
      <c r="Y34" s="21">
        <f>IFERROR(subQ!Y23/subQ!T23-1,"")</f>
        <v/>
      </c>
      <c r="Z34" s="22" t="n"/>
      <c r="AA34" s="21">
        <f>IFERROR(subQ!AA23/subQ!V23-1,"")</f>
        <v/>
      </c>
      <c r="AB34" s="23">
        <f>IFERROR(subQ!AB23/subQ!W23-1,"")</f>
        <v/>
      </c>
      <c r="AC34" s="31" t="n"/>
      <c r="AD34" s="31" t="n"/>
      <c r="AE34" s="25" t="n"/>
      <c r="AF34" s="31" t="n"/>
      <c r="AG34" s="31" t="n"/>
      <c r="AH34" s="31" t="n"/>
      <c r="AI34" s="31" t="n"/>
      <c r="AJ34" s="25" t="n"/>
      <c r="AK34" s="31" t="n"/>
      <c r="AL34" s="31" t="n"/>
      <c r="AM34" s="31" t="n"/>
      <c r="AN34" s="31" t="n"/>
      <c r="AO34" s="25" t="n"/>
    </row>
    <row r="35">
      <c r="A35" s="12" t="inlineStr">
        <is>
          <t>drv:영업활동현금흐름</t>
        </is>
      </c>
      <c r="B35" s="2" t="inlineStr">
        <is>
          <t>yoy</t>
        </is>
      </c>
      <c r="C35" t="inlineStr">
        <is>
          <t>영업활동현금흐름 YoY</t>
        </is>
      </c>
      <c r="E35" s="21" t="n"/>
      <c r="F35" s="22" t="n"/>
      <c r="G35" s="21" t="n"/>
      <c r="H35" s="21" t="n"/>
      <c r="I35" s="21" t="n"/>
      <c r="J35" s="21">
        <f>IFERROR(subQ!J24/subQ!E24-1,"")</f>
        <v/>
      </c>
      <c r="K35" s="22" t="n"/>
      <c r="L35" s="21">
        <f>IFERROR(subQ!L24/subQ!G24-1,"")</f>
        <v/>
      </c>
      <c r="M35" s="21">
        <f>IFERROR(subQ!M24/subQ!H24-1,"")</f>
        <v/>
      </c>
      <c r="N35" s="21">
        <f>IFERROR(subQ!N24/subQ!I24-1,"")</f>
        <v/>
      </c>
      <c r="O35" s="21">
        <f>IFERROR(subQ!O24/subQ!J24-1,"")</f>
        <v/>
      </c>
      <c r="P35" s="22" t="n"/>
      <c r="Q35" s="21">
        <f>IFERROR(subQ!Q24/subQ!L24-1,"")</f>
        <v/>
      </c>
      <c r="R35" s="21">
        <f>IFERROR(subQ!R24/subQ!M24-1,"")</f>
        <v/>
      </c>
      <c r="S35" s="21">
        <f>IFERROR(subQ!S24/subQ!N24-1,"")</f>
        <v/>
      </c>
      <c r="T35" s="21">
        <f>IFERROR(subQ!T24/subQ!O24-1,"")</f>
        <v/>
      </c>
      <c r="U35" s="22" t="n"/>
      <c r="V35" s="21">
        <f>IFERROR(subQ!V24/subQ!Q24-1,"")</f>
        <v/>
      </c>
      <c r="W35" s="21">
        <f>IFERROR(subQ!W24/subQ!R24-1,"")</f>
        <v/>
      </c>
      <c r="X35" s="21">
        <f>IFERROR(subQ!X24/subQ!S24-1,"")</f>
        <v/>
      </c>
      <c r="Y35" s="21">
        <f>IFERROR(subQ!Y24/subQ!T24-1,"")</f>
        <v/>
      </c>
      <c r="Z35" s="22" t="n"/>
      <c r="AA35" s="21">
        <f>IFERROR(subQ!AA24/subQ!V24-1,"")</f>
        <v/>
      </c>
      <c r="AB35" s="23">
        <f>IFERROR(subQ!AB24/subQ!W24-1,"")</f>
        <v/>
      </c>
      <c r="AC35" s="31" t="n"/>
      <c r="AD35" s="31" t="n"/>
      <c r="AE35" s="25" t="n"/>
      <c r="AF35" s="31" t="n"/>
      <c r="AG35" s="31" t="n"/>
      <c r="AH35" s="31" t="n"/>
      <c r="AI35" s="31" t="n"/>
      <c r="AJ35" s="25" t="n"/>
      <c r="AK35" s="31" t="n"/>
      <c r="AL35" s="31" t="n"/>
      <c r="AM35" s="31" t="n"/>
      <c r="AN35" s="31" t="n"/>
      <c r="AO35" s="25" t="n"/>
    </row>
    <row r="36">
      <c r="A36" s="12" t="inlineStr">
        <is>
          <t>drv:주식수</t>
        </is>
      </c>
      <c r="B36" s="2" t="inlineStr">
        <is>
          <t>qoq</t>
        </is>
      </c>
      <c r="C36" t="inlineStr">
        <is>
          <t>주식수 QoQ</t>
        </is>
      </c>
      <c r="E36" s="21" t="n"/>
      <c r="F36" s="22" t="n"/>
      <c r="G36" s="21">
        <f>IFERROR(subQ!G25/subQ!E25-1,"")</f>
        <v/>
      </c>
      <c r="H36" s="21">
        <f>IFERROR(subQ!H25/subQ!G25-1,"")</f>
        <v/>
      </c>
      <c r="I36" s="21">
        <f>IFERROR(subQ!I25/subQ!H25-1,"")</f>
        <v/>
      </c>
      <c r="J36" s="21">
        <f>IFERROR(subQ!J25/subQ!I25-1,"")</f>
        <v/>
      </c>
      <c r="K36" s="22" t="n"/>
      <c r="L36" s="21">
        <f>IFERROR(subQ!L25/subQ!J25-1,"")</f>
        <v/>
      </c>
      <c r="M36" s="21">
        <f>IFERROR(subQ!M25/subQ!L25-1,"")</f>
        <v/>
      </c>
      <c r="N36" s="21">
        <f>IFERROR(subQ!N25/subQ!M25-1,"")</f>
        <v/>
      </c>
      <c r="O36" s="21">
        <f>IFERROR(subQ!O25/subQ!N25-1,"")</f>
        <v/>
      </c>
      <c r="P36" s="22" t="n"/>
      <c r="Q36" s="21">
        <f>IFERROR(subQ!Q25/subQ!O25-1,"")</f>
        <v/>
      </c>
      <c r="R36" s="21">
        <f>IFERROR(subQ!R25/subQ!Q25-1,"")</f>
        <v/>
      </c>
      <c r="S36" s="21">
        <f>IFERROR(subQ!S25/subQ!R25-1,"")</f>
        <v/>
      </c>
      <c r="T36" s="21">
        <f>IFERROR(subQ!T25/subQ!S25-1,"")</f>
        <v/>
      </c>
      <c r="U36" s="22" t="n"/>
      <c r="V36" s="21">
        <f>IFERROR(subQ!V25/subQ!T25-1,"")</f>
        <v/>
      </c>
      <c r="W36" s="21">
        <f>IFERROR(subQ!W25/subQ!V25-1,"")</f>
        <v/>
      </c>
      <c r="X36" s="21">
        <f>IFERROR(subQ!X25/subQ!W25-1,"")</f>
        <v/>
      </c>
      <c r="Y36" s="21">
        <f>IFERROR(subQ!Y25/subQ!X25-1,"")</f>
        <v/>
      </c>
      <c r="Z36" s="22" t="n"/>
      <c r="AA36" s="21">
        <f>IFERROR(subQ!AA25/subQ!Y25-1,"")</f>
        <v/>
      </c>
      <c r="AB36" s="23">
        <f>IFERROR(subQ!AB25/subQ!AA25-1,"")</f>
        <v/>
      </c>
      <c r="AC36" s="24" t="n">
        <v>0</v>
      </c>
      <c r="AD36" s="24" t="n">
        <v>0</v>
      </c>
      <c r="AE36" s="25" t="n"/>
      <c r="AF36" s="24" t="n">
        <v>0</v>
      </c>
      <c r="AG36" s="24" t="n">
        <v>0</v>
      </c>
      <c r="AH36" s="24" t="n">
        <v>0</v>
      </c>
      <c r="AI36" s="24" t="n">
        <v>0</v>
      </c>
      <c r="AJ36" s="25" t="n"/>
      <c r="AK36" s="24" t="n">
        <v>0</v>
      </c>
      <c r="AL36" s="24" t="n">
        <v>0</v>
      </c>
      <c r="AM36" s="24" t="n">
        <v>0</v>
      </c>
      <c r="AN36" s="24" t="n">
        <v>0</v>
      </c>
      <c r="AO36" s="25" t="n"/>
    </row>
    <row r="37">
      <c r="A37" s="12" t="inlineStr">
        <is>
          <t>drv:DPS</t>
        </is>
      </c>
      <c r="B37" s="2" t="inlineStr">
        <is>
          <t>yoy</t>
        </is>
      </c>
      <c r="C37" t="inlineStr">
        <is>
          <t>DPS YoY</t>
        </is>
      </c>
      <c r="E37" s="21" t="n"/>
      <c r="F37" s="22" t="n"/>
      <c r="G37" s="21" t="n"/>
      <c r="H37" s="21" t="n"/>
      <c r="I37" s="21" t="n"/>
      <c r="J37" s="21">
        <f>IFERROR(subQ!J28/subQ!E28-1,"")</f>
        <v/>
      </c>
      <c r="K37" s="22" t="n"/>
      <c r="L37" s="21">
        <f>IFERROR(subQ!L28/subQ!G28-1,"")</f>
        <v/>
      </c>
      <c r="M37" s="21">
        <f>IFERROR(subQ!M28/subQ!H28-1,"")</f>
        <v/>
      </c>
      <c r="N37" s="21">
        <f>IFERROR(subQ!N28/subQ!I28-1,"")</f>
        <v/>
      </c>
      <c r="O37" s="21">
        <f>IFERROR(subQ!O28/subQ!J28-1,"")</f>
        <v/>
      </c>
      <c r="P37" s="22" t="n"/>
      <c r="Q37" s="21">
        <f>IFERROR(subQ!Q28/subQ!L28-1,"")</f>
        <v/>
      </c>
      <c r="R37" s="21">
        <f>IFERROR(subQ!R28/subQ!M28-1,"")</f>
        <v/>
      </c>
      <c r="S37" s="21">
        <f>IFERROR(subQ!S28/subQ!N28-1,"")</f>
        <v/>
      </c>
      <c r="T37" s="21">
        <f>IFERROR(subQ!T28/subQ!O28-1,"")</f>
        <v/>
      </c>
      <c r="U37" s="22" t="n"/>
      <c r="V37" s="21">
        <f>IFERROR(subQ!V28/subQ!Q28-1,"")</f>
        <v/>
      </c>
      <c r="W37" s="21">
        <f>IFERROR(subQ!W28/subQ!R28-1,"")</f>
        <v/>
      </c>
      <c r="X37" s="21">
        <f>IFERROR(subQ!X28/subQ!S28-1,"")</f>
        <v/>
      </c>
      <c r="Y37" s="21">
        <f>IFERROR(subQ!Y28/subQ!T28-1,"")</f>
        <v/>
      </c>
      <c r="Z37" s="22" t="n"/>
      <c r="AA37" s="21">
        <f>IFERROR(subQ!AA28/subQ!V28-1,"")</f>
        <v/>
      </c>
      <c r="AB37" s="23">
        <f>IFERROR(subQ!AB28/subQ!W28-1,"")</f>
        <v/>
      </c>
      <c r="AC37" s="31" t="n"/>
      <c r="AD37" s="24" t="n">
        <v>0</v>
      </c>
      <c r="AE37" s="25" t="n"/>
      <c r="AF37" s="31" t="n"/>
      <c r="AG37" s="31" t="n"/>
      <c r="AH37" s="31" t="n"/>
      <c r="AI37" s="24" t="n">
        <v>0</v>
      </c>
      <c r="AJ37" s="25" t="n"/>
      <c r="AK37" s="31" t="n"/>
      <c r="AL37" s="31" t="n"/>
      <c r="AM37" s="31" t="n"/>
      <c r="AN37" s="24" t="n">
        <v>0</v>
      </c>
      <c r="AO37" s="25" t="n"/>
    </row>
    <row r="38">
      <c r="A38" s="12" t="inlineStr">
        <is>
          <t>drv:PER</t>
        </is>
      </c>
      <c r="B38" s="2" t="inlineStr">
        <is>
          <t>yoy</t>
        </is>
      </c>
      <c r="C38" t="inlineStr">
        <is>
          <t>PER YoY</t>
        </is>
      </c>
      <c r="E38" s="21" t="n"/>
      <c r="F38" s="22" t="n"/>
      <c r="G38" s="21" t="n"/>
      <c r="H38" s="21" t="n"/>
      <c r="I38" s="21" t="n"/>
      <c r="J38" s="21">
        <f>IFERROR(subQ!J29/subQ!E29-1,"")</f>
        <v/>
      </c>
      <c r="K38" s="22" t="n"/>
      <c r="L38" s="21">
        <f>IFERROR(subQ!L29/subQ!G29-1,"")</f>
        <v/>
      </c>
      <c r="M38" s="21">
        <f>IFERROR(subQ!M29/subQ!H29-1,"")</f>
        <v/>
      </c>
      <c r="N38" s="21">
        <f>IFERROR(subQ!N29/subQ!I29-1,"")</f>
        <v/>
      </c>
      <c r="O38" s="21">
        <f>IFERROR(subQ!O29/subQ!J29-1,"")</f>
        <v/>
      </c>
      <c r="P38" s="22" t="n"/>
      <c r="Q38" s="21">
        <f>IFERROR(subQ!Q29/subQ!L29-1,"")</f>
        <v/>
      </c>
      <c r="R38" s="21">
        <f>IFERROR(subQ!R29/subQ!M29-1,"")</f>
        <v/>
      </c>
      <c r="S38" s="21">
        <f>IFERROR(subQ!S29/subQ!N29-1,"")</f>
        <v/>
      </c>
      <c r="T38" s="21">
        <f>IFERROR(subQ!T29/subQ!O29-1,"")</f>
        <v/>
      </c>
      <c r="U38" s="22" t="n"/>
      <c r="V38" s="21">
        <f>IFERROR(subQ!V29/subQ!Q29-1,"")</f>
        <v/>
      </c>
      <c r="W38" s="21">
        <f>IFERROR(subQ!W29/subQ!R29-1,"")</f>
        <v/>
      </c>
      <c r="X38" s="21">
        <f>IFERROR(subQ!X29/subQ!S29-1,"")</f>
        <v/>
      </c>
      <c r="Y38" s="21">
        <f>IFERROR(subQ!Y29/subQ!T29-1,"")</f>
        <v/>
      </c>
      <c r="Z38" s="22" t="n"/>
      <c r="AA38" s="21">
        <f>IFERROR(subQ!AA29/subQ!V29-1,"")</f>
        <v/>
      </c>
      <c r="AB38" s="23">
        <f>IFERROR(subQ!AB29/subQ!W29-1,"")</f>
        <v/>
      </c>
      <c r="AC38" s="24" t="n">
        <v>-0.092457</v>
      </c>
      <c r="AD38" s="24" t="n">
        <v>-0.087871</v>
      </c>
      <c r="AE38" s="25" t="n"/>
      <c r="AF38" s="24" t="n">
        <v>-0.003984</v>
      </c>
      <c r="AG38" s="24" t="n">
        <v>-0.053708</v>
      </c>
      <c r="AH38" s="24" t="n">
        <v>-0.025469</v>
      </c>
      <c r="AI38" s="24" t="n">
        <v>-0.032564</v>
      </c>
      <c r="AJ38" s="25" t="n"/>
      <c r="AK38" s="24" t="n">
        <v>-0.066667</v>
      </c>
      <c r="AL38" s="24" t="n">
        <v>-0.07162200000000001</v>
      </c>
      <c r="AM38" s="24" t="n">
        <v>-0.066025</v>
      </c>
      <c r="AN38" s="24" t="n">
        <v>-0.058906</v>
      </c>
      <c r="AO38" s="25" t="n"/>
    </row>
    <row r="39">
      <c r="A39" s="12" t="inlineStr">
        <is>
          <t>drv:PBR</t>
        </is>
      </c>
      <c r="B39" s="2" t="inlineStr">
        <is>
          <t>yoy</t>
        </is>
      </c>
      <c r="C39" t="inlineStr">
        <is>
          <t>PBR YoY</t>
        </is>
      </c>
      <c r="E39" s="21" t="n"/>
      <c r="F39" s="22" t="n"/>
      <c r="G39" s="21" t="n"/>
      <c r="H39" s="21" t="n"/>
      <c r="I39" s="21" t="n"/>
      <c r="J39" s="21">
        <f>IFERROR(subQ!J30/subQ!E30-1,"")</f>
        <v/>
      </c>
      <c r="K39" s="22" t="n"/>
      <c r="L39" s="21">
        <f>IFERROR(subQ!L30/subQ!G30-1,"")</f>
        <v/>
      </c>
      <c r="M39" s="21">
        <f>IFERROR(subQ!M30/subQ!H30-1,"")</f>
        <v/>
      </c>
      <c r="N39" s="21">
        <f>IFERROR(subQ!N30/subQ!I30-1,"")</f>
        <v/>
      </c>
      <c r="O39" s="21">
        <f>IFERROR(subQ!O30/subQ!J30-1,"")</f>
        <v/>
      </c>
      <c r="P39" s="22" t="n"/>
      <c r="Q39" s="21">
        <f>IFERROR(subQ!Q30/subQ!L30-1,"")</f>
        <v/>
      </c>
      <c r="R39" s="21">
        <f>IFERROR(subQ!R30/subQ!M30-1,"")</f>
        <v/>
      </c>
      <c r="S39" s="21">
        <f>IFERROR(subQ!S30/subQ!N30-1,"")</f>
        <v/>
      </c>
      <c r="T39" s="21">
        <f>IFERROR(subQ!T30/subQ!O30-1,"")</f>
        <v/>
      </c>
      <c r="U39" s="22" t="n"/>
      <c r="V39" s="21">
        <f>IFERROR(subQ!V30/subQ!Q30-1,"")</f>
        <v/>
      </c>
      <c r="W39" s="21">
        <f>IFERROR(subQ!W30/subQ!R30-1,"")</f>
        <v/>
      </c>
      <c r="X39" s="21">
        <f>IFERROR(subQ!X30/subQ!S30-1,"")</f>
        <v/>
      </c>
      <c r="Y39" s="21">
        <f>IFERROR(subQ!Y30/subQ!T30-1,"")</f>
        <v/>
      </c>
      <c r="Z39" s="22" t="n"/>
      <c r="AA39" s="21">
        <f>IFERROR(subQ!AA30/subQ!V30-1,"")</f>
        <v/>
      </c>
      <c r="AB39" s="23">
        <f>IFERROR(subQ!AB30/subQ!W30-1,"")</f>
        <v/>
      </c>
      <c r="AC39" s="24" t="n">
        <v>0.034884</v>
      </c>
      <c r="AD39" s="24" t="n">
        <v>-0.022472</v>
      </c>
      <c r="AE39" s="25" t="n"/>
      <c r="AF39" s="24" t="n">
        <v>-0.05618</v>
      </c>
      <c r="AG39" s="24" t="n">
        <v>-0.115789</v>
      </c>
      <c r="AH39" s="24" t="n">
        <v>-0.078652</v>
      </c>
      <c r="AI39" s="24" t="n">
        <v>-0.09195399999999999</v>
      </c>
      <c r="AJ39" s="25" t="n"/>
      <c r="AK39" s="24" t="n">
        <v>-0.083333</v>
      </c>
      <c r="AL39" s="24" t="n">
        <v>-0.083333</v>
      </c>
      <c r="AM39" s="24" t="n">
        <v>-0.085366</v>
      </c>
      <c r="AN39" s="24" t="n">
        <v>-0.075949</v>
      </c>
      <c r="AO39" s="25" t="n"/>
    </row>
    <row r="40">
      <c r="A40" s="12" t="inlineStr">
        <is>
          <t>drv:매출전사</t>
        </is>
      </c>
      <c r="B40" s="2" t="inlineStr">
        <is>
          <t>ratio</t>
        </is>
      </c>
      <c r="C40" t="inlineStr">
        <is>
          <t>매출전사 비중(/매출액)</t>
        </is>
      </c>
      <c r="E40" s="21">
        <f>IFERROR(subQ!E31/subQ!E5,"")</f>
        <v/>
      </c>
      <c r="F40" s="22">
        <f>IFERROR(subQ!F31/subQ!F5,"")</f>
        <v/>
      </c>
      <c r="G40" s="21">
        <f>IFERROR(subQ!G31/subQ!G5,"")</f>
        <v/>
      </c>
      <c r="H40" s="21">
        <f>IFERROR(subQ!H31/subQ!H5,"")</f>
        <v/>
      </c>
      <c r="I40" s="21">
        <f>IFERROR(subQ!I31/subQ!I5,"")</f>
        <v/>
      </c>
      <c r="J40" s="21">
        <f>IFERROR(subQ!J31/subQ!J5,"")</f>
        <v/>
      </c>
      <c r="K40" s="22">
        <f>IFERROR(subQ!K31/subQ!K5,"")</f>
        <v/>
      </c>
      <c r="L40" s="21">
        <f>IFERROR(subQ!L31/subQ!L5,"")</f>
        <v/>
      </c>
      <c r="M40" s="21">
        <f>IFERROR(subQ!M31/subQ!M5,"")</f>
        <v/>
      </c>
      <c r="N40" s="21">
        <f>IFERROR(subQ!N31/subQ!N5,"")</f>
        <v/>
      </c>
      <c r="O40" s="21">
        <f>IFERROR(subQ!O31/subQ!O5,"")</f>
        <v/>
      </c>
      <c r="P40" s="22">
        <f>IFERROR(subQ!P31/subQ!P5,"")</f>
        <v/>
      </c>
      <c r="Q40" s="21">
        <f>IFERROR(subQ!Q31/subQ!Q5,"")</f>
        <v/>
      </c>
      <c r="R40" s="21">
        <f>IFERROR(subQ!R31/subQ!R5,"")</f>
        <v/>
      </c>
      <c r="S40" s="21">
        <f>IFERROR(subQ!S31/subQ!S5,"")</f>
        <v/>
      </c>
      <c r="T40" s="21">
        <f>IFERROR(subQ!T31/subQ!T5,"")</f>
        <v/>
      </c>
      <c r="U40" s="22">
        <f>IFERROR(subQ!U31/subQ!U5,"")</f>
        <v/>
      </c>
      <c r="V40" s="21">
        <f>IFERROR(subQ!V31/subQ!V5,"")</f>
        <v/>
      </c>
      <c r="W40" s="21">
        <f>IFERROR(subQ!W31/subQ!W5,"")</f>
        <v/>
      </c>
      <c r="X40" s="21">
        <f>IFERROR(subQ!X31/subQ!X5,"")</f>
        <v/>
      </c>
      <c r="Y40" s="21">
        <f>IFERROR(subQ!Y31/subQ!Y5,"")</f>
        <v/>
      </c>
      <c r="Z40" s="22">
        <f>IFERROR(subQ!Z31/subQ!Z5,"")</f>
        <v/>
      </c>
      <c r="AA40" s="21">
        <f>IFERROR(subQ!AA31/subQ!AA5,"")</f>
        <v/>
      </c>
      <c r="AB40" s="23">
        <f>IFERROR(subQ!AB31/subQ!AB5,"")</f>
        <v/>
      </c>
      <c r="AC40" s="24" t="n">
        <v>1</v>
      </c>
      <c r="AD40" s="24" t="n">
        <v>1</v>
      </c>
      <c r="AE40" s="25">
        <f>IFERROR(subQ!AE31/subQ!AE5,"")</f>
        <v/>
      </c>
      <c r="AF40" s="24" t="n">
        <v>1</v>
      </c>
      <c r="AG40" s="24" t="n">
        <v>1</v>
      </c>
      <c r="AH40" s="24" t="n">
        <v>1</v>
      </c>
      <c r="AI40" s="24" t="n">
        <v>1</v>
      </c>
      <c r="AJ40" s="25">
        <f>IFERROR(subQ!AJ31/subQ!AJ5,"")</f>
        <v/>
      </c>
      <c r="AK40" s="24" t="n">
        <v>1</v>
      </c>
      <c r="AL40" s="24" t="n">
        <v>1</v>
      </c>
      <c r="AM40" s="24" t="n">
        <v>1</v>
      </c>
      <c r="AN40" s="24" t="n">
        <v>1</v>
      </c>
      <c r="AO40" s="25">
        <f>IFERROR(subQ!AO31/subQ!AO5,"")</f>
        <v/>
      </c>
    </row>
    <row r="41">
      <c r="A41" s="12" t="inlineStr">
        <is>
          <t>drv:OP전사</t>
        </is>
      </c>
      <c r="B41" s="2" t="inlineStr">
        <is>
          <t>ratio</t>
        </is>
      </c>
      <c r="C41" t="inlineStr">
        <is>
          <t>OP전사 마진(/매출전사)</t>
        </is>
      </c>
      <c r="E41" s="21">
        <f>IFERROR(subQ!E32/subQ!E31,"")</f>
        <v/>
      </c>
      <c r="F41" s="22">
        <f>IFERROR(subQ!F32/subQ!F31,"")</f>
        <v/>
      </c>
      <c r="G41" s="21">
        <f>IFERROR(subQ!G32/subQ!G31,"")</f>
        <v/>
      </c>
      <c r="H41" s="21">
        <f>IFERROR(subQ!H32/subQ!H31,"")</f>
        <v/>
      </c>
      <c r="I41" s="21">
        <f>IFERROR(subQ!I32/subQ!I31,"")</f>
        <v/>
      </c>
      <c r="J41" s="21">
        <f>IFERROR(subQ!J32/subQ!J31,"")</f>
        <v/>
      </c>
      <c r="K41" s="22">
        <f>IFERROR(subQ!K32/subQ!K31,"")</f>
        <v/>
      </c>
      <c r="L41" s="21">
        <f>IFERROR(subQ!L32/subQ!L31,"")</f>
        <v/>
      </c>
      <c r="M41" s="21">
        <f>IFERROR(subQ!M32/subQ!M31,"")</f>
        <v/>
      </c>
      <c r="N41" s="21">
        <f>IFERROR(subQ!N32/subQ!N31,"")</f>
        <v/>
      </c>
      <c r="O41" s="21">
        <f>IFERROR(subQ!O32/subQ!O31,"")</f>
        <v/>
      </c>
      <c r="P41" s="22">
        <f>IFERROR(subQ!P32/subQ!P31,"")</f>
        <v/>
      </c>
      <c r="Q41" s="21">
        <f>IFERROR(subQ!Q32/subQ!Q31,"")</f>
        <v/>
      </c>
      <c r="R41" s="21">
        <f>IFERROR(subQ!R32/subQ!R31,"")</f>
        <v/>
      </c>
      <c r="S41" s="21">
        <f>IFERROR(subQ!S32/subQ!S31,"")</f>
        <v/>
      </c>
      <c r="T41" s="21">
        <f>IFERROR(subQ!T32/subQ!T31,"")</f>
        <v/>
      </c>
      <c r="U41" s="22">
        <f>IFERROR(subQ!U32/subQ!U31,"")</f>
        <v/>
      </c>
      <c r="V41" s="21">
        <f>IFERROR(subQ!V32/subQ!V31,"")</f>
        <v/>
      </c>
      <c r="W41" s="21">
        <f>IFERROR(subQ!W32/subQ!W31,"")</f>
        <v/>
      </c>
      <c r="X41" s="21">
        <f>IFERROR(subQ!X32/subQ!X31,"")</f>
        <v/>
      </c>
      <c r="Y41" s="21">
        <f>IFERROR(subQ!Y32/subQ!Y31,"")</f>
        <v/>
      </c>
      <c r="Z41" s="22">
        <f>IFERROR(subQ!Z32/subQ!Z31,"")</f>
        <v/>
      </c>
      <c r="AA41" s="21">
        <f>IFERROR(subQ!AA32/subQ!AA31,"")</f>
        <v/>
      </c>
      <c r="AB41" s="23">
        <f>IFERROR(subQ!AB32/subQ!AB31,"")</f>
        <v/>
      </c>
      <c r="AC41" s="24" t="n">
        <v>0.279216</v>
      </c>
      <c r="AD41" s="24" t="n">
        <v>0.27922</v>
      </c>
      <c r="AE41" s="25">
        <f>IFERROR(subQ!AE32/subQ!AE31,"")</f>
        <v/>
      </c>
      <c r="AF41" s="24" t="n">
        <v>0.279213</v>
      </c>
      <c r="AG41" s="24" t="n">
        <v>0.279218</v>
      </c>
      <c r="AH41" s="24" t="n">
        <v>0.279213</v>
      </c>
      <c r="AI41" s="24" t="n">
        <v>0.279209</v>
      </c>
      <c r="AJ41" s="25">
        <f>IFERROR(subQ!AJ32/subQ!AJ31,"")</f>
        <v/>
      </c>
      <c r="AK41" s="24" t="n">
        <v>0.279218</v>
      </c>
      <c r="AL41" s="24" t="n">
        <v>0.279214</v>
      </c>
      <c r="AM41" s="24" t="n">
        <v>0.279222</v>
      </c>
      <c r="AN41" s="24" t="n">
        <v>0.279209</v>
      </c>
      <c r="AO41" s="25">
        <f>IFERROR(subQ!AO32/subQ!AO31,"")</f>
        <v/>
      </c>
    </row>
    <row r="42">
      <c r="F42" s="9" t="n"/>
      <c r="K42" s="9" t="n"/>
      <c r="P42" s="9" t="n"/>
      <c r="U42" s="9" t="n"/>
      <c r="Z42" s="9" t="n"/>
      <c r="AB42" s="5" t="n"/>
      <c r="AC42" s="10" t="n"/>
      <c r="AD42" s="10" t="n"/>
      <c r="AE42" s="11" t="n"/>
      <c r="AF42" s="10" t="n"/>
      <c r="AG42" s="10" t="n"/>
      <c r="AH42" s="10" t="n"/>
      <c r="AI42" s="10" t="n"/>
      <c r="AJ42" s="11" t="n"/>
      <c r="AK42" s="10" t="n"/>
      <c r="AL42" s="10" t="n"/>
      <c r="AM42" s="10" t="n"/>
      <c r="AN42" s="10" t="n"/>
      <c r="AO42" s="11" t="n"/>
    </row>
    <row r="43">
      <c r="B43" s="1" t="inlineStr">
        <is>
          <t>3. 밸류에이션·스칼라</t>
        </is>
      </c>
      <c r="F43" s="9" t="n"/>
      <c r="K43" s="9" t="n"/>
      <c r="P43" s="9" t="n"/>
      <c r="U43" s="9" t="n"/>
      <c r="Z43" s="9" t="n"/>
      <c r="AB43" s="5" t="n"/>
      <c r="AC43" s="10" t="n"/>
      <c r="AD43" s="10" t="n"/>
      <c r="AE43" s="11" t="n"/>
      <c r="AF43" s="10" t="n"/>
      <c r="AG43" s="10" t="n"/>
      <c r="AH43" s="10" t="n"/>
      <c r="AI43" s="10" t="n"/>
      <c r="AJ43" s="11" t="n"/>
      <c r="AK43" s="10" t="n"/>
      <c r="AL43" s="10" t="n"/>
      <c r="AM43" s="10" t="n"/>
      <c r="AN43" s="10" t="n"/>
      <c r="AO43" s="11" t="n"/>
    </row>
    <row r="44">
      <c r="A44" s="12" t="inlineStr">
        <is>
          <t>sc:종가</t>
        </is>
      </c>
      <c r="C44" t="inlineStr">
        <is>
          <t>종가</t>
        </is>
      </c>
      <c r="D44" s="32" t="n">
        <v>36750</v>
      </c>
      <c r="E44" s="2" t="inlineStr">
        <is>
          <t>원 — aikstockdata(금융위 T+1)</t>
        </is>
      </c>
      <c r="F44" s="9" t="n"/>
      <c r="K44" s="9" t="n"/>
      <c r="P44" s="9" t="n"/>
      <c r="U44" s="9" t="n"/>
      <c r="Z44" s="9" t="n"/>
      <c r="AB44" s="5" t="n"/>
      <c r="AC44" s="10" t="n"/>
      <c r="AD44" s="10" t="n"/>
      <c r="AE44" s="11" t="n"/>
      <c r="AF44" s="10" t="n"/>
      <c r="AG44" s="10" t="n"/>
      <c r="AH44" s="10" t="n"/>
      <c r="AI44" s="10" t="n"/>
      <c r="AJ44" s="11" t="n"/>
      <c r="AK44" s="10" t="n"/>
      <c r="AL44" s="10" t="n"/>
      <c r="AM44" s="10" t="n"/>
      <c r="AN44" s="10" t="n"/>
      <c r="AO44" s="11" t="n"/>
    </row>
    <row r="45">
      <c r="A45" s="12" t="inlineStr">
        <is>
          <t>sc:기준일</t>
        </is>
      </c>
      <c r="C45" t="inlineStr">
        <is>
          <t>기준일</t>
        </is>
      </c>
      <c r="D45" s="33" t="inlineStr">
        <is>
          <t>20260929</t>
        </is>
      </c>
      <c r="E45" s="2" t="inlineStr">
        <is>
          <t>종가 기준일</t>
        </is>
      </c>
      <c r="F45" s="9" t="n"/>
      <c r="K45" s="9" t="n"/>
      <c r="P45" s="9" t="n"/>
      <c r="U45" s="9" t="n"/>
      <c r="Z45" s="9" t="n"/>
      <c r="AB45" s="5" t="n"/>
      <c r="AC45" s="10" t="n"/>
      <c r="AD45" s="10" t="n"/>
      <c r="AE45" s="11" t="n"/>
      <c r="AF45" s="10" t="n"/>
      <c r="AG45" s="10" t="n"/>
      <c r="AH45" s="10" t="n"/>
      <c r="AI45" s="10" t="n"/>
      <c r="AJ45" s="11" t="n"/>
      <c r="AK45" s="10" t="n"/>
      <c r="AL45" s="10" t="n"/>
      <c r="AM45" s="10" t="n"/>
      <c r="AN45" s="10" t="n"/>
      <c r="AO45" s="11" t="n"/>
    </row>
    <row r="46">
      <c r="A46" s="12" t="inlineStr">
        <is>
          <t>sc:COE</t>
        </is>
      </c>
      <c r="C46" t="inlineStr">
        <is>
          <t>COE</t>
        </is>
      </c>
      <c r="D46" s="24" t="n">
        <v>0.09</v>
      </c>
      <c r="E46" s="2" t="inlineStr">
        <is>
          <t>자기자본비용(가정)</t>
        </is>
      </c>
      <c r="F46" s="9" t="n"/>
      <c r="K46" s="9" t="n"/>
      <c r="P46" s="9" t="n"/>
      <c r="U46" s="9" t="n"/>
      <c r="Z46" s="9" t="n"/>
      <c r="AB46" s="5" t="n"/>
      <c r="AC46" s="10" t="n"/>
      <c r="AD46" s="10" t="n"/>
      <c r="AE46" s="11" t="n"/>
      <c r="AF46" s="10" t="n"/>
      <c r="AG46" s="10" t="n"/>
      <c r="AH46" s="10" t="n"/>
      <c r="AI46" s="10" t="n"/>
      <c r="AJ46" s="11" t="n"/>
      <c r="AK46" s="10" t="n"/>
      <c r="AL46" s="10" t="n"/>
      <c r="AM46" s="10" t="n"/>
      <c r="AN46" s="10" t="n"/>
      <c r="AO46" s="11" t="n"/>
    </row>
    <row r="47">
      <c r="A47" s="12" t="inlineStr">
        <is>
          <t>sc:PER_lo</t>
        </is>
      </c>
      <c r="C47" t="inlineStr">
        <is>
          <t>PER_lo</t>
        </is>
      </c>
      <c r="D47" s="29" t="n">
        <v>7</v>
      </c>
      <c r="E47" s="2" t="inlineStr">
        <is>
          <t>PER 밴드 하단(배) — hist_quarterly(분기 평균가 ÷ TTM EPS, 16분기, 25/50/75 백분위)</t>
        </is>
      </c>
      <c r="F47" s="9" t="n"/>
      <c r="K47" s="9" t="n"/>
      <c r="P47" s="9" t="n"/>
      <c r="U47" s="9" t="n"/>
      <c r="Z47" s="9" t="n"/>
      <c r="AB47" s="5" t="n"/>
      <c r="AC47" s="10" t="n"/>
      <c r="AD47" s="10" t="n"/>
      <c r="AE47" s="11" t="n"/>
      <c r="AF47" s="10" t="n"/>
      <c r="AG47" s="10" t="n"/>
      <c r="AH47" s="10" t="n"/>
      <c r="AI47" s="10" t="n"/>
      <c r="AJ47" s="11" t="n"/>
      <c r="AK47" s="10" t="n"/>
      <c r="AL47" s="10" t="n"/>
      <c r="AM47" s="10" t="n"/>
      <c r="AN47" s="10" t="n"/>
      <c r="AO47" s="11" t="n"/>
    </row>
    <row r="48">
      <c r="A48" s="12" t="inlineStr">
        <is>
          <t>sc:PER_mid</t>
        </is>
      </c>
      <c r="C48" t="inlineStr">
        <is>
          <t>PER_mid</t>
        </is>
      </c>
      <c r="D48" s="29" t="n">
        <v>7.6</v>
      </c>
      <c r="E48" s="2" t="inlineStr">
        <is>
          <t>PER 밴드 중단(배)</t>
        </is>
      </c>
      <c r="F48" s="9" t="n"/>
      <c r="K48" s="9" t="n"/>
      <c r="P48" s="9" t="n"/>
      <c r="U48" s="9" t="n"/>
      <c r="Z48" s="9" t="n"/>
      <c r="AB48" s="5" t="n"/>
      <c r="AC48" s="10" t="n"/>
      <c r="AD48" s="10" t="n"/>
      <c r="AE48" s="11" t="n"/>
      <c r="AF48" s="10" t="n"/>
      <c r="AG48" s="10" t="n"/>
      <c r="AH48" s="10" t="n"/>
      <c r="AI48" s="10" t="n"/>
      <c r="AJ48" s="11" t="n"/>
      <c r="AK48" s="10" t="n"/>
      <c r="AL48" s="10" t="n"/>
      <c r="AM48" s="10" t="n"/>
      <c r="AN48" s="10" t="n"/>
      <c r="AO48" s="11" t="n"/>
    </row>
    <row r="49">
      <c r="A49" s="12" t="inlineStr">
        <is>
          <t>sc:PER_hi</t>
        </is>
      </c>
      <c r="C49" t="inlineStr">
        <is>
          <t>PER_hi</t>
        </is>
      </c>
      <c r="D49" s="29" t="n">
        <v>8.1</v>
      </c>
      <c r="E49" s="2" t="inlineStr">
        <is>
          <t>PER 밴드 상단(배)</t>
        </is>
      </c>
      <c r="F49" s="9" t="n"/>
      <c r="K49" s="9" t="n"/>
      <c r="P49" s="9" t="n"/>
      <c r="U49" s="9" t="n"/>
      <c r="Z49" s="9" t="n"/>
      <c r="AB49" s="5" t="n"/>
      <c r="AC49" s="10" t="n"/>
      <c r="AD49" s="10" t="n"/>
      <c r="AE49" s="11" t="n"/>
      <c r="AF49" s="10" t="n"/>
      <c r="AG49" s="10" t="n"/>
      <c r="AH49" s="10" t="n"/>
      <c r="AI49" s="10" t="n"/>
      <c r="AJ49" s="11" t="n"/>
      <c r="AK49" s="10" t="n"/>
      <c r="AL49" s="10" t="n"/>
      <c r="AM49" s="10" t="n"/>
      <c r="AN49" s="10" t="n"/>
      <c r="AO49" s="11" t="n"/>
    </row>
    <row r="50">
      <c r="A50" s="12" t="inlineStr">
        <is>
          <t>sc:EPS_Y1가중</t>
        </is>
      </c>
      <c r="C50" t="inlineStr">
        <is>
          <t>EPS_Y1가중</t>
        </is>
      </c>
      <c r="D50" s="24" t="n">
        <v>0.5</v>
      </c>
      <c r="E50" s="2" t="inlineStr">
        <is>
          <t>12M fwd EPS = FY(last_actual연도)E × w + FY+1E × (1−w) — 기준 분기 2Q 이면 0.5(가정)</t>
        </is>
      </c>
      <c r="F50" s="9" t="n"/>
      <c r="K50" s="9" t="n"/>
      <c r="P50" s="9" t="n"/>
      <c r="U50" s="9" t="n"/>
      <c r="Z50" s="9" t="n"/>
      <c r="AB50" s="5" t="n"/>
      <c r="AC50" s="10" t="n"/>
      <c r="AD50" s="10" t="n"/>
      <c r="AE50" s="11" t="n"/>
      <c r="AF50" s="10" t="n"/>
      <c r="AG50" s="10" t="n"/>
      <c r="AH50" s="10" t="n"/>
      <c r="AI50" s="10" t="n"/>
      <c r="AJ50" s="11" t="n"/>
      <c r="AK50" s="10" t="n"/>
      <c r="AL50" s="10" t="n"/>
      <c r="AM50" s="10" t="n"/>
      <c r="AN50" s="10" t="n"/>
      <c r="AO50" s="11" t="n"/>
    </row>
    <row r="51">
      <c r="A51" s="12" t="inlineStr">
        <is>
          <t>sc:세율</t>
        </is>
      </c>
      <c r="C51" t="inlineStr">
        <is>
          <t>세율</t>
        </is>
      </c>
      <c r="D51" s="24" t="n">
        <v>0.2322</v>
      </c>
      <c r="E51" s="2" t="inlineStr">
        <is>
          <t>법인세율 가정(참고 — 추정 수식은 드라이버 행 참조)</t>
        </is>
      </c>
      <c r="F51" s="9" t="n"/>
      <c r="K51" s="9" t="n"/>
      <c r="P51" s="9" t="n"/>
      <c r="U51" s="9" t="n"/>
      <c r="Z51" s="9" t="n"/>
      <c r="AB51" s="5" t="n"/>
      <c r="AC51" s="10" t="n"/>
      <c r="AD51" s="10" t="n"/>
      <c r="AE51" s="11" t="n"/>
      <c r="AF51" s="10" t="n"/>
      <c r="AG51" s="10" t="n"/>
      <c r="AH51" s="10" t="n"/>
      <c r="AI51" s="10" t="n"/>
      <c r="AJ51" s="11" t="n"/>
      <c r="AK51" s="10" t="n"/>
      <c r="AL51" s="10" t="n"/>
      <c r="AM51" s="10" t="n"/>
      <c r="AN51" s="10" t="n"/>
      <c r="AO51" s="11" t="n"/>
    </row>
    <row r="52">
      <c r="A52" s="12" t="inlineStr">
        <is>
          <t>sc:판관비율</t>
        </is>
      </c>
      <c r="C52" t="inlineStr">
        <is>
          <t>판관비율</t>
        </is>
      </c>
      <c r="D52" s="24" t="n">
        <v>0.1227</v>
      </c>
      <c r="E52" s="2" t="inlineStr">
        <is>
          <t>판관비율 가정(참고)</t>
        </is>
      </c>
      <c r="F52" s="9" t="n"/>
      <c r="K52" s="9" t="n"/>
      <c r="P52" s="9" t="n"/>
      <c r="U52" s="9" t="n"/>
      <c r="Z52" s="9" t="n"/>
      <c r="AB52" s="5" t="n"/>
      <c r="AC52" s="10" t="n"/>
      <c r="AD52" s="10" t="n"/>
      <c r="AE52" s="11" t="n"/>
      <c r="AF52" s="10" t="n"/>
      <c r="AG52" s="10" t="n"/>
      <c r="AH52" s="10" t="n"/>
      <c r="AI52" s="10" t="n"/>
      <c r="AJ52" s="11" t="n"/>
      <c r="AK52" s="10" t="n"/>
      <c r="AL52" s="10" t="n"/>
      <c r="AM52" s="10" t="n"/>
      <c r="AN52" s="10" t="n"/>
      <c r="AO52" s="11" t="n"/>
    </row>
    <row r="53">
      <c r="A53" s="12" t="inlineStr">
        <is>
          <t>sc:배당성향</t>
        </is>
      </c>
      <c r="C53" t="inlineStr">
        <is>
          <t>배당성향</t>
        </is>
      </c>
      <c r="D53" s="24" t="n">
        <v>0.3159</v>
      </c>
      <c r="E53" s="2" t="inlineStr">
        <is>
          <t>배당성향 가정(참고)</t>
        </is>
      </c>
      <c r="F53" s="9" t="n"/>
      <c r="K53" s="9" t="n"/>
      <c r="P53" s="9" t="n"/>
      <c r="U53" s="9" t="n"/>
      <c r="Z53" s="9" t="n"/>
      <c r="AB53" s="5" t="n"/>
      <c r="AC53" s="10" t="n"/>
      <c r="AD53" s="10" t="n"/>
      <c r="AE53" s="11" t="n"/>
      <c r="AF53" s="10" t="n"/>
      <c r="AG53" s="10" t="n"/>
      <c r="AH53" s="10" t="n"/>
      <c r="AI53" s="10" t="n"/>
      <c r="AJ53" s="11" t="n"/>
      <c r="AK53" s="10" t="n"/>
      <c r="AL53" s="10" t="n"/>
      <c r="AM53" s="10" t="n"/>
      <c r="AN53" s="10" t="n"/>
      <c r="AO53" s="11" t="n"/>
    </row>
    <row r="54">
      <c r="A54" s="12" t="inlineStr">
        <is>
          <t>sc:외화순노출_백만$</t>
        </is>
      </c>
      <c r="C54" t="inlineStr">
        <is>
          <t>외화순노출_백만$</t>
        </is>
      </c>
      <c r="D54" s="29" t="n"/>
      <c r="E54" s="2" t="inlineStr">
        <is>
          <t>외화 순노출 × Δ기말환율 (외화 시트 방식)</t>
        </is>
      </c>
      <c r="F54" s="9" t="n"/>
      <c r="K54" s="9" t="n"/>
      <c r="P54" s="9" t="n"/>
      <c r="U54" s="9" t="n"/>
      <c r="Z54" s="9" t="n"/>
      <c r="AB54" s="5" t="n"/>
      <c r="AC54" s="10" t="n"/>
      <c r="AD54" s="10" t="n"/>
      <c r="AE54" s="11" t="n"/>
      <c r="AF54" s="10" t="n"/>
      <c r="AG54" s="10" t="n"/>
      <c r="AH54" s="10" t="n"/>
      <c r="AI54" s="10" t="n"/>
      <c r="AJ54" s="11" t="n"/>
      <c r="AK54" s="10" t="n"/>
      <c r="AL54" s="10" t="n"/>
      <c r="AM54" s="10" t="n"/>
      <c r="AN54" s="10" t="n"/>
      <c r="AO54" s="11" t="n"/>
    </row>
  </sheetData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O69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</cols>
  <sheetData>
    <row r="1">
      <c r="B1" s="2" t="inlineStr">
        <is>
          <t>(백만원)</t>
        </is>
      </c>
      <c r="C1" s="2" t="inlineStr">
        <is>
          <t>이름: BS연결H</t>
        </is>
      </c>
      <c r="E1" s="3" t="inlineStr">
        <is>
          <t>4Q21</t>
        </is>
      </c>
      <c r="F1" s="3" t="n">
        <v>2021</v>
      </c>
      <c r="G1" s="3" t="inlineStr">
        <is>
          <t>1Q22</t>
        </is>
      </c>
      <c r="H1" s="3" t="inlineStr">
        <is>
          <t>2Q22</t>
        </is>
      </c>
      <c r="I1" s="3" t="inlineStr">
        <is>
          <t>3Q22</t>
        </is>
      </c>
      <c r="J1" s="3" t="inlineStr">
        <is>
          <t>4Q22</t>
        </is>
      </c>
      <c r="K1" s="3" t="n">
        <v>2022</v>
      </c>
      <c r="L1" s="3" t="inlineStr">
        <is>
          <t>1Q23</t>
        </is>
      </c>
      <c r="M1" s="3" t="inlineStr">
        <is>
          <t>2Q23</t>
        </is>
      </c>
      <c r="N1" s="3" t="inlineStr">
        <is>
          <t>3Q23</t>
        </is>
      </c>
      <c r="O1" s="3" t="inlineStr">
        <is>
          <t>4Q23</t>
        </is>
      </c>
      <c r="P1" s="3" t="n">
        <v>2023</v>
      </c>
      <c r="Q1" s="3" t="inlineStr">
        <is>
          <t>1Q24</t>
        </is>
      </c>
      <c r="R1" s="3" t="inlineStr">
        <is>
          <t>2Q24</t>
        </is>
      </c>
      <c r="S1" s="3" t="inlineStr">
        <is>
          <t>3Q24</t>
        </is>
      </c>
      <c r="T1" s="3" t="inlineStr">
        <is>
          <t>4Q24</t>
        </is>
      </c>
      <c r="U1" s="3" t="n">
        <v>2024</v>
      </c>
      <c r="V1" s="3" t="inlineStr">
        <is>
          <t>1Q25</t>
        </is>
      </c>
      <c r="W1" s="3" t="inlineStr">
        <is>
          <t>2Q25</t>
        </is>
      </c>
      <c r="X1" s="3" t="inlineStr">
        <is>
          <t>3Q25</t>
        </is>
      </c>
      <c r="Y1" s="3" t="inlineStr">
        <is>
          <t>4Q25</t>
        </is>
      </c>
      <c r="Z1" s="3" t="n">
        <v>2025</v>
      </c>
      <c r="AA1" s="3" t="inlineStr">
        <is>
          <t>1Q26</t>
        </is>
      </c>
      <c r="AB1" s="4" t="inlineStr">
        <is>
          <t>2Q26</t>
        </is>
      </c>
      <c r="AC1" s="3" t="inlineStr">
        <is>
          <t>3Q26</t>
        </is>
      </c>
      <c r="AD1" s="3" t="inlineStr">
        <is>
          <t>4Q26</t>
        </is>
      </c>
      <c r="AE1" s="3" t="n">
        <v>2026</v>
      </c>
      <c r="AF1" s="3" t="inlineStr">
        <is>
          <t>1Q27</t>
        </is>
      </c>
      <c r="AG1" s="3" t="inlineStr">
        <is>
          <t>2Q27</t>
        </is>
      </c>
      <c r="AH1" s="3" t="inlineStr">
        <is>
          <t>3Q27</t>
        </is>
      </c>
      <c r="AI1" s="3" t="inlineStr">
        <is>
          <t>4Q27</t>
        </is>
      </c>
      <c r="AJ1" s="3" t="n">
        <v>2027</v>
      </c>
      <c r="AK1" s="3" t="inlineStr">
        <is>
          <t>1Q28</t>
        </is>
      </c>
      <c r="AL1" s="3" t="inlineStr">
        <is>
          <t>2Q28</t>
        </is>
      </c>
      <c r="AM1" s="3" t="inlineStr">
        <is>
          <t>3Q28</t>
        </is>
      </c>
      <c r="AN1" s="3" t="inlineStr">
        <is>
          <t>4Q28</t>
        </is>
      </c>
      <c r="AO1" s="3" t="n">
        <v>2028</v>
      </c>
    </row>
    <row r="2">
      <c r="B2" t="inlineStr">
        <is>
          <t>연결</t>
        </is>
      </c>
      <c r="D2" s="2" t="inlineStr">
        <is>
          <t>fin json(kship_fin.py)</t>
        </is>
      </c>
      <c r="AB2" s="5" t="n"/>
    </row>
    <row r="3">
      <c r="B3" t="inlineStr">
        <is>
          <t>하이록코리아(연)</t>
        </is>
      </c>
      <c r="C3" s="2" t="inlineStr">
        <is>
          <t>UPDATE: 26-10-02</t>
        </is>
      </c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6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</row>
    <row r="4">
      <c r="B4" s="2" t="inlineStr">
        <is>
          <t>Account Code</t>
        </is>
      </c>
      <c r="C4" s="2" t="inlineStr">
        <is>
          <t>AccountNAME</t>
        </is>
      </c>
      <c r="E4" s="7" t="inlineStr">
        <is>
          <t>2021.12</t>
        </is>
      </c>
      <c r="F4" s="7" t="inlineStr">
        <is>
          <t>2021.12A</t>
        </is>
      </c>
      <c r="G4" s="7" t="inlineStr">
        <is>
          <t>2022.03</t>
        </is>
      </c>
      <c r="H4" s="7" t="inlineStr">
        <is>
          <t>2022.06</t>
        </is>
      </c>
      <c r="I4" s="7" t="inlineStr">
        <is>
          <t>2022.09</t>
        </is>
      </c>
      <c r="J4" s="7" t="inlineStr">
        <is>
          <t>2022.12</t>
        </is>
      </c>
      <c r="K4" s="7" t="inlineStr">
        <is>
          <t>2022.12A</t>
        </is>
      </c>
      <c r="L4" s="7" t="inlineStr">
        <is>
          <t>2023.03</t>
        </is>
      </c>
      <c r="M4" s="7" t="inlineStr">
        <is>
          <t>2023.06</t>
        </is>
      </c>
      <c r="N4" s="7" t="inlineStr">
        <is>
          <t>2023.09</t>
        </is>
      </c>
      <c r="O4" s="7" t="inlineStr">
        <is>
          <t>2023.12</t>
        </is>
      </c>
      <c r="P4" s="7" t="inlineStr">
        <is>
          <t>2023.12A</t>
        </is>
      </c>
      <c r="Q4" s="7" t="inlineStr">
        <is>
          <t>2024.03</t>
        </is>
      </c>
      <c r="R4" s="7" t="inlineStr">
        <is>
          <t>2024.06</t>
        </is>
      </c>
      <c r="S4" s="7" t="inlineStr">
        <is>
          <t>2024.09</t>
        </is>
      </c>
      <c r="T4" s="7" t="inlineStr">
        <is>
          <t>2024.12</t>
        </is>
      </c>
      <c r="U4" s="7" t="inlineStr">
        <is>
          <t>2024.12A</t>
        </is>
      </c>
      <c r="V4" s="7" t="inlineStr">
        <is>
          <t>2025.03</t>
        </is>
      </c>
      <c r="W4" s="7" t="inlineStr">
        <is>
          <t>2025.06</t>
        </is>
      </c>
      <c r="X4" s="7" t="inlineStr">
        <is>
          <t>2025.09</t>
        </is>
      </c>
      <c r="Y4" s="7" t="inlineStr">
        <is>
          <t>2025.12</t>
        </is>
      </c>
      <c r="Z4" s="7" t="inlineStr">
        <is>
          <t>2025.12A</t>
        </is>
      </c>
      <c r="AA4" s="7" t="inlineStr">
        <is>
          <t>2026.03</t>
        </is>
      </c>
      <c r="AB4" s="8" t="inlineStr">
        <is>
          <t>2026.06</t>
        </is>
      </c>
      <c r="AC4" s="7" t="inlineStr">
        <is>
          <t>2026.09</t>
        </is>
      </c>
      <c r="AD4" s="7" t="inlineStr">
        <is>
          <t>2026.12</t>
        </is>
      </c>
      <c r="AE4" s="7" t="inlineStr">
        <is>
          <t>2026.12A</t>
        </is>
      </c>
      <c r="AF4" s="7" t="inlineStr">
        <is>
          <t>2027.03</t>
        </is>
      </c>
      <c r="AG4" s="7" t="inlineStr">
        <is>
          <t>2027.06</t>
        </is>
      </c>
      <c r="AH4" s="7" t="inlineStr">
        <is>
          <t>2027.09</t>
        </is>
      </c>
      <c r="AI4" s="7" t="inlineStr">
        <is>
          <t>2027.12</t>
        </is>
      </c>
      <c r="AJ4" s="7" t="inlineStr">
        <is>
          <t>2027.12A</t>
        </is>
      </c>
      <c r="AK4" s="7" t="inlineStr">
        <is>
          <t>2028.03</t>
        </is>
      </c>
      <c r="AL4" s="7" t="inlineStr">
        <is>
          <t>2028.06</t>
        </is>
      </c>
      <c r="AM4" s="7" t="inlineStr">
        <is>
          <t>2028.09</t>
        </is>
      </c>
      <c r="AN4" s="7" t="inlineStr">
        <is>
          <t>2028.12</t>
        </is>
      </c>
      <c r="AO4" s="7" t="inlineStr">
        <is>
          <t>2028.12A</t>
        </is>
      </c>
    </row>
    <row r="5">
      <c r="A5" t="n">
        <v>1</v>
      </c>
      <c r="C5" t="inlineStr">
        <is>
          <t>유동자산</t>
        </is>
      </c>
      <c r="E5" s="18" t="n">
        <v>281619.18</v>
      </c>
      <c r="F5" s="34" t="n">
        <v>281619.18</v>
      </c>
      <c r="G5" s="18" t="n">
        <v>286421.34</v>
      </c>
      <c r="H5" s="18" t="n">
        <v>294536.08</v>
      </c>
      <c r="I5" s="18" t="n">
        <v>308862.51</v>
      </c>
      <c r="J5" s="18" t="n">
        <v>314733.92</v>
      </c>
      <c r="K5" s="34" t="n">
        <v>314733.92</v>
      </c>
      <c r="L5" s="18" t="n">
        <v>316829.87</v>
      </c>
      <c r="M5" s="18" t="n">
        <v>323301.44</v>
      </c>
      <c r="N5" s="18" t="n">
        <v>333748.8</v>
      </c>
      <c r="O5" s="18" t="n">
        <v>334758.95</v>
      </c>
      <c r="P5" s="34" t="n">
        <v>334758.95</v>
      </c>
      <c r="Q5" s="18" t="n">
        <v>347512.9</v>
      </c>
      <c r="R5" s="18" t="n">
        <v>337258.02</v>
      </c>
      <c r="S5" s="18" t="n">
        <v>343202.16</v>
      </c>
      <c r="T5" s="18" t="n">
        <v>367167.1</v>
      </c>
      <c r="U5" s="34" t="n">
        <v>367167.1</v>
      </c>
      <c r="V5" s="18" t="n">
        <v>371111.62</v>
      </c>
      <c r="W5" s="18" t="n">
        <v>358155.42</v>
      </c>
      <c r="X5" s="18" t="n">
        <v>370909.77</v>
      </c>
      <c r="Y5" s="18" t="n">
        <v>385627.56</v>
      </c>
      <c r="Z5" s="34" t="n">
        <v>385627.56</v>
      </c>
      <c r="AA5" s="18" t="n">
        <v>399220.69</v>
      </c>
      <c r="AB5" s="19" t="n">
        <v>401405.86</v>
      </c>
      <c r="AC5" s="10" t="n"/>
      <c r="AD5" s="10" t="n"/>
      <c r="AE5" s="11" t="n"/>
      <c r="AF5" s="10" t="n"/>
      <c r="AG5" s="10" t="n"/>
      <c r="AH5" s="10" t="n"/>
      <c r="AI5" s="10" t="n"/>
      <c r="AJ5" s="11" t="n"/>
      <c r="AK5" s="10" t="n"/>
      <c r="AL5" s="10" t="n"/>
      <c r="AM5" s="10" t="n"/>
      <c r="AN5" s="10" t="n"/>
      <c r="AO5" s="11" t="n"/>
    </row>
    <row r="6">
      <c r="A6" t="n">
        <v>1</v>
      </c>
      <c r="C6" t="inlineStr">
        <is>
          <t>현금및현금성자산</t>
        </is>
      </c>
      <c r="E6" s="18" t="n">
        <v>66056.91</v>
      </c>
      <c r="F6" s="34" t="n">
        <v>66056.91</v>
      </c>
      <c r="G6" s="18" t="n">
        <v>44596.12</v>
      </c>
      <c r="H6" s="18" t="n">
        <v>20050.32</v>
      </c>
      <c r="I6" s="18" t="n">
        <v>61310.63</v>
      </c>
      <c r="J6" s="18" t="n">
        <v>55323.48</v>
      </c>
      <c r="K6" s="34" t="n">
        <v>55323.48</v>
      </c>
      <c r="L6" s="18" t="n">
        <v>151900.84</v>
      </c>
      <c r="M6" s="18" t="n">
        <v>131988.86</v>
      </c>
      <c r="N6" s="18" t="n">
        <v>137429.09</v>
      </c>
      <c r="O6" s="18" t="n">
        <v>170178.98</v>
      </c>
      <c r="P6" s="34" t="n">
        <v>170178.98</v>
      </c>
      <c r="Q6" s="18" t="n">
        <v>182205.41</v>
      </c>
      <c r="R6" s="18" t="n">
        <v>170730.41</v>
      </c>
      <c r="S6" s="18" t="n">
        <v>187871.31</v>
      </c>
      <c r="T6" s="18" t="n">
        <v>194323.89</v>
      </c>
      <c r="U6" s="34" t="n">
        <v>194323.89</v>
      </c>
      <c r="V6" s="18" t="n">
        <v>188946.26</v>
      </c>
      <c r="W6" s="18" t="n">
        <v>179720.53</v>
      </c>
      <c r="X6" s="18" t="n">
        <v>183944.34</v>
      </c>
      <c r="Y6" s="18" t="n">
        <v>191225.63</v>
      </c>
      <c r="Z6" s="34" t="n">
        <v>191225.63</v>
      </c>
      <c r="AA6" s="18" t="n">
        <v>174520.6</v>
      </c>
      <c r="AB6" s="19" t="n">
        <v>185542.5</v>
      </c>
      <c r="AC6" s="10" t="n"/>
      <c r="AD6" s="10" t="n"/>
      <c r="AE6" s="11" t="n"/>
      <c r="AF6" s="10" t="n"/>
      <c r="AG6" s="10" t="n"/>
      <c r="AH6" s="10" t="n"/>
      <c r="AI6" s="10" t="n"/>
      <c r="AJ6" s="11" t="n"/>
      <c r="AK6" s="10" t="n"/>
      <c r="AL6" s="10" t="n"/>
      <c r="AM6" s="10" t="n"/>
      <c r="AN6" s="10" t="n"/>
      <c r="AO6" s="11" t="n"/>
    </row>
    <row r="7">
      <c r="A7" t="n">
        <v>1</v>
      </c>
      <c r="C7" t="inlineStr">
        <is>
          <t>단기금융상품</t>
        </is>
      </c>
      <c r="E7" s="18" t="n">
        <v>109904.35</v>
      </c>
      <c r="F7" s="34" t="n">
        <v>109904.35</v>
      </c>
      <c r="G7" s="18" t="n">
        <v>132104.35</v>
      </c>
      <c r="H7" s="18" t="n">
        <v>153906.83</v>
      </c>
      <c r="I7" s="18" t="n">
        <v>113200</v>
      </c>
      <c r="J7" s="18" t="n">
        <v>128500</v>
      </c>
      <c r="K7" s="34" t="n">
        <v>128500</v>
      </c>
      <c r="L7" s="18" t="n">
        <v>25500</v>
      </c>
      <c r="M7" s="18" t="n">
        <v>46000</v>
      </c>
      <c r="N7" s="18" t="n">
        <v>43500</v>
      </c>
      <c r="O7" s="18" t="n">
        <v>10000</v>
      </c>
      <c r="P7" s="34" t="n">
        <v>10000</v>
      </c>
      <c r="R7" s="18" t="n">
        <v>9000</v>
      </c>
      <c r="S7" s="18" t="n">
        <v>5000</v>
      </c>
      <c r="T7" s="18" t="n">
        <v>5000</v>
      </c>
      <c r="U7" s="34" t="n">
        <v>5000</v>
      </c>
      <c r="V7" s="18" t="n">
        <v>7500</v>
      </c>
      <c r="W7" s="18" t="n">
        <v>5000</v>
      </c>
      <c r="X7" s="18" t="n">
        <v>5000</v>
      </c>
      <c r="Y7" s="18" t="n">
        <v>5000</v>
      </c>
      <c r="Z7" s="34" t="n">
        <v>5000</v>
      </c>
      <c r="AA7" s="18" t="n">
        <v>5000</v>
      </c>
      <c r="AB7" s="19" t="n">
        <v>5000</v>
      </c>
      <c r="AC7" s="10" t="n"/>
      <c r="AD7" s="10" t="n"/>
      <c r="AE7" s="11" t="n"/>
      <c r="AF7" s="10" t="n"/>
      <c r="AG7" s="10" t="n"/>
      <c r="AH7" s="10" t="n"/>
      <c r="AI7" s="10" t="n"/>
      <c r="AJ7" s="11" t="n"/>
      <c r="AK7" s="10" t="n"/>
      <c r="AL7" s="10" t="n"/>
      <c r="AM7" s="10" t="n"/>
      <c r="AN7" s="10" t="n"/>
      <c r="AO7" s="11" t="n"/>
    </row>
    <row r="8">
      <c r="A8" t="n">
        <v>1</v>
      </c>
      <c r="C8" t="inlineStr">
        <is>
          <t>단기금융자산</t>
        </is>
      </c>
      <c r="E8" s="18" t="n">
        <v>109904.35</v>
      </c>
      <c r="F8" s="34" t="n">
        <v>109904.35</v>
      </c>
      <c r="G8" s="18" t="n">
        <v>132104.35</v>
      </c>
      <c r="H8" s="18" t="n">
        <v>153906.83</v>
      </c>
      <c r="I8" s="18" t="n">
        <v>113200</v>
      </c>
      <c r="J8" s="18" t="n">
        <v>128500</v>
      </c>
      <c r="K8" s="34" t="n">
        <v>128500</v>
      </c>
      <c r="L8" s="18" t="n">
        <v>25500</v>
      </c>
      <c r="M8" s="18" t="n">
        <v>46000</v>
      </c>
      <c r="N8" s="18" t="n">
        <v>43500</v>
      </c>
      <c r="O8" s="18" t="n">
        <v>10000</v>
      </c>
      <c r="P8" s="34" t="n">
        <v>10000</v>
      </c>
      <c r="R8" s="18" t="n">
        <v>9000</v>
      </c>
      <c r="S8" s="18" t="n">
        <v>5000</v>
      </c>
      <c r="T8" s="18" t="n">
        <v>5000</v>
      </c>
      <c r="U8" s="34" t="n">
        <v>5000</v>
      </c>
      <c r="V8" s="18" t="n">
        <v>7500</v>
      </c>
      <c r="W8" s="18" t="n">
        <v>5000</v>
      </c>
      <c r="X8" s="18" t="n">
        <v>5000</v>
      </c>
      <c r="Y8" s="18" t="n">
        <v>5000</v>
      </c>
      <c r="Z8" s="34" t="n">
        <v>5000</v>
      </c>
      <c r="AA8" s="18" t="n">
        <v>5000</v>
      </c>
      <c r="AB8" s="19" t="n">
        <v>5000</v>
      </c>
      <c r="AC8" s="10" t="n"/>
      <c r="AD8" s="10" t="n"/>
      <c r="AE8" s="11" t="n"/>
      <c r="AF8" s="10" t="n"/>
      <c r="AG8" s="10" t="n"/>
      <c r="AH8" s="10" t="n"/>
      <c r="AI8" s="10" t="n"/>
      <c r="AJ8" s="11" t="n"/>
      <c r="AK8" s="10" t="n"/>
      <c r="AL8" s="10" t="n"/>
      <c r="AM8" s="10" t="n"/>
      <c r="AN8" s="10" t="n"/>
      <c r="AO8" s="11" t="n"/>
    </row>
    <row r="9">
      <c r="A9" t="n">
        <v>1</v>
      </c>
      <c r="C9" t="inlineStr">
        <is>
          <t>단기투자자산(공정가치)</t>
        </is>
      </c>
      <c r="E9" s="18" t="n">
        <v>124.75</v>
      </c>
      <c r="F9" s="34" t="n">
        <v>124.75</v>
      </c>
      <c r="G9" s="18" t="n">
        <v>126.91</v>
      </c>
      <c r="H9" s="18" t="n">
        <v>136.24</v>
      </c>
      <c r="I9" s="18" t="n">
        <v>145.93</v>
      </c>
      <c r="J9" s="18" t="n">
        <v>134.27</v>
      </c>
      <c r="K9" s="34" t="n">
        <v>134.27</v>
      </c>
      <c r="L9" s="18" t="n">
        <v>137.01</v>
      </c>
      <c r="M9" s="18" t="n">
        <v>91.56</v>
      </c>
      <c r="N9" s="18" t="n">
        <v>1.2</v>
      </c>
      <c r="O9" s="18" t="n">
        <v>2558.21</v>
      </c>
      <c r="P9" s="34" t="n">
        <v>2558.21</v>
      </c>
      <c r="Q9" s="18" t="n">
        <v>9808.799999999999</v>
      </c>
      <c r="R9" s="18" t="n">
        <v>4709.36</v>
      </c>
      <c r="S9" s="18" t="n">
        <v>1218.76</v>
      </c>
      <c r="T9" s="18" t="n">
        <v>4975.66</v>
      </c>
      <c r="U9" s="34" t="n">
        <v>4975.66</v>
      </c>
      <c r="V9" s="18" t="n">
        <v>9310.51</v>
      </c>
      <c r="W9" s="18" t="n">
        <v>7910.79</v>
      </c>
      <c r="X9" s="18" t="n">
        <v>14837.55</v>
      </c>
      <c r="Y9" s="18" t="n">
        <v>16200.91</v>
      </c>
      <c r="Z9" s="34" t="n">
        <v>16200.91</v>
      </c>
      <c r="AA9" s="18" t="n">
        <v>46435.24</v>
      </c>
      <c r="AB9" s="19" t="n">
        <v>32533.51</v>
      </c>
      <c r="AC9" s="10" t="n"/>
      <c r="AD9" s="10" t="n"/>
      <c r="AE9" s="11" t="n"/>
      <c r="AF9" s="10" t="n"/>
      <c r="AG9" s="10" t="n"/>
      <c r="AH9" s="10" t="n"/>
      <c r="AI9" s="10" t="n"/>
      <c r="AJ9" s="11" t="n"/>
      <c r="AK9" s="10" t="n"/>
      <c r="AL9" s="10" t="n"/>
      <c r="AM9" s="10" t="n"/>
      <c r="AN9" s="10" t="n"/>
      <c r="AO9" s="11" t="n"/>
    </row>
    <row r="10">
      <c r="A10" t="n">
        <v>1</v>
      </c>
      <c r="C10" t="inlineStr">
        <is>
          <t>매출채권및기타채권</t>
        </is>
      </c>
      <c r="E10" s="18" t="n">
        <v>36779.87</v>
      </c>
      <c r="F10" s="34" t="n">
        <v>36779.87</v>
      </c>
      <c r="G10" s="18" t="n">
        <v>34215.23</v>
      </c>
      <c r="H10" s="18" t="n">
        <v>45343.79</v>
      </c>
      <c r="I10" s="18" t="n">
        <v>49684.05</v>
      </c>
      <c r="J10" s="18" t="n">
        <v>44786.84</v>
      </c>
      <c r="K10" s="34" t="n">
        <v>44786.84</v>
      </c>
      <c r="L10" s="18" t="n">
        <v>45129.22</v>
      </c>
      <c r="M10" s="18" t="n">
        <v>44882.93</v>
      </c>
      <c r="N10" s="18" t="n">
        <v>45735.73</v>
      </c>
      <c r="O10" s="18" t="n">
        <v>45108.43</v>
      </c>
      <c r="P10" s="34" t="n">
        <v>45108.43</v>
      </c>
      <c r="Q10" s="18" t="n">
        <v>47611.21</v>
      </c>
      <c r="R10" s="18" t="n">
        <v>44851.87</v>
      </c>
      <c r="S10" s="18" t="n">
        <v>40532.3</v>
      </c>
      <c r="T10" s="18" t="n">
        <v>50132.07</v>
      </c>
      <c r="U10" s="34" t="n">
        <v>50132.07</v>
      </c>
      <c r="V10" s="18" t="n">
        <v>53122.05</v>
      </c>
      <c r="W10" s="18" t="n">
        <v>51185.79</v>
      </c>
      <c r="X10" s="18" t="n">
        <v>47665.27</v>
      </c>
      <c r="Y10" s="18" t="n">
        <v>50228.88</v>
      </c>
      <c r="Z10" s="34" t="n">
        <v>50228.88</v>
      </c>
      <c r="AA10" s="18" t="n">
        <v>50537.27</v>
      </c>
      <c r="AB10" s="19" t="n">
        <v>47757.47</v>
      </c>
      <c r="AC10" s="10" t="n"/>
      <c r="AD10" s="10" t="n"/>
      <c r="AE10" s="11" t="n"/>
      <c r="AF10" s="10" t="n"/>
      <c r="AG10" s="10" t="n"/>
      <c r="AH10" s="10" t="n"/>
      <c r="AI10" s="10" t="n"/>
      <c r="AJ10" s="11" t="n"/>
      <c r="AK10" s="10" t="n"/>
      <c r="AL10" s="10" t="n"/>
      <c r="AM10" s="10" t="n"/>
      <c r="AN10" s="10" t="n"/>
      <c r="AO10" s="11" t="n"/>
    </row>
    <row r="11">
      <c r="A11" t="n">
        <v>1</v>
      </c>
      <c r="C11" t="inlineStr">
        <is>
          <t>재고자산</t>
        </is>
      </c>
      <c r="E11" s="18" t="n">
        <v>68129.89999999999</v>
      </c>
      <c r="F11" s="34" t="n">
        <v>68129.89999999999</v>
      </c>
      <c r="G11" s="18" t="n">
        <v>73821.13</v>
      </c>
      <c r="H11" s="18" t="n">
        <v>73836.10000000001</v>
      </c>
      <c r="I11" s="18" t="n">
        <v>82816.31</v>
      </c>
      <c r="J11" s="18" t="n">
        <v>84949.91</v>
      </c>
      <c r="K11" s="34" t="n">
        <v>84949.91</v>
      </c>
      <c r="L11" s="18" t="n">
        <v>92045.32000000001</v>
      </c>
      <c r="M11" s="18" t="n">
        <v>98803.28999999999</v>
      </c>
      <c r="N11" s="18" t="n">
        <v>105199.41</v>
      </c>
      <c r="O11" s="18" t="n">
        <v>106226.17</v>
      </c>
      <c r="P11" s="34" t="n">
        <v>106226.17</v>
      </c>
      <c r="Q11" s="18" t="n">
        <v>106607.54</v>
      </c>
      <c r="R11" s="18" t="n">
        <v>105818.39</v>
      </c>
      <c r="S11" s="18" t="n">
        <v>106072.33</v>
      </c>
      <c r="T11" s="18" t="n">
        <v>110715</v>
      </c>
      <c r="U11" s="34" t="n">
        <v>110715</v>
      </c>
      <c r="V11" s="18" t="n">
        <v>110205.92</v>
      </c>
      <c r="W11" s="18" t="n">
        <v>112398.52</v>
      </c>
      <c r="X11" s="18" t="n">
        <v>115738.64</v>
      </c>
      <c r="Y11" s="18" t="n">
        <v>119523.26</v>
      </c>
      <c r="Z11" s="34" t="n">
        <v>119523.26</v>
      </c>
      <c r="AA11" s="18" t="n">
        <v>118091.45</v>
      </c>
      <c r="AB11" s="19" t="n">
        <v>121885.95</v>
      </c>
      <c r="AC11" s="10" t="n"/>
      <c r="AD11" s="10" t="n"/>
      <c r="AE11" s="11" t="n"/>
      <c r="AF11" s="10" t="n"/>
      <c r="AG11" s="10" t="n"/>
      <c r="AH11" s="10" t="n"/>
      <c r="AI11" s="10" t="n"/>
      <c r="AJ11" s="11" t="n"/>
      <c r="AK11" s="10" t="n"/>
      <c r="AL11" s="10" t="n"/>
      <c r="AM11" s="10" t="n"/>
      <c r="AN11" s="10" t="n"/>
      <c r="AO11" s="11" t="n"/>
    </row>
    <row r="12">
      <c r="A12" t="n">
        <v>1</v>
      </c>
      <c r="C12" t="inlineStr">
        <is>
          <t>비유동자산</t>
        </is>
      </c>
      <c r="E12" s="18" t="n">
        <v>98176.95</v>
      </c>
      <c r="F12" s="34" t="n">
        <v>98176.95</v>
      </c>
      <c r="G12" s="18" t="n">
        <v>98059.45</v>
      </c>
      <c r="H12" s="18" t="n">
        <v>97688.57000000001</v>
      </c>
      <c r="I12" s="18" t="n">
        <v>98083.3</v>
      </c>
      <c r="J12" s="18" t="n">
        <v>97188.50999999999</v>
      </c>
      <c r="K12" s="34" t="n">
        <v>97188.50999999999</v>
      </c>
      <c r="L12" s="18" t="n">
        <v>108187.38</v>
      </c>
      <c r="M12" s="18" t="n">
        <v>107750.34</v>
      </c>
      <c r="N12" s="18" t="n">
        <v>108009.29</v>
      </c>
      <c r="O12" s="18" t="n">
        <v>108396.37</v>
      </c>
      <c r="P12" s="34" t="n">
        <v>108396.37</v>
      </c>
      <c r="Q12" s="18" t="n">
        <v>108206.89</v>
      </c>
      <c r="R12" s="18" t="n">
        <v>106260.15</v>
      </c>
      <c r="S12" s="18" t="n">
        <v>105354.27</v>
      </c>
      <c r="T12" s="18" t="n">
        <v>105513.12</v>
      </c>
      <c r="U12" s="34" t="n">
        <v>105513.12</v>
      </c>
      <c r="V12" s="18" t="n">
        <v>107830.91</v>
      </c>
      <c r="W12" s="18" t="n">
        <v>109078.74</v>
      </c>
      <c r="X12" s="18" t="n">
        <v>108981.28</v>
      </c>
      <c r="Y12" s="18" t="n">
        <v>112464.64</v>
      </c>
      <c r="Z12" s="34" t="n">
        <v>112464.64</v>
      </c>
      <c r="AA12" s="18" t="n">
        <v>111984.24</v>
      </c>
      <c r="AB12" s="19" t="n">
        <v>112549.54</v>
      </c>
      <c r="AC12" s="10" t="n"/>
      <c r="AD12" s="10" t="n"/>
      <c r="AE12" s="11" t="n"/>
      <c r="AF12" s="10" t="n"/>
      <c r="AG12" s="10" t="n"/>
      <c r="AH12" s="10" t="n"/>
      <c r="AI12" s="10" t="n"/>
      <c r="AJ12" s="11" t="n"/>
      <c r="AK12" s="10" t="n"/>
      <c r="AL12" s="10" t="n"/>
      <c r="AM12" s="10" t="n"/>
      <c r="AN12" s="10" t="n"/>
      <c r="AO12" s="11" t="n"/>
    </row>
    <row r="13">
      <c r="A13" t="n">
        <v>1</v>
      </c>
      <c r="C13" t="inlineStr">
        <is>
          <t>장기금융자산</t>
        </is>
      </c>
      <c r="E13" s="18" t="n">
        <v>99.25</v>
      </c>
      <c r="F13" s="34" t="n">
        <v>99.25</v>
      </c>
      <c r="G13" s="18" t="n">
        <v>99.25</v>
      </c>
      <c r="H13" s="18" t="n">
        <v>99.25</v>
      </c>
      <c r="I13" s="18" t="n">
        <v>99.25</v>
      </c>
      <c r="J13" s="18" t="n">
        <v>99.25</v>
      </c>
      <c r="K13" s="34" t="n">
        <v>99.25</v>
      </c>
      <c r="L13" s="18" t="n">
        <v>99.25</v>
      </c>
      <c r="M13" s="18" t="n">
        <v>99.25</v>
      </c>
      <c r="N13" s="18" t="n">
        <v>99.25</v>
      </c>
      <c r="O13" s="18" t="n">
        <v>99.25</v>
      </c>
      <c r="P13" s="34" t="n">
        <v>99.25</v>
      </c>
      <c r="Q13" s="18" t="n">
        <v>99.25</v>
      </c>
      <c r="R13" s="18" t="n">
        <v>99.25</v>
      </c>
      <c r="S13" s="18" t="n">
        <v>99.25</v>
      </c>
      <c r="T13" s="18" t="n">
        <v>99.25</v>
      </c>
      <c r="U13" s="34" t="n">
        <v>99.25</v>
      </c>
      <c r="V13" s="18" t="n">
        <v>99.25</v>
      </c>
      <c r="W13" s="18" t="n">
        <v>99.25</v>
      </c>
      <c r="X13" s="18" t="n">
        <v>99.25</v>
      </c>
      <c r="Y13" s="18" t="n">
        <v>99.25</v>
      </c>
      <c r="Z13" s="34" t="n">
        <v>99.25</v>
      </c>
      <c r="AA13" s="18" t="n">
        <v>99.25</v>
      </c>
      <c r="AB13" s="19" t="n">
        <v>99.25</v>
      </c>
      <c r="AC13" s="10" t="n"/>
      <c r="AD13" s="10" t="n"/>
      <c r="AE13" s="11" t="n"/>
      <c r="AF13" s="10" t="n"/>
      <c r="AG13" s="10" t="n"/>
      <c r="AH13" s="10" t="n"/>
      <c r="AI13" s="10" t="n"/>
      <c r="AJ13" s="11" t="n"/>
      <c r="AK13" s="10" t="n"/>
      <c r="AL13" s="10" t="n"/>
      <c r="AM13" s="10" t="n"/>
      <c r="AN13" s="10" t="n"/>
      <c r="AO13" s="11" t="n"/>
    </row>
    <row r="14">
      <c r="A14" t="n">
        <v>1</v>
      </c>
      <c r="C14" t="inlineStr">
        <is>
          <t>투자자산</t>
        </is>
      </c>
      <c r="E14" s="18" t="n">
        <v>99.25</v>
      </c>
      <c r="F14" s="34" t="n">
        <v>99.25</v>
      </c>
      <c r="G14" s="18" t="n">
        <v>99.25</v>
      </c>
      <c r="H14" s="18" t="n">
        <v>99.25</v>
      </c>
      <c r="I14" s="18" t="n">
        <v>99.25</v>
      </c>
      <c r="J14" s="18" t="n">
        <v>99.25</v>
      </c>
      <c r="K14" s="34" t="n">
        <v>99.25</v>
      </c>
      <c r="L14" s="18" t="n">
        <v>99.25</v>
      </c>
      <c r="M14" s="18" t="n">
        <v>99.25</v>
      </c>
      <c r="N14" s="18" t="n">
        <v>99.25</v>
      </c>
      <c r="O14" s="18" t="n">
        <v>99.25</v>
      </c>
      <c r="P14" s="34" t="n">
        <v>99.25</v>
      </c>
      <c r="Q14" s="18" t="n">
        <v>99.25</v>
      </c>
      <c r="R14" s="18" t="n">
        <v>99.25</v>
      </c>
      <c r="S14" s="18" t="n">
        <v>99.25</v>
      </c>
      <c r="T14" s="18" t="n">
        <v>99.25</v>
      </c>
      <c r="U14" s="34" t="n">
        <v>99.25</v>
      </c>
      <c r="V14" s="18" t="n">
        <v>99.25</v>
      </c>
      <c r="W14" s="18" t="n">
        <v>99.25</v>
      </c>
      <c r="X14" s="18" t="n">
        <v>99.25</v>
      </c>
      <c r="Y14" s="18" t="n">
        <v>99.25</v>
      </c>
      <c r="Z14" s="34" t="n">
        <v>99.25</v>
      </c>
      <c r="AA14" s="18" t="n">
        <v>99.25</v>
      </c>
      <c r="AB14" s="19" t="n">
        <v>99.25</v>
      </c>
      <c r="AC14" s="10" t="n"/>
      <c r="AD14" s="10" t="n"/>
      <c r="AE14" s="11" t="n"/>
      <c r="AF14" s="10" t="n"/>
      <c r="AG14" s="10" t="n"/>
      <c r="AH14" s="10" t="n"/>
      <c r="AI14" s="10" t="n"/>
      <c r="AJ14" s="11" t="n"/>
      <c r="AK14" s="10" t="n"/>
      <c r="AL14" s="10" t="n"/>
      <c r="AM14" s="10" t="n"/>
      <c r="AN14" s="10" t="n"/>
      <c r="AO14" s="11" t="n"/>
    </row>
    <row r="15">
      <c r="A15" t="n">
        <v>1</v>
      </c>
      <c r="C15" t="inlineStr">
        <is>
          <t>장기매출채권및기타채권</t>
        </is>
      </c>
      <c r="E15" s="18" t="n">
        <v>2871.74</v>
      </c>
      <c r="F15" s="34" t="n">
        <v>2871.74</v>
      </c>
      <c r="G15" s="18" t="n">
        <v>2929.54</v>
      </c>
      <c r="H15" s="18" t="n">
        <v>2720.39</v>
      </c>
      <c r="I15" s="18" t="n">
        <v>2618.18</v>
      </c>
      <c r="J15" s="18" t="n">
        <v>2999.18</v>
      </c>
      <c r="K15" s="34" t="n">
        <v>2999.18</v>
      </c>
      <c r="L15" s="18" t="n">
        <v>2879.46</v>
      </c>
      <c r="M15" s="18" t="n">
        <v>2739.56</v>
      </c>
      <c r="N15" s="18" t="n">
        <v>2611.66</v>
      </c>
      <c r="O15" s="18" t="n">
        <v>2507.16</v>
      </c>
      <c r="P15" s="34" t="n">
        <v>2507.16</v>
      </c>
      <c r="Q15" s="18" t="n">
        <v>2414.13</v>
      </c>
      <c r="R15" s="18" t="n">
        <v>2300.03</v>
      </c>
      <c r="S15" s="18" t="n">
        <v>2203.03</v>
      </c>
      <c r="T15" s="18" t="n">
        <v>2158.19</v>
      </c>
      <c r="U15" s="34" t="n">
        <v>2158.19</v>
      </c>
      <c r="V15" s="18" t="n">
        <v>2082.19</v>
      </c>
      <c r="W15" s="18" t="n">
        <v>1993.69</v>
      </c>
      <c r="X15" s="18" t="n">
        <v>2269.37</v>
      </c>
      <c r="Y15" s="18" t="n">
        <v>3262.6</v>
      </c>
      <c r="Z15" s="34" t="n">
        <v>3262.6</v>
      </c>
      <c r="AA15" s="18" t="n">
        <v>3456.25</v>
      </c>
      <c r="AB15" s="19" t="n">
        <v>3473.37</v>
      </c>
      <c r="AC15" s="10" t="n"/>
      <c r="AD15" s="10" t="n"/>
      <c r="AE15" s="11" t="n"/>
      <c r="AF15" s="10" t="n"/>
      <c r="AG15" s="10" t="n"/>
      <c r="AH15" s="10" t="n"/>
      <c r="AI15" s="10" t="n"/>
      <c r="AJ15" s="11" t="n"/>
      <c r="AK15" s="10" t="n"/>
      <c r="AL15" s="10" t="n"/>
      <c r="AM15" s="10" t="n"/>
      <c r="AN15" s="10" t="n"/>
      <c r="AO15" s="11" t="n"/>
    </row>
    <row r="16">
      <c r="A16" t="n">
        <v>1</v>
      </c>
      <c r="C16" t="inlineStr">
        <is>
          <t>유형자산</t>
        </is>
      </c>
      <c r="E16" s="18" t="n">
        <v>70810</v>
      </c>
      <c r="F16" s="34" t="n">
        <v>70810</v>
      </c>
      <c r="G16" s="18" t="n">
        <v>70630.94</v>
      </c>
      <c r="H16" s="18" t="n">
        <v>70722.95</v>
      </c>
      <c r="I16" s="18" t="n">
        <v>71325.34</v>
      </c>
      <c r="J16" s="18" t="n">
        <v>70697.66</v>
      </c>
      <c r="K16" s="34" t="n">
        <v>70697.66</v>
      </c>
      <c r="L16" s="18" t="n">
        <v>71017.00999999999</v>
      </c>
      <c r="M16" s="18" t="n">
        <v>70960.39</v>
      </c>
      <c r="N16" s="18" t="n">
        <v>72033.67</v>
      </c>
      <c r="O16" s="18" t="n">
        <v>72739.39</v>
      </c>
      <c r="P16" s="34" t="n">
        <v>72739.39</v>
      </c>
      <c r="Q16" s="18" t="n">
        <v>72364.75999999999</v>
      </c>
      <c r="R16" s="18" t="n">
        <v>71634.49000000001</v>
      </c>
      <c r="S16" s="18" t="n">
        <v>71994.74000000001</v>
      </c>
      <c r="T16" s="18" t="n">
        <v>72243.00999999999</v>
      </c>
      <c r="U16" s="34" t="n">
        <v>72243.00999999999</v>
      </c>
      <c r="V16" s="18" t="n">
        <v>74088.38</v>
      </c>
      <c r="W16" s="18" t="n">
        <v>75213.59</v>
      </c>
      <c r="X16" s="18" t="n">
        <v>75104.17</v>
      </c>
      <c r="Y16" s="18" t="n">
        <v>78151.09</v>
      </c>
      <c r="Z16" s="34" t="n">
        <v>78151.09</v>
      </c>
      <c r="AA16" s="18" t="n">
        <v>78034.75</v>
      </c>
      <c r="AB16" s="19" t="n">
        <v>78016.61</v>
      </c>
      <c r="AC16" s="10" t="n"/>
      <c r="AD16" s="10" t="n"/>
      <c r="AE16" s="11" t="n"/>
      <c r="AF16" s="10" t="n"/>
      <c r="AG16" s="10" t="n"/>
      <c r="AH16" s="10" t="n"/>
      <c r="AI16" s="10" t="n"/>
      <c r="AJ16" s="11" t="n"/>
      <c r="AK16" s="10" t="n"/>
      <c r="AL16" s="10" t="n"/>
      <c r="AM16" s="10" t="n"/>
      <c r="AN16" s="10" t="n"/>
      <c r="AO16" s="11" t="n"/>
    </row>
    <row r="17">
      <c r="A17" t="n">
        <v>1</v>
      </c>
      <c r="C17" t="inlineStr">
        <is>
          <t>투자부동산</t>
        </is>
      </c>
      <c r="E17" s="18" t="n">
        <v>11837.8</v>
      </c>
      <c r="F17" s="34" t="n">
        <v>11837.8</v>
      </c>
      <c r="G17" s="18" t="n">
        <v>11803.01</v>
      </c>
      <c r="H17" s="18" t="n">
        <v>11768.21</v>
      </c>
      <c r="I17" s="18" t="n">
        <v>11733.42</v>
      </c>
      <c r="J17" s="18" t="n">
        <v>11698.62</v>
      </c>
      <c r="K17" s="34" t="n">
        <v>11698.62</v>
      </c>
      <c r="L17" s="18" t="n">
        <v>19292.73</v>
      </c>
      <c r="M17" s="18" t="n">
        <v>19236.98</v>
      </c>
      <c r="N17" s="18" t="n">
        <v>19181.22</v>
      </c>
      <c r="O17" s="18" t="n">
        <v>19125.47</v>
      </c>
      <c r="P17" s="34" t="n">
        <v>19125.47</v>
      </c>
      <c r="Q17" s="18" t="n">
        <v>19069.72</v>
      </c>
      <c r="R17" s="18" t="n">
        <v>19013.96</v>
      </c>
      <c r="S17" s="18" t="n">
        <v>18958.21</v>
      </c>
      <c r="T17" s="18" t="n">
        <v>18902.46</v>
      </c>
      <c r="U17" s="34" t="n">
        <v>18902.46</v>
      </c>
      <c r="V17" s="18" t="n">
        <v>18846.7</v>
      </c>
      <c r="W17" s="18" t="n">
        <v>18790.95</v>
      </c>
      <c r="X17" s="18" t="n">
        <v>18735.19</v>
      </c>
      <c r="Y17" s="18" t="n">
        <v>18679.44</v>
      </c>
      <c r="Z17" s="34" t="n">
        <v>18679.44</v>
      </c>
      <c r="AA17" s="18" t="n">
        <v>18623.69</v>
      </c>
      <c r="AB17" s="19" t="n">
        <v>18567.93</v>
      </c>
      <c r="AC17" s="10" t="n"/>
      <c r="AD17" s="10" t="n"/>
      <c r="AE17" s="11" t="n"/>
      <c r="AF17" s="10" t="n"/>
      <c r="AG17" s="10" t="n"/>
      <c r="AH17" s="10" t="n"/>
      <c r="AI17" s="10" t="n"/>
      <c r="AJ17" s="11" t="n"/>
      <c r="AK17" s="10" t="n"/>
      <c r="AL17" s="10" t="n"/>
      <c r="AM17" s="10" t="n"/>
      <c r="AN17" s="10" t="n"/>
      <c r="AO17" s="11" t="n"/>
    </row>
    <row r="18">
      <c r="A18" t="n">
        <v>1</v>
      </c>
      <c r="C18" t="inlineStr">
        <is>
          <t>무형자산</t>
        </is>
      </c>
      <c r="E18" s="18" t="n">
        <v>8114.46</v>
      </c>
      <c r="F18" s="34" t="n">
        <v>8114.46</v>
      </c>
      <c r="G18" s="18" t="n">
        <v>8114.46</v>
      </c>
      <c r="H18" s="18" t="n">
        <v>8105.72</v>
      </c>
      <c r="I18" s="18" t="n">
        <v>7806.51</v>
      </c>
      <c r="J18" s="18" t="n">
        <v>7777.76</v>
      </c>
      <c r="K18" s="34" t="n">
        <v>7777.76</v>
      </c>
      <c r="L18" s="18" t="n">
        <v>7805.26</v>
      </c>
      <c r="M18" s="18" t="n">
        <v>7811.51</v>
      </c>
      <c r="N18" s="18" t="n">
        <v>7803.38</v>
      </c>
      <c r="O18" s="18" t="n">
        <v>7787.76</v>
      </c>
      <c r="P18" s="34" t="n">
        <v>7787.76</v>
      </c>
      <c r="Q18" s="18" t="n">
        <v>7787.76</v>
      </c>
      <c r="R18" s="18" t="n">
        <v>7777.76</v>
      </c>
      <c r="S18" s="18" t="n">
        <v>7782.76</v>
      </c>
      <c r="T18" s="18" t="n">
        <v>7749.01</v>
      </c>
      <c r="U18" s="34" t="n">
        <v>7749.01</v>
      </c>
      <c r="V18" s="18" t="n">
        <v>7750.26</v>
      </c>
      <c r="W18" s="18" t="n">
        <v>7765.26</v>
      </c>
      <c r="X18" s="18" t="n">
        <v>7825.93</v>
      </c>
      <c r="Y18" s="18" t="n">
        <v>7823.26</v>
      </c>
      <c r="Z18" s="34" t="n">
        <v>7823.26</v>
      </c>
      <c r="AA18" s="18" t="n">
        <v>7816.07</v>
      </c>
      <c r="AB18" s="19" t="n">
        <v>7801.63</v>
      </c>
      <c r="AC18" s="10" t="n"/>
      <c r="AD18" s="10" t="n"/>
      <c r="AE18" s="11" t="n"/>
      <c r="AF18" s="10" t="n"/>
      <c r="AG18" s="10" t="n"/>
      <c r="AH18" s="10" t="n"/>
      <c r="AI18" s="10" t="n"/>
      <c r="AJ18" s="11" t="n"/>
      <c r="AK18" s="10" t="n"/>
      <c r="AL18" s="10" t="n"/>
      <c r="AM18" s="10" t="n"/>
      <c r="AN18" s="10" t="n"/>
      <c r="AO18" s="11" t="n"/>
    </row>
    <row r="19">
      <c r="A19" t="n">
        <v>1</v>
      </c>
      <c r="C19" t="inlineStr">
        <is>
          <t>이연법인세자산</t>
        </is>
      </c>
      <c r="E19" s="18" t="n">
        <v>4443.7</v>
      </c>
      <c r="F19" s="34" t="n">
        <v>4443.7</v>
      </c>
      <c r="G19" s="18" t="n">
        <v>4482.25</v>
      </c>
      <c r="H19" s="18" t="n">
        <v>4272.06</v>
      </c>
      <c r="I19" s="18" t="n">
        <v>4500.6</v>
      </c>
      <c r="J19" s="18" t="n">
        <v>3916.04</v>
      </c>
      <c r="K19" s="34" t="n">
        <v>3916.04</v>
      </c>
      <c r="L19" s="18" t="n">
        <v>7093.67</v>
      </c>
      <c r="M19" s="18" t="n">
        <v>6902.65</v>
      </c>
      <c r="N19" s="18" t="n">
        <v>6280.09</v>
      </c>
      <c r="O19" s="18" t="n">
        <v>6137.34</v>
      </c>
      <c r="P19" s="34" t="n">
        <v>6137.34</v>
      </c>
      <c r="Q19" s="18" t="n">
        <v>6471.28</v>
      </c>
      <c r="R19" s="18" t="n">
        <v>5434.66</v>
      </c>
      <c r="S19" s="18" t="n">
        <v>4316.29</v>
      </c>
      <c r="T19" s="18" t="n">
        <v>4361.2</v>
      </c>
      <c r="U19" s="34" t="n">
        <v>4361.2</v>
      </c>
      <c r="V19" s="18" t="n">
        <v>4964.13</v>
      </c>
      <c r="W19" s="18" t="n">
        <v>5216</v>
      </c>
      <c r="X19" s="18" t="n">
        <v>4947.37</v>
      </c>
      <c r="Y19" s="18" t="n">
        <v>4449</v>
      </c>
      <c r="Z19" s="34" t="n">
        <v>4449</v>
      </c>
      <c r="AA19" s="18" t="n">
        <v>3954.23</v>
      </c>
      <c r="AB19" s="19" t="n">
        <v>4590.74</v>
      </c>
      <c r="AC19" s="10" t="n"/>
      <c r="AD19" s="10" t="n"/>
      <c r="AE19" s="11" t="n"/>
      <c r="AF19" s="10" t="n"/>
      <c r="AG19" s="10" t="n"/>
      <c r="AH19" s="10" t="n"/>
      <c r="AI19" s="10" t="n"/>
      <c r="AJ19" s="11" t="n"/>
      <c r="AK19" s="10" t="n"/>
      <c r="AL19" s="10" t="n"/>
      <c r="AM19" s="10" t="n"/>
      <c r="AN19" s="10" t="n"/>
      <c r="AO19" s="11" t="n"/>
    </row>
    <row r="20">
      <c r="A20" t="n">
        <v>1</v>
      </c>
      <c r="C20" t="inlineStr">
        <is>
          <t>자산총계</t>
        </is>
      </c>
      <c r="E20" s="18" t="n">
        <v>379796.14</v>
      </c>
      <c r="F20" s="34" t="n">
        <v>379796.14</v>
      </c>
      <c r="G20" s="18" t="n">
        <v>384480.79</v>
      </c>
      <c r="H20" s="18" t="n">
        <v>392224.65</v>
      </c>
      <c r="I20" s="18" t="n">
        <v>406945.81</v>
      </c>
      <c r="J20" s="18" t="n">
        <v>411922.43</v>
      </c>
      <c r="K20" s="34" t="n">
        <v>411922.43</v>
      </c>
      <c r="L20" s="18" t="n">
        <v>425017.25</v>
      </c>
      <c r="M20" s="18" t="n">
        <v>431051.78</v>
      </c>
      <c r="N20" s="18" t="n">
        <v>441758.08</v>
      </c>
      <c r="O20" s="18" t="n">
        <v>443155.32</v>
      </c>
      <c r="P20" s="34" t="n">
        <v>443155.32</v>
      </c>
      <c r="Q20" s="18" t="n">
        <v>455719.79</v>
      </c>
      <c r="R20" s="18" t="n">
        <v>443518.17</v>
      </c>
      <c r="S20" s="18" t="n">
        <v>448556.43</v>
      </c>
      <c r="T20" s="18" t="n">
        <v>472680.21</v>
      </c>
      <c r="U20" s="34" t="n">
        <v>472680.21</v>
      </c>
      <c r="V20" s="18" t="n">
        <v>478942.53</v>
      </c>
      <c r="W20" s="18" t="n">
        <v>467234.16</v>
      </c>
      <c r="X20" s="18" t="n">
        <v>479891.05</v>
      </c>
      <c r="Y20" s="18" t="n">
        <v>498092.2</v>
      </c>
      <c r="Z20" s="34" t="n">
        <v>498092.2</v>
      </c>
      <c r="AA20" s="18" t="n">
        <v>511204.94</v>
      </c>
      <c r="AB20" s="19" t="n">
        <v>513955.4</v>
      </c>
      <c r="AC20" s="10" t="n"/>
      <c r="AD20" s="10" t="n"/>
      <c r="AE20" s="11" t="n"/>
      <c r="AF20" s="10" t="n"/>
      <c r="AG20" s="10" t="n"/>
      <c r="AH20" s="10" t="n"/>
      <c r="AI20" s="10" t="n"/>
      <c r="AJ20" s="11" t="n"/>
      <c r="AK20" s="10" t="n"/>
      <c r="AL20" s="10" t="n"/>
      <c r="AM20" s="10" t="n"/>
      <c r="AN20" s="10" t="n"/>
      <c r="AO20" s="11" t="n"/>
    </row>
    <row r="21">
      <c r="A21" t="n">
        <v>1</v>
      </c>
      <c r="C21" t="inlineStr">
        <is>
          <t>유동부채</t>
        </is>
      </c>
      <c r="E21" s="18" t="n">
        <v>21327.01</v>
      </c>
      <c r="F21" s="34" t="n">
        <v>21327.01</v>
      </c>
      <c r="G21" s="18" t="n">
        <v>26720.93</v>
      </c>
      <c r="H21" s="18" t="n">
        <v>24196.36</v>
      </c>
      <c r="I21" s="18" t="n">
        <v>26815.18</v>
      </c>
      <c r="J21" s="18" t="n">
        <v>27997.31</v>
      </c>
      <c r="K21" s="34" t="n">
        <v>27997.31</v>
      </c>
      <c r="L21" s="18" t="n">
        <v>33294.15</v>
      </c>
      <c r="M21" s="18" t="n">
        <v>26511.9</v>
      </c>
      <c r="N21" s="18" t="n">
        <v>24862.99</v>
      </c>
      <c r="O21" s="18" t="n">
        <v>25793.57</v>
      </c>
      <c r="P21" s="34" t="n">
        <v>25793.57</v>
      </c>
      <c r="Q21" s="18" t="n">
        <v>43023.49</v>
      </c>
      <c r="R21" s="18" t="n">
        <v>21870.24</v>
      </c>
      <c r="S21" s="18" t="n">
        <v>17858.38</v>
      </c>
      <c r="T21" s="18" t="n">
        <v>25915.26</v>
      </c>
      <c r="U21" s="34" t="n">
        <v>25915.26</v>
      </c>
      <c r="V21" s="18" t="n">
        <v>38102.95</v>
      </c>
      <c r="W21" s="18" t="n">
        <v>24211.68</v>
      </c>
      <c r="X21" s="18" t="n">
        <v>24086.01</v>
      </c>
      <c r="Y21" s="18" t="n">
        <v>27743.19</v>
      </c>
      <c r="Z21" s="34" t="n">
        <v>27743.19</v>
      </c>
      <c r="AA21" s="18" t="n">
        <v>40879.06</v>
      </c>
      <c r="AB21" s="19" t="n">
        <v>27902.22</v>
      </c>
      <c r="AC21" s="10" t="n"/>
      <c r="AD21" s="10" t="n"/>
      <c r="AE21" s="11" t="n"/>
      <c r="AF21" s="10" t="n"/>
      <c r="AG21" s="10" t="n"/>
      <c r="AH21" s="10" t="n"/>
      <c r="AI21" s="10" t="n"/>
      <c r="AJ21" s="11" t="n"/>
      <c r="AK21" s="10" t="n"/>
      <c r="AL21" s="10" t="n"/>
      <c r="AM21" s="10" t="n"/>
      <c r="AN21" s="10" t="n"/>
      <c r="AO21" s="11" t="n"/>
    </row>
    <row r="22">
      <c r="A22" t="n">
        <v>1</v>
      </c>
      <c r="C22" t="inlineStr">
        <is>
          <t>매입채무및기타채무</t>
        </is>
      </c>
      <c r="E22" s="18" t="n">
        <v>14092.91</v>
      </c>
      <c r="F22" s="34" t="n">
        <v>14092.91</v>
      </c>
      <c r="G22" s="18" t="n">
        <v>19920.14</v>
      </c>
      <c r="H22" s="18" t="n">
        <v>16135.35</v>
      </c>
      <c r="I22" s="18" t="n">
        <v>17312.03</v>
      </c>
      <c r="J22" s="18" t="n">
        <v>16894.26</v>
      </c>
      <c r="K22" s="34" t="n">
        <v>16894.26</v>
      </c>
      <c r="L22" s="18" t="n">
        <v>22188.5</v>
      </c>
      <c r="M22" s="18" t="n">
        <v>15889.99</v>
      </c>
      <c r="N22" s="18" t="n">
        <v>13047.59</v>
      </c>
      <c r="O22" s="18" t="n">
        <v>15030.95</v>
      </c>
      <c r="P22" s="34" t="n">
        <v>15030.95</v>
      </c>
      <c r="Q22" s="18" t="n">
        <v>28031.79</v>
      </c>
      <c r="R22" s="18" t="n">
        <v>11529.82</v>
      </c>
      <c r="S22" s="18" t="n">
        <v>11341.61</v>
      </c>
      <c r="T22" s="18" t="n">
        <v>17039.77</v>
      </c>
      <c r="U22" s="34" t="n">
        <v>17039.77</v>
      </c>
      <c r="V22" s="18" t="n">
        <v>29847.94</v>
      </c>
      <c r="W22" s="18" t="n">
        <v>16112.28</v>
      </c>
      <c r="X22" s="18" t="n">
        <v>15000.37</v>
      </c>
      <c r="Y22" s="18" t="n">
        <v>16774.88</v>
      </c>
      <c r="Z22" s="34" t="n">
        <v>16774.88</v>
      </c>
      <c r="AA22" s="18" t="n">
        <v>29242.6</v>
      </c>
      <c r="AB22" s="19" t="n">
        <v>16974.77</v>
      </c>
      <c r="AC22" s="10" t="n"/>
      <c r="AD22" s="10" t="n"/>
      <c r="AE22" s="11" t="n"/>
      <c r="AF22" s="10" t="n"/>
      <c r="AG22" s="10" t="n"/>
      <c r="AH22" s="10" t="n"/>
      <c r="AI22" s="10" t="n"/>
      <c r="AJ22" s="11" t="n"/>
      <c r="AK22" s="10" t="n"/>
      <c r="AL22" s="10" t="n"/>
      <c r="AM22" s="10" t="n"/>
      <c r="AN22" s="10" t="n"/>
      <c r="AO22" s="11" t="n"/>
    </row>
    <row r="23">
      <c r="A23" t="n">
        <v>1</v>
      </c>
      <c r="C23" t="inlineStr">
        <is>
          <t>당기법인세부채(미지급법인세)</t>
        </is>
      </c>
      <c r="E23" s="18" t="n">
        <v>5499.46</v>
      </c>
      <c r="F23" s="34" t="n">
        <v>5499.46</v>
      </c>
      <c r="G23" s="18" t="n">
        <v>5165.04</v>
      </c>
      <c r="H23" s="18" t="n">
        <v>5978.2</v>
      </c>
      <c r="I23" s="18" t="n">
        <v>7764.01</v>
      </c>
      <c r="J23" s="18" t="n">
        <v>9270.15</v>
      </c>
      <c r="K23" s="34" t="n">
        <v>9270.15</v>
      </c>
      <c r="L23" s="18" t="n">
        <v>9514.959999999999</v>
      </c>
      <c r="M23" s="18" t="n">
        <v>7746.08</v>
      </c>
      <c r="N23" s="18" t="n">
        <v>8755.209999999999</v>
      </c>
      <c r="O23" s="18" t="n">
        <v>7718.18</v>
      </c>
      <c r="P23" s="34" t="n">
        <v>7718.18</v>
      </c>
      <c r="Q23" s="18" t="n">
        <v>12093.96</v>
      </c>
      <c r="R23" s="18" t="n">
        <v>7735.23</v>
      </c>
      <c r="S23" s="18" t="n">
        <v>4662.32</v>
      </c>
      <c r="T23" s="18" t="n">
        <v>6935.86</v>
      </c>
      <c r="U23" s="34" t="n">
        <v>6935.86</v>
      </c>
      <c r="V23" s="18" t="n">
        <v>7126.71</v>
      </c>
      <c r="W23" s="18" t="n">
        <v>6538.64</v>
      </c>
      <c r="X23" s="18" t="n">
        <v>7636.59</v>
      </c>
      <c r="Y23" s="18" t="n">
        <v>9032.629999999999</v>
      </c>
      <c r="Z23" s="34" t="n">
        <v>9032.629999999999</v>
      </c>
      <c r="AA23" s="18" t="n">
        <v>9893.48</v>
      </c>
      <c r="AB23" s="19" t="n">
        <v>8859.07</v>
      </c>
      <c r="AC23" s="10" t="n"/>
      <c r="AD23" s="10" t="n"/>
      <c r="AE23" s="11" t="n"/>
      <c r="AF23" s="10" t="n"/>
      <c r="AG23" s="10" t="n"/>
      <c r="AH23" s="10" t="n"/>
      <c r="AI23" s="10" t="n"/>
      <c r="AJ23" s="11" t="n"/>
      <c r="AK23" s="10" t="n"/>
      <c r="AL23" s="10" t="n"/>
      <c r="AM23" s="10" t="n"/>
      <c r="AN23" s="10" t="n"/>
      <c r="AO23" s="11" t="n"/>
    </row>
    <row r="24">
      <c r="A24" t="n">
        <v>1</v>
      </c>
      <c r="C24" t="inlineStr">
        <is>
          <t>비유동부채</t>
        </is>
      </c>
      <c r="E24" s="18" t="n">
        <v>10371.02</v>
      </c>
      <c r="F24" s="34" t="n">
        <v>10371.02</v>
      </c>
      <c r="G24" s="18" t="n">
        <v>9449.860000000001</v>
      </c>
      <c r="H24" s="18" t="n">
        <v>7521.71</v>
      </c>
      <c r="I24" s="18" t="n">
        <v>6082.01</v>
      </c>
      <c r="J24" s="18" t="n">
        <v>3799.16</v>
      </c>
      <c r="K24" s="34" t="n">
        <v>3799.16</v>
      </c>
      <c r="L24" s="18" t="n">
        <v>12919.29</v>
      </c>
      <c r="M24" s="18" t="n">
        <v>11412.71</v>
      </c>
      <c r="N24" s="18" t="n">
        <v>8920.99</v>
      </c>
      <c r="O24" s="18" t="n">
        <v>10502.28</v>
      </c>
      <c r="P24" s="34" t="n">
        <v>10502.28</v>
      </c>
      <c r="Q24" s="18" t="n">
        <v>11148.43</v>
      </c>
      <c r="R24" s="18" t="n">
        <v>10225.42</v>
      </c>
      <c r="S24" s="18" t="n">
        <v>11572.65</v>
      </c>
      <c r="T24" s="18" t="n">
        <v>10801.7</v>
      </c>
      <c r="U24" s="34" t="n">
        <v>10801.7</v>
      </c>
      <c r="V24" s="18" t="n">
        <v>13960.69</v>
      </c>
      <c r="W24" s="18" t="n">
        <v>13940.02</v>
      </c>
      <c r="X24" s="18" t="n">
        <v>13773.84</v>
      </c>
      <c r="Y24" s="18" t="n">
        <v>11201.05</v>
      </c>
      <c r="Z24" s="34" t="n">
        <v>11201.05</v>
      </c>
      <c r="AA24" s="18" t="n">
        <v>7338.92</v>
      </c>
      <c r="AB24" s="19" t="n">
        <v>9717.860000000001</v>
      </c>
      <c r="AC24" s="10" t="n"/>
      <c r="AD24" s="10" t="n"/>
      <c r="AE24" s="11" t="n"/>
      <c r="AF24" s="10" t="n"/>
      <c r="AG24" s="10" t="n"/>
      <c r="AH24" s="10" t="n"/>
      <c r="AI24" s="10" t="n"/>
      <c r="AJ24" s="11" t="n"/>
      <c r="AK24" s="10" t="n"/>
      <c r="AL24" s="10" t="n"/>
      <c r="AM24" s="10" t="n"/>
      <c r="AN24" s="10" t="n"/>
      <c r="AO24" s="11" t="n"/>
    </row>
    <row r="25">
      <c r="A25" t="n">
        <v>1</v>
      </c>
      <c r="C25" t="inlineStr">
        <is>
          <t>확정급여부채</t>
        </is>
      </c>
      <c r="E25" s="18" t="n">
        <v>10371.03</v>
      </c>
      <c r="F25" s="34" t="n">
        <v>10371.03</v>
      </c>
      <c r="G25" s="18" t="n">
        <v>9449.860000000001</v>
      </c>
      <c r="H25" s="18" t="n">
        <v>7521.71</v>
      </c>
      <c r="I25" s="18" t="n">
        <v>6082.01</v>
      </c>
      <c r="J25" s="18" t="n">
        <v>3799.16</v>
      </c>
      <c r="K25" s="34" t="n">
        <v>3799.16</v>
      </c>
      <c r="L25" s="18" t="n">
        <v>12919.3</v>
      </c>
      <c r="M25" s="18" t="n">
        <v>11412.71</v>
      </c>
      <c r="N25" s="18" t="n">
        <v>8920.99</v>
      </c>
      <c r="O25" s="18" t="n">
        <v>10502.29</v>
      </c>
      <c r="P25" s="34" t="n">
        <v>10502.29</v>
      </c>
      <c r="Q25" s="18" t="n">
        <v>11148.42</v>
      </c>
      <c r="R25" s="18" t="n">
        <v>10225.42</v>
      </c>
      <c r="S25" s="18" t="n">
        <v>11572.65</v>
      </c>
      <c r="T25" s="18" t="n">
        <v>10801.7</v>
      </c>
      <c r="U25" s="34" t="n">
        <v>10801.7</v>
      </c>
      <c r="V25" s="18" t="n">
        <v>13960.69</v>
      </c>
      <c r="W25" s="18" t="n">
        <v>13940.02</v>
      </c>
      <c r="X25" s="18" t="n">
        <v>13773.84</v>
      </c>
      <c r="Y25" s="18" t="n">
        <v>11201.05</v>
      </c>
      <c r="Z25" s="34" t="n">
        <v>11201.05</v>
      </c>
      <c r="AA25" s="18" t="n">
        <v>7338.92</v>
      </c>
      <c r="AB25" s="19" t="n">
        <v>9717.860000000001</v>
      </c>
      <c r="AC25" s="10" t="n"/>
      <c r="AD25" s="10" t="n"/>
      <c r="AE25" s="11" t="n"/>
      <c r="AF25" s="10" t="n"/>
      <c r="AG25" s="10" t="n"/>
      <c r="AH25" s="10" t="n"/>
      <c r="AI25" s="10" t="n"/>
      <c r="AJ25" s="11" t="n"/>
      <c r="AK25" s="10" t="n"/>
      <c r="AL25" s="10" t="n"/>
      <c r="AM25" s="10" t="n"/>
      <c r="AN25" s="10" t="n"/>
      <c r="AO25" s="11" t="n"/>
    </row>
    <row r="26">
      <c r="A26" t="n">
        <v>1</v>
      </c>
      <c r="C26" t="inlineStr">
        <is>
          <t>부채총계</t>
        </is>
      </c>
      <c r="E26" s="18" t="n">
        <v>31698.03</v>
      </c>
      <c r="F26" s="34" t="n">
        <v>31698.03</v>
      </c>
      <c r="G26" s="18" t="n">
        <v>36170.79</v>
      </c>
      <c r="H26" s="18" t="n">
        <v>31718.08</v>
      </c>
      <c r="I26" s="18" t="n">
        <v>32897.18</v>
      </c>
      <c r="J26" s="18" t="n">
        <v>31796.47</v>
      </c>
      <c r="K26" s="34" t="n">
        <v>31796.47</v>
      </c>
      <c r="L26" s="18" t="n">
        <v>46213.44</v>
      </c>
      <c r="M26" s="18" t="n">
        <v>37924.61</v>
      </c>
      <c r="N26" s="18" t="n">
        <v>33783.99</v>
      </c>
      <c r="O26" s="18" t="n">
        <v>36295.86</v>
      </c>
      <c r="P26" s="34" t="n">
        <v>36295.86</v>
      </c>
      <c r="Q26" s="18" t="n">
        <v>54171.92</v>
      </c>
      <c r="R26" s="18" t="n">
        <v>32095.67</v>
      </c>
      <c r="S26" s="18" t="n">
        <v>29431.03</v>
      </c>
      <c r="T26" s="18" t="n">
        <v>36716.96</v>
      </c>
      <c r="U26" s="34" t="n">
        <v>36716.96</v>
      </c>
      <c r="V26" s="18" t="n">
        <v>52063.65</v>
      </c>
      <c r="W26" s="18" t="n">
        <v>38151.7</v>
      </c>
      <c r="X26" s="18" t="n">
        <v>37859.85</v>
      </c>
      <c r="Y26" s="18" t="n">
        <v>38944.24</v>
      </c>
      <c r="Z26" s="34" t="n">
        <v>38944.24</v>
      </c>
      <c r="AA26" s="18" t="n">
        <v>48217.98</v>
      </c>
      <c r="AB26" s="19" t="n">
        <v>37620.08</v>
      </c>
      <c r="AC26" s="10" t="n"/>
      <c r="AD26" s="10" t="n"/>
      <c r="AE26" s="11" t="n"/>
      <c r="AF26" s="10" t="n"/>
      <c r="AG26" s="10" t="n"/>
      <c r="AH26" s="10" t="n"/>
      <c r="AI26" s="10" t="n"/>
      <c r="AJ26" s="11" t="n"/>
      <c r="AK26" s="10" t="n"/>
      <c r="AL26" s="10" t="n"/>
      <c r="AM26" s="10" t="n"/>
      <c r="AN26" s="10" t="n"/>
      <c r="AO26" s="11" t="n"/>
    </row>
    <row r="27">
      <c r="A27" t="n">
        <v>1</v>
      </c>
      <c r="C27" t="inlineStr">
        <is>
          <t>지배주주지분</t>
        </is>
      </c>
      <c r="E27" s="18" t="n">
        <v>344658.32</v>
      </c>
      <c r="F27" s="34" t="n">
        <v>344658.32</v>
      </c>
      <c r="G27" s="18" t="n">
        <v>344817.96</v>
      </c>
      <c r="H27" s="18" t="n">
        <v>356786.08</v>
      </c>
      <c r="I27" s="18" t="n">
        <v>370964.24</v>
      </c>
      <c r="J27" s="18" t="n">
        <v>377157.28</v>
      </c>
      <c r="K27" s="34" t="n">
        <v>377157.28</v>
      </c>
      <c r="L27" s="18" t="n">
        <v>375706.35</v>
      </c>
      <c r="M27" s="18" t="n">
        <v>390115.51</v>
      </c>
      <c r="N27" s="18" t="n">
        <v>404641.86</v>
      </c>
      <c r="O27" s="18" t="n">
        <v>403509.2</v>
      </c>
      <c r="P27" s="34" t="n">
        <v>403509.2</v>
      </c>
      <c r="Q27" s="18" t="n">
        <v>397921.26</v>
      </c>
      <c r="R27" s="18" t="n">
        <v>407572.3</v>
      </c>
      <c r="S27" s="18" t="n">
        <v>415103.93</v>
      </c>
      <c r="T27" s="18" t="n">
        <v>431688.46</v>
      </c>
      <c r="U27" s="34" t="n">
        <v>431688.46</v>
      </c>
      <c r="V27" s="18" t="n">
        <v>422587.67</v>
      </c>
      <c r="W27" s="18" t="n">
        <v>425042.45</v>
      </c>
      <c r="X27" s="18" t="n">
        <v>437611.41</v>
      </c>
      <c r="Y27" s="18" t="n">
        <v>454358.84</v>
      </c>
      <c r="Z27" s="34" t="n">
        <v>454358.84</v>
      </c>
      <c r="AA27" s="18" t="n">
        <v>457762.79</v>
      </c>
      <c r="AB27" s="19" t="n">
        <v>471099.78</v>
      </c>
      <c r="AC27" s="10" t="n"/>
      <c r="AD27" s="10" t="n"/>
      <c r="AE27" s="11" t="n"/>
      <c r="AF27" s="10" t="n"/>
      <c r="AG27" s="10" t="n"/>
      <c r="AH27" s="10" t="n"/>
      <c r="AI27" s="10" t="n"/>
      <c r="AJ27" s="11" t="n"/>
      <c r="AK27" s="10" t="n"/>
      <c r="AL27" s="10" t="n"/>
      <c r="AM27" s="10" t="n"/>
      <c r="AN27" s="10" t="n"/>
      <c r="AO27" s="11" t="n"/>
    </row>
    <row r="28">
      <c r="A28" t="n">
        <v>1</v>
      </c>
      <c r="C28" t="inlineStr">
        <is>
          <t>자본금</t>
        </is>
      </c>
      <c r="E28" s="18" t="n">
        <v>6806.62</v>
      </c>
      <c r="F28" s="34" t="n">
        <v>6806.62</v>
      </c>
      <c r="G28" s="18" t="n">
        <v>6806.62</v>
      </c>
      <c r="H28" s="18" t="n">
        <v>6806.62</v>
      </c>
      <c r="I28" s="18" t="n">
        <v>6806.62</v>
      </c>
      <c r="J28" s="18" t="n">
        <v>6806.62</v>
      </c>
      <c r="K28" s="34" t="n">
        <v>6806.62</v>
      </c>
      <c r="L28" s="18" t="n">
        <v>6806.62</v>
      </c>
      <c r="M28" s="18" t="n">
        <v>6806.62</v>
      </c>
      <c r="N28" s="18" t="n">
        <v>6806.62</v>
      </c>
      <c r="O28" s="18" t="n">
        <v>6806.62</v>
      </c>
      <c r="P28" s="34" t="n">
        <v>6806.62</v>
      </c>
      <c r="Q28" s="18" t="n">
        <v>6806.62</v>
      </c>
      <c r="R28" s="18" t="n">
        <v>6806.62</v>
      </c>
      <c r="S28" s="18" t="n">
        <v>6806.62</v>
      </c>
      <c r="T28" s="18" t="n">
        <v>6806.62</v>
      </c>
      <c r="U28" s="34" t="n">
        <v>6806.62</v>
      </c>
      <c r="V28" s="18" t="n">
        <v>6806.62</v>
      </c>
      <c r="W28" s="18" t="n">
        <v>6806.62</v>
      </c>
      <c r="X28" s="18" t="n">
        <v>6806.62</v>
      </c>
      <c r="Y28" s="18" t="n">
        <v>6806.62</v>
      </c>
      <c r="Z28" s="34" t="n">
        <v>6806.62</v>
      </c>
      <c r="AA28" s="18" t="n">
        <v>6806.62</v>
      </c>
      <c r="AB28" s="19" t="n">
        <v>6806.62</v>
      </c>
      <c r="AC28" s="10" t="n"/>
      <c r="AD28" s="10" t="n"/>
      <c r="AE28" s="11" t="n"/>
      <c r="AF28" s="10" t="n"/>
      <c r="AG28" s="10" t="n"/>
      <c r="AH28" s="10" t="n"/>
      <c r="AI28" s="10" t="n"/>
      <c r="AJ28" s="11" t="n"/>
      <c r="AK28" s="10" t="n"/>
      <c r="AL28" s="10" t="n"/>
      <c r="AM28" s="10" t="n"/>
      <c r="AN28" s="10" t="n"/>
      <c r="AO28" s="11" t="n"/>
    </row>
    <row r="29">
      <c r="A29" t="n">
        <v>1</v>
      </c>
      <c r="C29" t="inlineStr">
        <is>
          <t>자본잉여금</t>
        </is>
      </c>
      <c r="E29" s="18" t="n">
        <v>23843.6</v>
      </c>
      <c r="F29" s="34" t="n">
        <v>23843.6</v>
      </c>
      <c r="G29" s="18" t="n">
        <v>23843.6</v>
      </c>
      <c r="H29" s="18" t="n">
        <v>23843.6</v>
      </c>
      <c r="I29" s="18" t="n">
        <v>23843.6</v>
      </c>
      <c r="J29" s="18" t="n">
        <v>23843.6</v>
      </c>
      <c r="K29" s="34" t="n">
        <v>23843.6</v>
      </c>
      <c r="L29" s="18" t="n">
        <v>23843.6</v>
      </c>
      <c r="M29" s="18" t="n">
        <v>23843.6</v>
      </c>
      <c r="N29" s="18" t="n">
        <v>23843.6</v>
      </c>
      <c r="O29" s="18" t="n">
        <v>23843.6</v>
      </c>
      <c r="P29" s="34" t="n">
        <v>23843.6</v>
      </c>
      <c r="Q29" s="18" t="n">
        <v>23843.6</v>
      </c>
      <c r="R29" s="18" t="n">
        <v>23843.6</v>
      </c>
      <c r="S29" s="18" t="n">
        <v>23843.6</v>
      </c>
      <c r="T29" s="18" t="n">
        <v>23843.6</v>
      </c>
      <c r="U29" s="34" t="n">
        <v>23843.6</v>
      </c>
      <c r="V29" s="18" t="n">
        <v>23843.6</v>
      </c>
      <c r="W29" s="18" t="n">
        <v>23843.6</v>
      </c>
      <c r="X29" s="18" t="n">
        <v>23843.6</v>
      </c>
      <c r="Y29" s="18" t="n">
        <v>23843.6</v>
      </c>
      <c r="Z29" s="34" t="n">
        <v>23843.6</v>
      </c>
      <c r="AA29" s="18" t="n">
        <v>23843.6</v>
      </c>
      <c r="AB29" s="19" t="n">
        <v>23843.6</v>
      </c>
      <c r="AC29" s="10" t="n"/>
      <c r="AD29" s="10" t="n"/>
      <c r="AE29" s="11" t="n"/>
      <c r="AF29" s="10" t="n"/>
      <c r="AG29" s="10" t="n"/>
      <c r="AH29" s="10" t="n"/>
      <c r="AI29" s="10" t="n"/>
      <c r="AJ29" s="11" t="n"/>
      <c r="AK29" s="10" t="n"/>
      <c r="AL29" s="10" t="n"/>
      <c r="AM29" s="10" t="n"/>
      <c r="AN29" s="10" t="n"/>
      <c r="AO29" s="11" t="n"/>
    </row>
    <row r="30">
      <c r="A30" t="n">
        <v>1</v>
      </c>
      <c r="C30" t="inlineStr">
        <is>
          <t>기타자본</t>
        </is>
      </c>
      <c r="E30" s="18" t="n">
        <v>-9932.83</v>
      </c>
      <c r="F30" s="34" t="n">
        <v>-9932.83</v>
      </c>
      <c r="G30" s="18" t="n">
        <v>-9932.83</v>
      </c>
      <c r="H30" s="18" t="n">
        <v>-9932.83</v>
      </c>
      <c r="I30" s="18" t="n">
        <v>-9932.83</v>
      </c>
      <c r="J30" s="18" t="n">
        <v>-9932.83</v>
      </c>
      <c r="K30" s="34" t="n">
        <v>-9932.83</v>
      </c>
      <c r="O30" s="18" t="n">
        <v>-7927.92</v>
      </c>
      <c r="P30" s="34" t="n">
        <v>-7927.92</v>
      </c>
      <c r="Q30" s="18" t="n">
        <v>-16043.95</v>
      </c>
      <c r="R30" s="18" t="n">
        <v>-19948.59</v>
      </c>
      <c r="S30" s="18" t="n">
        <v>-19948.59</v>
      </c>
      <c r="T30" s="18" t="n">
        <v>-203.16</v>
      </c>
      <c r="U30" s="34" t="n">
        <v>-203.16</v>
      </c>
      <c r="V30" s="18" t="n">
        <v>-5053.73</v>
      </c>
      <c r="W30" s="18" t="n">
        <v>-12633.81</v>
      </c>
      <c r="X30" s="18" t="n">
        <v>-203.16</v>
      </c>
      <c r="Y30" s="18" t="n">
        <v>-203.16</v>
      </c>
      <c r="Z30" s="34" t="n">
        <v>-203.16</v>
      </c>
      <c r="AA30" s="18" t="n">
        <v>-203.16</v>
      </c>
      <c r="AB30" s="19" t="n">
        <v>-203.16</v>
      </c>
      <c r="AC30" s="10" t="n"/>
      <c r="AD30" s="10" t="n"/>
      <c r="AE30" s="11" t="n"/>
      <c r="AF30" s="10" t="n"/>
      <c r="AG30" s="10" t="n"/>
      <c r="AH30" s="10" t="n"/>
      <c r="AI30" s="10" t="n"/>
      <c r="AJ30" s="11" t="n"/>
      <c r="AK30" s="10" t="n"/>
      <c r="AL30" s="10" t="n"/>
      <c r="AM30" s="10" t="n"/>
      <c r="AN30" s="10" t="n"/>
      <c r="AO30" s="11" t="n"/>
    </row>
    <row r="31">
      <c r="A31" t="n">
        <v>1</v>
      </c>
      <c r="C31" t="inlineStr">
        <is>
          <t>기타포괄이익누계액</t>
        </is>
      </c>
      <c r="E31" s="18" t="n">
        <v>525.03</v>
      </c>
      <c r="F31" s="34" t="n">
        <v>525.03</v>
      </c>
      <c r="G31" s="18" t="n">
        <v>700.45</v>
      </c>
      <c r="H31" s="18" t="n">
        <v>1049.3</v>
      </c>
      <c r="I31" s="18" t="n">
        <v>1984.8</v>
      </c>
      <c r="J31" s="18" t="n">
        <v>597.77</v>
      </c>
      <c r="K31" s="34" t="n">
        <v>597.77</v>
      </c>
      <c r="L31" s="18" t="n">
        <v>1175.19</v>
      </c>
      <c r="M31" s="18" t="n">
        <v>1045.61</v>
      </c>
      <c r="N31" s="18" t="n">
        <v>1306.21</v>
      </c>
      <c r="O31" s="18" t="n">
        <v>866.16</v>
      </c>
      <c r="P31" s="34" t="n">
        <v>866.16</v>
      </c>
      <c r="Q31" s="18" t="n">
        <v>1499.52</v>
      </c>
      <c r="R31" s="18" t="n">
        <v>2083.06</v>
      </c>
      <c r="S31" s="18" t="n">
        <v>1417.05</v>
      </c>
      <c r="T31" s="18" t="n">
        <v>3234.57</v>
      </c>
      <c r="U31" s="34" t="n">
        <v>3234.57</v>
      </c>
      <c r="V31" s="18" t="n">
        <v>3436.13</v>
      </c>
      <c r="W31" s="18" t="n">
        <v>2063.56</v>
      </c>
      <c r="X31" s="18" t="n">
        <v>2950.87</v>
      </c>
      <c r="Y31" s="18" t="n">
        <v>3676.46</v>
      </c>
      <c r="Z31" s="34" t="n">
        <v>3676.46</v>
      </c>
      <c r="AA31" s="18" t="n">
        <v>5183.97</v>
      </c>
      <c r="AB31" s="19" t="n">
        <v>5900.24</v>
      </c>
      <c r="AC31" s="10" t="n"/>
      <c r="AD31" s="10" t="n"/>
      <c r="AE31" s="11" t="n"/>
      <c r="AF31" s="10" t="n"/>
      <c r="AG31" s="10" t="n"/>
      <c r="AH31" s="10" t="n"/>
      <c r="AI31" s="10" t="n"/>
      <c r="AJ31" s="11" t="n"/>
      <c r="AK31" s="10" t="n"/>
      <c r="AL31" s="10" t="n"/>
      <c r="AM31" s="10" t="n"/>
      <c r="AN31" s="10" t="n"/>
      <c r="AO31" s="11" t="n"/>
    </row>
    <row r="32">
      <c r="A32" t="n">
        <v>1</v>
      </c>
      <c r="C32" t="inlineStr">
        <is>
          <t>이익잉여금</t>
        </is>
      </c>
      <c r="E32" s="18" t="n">
        <v>323415.91</v>
      </c>
      <c r="F32" s="34" t="n">
        <v>323415.91</v>
      </c>
      <c r="G32" s="18" t="n">
        <v>323400.13</v>
      </c>
      <c r="H32" s="18" t="n">
        <v>335019.4</v>
      </c>
      <c r="I32" s="18" t="n">
        <v>348262.06</v>
      </c>
      <c r="J32" s="18" t="n">
        <v>355842.12</v>
      </c>
      <c r="K32" s="34" t="n">
        <v>355842.12</v>
      </c>
      <c r="L32" s="18" t="n">
        <v>343880.95</v>
      </c>
      <c r="M32" s="18" t="n">
        <v>358419.69</v>
      </c>
      <c r="N32" s="18" t="n">
        <v>372685.43</v>
      </c>
      <c r="O32" s="18" t="n">
        <v>379920.74</v>
      </c>
      <c r="P32" s="34" t="n">
        <v>379920.74</v>
      </c>
      <c r="Q32" s="18" t="n">
        <v>381815.47</v>
      </c>
      <c r="R32" s="18" t="n">
        <v>394787.62</v>
      </c>
      <c r="S32" s="18" t="n">
        <v>402985.26</v>
      </c>
      <c r="T32" s="18" t="n">
        <v>398006.84</v>
      </c>
      <c r="U32" s="34" t="n">
        <v>398006.84</v>
      </c>
      <c r="V32" s="18" t="n">
        <v>393555.06</v>
      </c>
      <c r="W32" s="18" t="n">
        <v>404962.49</v>
      </c>
      <c r="X32" s="18" t="n">
        <v>404213.49</v>
      </c>
      <c r="Y32" s="18" t="n">
        <v>420235.33</v>
      </c>
      <c r="Z32" s="34" t="n">
        <v>420235.33</v>
      </c>
      <c r="AA32" s="18" t="n">
        <v>422131.77</v>
      </c>
      <c r="AB32" s="19" t="n">
        <v>434752.49</v>
      </c>
      <c r="AC32" s="10" t="n"/>
      <c r="AD32" s="10" t="n"/>
      <c r="AE32" s="11" t="n"/>
      <c r="AF32" s="10" t="n"/>
      <c r="AG32" s="10" t="n"/>
      <c r="AH32" s="10" t="n"/>
      <c r="AI32" s="10" t="n"/>
      <c r="AJ32" s="11" t="n"/>
      <c r="AK32" s="10" t="n"/>
      <c r="AL32" s="10" t="n"/>
      <c r="AM32" s="10" t="n"/>
      <c r="AN32" s="10" t="n"/>
      <c r="AO32" s="11" t="n"/>
    </row>
    <row r="33">
      <c r="A33" t="n">
        <v>1</v>
      </c>
      <c r="C33" t="inlineStr">
        <is>
          <t>비지배주주지분</t>
        </is>
      </c>
      <c r="E33" s="18" t="n">
        <v>3439.79</v>
      </c>
      <c r="F33" s="34" t="n">
        <v>3439.79</v>
      </c>
      <c r="G33" s="18" t="n">
        <v>3492.04</v>
      </c>
      <c r="H33" s="18" t="n">
        <v>3720.49</v>
      </c>
      <c r="I33" s="18" t="n">
        <v>3084.38</v>
      </c>
      <c r="J33" s="18" t="n">
        <v>2968.68</v>
      </c>
      <c r="K33" s="34" t="n">
        <v>2968.68</v>
      </c>
      <c r="L33" s="18" t="n">
        <v>3097.45</v>
      </c>
      <c r="M33" s="18" t="n">
        <v>3011.66</v>
      </c>
      <c r="N33" s="18" t="n">
        <v>3332.24</v>
      </c>
      <c r="O33" s="18" t="n">
        <v>3350.26</v>
      </c>
      <c r="P33" s="34" t="n">
        <v>3350.26</v>
      </c>
      <c r="Q33" s="18" t="n">
        <v>3626.61</v>
      </c>
      <c r="R33" s="18" t="n">
        <v>3850.21</v>
      </c>
      <c r="S33" s="18" t="n">
        <v>4021.46</v>
      </c>
      <c r="T33" s="18" t="n">
        <v>4274.79</v>
      </c>
      <c r="U33" s="34" t="n">
        <v>4274.79</v>
      </c>
      <c r="V33" s="18" t="n">
        <v>4291.21</v>
      </c>
      <c r="W33" s="18" t="n">
        <v>4040.01</v>
      </c>
      <c r="X33" s="18" t="n">
        <v>4419.79</v>
      </c>
      <c r="Y33" s="18" t="n">
        <v>4789.12</v>
      </c>
      <c r="Z33" s="34" t="n">
        <v>4789.12</v>
      </c>
      <c r="AA33" s="18" t="n">
        <v>5224.16</v>
      </c>
      <c r="AB33" s="19" t="n">
        <v>5235.54</v>
      </c>
      <c r="AC33" s="10" t="n"/>
      <c r="AD33" s="10" t="n"/>
      <c r="AE33" s="11" t="n"/>
      <c r="AF33" s="10" t="n"/>
      <c r="AG33" s="10" t="n"/>
      <c r="AH33" s="10" t="n"/>
      <c r="AI33" s="10" t="n"/>
      <c r="AJ33" s="11" t="n"/>
      <c r="AK33" s="10" t="n"/>
      <c r="AL33" s="10" t="n"/>
      <c r="AM33" s="10" t="n"/>
      <c r="AN33" s="10" t="n"/>
      <c r="AO33" s="11" t="n"/>
    </row>
    <row r="34">
      <c r="A34" t="n">
        <v>1</v>
      </c>
      <c r="C34" t="inlineStr">
        <is>
          <t>자본총계</t>
        </is>
      </c>
      <c r="E34" s="18" t="n">
        <v>348098.11</v>
      </c>
      <c r="F34" s="34" t="n">
        <v>348098.11</v>
      </c>
      <c r="G34" s="18" t="n">
        <v>348310</v>
      </c>
      <c r="H34" s="18" t="n">
        <v>360506.58</v>
      </c>
      <c r="I34" s="18" t="n">
        <v>374048.62</v>
      </c>
      <c r="J34" s="18" t="n">
        <v>380125.96</v>
      </c>
      <c r="K34" s="34" t="n">
        <v>380125.96</v>
      </c>
      <c r="L34" s="18" t="n">
        <v>378803.8</v>
      </c>
      <c r="M34" s="18" t="n">
        <v>393127.17</v>
      </c>
      <c r="N34" s="18" t="n">
        <v>407974.09</v>
      </c>
      <c r="O34" s="18" t="n">
        <v>406859.46</v>
      </c>
      <c r="P34" s="34" t="n">
        <v>406859.46</v>
      </c>
      <c r="Q34" s="18" t="n">
        <v>401547.87</v>
      </c>
      <c r="R34" s="18" t="n">
        <v>411422.5</v>
      </c>
      <c r="S34" s="18" t="n">
        <v>419125.4</v>
      </c>
      <c r="T34" s="18" t="n">
        <v>435963.25</v>
      </c>
      <c r="U34" s="34" t="n">
        <v>435963.25</v>
      </c>
      <c r="V34" s="18" t="n">
        <v>426878.88</v>
      </c>
      <c r="W34" s="18" t="n">
        <v>429082.46</v>
      </c>
      <c r="X34" s="18" t="n">
        <v>442031.2</v>
      </c>
      <c r="Y34" s="18" t="n">
        <v>459147.96</v>
      </c>
      <c r="Z34" s="34" t="n">
        <v>459147.96</v>
      </c>
      <c r="AA34" s="18" t="n">
        <v>462986.95</v>
      </c>
      <c r="AB34" s="19" t="n">
        <v>476335.32</v>
      </c>
      <c r="AC34" s="10" t="n"/>
      <c r="AD34" s="10" t="n"/>
      <c r="AE34" s="11" t="n"/>
      <c r="AF34" s="10" t="n"/>
      <c r="AG34" s="10" t="n"/>
      <c r="AH34" s="10" t="n"/>
      <c r="AI34" s="10" t="n"/>
      <c r="AJ34" s="11" t="n"/>
      <c r="AK34" s="10" t="n"/>
      <c r="AL34" s="10" t="n"/>
      <c r="AM34" s="10" t="n"/>
      <c r="AN34" s="10" t="n"/>
      <c r="AO34" s="11" t="n"/>
    </row>
    <row r="35">
      <c r="A35" t="n">
        <v>1</v>
      </c>
      <c r="C35" t="inlineStr">
        <is>
          <t>부채와자본총계</t>
        </is>
      </c>
      <c r="E35" s="18" t="n">
        <v>379796.14</v>
      </c>
      <c r="F35" s="34" t="n">
        <v>379796.14</v>
      </c>
      <c r="G35" s="18" t="n">
        <v>384480.79</v>
      </c>
      <c r="H35" s="18" t="n">
        <v>392224.65</v>
      </c>
      <c r="I35" s="18" t="n">
        <v>406945.81</v>
      </c>
      <c r="J35" s="18" t="n">
        <v>411922.43</v>
      </c>
      <c r="K35" s="34" t="n">
        <v>411922.43</v>
      </c>
      <c r="L35" s="18" t="n">
        <v>425017.25</v>
      </c>
      <c r="M35" s="18" t="n">
        <v>431051.78</v>
      </c>
      <c r="N35" s="18" t="n">
        <v>441758.08</v>
      </c>
      <c r="O35" s="18" t="n">
        <v>443155.32</v>
      </c>
      <c r="P35" s="34" t="n">
        <v>443155.32</v>
      </c>
      <c r="Q35" s="18" t="n">
        <v>455719.79</v>
      </c>
      <c r="R35" s="18" t="n">
        <v>443518.17</v>
      </c>
      <c r="S35" s="18" t="n">
        <v>448556.43</v>
      </c>
      <c r="T35" s="18" t="n">
        <v>472680.21</v>
      </c>
      <c r="U35" s="34" t="n">
        <v>472680.21</v>
      </c>
      <c r="V35" s="18" t="n">
        <v>478942.53</v>
      </c>
      <c r="W35" s="18" t="n">
        <v>467234.16</v>
      </c>
      <c r="X35" s="18" t="n">
        <v>479891.05</v>
      </c>
      <c r="Y35" s="18" t="n">
        <v>498092.2</v>
      </c>
      <c r="Z35" s="34" t="n">
        <v>498092.2</v>
      </c>
      <c r="AA35" s="18" t="n">
        <v>511204.94</v>
      </c>
      <c r="AB35" s="19" t="n">
        <v>513955.4</v>
      </c>
      <c r="AC35" s="10" t="n"/>
      <c r="AD35" s="10" t="n"/>
      <c r="AE35" s="11" t="n"/>
      <c r="AF35" s="10" t="n"/>
      <c r="AG35" s="10" t="n"/>
      <c r="AH35" s="10" t="n"/>
      <c r="AI35" s="10" t="n"/>
      <c r="AJ35" s="11" t="n"/>
      <c r="AK35" s="10" t="n"/>
      <c r="AL35" s="10" t="n"/>
      <c r="AM35" s="10" t="n"/>
      <c r="AN35" s="10" t="n"/>
      <c r="AO35" s="11" t="n"/>
    </row>
    <row r="36">
      <c r="A36" t="n">
        <v>1</v>
      </c>
      <c r="C36" t="inlineStr">
        <is>
          <t>이자발생자산</t>
        </is>
      </c>
      <c r="E36" s="18" t="n">
        <v>176060.51</v>
      </c>
      <c r="F36" s="34" t="n">
        <v>176060.51</v>
      </c>
      <c r="G36" s="18" t="n">
        <v>176799.72</v>
      </c>
      <c r="H36" s="18" t="n">
        <v>174056.4</v>
      </c>
      <c r="I36" s="18" t="n">
        <v>174609.88</v>
      </c>
      <c r="J36" s="18" t="n">
        <v>183922.73</v>
      </c>
      <c r="K36" s="34" t="n">
        <v>183922.73</v>
      </c>
      <c r="L36" s="18" t="n">
        <v>177500.09</v>
      </c>
      <c r="M36" s="18" t="n">
        <v>178088.11</v>
      </c>
      <c r="N36" s="18" t="n">
        <v>181028.34</v>
      </c>
      <c r="O36" s="18" t="n">
        <v>180278.23</v>
      </c>
      <c r="P36" s="34" t="n">
        <v>180278.23</v>
      </c>
      <c r="Q36" s="18" t="n">
        <v>182304.66</v>
      </c>
      <c r="R36" s="18" t="n">
        <v>179829.66</v>
      </c>
      <c r="S36" s="18" t="n">
        <v>192970.56</v>
      </c>
      <c r="T36" s="18" t="n">
        <v>199423.14</v>
      </c>
      <c r="U36" s="34" t="n">
        <v>199423.14</v>
      </c>
      <c r="V36" s="18" t="n">
        <v>196545.51</v>
      </c>
      <c r="W36" s="18" t="n">
        <v>184819.78</v>
      </c>
      <c r="X36" s="18" t="n">
        <v>189043.59</v>
      </c>
      <c r="Y36" s="18" t="n">
        <v>196324.88</v>
      </c>
      <c r="Z36" s="34" t="n">
        <v>196324.88</v>
      </c>
      <c r="AA36" s="18" t="n">
        <v>179619.85</v>
      </c>
      <c r="AB36" s="19" t="n">
        <v>190641.75</v>
      </c>
      <c r="AC36" s="10" t="n"/>
      <c r="AD36" s="10" t="n"/>
      <c r="AE36" s="11" t="n"/>
      <c r="AF36" s="10" t="n"/>
      <c r="AG36" s="10" t="n"/>
      <c r="AH36" s="10" t="n"/>
      <c r="AI36" s="10" t="n"/>
      <c r="AJ36" s="11" t="n"/>
      <c r="AK36" s="10" t="n"/>
      <c r="AL36" s="10" t="n"/>
      <c r="AM36" s="10" t="n"/>
      <c r="AN36" s="10" t="n"/>
      <c r="AO36" s="11" t="n"/>
    </row>
    <row r="37">
      <c r="A37" t="n">
        <v>1</v>
      </c>
      <c r="C37" t="inlineStr">
        <is>
          <t>단기충당부채</t>
        </is>
      </c>
      <c r="F37" s="9" t="n"/>
      <c r="J37" s="18" t="n">
        <v>261.25</v>
      </c>
      <c r="K37" s="34" t="n">
        <v>261.25</v>
      </c>
      <c r="L37" s="18" t="n">
        <v>261.25</v>
      </c>
      <c r="M37" s="18" t="n">
        <v>261.25</v>
      </c>
      <c r="N37" s="18" t="n">
        <v>261.25</v>
      </c>
      <c r="O37" s="18" t="n">
        <v>261.25</v>
      </c>
      <c r="P37" s="34" t="n">
        <v>261.25</v>
      </c>
      <c r="Q37" s="18" t="n">
        <v>261.25</v>
      </c>
      <c r="R37" s="18" t="n">
        <v>261.25</v>
      </c>
      <c r="U37" s="9" t="n"/>
      <c r="Z37" s="9" t="n"/>
      <c r="AB37" s="5" t="n"/>
      <c r="AC37" s="10" t="n"/>
      <c r="AD37" s="10" t="n"/>
      <c r="AE37" s="11" t="n"/>
      <c r="AF37" s="10" t="n"/>
      <c r="AG37" s="10" t="n"/>
      <c r="AH37" s="10" t="n"/>
      <c r="AI37" s="10" t="n"/>
      <c r="AJ37" s="11" t="n"/>
      <c r="AK37" s="10" t="n"/>
      <c r="AL37" s="10" t="n"/>
      <c r="AM37" s="10" t="n"/>
      <c r="AN37" s="10" t="n"/>
      <c r="AO37" s="11" t="n"/>
    </row>
    <row r="38">
      <c r="A38" t="n">
        <v>1</v>
      </c>
      <c r="C38" t="inlineStr">
        <is>
          <t>매출액(수익)</t>
        </is>
      </c>
      <c r="E38" s="18" t="n">
        <v>35876.12</v>
      </c>
      <c r="F38" s="9" t="n"/>
      <c r="G38" s="18" t="n">
        <v>34257.14</v>
      </c>
      <c r="H38" s="18" t="n">
        <v>51159.73</v>
      </c>
      <c r="I38" s="18" t="n">
        <v>43444.64</v>
      </c>
      <c r="J38" s="18" t="n">
        <v>53989.58</v>
      </c>
      <c r="K38" s="34" t="n">
        <v>182851.09</v>
      </c>
      <c r="L38" s="18" t="n">
        <v>45703.71</v>
      </c>
      <c r="M38" s="18" t="n">
        <v>49622.98</v>
      </c>
      <c r="N38" s="18" t="n">
        <v>46591.97</v>
      </c>
      <c r="O38" s="18" t="n">
        <v>46920.48</v>
      </c>
      <c r="P38" s="34" t="n">
        <v>188839.14</v>
      </c>
      <c r="Q38" s="18" t="n">
        <v>49774</v>
      </c>
      <c r="R38" s="18" t="n">
        <v>46087.07</v>
      </c>
      <c r="S38" s="18" t="n">
        <v>45284.68</v>
      </c>
      <c r="T38" s="18" t="n">
        <v>49366.58</v>
      </c>
      <c r="U38" s="34" t="n">
        <v>190512.33</v>
      </c>
      <c r="V38" s="18" t="n">
        <v>49035.49</v>
      </c>
      <c r="W38" s="18" t="n">
        <v>54333.03</v>
      </c>
      <c r="X38" s="18" t="n">
        <v>53845.11</v>
      </c>
      <c r="Y38" s="18" t="n">
        <v>57352.22</v>
      </c>
      <c r="Z38" s="34" t="n">
        <v>214565.85</v>
      </c>
      <c r="AA38" s="18" t="n">
        <v>54145.86</v>
      </c>
      <c r="AB38" s="19" t="n">
        <v>59250.82</v>
      </c>
      <c r="AC38" s="10" t="n"/>
      <c r="AD38" s="10" t="n"/>
      <c r="AE38" s="11" t="n"/>
      <c r="AF38" s="10" t="n"/>
      <c r="AG38" s="10" t="n"/>
      <c r="AH38" s="10" t="n"/>
      <c r="AI38" s="10" t="n"/>
      <c r="AJ38" s="11" t="n"/>
      <c r="AK38" s="10" t="n"/>
      <c r="AL38" s="10" t="n"/>
      <c r="AM38" s="10" t="n"/>
      <c r="AN38" s="10" t="n"/>
      <c r="AO38" s="11" t="n"/>
    </row>
    <row r="39">
      <c r="A39" t="n">
        <v>1</v>
      </c>
      <c r="C39" t="inlineStr">
        <is>
          <t>매출원가</t>
        </is>
      </c>
      <c r="E39" s="18" t="n">
        <v>25478.83</v>
      </c>
      <c r="F39" s="9" t="n"/>
      <c r="G39" s="18" t="n">
        <v>23457.07</v>
      </c>
      <c r="H39" s="18" t="n">
        <v>35198.68</v>
      </c>
      <c r="I39" s="18" t="n">
        <v>27324.64</v>
      </c>
      <c r="J39" s="18" t="n">
        <v>33254.62</v>
      </c>
      <c r="K39" s="34" t="n">
        <v>119235.01</v>
      </c>
      <c r="L39" s="18" t="n">
        <v>27927.65</v>
      </c>
      <c r="M39" s="18" t="n">
        <v>28207.59</v>
      </c>
      <c r="N39" s="18" t="n">
        <v>26766.38</v>
      </c>
      <c r="O39" s="18" t="n">
        <v>29188.34</v>
      </c>
      <c r="P39" s="34" t="n">
        <v>112089.96</v>
      </c>
      <c r="Q39" s="18" t="n">
        <v>28542.45</v>
      </c>
      <c r="R39" s="18" t="n">
        <v>26464.79</v>
      </c>
      <c r="S39" s="18" t="n">
        <v>25886.53</v>
      </c>
      <c r="T39" s="18" t="n">
        <v>33847.13</v>
      </c>
      <c r="U39" s="34" t="n">
        <v>114740.9</v>
      </c>
      <c r="V39" s="18" t="n">
        <v>29531.82</v>
      </c>
      <c r="W39" s="18" t="n">
        <v>31122.07</v>
      </c>
      <c r="X39" s="18" t="n">
        <v>34124.43</v>
      </c>
      <c r="Y39" s="18" t="n">
        <v>33987.46</v>
      </c>
      <c r="Z39" s="34" t="n">
        <v>128765.78</v>
      </c>
      <c r="AA39" s="18" t="n">
        <v>31707.67</v>
      </c>
      <c r="AB39" s="19" t="n">
        <v>35109.82</v>
      </c>
      <c r="AC39" s="10" t="n"/>
      <c r="AD39" s="10" t="n"/>
      <c r="AE39" s="11" t="n"/>
      <c r="AF39" s="10" t="n"/>
      <c r="AG39" s="10" t="n"/>
      <c r="AH39" s="10" t="n"/>
      <c r="AI39" s="10" t="n"/>
      <c r="AJ39" s="11" t="n"/>
      <c r="AK39" s="10" t="n"/>
      <c r="AL39" s="10" t="n"/>
      <c r="AM39" s="10" t="n"/>
      <c r="AN39" s="10" t="n"/>
      <c r="AO39" s="11" t="n"/>
    </row>
    <row r="40">
      <c r="A40" t="n">
        <v>1</v>
      </c>
      <c r="C40" t="inlineStr">
        <is>
          <t>매출총이익</t>
        </is>
      </c>
      <c r="E40" s="18" t="n">
        <v>10397.3</v>
      </c>
      <c r="F40" s="9" t="n"/>
      <c r="G40" s="18" t="n">
        <v>10800.06</v>
      </c>
      <c r="H40" s="18" t="n">
        <v>15961.05</v>
      </c>
      <c r="I40" s="18" t="n">
        <v>16120</v>
      </c>
      <c r="J40" s="18" t="n">
        <v>20734.96</v>
      </c>
      <c r="K40" s="34" t="n">
        <v>63616.07</v>
      </c>
      <c r="L40" s="18" t="n">
        <v>17776.06</v>
      </c>
      <c r="M40" s="18" t="n">
        <v>21415.39</v>
      </c>
      <c r="N40" s="18" t="n">
        <v>19825.6</v>
      </c>
      <c r="O40" s="18" t="n">
        <v>17732.14</v>
      </c>
      <c r="P40" s="34" t="n">
        <v>76749.19</v>
      </c>
      <c r="Q40" s="18" t="n">
        <v>21231.55</v>
      </c>
      <c r="R40" s="18" t="n">
        <v>19622.28</v>
      </c>
      <c r="S40" s="18" t="n">
        <v>19398.15</v>
      </c>
      <c r="T40" s="18" t="n">
        <v>15519.44</v>
      </c>
      <c r="U40" s="34" t="n">
        <v>75771.42</v>
      </c>
      <c r="V40" s="18" t="n">
        <v>19503.67</v>
      </c>
      <c r="W40" s="18" t="n">
        <v>23210.96</v>
      </c>
      <c r="X40" s="18" t="n">
        <v>19720.68</v>
      </c>
      <c r="Y40" s="18" t="n">
        <v>23364.76</v>
      </c>
      <c r="Z40" s="34" t="n">
        <v>85800.07000000001</v>
      </c>
      <c r="AA40" s="18" t="n">
        <v>22438.19</v>
      </c>
      <c r="AB40" s="19" t="n">
        <v>24141</v>
      </c>
      <c r="AC40" s="10" t="n"/>
      <c r="AD40" s="10" t="n"/>
      <c r="AE40" s="11" t="n"/>
      <c r="AF40" s="10" t="n"/>
      <c r="AG40" s="10" t="n"/>
      <c r="AH40" s="10" t="n"/>
      <c r="AI40" s="10" t="n"/>
      <c r="AJ40" s="11" t="n"/>
      <c r="AK40" s="10" t="n"/>
      <c r="AL40" s="10" t="n"/>
      <c r="AM40" s="10" t="n"/>
      <c r="AN40" s="10" t="n"/>
      <c r="AO40" s="11" t="n"/>
    </row>
    <row r="41">
      <c r="A41" t="n">
        <v>1</v>
      </c>
      <c r="C41" t="inlineStr">
        <is>
          <t>판관비</t>
        </is>
      </c>
      <c r="E41" s="18" t="n">
        <v>6441</v>
      </c>
      <c r="F41" s="9" t="n"/>
      <c r="G41" s="18" t="n">
        <v>5558.45</v>
      </c>
      <c r="H41" s="18" t="n">
        <v>5577.27</v>
      </c>
      <c r="I41" s="18" t="n">
        <v>5882.89</v>
      </c>
      <c r="J41" s="18" t="n">
        <v>5901.28</v>
      </c>
      <c r="K41" s="34" t="n">
        <v>22919.89</v>
      </c>
      <c r="L41" s="18" t="n">
        <v>6558.38</v>
      </c>
      <c r="M41" s="18" t="n">
        <v>6043.1</v>
      </c>
      <c r="N41" s="18" t="n">
        <v>5679.81</v>
      </c>
      <c r="O41" s="18" t="n">
        <v>6576.36</v>
      </c>
      <c r="P41" s="34" t="n">
        <v>24857.65</v>
      </c>
      <c r="Q41" s="18" t="n">
        <v>5839.79</v>
      </c>
      <c r="R41" s="18" t="n">
        <v>4923.06</v>
      </c>
      <c r="S41" s="18" t="n">
        <v>5742.6</v>
      </c>
      <c r="T41" s="18" t="n">
        <v>9135.26</v>
      </c>
      <c r="U41" s="34" t="n">
        <v>25640.71</v>
      </c>
      <c r="V41" s="18" t="n">
        <v>6800.79</v>
      </c>
      <c r="W41" s="18" t="n">
        <v>6781.94</v>
      </c>
      <c r="X41" s="18" t="n">
        <v>5522.49</v>
      </c>
      <c r="Y41" s="18" t="n">
        <v>7784.01</v>
      </c>
      <c r="Z41" s="34" t="n">
        <v>26889.23</v>
      </c>
      <c r="AA41" s="18" t="n">
        <v>6752.59</v>
      </c>
      <c r="AB41" s="19" t="n">
        <v>7150.26</v>
      </c>
      <c r="AC41" s="10" t="n"/>
      <c r="AD41" s="10" t="n"/>
      <c r="AE41" s="11" t="n"/>
      <c r="AF41" s="10" t="n"/>
      <c r="AG41" s="10" t="n"/>
      <c r="AH41" s="10" t="n"/>
      <c r="AI41" s="10" t="n"/>
      <c r="AJ41" s="11" t="n"/>
      <c r="AK41" s="10" t="n"/>
      <c r="AL41" s="10" t="n"/>
      <c r="AM41" s="10" t="n"/>
      <c r="AN41" s="10" t="n"/>
      <c r="AO41" s="11" t="n"/>
    </row>
    <row r="42">
      <c r="A42" t="n">
        <v>1</v>
      </c>
      <c r="C42" t="inlineStr">
        <is>
          <t>영업이익</t>
        </is>
      </c>
      <c r="E42" s="18" t="n">
        <v>3956.31</v>
      </c>
      <c r="F42" s="9" t="n"/>
      <c r="G42" s="18" t="n">
        <v>5241.61</v>
      </c>
      <c r="H42" s="18" t="n">
        <v>10383.78</v>
      </c>
      <c r="I42" s="18" t="n">
        <v>10237.11</v>
      </c>
      <c r="J42" s="18" t="n">
        <v>14833.68</v>
      </c>
      <c r="K42" s="34" t="n">
        <v>40696.18</v>
      </c>
      <c r="L42" s="18" t="n">
        <v>11217.68</v>
      </c>
      <c r="M42" s="18" t="n">
        <v>15372.29</v>
      </c>
      <c r="N42" s="18" t="n">
        <v>14145.79</v>
      </c>
      <c r="O42" s="18" t="n">
        <v>11155.77</v>
      </c>
      <c r="P42" s="34" t="n">
        <v>51891.53</v>
      </c>
      <c r="Q42" s="18" t="n">
        <v>15391.76</v>
      </c>
      <c r="R42" s="18" t="n">
        <v>14699.21</v>
      </c>
      <c r="S42" s="18" t="n">
        <v>13655.55</v>
      </c>
      <c r="T42" s="18" t="n">
        <v>6384.18</v>
      </c>
      <c r="U42" s="34" t="n">
        <v>50130.7</v>
      </c>
      <c r="V42" s="18" t="n">
        <v>12702.89</v>
      </c>
      <c r="W42" s="18" t="n">
        <v>16429.01</v>
      </c>
      <c r="X42" s="18" t="n">
        <v>14198.19</v>
      </c>
      <c r="Y42" s="18" t="n">
        <v>15580.75</v>
      </c>
      <c r="Z42" s="34" t="n">
        <v>58910.84</v>
      </c>
      <c r="AA42" s="18" t="n">
        <v>15685.6</v>
      </c>
      <c r="AB42" s="19" t="n">
        <v>16990.74</v>
      </c>
      <c r="AC42" s="10" t="n"/>
      <c r="AD42" s="10" t="n"/>
      <c r="AE42" s="11" t="n"/>
      <c r="AF42" s="10" t="n"/>
      <c r="AG42" s="10" t="n"/>
      <c r="AH42" s="10" t="n"/>
      <c r="AI42" s="10" t="n"/>
      <c r="AJ42" s="11" t="n"/>
      <c r="AK42" s="10" t="n"/>
      <c r="AL42" s="10" t="n"/>
      <c r="AM42" s="10" t="n"/>
      <c r="AN42" s="10" t="n"/>
      <c r="AO42" s="11" t="n"/>
    </row>
    <row r="43">
      <c r="A43" t="n">
        <v>1</v>
      </c>
      <c r="C43" t="inlineStr">
        <is>
          <t>기타영업외수익</t>
        </is>
      </c>
      <c r="E43" s="18" t="n">
        <v>392.06</v>
      </c>
      <c r="F43" s="9" t="n"/>
      <c r="G43" s="18" t="n">
        <v>91.63</v>
      </c>
      <c r="H43" s="18" t="n">
        <v>336.14</v>
      </c>
      <c r="I43" s="18" t="n">
        <v>83.77</v>
      </c>
      <c r="J43" s="18" t="n">
        <v>62.61</v>
      </c>
      <c r="K43" s="34" t="n">
        <v>574.15</v>
      </c>
      <c r="L43" s="18" t="n">
        <v>242.66</v>
      </c>
      <c r="M43" s="18" t="n">
        <v>152.56</v>
      </c>
      <c r="N43" s="18" t="n">
        <v>240.37</v>
      </c>
      <c r="O43" s="18" t="n">
        <v>126.65</v>
      </c>
      <c r="P43" s="34" t="n">
        <v>762.24</v>
      </c>
      <c r="Q43" s="18" t="n">
        <v>122.24</v>
      </c>
      <c r="R43" s="18" t="n">
        <v>118.25</v>
      </c>
      <c r="S43" s="18" t="n">
        <v>178.15</v>
      </c>
      <c r="T43" s="18" t="n">
        <v>193.4</v>
      </c>
      <c r="U43" s="34" t="n">
        <v>612.04</v>
      </c>
      <c r="V43" s="18" t="n">
        <v>126.68</v>
      </c>
      <c r="W43" s="18" t="n">
        <v>677.87</v>
      </c>
      <c r="X43" s="18" t="n">
        <v>303.51</v>
      </c>
      <c r="Y43" s="18" t="n">
        <v>164.92</v>
      </c>
      <c r="Z43" s="34" t="n">
        <v>1272.98</v>
      </c>
      <c r="AA43" s="18" t="n">
        <v>151.95</v>
      </c>
      <c r="AB43" s="19" t="n">
        <v>170.17</v>
      </c>
      <c r="AC43" s="10" t="n"/>
      <c r="AD43" s="10" t="n"/>
      <c r="AE43" s="11" t="n"/>
      <c r="AF43" s="10" t="n"/>
      <c r="AG43" s="10" t="n"/>
      <c r="AH43" s="10" t="n"/>
      <c r="AI43" s="10" t="n"/>
      <c r="AJ43" s="11" t="n"/>
      <c r="AK43" s="10" t="n"/>
      <c r="AL43" s="10" t="n"/>
      <c r="AM43" s="10" t="n"/>
      <c r="AN43" s="10" t="n"/>
      <c r="AO43" s="11" t="n"/>
    </row>
    <row r="44">
      <c r="A44" t="n">
        <v>1</v>
      </c>
      <c r="C44" t="inlineStr">
        <is>
          <t>기타영업외비용</t>
        </is>
      </c>
      <c r="E44" s="18" t="n">
        <v>17.64</v>
      </c>
      <c r="F44" s="9" t="n"/>
      <c r="G44" s="18" t="n">
        <v>2.31</v>
      </c>
      <c r="H44" s="18" t="n">
        <v>8.75</v>
      </c>
      <c r="I44" s="18" t="n">
        <v>357.54</v>
      </c>
      <c r="J44" s="18" t="n">
        <v>31.83</v>
      </c>
      <c r="K44" s="34" t="n">
        <v>400.43</v>
      </c>
      <c r="L44" s="18" t="n">
        <v>18.53</v>
      </c>
      <c r="M44" s="18" t="n">
        <v>0.35</v>
      </c>
      <c r="N44" s="18" t="n">
        <v>689.05</v>
      </c>
      <c r="O44" s="18" t="n">
        <v>4.82</v>
      </c>
      <c r="P44" s="34" t="n">
        <v>712.75</v>
      </c>
      <c r="Q44" s="18" t="n">
        <v>0.01</v>
      </c>
      <c r="R44" s="18" t="n">
        <v>11.17</v>
      </c>
      <c r="S44" s="18" t="n">
        <v>-4.85</v>
      </c>
      <c r="T44" s="18" t="n">
        <v>54.11</v>
      </c>
      <c r="U44" s="34" t="n">
        <v>60.44</v>
      </c>
      <c r="V44" s="18" t="n">
        <v>3.03</v>
      </c>
      <c r="W44" s="18" t="n">
        <v>256.01</v>
      </c>
      <c r="X44" s="18" t="n">
        <v>90.17</v>
      </c>
      <c r="Y44" s="18" t="n">
        <v>96.69</v>
      </c>
      <c r="Z44" s="34" t="n">
        <v>445.9</v>
      </c>
      <c r="AA44" s="18" t="n">
        <v>127.06</v>
      </c>
      <c r="AB44" s="19" t="n">
        <v>43.08</v>
      </c>
      <c r="AC44" s="10" t="n"/>
      <c r="AD44" s="10" t="n"/>
      <c r="AE44" s="11" t="n"/>
      <c r="AF44" s="10" t="n"/>
      <c r="AG44" s="10" t="n"/>
      <c r="AH44" s="10" t="n"/>
      <c r="AI44" s="10" t="n"/>
      <c r="AJ44" s="11" t="n"/>
      <c r="AK44" s="10" t="n"/>
      <c r="AL44" s="10" t="n"/>
      <c r="AM44" s="10" t="n"/>
      <c r="AN44" s="10" t="n"/>
      <c r="AO44" s="11" t="n"/>
    </row>
    <row r="45">
      <c r="A45" t="n">
        <v>1</v>
      </c>
      <c r="C45" t="inlineStr">
        <is>
          <t>금융수익</t>
        </is>
      </c>
      <c r="E45" s="18" t="n">
        <v>1652.44</v>
      </c>
      <c r="F45" s="9" t="n"/>
      <c r="G45" s="18" t="n">
        <v>1552.76</v>
      </c>
      <c r="H45" s="18" t="n">
        <v>2950.73</v>
      </c>
      <c r="I45" s="18" t="n">
        <v>5794.22</v>
      </c>
      <c r="J45" s="18" t="n">
        <v>-3054.72</v>
      </c>
      <c r="K45" s="34" t="n">
        <v>7242.99</v>
      </c>
      <c r="L45" s="18" t="n">
        <v>4363.16</v>
      </c>
      <c r="M45" s="18" t="n">
        <v>2703.62</v>
      </c>
      <c r="N45" s="18" t="n">
        <v>2936.71</v>
      </c>
      <c r="O45" s="18" t="n">
        <v>878.11</v>
      </c>
      <c r="P45" s="34" t="n">
        <v>10881.6</v>
      </c>
      <c r="Q45" s="18" t="n">
        <v>3983.81</v>
      </c>
      <c r="R45" s="18" t="n">
        <v>2866.37</v>
      </c>
      <c r="S45" s="18" t="n">
        <v>1938.31</v>
      </c>
      <c r="T45" s="18" t="n">
        <v>5731.61</v>
      </c>
      <c r="U45" s="34" t="n">
        <v>14520.1</v>
      </c>
      <c r="V45" s="18" t="n">
        <v>2286.78</v>
      </c>
      <c r="W45" s="18" t="n">
        <v>1378.55</v>
      </c>
      <c r="X45" s="18" t="n">
        <v>4005.52</v>
      </c>
      <c r="Y45" s="18" t="n">
        <v>2598.97</v>
      </c>
      <c r="Z45" s="34" t="n">
        <v>10269.82</v>
      </c>
      <c r="AA45" s="18" t="n">
        <v>4399.07</v>
      </c>
      <c r="AB45" s="19" t="n">
        <v>2456.41</v>
      </c>
      <c r="AC45" s="10" t="n"/>
      <c r="AD45" s="10" t="n"/>
      <c r="AE45" s="11" t="n"/>
      <c r="AF45" s="10" t="n"/>
      <c r="AG45" s="10" t="n"/>
      <c r="AH45" s="10" t="n"/>
      <c r="AI45" s="10" t="n"/>
      <c r="AJ45" s="11" t="n"/>
      <c r="AK45" s="10" t="n"/>
      <c r="AL45" s="10" t="n"/>
      <c r="AM45" s="10" t="n"/>
      <c r="AN45" s="10" t="n"/>
      <c r="AO45" s="11" t="n"/>
    </row>
    <row r="46">
      <c r="A46" t="n">
        <v>1</v>
      </c>
      <c r="C46" t="inlineStr">
        <is>
          <t>금융비용</t>
        </is>
      </c>
      <c r="E46" s="18" t="n">
        <v>59.7</v>
      </c>
      <c r="F46" s="9" t="n"/>
      <c r="G46" s="18" t="n">
        <v>52.56</v>
      </c>
      <c r="H46" s="18" t="n">
        <v>60.51</v>
      </c>
      <c r="I46" s="18" t="n">
        <v>35.87</v>
      </c>
      <c r="J46" s="18" t="n">
        <v>2378</v>
      </c>
      <c r="K46" s="34" t="n">
        <v>2526.94</v>
      </c>
      <c r="L46" s="18" t="n">
        <v>284.02</v>
      </c>
      <c r="M46" s="18" t="n">
        <v>652.95</v>
      </c>
      <c r="N46" s="18" t="n">
        <v>291.85</v>
      </c>
      <c r="O46" s="18" t="n">
        <v>863.6799999999999</v>
      </c>
      <c r="P46" s="34" t="n">
        <v>2092.5</v>
      </c>
      <c r="Q46" s="18" t="n">
        <v>33.44</v>
      </c>
      <c r="R46" s="18" t="n">
        <v>99.66</v>
      </c>
      <c r="S46" s="18" t="n">
        <v>2480.4</v>
      </c>
      <c r="T46" s="18" t="n">
        <v>-502.08</v>
      </c>
      <c r="U46" s="34" t="n">
        <v>2111.42</v>
      </c>
      <c r="V46" s="18" t="n">
        <v>316.28</v>
      </c>
      <c r="W46" s="18" t="n">
        <v>3356.74</v>
      </c>
      <c r="X46" s="18" t="n">
        <v>674.51</v>
      </c>
      <c r="Y46" s="18" t="n">
        <v>1.06</v>
      </c>
      <c r="Z46" s="34" t="n">
        <v>4348.59</v>
      </c>
      <c r="AA46" s="18" t="n">
        <v>101.4</v>
      </c>
      <c r="AB46" s="19" t="n">
        <v>45.45</v>
      </c>
      <c r="AC46" s="10" t="n"/>
      <c r="AD46" s="10" t="n"/>
      <c r="AE46" s="11" t="n"/>
      <c r="AF46" s="10" t="n"/>
      <c r="AG46" s="10" t="n"/>
      <c r="AH46" s="10" t="n"/>
      <c r="AI46" s="10" t="n"/>
      <c r="AJ46" s="11" t="n"/>
      <c r="AK46" s="10" t="n"/>
      <c r="AL46" s="10" t="n"/>
      <c r="AM46" s="10" t="n"/>
      <c r="AN46" s="10" t="n"/>
      <c r="AO46" s="11" t="n"/>
    </row>
    <row r="47">
      <c r="A47" t="n">
        <v>1</v>
      </c>
      <c r="C47" t="inlineStr">
        <is>
          <t>법인세비용차감전계속사업이익</t>
        </is>
      </c>
      <c r="E47" s="18" t="n">
        <v>5923.46</v>
      </c>
      <c r="F47" s="9" t="n"/>
      <c r="G47" s="18" t="n">
        <v>6831.14</v>
      </c>
      <c r="H47" s="18" t="n">
        <v>13601.39</v>
      </c>
      <c r="I47" s="18" t="n">
        <v>15721.69</v>
      </c>
      <c r="J47" s="18" t="n">
        <v>9431.73</v>
      </c>
      <c r="K47" s="34" t="n">
        <v>45585.95</v>
      </c>
      <c r="L47" s="18" t="n">
        <v>15520.95</v>
      </c>
      <c r="M47" s="18" t="n">
        <v>17575.18</v>
      </c>
      <c r="N47" s="18" t="n">
        <v>16341.96</v>
      </c>
      <c r="O47" s="18" t="n">
        <v>11292.03</v>
      </c>
      <c r="P47" s="34" t="n">
        <v>60730.12</v>
      </c>
      <c r="Q47" s="18" t="n">
        <v>19464.37</v>
      </c>
      <c r="R47" s="18" t="n">
        <v>17573</v>
      </c>
      <c r="S47" s="18" t="n">
        <v>13296.46</v>
      </c>
      <c r="T47" s="18" t="n">
        <v>12757.17</v>
      </c>
      <c r="U47" s="34" t="n">
        <v>63091</v>
      </c>
      <c r="V47" s="18" t="n">
        <v>14797.04</v>
      </c>
      <c r="W47" s="18" t="n">
        <v>14872.68</v>
      </c>
      <c r="X47" s="18" t="n">
        <v>17742.55</v>
      </c>
      <c r="Y47" s="18" t="n">
        <v>18246.88</v>
      </c>
      <c r="Z47" s="34" t="n">
        <v>65659.14999999999</v>
      </c>
      <c r="AA47" s="18" t="n">
        <v>20008.17</v>
      </c>
      <c r="AB47" s="19" t="n">
        <v>19528.8</v>
      </c>
      <c r="AC47" s="10" t="n"/>
      <c r="AD47" s="10" t="n"/>
      <c r="AE47" s="11" t="n"/>
      <c r="AF47" s="10" t="n"/>
      <c r="AG47" s="10" t="n"/>
      <c r="AH47" s="10" t="n"/>
      <c r="AI47" s="10" t="n"/>
      <c r="AJ47" s="11" t="n"/>
      <c r="AK47" s="10" t="n"/>
      <c r="AL47" s="10" t="n"/>
      <c r="AM47" s="10" t="n"/>
      <c r="AN47" s="10" t="n"/>
      <c r="AO47" s="11" t="n"/>
    </row>
    <row r="48">
      <c r="A48" t="n">
        <v>1</v>
      </c>
      <c r="C48" t="inlineStr">
        <is>
          <t>법인세비용</t>
        </is>
      </c>
      <c r="E48" s="18" t="n">
        <v>1216.61</v>
      </c>
      <c r="F48" s="9" t="n"/>
      <c r="G48" s="18" t="n">
        <v>1681.92</v>
      </c>
      <c r="H48" s="18" t="n">
        <v>3396.19</v>
      </c>
      <c r="I48" s="18" t="n">
        <v>3886.99</v>
      </c>
      <c r="J48" s="18" t="n">
        <v>2259.66</v>
      </c>
      <c r="K48" s="34" t="n">
        <v>11224.76</v>
      </c>
      <c r="L48" s="18" t="n">
        <v>3010.26</v>
      </c>
      <c r="M48" s="18" t="n">
        <v>3872.31</v>
      </c>
      <c r="N48" s="18" t="n">
        <v>3538.23</v>
      </c>
      <c r="O48" s="18" t="n">
        <v>2579.06</v>
      </c>
      <c r="P48" s="34" t="n">
        <v>12999.86</v>
      </c>
      <c r="Q48" s="18" t="n">
        <v>4215.78</v>
      </c>
      <c r="R48" s="18" t="n">
        <v>4513.54</v>
      </c>
      <c r="S48" s="18" t="n">
        <v>4146.68</v>
      </c>
      <c r="T48" s="18" t="n">
        <v>2191.1</v>
      </c>
      <c r="U48" s="34" t="n">
        <v>15067.1</v>
      </c>
      <c r="V48" s="18" t="n">
        <v>3252.82</v>
      </c>
      <c r="W48" s="18" t="n">
        <v>3719.58</v>
      </c>
      <c r="X48" s="18" t="n">
        <v>4026.53</v>
      </c>
      <c r="Y48" s="18" t="n">
        <v>3888.09</v>
      </c>
      <c r="Z48" s="34" t="n">
        <v>14887.02</v>
      </c>
      <c r="AA48" s="18" t="n">
        <v>4744.97</v>
      </c>
      <c r="AB48" s="19" t="n">
        <v>4680.07</v>
      </c>
      <c r="AC48" s="10" t="n"/>
      <c r="AD48" s="10" t="n"/>
      <c r="AE48" s="11" t="n"/>
      <c r="AF48" s="10" t="n"/>
      <c r="AG48" s="10" t="n"/>
      <c r="AH48" s="10" t="n"/>
      <c r="AI48" s="10" t="n"/>
      <c r="AJ48" s="11" t="n"/>
      <c r="AK48" s="10" t="n"/>
      <c r="AL48" s="10" t="n"/>
      <c r="AM48" s="10" t="n"/>
      <c r="AN48" s="10" t="n"/>
      <c r="AO48" s="11" t="n"/>
    </row>
    <row r="49">
      <c r="A49" t="n">
        <v>1</v>
      </c>
      <c r="C49" t="inlineStr">
        <is>
          <t>당기순이익</t>
        </is>
      </c>
      <c r="E49" s="18" t="n">
        <v>4706.86</v>
      </c>
      <c r="F49" s="9" t="n"/>
      <c r="G49" s="18" t="n">
        <v>5149.22</v>
      </c>
      <c r="H49" s="18" t="n">
        <v>10205.2</v>
      </c>
      <c r="I49" s="18" t="n">
        <v>11834.69</v>
      </c>
      <c r="J49" s="18" t="n">
        <v>7172.07</v>
      </c>
      <c r="K49" s="34" t="n">
        <v>34361.18</v>
      </c>
      <c r="L49" s="18" t="n">
        <v>12510.69</v>
      </c>
      <c r="M49" s="18" t="n">
        <v>13702.86</v>
      </c>
      <c r="N49" s="18" t="n">
        <v>12803.74</v>
      </c>
      <c r="O49" s="18" t="n">
        <v>8712.950000000001</v>
      </c>
      <c r="P49" s="34" t="n">
        <v>47730.24</v>
      </c>
      <c r="Q49" s="18" t="n">
        <v>15248.59</v>
      </c>
      <c r="R49" s="18" t="n">
        <v>13059.47</v>
      </c>
      <c r="S49" s="18" t="n">
        <v>9149.77</v>
      </c>
      <c r="T49" s="18" t="n">
        <v>10566.07</v>
      </c>
      <c r="U49" s="34" t="n">
        <v>48023.9</v>
      </c>
      <c r="V49" s="18" t="n">
        <v>11544.22</v>
      </c>
      <c r="W49" s="18" t="n">
        <v>11153.1</v>
      </c>
      <c r="X49" s="18" t="n">
        <v>13716.02</v>
      </c>
      <c r="Y49" s="18" t="n">
        <v>14358.79</v>
      </c>
      <c r="Z49" s="34" t="n">
        <v>50772.13</v>
      </c>
      <c r="AA49" s="18" t="n">
        <v>15263.2</v>
      </c>
      <c r="AB49" s="19" t="n">
        <v>14848.73</v>
      </c>
      <c r="AC49" s="10" t="n"/>
      <c r="AD49" s="10" t="n"/>
      <c r="AE49" s="11" t="n"/>
      <c r="AF49" s="10" t="n"/>
      <c r="AG49" s="10" t="n"/>
      <c r="AH49" s="10" t="n"/>
      <c r="AI49" s="10" t="n"/>
      <c r="AJ49" s="11" t="n"/>
      <c r="AK49" s="10" t="n"/>
      <c r="AL49" s="10" t="n"/>
      <c r="AM49" s="10" t="n"/>
      <c r="AN49" s="10" t="n"/>
      <c r="AO49" s="11" t="n"/>
    </row>
    <row r="50">
      <c r="A50" t="n">
        <v>1</v>
      </c>
      <c r="C50" t="inlineStr">
        <is>
          <t>(지배주주지분)당기순이익</t>
        </is>
      </c>
      <c r="E50" s="18" t="n">
        <v>4664.27</v>
      </c>
      <c r="F50" s="9" t="n"/>
      <c r="G50" s="18" t="n">
        <v>5148.17</v>
      </c>
      <c r="H50" s="18" t="n">
        <v>10016.92</v>
      </c>
      <c r="I50" s="18" t="n">
        <v>11699.87</v>
      </c>
      <c r="J50" s="18" t="n">
        <v>6997.55</v>
      </c>
      <c r="K50" s="34" t="n">
        <v>33862.51</v>
      </c>
      <c r="L50" s="18" t="n">
        <v>12507.79</v>
      </c>
      <c r="M50" s="18" t="n">
        <v>13656.43</v>
      </c>
      <c r="N50" s="18" t="n">
        <v>12534.95</v>
      </c>
      <c r="O50" s="18" t="n">
        <v>8632.389999999999</v>
      </c>
      <c r="P50" s="34" t="n">
        <v>47331.56</v>
      </c>
      <c r="Q50" s="18" t="n">
        <v>15064.39</v>
      </c>
      <c r="R50" s="18" t="n">
        <v>12927.65</v>
      </c>
      <c r="S50" s="18" t="n">
        <v>8944.200000000001</v>
      </c>
      <c r="T50" s="18" t="n">
        <v>10574.36</v>
      </c>
      <c r="U50" s="34" t="n">
        <v>47510.6</v>
      </c>
      <c r="V50" s="18" t="n">
        <v>11536.6</v>
      </c>
      <c r="W50" s="18" t="n">
        <v>11137.43</v>
      </c>
      <c r="X50" s="18" t="n">
        <v>13445.13</v>
      </c>
      <c r="Y50" s="18" t="n">
        <v>14170.88</v>
      </c>
      <c r="Z50" s="34" t="n">
        <v>50290.04</v>
      </c>
      <c r="AA50" s="18" t="n">
        <v>15157.74</v>
      </c>
      <c r="AB50" s="19" t="n">
        <v>14728.97</v>
      </c>
      <c r="AC50" s="10" t="n"/>
      <c r="AD50" s="10" t="n"/>
      <c r="AE50" s="11" t="n"/>
      <c r="AF50" s="10" t="n"/>
      <c r="AG50" s="10" t="n"/>
      <c r="AH50" s="10" t="n"/>
      <c r="AI50" s="10" t="n"/>
      <c r="AJ50" s="11" t="n"/>
      <c r="AK50" s="10" t="n"/>
      <c r="AL50" s="10" t="n"/>
      <c r="AM50" s="10" t="n"/>
      <c r="AN50" s="10" t="n"/>
      <c r="AO50" s="11" t="n"/>
    </row>
    <row r="51">
      <c r="A51" t="n">
        <v>1</v>
      </c>
      <c r="C51" t="inlineStr">
        <is>
          <t>(비지배주주지분)당기순이익</t>
        </is>
      </c>
      <c r="E51" s="18" t="n">
        <v>42.58</v>
      </c>
      <c r="F51" s="9" t="n"/>
      <c r="G51" s="18" t="n">
        <v>1.05</v>
      </c>
      <c r="H51" s="18" t="n">
        <v>188.28</v>
      </c>
      <c r="I51" s="18" t="n">
        <v>134.83</v>
      </c>
      <c r="J51" s="18" t="n">
        <v>174.52</v>
      </c>
      <c r="K51" s="34" t="n">
        <v>498.68</v>
      </c>
      <c r="L51" s="18" t="n">
        <v>2.9</v>
      </c>
      <c r="M51" s="18" t="n">
        <v>46.44</v>
      </c>
      <c r="N51" s="18" t="n">
        <v>268.79</v>
      </c>
      <c r="O51" s="18" t="n">
        <v>80.58</v>
      </c>
      <c r="P51" s="34" t="n">
        <v>398.71</v>
      </c>
      <c r="Q51" s="18" t="n">
        <v>184.2</v>
      </c>
      <c r="R51" s="18" t="n">
        <v>131.82</v>
      </c>
      <c r="S51" s="18" t="n">
        <v>205.57</v>
      </c>
      <c r="T51" s="18" t="n">
        <v>-8.300000000000001</v>
      </c>
      <c r="U51" s="34" t="n">
        <v>513.29</v>
      </c>
      <c r="V51" s="18" t="n">
        <v>7.62</v>
      </c>
      <c r="W51" s="18" t="n">
        <v>15.68</v>
      </c>
      <c r="X51" s="18" t="n">
        <v>270.89</v>
      </c>
      <c r="Y51" s="18" t="n">
        <v>187.92</v>
      </c>
      <c r="Z51" s="34" t="n">
        <v>482.11</v>
      </c>
      <c r="AA51" s="18" t="n">
        <v>105.46</v>
      </c>
      <c r="AB51" s="19" t="n">
        <v>119.76</v>
      </c>
      <c r="AC51" s="10" t="n"/>
      <c r="AD51" s="10" t="n"/>
      <c r="AE51" s="11" t="n"/>
      <c r="AF51" s="10" t="n"/>
      <c r="AG51" s="10" t="n"/>
      <c r="AH51" s="10" t="n"/>
      <c r="AI51" s="10" t="n"/>
      <c r="AJ51" s="11" t="n"/>
      <c r="AK51" s="10" t="n"/>
      <c r="AL51" s="10" t="n"/>
      <c r="AM51" s="10" t="n"/>
      <c r="AN51" s="10" t="n"/>
      <c r="AO51" s="11" t="n"/>
    </row>
    <row r="52">
      <c r="A52" t="n">
        <v>1</v>
      </c>
      <c r="C52" t="inlineStr">
        <is>
          <t>금융손익</t>
        </is>
      </c>
      <c r="E52" s="18" t="n">
        <v>1592.74</v>
      </c>
      <c r="F52" s="9" t="n"/>
      <c r="G52" s="18" t="n">
        <v>1500.2</v>
      </c>
      <c r="H52" s="18" t="n">
        <v>2890.22</v>
      </c>
      <c r="I52" s="18" t="n">
        <v>5758.35</v>
      </c>
      <c r="J52" s="18" t="n">
        <v>-5432.72</v>
      </c>
      <c r="K52" s="34" t="n">
        <v>4716.05</v>
      </c>
      <c r="L52" s="18" t="n">
        <v>4079.14</v>
      </c>
      <c r="M52" s="18" t="n">
        <v>2050.67</v>
      </c>
      <c r="N52" s="18" t="n">
        <v>2644.86</v>
      </c>
      <c r="O52" s="18" t="n">
        <v>14.43</v>
      </c>
      <c r="P52" s="34" t="n">
        <v>8789.1</v>
      </c>
      <c r="Q52" s="18" t="n">
        <v>3950.37</v>
      </c>
      <c r="R52" s="18" t="n">
        <v>2766.71</v>
      </c>
      <c r="S52" s="18" t="n">
        <v>-542.09</v>
      </c>
      <c r="T52" s="18" t="n">
        <v>6233.69</v>
      </c>
      <c r="U52" s="34" t="n">
        <v>12408.68</v>
      </c>
      <c r="V52" s="18" t="n">
        <v>1970.5</v>
      </c>
      <c r="W52" s="18" t="n">
        <v>-1978.19</v>
      </c>
      <c r="X52" s="18" t="n">
        <v>3331.01</v>
      </c>
      <c r="Y52" s="18" t="n">
        <v>2597.91</v>
      </c>
      <c r="Z52" s="34" t="n">
        <v>5921.23</v>
      </c>
      <c r="AA52" s="18" t="n">
        <v>4297.67</v>
      </c>
      <c r="AB52" s="19" t="n">
        <v>2410.96</v>
      </c>
      <c r="AC52" s="10" t="n"/>
      <c r="AD52" s="10" t="n"/>
      <c r="AE52" s="11" t="n"/>
      <c r="AF52" s="10" t="n"/>
      <c r="AG52" s="10" t="n"/>
      <c r="AH52" s="10" t="n"/>
      <c r="AI52" s="10" t="n"/>
      <c r="AJ52" s="11" t="n"/>
      <c r="AK52" s="10" t="n"/>
      <c r="AL52" s="10" t="n"/>
      <c r="AM52" s="10" t="n"/>
      <c r="AN52" s="10" t="n"/>
      <c r="AO52" s="11" t="n"/>
    </row>
    <row r="53">
      <c r="A53" t="n">
        <v>1</v>
      </c>
      <c r="C53" t="inlineStr">
        <is>
          <t>기타영업외손익</t>
        </is>
      </c>
      <c r="E53" s="18" t="n">
        <v>374.42</v>
      </c>
      <c r="F53" s="9" t="n"/>
      <c r="G53" s="18" t="n">
        <v>89.31999999999999</v>
      </c>
      <c r="H53" s="18" t="n">
        <v>327.39</v>
      </c>
      <c r="I53" s="18" t="n">
        <v>-273.77</v>
      </c>
      <c r="J53" s="18" t="n">
        <v>30.78</v>
      </c>
      <c r="K53" s="34" t="n">
        <v>173.72</v>
      </c>
      <c r="L53" s="18" t="n">
        <v>224.13</v>
      </c>
      <c r="M53" s="18" t="n">
        <v>152.21</v>
      </c>
      <c r="N53" s="18" t="n">
        <v>-448.68</v>
      </c>
      <c r="O53" s="18" t="n">
        <v>121.83</v>
      </c>
      <c r="P53" s="34" t="n">
        <v>49.49</v>
      </c>
      <c r="Q53" s="18" t="n">
        <v>122.23</v>
      </c>
      <c r="R53" s="18" t="n">
        <v>107.08</v>
      </c>
      <c r="S53" s="18" t="n">
        <v>183</v>
      </c>
      <c r="T53" s="18" t="n">
        <v>139.29</v>
      </c>
      <c r="U53" s="34" t="n">
        <v>551.6</v>
      </c>
      <c r="V53" s="18" t="n">
        <v>123.65</v>
      </c>
      <c r="W53" s="18" t="n">
        <v>421.86</v>
      </c>
      <c r="X53" s="18" t="n">
        <v>213.34</v>
      </c>
      <c r="Y53" s="18" t="n">
        <v>68.23</v>
      </c>
      <c r="Z53" s="34" t="n">
        <v>827.08</v>
      </c>
      <c r="AA53" s="18" t="n">
        <v>24.89</v>
      </c>
      <c r="AB53" s="19" t="n">
        <v>127.09</v>
      </c>
      <c r="AC53" s="10" t="n"/>
      <c r="AD53" s="10" t="n"/>
      <c r="AE53" s="11" t="n"/>
      <c r="AF53" s="10" t="n"/>
      <c r="AG53" s="10" t="n"/>
      <c r="AH53" s="10" t="n"/>
      <c r="AI53" s="10" t="n"/>
      <c r="AJ53" s="11" t="n"/>
      <c r="AK53" s="10" t="n"/>
      <c r="AL53" s="10" t="n"/>
      <c r="AM53" s="10" t="n"/>
      <c r="AN53" s="10" t="n"/>
      <c r="AO53" s="11" t="n"/>
    </row>
    <row r="54">
      <c r="A54" t="n">
        <v>1</v>
      </c>
      <c r="C54" t="inlineStr">
        <is>
          <t>계속사업이익</t>
        </is>
      </c>
      <c r="E54" s="18" t="n">
        <v>4706.86</v>
      </c>
      <c r="F54" s="9" t="n"/>
      <c r="G54" s="18" t="n">
        <v>5149.22</v>
      </c>
      <c r="H54" s="18" t="n">
        <v>10205.2</v>
      </c>
      <c r="I54" s="18" t="n">
        <v>11834.69</v>
      </c>
      <c r="J54" s="18" t="n">
        <v>7172.07</v>
      </c>
      <c r="K54" s="34" t="n">
        <v>34361.18</v>
      </c>
      <c r="L54" s="18" t="n">
        <v>12510.69</v>
      </c>
      <c r="M54" s="18" t="n">
        <v>13702.86</v>
      </c>
      <c r="N54" s="18" t="n">
        <v>12803.74</v>
      </c>
      <c r="O54" s="18" t="n">
        <v>8712.950000000001</v>
      </c>
      <c r="P54" s="34" t="n">
        <v>47730.24</v>
      </c>
      <c r="Q54" s="18" t="n">
        <v>15248.59</v>
      </c>
      <c r="R54" s="18" t="n">
        <v>13059.47</v>
      </c>
      <c r="S54" s="18" t="n">
        <v>9149.77</v>
      </c>
      <c r="T54" s="18" t="n">
        <v>10566.07</v>
      </c>
      <c r="U54" s="34" t="n">
        <v>48023.9</v>
      </c>
      <c r="V54" s="18" t="n">
        <v>11544.22</v>
      </c>
      <c r="W54" s="18" t="n">
        <v>11153.1</v>
      </c>
      <c r="X54" s="18" t="n">
        <v>13716.02</v>
      </c>
      <c r="Y54" s="18" t="n">
        <v>14358.79</v>
      </c>
      <c r="Z54" s="34" t="n">
        <v>50772.13</v>
      </c>
      <c r="AA54" s="18" t="n">
        <v>15263.2</v>
      </c>
      <c r="AB54" s="19" t="n">
        <v>14848.73</v>
      </c>
      <c r="AC54" s="10" t="n"/>
      <c r="AD54" s="10" t="n"/>
      <c r="AE54" s="11" t="n"/>
      <c r="AF54" s="10" t="n"/>
      <c r="AG54" s="10" t="n"/>
      <c r="AH54" s="10" t="n"/>
      <c r="AI54" s="10" t="n"/>
      <c r="AJ54" s="11" t="n"/>
      <c r="AK54" s="10" t="n"/>
      <c r="AL54" s="10" t="n"/>
      <c r="AM54" s="10" t="n"/>
      <c r="AN54" s="10" t="n"/>
      <c r="AO54" s="11" t="n"/>
    </row>
    <row r="55">
      <c r="A55" t="n">
        <v>1</v>
      </c>
      <c r="C55" t="inlineStr">
        <is>
          <t>총포괄손익</t>
        </is>
      </c>
      <c r="E55" s="18" t="n">
        <v>4690.95</v>
      </c>
      <c r="F55" s="9" t="n"/>
      <c r="G55" s="18" t="n">
        <v>6639.92</v>
      </c>
      <c r="H55" s="18" t="n">
        <v>12196.57</v>
      </c>
      <c r="I55" s="18" t="n">
        <v>14418.37</v>
      </c>
      <c r="J55" s="18" t="n">
        <v>6077.34</v>
      </c>
      <c r="K55" s="34" t="n">
        <v>39332.2</v>
      </c>
      <c r="L55" s="18" t="n">
        <v>6391.48</v>
      </c>
      <c r="M55" s="18" t="n">
        <v>14323.37</v>
      </c>
      <c r="N55" s="18" t="n">
        <v>14846.92</v>
      </c>
      <c r="O55" s="18" t="n">
        <v>6813.28</v>
      </c>
      <c r="P55" s="34" t="n">
        <v>42375.05</v>
      </c>
      <c r="Q55" s="18" t="n">
        <v>16022.07</v>
      </c>
      <c r="R55" s="18" t="n">
        <v>13779.28</v>
      </c>
      <c r="S55" s="18" t="n">
        <v>7702.89</v>
      </c>
      <c r="T55" s="18" t="n">
        <v>12089.6</v>
      </c>
      <c r="U55" s="34" t="n">
        <v>49593.84</v>
      </c>
      <c r="V55" s="18" t="n">
        <v>9905.959999999999</v>
      </c>
      <c r="W55" s="18" t="n">
        <v>9783.65</v>
      </c>
      <c r="X55" s="18" t="n">
        <v>15555.96</v>
      </c>
      <c r="Y55" s="18" t="n">
        <v>17116.76</v>
      </c>
      <c r="Z55" s="34" t="n">
        <v>52362.33</v>
      </c>
      <c r="AA55" s="18" t="n">
        <v>19725.99</v>
      </c>
      <c r="AB55" s="19" t="n">
        <v>13656.57</v>
      </c>
      <c r="AC55" s="10" t="n"/>
      <c r="AD55" s="10" t="n"/>
      <c r="AE55" s="11" t="n"/>
      <c r="AF55" s="10" t="n"/>
      <c r="AG55" s="10" t="n"/>
      <c r="AH55" s="10" t="n"/>
      <c r="AI55" s="10" t="n"/>
      <c r="AJ55" s="11" t="n"/>
      <c r="AK55" s="10" t="n"/>
      <c r="AL55" s="10" t="n"/>
      <c r="AM55" s="10" t="n"/>
      <c r="AN55" s="10" t="n"/>
      <c r="AO55" s="11" t="n"/>
    </row>
    <row r="56">
      <c r="A56" t="n">
        <v>1</v>
      </c>
      <c r="C56" t="inlineStr">
        <is>
          <t>영업활동으로인한현금흐름</t>
        </is>
      </c>
      <c r="E56" s="18" t="n">
        <v>4011.57</v>
      </c>
      <c r="F56" s="9" t="n"/>
      <c r="G56" s="18" t="n">
        <v>1319.49</v>
      </c>
      <c r="H56" s="18" t="n">
        <v>4437.26</v>
      </c>
      <c r="I56" s="18" t="n">
        <v>2269.31</v>
      </c>
      <c r="J56" s="18" t="n">
        <v>11684.99</v>
      </c>
      <c r="K56" s="34" t="n">
        <v>19711.05</v>
      </c>
      <c r="L56" s="18" t="n">
        <v>2164.25</v>
      </c>
      <c r="M56" s="18" t="n">
        <v>9099.92</v>
      </c>
      <c r="N56" s="18" t="n">
        <v>4631.41</v>
      </c>
      <c r="O56" s="18" t="n">
        <v>11860.94</v>
      </c>
      <c r="P56" s="34" t="n">
        <v>27756.52</v>
      </c>
      <c r="Q56" s="18" t="n">
        <v>17038.08</v>
      </c>
      <c r="R56" s="18" t="n">
        <v>9597.540000000001</v>
      </c>
      <c r="S56" s="18" t="n">
        <v>11677.97</v>
      </c>
      <c r="T56" s="18" t="n">
        <v>9812.129999999999</v>
      </c>
      <c r="U56" s="34" t="n">
        <v>48125.72</v>
      </c>
      <c r="V56" s="18" t="n">
        <v>8914.950000000001</v>
      </c>
      <c r="W56" s="18" t="n">
        <v>11940.59</v>
      </c>
      <c r="X56" s="18" t="n">
        <v>13792.39</v>
      </c>
      <c r="Y56" s="18" t="n">
        <v>12634.08</v>
      </c>
      <c r="Z56" s="34" t="n">
        <v>47282.01</v>
      </c>
      <c r="AA56" s="18" t="n">
        <v>13157.97</v>
      </c>
      <c r="AB56" s="19" t="n">
        <v>13179.76</v>
      </c>
      <c r="AC56" s="10" t="n"/>
      <c r="AD56" s="10" t="n"/>
      <c r="AE56" s="11" t="n"/>
      <c r="AF56" s="10" t="n"/>
      <c r="AG56" s="10" t="n"/>
      <c r="AH56" s="10" t="n"/>
      <c r="AI56" s="10" t="n"/>
      <c r="AJ56" s="11" t="n"/>
      <c r="AK56" s="10" t="n"/>
      <c r="AL56" s="10" t="n"/>
      <c r="AM56" s="10" t="n"/>
      <c r="AN56" s="10" t="n"/>
      <c r="AO56" s="11" t="n"/>
    </row>
    <row r="57">
      <c r="A57" t="n">
        <v>1</v>
      </c>
      <c r="C57" t="inlineStr">
        <is>
          <t>이자수취(CF)</t>
        </is>
      </c>
      <c r="E57" s="18" t="n">
        <v>312.42</v>
      </c>
      <c r="F57" s="9" t="n"/>
      <c r="G57" s="18" t="n">
        <v>396.81</v>
      </c>
      <c r="H57" s="18" t="n">
        <v>524.46</v>
      </c>
      <c r="I57" s="18" t="n">
        <v>643.8099999999999</v>
      </c>
      <c r="J57" s="18" t="n">
        <v>1942.41</v>
      </c>
      <c r="K57" s="34" t="n">
        <v>3507.49</v>
      </c>
      <c r="L57" s="18" t="n">
        <v>1708.57</v>
      </c>
      <c r="M57" s="18" t="n">
        <v>1355.42</v>
      </c>
      <c r="N57" s="18" t="n">
        <v>1451.62</v>
      </c>
      <c r="O57" s="18" t="n">
        <v>1754.85</v>
      </c>
      <c r="P57" s="34" t="n">
        <v>6270.46</v>
      </c>
      <c r="Q57" s="18" t="n">
        <v>1892.06</v>
      </c>
      <c r="R57" s="18" t="n">
        <v>1592.04</v>
      </c>
      <c r="S57" s="18" t="n">
        <v>1577.76</v>
      </c>
      <c r="T57" s="18" t="n">
        <v>1539.53</v>
      </c>
      <c r="U57" s="34" t="n">
        <v>6601.39</v>
      </c>
      <c r="V57" s="18" t="n">
        <v>1656.65</v>
      </c>
      <c r="W57" s="18" t="n">
        <v>1223.23</v>
      </c>
      <c r="X57" s="18" t="n">
        <v>1077.98</v>
      </c>
      <c r="Y57" s="18" t="n">
        <v>1182.27</v>
      </c>
      <c r="Z57" s="34" t="n">
        <v>5140.13</v>
      </c>
      <c r="AA57" s="18" t="n">
        <v>1435.92</v>
      </c>
      <c r="AB57" s="19" t="n">
        <v>1349.21</v>
      </c>
      <c r="AC57" s="10" t="n"/>
      <c r="AD57" s="10" t="n"/>
      <c r="AE57" s="11" t="n"/>
      <c r="AF57" s="10" t="n"/>
      <c r="AG57" s="10" t="n"/>
      <c r="AH57" s="10" t="n"/>
      <c r="AI57" s="10" t="n"/>
      <c r="AJ57" s="11" t="n"/>
      <c r="AK57" s="10" t="n"/>
      <c r="AL57" s="10" t="n"/>
      <c r="AM57" s="10" t="n"/>
      <c r="AN57" s="10" t="n"/>
      <c r="AO57" s="11" t="n"/>
    </row>
    <row r="58">
      <c r="A58" t="n">
        <v>1</v>
      </c>
      <c r="C58" t="inlineStr">
        <is>
          <t>법인세납부(CF)</t>
        </is>
      </c>
      <c r="E58" s="18" t="n">
        <v>-36.8</v>
      </c>
      <c r="F58" s="9" t="n"/>
      <c r="G58" s="18" t="n">
        <v>-2418.16</v>
      </c>
      <c r="H58" s="18" t="n">
        <v>-2857.46</v>
      </c>
      <c r="I58" s="18" t="n">
        <v>-2846.14</v>
      </c>
      <c r="J58" s="18" t="n">
        <v>-205.92</v>
      </c>
      <c r="K58" s="34" t="n">
        <v>-8327.68</v>
      </c>
      <c r="L58" s="18" t="n">
        <v>-4170.78</v>
      </c>
      <c r="M58" s="18" t="n">
        <v>-5705.03</v>
      </c>
      <c r="N58" s="18" t="n">
        <v>-2439.29</v>
      </c>
      <c r="O58" s="18" t="n">
        <v>-3046.9</v>
      </c>
      <c r="P58" s="34" t="n">
        <v>-15362</v>
      </c>
      <c r="Q58" s="18" t="n">
        <v>-207.97</v>
      </c>
      <c r="R58" s="18" t="n">
        <v>-7863.41</v>
      </c>
      <c r="S58" s="18" t="n">
        <v>-5862.43</v>
      </c>
      <c r="T58" s="18" t="n">
        <v>173.35</v>
      </c>
      <c r="U58" s="34" t="n">
        <v>-13760.46</v>
      </c>
      <c r="V58" s="18" t="n">
        <v>-3113.41</v>
      </c>
      <c r="W58" s="18" t="n">
        <v>-4621.06</v>
      </c>
      <c r="X58" s="18" t="n">
        <v>-2915.23</v>
      </c>
      <c r="Y58" s="18" t="n">
        <v>-2702.8</v>
      </c>
      <c r="Z58" s="34" t="n">
        <v>-13352.5</v>
      </c>
      <c r="AA58" s="18" t="n">
        <v>-4265.45</v>
      </c>
      <c r="AB58" s="19" t="n">
        <v>-5684.57</v>
      </c>
      <c r="AC58" s="10" t="n"/>
      <c r="AD58" s="10" t="n"/>
      <c r="AE58" s="11" t="n"/>
      <c r="AF58" s="10" t="n"/>
      <c r="AG58" s="10" t="n"/>
      <c r="AH58" s="10" t="n"/>
      <c r="AI58" s="10" t="n"/>
      <c r="AJ58" s="11" t="n"/>
      <c r="AK58" s="10" t="n"/>
      <c r="AL58" s="10" t="n"/>
      <c r="AM58" s="10" t="n"/>
      <c r="AN58" s="10" t="n"/>
      <c r="AO58" s="11" t="n"/>
    </row>
    <row r="59">
      <c r="A59" t="n">
        <v>1</v>
      </c>
      <c r="C59" t="inlineStr">
        <is>
          <t>투자활동으로인한현금흐름</t>
        </is>
      </c>
      <c r="E59" s="18" t="n">
        <v>37198.58</v>
      </c>
      <c r="F59" s="9" t="n"/>
      <c r="G59" s="18" t="n">
        <v>-23218.41</v>
      </c>
      <c r="H59" s="18" t="n">
        <v>-22892.22</v>
      </c>
      <c r="I59" s="18" t="n">
        <v>38168.17</v>
      </c>
      <c r="J59" s="18" t="n">
        <v>-15993.43</v>
      </c>
      <c r="K59" s="34" t="n">
        <v>-23935.89</v>
      </c>
      <c r="L59" s="18" t="n">
        <v>93748.96000000001</v>
      </c>
      <c r="M59" s="18" t="n">
        <v>-21281.25</v>
      </c>
      <c r="N59" s="18" t="n">
        <v>494.79</v>
      </c>
      <c r="O59" s="18" t="n">
        <v>29207.92</v>
      </c>
      <c r="P59" s="34" t="n">
        <v>102170.42</v>
      </c>
      <c r="Q59" s="18" t="n">
        <v>2315.38</v>
      </c>
      <c r="R59" s="18" t="n">
        <v>-4357</v>
      </c>
      <c r="S59" s="18" t="n">
        <v>6176.18</v>
      </c>
      <c r="T59" s="18" t="n">
        <v>-4880.99</v>
      </c>
      <c r="U59" s="34" t="n">
        <v>-746.4299999999999</v>
      </c>
      <c r="V59" s="18" t="n">
        <v>-9736.690000000001</v>
      </c>
      <c r="W59" s="18" t="n">
        <v>1985.97</v>
      </c>
      <c r="X59" s="18" t="n">
        <v>-8233.09</v>
      </c>
      <c r="Y59" s="18" t="n">
        <v>-6196.6</v>
      </c>
      <c r="Z59" s="34" t="n">
        <v>-22180.41</v>
      </c>
      <c r="AA59" s="18" t="n">
        <v>-31641.11</v>
      </c>
      <c r="AB59" s="19" t="n">
        <v>12945.02</v>
      </c>
      <c r="AC59" s="10" t="n"/>
      <c r="AD59" s="10" t="n"/>
      <c r="AE59" s="11" t="n"/>
      <c r="AF59" s="10" t="n"/>
      <c r="AG59" s="10" t="n"/>
      <c r="AH59" s="10" t="n"/>
      <c r="AI59" s="10" t="n"/>
      <c r="AJ59" s="11" t="n"/>
      <c r="AK59" s="10" t="n"/>
      <c r="AL59" s="10" t="n"/>
      <c r="AM59" s="10" t="n"/>
      <c r="AN59" s="10" t="n"/>
      <c r="AO59" s="11" t="n"/>
    </row>
    <row r="60">
      <c r="A60" t="n">
        <v>1</v>
      </c>
      <c r="C60" t="inlineStr">
        <is>
          <t>유형자산의증가</t>
        </is>
      </c>
      <c r="E60" s="18" t="n">
        <v>1524.76</v>
      </c>
      <c r="F60" s="9" t="n"/>
      <c r="G60" s="18" t="n">
        <v>877.8200000000001</v>
      </c>
      <c r="H60" s="18" t="n">
        <v>1283.27</v>
      </c>
      <c r="I60" s="18" t="n">
        <v>1858.86</v>
      </c>
      <c r="J60" s="18" t="n">
        <v>784.63</v>
      </c>
      <c r="K60" s="34" t="n">
        <v>4804.58</v>
      </c>
      <c r="L60" s="18" t="n">
        <v>1438.56</v>
      </c>
      <c r="M60" s="18" t="n">
        <v>971.22</v>
      </c>
      <c r="N60" s="18" t="n">
        <v>2208.74</v>
      </c>
      <c r="O60" s="18" t="n">
        <v>1899.91</v>
      </c>
      <c r="P60" s="34" t="n">
        <v>6518.43</v>
      </c>
      <c r="Q60" s="18" t="n">
        <v>437.81</v>
      </c>
      <c r="R60" s="18" t="n">
        <v>598.97</v>
      </c>
      <c r="S60" s="18" t="n">
        <v>1452.61</v>
      </c>
      <c r="T60" s="18" t="n">
        <v>1227.34</v>
      </c>
      <c r="U60" s="34" t="n">
        <v>3716.73</v>
      </c>
      <c r="V60" s="18" t="n">
        <v>2878.98</v>
      </c>
      <c r="W60" s="18" t="n">
        <v>2234.55</v>
      </c>
      <c r="X60" s="18" t="n">
        <v>942.64</v>
      </c>
      <c r="Y60" s="18" t="n">
        <v>3898.57</v>
      </c>
      <c r="Z60" s="34" t="n">
        <v>9954.74</v>
      </c>
      <c r="AA60" s="18" t="n">
        <v>1087.23</v>
      </c>
      <c r="AB60" s="19" t="n">
        <v>1026.76</v>
      </c>
      <c r="AC60" s="10" t="n"/>
      <c r="AD60" s="10" t="n"/>
      <c r="AE60" s="11" t="n"/>
      <c r="AF60" s="10" t="n"/>
      <c r="AG60" s="10" t="n"/>
      <c r="AH60" s="10" t="n"/>
      <c r="AI60" s="10" t="n"/>
      <c r="AJ60" s="11" t="n"/>
      <c r="AK60" s="10" t="n"/>
      <c r="AL60" s="10" t="n"/>
      <c r="AM60" s="10" t="n"/>
      <c r="AN60" s="10" t="n"/>
      <c r="AO60" s="11" t="n"/>
    </row>
    <row r="61">
      <c r="A61" t="n">
        <v>1</v>
      </c>
      <c r="C61" t="inlineStr">
        <is>
          <t>CAPEX</t>
        </is>
      </c>
      <c r="E61" s="18" t="n">
        <v>1524.76</v>
      </c>
      <c r="F61" s="9" t="n"/>
      <c r="G61" s="18" t="n">
        <v>877.8200000000001</v>
      </c>
      <c r="H61" s="18" t="n">
        <v>1283.27</v>
      </c>
      <c r="I61" s="18" t="n">
        <v>1858.86</v>
      </c>
      <c r="J61" s="18" t="n">
        <v>784.63</v>
      </c>
      <c r="K61" s="34" t="n">
        <v>4804.58</v>
      </c>
      <c r="L61" s="18" t="n">
        <v>1438.56</v>
      </c>
      <c r="M61" s="18" t="n">
        <v>971.22</v>
      </c>
      <c r="N61" s="18" t="n">
        <v>2208.74</v>
      </c>
      <c r="O61" s="18" t="n">
        <v>1899.91</v>
      </c>
      <c r="P61" s="34" t="n">
        <v>6518.43</v>
      </c>
      <c r="Q61" s="18" t="n">
        <v>437.81</v>
      </c>
      <c r="R61" s="18" t="n">
        <v>598.97</v>
      </c>
      <c r="S61" s="18" t="n">
        <v>1452.61</v>
      </c>
      <c r="T61" s="18" t="n">
        <v>1227.34</v>
      </c>
      <c r="U61" s="34" t="n">
        <v>3716.73</v>
      </c>
      <c r="V61" s="18" t="n">
        <v>2878.98</v>
      </c>
      <c r="W61" s="18" t="n">
        <v>2234.55</v>
      </c>
      <c r="X61" s="18" t="n">
        <v>1028.31</v>
      </c>
      <c r="Y61" s="18" t="n">
        <v>3901.46</v>
      </c>
      <c r="Z61" s="34" t="n">
        <v>10043.3</v>
      </c>
      <c r="AA61" s="18" t="n">
        <v>1087.23</v>
      </c>
      <c r="AB61" s="19" t="n">
        <v>1026.76</v>
      </c>
      <c r="AC61" s="10" t="n"/>
      <c r="AD61" s="10" t="n"/>
      <c r="AE61" s="11" t="n"/>
      <c r="AF61" s="10" t="n"/>
      <c r="AG61" s="10" t="n"/>
      <c r="AH61" s="10" t="n"/>
      <c r="AI61" s="10" t="n"/>
      <c r="AJ61" s="11" t="n"/>
      <c r="AK61" s="10" t="n"/>
      <c r="AL61" s="10" t="n"/>
      <c r="AM61" s="10" t="n"/>
      <c r="AN61" s="10" t="n"/>
      <c r="AO61" s="11" t="n"/>
    </row>
    <row r="62">
      <c r="A62" t="n">
        <v>1</v>
      </c>
      <c r="C62" t="inlineStr">
        <is>
          <t>무형자산의증가</t>
        </is>
      </c>
      <c r="E62" s="18" t="n">
        <v>0</v>
      </c>
      <c r="F62" s="9" t="n"/>
      <c r="K62" s="9" t="n"/>
      <c r="P62" s="9" t="n"/>
      <c r="U62" s="9" t="n"/>
      <c r="Y62" s="18" t="n">
        <v>2.89</v>
      </c>
      <c r="Z62" s="9" t="n"/>
      <c r="AB62" s="5" t="n"/>
      <c r="AC62" s="10" t="n"/>
      <c r="AD62" s="10" t="n"/>
      <c r="AE62" s="11" t="n"/>
      <c r="AF62" s="10" t="n"/>
      <c r="AG62" s="10" t="n"/>
      <c r="AH62" s="10" t="n"/>
      <c r="AI62" s="10" t="n"/>
      <c r="AJ62" s="11" t="n"/>
      <c r="AK62" s="10" t="n"/>
      <c r="AL62" s="10" t="n"/>
      <c r="AM62" s="10" t="n"/>
      <c r="AN62" s="10" t="n"/>
      <c r="AO62" s="11" t="n"/>
    </row>
    <row r="63">
      <c r="A63" t="n">
        <v>1</v>
      </c>
      <c r="C63" t="inlineStr">
        <is>
          <t>재무활동으로인한현금흐름</t>
        </is>
      </c>
      <c r="E63" s="18" t="n">
        <v>0</v>
      </c>
      <c r="F63" s="9" t="n"/>
      <c r="I63" s="18" t="n">
        <v>0</v>
      </c>
      <c r="J63" s="18" t="n">
        <v>0</v>
      </c>
      <c r="K63" s="9" t="n"/>
      <c r="N63" s="18" t="n">
        <v>0</v>
      </c>
      <c r="O63" s="18" t="n">
        <v>-7927.92</v>
      </c>
      <c r="P63" s="9" t="n"/>
      <c r="Q63" s="18" t="n">
        <v>-8116.03</v>
      </c>
      <c r="R63" s="18" t="n">
        <v>-17122.27</v>
      </c>
      <c r="S63" s="18" t="n">
        <v>0</v>
      </c>
      <c r="T63" s="18" t="n">
        <v>0</v>
      </c>
      <c r="U63" s="34" t="n">
        <v>-25238.3</v>
      </c>
      <c r="V63" s="18" t="n">
        <v>-4850.57</v>
      </c>
      <c r="W63" s="18" t="n">
        <v>-21745.21</v>
      </c>
      <c r="X63" s="18" t="n">
        <v>-2538.84</v>
      </c>
      <c r="Y63" s="18" t="n">
        <v>-38.08</v>
      </c>
      <c r="Z63" s="34" t="n">
        <v>-29172.7</v>
      </c>
      <c r="AA63" s="18" t="n">
        <v>12.6</v>
      </c>
      <c r="AB63" s="19" t="n">
        <v>-15840.01</v>
      </c>
      <c r="AC63" s="10" t="n"/>
      <c r="AD63" s="10" t="n"/>
      <c r="AE63" s="11" t="n"/>
      <c r="AF63" s="10" t="n"/>
      <c r="AG63" s="10" t="n"/>
      <c r="AH63" s="10" t="n"/>
      <c r="AI63" s="10" t="n"/>
      <c r="AJ63" s="11" t="n"/>
      <c r="AK63" s="10" t="n"/>
      <c r="AL63" s="10" t="n"/>
      <c r="AM63" s="10" t="n"/>
      <c r="AN63" s="10" t="n"/>
      <c r="AO63" s="11" t="n"/>
    </row>
    <row r="64">
      <c r="A64" t="n">
        <v>1</v>
      </c>
      <c r="C64" t="inlineStr">
        <is>
          <t>배당금지급</t>
        </is>
      </c>
      <c r="E64" s="18" t="n">
        <v>0</v>
      </c>
      <c r="F64" s="9" t="n"/>
      <c r="I64" s="18" t="n">
        <v>0</v>
      </c>
      <c r="J64" s="18" t="n">
        <v>0</v>
      </c>
      <c r="K64" s="9" t="n"/>
      <c r="N64" s="18" t="n">
        <v>0</v>
      </c>
      <c r="O64" s="18" t="n">
        <v>0</v>
      </c>
      <c r="P64" s="9" t="n"/>
      <c r="S64" s="18" t="n">
        <v>0</v>
      </c>
      <c r="T64" s="18" t="n">
        <v>0</v>
      </c>
      <c r="U64" s="9" t="n"/>
      <c r="X64" s="18" t="n">
        <v>56.63</v>
      </c>
      <c r="Y64" s="18" t="n">
        <v>2.28</v>
      </c>
      <c r="Z64" s="9" t="n"/>
      <c r="AB64" s="5" t="n"/>
      <c r="AC64" s="10" t="n"/>
      <c r="AD64" s="10" t="n"/>
      <c r="AE64" s="11" t="n"/>
      <c r="AF64" s="10" t="n"/>
      <c r="AG64" s="10" t="n"/>
      <c r="AH64" s="10" t="n"/>
      <c r="AI64" s="10" t="n"/>
      <c r="AJ64" s="11" t="n"/>
      <c r="AK64" s="10" t="n"/>
      <c r="AL64" s="10" t="n"/>
      <c r="AM64" s="10" t="n"/>
      <c r="AN64" s="10" t="n"/>
      <c r="AO64" s="11" t="n"/>
    </row>
    <row r="65">
      <c r="A65" t="n">
        <v>1</v>
      </c>
      <c r="C65" t="inlineStr">
        <is>
          <t>현금및현금성자산의증감</t>
        </is>
      </c>
      <c r="E65" s="18" t="n">
        <v>41179.71</v>
      </c>
      <c r="F65" s="9" t="n"/>
      <c r="G65" s="18" t="n">
        <v>-21460.79</v>
      </c>
      <c r="H65" s="18" t="n">
        <v>-24545.8</v>
      </c>
      <c r="I65" s="18" t="n">
        <v>41260.31</v>
      </c>
      <c r="J65" s="18" t="n">
        <v>-5987.16</v>
      </c>
      <c r="K65" s="34" t="n">
        <v>-10733.44</v>
      </c>
      <c r="L65" s="18" t="n">
        <v>96577.36</v>
      </c>
      <c r="M65" s="18" t="n">
        <v>-19911.98</v>
      </c>
      <c r="N65" s="18" t="n">
        <v>5440.23</v>
      </c>
      <c r="O65" s="18" t="n">
        <v>32749.89</v>
      </c>
      <c r="P65" s="34" t="n">
        <v>114855.5</v>
      </c>
      <c r="Q65" s="18" t="n">
        <v>12026.43</v>
      </c>
      <c r="R65" s="18" t="n">
        <v>-11474.99</v>
      </c>
      <c r="S65" s="18" t="n">
        <v>17140.89</v>
      </c>
      <c r="T65" s="18" t="n">
        <v>6452.58</v>
      </c>
      <c r="U65" s="34" t="n">
        <v>24144.91</v>
      </c>
      <c r="V65" s="18" t="n">
        <v>-5377.63</v>
      </c>
      <c r="W65" s="18" t="n">
        <v>-9225.73</v>
      </c>
      <c r="X65" s="18" t="n">
        <v>4223.8</v>
      </c>
      <c r="Y65" s="18" t="n">
        <v>7281.3</v>
      </c>
      <c r="Z65" s="34" t="n">
        <v>-3098.26</v>
      </c>
      <c r="AA65" s="18" t="n">
        <v>-16705.03</v>
      </c>
      <c r="AB65" s="19" t="n">
        <v>11021.9</v>
      </c>
      <c r="AC65" s="10" t="n"/>
      <c r="AD65" s="10" t="n"/>
      <c r="AE65" s="11" t="n"/>
      <c r="AF65" s="10" t="n"/>
      <c r="AG65" s="10" t="n"/>
      <c r="AH65" s="10" t="n"/>
      <c r="AI65" s="10" t="n"/>
      <c r="AJ65" s="11" t="n"/>
      <c r="AK65" s="10" t="n"/>
      <c r="AL65" s="10" t="n"/>
      <c r="AM65" s="10" t="n"/>
      <c r="AN65" s="10" t="n"/>
      <c r="AO65" s="11" t="n"/>
    </row>
    <row r="66">
      <c r="A66" t="n">
        <v>1</v>
      </c>
      <c r="C66" t="inlineStr">
        <is>
          <t>기말현금및현금성자산</t>
        </is>
      </c>
      <c r="E66" s="18" t="n">
        <v>41179.71</v>
      </c>
      <c r="F66" s="9" t="n"/>
      <c r="G66" s="18" t="n">
        <v>44596.12</v>
      </c>
      <c r="H66" s="18" t="n">
        <v>-24545.8</v>
      </c>
      <c r="I66" s="18" t="n">
        <v>41260.31</v>
      </c>
      <c r="J66" s="18" t="n">
        <v>-5987.15</v>
      </c>
      <c r="K66" s="34" t="n">
        <v>55323.48</v>
      </c>
      <c r="L66" s="18" t="n">
        <v>151900.84</v>
      </c>
      <c r="M66" s="18" t="n">
        <v>-19911.98</v>
      </c>
      <c r="N66" s="18" t="n">
        <v>5440.23</v>
      </c>
      <c r="O66" s="18" t="n">
        <v>32749.89</v>
      </c>
      <c r="P66" s="34" t="n">
        <v>170178.98</v>
      </c>
      <c r="Q66" s="18" t="n">
        <v>182205.41</v>
      </c>
      <c r="R66" s="18" t="n">
        <v>-11475</v>
      </c>
      <c r="S66" s="18" t="n">
        <v>17140.9</v>
      </c>
      <c r="T66" s="18" t="n">
        <v>6452.58</v>
      </c>
      <c r="U66" s="34" t="n">
        <v>194323.89</v>
      </c>
      <c r="V66" s="18" t="n">
        <v>188946.26</v>
      </c>
      <c r="W66" s="18" t="n">
        <v>-9225.73</v>
      </c>
      <c r="X66" s="18" t="n">
        <v>4223.81</v>
      </c>
      <c r="Y66" s="18" t="n">
        <v>7281.29</v>
      </c>
      <c r="Z66" s="34" t="n">
        <v>191225.63</v>
      </c>
      <c r="AA66" s="18" t="n">
        <v>174520.6</v>
      </c>
      <c r="AB66" s="19" t="n">
        <v>11021.9</v>
      </c>
      <c r="AC66" s="10" t="n"/>
      <c r="AD66" s="10" t="n"/>
      <c r="AE66" s="11" t="n"/>
      <c r="AF66" s="10" t="n"/>
      <c r="AG66" s="10" t="n"/>
      <c r="AH66" s="10" t="n"/>
      <c r="AI66" s="10" t="n"/>
      <c r="AJ66" s="11" t="n"/>
      <c r="AK66" s="10" t="n"/>
      <c r="AL66" s="10" t="n"/>
      <c r="AM66" s="10" t="n"/>
      <c r="AN66" s="10" t="n"/>
      <c r="AO66" s="11" t="n"/>
    </row>
    <row r="67">
      <c r="A67" t="n">
        <v>1</v>
      </c>
      <c r="C67" t="inlineStr">
        <is>
          <t>이자지급(CF)</t>
        </is>
      </c>
      <c r="F67" s="9" t="n"/>
      <c r="G67" s="18" t="n">
        <v>-2.47</v>
      </c>
      <c r="H67" s="18" t="n">
        <v>-2.45</v>
      </c>
      <c r="I67" s="18" t="n">
        <v>-1.88</v>
      </c>
      <c r="J67" s="18" t="n">
        <v>-3.59</v>
      </c>
      <c r="K67" s="34" t="n">
        <v>-10.39</v>
      </c>
      <c r="L67" s="18" t="n">
        <v>-3.15</v>
      </c>
      <c r="M67" s="18" t="n">
        <v>-3.18</v>
      </c>
      <c r="N67" s="18" t="n">
        <v>-3.06</v>
      </c>
      <c r="O67" s="18" t="n">
        <v>-9.44</v>
      </c>
      <c r="P67" s="34" t="n">
        <v>-18.83</v>
      </c>
      <c r="Q67" s="18" t="n">
        <v>-2.48</v>
      </c>
      <c r="R67" s="18" t="n">
        <v>-1.23</v>
      </c>
      <c r="S67" s="18" t="n">
        <v>-1.78</v>
      </c>
      <c r="T67" s="18" t="n">
        <v>1.07</v>
      </c>
      <c r="U67" s="34" t="n">
        <v>-4.42</v>
      </c>
      <c r="V67" s="18" t="n">
        <v>-1.66</v>
      </c>
      <c r="W67" s="18" t="n">
        <v>-0.98</v>
      </c>
      <c r="X67" s="18" t="n">
        <v>-1.2</v>
      </c>
      <c r="Y67" s="18" t="n">
        <v>-5.99</v>
      </c>
      <c r="Z67" s="34" t="n">
        <v>-9.83</v>
      </c>
      <c r="AB67" s="5" t="n"/>
      <c r="AC67" s="10" t="n"/>
      <c r="AD67" s="10" t="n"/>
      <c r="AE67" s="11" t="n"/>
      <c r="AF67" s="10" t="n"/>
      <c r="AG67" s="10" t="n"/>
      <c r="AH67" s="10" t="n"/>
      <c r="AI67" s="10" t="n"/>
      <c r="AJ67" s="11" t="n"/>
      <c r="AK67" s="10" t="n"/>
      <c r="AL67" s="10" t="n"/>
      <c r="AM67" s="10" t="n"/>
      <c r="AN67" s="10" t="n"/>
      <c r="AO67" s="11" t="n"/>
    </row>
    <row r="68">
      <c r="A68" t="n">
        <v>1</v>
      </c>
      <c r="C68" t="inlineStr">
        <is>
          <t>유형자산의감소</t>
        </is>
      </c>
      <c r="F68" s="9" t="n"/>
      <c r="G68" s="18" t="n">
        <v>10.09</v>
      </c>
      <c r="H68" s="18" t="n">
        <v>51.28</v>
      </c>
      <c r="I68" s="18" t="n">
        <v>69.66</v>
      </c>
      <c r="K68" s="9" t="n"/>
      <c r="L68" s="18" t="n">
        <v>103.05</v>
      </c>
      <c r="M68" s="18" t="n">
        <v>16.18</v>
      </c>
      <c r="N68" s="18" t="n">
        <v>18.44</v>
      </c>
      <c r="O68" s="18" t="n">
        <v>57.94</v>
      </c>
      <c r="P68" s="34" t="n">
        <v>195.61</v>
      </c>
      <c r="Q68" s="18" t="n">
        <v>1.82</v>
      </c>
      <c r="R68" s="18" t="n">
        <v>12.12</v>
      </c>
      <c r="S68" s="18" t="n">
        <v>16.18</v>
      </c>
      <c r="T68" s="18" t="n">
        <v>9.52</v>
      </c>
      <c r="U68" s="34" t="n">
        <v>39.64</v>
      </c>
      <c r="V68" s="18" t="n">
        <v>0.04</v>
      </c>
      <c r="W68" s="18" t="n">
        <v>183.56</v>
      </c>
      <c r="X68" s="18" t="n">
        <v>0.33</v>
      </c>
      <c r="Z68" s="9" t="n"/>
      <c r="AA68" s="18" t="n">
        <v>37.5</v>
      </c>
      <c r="AB68" s="19" t="n">
        <v>37.94</v>
      </c>
      <c r="AC68" s="10" t="n"/>
      <c r="AD68" s="10" t="n"/>
      <c r="AE68" s="11" t="n"/>
      <c r="AF68" s="10" t="n"/>
      <c r="AG68" s="10" t="n"/>
      <c r="AH68" s="10" t="n"/>
      <c r="AI68" s="10" t="n"/>
      <c r="AJ68" s="11" t="n"/>
      <c r="AK68" s="10" t="n"/>
      <c r="AL68" s="10" t="n"/>
      <c r="AM68" s="10" t="n"/>
      <c r="AN68" s="10" t="n"/>
      <c r="AO68" s="11" t="n"/>
    </row>
    <row r="69">
      <c r="A69" t="n">
        <v>1</v>
      </c>
      <c r="C69" t="inlineStr">
        <is>
          <t>자기주식의취득</t>
        </is>
      </c>
      <c r="F69" s="9" t="n"/>
      <c r="K69" s="9" t="n"/>
      <c r="P69" s="9" t="n"/>
      <c r="Q69" s="18" t="n">
        <v>8116.03</v>
      </c>
      <c r="R69" s="18" t="n">
        <v>3904.64</v>
      </c>
      <c r="S69" s="18" t="n">
        <v>0</v>
      </c>
      <c r="T69" s="18" t="n">
        <v>0</v>
      </c>
      <c r="U69" s="34" t="n">
        <v>12020.67</v>
      </c>
      <c r="V69" s="18" t="n">
        <v>4850.57</v>
      </c>
      <c r="W69" s="18" t="n">
        <v>7580.07</v>
      </c>
      <c r="X69" s="18" t="n">
        <v>2551.3</v>
      </c>
      <c r="Y69" s="18" t="n">
        <v>0</v>
      </c>
      <c r="Z69" s="34" t="n">
        <v>14981.94</v>
      </c>
      <c r="AB69" s="5" t="n"/>
      <c r="AC69" s="10" t="n"/>
      <c r="AD69" s="10" t="n"/>
      <c r="AE69" s="11" t="n"/>
      <c r="AF69" s="10" t="n"/>
      <c r="AG69" s="10" t="n"/>
      <c r="AH69" s="10" t="n"/>
      <c r="AI69" s="10" t="n"/>
      <c r="AJ69" s="11" t="n"/>
      <c r="AK69" s="10" t="n"/>
      <c r="AL69" s="10" t="n"/>
      <c r="AM69" s="10" t="n"/>
      <c r="AN69" s="10" t="n"/>
      <c r="AO69" s="11" t="n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O67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</cols>
  <sheetData>
    <row r="1">
      <c r="B1" s="2" t="inlineStr">
        <is>
          <t>(백만원)</t>
        </is>
      </c>
      <c r="C1" s="2" t="inlineStr">
        <is>
          <t>이름: BS별도H</t>
        </is>
      </c>
      <c r="E1" s="3" t="inlineStr">
        <is>
          <t>4Q21</t>
        </is>
      </c>
      <c r="F1" s="3" t="n">
        <v>2021</v>
      </c>
      <c r="G1" s="3" t="inlineStr">
        <is>
          <t>1Q22</t>
        </is>
      </c>
      <c r="H1" s="3" t="inlineStr">
        <is>
          <t>2Q22</t>
        </is>
      </c>
      <c r="I1" s="3" t="inlineStr">
        <is>
          <t>3Q22</t>
        </is>
      </c>
      <c r="J1" s="3" t="inlineStr">
        <is>
          <t>4Q22</t>
        </is>
      </c>
      <c r="K1" s="3" t="n">
        <v>2022</v>
      </c>
      <c r="L1" s="3" t="inlineStr">
        <is>
          <t>1Q23</t>
        </is>
      </c>
      <c r="M1" s="3" t="inlineStr">
        <is>
          <t>2Q23</t>
        </is>
      </c>
      <c r="N1" s="3" t="inlineStr">
        <is>
          <t>3Q23</t>
        </is>
      </c>
      <c r="O1" s="3" t="inlineStr">
        <is>
          <t>4Q23</t>
        </is>
      </c>
      <c r="P1" s="3" t="n">
        <v>2023</v>
      </c>
      <c r="Q1" s="3" t="inlineStr">
        <is>
          <t>1Q24</t>
        </is>
      </c>
      <c r="R1" s="3" t="inlineStr">
        <is>
          <t>2Q24</t>
        </is>
      </c>
      <c r="S1" s="3" t="inlineStr">
        <is>
          <t>3Q24</t>
        </is>
      </c>
      <c r="T1" s="3" t="inlineStr">
        <is>
          <t>4Q24</t>
        </is>
      </c>
      <c r="U1" s="3" t="n">
        <v>2024</v>
      </c>
      <c r="V1" s="3" t="inlineStr">
        <is>
          <t>1Q25</t>
        </is>
      </c>
      <c r="W1" s="3" t="inlineStr">
        <is>
          <t>2Q25</t>
        </is>
      </c>
      <c r="X1" s="3" t="inlineStr">
        <is>
          <t>3Q25</t>
        </is>
      </c>
      <c r="Y1" s="3" t="inlineStr">
        <is>
          <t>4Q25</t>
        </is>
      </c>
      <c r="Z1" s="3" t="n">
        <v>2025</v>
      </c>
      <c r="AA1" s="3" t="inlineStr">
        <is>
          <t>1Q26</t>
        </is>
      </c>
      <c r="AB1" s="4" t="inlineStr">
        <is>
          <t>2Q26</t>
        </is>
      </c>
      <c r="AC1" s="3" t="inlineStr">
        <is>
          <t>3Q26</t>
        </is>
      </c>
      <c r="AD1" s="3" t="inlineStr">
        <is>
          <t>4Q26</t>
        </is>
      </c>
      <c r="AE1" s="3" t="n">
        <v>2026</v>
      </c>
      <c r="AF1" s="3" t="inlineStr">
        <is>
          <t>1Q27</t>
        </is>
      </c>
      <c r="AG1" s="3" t="inlineStr">
        <is>
          <t>2Q27</t>
        </is>
      </c>
      <c r="AH1" s="3" t="inlineStr">
        <is>
          <t>3Q27</t>
        </is>
      </c>
      <c r="AI1" s="3" t="inlineStr">
        <is>
          <t>4Q27</t>
        </is>
      </c>
      <c r="AJ1" s="3" t="n">
        <v>2027</v>
      </c>
      <c r="AK1" s="3" t="inlineStr">
        <is>
          <t>1Q28</t>
        </is>
      </c>
      <c r="AL1" s="3" t="inlineStr">
        <is>
          <t>2Q28</t>
        </is>
      </c>
      <c r="AM1" s="3" t="inlineStr">
        <is>
          <t>3Q28</t>
        </is>
      </c>
      <c r="AN1" s="3" t="inlineStr">
        <is>
          <t>4Q28</t>
        </is>
      </c>
      <c r="AO1" s="3" t="n">
        <v>2028</v>
      </c>
    </row>
    <row r="2">
      <c r="B2" t="inlineStr">
        <is>
          <t>별도</t>
        </is>
      </c>
      <c r="D2" s="2" t="inlineStr">
        <is>
          <t>fin json(kship_fin.py)</t>
        </is>
      </c>
      <c r="AB2" s="5" t="n"/>
    </row>
    <row r="3">
      <c r="B3" t="inlineStr">
        <is>
          <t>하이록코리아(별)</t>
        </is>
      </c>
      <c r="C3" s="2" t="inlineStr">
        <is>
          <t>UPDATE: 26-10-02</t>
        </is>
      </c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6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</row>
    <row r="4">
      <c r="B4" s="2" t="inlineStr">
        <is>
          <t>Account Code</t>
        </is>
      </c>
      <c r="C4" s="2" t="inlineStr">
        <is>
          <t>AccountNAME</t>
        </is>
      </c>
      <c r="E4" s="7" t="inlineStr">
        <is>
          <t>2021.12</t>
        </is>
      </c>
      <c r="F4" s="7" t="inlineStr">
        <is>
          <t>2021.12A</t>
        </is>
      </c>
      <c r="G4" s="7" t="inlineStr">
        <is>
          <t>2022.03</t>
        </is>
      </c>
      <c r="H4" s="7" t="inlineStr">
        <is>
          <t>2022.06</t>
        </is>
      </c>
      <c r="I4" s="7" t="inlineStr">
        <is>
          <t>2022.09</t>
        </is>
      </c>
      <c r="J4" s="7" t="inlineStr">
        <is>
          <t>2022.12</t>
        </is>
      </c>
      <c r="K4" s="7" t="inlineStr">
        <is>
          <t>2022.12A</t>
        </is>
      </c>
      <c r="L4" s="7" t="inlineStr">
        <is>
          <t>2023.03</t>
        </is>
      </c>
      <c r="M4" s="7" t="inlineStr">
        <is>
          <t>2023.06</t>
        </is>
      </c>
      <c r="N4" s="7" t="inlineStr">
        <is>
          <t>2023.09</t>
        </is>
      </c>
      <c r="O4" s="7" t="inlineStr">
        <is>
          <t>2023.12</t>
        </is>
      </c>
      <c r="P4" s="7" t="inlineStr">
        <is>
          <t>2023.12A</t>
        </is>
      </c>
      <c r="Q4" s="7" t="inlineStr">
        <is>
          <t>2024.03</t>
        </is>
      </c>
      <c r="R4" s="7" t="inlineStr">
        <is>
          <t>2024.06</t>
        </is>
      </c>
      <c r="S4" s="7" t="inlineStr">
        <is>
          <t>2024.09</t>
        </is>
      </c>
      <c r="T4" s="7" t="inlineStr">
        <is>
          <t>2024.12</t>
        </is>
      </c>
      <c r="U4" s="7" t="inlineStr">
        <is>
          <t>2024.12A</t>
        </is>
      </c>
      <c r="V4" s="7" t="inlineStr">
        <is>
          <t>2025.03</t>
        </is>
      </c>
      <c r="W4" s="7" t="inlineStr">
        <is>
          <t>2025.06</t>
        </is>
      </c>
      <c r="X4" s="7" t="inlineStr">
        <is>
          <t>2025.09</t>
        </is>
      </c>
      <c r="Y4" s="7" t="inlineStr">
        <is>
          <t>2025.12</t>
        </is>
      </c>
      <c r="Z4" s="7" t="inlineStr">
        <is>
          <t>2025.12A</t>
        </is>
      </c>
      <c r="AA4" s="7" t="inlineStr">
        <is>
          <t>2026.03</t>
        </is>
      </c>
      <c r="AB4" s="8" t="inlineStr">
        <is>
          <t>2026.06</t>
        </is>
      </c>
      <c r="AC4" s="7" t="inlineStr">
        <is>
          <t>2026.09</t>
        </is>
      </c>
      <c r="AD4" s="7" t="inlineStr">
        <is>
          <t>2026.12</t>
        </is>
      </c>
      <c r="AE4" s="7" t="inlineStr">
        <is>
          <t>2026.12A</t>
        </is>
      </c>
      <c r="AF4" s="7" t="inlineStr">
        <is>
          <t>2027.03</t>
        </is>
      </c>
      <c r="AG4" s="7" t="inlineStr">
        <is>
          <t>2027.06</t>
        </is>
      </c>
      <c r="AH4" s="7" t="inlineStr">
        <is>
          <t>2027.09</t>
        </is>
      </c>
      <c r="AI4" s="7" t="inlineStr">
        <is>
          <t>2027.12</t>
        </is>
      </c>
      <c r="AJ4" s="7" t="inlineStr">
        <is>
          <t>2027.12A</t>
        </is>
      </c>
      <c r="AK4" s="7" t="inlineStr">
        <is>
          <t>2028.03</t>
        </is>
      </c>
      <c r="AL4" s="7" t="inlineStr">
        <is>
          <t>2028.06</t>
        </is>
      </c>
      <c r="AM4" s="7" t="inlineStr">
        <is>
          <t>2028.09</t>
        </is>
      </c>
      <c r="AN4" s="7" t="inlineStr">
        <is>
          <t>2028.12</t>
        </is>
      </c>
      <c r="AO4" s="7" t="inlineStr">
        <is>
          <t>2028.12A</t>
        </is>
      </c>
    </row>
    <row r="5">
      <c r="A5" t="n">
        <v>1</v>
      </c>
      <c r="C5" t="inlineStr">
        <is>
          <t>유동자산</t>
        </is>
      </c>
      <c r="E5" s="18" t="n">
        <v>269252.97</v>
      </c>
      <c r="F5" s="34" t="n">
        <v>269252.97</v>
      </c>
      <c r="G5" s="18" t="n">
        <v>273287.15</v>
      </c>
      <c r="H5" s="18" t="n">
        <v>278984.03</v>
      </c>
      <c r="I5" s="18" t="n">
        <v>293466.33</v>
      </c>
      <c r="J5" s="18" t="n">
        <v>301326.52</v>
      </c>
      <c r="K5" s="34" t="n">
        <v>301326.52</v>
      </c>
      <c r="L5" s="18" t="n">
        <v>303886.44</v>
      </c>
      <c r="M5" s="18" t="n">
        <v>309360.49</v>
      </c>
      <c r="N5" s="18" t="n">
        <v>317630.72</v>
      </c>
      <c r="O5" s="18" t="n">
        <v>317372.83</v>
      </c>
      <c r="P5" s="34" t="n">
        <v>317372.83</v>
      </c>
      <c r="Q5" s="18" t="n">
        <v>327895</v>
      </c>
      <c r="R5" s="18" t="n">
        <v>316356.75</v>
      </c>
      <c r="S5" s="18" t="n">
        <v>321709.4</v>
      </c>
      <c r="T5" s="18" t="n">
        <v>344315.3</v>
      </c>
      <c r="U5" s="34" t="n">
        <v>344315.3</v>
      </c>
      <c r="V5" s="18" t="n">
        <v>347264.67</v>
      </c>
      <c r="W5" s="18" t="n">
        <v>335046.06</v>
      </c>
      <c r="X5" s="18" t="n">
        <v>347231.62</v>
      </c>
      <c r="Y5" s="18" t="n">
        <v>359917.88</v>
      </c>
      <c r="Z5" s="34" t="n">
        <v>359917.88</v>
      </c>
      <c r="AA5" s="18" t="n">
        <v>371209.13</v>
      </c>
      <c r="AB5" s="19" t="n">
        <v>372743.64</v>
      </c>
      <c r="AC5" s="10" t="n"/>
      <c r="AD5" s="10" t="n"/>
      <c r="AE5" s="11" t="n"/>
      <c r="AF5" s="10" t="n"/>
      <c r="AG5" s="10" t="n"/>
      <c r="AH5" s="10" t="n"/>
      <c r="AI5" s="10" t="n"/>
      <c r="AJ5" s="11" t="n"/>
      <c r="AK5" s="10" t="n"/>
      <c r="AL5" s="10" t="n"/>
      <c r="AM5" s="10" t="n"/>
      <c r="AN5" s="10" t="n"/>
      <c r="AO5" s="11" t="n"/>
    </row>
    <row r="6">
      <c r="A6" t="n">
        <v>1</v>
      </c>
      <c r="C6" t="inlineStr">
        <is>
          <t>현금및현금성자산</t>
        </is>
      </c>
      <c r="E6" s="18" t="n">
        <v>60920.57</v>
      </c>
      <c r="F6" s="34" t="n">
        <v>60920.57</v>
      </c>
      <c r="G6" s="18" t="n">
        <v>39981.9</v>
      </c>
      <c r="H6" s="18" t="n">
        <v>15122.06</v>
      </c>
      <c r="I6" s="18" t="n">
        <v>56332.91</v>
      </c>
      <c r="J6" s="18" t="n">
        <v>50487.95</v>
      </c>
      <c r="K6" s="34" t="n">
        <v>50487.95</v>
      </c>
      <c r="L6" s="18" t="n">
        <v>147038.35</v>
      </c>
      <c r="M6" s="18" t="n">
        <v>125193.44</v>
      </c>
      <c r="N6" s="18" t="n">
        <v>131739.1</v>
      </c>
      <c r="O6" s="18" t="n">
        <v>163686.85</v>
      </c>
      <c r="P6" s="34" t="n">
        <v>163686.85</v>
      </c>
      <c r="Q6" s="18" t="n">
        <v>174114.05</v>
      </c>
      <c r="R6" s="18" t="n">
        <v>161380.9</v>
      </c>
      <c r="S6" s="18" t="n">
        <v>178116.77</v>
      </c>
      <c r="T6" s="18" t="n">
        <v>186382.42</v>
      </c>
      <c r="U6" s="34" t="n">
        <v>186382.42</v>
      </c>
      <c r="V6" s="18" t="n">
        <v>179764.7</v>
      </c>
      <c r="W6" s="18" t="n">
        <v>168299.79</v>
      </c>
      <c r="X6" s="18" t="n">
        <v>173960.47</v>
      </c>
      <c r="Y6" s="18" t="n">
        <v>181244.21</v>
      </c>
      <c r="Z6" s="34" t="n">
        <v>181244.21</v>
      </c>
      <c r="AA6" s="18" t="n">
        <v>161582.79</v>
      </c>
      <c r="AB6" s="19" t="n">
        <v>173273.18</v>
      </c>
      <c r="AC6" s="10" t="n"/>
      <c r="AD6" s="10" t="n"/>
      <c r="AE6" s="11" t="n"/>
      <c r="AF6" s="10" t="n"/>
      <c r="AG6" s="10" t="n"/>
      <c r="AH6" s="10" t="n"/>
      <c r="AI6" s="10" t="n"/>
      <c r="AJ6" s="11" t="n"/>
      <c r="AK6" s="10" t="n"/>
      <c r="AL6" s="10" t="n"/>
      <c r="AM6" s="10" t="n"/>
      <c r="AN6" s="10" t="n"/>
      <c r="AO6" s="11" t="n"/>
    </row>
    <row r="7">
      <c r="A7" t="n">
        <v>1</v>
      </c>
      <c r="C7" t="inlineStr">
        <is>
          <t>단기금융상품</t>
        </is>
      </c>
      <c r="E7" s="18" t="n">
        <v>108400</v>
      </c>
      <c r="F7" s="34" t="n">
        <v>108400</v>
      </c>
      <c r="G7" s="18" t="n">
        <v>130600</v>
      </c>
      <c r="H7" s="18" t="n">
        <v>152400</v>
      </c>
      <c r="I7" s="18" t="n">
        <v>113200</v>
      </c>
      <c r="J7" s="18" t="n">
        <v>128500</v>
      </c>
      <c r="K7" s="34" t="n">
        <v>128500</v>
      </c>
      <c r="L7" s="18" t="n">
        <v>25500</v>
      </c>
      <c r="M7" s="18" t="n">
        <v>46000</v>
      </c>
      <c r="N7" s="18" t="n">
        <v>43500</v>
      </c>
      <c r="O7" s="18" t="n">
        <v>10000</v>
      </c>
      <c r="P7" s="34" t="n">
        <v>10000</v>
      </c>
      <c r="R7" s="18" t="n">
        <v>9000</v>
      </c>
      <c r="S7" s="18" t="n">
        <v>5000</v>
      </c>
      <c r="T7" s="18" t="n">
        <v>5000</v>
      </c>
      <c r="U7" s="34" t="n">
        <v>5000</v>
      </c>
      <c r="V7" s="18" t="n">
        <v>7500</v>
      </c>
      <c r="W7" s="18" t="n">
        <v>5000</v>
      </c>
      <c r="X7" s="18" t="n">
        <v>5000</v>
      </c>
      <c r="Y7" s="18" t="n">
        <v>5000</v>
      </c>
      <c r="Z7" s="34" t="n">
        <v>5000</v>
      </c>
      <c r="AA7" s="18" t="n">
        <v>5000</v>
      </c>
      <c r="AB7" s="19" t="n">
        <v>5000</v>
      </c>
      <c r="AC7" s="10" t="n"/>
      <c r="AD7" s="10" t="n"/>
      <c r="AE7" s="11" t="n"/>
      <c r="AF7" s="10" t="n"/>
      <c r="AG7" s="10" t="n"/>
      <c r="AH7" s="10" t="n"/>
      <c r="AI7" s="10" t="n"/>
      <c r="AJ7" s="11" t="n"/>
      <c r="AK7" s="10" t="n"/>
      <c r="AL7" s="10" t="n"/>
      <c r="AM7" s="10" t="n"/>
      <c r="AN7" s="10" t="n"/>
      <c r="AO7" s="11" t="n"/>
    </row>
    <row r="8">
      <c r="A8" t="n">
        <v>1</v>
      </c>
      <c r="C8" t="inlineStr">
        <is>
          <t>단기금융자산</t>
        </is>
      </c>
      <c r="E8" s="18" t="n">
        <v>108400</v>
      </c>
      <c r="F8" s="34" t="n">
        <v>108400</v>
      </c>
      <c r="G8" s="18" t="n">
        <v>130600</v>
      </c>
      <c r="H8" s="18" t="n">
        <v>152400</v>
      </c>
      <c r="I8" s="18" t="n">
        <v>113200</v>
      </c>
      <c r="J8" s="18" t="n">
        <v>128500</v>
      </c>
      <c r="K8" s="34" t="n">
        <v>128500</v>
      </c>
      <c r="L8" s="18" t="n">
        <v>25500</v>
      </c>
      <c r="M8" s="18" t="n">
        <v>46000</v>
      </c>
      <c r="N8" s="18" t="n">
        <v>43500</v>
      </c>
      <c r="O8" s="18" t="n">
        <v>10000</v>
      </c>
      <c r="P8" s="34" t="n">
        <v>10000</v>
      </c>
      <c r="R8" s="18" t="n">
        <v>9000</v>
      </c>
      <c r="S8" s="18" t="n">
        <v>5000</v>
      </c>
      <c r="T8" s="18" t="n">
        <v>5000</v>
      </c>
      <c r="U8" s="34" t="n">
        <v>5000</v>
      </c>
      <c r="V8" s="18" t="n">
        <v>7500</v>
      </c>
      <c r="W8" s="18" t="n">
        <v>5000</v>
      </c>
      <c r="X8" s="18" t="n">
        <v>5000</v>
      </c>
      <c r="Y8" s="18" t="n">
        <v>5000</v>
      </c>
      <c r="Z8" s="34" t="n">
        <v>5000</v>
      </c>
      <c r="AA8" s="18" t="n">
        <v>5000</v>
      </c>
      <c r="AB8" s="19" t="n">
        <v>5000</v>
      </c>
      <c r="AC8" s="10" t="n"/>
      <c r="AD8" s="10" t="n"/>
      <c r="AE8" s="11" t="n"/>
      <c r="AF8" s="10" t="n"/>
      <c r="AG8" s="10" t="n"/>
      <c r="AH8" s="10" t="n"/>
      <c r="AI8" s="10" t="n"/>
      <c r="AJ8" s="11" t="n"/>
      <c r="AK8" s="10" t="n"/>
      <c r="AL8" s="10" t="n"/>
      <c r="AM8" s="10" t="n"/>
      <c r="AN8" s="10" t="n"/>
      <c r="AO8" s="11" t="n"/>
    </row>
    <row r="9">
      <c r="A9" t="n">
        <v>1</v>
      </c>
      <c r="C9" t="inlineStr">
        <is>
          <t>단기투자자산(공정가치)</t>
        </is>
      </c>
      <c r="E9" s="18" t="n">
        <v>124.75</v>
      </c>
      <c r="F9" s="34" t="n">
        <v>124.75</v>
      </c>
      <c r="G9" s="18" t="n">
        <v>126.91</v>
      </c>
      <c r="H9" s="18" t="n">
        <v>136.24</v>
      </c>
      <c r="I9" s="18" t="n">
        <v>145.93</v>
      </c>
      <c r="J9" s="18" t="n">
        <v>134.27</v>
      </c>
      <c r="K9" s="34" t="n">
        <v>134.27</v>
      </c>
      <c r="L9" s="18" t="n">
        <v>137.01</v>
      </c>
      <c r="M9" s="18" t="n">
        <v>91.56</v>
      </c>
      <c r="N9" s="18" t="n">
        <v>1.2</v>
      </c>
      <c r="O9" s="18" t="n">
        <v>2558.21</v>
      </c>
      <c r="P9" s="34" t="n">
        <v>2558.21</v>
      </c>
      <c r="Q9" s="18" t="n">
        <v>9808.799999999999</v>
      </c>
      <c r="R9" s="18" t="n">
        <v>4709.36</v>
      </c>
      <c r="S9" s="18" t="n">
        <v>1218.76</v>
      </c>
      <c r="T9" s="18" t="n">
        <v>4975.66</v>
      </c>
      <c r="U9" s="34" t="n">
        <v>4975.66</v>
      </c>
      <c r="V9" s="18" t="n">
        <v>9310.51</v>
      </c>
      <c r="W9" s="18" t="n">
        <v>7910.79</v>
      </c>
      <c r="X9" s="18" t="n">
        <v>14837.55</v>
      </c>
      <c r="Y9" s="18" t="n">
        <v>16200.91</v>
      </c>
      <c r="Z9" s="34" t="n">
        <v>16200.91</v>
      </c>
      <c r="AA9" s="18" t="n">
        <v>46435.24</v>
      </c>
      <c r="AB9" s="19" t="n">
        <v>32533.51</v>
      </c>
      <c r="AC9" s="10" t="n"/>
      <c r="AD9" s="10" t="n"/>
      <c r="AE9" s="11" t="n"/>
      <c r="AF9" s="10" t="n"/>
      <c r="AG9" s="10" t="n"/>
      <c r="AH9" s="10" t="n"/>
      <c r="AI9" s="10" t="n"/>
      <c r="AJ9" s="11" t="n"/>
      <c r="AK9" s="10" t="n"/>
      <c r="AL9" s="10" t="n"/>
      <c r="AM9" s="10" t="n"/>
      <c r="AN9" s="10" t="n"/>
      <c r="AO9" s="11" t="n"/>
    </row>
    <row r="10">
      <c r="A10" t="n">
        <v>1</v>
      </c>
      <c r="C10" t="inlineStr">
        <is>
          <t>매출채권및기타채권</t>
        </is>
      </c>
      <c r="E10" s="18" t="n">
        <v>41839.73</v>
      </c>
      <c r="F10" s="34" t="n">
        <v>41839.73</v>
      </c>
      <c r="G10" s="18" t="n">
        <v>37253.85</v>
      </c>
      <c r="H10" s="18" t="n">
        <v>47853.51</v>
      </c>
      <c r="I10" s="18" t="n">
        <v>53334.04</v>
      </c>
      <c r="J10" s="18" t="n">
        <v>48763.58</v>
      </c>
      <c r="K10" s="34" t="n">
        <v>48763.58</v>
      </c>
      <c r="L10" s="18" t="n">
        <v>48800.46</v>
      </c>
      <c r="M10" s="18" t="n">
        <v>49918.95</v>
      </c>
      <c r="N10" s="18" t="n">
        <v>48147.15</v>
      </c>
      <c r="O10" s="18" t="n">
        <v>45980.52</v>
      </c>
      <c r="P10" s="34" t="n">
        <v>45980.52</v>
      </c>
      <c r="Q10" s="18" t="n">
        <v>47439.19</v>
      </c>
      <c r="R10" s="18" t="n">
        <v>44889.97</v>
      </c>
      <c r="S10" s="18" t="n">
        <v>39695.52</v>
      </c>
      <c r="T10" s="18" t="n">
        <v>48112.73</v>
      </c>
      <c r="U10" s="34" t="n">
        <v>48112.73</v>
      </c>
      <c r="V10" s="18" t="n">
        <v>49977.84</v>
      </c>
      <c r="W10" s="18" t="n">
        <v>51101.71</v>
      </c>
      <c r="X10" s="18" t="n">
        <v>47398.37</v>
      </c>
      <c r="Y10" s="18" t="n">
        <v>50486.13</v>
      </c>
      <c r="Z10" s="34" t="n">
        <v>50486.13</v>
      </c>
      <c r="AA10" s="18" t="n">
        <v>49987.02</v>
      </c>
      <c r="AB10" s="19" t="n">
        <v>46939.94</v>
      </c>
      <c r="AC10" s="10" t="n"/>
      <c r="AD10" s="10" t="n"/>
      <c r="AE10" s="11" t="n"/>
      <c r="AF10" s="10" t="n"/>
      <c r="AG10" s="10" t="n"/>
      <c r="AH10" s="10" t="n"/>
      <c r="AI10" s="10" t="n"/>
      <c r="AJ10" s="11" t="n"/>
      <c r="AK10" s="10" t="n"/>
      <c r="AL10" s="10" t="n"/>
      <c r="AM10" s="10" t="n"/>
      <c r="AN10" s="10" t="n"/>
      <c r="AO10" s="11" t="n"/>
    </row>
    <row r="11">
      <c r="A11" t="n">
        <v>1</v>
      </c>
      <c r="C11" t="inlineStr">
        <is>
          <t>재고자산</t>
        </is>
      </c>
      <c r="E11" s="18" t="n">
        <v>57804.82</v>
      </c>
      <c r="F11" s="34" t="n">
        <v>57804.82</v>
      </c>
      <c r="G11" s="18" t="n">
        <v>64351.97</v>
      </c>
      <c r="H11" s="18" t="n">
        <v>62569.85</v>
      </c>
      <c r="I11" s="18" t="n">
        <v>69192.88</v>
      </c>
      <c r="J11" s="18" t="n">
        <v>72597.66</v>
      </c>
      <c r="K11" s="34" t="n">
        <v>72597.66</v>
      </c>
      <c r="L11" s="18" t="n">
        <v>80687.2</v>
      </c>
      <c r="M11" s="18" t="n">
        <v>87186.42</v>
      </c>
      <c r="N11" s="18" t="n">
        <v>93208.32000000001</v>
      </c>
      <c r="O11" s="18" t="n">
        <v>95070.67999999999</v>
      </c>
      <c r="P11" s="34" t="n">
        <v>95070.67999999999</v>
      </c>
      <c r="Q11" s="18" t="n">
        <v>95728.63</v>
      </c>
      <c r="R11" s="18" t="n">
        <v>94812.02</v>
      </c>
      <c r="S11" s="18" t="n">
        <v>95927.44</v>
      </c>
      <c r="T11" s="18" t="n">
        <v>98596.52</v>
      </c>
      <c r="U11" s="34" t="n">
        <v>98596.52</v>
      </c>
      <c r="V11" s="18" t="n">
        <v>99429.94</v>
      </c>
      <c r="W11" s="18" t="n">
        <v>101587.14</v>
      </c>
      <c r="X11" s="18" t="n">
        <v>104638.44</v>
      </c>
      <c r="Y11" s="18" t="n">
        <v>106021.01</v>
      </c>
      <c r="Z11" s="34" t="n">
        <v>106021.01</v>
      </c>
      <c r="AA11" s="18" t="n">
        <v>106071.11</v>
      </c>
      <c r="AB11" s="19" t="n">
        <v>109070.18</v>
      </c>
      <c r="AC11" s="10" t="n"/>
      <c r="AD11" s="10" t="n"/>
      <c r="AE11" s="11" t="n"/>
      <c r="AF11" s="10" t="n"/>
      <c r="AG11" s="10" t="n"/>
      <c r="AH11" s="10" t="n"/>
      <c r="AI11" s="10" t="n"/>
      <c r="AJ11" s="11" t="n"/>
      <c r="AK11" s="10" t="n"/>
      <c r="AL11" s="10" t="n"/>
      <c r="AM11" s="10" t="n"/>
      <c r="AN11" s="10" t="n"/>
      <c r="AO11" s="11" t="n"/>
    </row>
    <row r="12">
      <c r="A12" t="n">
        <v>1</v>
      </c>
      <c r="C12" t="inlineStr">
        <is>
          <t>비유동자산</t>
        </is>
      </c>
      <c r="E12" s="18" t="n">
        <v>100590.4</v>
      </c>
      <c r="F12" s="34" t="n">
        <v>100590.4</v>
      </c>
      <c r="G12" s="18" t="n">
        <v>100318.3</v>
      </c>
      <c r="H12" s="18" t="n">
        <v>99814.64999999999</v>
      </c>
      <c r="I12" s="18" t="n">
        <v>99034.39999999999</v>
      </c>
      <c r="J12" s="18" t="n">
        <v>98359.46000000001</v>
      </c>
      <c r="K12" s="34" t="n">
        <v>98359.46000000001</v>
      </c>
      <c r="L12" s="18" t="n">
        <v>108826.95</v>
      </c>
      <c r="M12" s="18" t="n">
        <v>108396.94</v>
      </c>
      <c r="N12" s="18" t="n">
        <v>108580.94</v>
      </c>
      <c r="O12" s="18" t="n">
        <v>109412.73</v>
      </c>
      <c r="P12" s="34" t="n">
        <v>109412.73</v>
      </c>
      <c r="Q12" s="18" t="n">
        <v>109020.67</v>
      </c>
      <c r="R12" s="18" t="n">
        <v>107816.31</v>
      </c>
      <c r="S12" s="18" t="n">
        <v>107120.3</v>
      </c>
      <c r="T12" s="18" t="n">
        <v>107185.49</v>
      </c>
      <c r="U12" s="34" t="n">
        <v>107185.49</v>
      </c>
      <c r="V12" s="18" t="n">
        <v>109602.51</v>
      </c>
      <c r="W12" s="18" t="n">
        <v>110786.67</v>
      </c>
      <c r="X12" s="18" t="n">
        <v>110292.21</v>
      </c>
      <c r="Y12" s="18" t="n">
        <v>113000.07</v>
      </c>
      <c r="Z12" s="34" t="n">
        <v>113000.07</v>
      </c>
      <c r="AA12" s="18" t="n">
        <v>112208.41</v>
      </c>
      <c r="AB12" s="19" t="n">
        <v>112685.21</v>
      </c>
      <c r="AC12" s="10" t="n"/>
      <c r="AD12" s="10" t="n"/>
      <c r="AE12" s="11" t="n"/>
      <c r="AF12" s="10" t="n"/>
      <c r="AG12" s="10" t="n"/>
      <c r="AH12" s="10" t="n"/>
      <c r="AI12" s="10" t="n"/>
      <c r="AJ12" s="11" t="n"/>
      <c r="AK12" s="10" t="n"/>
      <c r="AL12" s="10" t="n"/>
      <c r="AM12" s="10" t="n"/>
      <c r="AN12" s="10" t="n"/>
      <c r="AO12" s="11" t="n"/>
    </row>
    <row r="13">
      <c r="A13" t="n">
        <v>1</v>
      </c>
      <c r="C13" t="inlineStr">
        <is>
          <t>장기금융자산</t>
        </is>
      </c>
      <c r="E13" s="18" t="n">
        <v>99.25</v>
      </c>
      <c r="F13" s="34" t="n">
        <v>99.25</v>
      </c>
      <c r="G13" s="18" t="n">
        <v>99.25</v>
      </c>
      <c r="H13" s="18" t="n">
        <v>99.25</v>
      </c>
      <c r="I13" s="18" t="n">
        <v>99.25</v>
      </c>
      <c r="J13" s="18" t="n">
        <v>99.25</v>
      </c>
      <c r="K13" s="34" t="n">
        <v>99.25</v>
      </c>
      <c r="L13" s="18" t="n">
        <v>99.25</v>
      </c>
      <c r="M13" s="18" t="n">
        <v>99.25</v>
      </c>
      <c r="N13" s="18" t="n">
        <v>99.25</v>
      </c>
      <c r="O13" s="18" t="n">
        <v>99.25</v>
      </c>
      <c r="P13" s="34" t="n">
        <v>99.25</v>
      </c>
      <c r="Q13" s="18" t="n">
        <v>99.25</v>
      </c>
      <c r="R13" s="18" t="n">
        <v>99.25</v>
      </c>
      <c r="S13" s="18" t="n">
        <v>99.25</v>
      </c>
      <c r="T13" s="18" t="n">
        <v>99.25</v>
      </c>
      <c r="U13" s="34" t="n">
        <v>99.25</v>
      </c>
      <c r="V13" s="18" t="n">
        <v>99.25</v>
      </c>
      <c r="W13" s="18" t="n">
        <v>99.25</v>
      </c>
      <c r="X13" s="18" t="n">
        <v>99.25</v>
      </c>
      <c r="Y13" s="18" t="n">
        <v>99.25</v>
      </c>
      <c r="Z13" s="34" t="n">
        <v>99.25</v>
      </c>
      <c r="AA13" s="18" t="n">
        <v>99.25</v>
      </c>
      <c r="AB13" s="19" t="n">
        <v>99.25</v>
      </c>
      <c r="AC13" s="10" t="n"/>
      <c r="AD13" s="10" t="n"/>
      <c r="AE13" s="11" t="n"/>
      <c r="AF13" s="10" t="n"/>
      <c r="AG13" s="10" t="n"/>
      <c r="AH13" s="10" t="n"/>
      <c r="AI13" s="10" t="n"/>
      <c r="AJ13" s="11" t="n"/>
      <c r="AK13" s="10" t="n"/>
      <c r="AL13" s="10" t="n"/>
      <c r="AM13" s="10" t="n"/>
      <c r="AN13" s="10" t="n"/>
      <c r="AO13" s="11" t="n"/>
    </row>
    <row r="14">
      <c r="A14" t="n">
        <v>1</v>
      </c>
      <c r="C14" t="inlineStr">
        <is>
          <t>투자자산</t>
        </is>
      </c>
      <c r="E14" s="18" t="n">
        <v>6009.05</v>
      </c>
      <c r="F14" s="34" t="n">
        <v>6009.05</v>
      </c>
      <c r="G14" s="18" t="n">
        <v>6009.05</v>
      </c>
      <c r="H14" s="18" t="n">
        <v>6009.05</v>
      </c>
      <c r="I14" s="18" t="n">
        <v>5109.05</v>
      </c>
      <c r="J14" s="18" t="n">
        <v>5109.05</v>
      </c>
      <c r="K14" s="34" t="n">
        <v>5109.05</v>
      </c>
      <c r="L14" s="18" t="n">
        <v>5109.05</v>
      </c>
      <c r="M14" s="18" t="n">
        <v>5109.05</v>
      </c>
      <c r="N14" s="18" t="n">
        <v>5109.05</v>
      </c>
      <c r="O14" s="18" t="n">
        <v>5109.05</v>
      </c>
      <c r="P14" s="34" t="n">
        <v>5109.05</v>
      </c>
      <c r="Q14" s="18" t="n">
        <v>5109.05</v>
      </c>
      <c r="R14" s="18" t="n">
        <v>5109.05</v>
      </c>
      <c r="S14" s="18" t="n">
        <v>5109.05</v>
      </c>
      <c r="T14" s="18" t="n">
        <v>5109.05</v>
      </c>
      <c r="U14" s="34" t="n">
        <v>5109.05</v>
      </c>
      <c r="V14" s="18" t="n">
        <v>5109.05</v>
      </c>
      <c r="W14" s="18" t="n">
        <v>5109.05</v>
      </c>
      <c r="X14" s="18" t="n">
        <v>5109.05</v>
      </c>
      <c r="Y14" s="18" t="n">
        <v>5109.05</v>
      </c>
      <c r="Z14" s="34" t="n">
        <v>5109.05</v>
      </c>
      <c r="AA14" s="18" t="n">
        <v>5109.05</v>
      </c>
      <c r="AB14" s="19" t="n">
        <v>5109.05</v>
      </c>
      <c r="AC14" s="10" t="n"/>
      <c r="AD14" s="10" t="n"/>
      <c r="AE14" s="11" t="n"/>
      <c r="AF14" s="10" t="n"/>
      <c r="AG14" s="10" t="n"/>
      <c r="AH14" s="10" t="n"/>
      <c r="AI14" s="10" t="n"/>
      <c r="AJ14" s="11" t="n"/>
      <c r="AK14" s="10" t="n"/>
      <c r="AL14" s="10" t="n"/>
      <c r="AM14" s="10" t="n"/>
      <c r="AN14" s="10" t="n"/>
      <c r="AO14" s="11" t="n"/>
    </row>
    <row r="15">
      <c r="A15" t="n">
        <v>1</v>
      </c>
      <c r="C15" t="inlineStr">
        <is>
          <t>장기매출채권및기타채권</t>
        </is>
      </c>
      <c r="E15" s="18" t="n">
        <v>2842.39</v>
      </c>
      <c r="F15" s="34" t="n">
        <v>2842.39</v>
      </c>
      <c r="G15" s="18" t="n">
        <v>2900.19</v>
      </c>
      <c r="H15" s="18" t="n">
        <v>2710.39</v>
      </c>
      <c r="I15" s="18" t="n">
        <v>2618.18</v>
      </c>
      <c r="J15" s="18" t="n">
        <v>2999.18</v>
      </c>
      <c r="K15" s="34" t="n">
        <v>2999.18</v>
      </c>
      <c r="L15" s="18" t="n">
        <v>2879.46</v>
      </c>
      <c r="M15" s="18" t="n">
        <v>2739.56</v>
      </c>
      <c r="N15" s="18" t="n">
        <v>2611.66</v>
      </c>
      <c r="O15" s="18" t="n">
        <v>2507.16</v>
      </c>
      <c r="P15" s="34" t="n">
        <v>2507.16</v>
      </c>
      <c r="Q15" s="18" t="n">
        <v>2414.13</v>
      </c>
      <c r="R15" s="18" t="n">
        <v>2300.03</v>
      </c>
      <c r="S15" s="18" t="n">
        <v>2203.03</v>
      </c>
      <c r="T15" s="18" t="n">
        <v>2158.19</v>
      </c>
      <c r="U15" s="34" t="n">
        <v>2158.19</v>
      </c>
      <c r="V15" s="18" t="n">
        <v>2082.19</v>
      </c>
      <c r="W15" s="18" t="n">
        <v>1993.69</v>
      </c>
      <c r="X15" s="18" t="n">
        <v>1848.71</v>
      </c>
      <c r="Y15" s="18" t="n">
        <v>1777.48</v>
      </c>
      <c r="Z15" s="34" t="n">
        <v>1777.48</v>
      </c>
      <c r="AA15" s="18" t="n">
        <v>1889.88</v>
      </c>
      <c r="AB15" s="19" t="n">
        <v>1871.75</v>
      </c>
      <c r="AC15" s="10" t="n"/>
      <c r="AD15" s="10" t="n"/>
      <c r="AE15" s="11" t="n"/>
      <c r="AF15" s="10" t="n"/>
      <c r="AG15" s="10" t="n"/>
      <c r="AH15" s="10" t="n"/>
      <c r="AI15" s="10" t="n"/>
      <c r="AJ15" s="11" t="n"/>
      <c r="AK15" s="10" t="n"/>
      <c r="AL15" s="10" t="n"/>
      <c r="AM15" s="10" t="n"/>
      <c r="AN15" s="10" t="n"/>
      <c r="AO15" s="11" t="n"/>
    </row>
    <row r="16">
      <c r="A16" t="n">
        <v>1</v>
      </c>
      <c r="C16" t="inlineStr">
        <is>
          <t>종속기업및관계기업투자</t>
        </is>
      </c>
      <c r="E16" s="18" t="n">
        <v>5909.8</v>
      </c>
      <c r="F16" s="34" t="n">
        <v>5909.8</v>
      </c>
      <c r="G16" s="18" t="n">
        <v>5909.8</v>
      </c>
      <c r="H16" s="18" t="n">
        <v>5909.8</v>
      </c>
      <c r="I16" s="18" t="n">
        <v>5009.8</v>
      </c>
      <c r="J16" s="18" t="n">
        <v>5009.8</v>
      </c>
      <c r="K16" s="34" t="n">
        <v>5009.8</v>
      </c>
      <c r="L16" s="18" t="n">
        <v>5009.8</v>
      </c>
      <c r="M16" s="18" t="n">
        <v>5009.8</v>
      </c>
      <c r="N16" s="18" t="n">
        <v>5009.8</v>
      </c>
      <c r="O16" s="18" t="n">
        <v>5009.8</v>
      </c>
      <c r="P16" s="34" t="n">
        <v>5009.8</v>
      </c>
      <c r="Q16" s="18" t="n">
        <v>5009.8</v>
      </c>
      <c r="R16" s="18" t="n">
        <v>5009.8</v>
      </c>
      <c r="S16" s="18" t="n">
        <v>5009.8</v>
      </c>
      <c r="T16" s="18" t="n">
        <v>5009.8</v>
      </c>
      <c r="U16" s="34" t="n">
        <v>5009.8</v>
      </c>
      <c r="V16" s="18" t="n">
        <v>5009.8</v>
      </c>
      <c r="W16" s="18" t="n">
        <v>5009.8</v>
      </c>
      <c r="X16" s="18" t="n">
        <v>5009.8</v>
      </c>
      <c r="Y16" s="18" t="n">
        <v>5009.8</v>
      </c>
      <c r="Z16" s="34" t="n">
        <v>5009.8</v>
      </c>
      <c r="AA16" s="18" t="n">
        <v>5009.8</v>
      </c>
      <c r="AB16" s="19" t="n">
        <v>5009.8</v>
      </c>
      <c r="AC16" s="10" t="n"/>
      <c r="AD16" s="10" t="n"/>
      <c r="AE16" s="11" t="n"/>
      <c r="AF16" s="10" t="n"/>
      <c r="AG16" s="10" t="n"/>
      <c r="AH16" s="10" t="n"/>
      <c r="AI16" s="10" t="n"/>
      <c r="AJ16" s="11" t="n"/>
      <c r="AK16" s="10" t="n"/>
      <c r="AL16" s="10" t="n"/>
      <c r="AM16" s="10" t="n"/>
      <c r="AN16" s="10" t="n"/>
      <c r="AO16" s="11" t="n"/>
    </row>
    <row r="17">
      <c r="A17" t="n">
        <v>1</v>
      </c>
      <c r="C17" t="inlineStr">
        <is>
          <t>유형자산</t>
        </is>
      </c>
      <c r="E17" s="18" t="n">
        <v>70064.45</v>
      </c>
      <c r="F17" s="34" t="n">
        <v>70064.45</v>
      </c>
      <c r="G17" s="18" t="n">
        <v>69825.25</v>
      </c>
      <c r="H17" s="18" t="n">
        <v>69942.11</v>
      </c>
      <c r="I17" s="18" t="n">
        <v>70546.13</v>
      </c>
      <c r="J17" s="18" t="n">
        <v>70027.8</v>
      </c>
      <c r="K17" s="34" t="n">
        <v>70027.8</v>
      </c>
      <c r="L17" s="18" t="n">
        <v>70399.08</v>
      </c>
      <c r="M17" s="18" t="n">
        <v>70370.36</v>
      </c>
      <c r="N17" s="18" t="n">
        <v>71484.74000000001</v>
      </c>
      <c r="O17" s="18" t="n">
        <v>72282.67</v>
      </c>
      <c r="P17" s="34" t="n">
        <v>72282.67</v>
      </c>
      <c r="Q17" s="18" t="n">
        <v>71914.72</v>
      </c>
      <c r="R17" s="18" t="n">
        <v>71142.14</v>
      </c>
      <c r="S17" s="18" t="n">
        <v>71546.16</v>
      </c>
      <c r="T17" s="18" t="n">
        <v>71742.35000000001</v>
      </c>
      <c r="U17" s="34" t="n">
        <v>71742.35000000001</v>
      </c>
      <c r="V17" s="18" t="n">
        <v>73571.33</v>
      </c>
      <c r="W17" s="18" t="n">
        <v>74768.13</v>
      </c>
      <c r="X17" s="18" t="n">
        <v>74680.67</v>
      </c>
      <c r="Y17" s="18" t="n">
        <v>77767.58</v>
      </c>
      <c r="Z17" s="34" t="n">
        <v>77767.58</v>
      </c>
      <c r="AA17" s="18" t="n">
        <v>77675.81</v>
      </c>
      <c r="AB17" s="19" t="n">
        <v>77688.64999999999</v>
      </c>
      <c r="AC17" s="10" t="n"/>
      <c r="AD17" s="10" t="n"/>
      <c r="AE17" s="11" t="n"/>
      <c r="AF17" s="10" t="n"/>
      <c r="AG17" s="10" t="n"/>
      <c r="AH17" s="10" t="n"/>
      <c r="AI17" s="10" t="n"/>
      <c r="AJ17" s="11" t="n"/>
      <c r="AK17" s="10" t="n"/>
      <c r="AL17" s="10" t="n"/>
      <c r="AM17" s="10" t="n"/>
      <c r="AN17" s="10" t="n"/>
      <c r="AO17" s="11" t="n"/>
    </row>
    <row r="18">
      <c r="A18" t="n">
        <v>1</v>
      </c>
      <c r="C18" t="inlineStr">
        <is>
          <t>투자부동산</t>
        </is>
      </c>
      <c r="E18" s="18" t="n">
        <v>11837.8</v>
      </c>
      <c r="F18" s="34" t="n">
        <v>11837.8</v>
      </c>
      <c r="G18" s="18" t="n">
        <v>11803.01</v>
      </c>
      <c r="H18" s="18" t="n">
        <v>11768.21</v>
      </c>
      <c r="I18" s="18" t="n">
        <v>11733.42</v>
      </c>
      <c r="J18" s="18" t="n">
        <v>11698.62</v>
      </c>
      <c r="K18" s="34" t="n">
        <v>11698.62</v>
      </c>
      <c r="L18" s="18" t="n">
        <v>19292.73</v>
      </c>
      <c r="M18" s="18" t="n">
        <v>19236.98</v>
      </c>
      <c r="N18" s="18" t="n">
        <v>19181.22</v>
      </c>
      <c r="O18" s="18" t="n">
        <v>19125.47</v>
      </c>
      <c r="P18" s="34" t="n">
        <v>19125.47</v>
      </c>
      <c r="Q18" s="18" t="n">
        <v>19069.72</v>
      </c>
      <c r="R18" s="18" t="n">
        <v>19013.96</v>
      </c>
      <c r="S18" s="18" t="n">
        <v>18958.21</v>
      </c>
      <c r="T18" s="18" t="n">
        <v>18902.46</v>
      </c>
      <c r="U18" s="34" t="n">
        <v>18902.46</v>
      </c>
      <c r="V18" s="18" t="n">
        <v>18846.7</v>
      </c>
      <c r="W18" s="18" t="n">
        <v>18790.95</v>
      </c>
      <c r="X18" s="18" t="n">
        <v>18735.19</v>
      </c>
      <c r="Y18" s="18" t="n">
        <v>18679.44</v>
      </c>
      <c r="Z18" s="34" t="n">
        <v>18679.44</v>
      </c>
      <c r="AA18" s="18" t="n">
        <v>18623.69</v>
      </c>
      <c r="AB18" s="19" t="n">
        <v>18567.93</v>
      </c>
      <c r="AC18" s="10" t="n"/>
      <c r="AD18" s="10" t="n"/>
      <c r="AE18" s="11" t="n"/>
      <c r="AF18" s="10" t="n"/>
      <c r="AG18" s="10" t="n"/>
      <c r="AH18" s="10" t="n"/>
      <c r="AI18" s="10" t="n"/>
      <c r="AJ18" s="11" t="n"/>
      <c r="AK18" s="10" t="n"/>
      <c r="AL18" s="10" t="n"/>
      <c r="AM18" s="10" t="n"/>
      <c r="AN18" s="10" t="n"/>
      <c r="AO18" s="11" t="n"/>
    </row>
    <row r="19">
      <c r="A19" t="n">
        <v>1</v>
      </c>
      <c r="C19" t="inlineStr">
        <is>
          <t>무형자산</t>
        </is>
      </c>
      <c r="E19" s="18" t="n">
        <v>6429.13</v>
      </c>
      <c r="F19" s="34" t="n">
        <v>6429.13</v>
      </c>
      <c r="G19" s="18" t="n">
        <v>6429.13</v>
      </c>
      <c r="H19" s="18" t="n">
        <v>6420.38</v>
      </c>
      <c r="I19" s="18" t="n">
        <v>6399.13</v>
      </c>
      <c r="J19" s="18" t="n">
        <v>6370.38</v>
      </c>
      <c r="K19" s="34" t="n">
        <v>6370.38</v>
      </c>
      <c r="L19" s="18" t="n">
        <v>6397.88</v>
      </c>
      <c r="M19" s="18" t="n">
        <v>6404.13</v>
      </c>
      <c r="N19" s="18" t="n">
        <v>6396.01</v>
      </c>
      <c r="O19" s="18" t="n">
        <v>6380.38</v>
      </c>
      <c r="P19" s="34" t="n">
        <v>6380.38</v>
      </c>
      <c r="Q19" s="18" t="n">
        <v>6380.38</v>
      </c>
      <c r="R19" s="18" t="n">
        <v>6370.38</v>
      </c>
      <c r="S19" s="18" t="n">
        <v>6375.38</v>
      </c>
      <c r="T19" s="18" t="n">
        <v>6341.63</v>
      </c>
      <c r="U19" s="34" t="n">
        <v>6341.63</v>
      </c>
      <c r="V19" s="18" t="n">
        <v>6342.88</v>
      </c>
      <c r="W19" s="18" t="n">
        <v>6357.88</v>
      </c>
      <c r="X19" s="18" t="n">
        <v>6418.55</v>
      </c>
      <c r="Y19" s="18" t="n">
        <v>6415.88</v>
      </c>
      <c r="Z19" s="34" t="n">
        <v>6415.88</v>
      </c>
      <c r="AA19" s="18" t="n">
        <v>6408.7</v>
      </c>
      <c r="AB19" s="19" t="n">
        <v>6394.26</v>
      </c>
      <c r="AC19" s="10" t="n"/>
      <c r="AD19" s="10" t="n"/>
      <c r="AE19" s="11" t="n"/>
      <c r="AF19" s="10" t="n"/>
      <c r="AG19" s="10" t="n"/>
      <c r="AH19" s="10" t="n"/>
      <c r="AI19" s="10" t="n"/>
      <c r="AJ19" s="11" t="n"/>
      <c r="AK19" s="10" t="n"/>
      <c r="AL19" s="10" t="n"/>
      <c r="AM19" s="10" t="n"/>
      <c r="AN19" s="10" t="n"/>
      <c r="AO19" s="11" t="n"/>
    </row>
    <row r="20">
      <c r="A20" t="n">
        <v>1</v>
      </c>
      <c r="C20" t="inlineStr">
        <is>
          <t>이연법인세자산</t>
        </is>
      </c>
      <c r="E20" s="18" t="n">
        <v>3407.57</v>
      </c>
      <c r="F20" s="34" t="n">
        <v>3407.57</v>
      </c>
      <c r="G20" s="18" t="n">
        <v>3351.67</v>
      </c>
      <c r="H20" s="18" t="n">
        <v>2964.5</v>
      </c>
      <c r="I20" s="18" t="n">
        <v>2628.49</v>
      </c>
      <c r="J20" s="18" t="n">
        <v>2154.41</v>
      </c>
      <c r="K20" s="34" t="n">
        <v>2154.41</v>
      </c>
      <c r="L20" s="18" t="n">
        <v>4748.74</v>
      </c>
      <c r="M20" s="18" t="n">
        <v>4536.86</v>
      </c>
      <c r="N20" s="18" t="n">
        <v>3798.25</v>
      </c>
      <c r="O20" s="18" t="n">
        <v>4007.99</v>
      </c>
      <c r="P20" s="34" t="n">
        <v>4007.99</v>
      </c>
      <c r="Q20" s="18" t="n">
        <v>4132.66</v>
      </c>
      <c r="R20" s="18" t="n">
        <v>3880.74</v>
      </c>
      <c r="S20" s="18" t="n">
        <v>2928.46</v>
      </c>
      <c r="T20" s="18" t="n">
        <v>2931.81</v>
      </c>
      <c r="U20" s="34" t="n">
        <v>2931.81</v>
      </c>
      <c r="V20" s="18" t="n">
        <v>3650.34</v>
      </c>
      <c r="W20" s="18" t="n">
        <v>3766.96</v>
      </c>
      <c r="X20" s="18" t="n">
        <v>3500.03</v>
      </c>
      <c r="Y20" s="18" t="n">
        <v>3250.63</v>
      </c>
      <c r="Z20" s="34" t="n">
        <v>3250.63</v>
      </c>
      <c r="AA20" s="18" t="n">
        <v>2501.28</v>
      </c>
      <c r="AB20" s="19" t="n">
        <v>3053.56</v>
      </c>
      <c r="AC20" s="10" t="n"/>
      <c r="AD20" s="10" t="n"/>
      <c r="AE20" s="11" t="n"/>
      <c r="AF20" s="10" t="n"/>
      <c r="AG20" s="10" t="n"/>
      <c r="AH20" s="10" t="n"/>
      <c r="AI20" s="10" t="n"/>
      <c r="AJ20" s="11" t="n"/>
      <c r="AK20" s="10" t="n"/>
      <c r="AL20" s="10" t="n"/>
      <c r="AM20" s="10" t="n"/>
      <c r="AN20" s="10" t="n"/>
      <c r="AO20" s="11" t="n"/>
    </row>
    <row r="21">
      <c r="A21" t="n">
        <v>1</v>
      </c>
      <c r="C21" t="inlineStr">
        <is>
          <t>자산총계</t>
        </is>
      </c>
      <c r="E21" s="18" t="n">
        <v>369843.36</v>
      </c>
      <c r="F21" s="34" t="n">
        <v>369843.36</v>
      </c>
      <c r="G21" s="18" t="n">
        <v>373605.45</v>
      </c>
      <c r="H21" s="18" t="n">
        <v>378798.67</v>
      </c>
      <c r="I21" s="18" t="n">
        <v>392500.73</v>
      </c>
      <c r="J21" s="18" t="n">
        <v>399685.98</v>
      </c>
      <c r="K21" s="34" t="n">
        <v>399685.98</v>
      </c>
      <c r="L21" s="18" t="n">
        <v>412713.38</v>
      </c>
      <c r="M21" s="18" t="n">
        <v>417757.44</v>
      </c>
      <c r="N21" s="18" t="n">
        <v>426211.66</v>
      </c>
      <c r="O21" s="18" t="n">
        <v>426785.55</v>
      </c>
      <c r="P21" s="34" t="n">
        <v>426785.55</v>
      </c>
      <c r="Q21" s="18" t="n">
        <v>436915.68</v>
      </c>
      <c r="R21" s="18" t="n">
        <v>424173.06</v>
      </c>
      <c r="S21" s="18" t="n">
        <v>428829.7</v>
      </c>
      <c r="T21" s="18" t="n">
        <v>451500.79</v>
      </c>
      <c r="U21" s="34" t="n">
        <v>451500.79</v>
      </c>
      <c r="V21" s="18" t="n">
        <v>456867.17</v>
      </c>
      <c r="W21" s="18" t="n">
        <v>445832.73</v>
      </c>
      <c r="X21" s="18" t="n">
        <v>457523.83</v>
      </c>
      <c r="Y21" s="18" t="n">
        <v>472917.95</v>
      </c>
      <c r="Z21" s="34" t="n">
        <v>472917.95</v>
      </c>
      <c r="AA21" s="18" t="n">
        <v>483417.54</v>
      </c>
      <c r="AB21" s="19" t="n">
        <v>485428.85</v>
      </c>
      <c r="AC21" s="10" t="n"/>
      <c r="AD21" s="10" t="n"/>
      <c r="AE21" s="11" t="n"/>
      <c r="AF21" s="10" t="n"/>
      <c r="AG21" s="10" t="n"/>
      <c r="AH21" s="10" t="n"/>
      <c r="AI21" s="10" t="n"/>
      <c r="AJ21" s="11" t="n"/>
      <c r="AK21" s="10" t="n"/>
      <c r="AL21" s="10" t="n"/>
      <c r="AM21" s="10" t="n"/>
      <c r="AN21" s="10" t="n"/>
      <c r="AO21" s="11" t="n"/>
    </row>
    <row r="22">
      <c r="A22" t="n">
        <v>1</v>
      </c>
      <c r="C22" t="inlineStr">
        <is>
          <t>유동부채</t>
        </is>
      </c>
      <c r="E22" s="18" t="n">
        <v>19765.09</v>
      </c>
      <c r="F22" s="34" t="n">
        <v>19765.09</v>
      </c>
      <c r="G22" s="18" t="n">
        <v>24765.75</v>
      </c>
      <c r="H22" s="18" t="n">
        <v>20836.73</v>
      </c>
      <c r="I22" s="18" t="n">
        <v>22689.66</v>
      </c>
      <c r="J22" s="18" t="n">
        <v>25457.94</v>
      </c>
      <c r="K22" s="34" t="n">
        <v>25457.94</v>
      </c>
      <c r="L22" s="18" t="n">
        <v>30759.03</v>
      </c>
      <c r="M22" s="18" t="n">
        <v>24274.82</v>
      </c>
      <c r="N22" s="18" t="n">
        <v>21968.67</v>
      </c>
      <c r="O22" s="18" t="n">
        <v>23427.3</v>
      </c>
      <c r="P22" s="34" t="n">
        <v>23427.3</v>
      </c>
      <c r="Q22" s="18" t="n">
        <v>39836.96</v>
      </c>
      <c r="R22" s="18" t="n">
        <v>19478.79</v>
      </c>
      <c r="S22" s="18" t="n">
        <v>16264.59</v>
      </c>
      <c r="T22" s="18" t="n">
        <v>24100.01</v>
      </c>
      <c r="U22" s="34" t="n">
        <v>24100.01</v>
      </c>
      <c r="V22" s="18" t="n">
        <v>36778.78</v>
      </c>
      <c r="W22" s="18" t="n">
        <v>22329.85</v>
      </c>
      <c r="X22" s="18" t="n">
        <v>22347.41</v>
      </c>
      <c r="Y22" s="18" t="n">
        <v>25481.26</v>
      </c>
      <c r="Z22" s="34" t="n">
        <v>25481.26</v>
      </c>
      <c r="AA22" s="18" t="n">
        <v>38364.47</v>
      </c>
      <c r="AB22" s="19" t="n">
        <v>25823.34</v>
      </c>
      <c r="AC22" s="10" t="n"/>
      <c r="AD22" s="10" t="n"/>
      <c r="AE22" s="11" t="n"/>
      <c r="AF22" s="10" t="n"/>
      <c r="AG22" s="10" t="n"/>
      <c r="AH22" s="10" t="n"/>
      <c r="AI22" s="10" t="n"/>
      <c r="AJ22" s="11" t="n"/>
      <c r="AK22" s="10" t="n"/>
      <c r="AL22" s="10" t="n"/>
      <c r="AM22" s="10" t="n"/>
      <c r="AN22" s="10" t="n"/>
      <c r="AO22" s="11" t="n"/>
    </row>
    <row r="23">
      <c r="A23" t="n">
        <v>1</v>
      </c>
      <c r="C23" t="inlineStr">
        <is>
          <t>매입채무및기타채무</t>
        </is>
      </c>
      <c r="E23" s="18" t="n">
        <v>13861.83</v>
      </c>
      <c r="F23" s="34" t="n">
        <v>13861.83</v>
      </c>
      <c r="G23" s="18" t="n">
        <v>19424.39</v>
      </c>
      <c r="H23" s="18" t="n">
        <v>15020.33</v>
      </c>
      <c r="I23" s="18" t="n">
        <v>15453.81</v>
      </c>
      <c r="J23" s="18" t="n">
        <v>16276.94</v>
      </c>
      <c r="K23" s="34" t="n">
        <v>16276.94</v>
      </c>
      <c r="L23" s="18" t="n">
        <v>21605.04</v>
      </c>
      <c r="M23" s="18" t="n">
        <v>15384.24</v>
      </c>
      <c r="N23" s="18" t="n">
        <v>12579.47</v>
      </c>
      <c r="O23" s="18" t="n">
        <v>14541.35</v>
      </c>
      <c r="P23" s="34" t="n">
        <v>14541.35</v>
      </c>
      <c r="Q23" s="18" t="n">
        <v>27584.15</v>
      </c>
      <c r="R23" s="18" t="n">
        <v>11021.8</v>
      </c>
      <c r="S23" s="18" t="n">
        <v>10881.45</v>
      </c>
      <c r="T23" s="18" t="n">
        <v>16444.17</v>
      </c>
      <c r="U23" s="34" t="n">
        <v>16444.17</v>
      </c>
      <c r="V23" s="18" t="n">
        <v>29437.76</v>
      </c>
      <c r="W23" s="18" t="n">
        <v>15650.46</v>
      </c>
      <c r="X23" s="18" t="n">
        <v>14490.57</v>
      </c>
      <c r="Y23" s="18" t="n">
        <v>16018.16</v>
      </c>
      <c r="Z23" s="34" t="n">
        <v>16018.16</v>
      </c>
      <c r="AA23" s="18" t="n">
        <v>28521.42</v>
      </c>
      <c r="AB23" s="19" t="n">
        <v>16133.52</v>
      </c>
      <c r="AC23" s="10" t="n"/>
      <c r="AD23" s="10" t="n"/>
      <c r="AE23" s="11" t="n"/>
      <c r="AF23" s="10" t="n"/>
      <c r="AG23" s="10" t="n"/>
      <c r="AH23" s="10" t="n"/>
      <c r="AI23" s="10" t="n"/>
      <c r="AJ23" s="11" t="n"/>
      <c r="AK23" s="10" t="n"/>
      <c r="AL23" s="10" t="n"/>
      <c r="AM23" s="10" t="n"/>
      <c r="AN23" s="10" t="n"/>
      <c r="AO23" s="11" t="n"/>
    </row>
    <row r="24">
      <c r="A24" t="n">
        <v>1</v>
      </c>
      <c r="C24" t="inlineStr">
        <is>
          <t>당기법인세부채(미지급법인세)</t>
        </is>
      </c>
      <c r="E24" s="18" t="n">
        <v>5097.61</v>
      </c>
      <c r="F24" s="34" t="n">
        <v>5097.61</v>
      </c>
      <c r="G24" s="18" t="n">
        <v>4818.77</v>
      </c>
      <c r="H24" s="18" t="n">
        <v>5229.82</v>
      </c>
      <c r="I24" s="18" t="n">
        <v>6717.52</v>
      </c>
      <c r="J24" s="18" t="n">
        <v>7936.67</v>
      </c>
      <c r="K24" s="34" t="n">
        <v>7936.67</v>
      </c>
      <c r="L24" s="18" t="n">
        <v>8397.27</v>
      </c>
      <c r="M24" s="18" t="n">
        <v>7238.26</v>
      </c>
      <c r="N24" s="18" t="n">
        <v>7868.46</v>
      </c>
      <c r="O24" s="18" t="n">
        <v>7126.77</v>
      </c>
      <c r="P24" s="34" t="n">
        <v>7126.77</v>
      </c>
      <c r="Q24" s="18" t="n">
        <v>11033.14</v>
      </c>
      <c r="R24" s="18" t="n">
        <v>6960.1</v>
      </c>
      <c r="S24" s="18" t="n">
        <v>4076.55</v>
      </c>
      <c r="T24" s="18" t="n">
        <v>6491.78</v>
      </c>
      <c r="U24" s="34" t="n">
        <v>6491.78</v>
      </c>
      <c r="V24" s="18" t="n">
        <v>6725.69</v>
      </c>
      <c r="W24" s="18" t="n">
        <v>6181.45</v>
      </c>
      <c r="X24" s="18" t="n">
        <v>7378.42</v>
      </c>
      <c r="Y24" s="18" t="n">
        <v>8168.15</v>
      </c>
      <c r="Z24" s="34" t="n">
        <v>8168.15</v>
      </c>
      <c r="AA24" s="18" t="n">
        <v>9142.4</v>
      </c>
      <c r="AB24" s="19" t="n">
        <v>8491.77</v>
      </c>
      <c r="AC24" s="10" t="n"/>
      <c r="AD24" s="10" t="n"/>
      <c r="AE24" s="11" t="n"/>
      <c r="AF24" s="10" t="n"/>
      <c r="AG24" s="10" t="n"/>
      <c r="AH24" s="10" t="n"/>
      <c r="AI24" s="10" t="n"/>
      <c r="AJ24" s="11" t="n"/>
      <c r="AK24" s="10" t="n"/>
      <c r="AL24" s="10" t="n"/>
      <c r="AM24" s="10" t="n"/>
      <c r="AN24" s="10" t="n"/>
      <c r="AO24" s="11" t="n"/>
    </row>
    <row r="25">
      <c r="A25" t="n">
        <v>1</v>
      </c>
      <c r="C25" t="inlineStr">
        <is>
          <t>비유동부채</t>
        </is>
      </c>
      <c r="E25" s="18" t="n">
        <v>10378.26</v>
      </c>
      <c r="F25" s="34" t="n">
        <v>10378.26</v>
      </c>
      <c r="G25" s="18" t="n">
        <v>9466.09</v>
      </c>
      <c r="H25" s="18" t="n">
        <v>7538.17</v>
      </c>
      <c r="I25" s="18" t="n">
        <v>6082.01</v>
      </c>
      <c r="J25" s="18" t="n">
        <v>3799.16</v>
      </c>
      <c r="K25" s="34" t="n">
        <v>3799.16</v>
      </c>
      <c r="L25" s="18" t="n">
        <v>12919.29</v>
      </c>
      <c r="M25" s="18" t="n">
        <v>11412.71</v>
      </c>
      <c r="N25" s="18" t="n">
        <v>8920.99</v>
      </c>
      <c r="O25" s="18" t="n">
        <v>10502.28</v>
      </c>
      <c r="P25" s="34" t="n">
        <v>10502.28</v>
      </c>
      <c r="Q25" s="18" t="n">
        <v>11148.43</v>
      </c>
      <c r="R25" s="18" t="n">
        <v>10225.42</v>
      </c>
      <c r="S25" s="18" t="n">
        <v>11572.65</v>
      </c>
      <c r="T25" s="18" t="n">
        <v>10801.7</v>
      </c>
      <c r="U25" s="34" t="n">
        <v>10801.7</v>
      </c>
      <c r="V25" s="18" t="n">
        <v>13960.69</v>
      </c>
      <c r="W25" s="18" t="n">
        <v>13940.02</v>
      </c>
      <c r="X25" s="18" t="n">
        <v>13773.84</v>
      </c>
      <c r="Y25" s="18" t="n">
        <v>11201.05</v>
      </c>
      <c r="Z25" s="34" t="n">
        <v>11201.05</v>
      </c>
      <c r="AA25" s="18" t="n">
        <v>7338.92</v>
      </c>
      <c r="AB25" s="19" t="n">
        <v>9717.860000000001</v>
      </c>
      <c r="AC25" s="10" t="n"/>
      <c r="AD25" s="10" t="n"/>
      <c r="AE25" s="11" t="n"/>
      <c r="AF25" s="10" t="n"/>
      <c r="AG25" s="10" t="n"/>
      <c r="AH25" s="10" t="n"/>
      <c r="AI25" s="10" t="n"/>
      <c r="AJ25" s="11" t="n"/>
      <c r="AK25" s="10" t="n"/>
      <c r="AL25" s="10" t="n"/>
      <c r="AM25" s="10" t="n"/>
      <c r="AN25" s="10" t="n"/>
      <c r="AO25" s="11" t="n"/>
    </row>
    <row r="26">
      <c r="A26" t="n">
        <v>1</v>
      </c>
      <c r="C26" t="inlineStr">
        <is>
          <t>확정급여부채</t>
        </is>
      </c>
      <c r="E26" s="18" t="n">
        <v>10378.26</v>
      </c>
      <c r="F26" s="34" t="n">
        <v>10378.26</v>
      </c>
      <c r="G26" s="18" t="n">
        <v>9466.09</v>
      </c>
      <c r="H26" s="18" t="n">
        <v>7538.17</v>
      </c>
      <c r="I26" s="18" t="n">
        <v>6082.01</v>
      </c>
      <c r="J26" s="18" t="n">
        <v>3799.16</v>
      </c>
      <c r="K26" s="34" t="n">
        <v>3799.16</v>
      </c>
      <c r="L26" s="18" t="n">
        <v>12919.3</v>
      </c>
      <c r="M26" s="18" t="n">
        <v>11412.71</v>
      </c>
      <c r="N26" s="18" t="n">
        <v>8920.99</v>
      </c>
      <c r="O26" s="18" t="n">
        <v>10502.29</v>
      </c>
      <c r="P26" s="34" t="n">
        <v>10502.29</v>
      </c>
      <c r="Q26" s="18" t="n">
        <v>11148.42</v>
      </c>
      <c r="R26" s="18" t="n">
        <v>10225.42</v>
      </c>
      <c r="S26" s="18" t="n">
        <v>11572.65</v>
      </c>
      <c r="T26" s="18" t="n">
        <v>10801.7</v>
      </c>
      <c r="U26" s="34" t="n">
        <v>10801.7</v>
      </c>
      <c r="V26" s="18" t="n">
        <v>13960.69</v>
      </c>
      <c r="W26" s="18" t="n">
        <v>13940.02</v>
      </c>
      <c r="X26" s="18" t="n">
        <v>13773.84</v>
      </c>
      <c r="Y26" s="18" t="n">
        <v>11201.05</v>
      </c>
      <c r="Z26" s="34" t="n">
        <v>11201.05</v>
      </c>
      <c r="AA26" s="18" t="n">
        <v>7338.92</v>
      </c>
      <c r="AB26" s="19" t="n">
        <v>9717.860000000001</v>
      </c>
      <c r="AC26" s="10" t="n"/>
      <c r="AD26" s="10" t="n"/>
      <c r="AE26" s="11" t="n"/>
      <c r="AF26" s="10" t="n"/>
      <c r="AG26" s="10" t="n"/>
      <c r="AH26" s="10" t="n"/>
      <c r="AI26" s="10" t="n"/>
      <c r="AJ26" s="11" t="n"/>
      <c r="AK26" s="10" t="n"/>
      <c r="AL26" s="10" t="n"/>
      <c r="AM26" s="10" t="n"/>
      <c r="AN26" s="10" t="n"/>
      <c r="AO26" s="11" t="n"/>
    </row>
    <row r="27">
      <c r="A27" t="n">
        <v>1</v>
      </c>
      <c r="C27" t="inlineStr">
        <is>
          <t>부채총계</t>
        </is>
      </c>
      <c r="E27" s="18" t="n">
        <v>30143.34</v>
      </c>
      <c r="F27" s="34" t="n">
        <v>30143.34</v>
      </c>
      <c r="G27" s="18" t="n">
        <v>34231.84</v>
      </c>
      <c r="H27" s="18" t="n">
        <v>28374.9</v>
      </c>
      <c r="I27" s="18" t="n">
        <v>28771.66</v>
      </c>
      <c r="J27" s="18" t="n">
        <v>29257.11</v>
      </c>
      <c r="K27" s="34" t="n">
        <v>29257.11</v>
      </c>
      <c r="L27" s="18" t="n">
        <v>43678.32</v>
      </c>
      <c r="M27" s="18" t="n">
        <v>35687.53</v>
      </c>
      <c r="N27" s="18" t="n">
        <v>30889.66</v>
      </c>
      <c r="O27" s="18" t="n">
        <v>33929.58</v>
      </c>
      <c r="P27" s="34" t="n">
        <v>33929.58</v>
      </c>
      <c r="Q27" s="18" t="n">
        <v>50985.38</v>
      </c>
      <c r="R27" s="18" t="n">
        <v>29704.21</v>
      </c>
      <c r="S27" s="18" t="n">
        <v>27837.24</v>
      </c>
      <c r="T27" s="18" t="n">
        <v>34901.71</v>
      </c>
      <c r="U27" s="34" t="n">
        <v>34901.71</v>
      </c>
      <c r="V27" s="18" t="n">
        <v>50739.47</v>
      </c>
      <c r="W27" s="18" t="n">
        <v>36269.87</v>
      </c>
      <c r="X27" s="18" t="n">
        <v>36121.25</v>
      </c>
      <c r="Y27" s="18" t="n">
        <v>36682.31</v>
      </c>
      <c r="Z27" s="34" t="n">
        <v>36682.31</v>
      </c>
      <c r="AA27" s="18" t="n">
        <v>45703.39</v>
      </c>
      <c r="AB27" s="19" t="n">
        <v>35541.19</v>
      </c>
      <c r="AC27" s="10" t="n"/>
      <c r="AD27" s="10" t="n"/>
      <c r="AE27" s="11" t="n"/>
      <c r="AF27" s="10" t="n"/>
      <c r="AG27" s="10" t="n"/>
      <c r="AH27" s="10" t="n"/>
      <c r="AI27" s="10" t="n"/>
      <c r="AJ27" s="11" t="n"/>
      <c r="AK27" s="10" t="n"/>
      <c r="AL27" s="10" t="n"/>
      <c r="AM27" s="10" t="n"/>
      <c r="AN27" s="10" t="n"/>
      <c r="AO27" s="11" t="n"/>
    </row>
    <row r="28">
      <c r="A28" t="n">
        <v>1</v>
      </c>
      <c r="C28" t="inlineStr">
        <is>
          <t>자본금</t>
        </is>
      </c>
      <c r="E28" s="18" t="n">
        <v>6806.62</v>
      </c>
      <c r="F28" s="34" t="n">
        <v>6806.62</v>
      </c>
      <c r="G28" s="18" t="n">
        <v>6806.62</v>
      </c>
      <c r="H28" s="18" t="n">
        <v>6806.62</v>
      </c>
      <c r="I28" s="18" t="n">
        <v>6806.62</v>
      </c>
      <c r="J28" s="18" t="n">
        <v>6806.62</v>
      </c>
      <c r="K28" s="34" t="n">
        <v>6806.62</v>
      </c>
      <c r="L28" s="18" t="n">
        <v>6806.62</v>
      </c>
      <c r="M28" s="18" t="n">
        <v>6806.62</v>
      </c>
      <c r="N28" s="18" t="n">
        <v>6806.62</v>
      </c>
      <c r="O28" s="18" t="n">
        <v>6806.62</v>
      </c>
      <c r="P28" s="34" t="n">
        <v>6806.62</v>
      </c>
      <c r="Q28" s="18" t="n">
        <v>6806.62</v>
      </c>
      <c r="R28" s="18" t="n">
        <v>6806.62</v>
      </c>
      <c r="S28" s="18" t="n">
        <v>6806.62</v>
      </c>
      <c r="T28" s="18" t="n">
        <v>6806.62</v>
      </c>
      <c r="U28" s="34" t="n">
        <v>6806.62</v>
      </c>
      <c r="V28" s="18" t="n">
        <v>6806.62</v>
      </c>
      <c r="W28" s="18" t="n">
        <v>6806.62</v>
      </c>
      <c r="X28" s="18" t="n">
        <v>6806.62</v>
      </c>
      <c r="Y28" s="18" t="n">
        <v>6806.62</v>
      </c>
      <c r="Z28" s="34" t="n">
        <v>6806.62</v>
      </c>
      <c r="AA28" s="18" t="n">
        <v>6806.62</v>
      </c>
      <c r="AB28" s="19" t="n">
        <v>6806.62</v>
      </c>
      <c r="AC28" s="10" t="n"/>
      <c r="AD28" s="10" t="n"/>
      <c r="AE28" s="11" t="n"/>
      <c r="AF28" s="10" t="n"/>
      <c r="AG28" s="10" t="n"/>
      <c r="AH28" s="10" t="n"/>
      <c r="AI28" s="10" t="n"/>
      <c r="AJ28" s="11" t="n"/>
      <c r="AK28" s="10" t="n"/>
      <c r="AL28" s="10" t="n"/>
      <c r="AM28" s="10" t="n"/>
      <c r="AN28" s="10" t="n"/>
      <c r="AO28" s="11" t="n"/>
    </row>
    <row r="29">
      <c r="A29" t="n">
        <v>1</v>
      </c>
      <c r="C29" t="inlineStr">
        <is>
          <t>자본잉여금</t>
        </is>
      </c>
      <c r="E29" s="18" t="n">
        <v>23843.6</v>
      </c>
      <c r="F29" s="34" t="n">
        <v>23843.6</v>
      </c>
      <c r="G29" s="18" t="n">
        <v>23843.6</v>
      </c>
      <c r="H29" s="18" t="n">
        <v>23843.6</v>
      </c>
      <c r="I29" s="18" t="n">
        <v>23843.6</v>
      </c>
      <c r="J29" s="18" t="n">
        <v>23843.6</v>
      </c>
      <c r="K29" s="34" t="n">
        <v>23843.6</v>
      </c>
      <c r="L29" s="18" t="n">
        <v>23843.6</v>
      </c>
      <c r="M29" s="18" t="n">
        <v>23843.6</v>
      </c>
      <c r="N29" s="18" t="n">
        <v>23843.6</v>
      </c>
      <c r="O29" s="18" t="n">
        <v>23843.6</v>
      </c>
      <c r="P29" s="34" t="n">
        <v>23843.6</v>
      </c>
      <c r="Q29" s="18" t="n">
        <v>23843.6</v>
      </c>
      <c r="R29" s="18" t="n">
        <v>23843.6</v>
      </c>
      <c r="S29" s="18" t="n">
        <v>23843.6</v>
      </c>
      <c r="T29" s="18" t="n">
        <v>23843.6</v>
      </c>
      <c r="U29" s="34" t="n">
        <v>23843.6</v>
      </c>
      <c r="V29" s="18" t="n">
        <v>23843.6</v>
      </c>
      <c r="W29" s="18" t="n">
        <v>23843.6</v>
      </c>
      <c r="X29" s="18" t="n">
        <v>23843.6</v>
      </c>
      <c r="Y29" s="18" t="n">
        <v>23843.6</v>
      </c>
      <c r="Z29" s="34" t="n">
        <v>23843.6</v>
      </c>
      <c r="AA29" s="18" t="n">
        <v>23843.6</v>
      </c>
      <c r="AB29" s="19" t="n">
        <v>23843.6</v>
      </c>
      <c r="AC29" s="10" t="n"/>
      <c r="AD29" s="10" t="n"/>
      <c r="AE29" s="11" t="n"/>
      <c r="AF29" s="10" t="n"/>
      <c r="AG29" s="10" t="n"/>
      <c r="AH29" s="10" t="n"/>
      <c r="AI29" s="10" t="n"/>
      <c r="AJ29" s="11" t="n"/>
      <c r="AK29" s="10" t="n"/>
      <c r="AL29" s="10" t="n"/>
      <c r="AM29" s="10" t="n"/>
      <c r="AN29" s="10" t="n"/>
      <c r="AO29" s="11" t="n"/>
    </row>
    <row r="30">
      <c r="A30" t="n">
        <v>1</v>
      </c>
      <c r="C30" t="inlineStr">
        <is>
          <t>기타자본</t>
        </is>
      </c>
      <c r="E30" s="18" t="n">
        <v>-9932.83</v>
      </c>
      <c r="F30" s="34" t="n">
        <v>-9932.83</v>
      </c>
      <c r="G30" s="18" t="n">
        <v>-9932.83</v>
      </c>
      <c r="H30" s="18" t="n">
        <v>-9932.83</v>
      </c>
      <c r="I30" s="18" t="n">
        <v>-9932.83</v>
      </c>
      <c r="J30" s="18" t="n">
        <v>-9932.83</v>
      </c>
      <c r="K30" s="34" t="n">
        <v>-9932.83</v>
      </c>
      <c r="O30" s="18" t="n">
        <v>-7927.92</v>
      </c>
      <c r="P30" s="34" t="n">
        <v>-7927.92</v>
      </c>
      <c r="Q30" s="18" t="n">
        <v>-16043.95</v>
      </c>
      <c r="R30" s="18" t="n">
        <v>-19948.59</v>
      </c>
      <c r="S30" s="18" t="n">
        <v>-19948.59</v>
      </c>
      <c r="T30" s="18" t="n">
        <v>-203.16</v>
      </c>
      <c r="U30" s="34" t="n">
        <v>-203.16</v>
      </c>
      <c r="V30" s="18" t="n">
        <v>-5053.73</v>
      </c>
      <c r="W30" s="18" t="n">
        <v>-12633.81</v>
      </c>
      <c r="X30" s="18" t="n">
        <v>-203.16</v>
      </c>
      <c r="Y30" s="18" t="n">
        <v>-203.16</v>
      </c>
      <c r="Z30" s="34" t="n">
        <v>-203.16</v>
      </c>
      <c r="AA30" s="18" t="n">
        <v>-203.16</v>
      </c>
      <c r="AB30" s="19" t="n">
        <v>-203.16</v>
      </c>
      <c r="AC30" s="10" t="n"/>
      <c r="AD30" s="10" t="n"/>
      <c r="AE30" s="11" t="n"/>
      <c r="AF30" s="10" t="n"/>
      <c r="AG30" s="10" t="n"/>
      <c r="AH30" s="10" t="n"/>
      <c r="AI30" s="10" t="n"/>
      <c r="AJ30" s="11" t="n"/>
      <c r="AK30" s="10" t="n"/>
      <c r="AL30" s="10" t="n"/>
      <c r="AM30" s="10" t="n"/>
      <c r="AN30" s="10" t="n"/>
      <c r="AO30" s="11" t="n"/>
    </row>
    <row r="31">
      <c r="A31" t="n">
        <v>1</v>
      </c>
      <c r="C31" t="inlineStr">
        <is>
          <t>이익잉여금</t>
        </is>
      </c>
      <c r="E31" s="18" t="n">
        <v>318982.64</v>
      </c>
      <c r="F31" s="34" t="n">
        <v>318982.64</v>
      </c>
      <c r="G31" s="18" t="n">
        <v>318656.23</v>
      </c>
      <c r="H31" s="18" t="n">
        <v>329706.39</v>
      </c>
      <c r="I31" s="18" t="n">
        <v>343011.69</v>
      </c>
      <c r="J31" s="18" t="n">
        <v>349711.49</v>
      </c>
      <c r="K31" s="34" t="n">
        <v>349711.49</v>
      </c>
      <c r="L31" s="18" t="n">
        <v>338384.85</v>
      </c>
      <c r="M31" s="18" t="n">
        <v>351419.69</v>
      </c>
      <c r="N31" s="18" t="n">
        <v>364671.78</v>
      </c>
      <c r="O31" s="18" t="n">
        <v>370133.68</v>
      </c>
      <c r="P31" s="34" t="n">
        <v>370133.68</v>
      </c>
      <c r="Q31" s="18" t="n">
        <v>371324.03</v>
      </c>
      <c r="R31" s="18" t="n">
        <v>383767.23</v>
      </c>
      <c r="S31" s="18" t="n">
        <v>390290.84</v>
      </c>
      <c r="T31" s="18" t="n">
        <v>386152.03</v>
      </c>
      <c r="U31" s="34" t="n">
        <v>386152.03</v>
      </c>
      <c r="V31" s="18" t="n">
        <v>380531.22</v>
      </c>
      <c r="W31" s="18" t="n">
        <v>391546.46</v>
      </c>
      <c r="X31" s="18" t="n">
        <v>390955.53</v>
      </c>
      <c r="Y31" s="18" t="n">
        <v>405788.59</v>
      </c>
      <c r="Z31" s="34" t="n">
        <v>405788.59</v>
      </c>
      <c r="AA31" s="18" t="n">
        <v>407267.1</v>
      </c>
      <c r="AB31" s="19" t="n">
        <v>419440.6</v>
      </c>
      <c r="AC31" s="10" t="n"/>
      <c r="AD31" s="10" t="n"/>
      <c r="AE31" s="11" t="n"/>
      <c r="AF31" s="10" t="n"/>
      <c r="AG31" s="10" t="n"/>
      <c r="AH31" s="10" t="n"/>
      <c r="AI31" s="10" t="n"/>
      <c r="AJ31" s="11" t="n"/>
      <c r="AK31" s="10" t="n"/>
      <c r="AL31" s="10" t="n"/>
      <c r="AM31" s="10" t="n"/>
      <c r="AN31" s="10" t="n"/>
      <c r="AO31" s="11" t="n"/>
    </row>
    <row r="32">
      <c r="A32" t="n">
        <v>1</v>
      </c>
      <c r="C32" t="inlineStr">
        <is>
          <t>자본총계</t>
        </is>
      </c>
      <c r="E32" s="18" t="n">
        <v>339700.02</v>
      </c>
      <c r="F32" s="34" t="n">
        <v>339700.02</v>
      </c>
      <c r="G32" s="18" t="n">
        <v>339373.61</v>
      </c>
      <c r="H32" s="18" t="n">
        <v>350423.78</v>
      </c>
      <c r="I32" s="18" t="n">
        <v>363729.07</v>
      </c>
      <c r="J32" s="18" t="n">
        <v>370428.87</v>
      </c>
      <c r="K32" s="34" t="n">
        <v>370428.87</v>
      </c>
      <c r="L32" s="18" t="n">
        <v>369035.06</v>
      </c>
      <c r="M32" s="18" t="n">
        <v>382069.91</v>
      </c>
      <c r="N32" s="18" t="n">
        <v>395322</v>
      </c>
      <c r="O32" s="18" t="n">
        <v>392855.97</v>
      </c>
      <c r="P32" s="34" t="n">
        <v>392855.97</v>
      </c>
      <c r="Q32" s="18" t="n">
        <v>385930.3</v>
      </c>
      <c r="R32" s="18" t="n">
        <v>394468.85</v>
      </c>
      <c r="S32" s="18" t="n">
        <v>400992.46</v>
      </c>
      <c r="T32" s="18" t="n">
        <v>416599.08</v>
      </c>
      <c r="U32" s="34" t="n">
        <v>416599.08</v>
      </c>
      <c r="V32" s="18" t="n">
        <v>406127.7</v>
      </c>
      <c r="W32" s="18" t="n">
        <v>409562.86</v>
      </c>
      <c r="X32" s="18" t="n">
        <v>421402.58</v>
      </c>
      <c r="Y32" s="18" t="n">
        <v>436235.64</v>
      </c>
      <c r="Z32" s="34" t="n">
        <v>436235.64</v>
      </c>
      <c r="AA32" s="18" t="n">
        <v>437714.15</v>
      </c>
      <c r="AB32" s="19" t="n">
        <v>449887.65</v>
      </c>
      <c r="AC32" s="10" t="n"/>
      <c r="AD32" s="10" t="n"/>
      <c r="AE32" s="11" t="n"/>
      <c r="AF32" s="10" t="n"/>
      <c r="AG32" s="10" t="n"/>
      <c r="AH32" s="10" t="n"/>
      <c r="AI32" s="10" t="n"/>
      <c r="AJ32" s="11" t="n"/>
      <c r="AK32" s="10" t="n"/>
      <c r="AL32" s="10" t="n"/>
      <c r="AM32" s="10" t="n"/>
      <c r="AN32" s="10" t="n"/>
      <c r="AO32" s="11" t="n"/>
    </row>
    <row r="33">
      <c r="A33" t="n">
        <v>1</v>
      </c>
      <c r="C33" t="inlineStr">
        <is>
          <t>부채와자본총계</t>
        </is>
      </c>
      <c r="E33" s="18" t="n">
        <v>369843.36</v>
      </c>
      <c r="F33" s="34" t="n">
        <v>369843.36</v>
      </c>
      <c r="G33" s="18" t="n">
        <v>373605.45</v>
      </c>
      <c r="H33" s="18" t="n">
        <v>378798.67</v>
      </c>
      <c r="I33" s="18" t="n">
        <v>392500.73</v>
      </c>
      <c r="J33" s="18" t="n">
        <v>399685.98</v>
      </c>
      <c r="K33" s="34" t="n">
        <v>399685.98</v>
      </c>
      <c r="L33" s="18" t="n">
        <v>412713.38</v>
      </c>
      <c r="M33" s="18" t="n">
        <v>417757.44</v>
      </c>
      <c r="N33" s="18" t="n">
        <v>426211.66</v>
      </c>
      <c r="O33" s="18" t="n">
        <v>426785.55</v>
      </c>
      <c r="P33" s="34" t="n">
        <v>426785.55</v>
      </c>
      <c r="Q33" s="18" t="n">
        <v>436915.68</v>
      </c>
      <c r="R33" s="18" t="n">
        <v>424173.06</v>
      </c>
      <c r="S33" s="18" t="n">
        <v>428829.7</v>
      </c>
      <c r="T33" s="18" t="n">
        <v>451500.79</v>
      </c>
      <c r="U33" s="34" t="n">
        <v>451500.79</v>
      </c>
      <c r="V33" s="18" t="n">
        <v>456867.17</v>
      </c>
      <c r="W33" s="18" t="n">
        <v>445832.73</v>
      </c>
      <c r="X33" s="18" t="n">
        <v>457523.83</v>
      </c>
      <c r="Y33" s="18" t="n">
        <v>472917.95</v>
      </c>
      <c r="Z33" s="34" t="n">
        <v>472917.95</v>
      </c>
      <c r="AA33" s="18" t="n">
        <v>483417.54</v>
      </c>
      <c r="AB33" s="19" t="n">
        <v>485428.85</v>
      </c>
      <c r="AC33" s="10" t="n"/>
      <c r="AD33" s="10" t="n"/>
      <c r="AE33" s="11" t="n"/>
      <c r="AF33" s="10" t="n"/>
      <c r="AG33" s="10" t="n"/>
      <c r="AH33" s="10" t="n"/>
      <c r="AI33" s="10" t="n"/>
      <c r="AJ33" s="11" t="n"/>
      <c r="AK33" s="10" t="n"/>
      <c r="AL33" s="10" t="n"/>
      <c r="AM33" s="10" t="n"/>
      <c r="AN33" s="10" t="n"/>
      <c r="AO33" s="11" t="n"/>
    </row>
    <row r="34">
      <c r="A34" t="n">
        <v>1</v>
      </c>
      <c r="C34" t="inlineStr">
        <is>
          <t>지배주주지분</t>
        </is>
      </c>
      <c r="E34" s="18" t="n">
        <v>339700.02</v>
      </c>
      <c r="F34" s="34" t="n">
        <v>339700.02</v>
      </c>
      <c r="G34" s="18" t="n">
        <v>339373.61</v>
      </c>
      <c r="H34" s="18" t="n">
        <v>350423.78</v>
      </c>
      <c r="I34" s="18" t="n">
        <v>363729.07</v>
      </c>
      <c r="J34" s="18" t="n">
        <v>370428.87</v>
      </c>
      <c r="K34" s="34" t="n">
        <v>370428.87</v>
      </c>
      <c r="L34" s="18" t="n">
        <v>369035.06</v>
      </c>
      <c r="M34" s="18" t="n">
        <v>382069.91</v>
      </c>
      <c r="N34" s="18" t="n">
        <v>395322</v>
      </c>
      <c r="O34" s="18" t="n">
        <v>392855.97</v>
      </c>
      <c r="P34" s="34" t="n">
        <v>392855.97</v>
      </c>
      <c r="Q34" s="18" t="n">
        <v>385930.3</v>
      </c>
      <c r="R34" s="18" t="n">
        <v>394468.85</v>
      </c>
      <c r="S34" s="18" t="n">
        <v>400992.46</v>
      </c>
      <c r="T34" s="18" t="n">
        <v>416599.08</v>
      </c>
      <c r="U34" s="34" t="n">
        <v>416599.08</v>
      </c>
      <c r="V34" s="18" t="n">
        <v>406127.7</v>
      </c>
      <c r="W34" s="18" t="n">
        <v>409562.86</v>
      </c>
      <c r="X34" s="18" t="n">
        <v>421402.58</v>
      </c>
      <c r="Y34" s="18" t="n">
        <v>436235.64</v>
      </c>
      <c r="Z34" s="34" t="n">
        <v>436235.64</v>
      </c>
      <c r="AA34" s="18" t="n">
        <v>437714.15</v>
      </c>
      <c r="AB34" s="19" t="n">
        <v>449887.65</v>
      </c>
      <c r="AC34" s="10" t="n"/>
      <c r="AD34" s="10" t="n"/>
      <c r="AE34" s="11" t="n"/>
      <c r="AF34" s="10" t="n"/>
      <c r="AG34" s="10" t="n"/>
      <c r="AH34" s="10" t="n"/>
      <c r="AI34" s="10" t="n"/>
      <c r="AJ34" s="11" t="n"/>
      <c r="AK34" s="10" t="n"/>
      <c r="AL34" s="10" t="n"/>
      <c r="AM34" s="10" t="n"/>
      <c r="AN34" s="10" t="n"/>
      <c r="AO34" s="11" t="n"/>
    </row>
    <row r="35">
      <c r="A35" t="n">
        <v>1</v>
      </c>
      <c r="C35" t="inlineStr">
        <is>
          <t>이자발생자산</t>
        </is>
      </c>
      <c r="E35" s="18" t="n">
        <v>169419.82</v>
      </c>
      <c r="F35" s="34" t="n">
        <v>169419.82</v>
      </c>
      <c r="G35" s="18" t="n">
        <v>170681.15</v>
      </c>
      <c r="H35" s="18" t="n">
        <v>167621.31</v>
      </c>
      <c r="I35" s="18" t="n">
        <v>169632.16</v>
      </c>
      <c r="J35" s="18" t="n">
        <v>179087.2</v>
      </c>
      <c r="K35" s="34" t="n">
        <v>179087.2</v>
      </c>
      <c r="L35" s="18" t="n">
        <v>172637.6</v>
      </c>
      <c r="M35" s="18" t="n">
        <v>171292.69</v>
      </c>
      <c r="N35" s="18" t="n">
        <v>175338.35</v>
      </c>
      <c r="O35" s="18" t="n">
        <v>173786.1</v>
      </c>
      <c r="P35" s="34" t="n">
        <v>173786.1</v>
      </c>
      <c r="Q35" s="18" t="n">
        <v>174213.3</v>
      </c>
      <c r="R35" s="18" t="n">
        <v>170480.15</v>
      </c>
      <c r="S35" s="18" t="n">
        <v>183216.02</v>
      </c>
      <c r="T35" s="18" t="n">
        <v>191481.67</v>
      </c>
      <c r="U35" s="34" t="n">
        <v>191481.67</v>
      </c>
      <c r="V35" s="18" t="n">
        <v>187363.95</v>
      </c>
      <c r="W35" s="18" t="n">
        <v>173399.04</v>
      </c>
      <c r="X35" s="18" t="n">
        <v>179059.72</v>
      </c>
      <c r="Y35" s="18" t="n">
        <v>186343.46</v>
      </c>
      <c r="Z35" s="34" t="n">
        <v>186343.46</v>
      </c>
      <c r="AA35" s="18" t="n">
        <v>166682.04</v>
      </c>
      <c r="AB35" s="19" t="n">
        <v>178372.43</v>
      </c>
      <c r="AC35" s="10" t="n"/>
      <c r="AD35" s="10" t="n"/>
      <c r="AE35" s="11" t="n"/>
      <c r="AF35" s="10" t="n"/>
      <c r="AG35" s="10" t="n"/>
      <c r="AH35" s="10" t="n"/>
      <c r="AI35" s="10" t="n"/>
      <c r="AJ35" s="11" t="n"/>
      <c r="AK35" s="10" t="n"/>
      <c r="AL35" s="10" t="n"/>
      <c r="AM35" s="10" t="n"/>
      <c r="AN35" s="10" t="n"/>
      <c r="AO35" s="11" t="n"/>
    </row>
    <row r="36">
      <c r="A36" t="n">
        <v>1</v>
      </c>
      <c r="C36" t="inlineStr">
        <is>
          <t>단기충당부채</t>
        </is>
      </c>
      <c r="F36" s="9" t="n"/>
      <c r="J36" s="18" t="n">
        <v>261.25</v>
      </c>
      <c r="K36" s="34" t="n">
        <v>261.25</v>
      </c>
      <c r="L36" s="18" t="n">
        <v>261.25</v>
      </c>
      <c r="M36" s="18" t="n">
        <v>261.25</v>
      </c>
      <c r="N36" s="18" t="n">
        <v>261.25</v>
      </c>
      <c r="O36" s="18" t="n">
        <v>261.25</v>
      </c>
      <c r="P36" s="34" t="n">
        <v>261.25</v>
      </c>
      <c r="Q36" s="18" t="n">
        <v>261.25</v>
      </c>
      <c r="R36" s="18" t="n">
        <v>261.25</v>
      </c>
      <c r="U36" s="9" t="n"/>
      <c r="Z36" s="9" t="n"/>
      <c r="AB36" s="5" t="n"/>
      <c r="AC36" s="10" t="n"/>
      <c r="AD36" s="10" t="n"/>
      <c r="AE36" s="11" t="n"/>
      <c r="AF36" s="10" t="n"/>
      <c r="AG36" s="10" t="n"/>
      <c r="AH36" s="10" t="n"/>
      <c r="AI36" s="10" t="n"/>
      <c r="AJ36" s="11" t="n"/>
      <c r="AK36" s="10" t="n"/>
      <c r="AL36" s="10" t="n"/>
      <c r="AM36" s="10" t="n"/>
      <c r="AN36" s="10" t="n"/>
      <c r="AO36" s="11" t="n"/>
    </row>
    <row r="37">
      <c r="A37" t="n">
        <v>1</v>
      </c>
      <c r="C37" t="inlineStr">
        <is>
          <t>매출액(수익)</t>
        </is>
      </c>
      <c r="E37" s="18" t="n">
        <v>34655.05</v>
      </c>
      <c r="F37" s="9" t="n"/>
      <c r="G37" s="18" t="n">
        <v>30747.71</v>
      </c>
      <c r="H37" s="18" t="n">
        <v>47329.85</v>
      </c>
      <c r="I37" s="18" t="n">
        <v>41115.63</v>
      </c>
      <c r="J37" s="18" t="n">
        <v>50907.54</v>
      </c>
      <c r="K37" s="34" t="n">
        <v>170100.73</v>
      </c>
      <c r="L37" s="18" t="n">
        <v>42705.67</v>
      </c>
      <c r="M37" s="18" t="n">
        <v>45307.32</v>
      </c>
      <c r="N37" s="18" t="n">
        <v>41285.69</v>
      </c>
      <c r="O37" s="18" t="n">
        <v>41449.81</v>
      </c>
      <c r="P37" s="34" t="n">
        <v>170748.49</v>
      </c>
      <c r="Q37" s="18" t="n">
        <v>44733.62</v>
      </c>
      <c r="R37" s="18" t="n">
        <v>41013.87</v>
      </c>
      <c r="S37" s="18" t="n">
        <v>40272.22</v>
      </c>
      <c r="T37" s="18" t="n">
        <v>46711.18</v>
      </c>
      <c r="U37" s="34" t="n">
        <v>172730.89</v>
      </c>
      <c r="V37" s="18" t="n">
        <v>43463.96</v>
      </c>
      <c r="W37" s="18" t="n">
        <v>51212.54</v>
      </c>
      <c r="X37" s="18" t="n">
        <v>46998</v>
      </c>
      <c r="Y37" s="18" t="n">
        <v>51405.51</v>
      </c>
      <c r="Z37" s="34" t="n">
        <v>193080.01</v>
      </c>
      <c r="AA37" s="18" t="n">
        <v>46232.51</v>
      </c>
      <c r="AB37" s="19" t="n">
        <v>52980.77</v>
      </c>
      <c r="AC37" s="10" t="n"/>
      <c r="AD37" s="10" t="n"/>
      <c r="AE37" s="11" t="n"/>
      <c r="AF37" s="10" t="n"/>
      <c r="AG37" s="10" t="n"/>
      <c r="AH37" s="10" t="n"/>
      <c r="AI37" s="10" t="n"/>
      <c r="AJ37" s="11" t="n"/>
      <c r="AK37" s="10" t="n"/>
      <c r="AL37" s="10" t="n"/>
      <c r="AM37" s="10" t="n"/>
      <c r="AN37" s="10" t="n"/>
      <c r="AO37" s="11" t="n"/>
    </row>
    <row r="38">
      <c r="A38" t="n">
        <v>1</v>
      </c>
      <c r="C38" t="inlineStr">
        <is>
          <t>매출원가</t>
        </is>
      </c>
      <c r="E38" s="18" t="n">
        <v>26135</v>
      </c>
      <c r="F38" s="9" t="n"/>
      <c r="G38" s="18" t="n">
        <v>21810.86</v>
      </c>
      <c r="H38" s="18" t="n">
        <v>34135.95</v>
      </c>
      <c r="I38" s="18" t="n">
        <v>26898.42</v>
      </c>
      <c r="J38" s="18" t="n">
        <v>33768.92</v>
      </c>
      <c r="K38" s="34" t="n">
        <v>116614.15</v>
      </c>
      <c r="L38" s="18" t="n">
        <v>25762.16</v>
      </c>
      <c r="M38" s="18" t="n">
        <v>27957.63</v>
      </c>
      <c r="N38" s="18" t="n">
        <v>24808.85</v>
      </c>
      <c r="O38" s="18" t="n">
        <v>28069.13</v>
      </c>
      <c r="P38" s="34" t="n">
        <v>106597.77</v>
      </c>
      <c r="Q38" s="18" t="n">
        <v>26568.84</v>
      </c>
      <c r="R38" s="18" t="n">
        <v>25421.75</v>
      </c>
      <c r="S38" s="18" t="n">
        <v>25235.6</v>
      </c>
      <c r="T38" s="18" t="n">
        <v>33565.02</v>
      </c>
      <c r="U38" s="34" t="n">
        <v>110791.21</v>
      </c>
      <c r="V38" s="18" t="n">
        <v>27530.87</v>
      </c>
      <c r="W38" s="18" t="n">
        <v>30402.43</v>
      </c>
      <c r="X38" s="18" t="n">
        <v>29486.21</v>
      </c>
      <c r="Y38" s="18" t="n">
        <v>33315.98</v>
      </c>
      <c r="Z38" s="34" t="n">
        <v>120735.49</v>
      </c>
      <c r="AA38" s="18" t="n">
        <v>26985.69</v>
      </c>
      <c r="AB38" s="19" t="n">
        <v>32978.78</v>
      </c>
      <c r="AC38" s="10" t="n"/>
      <c r="AD38" s="10" t="n"/>
      <c r="AE38" s="11" t="n"/>
      <c r="AF38" s="10" t="n"/>
      <c r="AG38" s="10" t="n"/>
      <c r="AH38" s="10" t="n"/>
      <c r="AI38" s="10" t="n"/>
      <c r="AJ38" s="11" t="n"/>
      <c r="AK38" s="10" t="n"/>
      <c r="AL38" s="10" t="n"/>
      <c r="AM38" s="10" t="n"/>
      <c r="AN38" s="10" t="n"/>
      <c r="AO38" s="11" t="n"/>
    </row>
    <row r="39">
      <c r="A39" t="n">
        <v>1</v>
      </c>
      <c r="C39" t="inlineStr">
        <is>
          <t>매출총이익</t>
        </is>
      </c>
      <c r="E39" s="18" t="n">
        <v>8520.049999999999</v>
      </c>
      <c r="F39" s="9" t="n"/>
      <c r="G39" s="18" t="n">
        <v>8936.85</v>
      </c>
      <c r="H39" s="18" t="n">
        <v>13193.9</v>
      </c>
      <c r="I39" s="18" t="n">
        <v>14217.21</v>
      </c>
      <c r="J39" s="18" t="n">
        <v>17138.62</v>
      </c>
      <c r="K39" s="34" t="n">
        <v>53486.58</v>
      </c>
      <c r="L39" s="18" t="n">
        <v>16943.51</v>
      </c>
      <c r="M39" s="18" t="n">
        <v>17349.68</v>
      </c>
      <c r="N39" s="18" t="n">
        <v>16476.84</v>
      </c>
      <c r="O39" s="18" t="n">
        <v>13380.67</v>
      </c>
      <c r="P39" s="34" t="n">
        <v>64150.7</v>
      </c>
      <c r="Q39" s="18" t="n">
        <v>18164.78</v>
      </c>
      <c r="R39" s="18" t="n">
        <v>15592.12</v>
      </c>
      <c r="S39" s="18" t="n">
        <v>15036.62</v>
      </c>
      <c r="T39" s="18" t="n">
        <v>13146.17</v>
      </c>
      <c r="U39" s="34" t="n">
        <v>61939.69</v>
      </c>
      <c r="V39" s="18" t="n">
        <v>15933.09</v>
      </c>
      <c r="W39" s="18" t="n">
        <v>20810.11</v>
      </c>
      <c r="X39" s="18" t="n">
        <v>17511.79</v>
      </c>
      <c r="Y39" s="18" t="n">
        <v>18089.53</v>
      </c>
      <c r="Z39" s="34" t="n">
        <v>72344.52</v>
      </c>
      <c r="AA39" s="18" t="n">
        <v>19246.82</v>
      </c>
      <c r="AB39" s="19" t="n">
        <v>20001.99</v>
      </c>
      <c r="AC39" s="10" t="n"/>
      <c r="AD39" s="10" t="n"/>
      <c r="AE39" s="11" t="n"/>
      <c r="AF39" s="10" t="n"/>
      <c r="AG39" s="10" t="n"/>
      <c r="AH39" s="10" t="n"/>
      <c r="AI39" s="10" t="n"/>
      <c r="AJ39" s="11" t="n"/>
      <c r="AK39" s="10" t="n"/>
      <c r="AL39" s="10" t="n"/>
      <c r="AM39" s="10" t="n"/>
      <c r="AN39" s="10" t="n"/>
      <c r="AO39" s="11" t="n"/>
    </row>
    <row r="40">
      <c r="A40" t="n">
        <v>1</v>
      </c>
      <c r="C40" t="inlineStr">
        <is>
          <t>판관비</t>
        </is>
      </c>
      <c r="E40" s="18" t="n">
        <v>4535.46</v>
      </c>
      <c r="F40" s="9" t="n"/>
      <c r="G40" s="18" t="n">
        <v>3998.26</v>
      </c>
      <c r="H40" s="18" t="n">
        <v>3570.14</v>
      </c>
      <c r="I40" s="18" t="n">
        <v>3988.31</v>
      </c>
      <c r="J40" s="18" t="n">
        <v>3812.21</v>
      </c>
      <c r="K40" s="34" t="n">
        <v>15368.92</v>
      </c>
      <c r="L40" s="18" t="n">
        <v>4659.43</v>
      </c>
      <c r="M40" s="18" t="n">
        <v>3916.31</v>
      </c>
      <c r="N40" s="18" t="n">
        <v>3812.99</v>
      </c>
      <c r="O40" s="18" t="n">
        <v>4787.13</v>
      </c>
      <c r="P40" s="34" t="n">
        <v>17175.86</v>
      </c>
      <c r="Q40" s="18" t="n">
        <v>3828.11</v>
      </c>
      <c r="R40" s="18" t="n">
        <v>2741.4</v>
      </c>
      <c r="S40" s="18" t="n">
        <v>3831.89</v>
      </c>
      <c r="T40" s="18" t="n">
        <v>6779.98</v>
      </c>
      <c r="U40" s="34" t="n">
        <v>17181.38</v>
      </c>
      <c r="V40" s="18" t="n">
        <v>4730.68</v>
      </c>
      <c r="W40" s="18" t="n">
        <v>4923.61</v>
      </c>
      <c r="X40" s="18" t="n">
        <v>3515.74</v>
      </c>
      <c r="Y40" s="18" t="n">
        <v>5356.99</v>
      </c>
      <c r="Z40" s="34" t="n">
        <v>18527.02</v>
      </c>
      <c r="AA40" s="18" t="n">
        <v>4291.3</v>
      </c>
      <c r="AB40" s="19" t="n">
        <v>4346.06</v>
      </c>
      <c r="AC40" s="10" t="n"/>
      <c r="AD40" s="10" t="n"/>
      <c r="AE40" s="11" t="n"/>
      <c r="AF40" s="10" t="n"/>
      <c r="AG40" s="10" t="n"/>
      <c r="AH40" s="10" t="n"/>
      <c r="AI40" s="10" t="n"/>
      <c r="AJ40" s="11" t="n"/>
      <c r="AK40" s="10" t="n"/>
      <c r="AL40" s="10" t="n"/>
      <c r="AM40" s="10" t="n"/>
      <c r="AN40" s="10" t="n"/>
      <c r="AO40" s="11" t="n"/>
    </row>
    <row r="41">
      <c r="A41" t="n">
        <v>1</v>
      </c>
      <c r="C41" t="inlineStr">
        <is>
          <t>영업이익</t>
        </is>
      </c>
      <c r="E41" s="18" t="n">
        <v>3984.58</v>
      </c>
      <c r="F41" s="9" t="n"/>
      <c r="G41" s="18" t="n">
        <v>4938.59</v>
      </c>
      <c r="H41" s="18" t="n">
        <v>9623.76</v>
      </c>
      <c r="I41" s="18" t="n">
        <v>10228.89</v>
      </c>
      <c r="J41" s="18" t="n">
        <v>13326.42</v>
      </c>
      <c r="K41" s="34" t="n">
        <v>38117.66</v>
      </c>
      <c r="L41" s="18" t="n">
        <v>12284.08</v>
      </c>
      <c r="M41" s="18" t="n">
        <v>13433.37</v>
      </c>
      <c r="N41" s="18" t="n">
        <v>12663.85</v>
      </c>
      <c r="O41" s="18" t="n">
        <v>8593.540000000001</v>
      </c>
      <c r="P41" s="34" t="n">
        <v>46974.84</v>
      </c>
      <c r="Q41" s="18" t="n">
        <v>14336.67</v>
      </c>
      <c r="R41" s="18" t="n">
        <v>12850.72</v>
      </c>
      <c r="S41" s="18" t="n">
        <v>11204.74</v>
      </c>
      <c r="T41" s="18" t="n">
        <v>6366.19</v>
      </c>
      <c r="U41" s="34" t="n">
        <v>44758.32</v>
      </c>
      <c r="V41" s="18" t="n">
        <v>11202.41</v>
      </c>
      <c r="W41" s="18" t="n">
        <v>15886.49</v>
      </c>
      <c r="X41" s="18" t="n">
        <v>13996.06</v>
      </c>
      <c r="Y41" s="18" t="n">
        <v>12732.53</v>
      </c>
      <c r="Z41" s="34" t="n">
        <v>53817.49</v>
      </c>
      <c r="AA41" s="18" t="n">
        <v>14955.52</v>
      </c>
      <c r="AB41" s="19" t="n">
        <v>15655.93</v>
      </c>
      <c r="AC41" s="10" t="n"/>
      <c r="AD41" s="10" t="n"/>
      <c r="AE41" s="11" t="n"/>
      <c r="AF41" s="10" t="n"/>
      <c r="AG41" s="10" t="n"/>
      <c r="AH41" s="10" t="n"/>
      <c r="AI41" s="10" t="n"/>
      <c r="AJ41" s="11" t="n"/>
      <c r="AK41" s="10" t="n"/>
      <c r="AL41" s="10" t="n"/>
      <c r="AM41" s="10" t="n"/>
      <c r="AN41" s="10" t="n"/>
      <c r="AO41" s="11" t="n"/>
    </row>
    <row r="42">
      <c r="A42" t="n">
        <v>1</v>
      </c>
      <c r="C42" t="inlineStr">
        <is>
          <t>기타영업외수익</t>
        </is>
      </c>
      <c r="E42" s="18" t="n">
        <v>67.62</v>
      </c>
      <c r="F42" s="9" t="n"/>
      <c r="G42" s="18" t="n">
        <v>90.97</v>
      </c>
      <c r="H42" s="18" t="n">
        <v>306.87</v>
      </c>
      <c r="I42" s="18" t="n">
        <v>72.83</v>
      </c>
      <c r="J42" s="18" t="n">
        <v>62.65</v>
      </c>
      <c r="K42" s="34" t="n">
        <v>533.3200000000001</v>
      </c>
      <c r="L42" s="18" t="n">
        <v>221.91</v>
      </c>
      <c r="M42" s="18" t="n">
        <v>153.14</v>
      </c>
      <c r="N42" s="18" t="n">
        <v>120.08</v>
      </c>
      <c r="O42" s="18" t="n">
        <v>126.46</v>
      </c>
      <c r="P42" s="34" t="n">
        <v>621.59</v>
      </c>
      <c r="Q42" s="18" t="n">
        <v>121.17</v>
      </c>
      <c r="R42" s="18" t="n">
        <v>118.92</v>
      </c>
      <c r="S42" s="18" t="n">
        <v>139.13</v>
      </c>
      <c r="T42" s="18" t="n">
        <v>1073.27</v>
      </c>
      <c r="U42" s="34" t="n">
        <v>1452.49</v>
      </c>
      <c r="V42" s="18" t="n">
        <v>125.17</v>
      </c>
      <c r="W42" s="18" t="n">
        <v>674.77</v>
      </c>
      <c r="X42" s="18" t="n">
        <v>338.48</v>
      </c>
      <c r="Y42" s="18" t="n">
        <v>824.6900000000001</v>
      </c>
      <c r="Z42" s="34" t="n">
        <v>1963.11</v>
      </c>
      <c r="AA42" s="18" t="n">
        <v>151.48</v>
      </c>
      <c r="AB42" s="19" t="n">
        <v>632.48</v>
      </c>
      <c r="AC42" s="10" t="n"/>
      <c r="AD42" s="10" t="n"/>
      <c r="AE42" s="11" t="n"/>
      <c r="AF42" s="10" t="n"/>
      <c r="AG42" s="10" t="n"/>
      <c r="AH42" s="10" t="n"/>
      <c r="AI42" s="10" t="n"/>
      <c r="AJ42" s="11" t="n"/>
      <c r="AK42" s="10" t="n"/>
      <c r="AL42" s="10" t="n"/>
      <c r="AM42" s="10" t="n"/>
      <c r="AN42" s="10" t="n"/>
      <c r="AO42" s="11" t="n"/>
    </row>
    <row r="43">
      <c r="A43" t="n">
        <v>1</v>
      </c>
      <c r="C43" t="inlineStr">
        <is>
          <t>기타영업외비용</t>
        </is>
      </c>
      <c r="E43" s="18" t="n">
        <v>8.77</v>
      </c>
      <c r="F43" s="9" t="n"/>
      <c r="G43" s="18" t="n">
        <v>2.31</v>
      </c>
      <c r="H43" s="18" t="n">
        <v>8.75</v>
      </c>
      <c r="I43" s="18" t="n">
        <v>87</v>
      </c>
      <c r="J43" s="18" t="n">
        <v>28.81</v>
      </c>
      <c r="K43" s="34" t="n">
        <v>126.87</v>
      </c>
      <c r="L43" s="18" t="n">
        <v>3.44</v>
      </c>
      <c r="M43" s="18" t="n">
        <v>0</v>
      </c>
      <c r="N43" s="18" t="n">
        <v>688.9</v>
      </c>
      <c r="O43" s="18" t="n">
        <v>0.02</v>
      </c>
      <c r="P43" s="34" t="n">
        <v>692.36</v>
      </c>
      <c r="Q43" s="18" t="n">
        <v>0.01</v>
      </c>
      <c r="R43" s="18" t="n">
        <v>10</v>
      </c>
      <c r="S43" s="18" t="n">
        <v>-5</v>
      </c>
      <c r="T43" s="18" t="n">
        <v>54.1</v>
      </c>
      <c r="U43" s="34" t="n">
        <v>59.11</v>
      </c>
      <c r="V43" s="18" t="n">
        <v>3.03</v>
      </c>
      <c r="W43" s="18" t="n">
        <v>254.3</v>
      </c>
      <c r="X43" s="18" t="n">
        <v>90.18000000000001</v>
      </c>
      <c r="Y43" s="18" t="n">
        <v>91.34999999999999</v>
      </c>
      <c r="Z43" s="34" t="n">
        <v>438.86</v>
      </c>
      <c r="AA43" s="18" t="n">
        <v>127.06</v>
      </c>
      <c r="AB43" s="19" t="n">
        <v>43.08</v>
      </c>
      <c r="AC43" s="10" t="n"/>
      <c r="AD43" s="10" t="n"/>
      <c r="AE43" s="11" t="n"/>
      <c r="AF43" s="10" t="n"/>
      <c r="AG43" s="10" t="n"/>
      <c r="AH43" s="10" t="n"/>
      <c r="AI43" s="10" t="n"/>
      <c r="AJ43" s="11" t="n"/>
      <c r="AK43" s="10" t="n"/>
      <c r="AL43" s="10" t="n"/>
      <c r="AM43" s="10" t="n"/>
      <c r="AN43" s="10" t="n"/>
      <c r="AO43" s="11" t="n"/>
    </row>
    <row r="44">
      <c r="A44" t="n">
        <v>1</v>
      </c>
      <c r="C44" t="inlineStr">
        <is>
          <t>금융수익</t>
        </is>
      </c>
      <c r="E44" s="18" t="n">
        <v>1652.04</v>
      </c>
      <c r="F44" s="9" t="n"/>
      <c r="G44" s="18" t="n">
        <v>1552.69</v>
      </c>
      <c r="H44" s="18" t="n">
        <v>2864.48</v>
      </c>
      <c r="I44" s="18" t="n">
        <v>5716.5</v>
      </c>
      <c r="J44" s="18" t="n">
        <v>-3040.71</v>
      </c>
      <c r="K44" s="34" t="n">
        <v>7092.96</v>
      </c>
      <c r="L44" s="18" t="n">
        <v>4361.64</v>
      </c>
      <c r="M44" s="18" t="n">
        <v>2670.4</v>
      </c>
      <c r="N44" s="18" t="n">
        <v>2934.52</v>
      </c>
      <c r="O44" s="18" t="n">
        <v>877.15</v>
      </c>
      <c r="P44" s="34" t="n">
        <v>10843.71</v>
      </c>
      <c r="Q44" s="18" t="n">
        <v>3977.06</v>
      </c>
      <c r="R44" s="18" t="n">
        <v>2855.29</v>
      </c>
      <c r="S44" s="18" t="n">
        <v>1929.61</v>
      </c>
      <c r="T44" s="18" t="n">
        <v>5618.65</v>
      </c>
      <c r="U44" s="34" t="n">
        <v>14380.61</v>
      </c>
      <c r="V44" s="18" t="n">
        <v>2278.32</v>
      </c>
      <c r="W44" s="18" t="n">
        <v>1377.78</v>
      </c>
      <c r="X44" s="18" t="n">
        <v>4005.08</v>
      </c>
      <c r="Y44" s="18" t="n">
        <v>2597.59</v>
      </c>
      <c r="Z44" s="34" t="n">
        <v>10258.77</v>
      </c>
      <c r="AA44" s="18" t="n">
        <v>4398.8</v>
      </c>
      <c r="AB44" s="19" t="n">
        <v>2456.01</v>
      </c>
      <c r="AC44" s="10" t="n"/>
      <c r="AD44" s="10" t="n"/>
      <c r="AE44" s="11" t="n"/>
      <c r="AF44" s="10" t="n"/>
      <c r="AG44" s="10" t="n"/>
      <c r="AH44" s="10" t="n"/>
      <c r="AI44" s="10" t="n"/>
      <c r="AJ44" s="11" t="n"/>
      <c r="AK44" s="10" t="n"/>
      <c r="AL44" s="10" t="n"/>
      <c r="AM44" s="10" t="n"/>
      <c r="AN44" s="10" t="n"/>
      <c r="AO44" s="11" t="n"/>
    </row>
    <row r="45">
      <c r="A45" t="n">
        <v>1</v>
      </c>
      <c r="C45" t="inlineStr">
        <is>
          <t>금융비용</t>
        </is>
      </c>
      <c r="E45" s="18" t="n">
        <v>36.07</v>
      </c>
      <c r="F45" s="9" t="n"/>
      <c r="G45" s="18" t="n">
        <v>34.44</v>
      </c>
      <c r="H45" s="18" t="n">
        <v>73.70999999999999</v>
      </c>
      <c r="I45" s="18" t="n">
        <v>33.99</v>
      </c>
      <c r="J45" s="18" t="n">
        <v>2374.41</v>
      </c>
      <c r="K45" s="34" t="n">
        <v>2516.55</v>
      </c>
      <c r="L45" s="18" t="n">
        <v>278.76</v>
      </c>
      <c r="M45" s="18" t="n">
        <v>649.83</v>
      </c>
      <c r="N45" s="18" t="n">
        <v>269.92</v>
      </c>
      <c r="O45" s="18" t="n">
        <v>834.65</v>
      </c>
      <c r="P45" s="34" t="n">
        <v>2033.16</v>
      </c>
      <c r="Q45" s="18" t="n">
        <v>17.4</v>
      </c>
      <c r="R45" s="18" t="n">
        <v>6.89</v>
      </c>
      <c r="S45" s="18" t="n">
        <v>2379.89</v>
      </c>
      <c r="T45" s="18" t="n">
        <v>-506.33</v>
      </c>
      <c r="U45" s="34" t="n">
        <v>1897.85</v>
      </c>
      <c r="V45" s="18" t="n">
        <v>291.68</v>
      </c>
      <c r="W45" s="18" t="n">
        <v>3345.54</v>
      </c>
      <c r="X45" s="18" t="n">
        <v>645.41</v>
      </c>
      <c r="Y45" s="18" t="n">
        <v>-40.12</v>
      </c>
      <c r="Z45" s="34" t="n">
        <v>4242.51</v>
      </c>
      <c r="AA45" s="18" t="n">
        <v>65.98999999999999</v>
      </c>
      <c r="AB45" s="19" t="n">
        <v>30.78</v>
      </c>
      <c r="AC45" s="10" t="n"/>
      <c r="AD45" s="10" t="n"/>
      <c r="AE45" s="11" t="n"/>
      <c r="AF45" s="10" t="n"/>
      <c r="AG45" s="10" t="n"/>
      <c r="AH45" s="10" t="n"/>
      <c r="AI45" s="10" t="n"/>
      <c r="AJ45" s="11" t="n"/>
      <c r="AK45" s="10" t="n"/>
      <c r="AL45" s="10" t="n"/>
      <c r="AM45" s="10" t="n"/>
      <c r="AN45" s="10" t="n"/>
      <c r="AO45" s="11" t="n"/>
    </row>
    <row r="46">
      <c r="A46" t="n">
        <v>1</v>
      </c>
      <c r="C46" t="inlineStr">
        <is>
          <t>법인세비용차감전계속사업이익</t>
        </is>
      </c>
      <c r="E46" s="18" t="n">
        <v>5659.4</v>
      </c>
      <c r="F46" s="9" t="n"/>
      <c r="G46" s="18" t="n">
        <v>6545.51</v>
      </c>
      <c r="H46" s="18" t="n">
        <v>12712.66</v>
      </c>
      <c r="I46" s="18" t="n">
        <v>15897.23</v>
      </c>
      <c r="J46" s="18" t="n">
        <v>7945.14</v>
      </c>
      <c r="K46" s="34" t="n">
        <v>43100.54</v>
      </c>
      <c r="L46" s="18" t="n">
        <v>16585.42</v>
      </c>
      <c r="M46" s="18" t="n">
        <v>15607.09</v>
      </c>
      <c r="N46" s="18" t="n">
        <v>14759.64</v>
      </c>
      <c r="O46" s="18" t="n">
        <v>8762.49</v>
      </c>
      <c r="P46" s="34" t="n">
        <v>55714.64</v>
      </c>
      <c r="Q46" s="18" t="n">
        <v>18417.49</v>
      </c>
      <c r="R46" s="18" t="n">
        <v>15808.04</v>
      </c>
      <c r="S46" s="18" t="n">
        <v>10898.59</v>
      </c>
      <c r="T46" s="18" t="n">
        <v>13510.33</v>
      </c>
      <c r="U46" s="34" t="n">
        <v>58634.45</v>
      </c>
      <c r="V46" s="18" t="n">
        <v>13311.18</v>
      </c>
      <c r="W46" s="18" t="n">
        <v>14339.21</v>
      </c>
      <c r="X46" s="18" t="n">
        <v>17604.03</v>
      </c>
      <c r="Y46" s="18" t="n">
        <v>16103.58</v>
      </c>
      <c r="Z46" s="34" t="n">
        <v>61358</v>
      </c>
      <c r="AA46" s="18" t="n">
        <v>19312.75</v>
      </c>
      <c r="AB46" s="19" t="n">
        <v>18670.56</v>
      </c>
      <c r="AC46" s="10" t="n"/>
      <c r="AD46" s="10" t="n"/>
      <c r="AE46" s="11" t="n"/>
      <c r="AF46" s="10" t="n"/>
      <c r="AG46" s="10" t="n"/>
      <c r="AH46" s="10" t="n"/>
      <c r="AI46" s="10" t="n"/>
      <c r="AJ46" s="11" t="n"/>
      <c r="AK46" s="10" t="n"/>
      <c r="AL46" s="10" t="n"/>
      <c r="AM46" s="10" t="n"/>
      <c r="AN46" s="10" t="n"/>
      <c r="AO46" s="11" t="n"/>
    </row>
    <row r="47">
      <c r="A47" t="n">
        <v>1</v>
      </c>
      <c r="C47" t="inlineStr">
        <is>
          <t>법인세비용</t>
        </is>
      </c>
      <c r="E47" s="18" t="n">
        <v>1221.41</v>
      </c>
      <c r="F47" s="9" t="n"/>
      <c r="G47" s="18" t="n">
        <v>1707.96</v>
      </c>
      <c r="H47" s="18" t="n">
        <v>3264.85</v>
      </c>
      <c r="I47" s="18" t="n">
        <v>4134.73</v>
      </c>
      <c r="J47" s="18" t="n">
        <v>1827.85</v>
      </c>
      <c r="K47" s="34" t="n">
        <v>10935.39</v>
      </c>
      <c r="L47" s="18" t="n">
        <v>3443.1</v>
      </c>
      <c r="M47" s="18" t="n">
        <v>3454.55</v>
      </c>
      <c r="N47" s="18" t="n">
        <v>3238.35</v>
      </c>
      <c r="O47" s="18" t="n">
        <v>1903.51</v>
      </c>
      <c r="P47" s="34" t="n">
        <v>12039.51</v>
      </c>
      <c r="Q47" s="18" t="n">
        <v>4057.48</v>
      </c>
      <c r="R47" s="18" t="n">
        <v>3409.34</v>
      </c>
      <c r="S47" s="18" t="n">
        <v>3628.42</v>
      </c>
      <c r="T47" s="18" t="n">
        <v>2096.36</v>
      </c>
      <c r="U47" s="34" t="n">
        <v>13191.6</v>
      </c>
      <c r="V47" s="18" t="n">
        <v>2943.62</v>
      </c>
      <c r="W47" s="18" t="n">
        <v>3593.98</v>
      </c>
      <c r="X47" s="18" t="n">
        <v>4000.84</v>
      </c>
      <c r="Y47" s="18" t="n">
        <v>3121.49</v>
      </c>
      <c r="Z47" s="34" t="n">
        <v>13659.93</v>
      </c>
      <c r="AA47" s="18" t="n">
        <v>4572.95</v>
      </c>
      <c r="AB47" s="19" t="n">
        <v>4388.81</v>
      </c>
      <c r="AC47" s="10" t="n"/>
      <c r="AD47" s="10" t="n"/>
      <c r="AE47" s="11" t="n"/>
      <c r="AF47" s="10" t="n"/>
      <c r="AG47" s="10" t="n"/>
      <c r="AH47" s="10" t="n"/>
      <c r="AI47" s="10" t="n"/>
      <c r="AJ47" s="11" t="n"/>
      <c r="AK47" s="10" t="n"/>
      <c r="AL47" s="10" t="n"/>
      <c r="AM47" s="10" t="n"/>
      <c r="AN47" s="10" t="n"/>
      <c r="AO47" s="11" t="n"/>
    </row>
    <row r="48">
      <c r="A48" t="n">
        <v>1</v>
      </c>
      <c r="C48" t="inlineStr">
        <is>
          <t>당기순이익</t>
        </is>
      </c>
      <c r="E48" s="18" t="n">
        <v>4438</v>
      </c>
      <c r="F48" s="9" t="n"/>
      <c r="G48" s="18" t="n">
        <v>4837.54</v>
      </c>
      <c r="H48" s="18" t="n">
        <v>9447.82</v>
      </c>
      <c r="I48" s="18" t="n">
        <v>11762.5</v>
      </c>
      <c r="J48" s="18" t="n">
        <v>6117.3</v>
      </c>
      <c r="K48" s="34" t="n">
        <v>32165.16</v>
      </c>
      <c r="L48" s="18" t="n">
        <v>13142.32</v>
      </c>
      <c r="M48" s="18" t="n">
        <v>12152.54</v>
      </c>
      <c r="N48" s="18" t="n">
        <v>11521.29</v>
      </c>
      <c r="O48" s="18" t="n">
        <v>6858.97</v>
      </c>
      <c r="P48" s="34" t="n">
        <v>43675.12</v>
      </c>
      <c r="Q48" s="18" t="n">
        <v>14360.01</v>
      </c>
      <c r="R48" s="18" t="n">
        <v>12398.7</v>
      </c>
      <c r="S48" s="18" t="n">
        <v>7270.17</v>
      </c>
      <c r="T48" s="18" t="n">
        <v>11413.97</v>
      </c>
      <c r="U48" s="34" t="n">
        <v>45442.85</v>
      </c>
      <c r="V48" s="18" t="n">
        <v>10367.56</v>
      </c>
      <c r="W48" s="18" t="n">
        <v>10745.23</v>
      </c>
      <c r="X48" s="18" t="n">
        <v>13603.2</v>
      </c>
      <c r="Y48" s="18" t="n">
        <v>12982.1</v>
      </c>
      <c r="Z48" s="34" t="n">
        <v>47698.09</v>
      </c>
      <c r="AA48" s="18" t="n">
        <v>14739.8</v>
      </c>
      <c r="AB48" s="19" t="n">
        <v>14281.75</v>
      </c>
      <c r="AC48" s="10" t="n"/>
      <c r="AD48" s="10" t="n"/>
      <c r="AE48" s="11" t="n"/>
      <c r="AF48" s="10" t="n"/>
      <c r="AG48" s="10" t="n"/>
      <c r="AH48" s="10" t="n"/>
      <c r="AI48" s="10" t="n"/>
      <c r="AJ48" s="11" t="n"/>
      <c r="AK48" s="10" t="n"/>
      <c r="AL48" s="10" t="n"/>
      <c r="AM48" s="10" t="n"/>
      <c r="AN48" s="10" t="n"/>
      <c r="AO48" s="11" t="n"/>
    </row>
    <row r="49">
      <c r="A49" t="n">
        <v>1</v>
      </c>
      <c r="C49" t="inlineStr">
        <is>
          <t>금융손익</t>
        </is>
      </c>
      <c r="E49" s="18" t="n">
        <v>1615.97</v>
      </c>
      <c r="F49" s="9" t="n"/>
      <c r="G49" s="18" t="n">
        <v>1518.25</v>
      </c>
      <c r="H49" s="18" t="n">
        <v>2790.77</v>
      </c>
      <c r="I49" s="18" t="n">
        <v>5682.51</v>
      </c>
      <c r="J49" s="18" t="n">
        <v>-5415.12</v>
      </c>
      <c r="K49" s="34" t="n">
        <v>4576.41</v>
      </c>
      <c r="L49" s="18" t="n">
        <v>4082.88</v>
      </c>
      <c r="M49" s="18" t="n">
        <v>2020.57</v>
      </c>
      <c r="N49" s="18" t="n">
        <v>2664.6</v>
      </c>
      <c r="O49" s="18" t="n">
        <v>42.5</v>
      </c>
      <c r="P49" s="34" t="n">
        <v>8810.549999999999</v>
      </c>
      <c r="Q49" s="18" t="n">
        <v>3959.66</v>
      </c>
      <c r="R49" s="18" t="n">
        <v>2848.4</v>
      </c>
      <c r="S49" s="18" t="n">
        <v>-450.28</v>
      </c>
      <c r="T49" s="18" t="n">
        <v>6124.98</v>
      </c>
      <c r="U49" s="34" t="n">
        <v>12482.76</v>
      </c>
      <c r="V49" s="18" t="n">
        <v>1986.64</v>
      </c>
      <c r="W49" s="18" t="n">
        <v>-1967.76</v>
      </c>
      <c r="X49" s="18" t="n">
        <v>3359.67</v>
      </c>
      <c r="Y49" s="18" t="n">
        <v>2637.71</v>
      </c>
      <c r="Z49" s="34" t="n">
        <v>6016.26</v>
      </c>
      <c r="AA49" s="18" t="n">
        <v>4332.81</v>
      </c>
      <c r="AB49" s="19" t="n">
        <v>2425.23</v>
      </c>
      <c r="AC49" s="10" t="n"/>
      <c r="AD49" s="10" t="n"/>
      <c r="AE49" s="11" t="n"/>
      <c r="AF49" s="10" t="n"/>
      <c r="AG49" s="10" t="n"/>
      <c r="AH49" s="10" t="n"/>
      <c r="AI49" s="10" t="n"/>
      <c r="AJ49" s="11" t="n"/>
      <c r="AK49" s="10" t="n"/>
      <c r="AL49" s="10" t="n"/>
      <c r="AM49" s="10" t="n"/>
      <c r="AN49" s="10" t="n"/>
      <c r="AO49" s="11" t="n"/>
    </row>
    <row r="50">
      <c r="A50" t="n">
        <v>1</v>
      </c>
      <c r="C50" t="inlineStr">
        <is>
          <t>기타영업외손익</t>
        </is>
      </c>
      <c r="E50" s="18" t="n">
        <v>58.85</v>
      </c>
      <c r="F50" s="9" t="n"/>
      <c r="G50" s="18" t="n">
        <v>88.66</v>
      </c>
      <c r="H50" s="18" t="n">
        <v>298.12</v>
      </c>
      <c r="I50" s="18" t="n">
        <v>-14.17</v>
      </c>
      <c r="J50" s="18" t="n">
        <v>33.84</v>
      </c>
      <c r="K50" s="34" t="n">
        <v>406.45</v>
      </c>
      <c r="L50" s="18" t="n">
        <v>218.47</v>
      </c>
      <c r="M50" s="18" t="n">
        <v>153.14</v>
      </c>
      <c r="N50" s="18" t="n">
        <v>-568.8200000000001</v>
      </c>
      <c r="O50" s="18" t="n">
        <v>126.44</v>
      </c>
      <c r="P50" s="34" t="n">
        <v>-70.77</v>
      </c>
      <c r="Q50" s="18" t="n">
        <v>121.16</v>
      </c>
      <c r="R50" s="18" t="n">
        <v>108.92</v>
      </c>
      <c r="S50" s="18" t="n">
        <v>144.13</v>
      </c>
      <c r="T50" s="18" t="n">
        <v>1019.17</v>
      </c>
      <c r="U50" s="34" t="n">
        <v>1393.38</v>
      </c>
      <c r="V50" s="18" t="n">
        <v>122.14</v>
      </c>
      <c r="W50" s="18" t="n">
        <v>420.47</v>
      </c>
      <c r="X50" s="18" t="n">
        <v>248.3</v>
      </c>
      <c r="Y50" s="18" t="n">
        <v>733.34</v>
      </c>
      <c r="Z50" s="34" t="n">
        <v>1524.25</v>
      </c>
      <c r="AA50" s="18" t="n">
        <v>24.42</v>
      </c>
      <c r="AB50" s="19" t="n">
        <v>589.4</v>
      </c>
      <c r="AC50" s="10" t="n"/>
      <c r="AD50" s="10" t="n"/>
      <c r="AE50" s="11" t="n"/>
      <c r="AF50" s="10" t="n"/>
      <c r="AG50" s="10" t="n"/>
      <c r="AH50" s="10" t="n"/>
      <c r="AI50" s="10" t="n"/>
      <c r="AJ50" s="11" t="n"/>
      <c r="AK50" s="10" t="n"/>
      <c r="AL50" s="10" t="n"/>
      <c r="AM50" s="10" t="n"/>
      <c r="AN50" s="10" t="n"/>
      <c r="AO50" s="11" t="n"/>
    </row>
    <row r="51">
      <c r="A51" t="n">
        <v>1</v>
      </c>
      <c r="C51" t="inlineStr">
        <is>
          <t>(지배주주지분)당기순이익</t>
        </is>
      </c>
      <c r="E51" s="18" t="n">
        <v>4438</v>
      </c>
      <c r="F51" s="9" t="n"/>
      <c r="G51" s="18" t="n">
        <v>4837.54</v>
      </c>
      <c r="H51" s="18" t="n">
        <v>9447.82</v>
      </c>
      <c r="I51" s="18" t="n">
        <v>11762.5</v>
      </c>
      <c r="J51" s="18" t="n">
        <v>6117.3</v>
      </c>
      <c r="K51" s="34" t="n">
        <v>32165.16</v>
      </c>
      <c r="L51" s="18" t="n">
        <v>13142.32</v>
      </c>
      <c r="M51" s="18" t="n">
        <v>12152.54</v>
      </c>
      <c r="N51" s="18" t="n">
        <v>11521.29</v>
      </c>
      <c r="O51" s="18" t="n">
        <v>6858.97</v>
      </c>
      <c r="P51" s="34" t="n">
        <v>43675.12</v>
      </c>
      <c r="Q51" s="18" t="n">
        <v>14360.01</v>
      </c>
      <c r="R51" s="18" t="n">
        <v>12398.7</v>
      </c>
      <c r="S51" s="18" t="n">
        <v>7270.17</v>
      </c>
      <c r="T51" s="18" t="n">
        <v>11413.97</v>
      </c>
      <c r="U51" s="34" t="n">
        <v>45442.85</v>
      </c>
      <c r="V51" s="18" t="n">
        <v>10367.56</v>
      </c>
      <c r="W51" s="18" t="n">
        <v>10745.23</v>
      </c>
      <c r="X51" s="18" t="n">
        <v>13603.2</v>
      </c>
      <c r="Y51" s="18" t="n">
        <v>12982.1</v>
      </c>
      <c r="Z51" s="34" t="n">
        <v>47698.09</v>
      </c>
      <c r="AA51" s="18" t="n">
        <v>14739.8</v>
      </c>
      <c r="AB51" s="19" t="n">
        <v>14281.75</v>
      </c>
      <c r="AC51" s="10" t="n"/>
      <c r="AD51" s="10" t="n"/>
      <c r="AE51" s="11" t="n"/>
      <c r="AF51" s="10" t="n"/>
      <c r="AG51" s="10" t="n"/>
      <c r="AH51" s="10" t="n"/>
      <c r="AI51" s="10" t="n"/>
      <c r="AJ51" s="11" t="n"/>
      <c r="AK51" s="10" t="n"/>
      <c r="AL51" s="10" t="n"/>
      <c r="AM51" s="10" t="n"/>
      <c r="AN51" s="10" t="n"/>
      <c r="AO51" s="11" t="n"/>
    </row>
    <row r="52">
      <c r="A52" t="n">
        <v>1</v>
      </c>
      <c r="C52" t="inlineStr">
        <is>
          <t>계속사업이익</t>
        </is>
      </c>
      <c r="E52" s="18" t="n">
        <v>4438</v>
      </c>
      <c r="F52" s="9" t="n"/>
      <c r="G52" s="18" t="n">
        <v>4837.54</v>
      </c>
      <c r="H52" s="18" t="n">
        <v>9447.82</v>
      </c>
      <c r="I52" s="18" t="n">
        <v>11762.5</v>
      </c>
      <c r="J52" s="18" t="n">
        <v>6117.3</v>
      </c>
      <c r="K52" s="34" t="n">
        <v>32165.16</v>
      </c>
      <c r="L52" s="18" t="n">
        <v>13142.32</v>
      </c>
      <c r="M52" s="18" t="n">
        <v>12152.54</v>
      </c>
      <c r="N52" s="18" t="n">
        <v>11521.29</v>
      </c>
      <c r="O52" s="18" t="n">
        <v>6858.97</v>
      </c>
      <c r="P52" s="34" t="n">
        <v>43675.12</v>
      </c>
      <c r="Q52" s="18" t="n">
        <v>14360.01</v>
      </c>
      <c r="R52" s="18" t="n">
        <v>12398.7</v>
      </c>
      <c r="S52" s="18" t="n">
        <v>7270.17</v>
      </c>
      <c r="T52" s="18" t="n">
        <v>11413.97</v>
      </c>
      <c r="U52" s="34" t="n">
        <v>45442.85</v>
      </c>
      <c r="V52" s="18" t="n">
        <v>10367.56</v>
      </c>
      <c r="W52" s="18" t="n">
        <v>10745.23</v>
      </c>
      <c r="X52" s="18" t="n">
        <v>13603.2</v>
      </c>
      <c r="Y52" s="18" t="n">
        <v>12982.1</v>
      </c>
      <c r="Z52" s="34" t="n">
        <v>47698.09</v>
      </c>
      <c r="AA52" s="18" t="n">
        <v>14739.8</v>
      </c>
      <c r="AB52" s="19" t="n">
        <v>14281.75</v>
      </c>
      <c r="AC52" s="10" t="n"/>
      <c r="AD52" s="10" t="n"/>
      <c r="AE52" s="11" t="n"/>
      <c r="AF52" s="10" t="n"/>
      <c r="AG52" s="10" t="n"/>
      <c r="AH52" s="10" t="n"/>
      <c r="AI52" s="10" t="n"/>
      <c r="AJ52" s="11" t="n"/>
      <c r="AK52" s="10" t="n"/>
      <c r="AL52" s="10" t="n"/>
      <c r="AM52" s="10" t="n"/>
      <c r="AN52" s="10" t="n"/>
      <c r="AO52" s="11" t="n"/>
    </row>
    <row r="53">
      <c r="A53" t="n">
        <v>1</v>
      </c>
      <c r="C53" t="inlineStr">
        <is>
          <t>총포괄손익</t>
        </is>
      </c>
      <c r="E53" s="18" t="n">
        <v>4382.2</v>
      </c>
      <c r="F53" s="9" t="n"/>
      <c r="G53" s="18" t="n">
        <v>6101.62</v>
      </c>
      <c r="H53" s="18" t="n">
        <v>11050.16</v>
      </c>
      <c r="I53" s="18" t="n">
        <v>13305.29</v>
      </c>
      <c r="J53" s="18" t="n">
        <v>6699.8</v>
      </c>
      <c r="K53" s="34" t="n">
        <v>37156.87</v>
      </c>
      <c r="L53" s="18" t="n">
        <v>6319.82</v>
      </c>
      <c r="M53" s="18" t="n">
        <v>13034.85</v>
      </c>
      <c r="N53" s="18" t="n">
        <v>13252.09</v>
      </c>
      <c r="O53" s="18" t="n">
        <v>5461.89</v>
      </c>
      <c r="P53" s="34" t="n">
        <v>38068.65</v>
      </c>
      <c r="Q53" s="18" t="n">
        <v>14407.97</v>
      </c>
      <c r="R53" s="18" t="n">
        <v>12443.2</v>
      </c>
      <c r="S53" s="18" t="n">
        <v>6523.61</v>
      </c>
      <c r="T53" s="18" t="n">
        <v>10858.37</v>
      </c>
      <c r="U53" s="34" t="n">
        <v>44233.15</v>
      </c>
      <c r="V53" s="18" t="n">
        <v>8518.950000000001</v>
      </c>
      <c r="W53" s="18" t="n">
        <v>11015.24</v>
      </c>
      <c r="X53" s="18" t="n">
        <v>14391.01</v>
      </c>
      <c r="Y53" s="18" t="n">
        <v>14833.06</v>
      </c>
      <c r="Z53" s="34" t="n">
        <v>48758.26</v>
      </c>
      <c r="AA53" s="18" t="n">
        <v>17365.51</v>
      </c>
      <c r="AB53" s="19" t="n">
        <v>12173.5</v>
      </c>
      <c r="AC53" s="10" t="n"/>
      <c r="AD53" s="10" t="n"/>
      <c r="AE53" s="11" t="n"/>
      <c r="AF53" s="10" t="n"/>
      <c r="AG53" s="10" t="n"/>
      <c r="AH53" s="10" t="n"/>
      <c r="AI53" s="10" t="n"/>
      <c r="AJ53" s="11" t="n"/>
      <c r="AK53" s="10" t="n"/>
      <c r="AL53" s="10" t="n"/>
      <c r="AM53" s="10" t="n"/>
      <c r="AN53" s="10" t="n"/>
      <c r="AO53" s="11" t="n"/>
    </row>
    <row r="54">
      <c r="A54" t="n">
        <v>1</v>
      </c>
      <c r="C54" t="inlineStr">
        <is>
          <t>영업활동으로인한현금흐름</t>
        </is>
      </c>
      <c r="E54" s="18" t="n">
        <v>4285.91</v>
      </c>
      <c r="F54" s="9" t="n"/>
      <c r="G54" s="18" t="n">
        <v>1814.43</v>
      </c>
      <c r="H54" s="18" t="n">
        <v>4169.12</v>
      </c>
      <c r="I54" s="18" t="n">
        <v>2201.45</v>
      </c>
      <c r="J54" s="18" t="n">
        <v>11292.98</v>
      </c>
      <c r="K54" s="34" t="n">
        <v>19477.98</v>
      </c>
      <c r="L54" s="18" t="n">
        <v>2351.11</v>
      </c>
      <c r="M54" s="18" t="n">
        <v>7011.49</v>
      </c>
      <c r="N54" s="18" t="n">
        <v>5806.34</v>
      </c>
      <c r="O54" s="18" t="n">
        <v>10984.7</v>
      </c>
      <c r="P54" s="34" t="n">
        <v>26153.64</v>
      </c>
      <c r="Q54" s="18" t="n">
        <v>15603.59</v>
      </c>
      <c r="R54" s="18" t="n">
        <v>8482.559999999999</v>
      </c>
      <c r="S54" s="18" t="n">
        <v>11148.07</v>
      </c>
      <c r="T54" s="18" t="n">
        <v>12044.81</v>
      </c>
      <c r="U54" s="34" t="n">
        <v>47279.03</v>
      </c>
      <c r="V54" s="18" t="n">
        <v>7662.97</v>
      </c>
      <c r="W54" s="18" t="n">
        <v>9107.91</v>
      </c>
      <c r="X54" s="18" t="n">
        <v>15144.9</v>
      </c>
      <c r="Y54" s="18" t="n">
        <v>11907.68</v>
      </c>
      <c r="Z54" s="34" t="n">
        <v>43823.46</v>
      </c>
      <c r="AA54" s="18" t="n">
        <v>10882.23</v>
      </c>
      <c r="AB54" s="19" t="n">
        <v>14178.24</v>
      </c>
      <c r="AC54" s="10" t="n"/>
      <c r="AD54" s="10" t="n"/>
      <c r="AE54" s="11" t="n"/>
      <c r="AF54" s="10" t="n"/>
      <c r="AG54" s="10" t="n"/>
      <c r="AH54" s="10" t="n"/>
      <c r="AI54" s="10" t="n"/>
      <c r="AJ54" s="11" t="n"/>
      <c r="AK54" s="10" t="n"/>
      <c r="AL54" s="10" t="n"/>
      <c r="AM54" s="10" t="n"/>
      <c r="AN54" s="10" t="n"/>
      <c r="AO54" s="11" t="n"/>
    </row>
    <row r="55">
      <c r="A55" t="n">
        <v>1</v>
      </c>
      <c r="C55" t="inlineStr">
        <is>
          <t>이자수취(CF)</t>
        </is>
      </c>
      <c r="E55" s="18" t="n">
        <v>307.23</v>
      </c>
      <c r="F55" s="9" t="n"/>
      <c r="G55" s="18" t="n">
        <v>396.74</v>
      </c>
      <c r="H55" s="18" t="n">
        <v>522.4</v>
      </c>
      <c r="I55" s="18" t="n">
        <v>629.3</v>
      </c>
      <c r="J55" s="18" t="n">
        <v>1941.08</v>
      </c>
      <c r="K55" s="34" t="n">
        <v>3489.52</v>
      </c>
      <c r="L55" s="18" t="n">
        <v>1707.06</v>
      </c>
      <c r="M55" s="18" t="n">
        <v>1353.84</v>
      </c>
      <c r="N55" s="18" t="n">
        <v>1450.09</v>
      </c>
      <c r="O55" s="18" t="n">
        <v>1753.8</v>
      </c>
      <c r="P55" s="34" t="n">
        <v>6264.79</v>
      </c>
      <c r="Q55" s="18" t="n">
        <v>1890.58</v>
      </c>
      <c r="R55" s="18" t="n">
        <v>1586.69</v>
      </c>
      <c r="S55" s="18" t="n">
        <v>1575.23</v>
      </c>
      <c r="T55" s="18" t="n">
        <v>1535.39</v>
      </c>
      <c r="U55" s="34" t="n">
        <v>6587.89</v>
      </c>
      <c r="V55" s="18" t="n">
        <v>1654.19</v>
      </c>
      <c r="W55" s="18" t="n">
        <v>1222.58</v>
      </c>
      <c r="X55" s="18" t="n">
        <v>1077.69</v>
      </c>
      <c r="Y55" s="18" t="n">
        <v>1180.99</v>
      </c>
      <c r="Z55" s="34" t="n">
        <v>5135.45</v>
      </c>
      <c r="AA55" s="18" t="n">
        <v>1435.64</v>
      </c>
      <c r="AB55" s="19" t="n">
        <v>1348.81</v>
      </c>
      <c r="AC55" s="10" t="n"/>
      <c r="AD55" s="10" t="n"/>
      <c r="AE55" s="11" t="n"/>
      <c r="AF55" s="10" t="n"/>
      <c r="AG55" s="10" t="n"/>
      <c r="AH55" s="10" t="n"/>
      <c r="AI55" s="10" t="n"/>
      <c r="AJ55" s="11" t="n"/>
      <c r="AK55" s="10" t="n"/>
      <c r="AL55" s="10" t="n"/>
      <c r="AM55" s="10" t="n"/>
      <c r="AN55" s="10" t="n"/>
      <c r="AO55" s="11" t="n"/>
    </row>
    <row r="56">
      <c r="A56" t="n">
        <v>1</v>
      </c>
      <c r="C56" t="inlineStr">
        <is>
          <t>법인세납부(CF)</t>
        </is>
      </c>
      <c r="E56" s="18" t="n">
        <v>-47.31</v>
      </c>
      <c r="F56" s="9" t="n"/>
      <c r="G56" s="18" t="n">
        <v>-2287.44</v>
      </c>
      <c r="H56" s="18" t="n">
        <v>-2918.57</v>
      </c>
      <c r="I56" s="18" t="n">
        <v>-2746.16</v>
      </c>
      <c r="J56" s="18" t="n">
        <v>-298.93</v>
      </c>
      <c r="K56" s="34" t="n">
        <v>-8251.1</v>
      </c>
      <c r="L56" s="18" t="n">
        <v>-3762.54</v>
      </c>
      <c r="M56" s="18" t="n">
        <v>-4666.72</v>
      </c>
      <c r="N56" s="18" t="n">
        <v>-2389.47</v>
      </c>
      <c r="O56" s="18" t="n">
        <v>-2435.27</v>
      </c>
      <c r="P56" s="34" t="n">
        <v>-13254</v>
      </c>
      <c r="Q56" s="18" t="n">
        <v>-290.19</v>
      </c>
      <c r="R56" s="18" t="n">
        <v>-7243.82</v>
      </c>
      <c r="S56" s="18" t="n">
        <v>-5335.44</v>
      </c>
      <c r="T56" s="18" t="n">
        <v>482.43</v>
      </c>
      <c r="U56" s="34" t="n">
        <v>-12387.02</v>
      </c>
      <c r="V56" s="18" t="n">
        <v>-2872.94</v>
      </c>
      <c r="W56" s="18" t="n">
        <v>-4335.94</v>
      </c>
      <c r="X56" s="18" t="n">
        <v>-2773.59</v>
      </c>
      <c r="Y56" s="18" t="n">
        <v>-2771.7</v>
      </c>
      <c r="Z56" s="34" t="n">
        <v>-12754.17</v>
      </c>
      <c r="AA56" s="18" t="n">
        <v>-3687.63</v>
      </c>
      <c r="AB56" s="19" t="n">
        <v>-4918.65</v>
      </c>
      <c r="AC56" s="10" t="n"/>
      <c r="AD56" s="10" t="n"/>
      <c r="AE56" s="11" t="n"/>
      <c r="AF56" s="10" t="n"/>
      <c r="AG56" s="10" t="n"/>
      <c r="AH56" s="10" t="n"/>
      <c r="AI56" s="10" t="n"/>
      <c r="AJ56" s="11" t="n"/>
      <c r="AK56" s="10" t="n"/>
      <c r="AL56" s="10" t="n"/>
      <c r="AM56" s="10" t="n"/>
      <c r="AN56" s="10" t="n"/>
      <c r="AO56" s="11" t="n"/>
    </row>
    <row r="57">
      <c r="A57" t="n">
        <v>1</v>
      </c>
      <c r="C57" t="inlineStr">
        <is>
          <t>투자활동으로인한현금흐름</t>
        </is>
      </c>
      <c r="E57" s="18" t="n">
        <v>37293.72</v>
      </c>
      <c r="F57" s="9" t="n"/>
      <c r="G57" s="18" t="n">
        <v>-23099.42</v>
      </c>
      <c r="H57" s="18" t="n">
        <v>-22845.89</v>
      </c>
      <c r="I57" s="18" t="n">
        <v>38456.78</v>
      </c>
      <c r="J57" s="18" t="n">
        <v>-15964.55</v>
      </c>
      <c r="K57" s="34" t="n">
        <v>-23453.08</v>
      </c>
      <c r="L57" s="18" t="n">
        <v>93740.50999999999</v>
      </c>
      <c r="M57" s="18" t="n">
        <v>-21265.1</v>
      </c>
      <c r="N57" s="18" t="n">
        <v>493.48</v>
      </c>
      <c r="O57" s="18" t="n">
        <v>29167.12</v>
      </c>
      <c r="P57" s="34" t="n">
        <v>102136.01</v>
      </c>
      <c r="Q57" s="18" t="n">
        <v>2334.53</v>
      </c>
      <c r="R57" s="18" t="n">
        <v>-4286.71</v>
      </c>
      <c r="S57" s="18" t="n">
        <v>6185.56</v>
      </c>
      <c r="T57" s="18" t="n">
        <v>-4816.2</v>
      </c>
      <c r="U57" s="34" t="n">
        <v>-582.8200000000001</v>
      </c>
      <c r="V57" s="18" t="n">
        <v>-9680.549999999999</v>
      </c>
      <c r="W57" s="18" t="n">
        <v>1981.52</v>
      </c>
      <c r="X57" s="18" t="n">
        <v>-7800.72</v>
      </c>
      <c r="Y57" s="18" t="n">
        <v>-5147.44</v>
      </c>
      <c r="Z57" s="34" t="n">
        <v>-20647.19</v>
      </c>
      <c r="AA57" s="18" t="n">
        <v>-31641.12</v>
      </c>
      <c r="AB57" s="19" t="n">
        <v>12950.97</v>
      </c>
      <c r="AC57" s="10" t="n"/>
      <c r="AD57" s="10" t="n"/>
      <c r="AE57" s="11" t="n"/>
      <c r="AF57" s="10" t="n"/>
      <c r="AG57" s="10" t="n"/>
      <c r="AH57" s="10" t="n"/>
      <c r="AI57" s="10" t="n"/>
      <c r="AJ57" s="11" t="n"/>
      <c r="AK57" s="10" t="n"/>
      <c r="AL57" s="10" t="n"/>
      <c r="AM57" s="10" t="n"/>
      <c r="AN57" s="10" t="n"/>
      <c r="AO57" s="11" t="n"/>
    </row>
    <row r="58">
      <c r="A58" t="n">
        <v>1</v>
      </c>
      <c r="C58" t="inlineStr">
        <is>
          <t>유형자산의증가</t>
        </is>
      </c>
      <c r="E58" s="18" t="n">
        <v>1401.8</v>
      </c>
      <c r="F58" s="9" t="n"/>
      <c r="G58" s="18" t="n">
        <v>756.83</v>
      </c>
      <c r="H58" s="18" t="n">
        <v>1219.07</v>
      </c>
      <c r="I58" s="18" t="n">
        <v>1734.53</v>
      </c>
      <c r="J58" s="18" t="n">
        <v>749.63</v>
      </c>
      <c r="K58" s="34" t="n">
        <v>4460.06</v>
      </c>
      <c r="L58" s="18" t="n">
        <v>1427.04</v>
      </c>
      <c r="M58" s="18" t="n">
        <v>954.62</v>
      </c>
      <c r="N58" s="18" t="n">
        <v>2208.62</v>
      </c>
      <c r="O58" s="18" t="n">
        <v>1899.8</v>
      </c>
      <c r="P58" s="34" t="n">
        <v>6490.08</v>
      </c>
      <c r="Q58" s="18" t="n">
        <v>418.66</v>
      </c>
      <c r="R58" s="18" t="n">
        <v>528.6799999999999</v>
      </c>
      <c r="S58" s="18" t="n">
        <v>1443.23</v>
      </c>
      <c r="T58" s="18" t="n">
        <v>1162.55</v>
      </c>
      <c r="U58" s="34" t="n">
        <v>3553.12</v>
      </c>
      <c r="V58" s="18" t="n">
        <v>2822.8</v>
      </c>
      <c r="W58" s="18" t="n">
        <v>2211.61</v>
      </c>
      <c r="X58" s="18" t="n">
        <v>933.78</v>
      </c>
      <c r="Y58" s="18" t="n">
        <v>3896.77</v>
      </c>
      <c r="Z58" s="34" t="n">
        <v>9864.959999999999</v>
      </c>
      <c r="AA58" s="18" t="n">
        <v>1087.23</v>
      </c>
      <c r="AB58" s="19" t="n">
        <v>1026.76</v>
      </c>
      <c r="AC58" s="10" t="n"/>
      <c r="AD58" s="10" t="n"/>
      <c r="AE58" s="11" t="n"/>
      <c r="AF58" s="10" t="n"/>
      <c r="AG58" s="10" t="n"/>
      <c r="AH58" s="10" t="n"/>
      <c r="AI58" s="10" t="n"/>
      <c r="AJ58" s="11" t="n"/>
      <c r="AK58" s="10" t="n"/>
      <c r="AL58" s="10" t="n"/>
      <c r="AM58" s="10" t="n"/>
      <c r="AN58" s="10" t="n"/>
      <c r="AO58" s="11" t="n"/>
    </row>
    <row r="59">
      <c r="A59" t="n">
        <v>1</v>
      </c>
      <c r="C59" t="inlineStr">
        <is>
          <t>CAPEX</t>
        </is>
      </c>
      <c r="E59" s="18" t="n">
        <v>1401.8</v>
      </c>
      <c r="F59" s="9" t="n"/>
      <c r="G59" s="18" t="n">
        <v>756.83</v>
      </c>
      <c r="H59" s="18" t="n">
        <v>1219.07</v>
      </c>
      <c r="I59" s="18" t="n">
        <v>1734.53</v>
      </c>
      <c r="J59" s="18" t="n">
        <v>749.63</v>
      </c>
      <c r="K59" s="34" t="n">
        <v>4460.06</v>
      </c>
      <c r="L59" s="18" t="n">
        <v>1427.04</v>
      </c>
      <c r="M59" s="18" t="n">
        <v>954.62</v>
      </c>
      <c r="N59" s="18" t="n">
        <v>2208.62</v>
      </c>
      <c r="O59" s="18" t="n">
        <v>1899.8</v>
      </c>
      <c r="P59" s="34" t="n">
        <v>6490.08</v>
      </c>
      <c r="Q59" s="18" t="n">
        <v>418.66</v>
      </c>
      <c r="R59" s="18" t="n">
        <v>528.6799999999999</v>
      </c>
      <c r="S59" s="18" t="n">
        <v>1443.23</v>
      </c>
      <c r="T59" s="18" t="n">
        <v>1162.55</v>
      </c>
      <c r="U59" s="34" t="n">
        <v>3553.12</v>
      </c>
      <c r="V59" s="18" t="n">
        <v>2822.8</v>
      </c>
      <c r="W59" s="18" t="n">
        <v>2211.61</v>
      </c>
      <c r="X59" s="18" t="n">
        <v>1019.45</v>
      </c>
      <c r="Y59" s="18" t="n">
        <v>3899.66</v>
      </c>
      <c r="Z59" s="34" t="n">
        <v>9953.52</v>
      </c>
      <c r="AA59" s="18" t="n">
        <v>1087.23</v>
      </c>
      <c r="AB59" s="19" t="n">
        <v>1026.76</v>
      </c>
      <c r="AC59" s="10" t="n"/>
      <c r="AD59" s="10" t="n"/>
      <c r="AE59" s="11" t="n"/>
      <c r="AF59" s="10" t="n"/>
      <c r="AG59" s="10" t="n"/>
      <c r="AH59" s="10" t="n"/>
      <c r="AI59" s="10" t="n"/>
      <c r="AJ59" s="11" t="n"/>
      <c r="AK59" s="10" t="n"/>
      <c r="AL59" s="10" t="n"/>
      <c r="AM59" s="10" t="n"/>
      <c r="AN59" s="10" t="n"/>
      <c r="AO59" s="11" t="n"/>
    </row>
    <row r="60">
      <c r="A60" t="n">
        <v>1</v>
      </c>
      <c r="C60" t="inlineStr">
        <is>
          <t>무형자산의증가</t>
        </is>
      </c>
      <c r="E60" s="18" t="n">
        <v>0</v>
      </c>
      <c r="F60" s="9" t="n"/>
      <c r="K60" s="9" t="n"/>
      <c r="P60" s="9" t="n"/>
      <c r="U60" s="9" t="n"/>
      <c r="Y60" s="18" t="n">
        <v>2.89</v>
      </c>
      <c r="Z60" s="9" t="n"/>
      <c r="AB60" s="5" t="n"/>
      <c r="AC60" s="10" t="n"/>
      <c r="AD60" s="10" t="n"/>
      <c r="AE60" s="11" t="n"/>
      <c r="AF60" s="10" t="n"/>
      <c r="AG60" s="10" t="n"/>
      <c r="AH60" s="10" t="n"/>
      <c r="AI60" s="10" t="n"/>
      <c r="AJ60" s="11" t="n"/>
      <c r="AK60" s="10" t="n"/>
      <c r="AL60" s="10" t="n"/>
      <c r="AM60" s="10" t="n"/>
      <c r="AN60" s="10" t="n"/>
      <c r="AO60" s="11" t="n"/>
    </row>
    <row r="61">
      <c r="A61" t="n">
        <v>1</v>
      </c>
      <c r="C61" t="inlineStr">
        <is>
          <t>재무활동으로인한현금흐름</t>
        </is>
      </c>
      <c r="E61" s="18" t="n">
        <v>0</v>
      </c>
      <c r="F61" s="9" t="n"/>
      <c r="I61" s="18" t="n">
        <v>0</v>
      </c>
      <c r="J61" s="18" t="n">
        <v>0</v>
      </c>
      <c r="K61" s="9" t="n"/>
      <c r="N61" s="18" t="n">
        <v>0</v>
      </c>
      <c r="O61" s="18" t="n">
        <v>-7927.92</v>
      </c>
      <c r="P61" s="9" t="n"/>
      <c r="Q61" s="18" t="n">
        <v>-8116.03</v>
      </c>
      <c r="R61" s="18" t="n">
        <v>-17122.27</v>
      </c>
      <c r="S61" s="18" t="n">
        <v>0</v>
      </c>
      <c r="T61" s="18" t="n">
        <v>0</v>
      </c>
      <c r="U61" s="34" t="n">
        <v>-25238.3</v>
      </c>
      <c r="V61" s="18" t="n">
        <v>-4850.57</v>
      </c>
      <c r="W61" s="18" t="n">
        <v>-21745.21</v>
      </c>
      <c r="X61" s="18" t="n">
        <v>-2482.21</v>
      </c>
      <c r="Y61" s="18" t="n">
        <v>-35.8</v>
      </c>
      <c r="Z61" s="34" t="n">
        <v>-29113.79</v>
      </c>
      <c r="AA61" s="18" t="n">
        <v>12.6</v>
      </c>
      <c r="AB61" s="19" t="n">
        <v>-15840.01</v>
      </c>
      <c r="AC61" s="10" t="n"/>
      <c r="AD61" s="10" t="n"/>
      <c r="AE61" s="11" t="n"/>
      <c r="AF61" s="10" t="n"/>
      <c r="AG61" s="10" t="n"/>
      <c r="AH61" s="10" t="n"/>
      <c r="AI61" s="10" t="n"/>
      <c r="AJ61" s="11" t="n"/>
      <c r="AK61" s="10" t="n"/>
      <c r="AL61" s="10" t="n"/>
      <c r="AM61" s="10" t="n"/>
      <c r="AN61" s="10" t="n"/>
      <c r="AO61" s="11" t="n"/>
    </row>
    <row r="62">
      <c r="A62" t="n">
        <v>1</v>
      </c>
      <c r="C62" t="inlineStr">
        <is>
          <t>배당금지급</t>
        </is>
      </c>
      <c r="E62" s="18" t="n">
        <v>0</v>
      </c>
      <c r="F62" s="9" t="n"/>
      <c r="I62" s="18" t="n">
        <v>0</v>
      </c>
      <c r="J62" s="18" t="n">
        <v>0</v>
      </c>
      <c r="K62" s="9" t="n"/>
      <c r="N62" s="18" t="n">
        <v>0</v>
      </c>
      <c r="O62" s="18" t="n">
        <v>0</v>
      </c>
      <c r="P62" s="9" t="n"/>
      <c r="Q62" s="18" t="n">
        <v>8116.03</v>
      </c>
      <c r="R62" s="18" t="n">
        <v>5101.6</v>
      </c>
      <c r="S62" s="18" t="n">
        <v>0</v>
      </c>
      <c r="T62" s="18" t="n">
        <v>0</v>
      </c>
      <c r="U62" s="34" t="n">
        <v>13217.63</v>
      </c>
      <c r="X62" s="18" t="n">
        <v>0</v>
      </c>
      <c r="Y62" s="18" t="n">
        <v>0</v>
      </c>
      <c r="Z62" s="9" t="n"/>
      <c r="AB62" s="5" t="n"/>
      <c r="AC62" s="10" t="n"/>
      <c r="AD62" s="10" t="n"/>
      <c r="AE62" s="11" t="n"/>
      <c r="AF62" s="10" t="n"/>
      <c r="AG62" s="10" t="n"/>
      <c r="AH62" s="10" t="n"/>
      <c r="AI62" s="10" t="n"/>
      <c r="AJ62" s="11" t="n"/>
      <c r="AK62" s="10" t="n"/>
      <c r="AL62" s="10" t="n"/>
      <c r="AM62" s="10" t="n"/>
      <c r="AN62" s="10" t="n"/>
      <c r="AO62" s="11" t="n"/>
    </row>
    <row r="63">
      <c r="A63" t="n">
        <v>1</v>
      </c>
      <c r="C63" t="inlineStr">
        <is>
          <t>현금및현금성자산의증감</t>
        </is>
      </c>
      <c r="E63" s="18" t="n">
        <v>41497.93</v>
      </c>
      <c r="F63" s="9" t="n"/>
      <c r="G63" s="18" t="n">
        <v>-20938.67</v>
      </c>
      <c r="H63" s="18" t="n">
        <v>-24859.84</v>
      </c>
      <c r="I63" s="18" t="n">
        <v>41210.86</v>
      </c>
      <c r="J63" s="18" t="n">
        <v>-5844.97</v>
      </c>
      <c r="K63" s="34" t="n">
        <v>-10432.62</v>
      </c>
      <c r="L63" s="18" t="n">
        <v>96550.39999999999</v>
      </c>
      <c r="M63" s="18" t="n">
        <v>-21844.91</v>
      </c>
      <c r="N63" s="18" t="n">
        <v>6545.66</v>
      </c>
      <c r="O63" s="18" t="n">
        <v>31947.75</v>
      </c>
      <c r="P63" s="34" t="n">
        <v>113198.9</v>
      </c>
      <c r="Q63" s="18" t="n">
        <v>10427.2</v>
      </c>
      <c r="R63" s="18" t="n">
        <v>-12733.15</v>
      </c>
      <c r="S63" s="18" t="n">
        <v>16735.87</v>
      </c>
      <c r="T63" s="18" t="n">
        <v>8265.65</v>
      </c>
      <c r="U63" s="34" t="n">
        <v>22695.57</v>
      </c>
      <c r="V63" s="18" t="n">
        <v>-6617.73</v>
      </c>
      <c r="W63" s="18" t="n">
        <v>-11464.91</v>
      </c>
      <c r="X63" s="18" t="n">
        <v>5660.69</v>
      </c>
      <c r="Y63" s="18" t="n">
        <v>7283.74</v>
      </c>
      <c r="Z63" s="34" t="n">
        <v>-5138.21</v>
      </c>
      <c r="AA63" s="18" t="n">
        <v>-19661.42</v>
      </c>
      <c r="AB63" s="19" t="n">
        <v>11690.39</v>
      </c>
      <c r="AC63" s="10" t="n"/>
      <c r="AD63" s="10" t="n"/>
      <c r="AE63" s="11" t="n"/>
      <c r="AF63" s="10" t="n"/>
      <c r="AG63" s="10" t="n"/>
      <c r="AH63" s="10" t="n"/>
      <c r="AI63" s="10" t="n"/>
      <c r="AJ63" s="11" t="n"/>
      <c r="AK63" s="10" t="n"/>
      <c r="AL63" s="10" t="n"/>
      <c r="AM63" s="10" t="n"/>
      <c r="AN63" s="10" t="n"/>
      <c r="AO63" s="11" t="n"/>
    </row>
    <row r="64">
      <c r="A64" t="n">
        <v>1</v>
      </c>
      <c r="C64" t="inlineStr">
        <is>
          <t>기말현금및현금성자산</t>
        </is>
      </c>
      <c r="E64" s="18" t="n">
        <v>41497.93</v>
      </c>
      <c r="F64" s="9" t="n"/>
      <c r="G64" s="18" t="n">
        <v>39981.9</v>
      </c>
      <c r="H64" s="18" t="n">
        <v>-24859.84</v>
      </c>
      <c r="I64" s="18" t="n">
        <v>41210.85</v>
      </c>
      <c r="J64" s="18" t="n">
        <v>-5844.96</v>
      </c>
      <c r="K64" s="34" t="n">
        <v>50487.95</v>
      </c>
      <c r="L64" s="18" t="n">
        <v>147038.35</v>
      </c>
      <c r="M64" s="18" t="n">
        <v>-21844.91</v>
      </c>
      <c r="N64" s="18" t="n">
        <v>6545.66</v>
      </c>
      <c r="O64" s="18" t="n">
        <v>31947.75</v>
      </c>
      <c r="P64" s="34" t="n">
        <v>163686.85</v>
      </c>
      <c r="Q64" s="18" t="n">
        <v>174114.05</v>
      </c>
      <c r="R64" s="18" t="n">
        <v>-12733.15</v>
      </c>
      <c r="S64" s="18" t="n">
        <v>16735.87</v>
      </c>
      <c r="T64" s="18" t="n">
        <v>8265.65</v>
      </c>
      <c r="U64" s="34" t="n">
        <v>186382.42</v>
      </c>
      <c r="V64" s="18" t="n">
        <v>179764.7</v>
      </c>
      <c r="W64" s="18" t="n">
        <v>-11464.91</v>
      </c>
      <c r="X64" s="18" t="n">
        <v>5660.68</v>
      </c>
      <c r="Y64" s="18" t="n">
        <v>7283.74</v>
      </c>
      <c r="Z64" s="34" t="n">
        <v>181244.21</v>
      </c>
      <c r="AA64" s="18" t="n">
        <v>161582.79</v>
      </c>
      <c r="AB64" s="19" t="n">
        <v>11690.39</v>
      </c>
      <c r="AC64" s="10" t="n"/>
      <c r="AD64" s="10" t="n"/>
      <c r="AE64" s="11" t="n"/>
      <c r="AF64" s="10" t="n"/>
      <c r="AG64" s="10" t="n"/>
      <c r="AH64" s="10" t="n"/>
      <c r="AI64" s="10" t="n"/>
      <c r="AJ64" s="11" t="n"/>
      <c r="AK64" s="10" t="n"/>
      <c r="AL64" s="10" t="n"/>
      <c r="AM64" s="10" t="n"/>
      <c r="AN64" s="10" t="n"/>
      <c r="AO64" s="11" t="n"/>
    </row>
    <row r="65">
      <c r="A65" t="n">
        <v>1</v>
      </c>
      <c r="C65" t="inlineStr">
        <is>
          <t>유형자산의감소</t>
        </is>
      </c>
      <c r="F65" s="9" t="n"/>
      <c r="G65" s="18" t="n">
        <v>10.09</v>
      </c>
      <c r="H65" s="18" t="n">
        <v>51.28</v>
      </c>
      <c r="I65" s="18" t="n">
        <v>2.16</v>
      </c>
      <c r="K65" s="9" t="n"/>
      <c r="L65" s="18" t="n">
        <v>83.09</v>
      </c>
      <c r="M65" s="18" t="n">
        <v>15.73</v>
      </c>
      <c r="N65" s="18" t="n">
        <v>17</v>
      </c>
      <c r="O65" s="18" t="n">
        <v>17.03</v>
      </c>
      <c r="P65" s="34" t="n">
        <v>132.85</v>
      </c>
      <c r="Q65" s="18" t="n">
        <v>1.82</v>
      </c>
      <c r="R65" s="18" t="n">
        <v>12.12</v>
      </c>
      <c r="S65" s="18" t="n">
        <v>16.18</v>
      </c>
      <c r="T65" s="18" t="n">
        <v>9.52</v>
      </c>
      <c r="U65" s="34" t="n">
        <v>39.64</v>
      </c>
      <c r="X65" s="18" t="n">
        <v>0</v>
      </c>
      <c r="Y65" s="18" t="n">
        <v>6.5</v>
      </c>
      <c r="Z65" s="9" t="n"/>
      <c r="AA65" s="18" t="n">
        <v>37.5</v>
      </c>
      <c r="AB65" s="19" t="n">
        <v>37.94</v>
      </c>
      <c r="AC65" s="10" t="n"/>
      <c r="AD65" s="10" t="n"/>
      <c r="AE65" s="11" t="n"/>
      <c r="AF65" s="10" t="n"/>
      <c r="AG65" s="10" t="n"/>
      <c r="AH65" s="10" t="n"/>
      <c r="AI65" s="10" t="n"/>
      <c r="AJ65" s="11" t="n"/>
      <c r="AK65" s="10" t="n"/>
      <c r="AL65" s="10" t="n"/>
      <c r="AM65" s="10" t="n"/>
      <c r="AN65" s="10" t="n"/>
      <c r="AO65" s="11" t="n"/>
    </row>
    <row r="66">
      <c r="A66" t="n">
        <v>1</v>
      </c>
      <c r="C66" t="inlineStr">
        <is>
          <t>자기주식의취득</t>
        </is>
      </c>
      <c r="F66" s="9" t="n"/>
      <c r="K66" s="9" t="n"/>
      <c r="P66" s="9" t="n"/>
      <c r="S66" s="18" t="n">
        <v>0</v>
      </c>
      <c r="T66" s="18" t="n">
        <v>0</v>
      </c>
      <c r="U66" s="9" t="n"/>
      <c r="V66" s="18" t="n">
        <v>4850.57</v>
      </c>
      <c r="W66" s="18" t="n">
        <v>7580.07</v>
      </c>
      <c r="X66" s="18" t="n">
        <v>2551.3</v>
      </c>
      <c r="Y66" s="18" t="n">
        <v>0</v>
      </c>
      <c r="Z66" s="34" t="n">
        <v>14981.94</v>
      </c>
      <c r="AB66" s="5" t="n"/>
      <c r="AC66" s="10" t="n"/>
      <c r="AD66" s="10" t="n"/>
      <c r="AE66" s="11" t="n"/>
      <c r="AF66" s="10" t="n"/>
      <c r="AG66" s="10" t="n"/>
      <c r="AH66" s="10" t="n"/>
      <c r="AI66" s="10" t="n"/>
      <c r="AJ66" s="11" t="n"/>
      <c r="AK66" s="10" t="n"/>
      <c r="AL66" s="10" t="n"/>
      <c r="AM66" s="10" t="n"/>
      <c r="AN66" s="10" t="n"/>
      <c r="AO66" s="11" t="n"/>
    </row>
    <row r="67">
      <c r="A67" t="n">
        <v>1</v>
      </c>
      <c r="C67" t="inlineStr">
        <is>
          <t>배당금수취(CF)</t>
        </is>
      </c>
      <c r="F67" s="9" t="n"/>
      <c r="K67" s="9" t="n"/>
      <c r="P67" s="9" t="n"/>
      <c r="U67" s="9" t="n"/>
      <c r="Y67" s="18" t="n">
        <v>660.4</v>
      </c>
      <c r="Z67" s="9" t="n"/>
      <c r="AB67" s="5" t="n"/>
      <c r="AC67" s="10" t="n"/>
      <c r="AD67" s="10" t="n"/>
      <c r="AE67" s="11" t="n"/>
      <c r="AF67" s="10" t="n"/>
      <c r="AG67" s="10" t="n"/>
      <c r="AH67" s="10" t="n"/>
      <c r="AI67" s="10" t="n"/>
      <c r="AJ67" s="11" t="n"/>
      <c r="AK67" s="10" t="n"/>
      <c r="AL67" s="10" t="n"/>
      <c r="AM67" s="10" t="n"/>
      <c r="AN67" s="10" t="n"/>
      <c r="AO67" s="11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O37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</cols>
  <sheetData>
    <row r="1">
      <c r="A1" s="1" t="inlineStr">
        <is>
          <t>YQ</t>
        </is>
      </c>
      <c r="C1" s="2" t="inlineStr">
        <is>
          <t>subQ 분기 서브모델(억원, U=100)</t>
        </is>
      </c>
      <c r="E1" s="3" t="inlineStr">
        <is>
          <t>4Q21</t>
        </is>
      </c>
      <c r="F1" s="3" t="n">
        <v>2021</v>
      </c>
      <c r="G1" s="3" t="inlineStr">
        <is>
          <t>1Q22</t>
        </is>
      </c>
      <c r="H1" s="3" t="inlineStr">
        <is>
          <t>2Q22</t>
        </is>
      </c>
      <c r="I1" s="3" t="inlineStr">
        <is>
          <t>3Q22</t>
        </is>
      </c>
      <c r="J1" s="3" t="inlineStr">
        <is>
          <t>4Q22</t>
        </is>
      </c>
      <c r="K1" s="3" t="n">
        <v>2022</v>
      </c>
      <c r="L1" s="3" t="inlineStr">
        <is>
          <t>1Q23</t>
        </is>
      </c>
      <c r="M1" s="3" t="inlineStr">
        <is>
          <t>2Q23</t>
        </is>
      </c>
      <c r="N1" s="3" t="inlineStr">
        <is>
          <t>3Q23</t>
        </is>
      </c>
      <c r="O1" s="3" t="inlineStr">
        <is>
          <t>4Q23</t>
        </is>
      </c>
      <c r="P1" s="3" t="n">
        <v>2023</v>
      </c>
      <c r="Q1" s="3" t="inlineStr">
        <is>
          <t>1Q24</t>
        </is>
      </c>
      <c r="R1" s="3" t="inlineStr">
        <is>
          <t>2Q24</t>
        </is>
      </c>
      <c r="S1" s="3" t="inlineStr">
        <is>
          <t>3Q24</t>
        </is>
      </c>
      <c r="T1" s="3" t="inlineStr">
        <is>
          <t>4Q24</t>
        </is>
      </c>
      <c r="U1" s="3" t="n">
        <v>2024</v>
      </c>
      <c r="V1" s="3" t="inlineStr">
        <is>
          <t>1Q25</t>
        </is>
      </c>
      <c r="W1" s="3" t="inlineStr">
        <is>
          <t>2Q25</t>
        </is>
      </c>
      <c r="X1" s="3" t="inlineStr">
        <is>
          <t>3Q25</t>
        </is>
      </c>
      <c r="Y1" s="3" t="inlineStr">
        <is>
          <t>4Q25</t>
        </is>
      </c>
      <c r="Z1" s="3" t="n">
        <v>2025</v>
      </c>
      <c r="AA1" s="3" t="inlineStr">
        <is>
          <t>1Q26</t>
        </is>
      </c>
      <c r="AB1" s="4" t="inlineStr">
        <is>
          <t>2Q26</t>
        </is>
      </c>
      <c r="AC1" s="3" t="inlineStr">
        <is>
          <t>3Q26</t>
        </is>
      </c>
      <c r="AD1" s="3" t="inlineStr">
        <is>
          <t>4Q26</t>
        </is>
      </c>
      <c r="AE1" s="3" t="n">
        <v>2026</v>
      </c>
      <c r="AF1" s="3" t="inlineStr">
        <is>
          <t>1Q27</t>
        </is>
      </c>
      <c r="AG1" s="3" t="inlineStr">
        <is>
          <t>2Q27</t>
        </is>
      </c>
      <c r="AH1" s="3" t="inlineStr">
        <is>
          <t>3Q27</t>
        </is>
      </c>
      <c r="AI1" s="3" t="inlineStr">
        <is>
          <t>4Q27</t>
        </is>
      </c>
      <c r="AJ1" s="3" t="n">
        <v>2027</v>
      </c>
      <c r="AK1" s="3" t="inlineStr">
        <is>
          <t>1Q28</t>
        </is>
      </c>
      <c r="AL1" s="3" t="inlineStr">
        <is>
          <t>2Q28</t>
        </is>
      </c>
      <c r="AM1" s="3" t="inlineStr">
        <is>
          <t>3Q28</t>
        </is>
      </c>
      <c r="AN1" s="3" t="inlineStr">
        <is>
          <t>4Q28</t>
        </is>
      </c>
      <c r="AO1" s="3" t="n">
        <v>2028</v>
      </c>
    </row>
    <row r="2">
      <c r="A2" s="2" t="inlineStr">
        <is>
          <t>A=이름(key) B=그룹 C=단위 D=FnGuide 계정명(VLOOKUP 키). 확정=VLOOKUP(BS), 추정=변수 가정 참조</t>
        </is>
      </c>
      <c r="AB2" s="5" t="n"/>
    </row>
    <row r="3"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6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</row>
    <row r="4">
      <c r="E4" s="7" t="inlineStr">
        <is>
          <t>2021.12</t>
        </is>
      </c>
      <c r="F4" s="7" t="inlineStr">
        <is>
          <t>2021.12A</t>
        </is>
      </c>
      <c r="G4" s="7" t="inlineStr">
        <is>
          <t>2022.03</t>
        </is>
      </c>
      <c r="H4" s="7" t="inlineStr">
        <is>
          <t>2022.06</t>
        </is>
      </c>
      <c r="I4" s="7" t="inlineStr">
        <is>
          <t>2022.09</t>
        </is>
      </c>
      <c r="J4" s="7" t="inlineStr">
        <is>
          <t>2022.12</t>
        </is>
      </c>
      <c r="K4" s="7" t="inlineStr">
        <is>
          <t>2022.12A</t>
        </is>
      </c>
      <c r="L4" s="7" t="inlineStr">
        <is>
          <t>2023.03</t>
        </is>
      </c>
      <c r="M4" s="7" t="inlineStr">
        <is>
          <t>2023.06</t>
        </is>
      </c>
      <c r="N4" s="7" t="inlineStr">
        <is>
          <t>2023.09</t>
        </is>
      </c>
      <c r="O4" s="7" t="inlineStr">
        <is>
          <t>2023.12</t>
        </is>
      </c>
      <c r="P4" s="7" t="inlineStr">
        <is>
          <t>2023.12A</t>
        </is>
      </c>
      <c r="Q4" s="7" t="inlineStr">
        <is>
          <t>2024.03</t>
        </is>
      </c>
      <c r="R4" s="7" t="inlineStr">
        <is>
          <t>2024.06</t>
        </is>
      </c>
      <c r="S4" s="7" t="inlineStr">
        <is>
          <t>2024.09</t>
        </is>
      </c>
      <c r="T4" s="7" t="inlineStr">
        <is>
          <t>2024.12</t>
        </is>
      </c>
      <c r="U4" s="7" t="inlineStr">
        <is>
          <t>2024.12A</t>
        </is>
      </c>
      <c r="V4" s="7" t="inlineStr">
        <is>
          <t>2025.03</t>
        </is>
      </c>
      <c r="W4" s="7" t="inlineStr">
        <is>
          <t>2025.06</t>
        </is>
      </c>
      <c r="X4" s="7" t="inlineStr">
        <is>
          <t>2025.09</t>
        </is>
      </c>
      <c r="Y4" s="7" t="inlineStr">
        <is>
          <t>2025.12</t>
        </is>
      </c>
      <c r="Z4" s="7" t="inlineStr">
        <is>
          <t>2025.12A</t>
        </is>
      </c>
      <c r="AA4" s="7" t="inlineStr">
        <is>
          <t>2026.03</t>
        </is>
      </c>
      <c r="AB4" s="8" t="inlineStr">
        <is>
          <t>2026.06</t>
        </is>
      </c>
      <c r="AC4" s="7" t="inlineStr">
        <is>
          <t>2026.09</t>
        </is>
      </c>
      <c r="AD4" s="7" t="inlineStr">
        <is>
          <t>2026.12</t>
        </is>
      </c>
      <c r="AE4" s="7" t="inlineStr">
        <is>
          <t>2026.12A</t>
        </is>
      </c>
      <c r="AF4" s="7" t="inlineStr">
        <is>
          <t>2027.03</t>
        </is>
      </c>
      <c r="AG4" s="7" t="inlineStr">
        <is>
          <t>2027.06</t>
        </is>
      </c>
      <c r="AH4" s="7" t="inlineStr">
        <is>
          <t>2027.09</t>
        </is>
      </c>
      <c r="AI4" s="7" t="inlineStr">
        <is>
          <t>2027.12</t>
        </is>
      </c>
      <c r="AJ4" s="7" t="inlineStr">
        <is>
          <t>2027.12A</t>
        </is>
      </c>
      <c r="AK4" s="7" t="inlineStr">
        <is>
          <t>2028.03</t>
        </is>
      </c>
      <c r="AL4" s="7" t="inlineStr">
        <is>
          <t>2028.06</t>
        </is>
      </c>
      <c r="AM4" s="7" t="inlineStr">
        <is>
          <t>2028.09</t>
        </is>
      </c>
      <c r="AN4" s="7" t="inlineStr">
        <is>
          <t>2028.12</t>
        </is>
      </c>
      <c r="AO4" s="7" t="inlineStr">
        <is>
          <t>2028.12A</t>
        </is>
      </c>
    </row>
    <row r="5">
      <c r="A5" s="12" t="inlineStr">
        <is>
          <t>매출액</t>
        </is>
      </c>
      <c r="B5" t="inlineStr">
        <is>
          <t>손익</t>
        </is>
      </c>
      <c r="C5" t="inlineStr">
        <is>
          <t>억원</t>
        </is>
      </c>
      <c r="D5" t="inlineStr">
        <is>
          <t>매출액(수익)</t>
        </is>
      </c>
      <c r="E5" s="18">
        <f>IFERROR(VLOOKUP($D5,BS연결,MATCH(E$1,BS연결H,0),0)/100,"")</f>
        <v/>
      </c>
      <c r="F5" s="34" t="n"/>
      <c r="G5" s="18">
        <f>IFERROR(VLOOKUP($D5,BS연결,MATCH(G$1,BS연결H,0),0)/100,"")</f>
        <v/>
      </c>
      <c r="H5" s="18">
        <f>IFERROR(VLOOKUP($D5,BS연결,MATCH(H$1,BS연결H,0),0)/100,"")</f>
        <v/>
      </c>
      <c r="I5" s="18">
        <f>IFERROR(VLOOKUP($D5,BS연결,MATCH(I$1,BS연결H,0),0)/100,"")</f>
        <v/>
      </c>
      <c r="J5" s="18">
        <f>IFERROR(VLOOKUP($D5,BS연결,MATCH(J$1,BS연결H,0),0)/100,"")</f>
        <v/>
      </c>
      <c r="K5" s="34">
        <f>IFERROR(VLOOKUP($D5,BS연결,MATCH(K$1,BS연결H,0),0)/100,"")</f>
        <v/>
      </c>
      <c r="L5" s="18">
        <f>IFERROR(VLOOKUP($D5,BS연결,MATCH(L$1,BS연결H,0),0)/100,"")</f>
        <v/>
      </c>
      <c r="M5" s="18">
        <f>IFERROR(VLOOKUP($D5,BS연결,MATCH(M$1,BS연결H,0),0)/100,"")</f>
        <v/>
      </c>
      <c r="N5" s="18">
        <f>IFERROR(VLOOKUP($D5,BS연결,MATCH(N$1,BS연결H,0),0)/100,"")</f>
        <v/>
      </c>
      <c r="O5" s="18">
        <f>IFERROR(VLOOKUP($D5,BS연결,MATCH(O$1,BS연결H,0),0)/100,"")</f>
        <v/>
      </c>
      <c r="P5" s="34">
        <f>IFERROR(VLOOKUP($D5,BS연결,MATCH(P$1,BS연결H,0),0)/100,"")</f>
        <v/>
      </c>
      <c r="Q5" s="18">
        <f>IFERROR(VLOOKUP($D5,BS연결,MATCH(Q$1,BS연결H,0),0)/100,"")</f>
        <v/>
      </c>
      <c r="R5" s="18">
        <f>IFERROR(VLOOKUP($D5,BS연결,MATCH(R$1,BS연결H,0),0)/100,"")</f>
        <v/>
      </c>
      <c r="S5" s="18">
        <f>IFERROR(VLOOKUP($D5,BS연결,MATCH(S$1,BS연결H,0),0)/100,"")</f>
        <v/>
      </c>
      <c r="T5" s="18">
        <f>IFERROR(VLOOKUP($D5,BS연결,MATCH(T$1,BS연결H,0),0)/100,"")</f>
        <v/>
      </c>
      <c r="U5" s="34">
        <f>IFERROR(VLOOKUP($D5,BS연결,MATCH(U$1,BS연결H,0),0)/100,"")</f>
        <v/>
      </c>
      <c r="V5" s="18">
        <f>IFERROR(VLOOKUP($D5,BS연결,MATCH(V$1,BS연결H,0),0)/100,"")</f>
        <v/>
      </c>
      <c r="W5" s="18">
        <f>IFERROR(VLOOKUP($D5,BS연결,MATCH(W$1,BS연결H,0),0)/100,"")</f>
        <v/>
      </c>
      <c r="X5" s="18">
        <f>IFERROR(VLOOKUP($D5,BS연결,MATCH(X$1,BS연결H,0),0)/100,"")</f>
        <v/>
      </c>
      <c r="Y5" s="18">
        <f>IFERROR(VLOOKUP($D5,BS연결,MATCH(Y$1,BS연결H,0),0)/100,"")</f>
        <v/>
      </c>
      <c r="Z5" s="34">
        <f>IFERROR(VLOOKUP($D5,BS연결,MATCH(Z$1,BS연결H,0),0)/100,"")</f>
        <v/>
      </c>
      <c r="AA5" s="18">
        <f>IFERROR(VLOOKUP($D5,BS연결,MATCH(AA$1,BS연결H,0),0)/100,"")</f>
        <v/>
      </c>
      <c r="AB5" s="19">
        <f>IFERROR(VLOOKUP($D5,BS연결,MATCH(AB$1,BS연결H,0),0)/100,"")</f>
        <v/>
      </c>
      <c r="AC5" s="20">
        <f>IFERROR(X5*(1+변수!AC21),"")</f>
        <v/>
      </c>
      <c r="AD5" s="20">
        <f>IFERROR(Y5*(1+변수!AD21),"")</f>
        <v/>
      </c>
      <c r="AE5" s="35">
        <f>SUM(AA5:AD5)</f>
        <v/>
      </c>
      <c r="AF5" s="20">
        <f>IFERROR(AA5*(1+변수!AF21),"")</f>
        <v/>
      </c>
      <c r="AG5" s="20">
        <f>IFERROR(AB5*(1+변수!AG21),"")</f>
        <v/>
      </c>
      <c r="AH5" s="20">
        <f>IFERROR(AC5*(1+변수!AH21),"")</f>
        <v/>
      </c>
      <c r="AI5" s="20">
        <f>IFERROR(AD5*(1+변수!AI21),"")</f>
        <v/>
      </c>
      <c r="AJ5" s="35">
        <f>SUM(AF5:AI5)</f>
        <v/>
      </c>
      <c r="AK5" s="20">
        <f>IFERROR(AF5*(1+변수!AK21),"")</f>
        <v/>
      </c>
      <c r="AL5" s="20">
        <f>IFERROR(AG5*(1+변수!AL21),"")</f>
        <v/>
      </c>
      <c r="AM5" s="20">
        <f>IFERROR(AH5*(1+변수!AM21),"")</f>
        <v/>
      </c>
      <c r="AN5" s="20">
        <f>IFERROR(AI5*(1+변수!AN21),"")</f>
        <v/>
      </c>
      <c r="AO5" s="35">
        <f>SUM(AK5:AN5)</f>
        <v/>
      </c>
    </row>
    <row r="6">
      <c r="A6" s="12" t="inlineStr">
        <is>
          <t>매출원가</t>
        </is>
      </c>
      <c r="B6" t="inlineStr">
        <is>
          <t>손익</t>
        </is>
      </c>
      <c r="C6" t="inlineStr">
        <is>
          <t>억원</t>
        </is>
      </c>
      <c r="D6" t="inlineStr">
        <is>
          <t>매출원가</t>
        </is>
      </c>
      <c r="E6" s="18">
        <f>IFERROR(VLOOKUP($D6,BS연결,MATCH(E$1,BS연결H,0),0)/100,"")</f>
        <v/>
      </c>
      <c r="F6" s="34" t="n"/>
      <c r="G6" s="18">
        <f>IFERROR(VLOOKUP($D6,BS연결,MATCH(G$1,BS연결H,0),0)/100,"")</f>
        <v/>
      </c>
      <c r="H6" s="18">
        <f>IFERROR(VLOOKUP($D6,BS연결,MATCH(H$1,BS연결H,0),0)/100,"")</f>
        <v/>
      </c>
      <c r="I6" s="18">
        <f>IFERROR(VLOOKUP($D6,BS연결,MATCH(I$1,BS연결H,0),0)/100,"")</f>
        <v/>
      </c>
      <c r="J6" s="18">
        <f>IFERROR(VLOOKUP($D6,BS연결,MATCH(J$1,BS연결H,0),0)/100,"")</f>
        <v/>
      </c>
      <c r="K6" s="34">
        <f>IFERROR(VLOOKUP($D6,BS연결,MATCH(K$1,BS연결H,0),0)/100,"")</f>
        <v/>
      </c>
      <c r="L6" s="18">
        <f>IFERROR(VLOOKUP($D6,BS연결,MATCH(L$1,BS연결H,0),0)/100,"")</f>
        <v/>
      </c>
      <c r="M6" s="18">
        <f>IFERROR(VLOOKUP($D6,BS연결,MATCH(M$1,BS연결H,0),0)/100,"")</f>
        <v/>
      </c>
      <c r="N6" s="18">
        <f>IFERROR(VLOOKUP($D6,BS연결,MATCH(N$1,BS연결H,0),0)/100,"")</f>
        <v/>
      </c>
      <c r="O6" s="18">
        <f>IFERROR(VLOOKUP($D6,BS연결,MATCH(O$1,BS연결H,0),0)/100,"")</f>
        <v/>
      </c>
      <c r="P6" s="34">
        <f>IFERROR(VLOOKUP($D6,BS연결,MATCH(P$1,BS연결H,0),0)/100,"")</f>
        <v/>
      </c>
      <c r="Q6" s="18">
        <f>IFERROR(VLOOKUP($D6,BS연결,MATCH(Q$1,BS연결H,0),0)/100,"")</f>
        <v/>
      </c>
      <c r="R6" s="18">
        <f>IFERROR(VLOOKUP($D6,BS연결,MATCH(R$1,BS연결H,0),0)/100,"")</f>
        <v/>
      </c>
      <c r="S6" s="18">
        <f>IFERROR(VLOOKUP($D6,BS연결,MATCH(S$1,BS연결H,0),0)/100,"")</f>
        <v/>
      </c>
      <c r="T6" s="18">
        <f>IFERROR(VLOOKUP($D6,BS연결,MATCH(T$1,BS연결H,0),0)/100,"")</f>
        <v/>
      </c>
      <c r="U6" s="34">
        <f>IFERROR(VLOOKUP($D6,BS연결,MATCH(U$1,BS연결H,0),0)/100,"")</f>
        <v/>
      </c>
      <c r="V6" s="18">
        <f>IFERROR(VLOOKUP($D6,BS연결,MATCH(V$1,BS연결H,0),0)/100,"")</f>
        <v/>
      </c>
      <c r="W6" s="18">
        <f>IFERROR(VLOOKUP($D6,BS연결,MATCH(W$1,BS연결H,0),0)/100,"")</f>
        <v/>
      </c>
      <c r="X6" s="18">
        <f>IFERROR(VLOOKUP($D6,BS연결,MATCH(X$1,BS연결H,0),0)/100,"")</f>
        <v/>
      </c>
      <c r="Y6" s="18">
        <f>IFERROR(VLOOKUP($D6,BS연결,MATCH(Y$1,BS연결H,0),0)/100,"")</f>
        <v/>
      </c>
      <c r="Z6" s="34">
        <f>IFERROR(VLOOKUP($D6,BS연결,MATCH(Z$1,BS연결H,0),0)/100,"")</f>
        <v/>
      </c>
      <c r="AA6" s="18">
        <f>IFERROR(VLOOKUP($D6,BS연결,MATCH(AA$1,BS연결H,0),0)/100,"")</f>
        <v/>
      </c>
      <c r="AB6" s="19">
        <f>IFERROR(VLOOKUP($D6,BS연결,MATCH(AB$1,BS연결H,0),0)/100,"")</f>
        <v/>
      </c>
      <c r="AC6" s="20">
        <f>IFERROR(AC5-AC7,"")</f>
        <v/>
      </c>
      <c r="AD6" s="20">
        <f>IFERROR(AD5-AD7,"")</f>
        <v/>
      </c>
      <c r="AE6" s="35">
        <f>SUM(AA6:AD6)</f>
        <v/>
      </c>
      <c r="AF6" s="20">
        <f>IFERROR(AF5-AF7,"")</f>
        <v/>
      </c>
      <c r="AG6" s="20">
        <f>IFERROR(AG5-AG7,"")</f>
        <v/>
      </c>
      <c r="AH6" s="20">
        <f>IFERROR(AH5-AH7,"")</f>
        <v/>
      </c>
      <c r="AI6" s="20">
        <f>IFERROR(AI5-AI7,"")</f>
        <v/>
      </c>
      <c r="AJ6" s="35">
        <f>SUM(AF6:AI6)</f>
        <v/>
      </c>
      <c r="AK6" s="20">
        <f>IFERROR(AK5-AK7,"")</f>
        <v/>
      </c>
      <c r="AL6" s="20">
        <f>IFERROR(AL5-AL7,"")</f>
        <v/>
      </c>
      <c r="AM6" s="20">
        <f>IFERROR(AM5-AM7,"")</f>
        <v/>
      </c>
      <c r="AN6" s="20">
        <f>IFERROR(AN5-AN7,"")</f>
        <v/>
      </c>
      <c r="AO6" s="35">
        <f>SUM(AK6:AN6)</f>
        <v/>
      </c>
    </row>
    <row r="7">
      <c r="A7" s="12" t="inlineStr">
        <is>
          <t>매출총이익</t>
        </is>
      </c>
      <c r="B7" t="inlineStr">
        <is>
          <t>손익</t>
        </is>
      </c>
      <c r="C7" t="inlineStr">
        <is>
          <t>억원</t>
        </is>
      </c>
      <c r="D7" t="inlineStr">
        <is>
          <t>매출총이익</t>
        </is>
      </c>
      <c r="E7" s="18">
        <f>IFERROR(VLOOKUP($D7,BS연결,MATCH(E$1,BS연결H,0),0)/100,"")</f>
        <v/>
      </c>
      <c r="F7" s="34" t="n"/>
      <c r="G7" s="18">
        <f>IFERROR(VLOOKUP($D7,BS연결,MATCH(G$1,BS연결H,0),0)/100,"")</f>
        <v/>
      </c>
      <c r="H7" s="18">
        <f>IFERROR(VLOOKUP($D7,BS연결,MATCH(H$1,BS연결H,0),0)/100,"")</f>
        <v/>
      </c>
      <c r="I7" s="18">
        <f>IFERROR(VLOOKUP($D7,BS연결,MATCH(I$1,BS연결H,0),0)/100,"")</f>
        <v/>
      </c>
      <c r="J7" s="18">
        <f>IFERROR(VLOOKUP($D7,BS연결,MATCH(J$1,BS연결H,0),0)/100,"")</f>
        <v/>
      </c>
      <c r="K7" s="34">
        <f>IFERROR(VLOOKUP($D7,BS연결,MATCH(K$1,BS연결H,0),0)/100,"")</f>
        <v/>
      </c>
      <c r="L7" s="18">
        <f>IFERROR(VLOOKUP($D7,BS연결,MATCH(L$1,BS연결H,0),0)/100,"")</f>
        <v/>
      </c>
      <c r="M7" s="18">
        <f>IFERROR(VLOOKUP($D7,BS연결,MATCH(M$1,BS연결H,0),0)/100,"")</f>
        <v/>
      </c>
      <c r="N7" s="18">
        <f>IFERROR(VLOOKUP($D7,BS연결,MATCH(N$1,BS연결H,0),0)/100,"")</f>
        <v/>
      </c>
      <c r="O7" s="18">
        <f>IFERROR(VLOOKUP($D7,BS연결,MATCH(O$1,BS연결H,0),0)/100,"")</f>
        <v/>
      </c>
      <c r="P7" s="34">
        <f>IFERROR(VLOOKUP($D7,BS연결,MATCH(P$1,BS연결H,0),0)/100,"")</f>
        <v/>
      </c>
      <c r="Q7" s="18">
        <f>IFERROR(VLOOKUP($D7,BS연결,MATCH(Q$1,BS연결H,0),0)/100,"")</f>
        <v/>
      </c>
      <c r="R7" s="18">
        <f>IFERROR(VLOOKUP($D7,BS연결,MATCH(R$1,BS연결H,0),0)/100,"")</f>
        <v/>
      </c>
      <c r="S7" s="18">
        <f>IFERROR(VLOOKUP($D7,BS연결,MATCH(S$1,BS연결H,0),0)/100,"")</f>
        <v/>
      </c>
      <c r="T7" s="18">
        <f>IFERROR(VLOOKUP($D7,BS연결,MATCH(T$1,BS연결H,0),0)/100,"")</f>
        <v/>
      </c>
      <c r="U7" s="34">
        <f>IFERROR(VLOOKUP($D7,BS연결,MATCH(U$1,BS연결H,0),0)/100,"")</f>
        <v/>
      </c>
      <c r="V7" s="18">
        <f>IFERROR(VLOOKUP($D7,BS연결,MATCH(V$1,BS연결H,0),0)/100,"")</f>
        <v/>
      </c>
      <c r="W7" s="18">
        <f>IFERROR(VLOOKUP($D7,BS연결,MATCH(W$1,BS연결H,0),0)/100,"")</f>
        <v/>
      </c>
      <c r="X7" s="18">
        <f>IFERROR(VLOOKUP($D7,BS연결,MATCH(X$1,BS연결H,0),0)/100,"")</f>
        <v/>
      </c>
      <c r="Y7" s="18">
        <f>IFERROR(VLOOKUP($D7,BS연결,MATCH(Y$1,BS연결H,0),0)/100,"")</f>
        <v/>
      </c>
      <c r="Z7" s="34">
        <f>IFERROR(VLOOKUP($D7,BS연결,MATCH(Z$1,BS연결H,0),0)/100,"")</f>
        <v/>
      </c>
      <c r="AA7" s="18">
        <f>IFERROR(VLOOKUP($D7,BS연결,MATCH(AA$1,BS연결H,0),0)/100,"")</f>
        <v/>
      </c>
      <c r="AB7" s="19">
        <f>IFERROR(VLOOKUP($D7,BS연결,MATCH(AB$1,BS연결H,0),0)/100,"")</f>
        <v/>
      </c>
      <c r="AC7" s="20">
        <f>IFERROR(AC9+AC8,"")</f>
        <v/>
      </c>
      <c r="AD7" s="20">
        <f>IFERROR(AD9+AD8,"")</f>
        <v/>
      </c>
      <c r="AE7" s="35">
        <f>SUM(AA7:AD7)</f>
        <v/>
      </c>
      <c r="AF7" s="20">
        <f>IFERROR(AF9+AF8,"")</f>
        <v/>
      </c>
      <c r="AG7" s="20">
        <f>IFERROR(AG9+AG8,"")</f>
        <v/>
      </c>
      <c r="AH7" s="20">
        <f>IFERROR(AH9+AH8,"")</f>
        <v/>
      </c>
      <c r="AI7" s="20">
        <f>IFERROR(AI9+AI8,"")</f>
        <v/>
      </c>
      <c r="AJ7" s="35">
        <f>SUM(AF7:AI7)</f>
        <v/>
      </c>
      <c r="AK7" s="20">
        <f>IFERROR(AK9+AK8,"")</f>
        <v/>
      </c>
      <c r="AL7" s="20">
        <f>IFERROR(AL9+AL8,"")</f>
        <v/>
      </c>
      <c r="AM7" s="20">
        <f>IFERROR(AM9+AM8,"")</f>
        <v/>
      </c>
      <c r="AN7" s="20">
        <f>IFERROR(AN9+AN8,"")</f>
        <v/>
      </c>
      <c r="AO7" s="35">
        <f>SUM(AK7:AN7)</f>
        <v/>
      </c>
    </row>
    <row r="8">
      <c r="A8" s="12" t="inlineStr">
        <is>
          <t>판관비</t>
        </is>
      </c>
      <c r="B8" t="inlineStr">
        <is>
          <t>손익</t>
        </is>
      </c>
      <c r="C8" t="inlineStr">
        <is>
          <t>억원</t>
        </is>
      </c>
      <c r="D8" t="inlineStr">
        <is>
          <t>판관비</t>
        </is>
      </c>
      <c r="E8" s="18">
        <f>IFERROR(VLOOKUP($D8,BS연결,MATCH(E$1,BS연결H,0),0)/100,"")</f>
        <v/>
      </c>
      <c r="F8" s="34" t="n"/>
      <c r="G8" s="18">
        <f>IFERROR(VLOOKUP($D8,BS연결,MATCH(G$1,BS연결H,0),0)/100,"")</f>
        <v/>
      </c>
      <c r="H8" s="18">
        <f>IFERROR(VLOOKUP($D8,BS연결,MATCH(H$1,BS연결H,0),0)/100,"")</f>
        <v/>
      </c>
      <c r="I8" s="18">
        <f>IFERROR(VLOOKUP($D8,BS연결,MATCH(I$1,BS연결H,0),0)/100,"")</f>
        <v/>
      </c>
      <c r="J8" s="18">
        <f>IFERROR(VLOOKUP($D8,BS연결,MATCH(J$1,BS연결H,0),0)/100,"")</f>
        <v/>
      </c>
      <c r="K8" s="34">
        <f>IFERROR(VLOOKUP($D8,BS연결,MATCH(K$1,BS연결H,0),0)/100,"")</f>
        <v/>
      </c>
      <c r="L8" s="18">
        <f>IFERROR(VLOOKUP($D8,BS연결,MATCH(L$1,BS연결H,0),0)/100,"")</f>
        <v/>
      </c>
      <c r="M8" s="18">
        <f>IFERROR(VLOOKUP($D8,BS연결,MATCH(M$1,BS연결H,0),0)/100,"")</f>
        <v/>
      </c>
      <c r="N8" s="18">
        <f>IFERROR(VLOOKUP($D8,BS연결,MATCH(N$1,BS연결H,0),0)/100,"")</f>
        <v/>
      </c>
      <c r="O8" s="18">
        <f>IFERROR(VLOOKUP($D8,BS연결,MATCH(O$1,BS연결H,0),0)/100,"")</f>
        <v/>
      </c>
      <c r="P8" s="34">
        <f>IFERROR(VLOOKUP($D8,BS연결,MATCH(P$1,BS연결H,0),0)/100,"")</f>
        <v/>
      </c>
      <c r="Q8" s="18">
        <f>IFERROR(VLOOKUP($D8,BS연결,MATCH(Q$1,BS연결H,0),0)/100,"")</f>
        <v/>
      </c>
      <c r="R8" s="18">
        <f>IFERROR(VLOOKUP($D8,BS연결,MATCH(R$1,BS연결H,0),0)/100,"")</f>
        <v/>
      </c>
      <c r="S8" s="18">
        <f>IFERROR(VLOOKUP($D8,BS연결,MATCH(S$1,BS연결H,0),0)/100,"")</f>
        <v/>
      </c>
      <c r="T8" s="18">
        <f>IFERROR(VLOOKUP($D8,BS연결,MATCH(T$1,BS연결H,0),0)/100,"")</f>
        <v/>
      </c>
      <c r="U8" s="34">
        <f>IFERROR(VLOOKUP($D8,BS연결,MATCH(U$1,BS연결H,0),0)/100,"")</f>
        <v/>
      </c>
      <c r="V8" s="18">
        <f>IFERROR(VLOOKUP($D8,BS연결,MATCH(V$1,BS연결H,0),0)/100,"")</f>
        <v/>
      </c>
      <c r="W8" s="18">
        <f>IFERROR(VLOOKUP($D8,BS연결,MATCH(W$1,BS연결H,0),0)/100,"")</f>
        <v/>
      </c>
      <c r="X8" s="18">
        <f>IFERROR(VLOOKUP($D8,BS연결,MATCH(X$1,BS연결H,0),0)/100,"")</f>
        <v/>
      </c>
      <c r="Y8" s="18">
        <f>IFERROR(VLOOKUP($D8,BS연결,MATCH(Y$1,BS연결H,0),0)/100,"")</f>
        <v/>
      </c>
      <c r="Z8" s="34">
        <f>IFERROR(VLOOKUP($D8,BS연결,MATCH(Z$1,BS연결H,0),0)/100,"")</f>
        <v/>
      </c>
      <c r="AA8" s="18">
        <f>IFERROR(VLOOKUP($D8,BS연결,MATCH(AA$1,BS연결H,0),0)/100,"")</f>
        <v/>
      </c>
      <c r="AB8" s="19">
        <f>IFERROR(VLOOKUP($D8,BS연결,MATCH(AB$1,BS연결H,0),0)/100,"")</f>
        <v/>
      </c>
      <c r="AC8" s="20">
        <f>IFERROR(AC5*변수!AC22,"")</f>
        <v/>
      </c>
      <c r="AD8" s="20">
        <f>IFERROR(AD5*변수!AD22,"")</f>
        <v/>
      </c>
      <c r="AE8" s="35">
        <f>SUM(AA8:AD8)</f>
        <v/>
      </c>
      <c r="AF8" s="20">
        <f>IFERROR(AF5*변수!AF22,"")</f>
        <v/>
      </c>
      <c r="AG8" s="20">
        <f>IFERROR(AG5*변수!AG22,"")</f>
        <v/>
      </c>
      <c r="AH8" s="20">
        <f>IFERROR(AH5*변수!AH22,"")</f>
        <v/>
      </c>
      <c r="AI8" s="20">
        <f>IFERROR(AI5*변수!AI22,"")</f>
        <v/>
      </c>
      <c r="AJ8" s="35">
        <f>SUM(AF8:AI8)</f>
        <v/>
      </c>
      <c r="AK8" s="20">
        <f>IFERROR(AK5*변수!AK22,"")</f>
        <v/>
      </c>
      <c r="AL8" s="20">
        <f>IFERROR(AL5*변수!AL22,"")</f>
        <v/>
      </c>
      <c r="AM8" s="20">
        <f>IFERROR(AM5*변수!AM22,"")</f>
        <v/>
      </c>
      <c r="AN8" s="20">
        <f>IFERROR(AN5*변수!AN22,"")</f>
        <v/>
      </c>
      <c r="AO8" s="35">
        <f>SUM(AK8:AN8)</f>
        <v/>
      </c>
    </row>
    <row r="9">
      <c r="A9" s="12" t="inlineStr">
        <is>
          <t>영업이익</t>
        </is>
      </c>
      <c r="B9" t="inlineStr">
        <is>
          <t>손익</t>
        </is>
      </c>
      <c r="C9" t="inlineStr">
        <is>
          <t>억원</t>
        </is>
      </c>
      <c r="D9" t="inlineStr">
        <is>
          <t>영업이익</t>
        </is>
      </c>
      <c r="E9" s="18">
        <f>IFERROR(VLOOKUP($D9,BS연결,MATCH(E$1,BS연결H,0),0)/100,"")</f>
        <v/>
      </c>
      <c r="F9" s="34" t="n"/>
      <c r="G9" s="18">
        <f>IFERROR(VLOOKUP($D9,BS연결,MATCH(G$1,BS연결H,0),0)/100,"")</f>
        <v/>
      </c>
      <c r="H9" s="18">
        <f>IFERROR(VLOOKUP($D9,BS연결,MATCH(H$1,BS연결H,0),0)/100,"")</f>
        <v/>
      </c>
      <c r="I9" s="18">
        <f>IFERROR(VLOOKUP($D9,BS연결,MATCH(I$1,BS연결H,0),0)/100,"")</f>
        <v/>
      </c>
      <c r="J9" s="18">
        <f>IFERROR(VLOOKUP($D9,BS연결,MATCH(J$1,BS연결H,0),0)/100,"")</f>
        <v/>
      </c>
      <c r="K9" s="34">
        <f>IFERROR(VLOOKUP($D9,BS연결,MATCH(K$1,BS연결H,0),0)/100,"")</f>
        <v/>
      </c>
      <c r="L9" s="18">
        <f>IFERROR(VLOOKUP($D9,BS연결,MATCH(L$1,BS연결H,0),0)/100,"")</f>
        <v/>
      </c>
      <c r="M9" s="18">
        <f>IFERROR(VLOOKUP($D9,BS연결,MATCH(M$1,BS연결H,0),0)/100,"")</f>
        <v/>
      </c>
      <c r="N9" s="18">
        <f>IFERROR(VLOOKUP($D9,BS연결,MATCH(N$1,BS연결H,0),0)/100,"")</f>
        <v/>
      </c>
      <c r="O9" s="18">
        <f>IFERROR(VLOOKUP($D9,BS연결,MATCH(O$1,BS연결H,0),0)/100,"")</f>
        <v/>
      </c>
      <c r="P9" s="34">
        <f>IFERROR(VLOOKUP($D9,BS연결,MATCH(P$1,BS연결H,0),0)/100,"")</f>
        <v/>
      </c>
      <c r="Q9" s="18">
        <f>IFERROR(VLOOKUP($D9,BS연결,MATCH(Q$1,BS연결H,0),0)/100,"")</f>
        <v/>
      </c>
      <c r="R9" s="18">
        <f>IFERROR(VLOOKUP($D9,BS연결,MATCH(R$1,BS연결H,0),0)/100,"")</f>
        <v/>
      </c>
      <c r="S9" s="18">
        <f>IFERROR(VLOOKUP($D9,BS연결,MATCH(S$1,BS연결H,0),0)/100,"")</f>
        <v/>
      </c>
      <c r="T9" s="18">
        <f>IFERROR(VLOOKUP($D9,BS연결,MATCH(T$1,BS연결H,0),0)/100,"")</f>
        <v/>
      </c>
      <c r="U9" s="34">
        <f>IFERROR(VLOOKUP($D9,BS연결,MATCH(U$1,BS연결H,0),0)/100,"")</f>
        <v/>
      </c>
      <c r="V9" s="18">
        <f>IFERROR(VLOOKUP($D9,BS연결,MATCH(V$1,BS연결H,0),0)/100,"")</f>
        <v/>
      </c>
      <c r="W9" s="18">
        <f>IFERROR(VLOOKUP($D9,BS연결,MATCH(W$1,BS연결H,0),0)/100,"")</f>
        <v/>
      </c>
      <c r="X9" s="18">
        <f>IFERROR(VLOOKUP($D9,BS연결,MATCH(X$1,BS연결H,0),0)/100,"")</f>
        <v/>
      </c>
      <c r="Y9" s="18">
        <f>IFERROR(VLOOKUP($D9,BS연결,MATCH(Y$1,BS연결H,0),0)/100,"")</f>
        <v/>
      </c>
      <c r="Z9" s="34">
        <f>IFERROR(VLOOKUP($D9,BS연결,MATCH(Z$1,BS연결H,0),0)/100,"")</f>
        <v/>
      </c>
      <c r="AA9" s="18">
        <f>IFERROR(VLOOKUP($D9,BS연결,MATCH(AA$1,BS연결H,0),0)/100,"")</f>
        <v/>
      </c>
      <c r="AB9" s="19">
        <f>IFERROR(VLOOKUP($D9,BS연결,MATCH(AB$1,BS연결H,0),0)/100,"")</f>
        <v/>
      </c>
      <c r="AC9" s="20">
        <f>IFERROR(AC5*변수!AC23,"")</f>
        <v/>
      </c>
      <c r="AD9" s="20">
        <f>IFERROR(AD5*변수!AD23,"")</f>
        <v/>
      </c>
      <c r="AE9" s="35">
        <f>SUM(AA9:AD9)</f>
        <v/>
      </c>
      <c r="AF9" s="20">
        <f>IFERROR(AF5*변수!AF23,"")</f>
        <v/>
      </c>
      <c r="AG9" s="20">
        <f>IFERROR(AG5*변수!AG23,"")</f>
        <v/>
      </c>
      <c r="AH9" s="20">
        <f>IFERROR(AH5*변수!AH23,"")</f>
        <v/>
      </c>
      <c r="AI9" s="20">
        <f>IFERROR(AI5*변수!AI23,"")</f>
        <v/>
      </c>
      <c r="AJ9" s="35">
        <f>SUM(AF9:AI9)</f>
        <v/>
      </c>
      <c r="AK9" s="20">
        <f>IFERROR(AK5*변수!AK23,"")</f>
        <v/>
      </c>
      <c r="AL9" s="20">
        <f>IFERROR(AL5*변수!AL23,"")</f>
        <v/>
      </c>
      <c r="AM9" s="20">
        <f>IFERROR(AM5*변수!AM23,"")</f>
        <v/>
      </c>
      <c r="AN9" s="20">
        <f>IFERROR(AN5*변수!AN23,"")</f>
        <v/>
      </c>
      <c r="AO9" s="35">
        <f>SUM(AK9:AN9)</f>
        <v/>
      </c>
    </row>
    <row r="10">
      <c r="A10" s="12" t="inlineStr">
        <is>
          <t>OPM</t>
        </is>
      </c>
      <c r="B10" t="inlineStr">
        <is>
          <t>손익</t>
        </is>
      </c>
      <c r="C10" t="inlineStr">
        <is>
          <t>%</t>
        </is>
      </c>
      <c r="D10" t="inlineStr">
        <is>
          <t>영업이익률</t>
        </is>
      </c>
      <c r="E10" s="18" t="n">
        <v>0.1103</v>
      </c>
      <c r="F10" s="34" t="n"/>
      <c r="G10" s="18" t="n">
        <v>0.153</v>
      </c>
      <c r="H10" s="18" t="n">
        <v>0.203</v>
      </c>
      <c r="I10" s="18" t="n">
        <v>0.2356</v>
      </c>
      <c r="J10" s="18" t="n">
        <v>0.2748</v>
      </c>
      <c r="K10" s="34">
        <f>SUM(G10:J10)</f>
        <v/>
      </c>
      <c r="L10" s="18" t="n">
        <v>0.2454</v>
      </c>
      <c r="M10" s="18" t="n">
        <v>0.3098</v>
      </c>
      <c r="N10" s="18" t="n">
        <v>0.3036</v>
      </c>
      <c r="O10" s="18" t="n">
        <v>0.2378</v>
      </c>
      <c r="P10" s="34">
        <f>SUM(L10:O10)</f>
        <v/>
      </c>
      <c r="Q10" s="18" t="n">
        <v>0.3092</v>
      </c>
      <c r="R10" s="18" t="n">
        <v>0.3189</v>
      </c>
      <c r="S10" s="18" t="n">
        <v>0.3015</v>
      </c>
      <c r="T10" s="18" t="n">
        <v>0.1293</v>
      </c>
      <c r="U10" s="34">
        <f>SUM(Q10:T10)</f>
        <v/>
      </c>
      <c r="V10" s="18" t="n">
        <v>0.2591</v>
      </c>
      <c r="W10" s="18" t="n">
        <v>0.3024</v>
      </c>
      <c r="X10" s="18" t="n">
        <v>0.2637</v>
      </c>
      <c r="Y10" s="18" t="n">
        <v>0.2717</v>
      </c>
      <c r="Z10" s="34">
        <f>SUM(V10:Y10)</f>
        <v/>
      </c>
      <c r="AA10" s="18" t="n">
        <v>0.2897</v>
      </c>
      <c r="AB10" s="19" t="n">
        <v>0.2868</v>
      </c>
      <c r="AC10" s="20">
        <f>IFERROR(X10*(1+변수!AC24),"")</f>
        <v/>
      </c>
      <c r="AD10" s="20">
        <f>IFERROR(Y10*(1+변수!AD24),"")</f>
        <v/>
      </c>
      <c r="AE10" s="35">
        <f>SUM(AA10:AD10)</f>
        <v/>
      </c>
      <c r="AF10" s="20">
        <f>IFERROR(AA10*(1+변수!AF24),"")</f>
        <v/>
      </c>
      <c r="AG10" s="20">
        <f>IFERROR(AB10*(1+변수!AG24),"")</f>
        <v/>
      </c>
      <c r="AH10" s="20">
        <f>IFERROR(AC10*(1+변수!AH24),"")</f>
        <v/>
      </c>
      <c r="AI10" s="20">
        <f>IFERROR(AD10*(1+변수!AI24),"")</f>
        <v/>
      </c>
      <c r="AJ10" s="35">
        <f>SUM(AF10:AI10)</f>
        <v/>
      </c>
      <c r="AK10" s="20">
        <f>IFERROR(AF10*(1+변수!AK24),"")</f>
        <v/>
      </c>
      <c r="AL10" s="20">
        <f>IFERROR(AG10*(1+변수!AL24),"")</f>
        <v/>
      </c>
      <c r="AM10" s="20">
        <f>IFERROR(AH10*(1+변수!AM24),"")</f>
        <v/>
      </c>
      <c r="AN10" s="20">
        <f>IFERROR(AI10*(1+변수!AN24),"")</f>
        <v/>
      </c>
      <c r="AO10" s="35">
        <f>SUM(AK10:AN10)</f>
        <v/>
      </c>
    </row>
    <row r="11">
      <c r="A11" s="12" t="inlineStr">
        <is>
          <t>금융손익</t>
        </is>
      </c>
      <c r="B11" t="inlineStr">
        <is>
          <t>손익</t>
        </is>
      </c>
      <c r="C11" t="inlineStr">
        <is>
          <t>억원</t>
        </is>
      </c>
      <c r="D11" t="inlineStr">
        <is>
          <t>금융손익</t>
        </is>
      </c>
      <c r="E11" s="18">
        <f>IFERROR(VLOOKUP($D11,BS연결,MATCH(E$1,BS연결H,0),0)/100,"")</f>
        <v/>
      </c>
      <c r="F11" s="34" t="n"/>
      <c r="G11" s="18">
        <f>IFERROR(VLOOKUP($D11,BS연결,MATCH(G$1,BS연결H,0),0)/100,"")</f>
        <v/>
      </c>
      <c r="H11" s="18">
        <f>IFERROR(VLOOKUP($D11,BS연결,MATCH(H$1,BS연결H,0),0)/100,"")</f>
        <v/>
      </c>
      <c r="I11" s="18">
        <f>IFERROR(VLOOKUP($D11,BS연결,MATCH(I$1,BS연결H,0),0)/100,"")</f>
        <v/>
      </c>
      <c r="J11" s="18">
        <f>IFERROR(VLOOKUP($D11,BS연결,MATCH(J$1,BS연결H,0),0)/100,"")</f>
        <v/>
      </c>
      <c r="K11" s="34">
        <f>IFERROR(VLOOKUP($D11,BS연결,MATCH(K$1,BS연결H,0),0)/100,"")</f>
        <v/>
      </c>
      <c r="L11" s="18">
        <f>IFERROR(VLOOKUP($D11,BS연결,MATCH(L$1,BS연결H,0),0)/100,"")</f>
        <v/>
      </c>
      <c r="M11" s="18">
        <f>IFERROR(VLOOKUP($D11,BS연결,MATCH(M$1,BS연결H,0),0)/100,"")</f>
        <v/>
      </c>
      <c r="N11" s="18">
        <f>IFERROR(VLOOKUP($D11,BS연결,MATCH(N$1,BS연결H,0),0)/100,"")</f>
        <v/>
      </c>
      <c r="O11" s="18">
        <f>IFERROR(VLOOKUP($D11,BS연결,MATCH(O$1,BS연결H,0),0)/100,"")</f>
        <v/>
      </c>
      <c r="P11" s="34">
        <f>IFERROR(VLOOKUP($D11,BS연결,MATCH(P$1,BS연결H,0),0)/100,"")</f>
        <v/>
      </c>
      <c r="Q11" s="18">
        <f>IFERROR(VLOOKUP($D11,BS연결,MATCH(Q$1,BS연결H,0),0)/100,"")</f>
        <v/>
      </c>
      <c r="R11" s="18">
        <f>IFERROR(VLOOKUP($D11,BS연결,MATCH(R$1,BS연결H,0),0)/100,"")</f>
        <v/>
      </c>
      <c r="S11" s="18">
        <f>IFERROR(VLOOKUP($D11,BS연결,MATCH(S$1,BS연결H,0),0)/100,"")</f>
        <v/>
      </c>
      <c r="T11" s="18">
        <f>IFERROR(VLOOKUP($D11,BS연결,MATCH(T$1,BS연결H,0),0)/100,"")</f>
        <v/>
      </c>
      <c r="U11" s="34">
        <f>IFERROR(VLOOKUP($D11,BS연결,MATCH(U$1,BS연결H,0),0)/100,"")</f>
        <v/>
      </c>
      <c r="V11" s="18">
        <f>IFERROR(VLOOKUP($D11,BS연결,MATCH(V$1,BS연결H,0),0)/100,"")</f>
        <v/>
      </c>
      <c r="W11" s="18">
        <f>IFERROR(VLOOKUP($D11,BS연결,MATCH(W$1,BS연결H,0),0)/100,"")</f>
        <v/>
      </c>
      <c r="X11" s="18">
        <f>IFERROR(VLOOKUP($D11,BS연결,MATCH(X$1,BS연결H,0),0)/100,"")</f>
        <v/>
      </c>
      <c r="Y11" s="18">
        <f>IFERROR(VLOOKUP($D11,BS연결,MATCH(Y$1,BS연결H,0),0)/100,"")</f>
        <v/>
      </c>
      <c r="Z11" s="34">
        <f>IFERROR(VLOOKUP($D11,BS연결,MATCH(Z$1,BS연결H,0),0)/100,"")</f>
        <v/>
      </c>
      <c r="AA11" s="18">
        <f>IFERROR(VLOOKUP($D11,BS연결,MATCH(AA$1,BS연결H,0),0)/100,"")</f>
        <v/>
      </c>
      <c r="AB11" s="19">
        <f>IFERROR(VLOOKUP($D11,BS연결,MATCH(AB$1,BS연결H,0),0)/100,"")</f>
        <v/>
      </c>
      <c r="AC11" s="20">
        <f>변수!AC25</f>
        <v/>
      </c>
      <c r="AD11" s="20">
        <f>변수!AD25</f>
        <v/>
      </c>
      <c r="AE11" s="35">
        <f>SUM(AA11:AD11)</f>
        <v/>
      </c>
      <c r="AF11" s="20">
        <f>변수!AF25</f>
        <v/>
      </c>
      <c r="AG11" s="20">
        <f>변수!AG25</f>
        <v/>
      </c>
      <c r="AH11" s="20">
        <f>변수!AH25</f>
        <v/>
      </c>
      <c r="AI11" s="20">
        <f>변수!AI25</f>
        <v/>
      </c>
      <c r="AJ11" s="35">
        <f>SUM(AF11:AI11)</f>
        <v/>
      </c>
      <c r="AK11" s="20">
        <f>변수!AK25</f>
        <v/>
      </c>
      <c r="AL11" s="20">
        <f>변수!AL25</f>
        <v/>
      </c>
      <c r="AM11" s="20">
        <f>변수!AM25</f>
        <v/>
      </c>
      <c r="AN11" s="20">
        <f>변수!AN25</f>
        <v/>
      </c>
      <c r="AO11" s="35">
        <f>SUM(AK11:AN11)</f>
        <v/>
      </c>
    </row>
    <row r="12">
      <c r="A12" s="12" t="inlineStr">
        <is>
          <t>기타영업외손익</t>
        </is>
      </c>
      <c r="B12" t="inlineStr">
        <is>
          <t>손익</t>
        </is>
      </c>
      <c r="C12" t="inlineStr">
        <is>
          <t>억원</t>
        </is>
      </c>
      <c r="D12" t="inlineStr">
        <is>
          <t>기타영업외손익</t>
        </is>
      </c>
      <c r="E12" s="18">
        <f>IFERROR(VLOOKUP($D12,BS연결,MATCH(E$1,BS연결H,0),0)/100,"")</f>
        <v/>
      </c>
      <c r="F12" s="34" t="n"/>
      <c r="G12" s="18">
        <f>IFERROR(VLOOKUP($D12,BS연결,MATCH(G$1,BS연결H,0),0)/100,"")</f>
        <v/>
      </c>
      <c r="H12" s="18">
        <f>IFERROR(VLOOKUP($D12,BS연결,MATCH(H$1,BS연결H,0),0)/100,"")</f>
        <v/>
      </c>
      <c r="I12" s="18">
        <f>IFERROR(VLOOKUP($D12,BS연결,MATCH(I$1,BS연결H,0),0)/100,"")</f>
        <v/>
      </c>
      <c r="J12" s="18">
        <f>IFERROR(VLOOKUP($D12,BS연결,MATCH(J$1,BS연결H,0),0)/100,"")</f>
        <v/>
      </c>
      <c r="K12" s="34">
        <f>IFERROR(VLOOKUP($D12,BS연결,MATCH(K$1,BS연결H,0),0)/100,"")</f>
        <v/>
      </c>
      <c r="L12" s="18">
        <f>IFERROR(VLOOKUP($D12,BS연결,MATCH(L$1,BS연결H,0),0)/100,"")</f>
        <v/>
      </c>
      <c r="M12" s="18">
        <f>IFERROR(VLOOKUP($D12,BS연결,MATCH(M$1,BS연결H,0),0)/100,"")</f>
        <v/>
      </c>
      <c r="N12" s="18">
        <f>IFERROR(VLOOKUP($D12,BS연결,MATCH(N$1,BS연결H,0),0)/100,"")</f>
        <v/>
      </c>
      <c r="O12" s="18">
        <f>IFERROR(VLOOKUP($D12,BS연결,MATCH(O$1,BS연결H,0),0)/100,"")</f>
        <v/>
      </c>
      <c r="P12" s="34">
        <f>IFERROR(VLOOKUP($D12,BS연결,MATCH(P$1,BS연결H,0),0)/100,"")</f>
        <v/>
      </c>
      <c r="Q12" s="18">
        <f>IFERROR(VLOOKUP($D12,BS연결,MATCH(Q$1,BS연결H,0),0)/100,"")</f>
        <v/>
      </c>
      <c r="R12" s="18">
        <f>IFERROR(VLOOKUP($D12,BS연결,MATCH(R$1,BS연결H,0),0)/100,"")</f>
        <v/>
      </c>
      <c r="S12" s="18">
        <f>IFERROR(VLOOKUP($D12,BS연결,MATCH(S$1,BS연결H,0),0)/100,"")</f>
        <v/>
      </c>
      <c r="T12" s="18">
        <f>IFERROR(VLOOKUP($D12,BS연결,MATCH(T$1,BS연결H,0),0)/100,"")</f>
        <v/>
      </c>
      <c r="U12" s="34">
        <f>IFERROR(VLOOKUP($D12,BS연결,MATCH(U$1,BS연결H,0),0)/100,"")</f>
        <v/>
      </c>
      <c r="V12" s="18">
        <f>IFERROR(VLOOKUP($D12,BS연결,MATCH(V$1,BS연결H,0),0)/100,"")</f>
        <v/>
      </c>
      <c r="W12" s="18">
        <f>IFERROR(VLOOKUP($D12,BS연결,MATCH(W$1,BS연결H,0),0)/100,"")</f>
        <v/>
      </c>
      <c r="X12" s="18">
        <f>IFERROR(VLOOKUP($D12,BS연결,MATCH(X$1,BS연결H,0),0)/100,"")</f>
        <v/>
      </c>
      <c r="Y12" s="18">
        <f>IFERROR(VLOOKUP($D12,BS연결,MATCH(Y$1,BS연결H,0),0)/100,"")</f>
        <v/>
      </c>
      <c r="Z12" s="34">
        <f>IFERROR(VLOOKUP($D12,BS연결,MATCH(Z$1,BS연결H,0),0)/100,"")</f>
        <v/>
      </c>
      <c r="AA12" s="18">
        <f>IFERROR(VLOOKUP($D12,BS연결,MATCH(AA$1,BS연결H,0),0)/100,"")</f>
        <v/>
      </c>
      <c r="AB12" s="19">
        <f>IFERROR(VLOOKUP($D12,BS연결,MATCH(AB$1,BS연결H,0),0)/100,"")</f>
        <v/>
      </c>
      <c r="AC12" s="20">
        <f>변수!AC26</f>
        <v/>
      </c>
      <c r="AD12" s="20">
        <f>변수!AD26</f>
        <v/>
      </c>
      <c r="AE12" s="35">
        <f>SUM(AA12:AD12)</f>
        <v/>
      </c>
      <c r="AF12" s="20">
        <f>변수!AF26</f>
        <v/>
      </c>
      <c r="AG12" s="20">
        <f>변수!AG26</f>
        <v/>
      </c>
      <c r="AH12" s="20">
        <f>변수!AH26</f>
        <v/>
      </c>
      <c r="AI12" s="20">
        <f>변수!AI26</f>
        <v/>
      </c>
      <c r="AJ12" s="35">
        <f>SUM(AF12:AI12)</f>
        <v/>
      </c>
      <c r="AK12" s="20">
        <f>변수!AK26</f>
        <v/>
      </c>
      <c r="AL12" s="20">
        <f>변수!AL26</f>
        <v/>
      </c>
      <c r="AM12" s="20">
        <f>변수!AM26</f>
        <v/>
      </c>
      <c r="AN12" s="20">
        <f>변수!AN26</f>
        <v/>
      </c>
      <c r="AO12" s="35">
        <f>SUM(AK12:AN12)</f>
        <v/>
      </c>
    </row>
    <row r="13">
      <c r="A13" s="12" t="inlineStr">
        <is>
          <t>세전이익</t>
        </is>
      </c>
      <c r="B13" t="inlineStr">
        <is>
          <t>손익</t>
        </is>
      </c>
      <c r="C13" t="inlineStr">
        <is>
          <t>억원</t>
        </is>
      </c>
      <c r="D13" t="inlineStr">
        <is>
          <t>법인세비용차감전계속사업이익</t>
        </is>
      </c>
      <c r="E13" s="18">
        <f>IFERROR(VLOOKUP($D13,BS연결,MATCH(E$1,BS연결H,0),0)/100,"")</f>
        <v/>
      </c>
      <c r="F13" s="34" t="n"/>
      <c r="G13" s="18">
        <f>IFERROR(VLOOKUP($D13,BS연결,MATCH(G$1,BS연결H,0),0)/100,"")</f>
        <v/>
      </c>
      <c r="H13" s="18">
        <f>IFERROR(VLOOKUP($D13,BS연결,MATCH(H$1,BS연결H,0),0)/100,"")</f>
        <v/>
      </c>
      <c r="I13" s="18">
        <f>IFERROR(VLOOKUP($D13,BS연결,MATCH(I$1,BS연결H,0),0)/100,"")</f>
        <v/>
      </c>
      <c r="J13" s="18">
        <f>IFERROR(VLOOKUP($D13,BS연결,MATCH(J$1,BS연결H,0),0)/100,"")</f>
        <v/>
      </c>
      <c r="K13" s="34">
        <f>IFERROR(VLOOKUP($D13,BS연결,MATCH(K$1,BS연결H,0),0)/100,"")</f>
        <v/>
      </c>
      <c r="L13" s="18">
        <f>IFERROR(VLOOKUP($D13,BS연결,MATCH(L$1,BS연결H,0),0)/100,"")</f>
        <v/>
      </c>
      <c r="M13" s="18">
        <f>IFERROR(VLOOKUP($D13,BS연결,MATCH(M$1,BS연결H,0),0)/100,"")</f>
        <v/>
      </c>
      <c r="N13" s="18">
        <f>IFERROR(VLOOKUP($D13,BS연결,MATCH(N$1,BS연결H,0),0)/100,"")</f>
        <v/>
      </c>
      <c r="O13" s="18">
        <f>IFERROR(VLOOKUP($D13,BS연결,MATCH(O$1,BS연결H,0),0)/100,"")</f>
        <v/>
      </c>
      <c r="P13" s="34">
        <f>IFERROR(VLOOKUP($D13,BS연결,MATCH(P$1,BS연결H,0),0)/100,"")</f>
        <v/>
      </c>
      <c r="Q13" s="18">
        <f>IFERROR(VLOOKUP($D13,BS연결,MATCH(Q$1,BS연결H,0),0)/100,"")</f>
        <v/>
      </c>
      <c r="R13" s="18">
        <f>IFERROR(VLOOKUP($D13,BS연결,MATCH(R$1,BS연결H,0),0)/100,"")</f>
        <v/>
      </c>
      <c r="S13" s="18">
        <f>IFERROR(VLOOKUP($D13,BS연결,MATCH(S$1,BS연결H,0),0)/100,"")</f>
        <v/>
      </c>
      <c r="T13" s="18">
        <f>IFERROR(VLOOKUP($D13,BS연결,MATCH(T$1,BS연결H,0),0)/100,"")</f>
        <v/>
      </c>
      <c r="U13" s="34">
        <f>IFERROR(VLOOKUP($D13,BS연결,MATCH(U$1,BS연결H,0),0)/100,"")</f>
        <v/>
      </c>
      <c r="V13" s="18">
        <f>IFERROR(VLOOKUP($D13,BS연결,MATCH(V$1,BS연결H,0),0)/100,"")</f>
        <v/>
      </c>
      <c r="W13" s="18">
        <f>IFERROR(VLOOKUP($D13,BS연결,MATCH(W$1,BS연결H,0),0)/100,"")</f>
        <v/>
      </c>
      <c r="X13" s="18">
        <f>IFERROR(VLOOKUP($D13,BS연결,MATCH(X$1,BS연결H,0),0)/100,"")</f>
        <v/>
      </c>
      <c r="Y13" s="18">
        <f>IFERROR(VLOOKUP($D13,BS연결,MATCH(Y$1,BS연결H,0),0)/100,"")</f>
        <v/>
      </c>
      <c r="Z13" s="34">
        <f>IFERROR(VLOOKUP($D13,BS연결,MATCH(Z$1,BS연결H,0),0)/100,"")</f>
        <v/>
      </c>
      <c r="AA13" s="18">
        <f>IFERROR(VLOOKUP($D13,BS연결,MATCH(AA$1,BS연결H,0),0)/100,"")</f>
        <v/>
      </c>
      <c r="AB13" s="19">
        <f>IFERROR(VLOOKUP($D13,BS연결,MATCH(AB$1,BS연결H,0),0)/100,"")</f>
        <v/>
      </c>
      <c r="AC13" s="20">
        <f>IFERROR(AC9+AC11+AC12,"")</f>
        <v/>
      </c>
      <c r="AD13" s="20">
        <f>IFERROR(AD9+AD11+AD12,"")</f>
        <v/>
      </c>
      <c r="AE13" s="35">
        <f>SUM(AA13:AD13)</f>
        <v/>
      </c>
      <c r="AF13" s="20">
        <f>IFERROR(AF9+AF11+AF12,"")</f>
        <v/>
      </c>
      <c r="AG13" s="20">
        <f>IFERROR(AG9+AG11+AG12,"")</f>
        <v/>
      </c>
      <c r="AH13" s="20">
        <f>IFERROR(AH9+AH11+AH12,"")</f>
        <v/>
      </c>
      <c r="AI13" s="20">
        <f>IFERROR(AI9+AI11+AI12,"")</f>
        <v/>
      </c>
      <c r="AJ13" s="35">
        <f>SUM(AF13:AI13)</f>
        <v/>
      </c>
      <c r="AK13" s="20">
        <f>IFERROR(AK9+AK11+AK12,"")</f>
        <v/>
      </c>
      <c r="AL13" s="20">
        <f>IFERROR(AL9+AL11+AL12,"")</f>
        <v/>
      </c>
      <c r="AM13" s="20">
        <f>IFERROR(AM9+AM11+AM12,"")</f>
        <v/>
      </c>
      <c r="AN13" s="20">
        <f>IFERROR(AN9+AN11+AN12,"")</f>
        <v/>
      </c>
      <c r="AO13" s="35">
        <f>SUM(AK13:AN13)</f>
        <v/>
      </c>
    </row>
    <row r="14">
      <c r="A14" s="12" t="inlineStr">
        <is>
          <t>법인세비용</t>
        </is>
      </c>
      <c r="B14" t="inlineStr">
        <is>
          <t>손익</t>
        </is>
      </c>
      <c r="C14" t="inlineStr">
        <is>
          <t>억원</t>
        </is>
      </c>
      <c r="D14" t="inlineStr">
        <is>
          <t>법인세비용</t>
        </is>
      </c>
      <c r="E14" s="18">
        <f>IFERROR(VLOOKUP($D14,BS연결,MATCH(E$1,BS연결H,0),0)/100,"")</f>
        <v/>
      </c>
      <c r="F14" s="34" t="n"/>
      <c r="G14" s="18">
        <f>IFERROR(VLOOKUP($D14,BS연결,MATCH(G$1,BS연결H,0),0)/100,"")</f>
        <v/>
      </c>
      <c r="H14" s="18">
        <f>IFERROR(VLOOKUP($D14,BS연결,MATCH(H$1,BS연결H,0),0)/100,"")</f>
        <v/>
      </c>
      <c r="I14" s="18">
        <f>IFERROR(VLOOKUP($D14,BS연결,MATCH(I$1,BS연결H,0),0)/100,"")</f>
        <v/>
      </c>
      <c r="J14" s="18">
        <f>IFERROR(VLOOKUP($D14,BS연결,MATCH(J$1,BS연결H,0),0)/100,"")</f>
        <v/>
      </c>
      <c r="K14" s="34">
        <f>IFERROR(VLOOKUP($D14,BS연결,MATCH(K$1,BS연결H,0),0)/100,"")</f>
        <v/>
      </c>
      <c r="L14" s="18">
        <f>IFERROR(VLOOKUP($D14,BS연결,MATCH(L$1,BS연결H,0),0)/100,"")</f>
        <v/>
      </c>
      <c r="M14" s="18">
        <f>IFERROR(VLOOKUP($D14,BS연결,MATCH(M$1,BS연결H,0),0)/100,"")</f>
        <v/>
      </c>
      <c r="N14" s="18">
        <f>IFERROR(VLOOKUP($D14,BS연결,MATCH(N$1,BS연결H,0),0)/100,"")</f>
        <v/>
      </c>
      <c r="O14" s="18">
        <f>IFERROR(VLOOKUP($D14,BS연결,MATCH(O$1,BS연결H,0),0)/100,"")</f>
        <v/>
      </c>
      <c r="P14" s="34">
        <f>IFERROR(VLOOKUP($D14,BS연결,MATCH(P$1,BS연결H,0),0)/100,"")</f>
        <v/>
      </c>
      <c r="Q14" s="18">
        <f>IFERROR(VLOOKUP($D14,BS연결,MATCH(Q$1,BS연결H,0),0)/100,"")</f>
        <v/>
      </c>
      <c r="R14" s="18">
        <f>IFERROR(VLOOKUP($D14,BS연결,MATCH(R$1,BS연결H,0),0)/100,"")</f>
        <v/>
      </c>
      <c r="S14" s="18">
        <f>IFERROR(VLOOKUP($D14,BS연결,MATCH(S$1,BS연결H,0),0)/100,"")</f>
        <v/>
      </c>
      <c r="T14" s="18">
        <f>IFERROR(VLOOKUP($D14,BS연결,MATCH(T$1,BS연결H,0),0)/100,"")</f>
        <v/>
      </c>
      <c r="U14" s="34">
        <f>IFERROR(VLOOKUP($D14,BS연결,MATCH(U$1,BS연결H,0),0)/100,"")</f>
        <v/>
      </c>
      <c r="V14" s="18">
        <f>IFERROR(VLOOKUP($D14,BS연결,MATCH(V$1,BS연결H,0),0)/100,"")</f>
        <v/>
      </c>
      <c r="W14" s="18">
        <f>IFERROR(VLOOKUP($D14,BS연결,MATCH(W$1,BS연결H,0),0)/100,"")</f>
        <v/>
      </c>
      <c r="X14" s="18">
        <f>IFERROR(VLOOKUP($D14,BS연결,MATCH(X$1,BS연결H,0),0)/100,"")</f>
        <v/>
      </c>
      <c r="Y14" s="18">
        <f>IFERROR(VLOOKUP($D14,BS연결,MATCH(Y$1,BS연결H,0),0)/100,"")</f>
        <v/>
      </c>
      <c r="Z14" s="34">
        <f>IFERROR(VLOOKUP($D14,BS연결,MATCH(Z$1,BS연결H,0),0)/100,"")</f>
        <v/>
      </c>
      <c r="AA14" s="18">
        <f>IFERROR(VLOOKUP($D14,BS연결,MATCH(AA$1,BS연결H,0),0)/100,"")</f>
        <v/>
      </c>
      <c r="AB14" s="19">
        <f>IFERROR(VLOOKUP($D14,BS연결,MATCH(AB$1,BS연결H,0),0)/100,"")</f>
        <v/>
      </c>
      <c r="AC14" s="20">
        <f>IFERROR(AC13*변수!AC27,"")</f>
        <v/>
      </c>
      <c r="AD14" s="20">
        <f>IFERROR(AD13*변수!AD27,"")</f>
        <v/>
      </c>
      <c r="AE14" s="35">
        <f>SUM(AA14:AD14)</f>
        <v/>
      </c>
      <c r="AF14" s="20">
        <f>IFERROR(AF13*변수!AF27,"")</f>
        <v/>
      </c>
      <c r="AG14" s="20">
        <f>IFERROR(AG13*변수!AG27,"")</f>
        <v/>
      </c>
      <c r="AH14" s="20">
        <f>IFERROR(AH13*변수!AH27,"")</f>
        <v/>
      </c>
      <c r="AI14" s="20">
        <f>IFERROR(AI13*변수!AI27,"")</f>
        <v/>
      </c>
      <c r="AJ14" s="35">
        <f>SUM(AF14:AI14)</f>
        <v/>
      </c>
      <c r="AK14" s="20">
        <f>IFERROR(AK13*변수!AK27,"")</f>
        <v/>
      </c>
      <c r="AL14" s="20">
        <f>IFERROR(AL13*변수!AL27,"")</f>
        <v/>
      </c>
      <c r="AM14" s="20">
        <f>IFERROR(AM13*변수!AM27,"")</f>
        <v/>
      </c>
      <c r="AN14" s="20">
        <f>IFERROR(AN13*변수!AN27,"")</f>
        <v/>
      </c>
      <c r="AO14" s="35">
        <f>SUM(AK14:AN14)</f>
        <v/>
      </c>
    </row>
    <row r="15">
      <c r="A15" s="12" t="inlineStr">
        <is>
          <t>당기순이익</t>
        </is>
      </c>
      <c r="B15" t="inlineStr">
        <is>
          <t>손익</t>
        </is>
      </c>
      <c r="C15" t="inlineStr">
        <is>
          <t>억원</t>
        </is>
      </c>
      <c r="D15" t="inlineStr">
        <is>
          <t>당기순이익</t>
        </is>
      </c>
      <c r="E15" s="18">
        <f>IFERROR(VLOOKUP($D15,BS연결,MATCH(E$1,BS연결H,0),0)/100,"")</f>
        <v/>
      </c>
      <c r="F15" s="34" t="n"/>
      <c r="G15" s="18">
        <f>IFERROR(VLOOKUP($D15,BS연결,MATCH(G$1,BS연결H,0),0)/100,"")</f>
        <v/>
      </c>
      <c r="H15" s="18">
        <f>IFERROR(VLOOKUP($D15,BS연결,MATCH(H$1,BS연결H,0),0)/100,"")</f>
        <v/>
      </c>
      <c r="I15" s="18">
        <f>IFERROR(VLOOKUP($D15,BS연결,MATCH(I$1,BS연결H,0),0)/100,"")</f>
        <v/>
      </c>
      <c r="J15" s="18">
        <f>IFERROR(VLOOKUP($D15,BS연결,MATCH(J$1,BS연결H,0),0)/100,"")</f>
        <v/>
      </c>
      <c r="K15" s="34">
        <f>IFERROR(VLOOKUP($D15,BS연결,MATCH(K$1,BS연결H,0),0)/100,"")</f>
        <v/>
      </c>
      <c r="L15" s="18">
        <f>IFERROR(VLOOKUP($D15,BS연결,MATCH(L$1,BS연결H,0),0)/100,"")</f>
        <v/>
      </c>
      <c r="M15" s="18">
        <f>IFERROR(VLOOKUP($D15,BS연결,MATCH(M$1,BS연결H,0),0)/100,"")</f>
        <v/>
      </c>
      <c r="N15" s="18">
        <f>IFERROR(VLOOKUP($D15,BS연결,MATCH(N$1,BS연결H,0),0)/100,"")</f>
        <v/>
      </c>
      <c r="O15" s="18">
        <f>IFERROR(VLOOKUP($D15,BS연결,MATCH(O$1,BS연결H,0),0)/100,"")</f>
        <v/>
      </c>
      <c r="P15" s="34">
        <f>IFERROR(VLOOKUP($D15,BS연결,MATCH(P$1,BS연결H,0),0)/100,"")</f>
        <v/>
      </c>
      <c r="Q15" s="18">
        <f>IFERROR(VLOOKUP($D15,BS연결,MATCH(Q$1,BS연결H,0),0)/100,"")</f>
        <v/>
      </c>
      <c r="R15" s="18">
        <f>IFERROR(VLOOKUP($D15,BS연결,MATCH(R$1,BS연결H,0),0)/100,"")</f>
        <v/>
      </c>
      <c r="S15" s="18">
        <f>IFERROR(VLOOKUP($D15,BS연결,MATCH(S$1,BS연결H,0),0)/100,"")</f>
        <v/>
      </c>
      <c r="T15" s="18">
        <f>IFERROR(VLOOKUP($D15,BS연결,MATCH(T$1,BS연결H,0),0)/100,"")</f>
        <v/>
      </c>
      <c r="U15" s="34">
        <f>IFERROR(VLOOKUP($D15,BS연결,MATCH(U$1,BS연결H,0),0)/100,"")</f>
        <v/>
      </c>
      <c r="V15" s="18">
        <f>IFERROR(VLOOKUP($D15,BS연결,MATCH(V$1,BS연결H,0),0)/100,"")</f>
        <v/>
      </c>
      <c r="W15" s="18">
        <f>IFERROR(VLOOKUP($D15,BS연결,MATCH(W$1,BS연결H,0),0)/100,"")</f>
        <v/>
      </c>
      <c r="X15" s="18">
        <f>IFERROR(VLOOKUP($D15,BS연결,MATCH(X$1,BS연결H,0),0)/100,"")</f>
        <v/>
      </c>
      <c r="Y15" s="18">
        <f>IFERROR(VLOOKUP($D15,BS연결,MATCH(Y$1,BS연결H,0),0)/100,"")</f>
        <v/>
      </c>
      <c r="Z15" s="34">
        <f>IFERROR(VLOOKUP($D15,BS연결,MATCH(Z$1,BS연결H,0),0)/100,"")</f>
        <v/>
      </c>
      <c r="AA15" s="18">
        <f>IFERROR(VLOOKUP($D15,BS연결,MATCH(AA$1,BS연결H,0),0)/100,"")</f>
        <v/>
      </c>
      <c r="AB15" s="19">
        <f>IFERROR(VLOOKUP($D15,BS연결,MATCH(AB$1,BS연결H,0),0)/100,"")</f>
        <v/>
      </c>
      <c r="AC15" s="20">
        <f>IFERROR(AC13-AC14,"")</f>
        <v/>
      </c>
      <c r="AD15" s="20">
        <f>IFERROR(AD13-AD14,"")</f>
        <v/>
      </c>
      <c r="AE15" s="35">
        <f>SUM(AA15:AD15)</f>
        <v/>
      </c>
      <c r="AF15" s="20">
        <f>IFERROR(AF13-AF14,"")</f>
        <v/>
      </c>
      <c r="AG15" s="20">
        <f>IFERROR(AG13-AG14,"")</f>
        <v/>
      </c>
      <c r="AH15" s="20">
        <f>IFERROR(AH13-AH14,"")</f>
        <v/>
      </c>
      <c r="AI15" s="20">
        <f>IFERROR(AI13-AI14,"")</f>
        <v/>
      </c>
      <c r="AJ15" s="35">
        <f>SUM(AF15:AI15)</f>
        <v/>
      </c>
      <c r="AK15" s="20">
        <f>IFERROR(AK13-AK14,"")</f>
        <v/>
      </c>
      <c r="AL15" s="20">
        <f>IFERROR(AL13-AL14,"")</f>
        <v/>
      </c>
      <c r="AM15" s="20">
        <f>IFERROR(AM13-AM14,"")</f>
        <v/>
      </c>
      <c r="AN15" s="20">
        <f>IFERROR(AN13-AN14,"")</f>
        <v/>
      </c>
      <c r="AO15" s="35">
        <f>SUM(AK15:AN15)</f>
        <v/>
      </c>
    </row>
    <row r="16">
      <c r="A16" s="12" t="inlineStr">
        <is>
          <t>지배주주순이익</t>
        </is>
      </c>
      <c r="B16" t="inlineStr">
        <is>
          <t>손익</t>
        </is>
      </c>
      <c r="C16" t="inlineStr">
        <is>
          <t>억원</t>
        </is>
      </c>
      <c r="D16" t="inlineStr">
        <is>
          <t>(지배주주지분)당기순이익</t>
        </is>
      </c>
      <c r="E16" s="18">
        <f>IFERROR(VLOOKUP($D16,BS연결,MATCH(E$1,BS연결H,0),0)/100,"")</f>
        <v/>
      </c>
      <c r="F16" s="34" t="n"/>
      <c r="G16" s="18">
        <f>IFERROR(VLOOKUP($D16,BS연결,MATCH(G$1,BS연결H,0),0)/100,"")</f>
        <v/>
      </c>
      <c r="H16" s="18">
        <f>IFERROR(VLOOKUP($D16,BS연결,MATCH(H$1,BS연결H,0),0)/100,"")</f>
        <v/>
      </c>
      <c r="I16" s="18">
        <f>IFERROR(VLOOKUP($D16,BS연결,MATCH(I$1,BS연결H,0),0)/100,"")</f>
        <v/>
      </c>
      <c r="J16" s="18">
        <f>IFERROR(VLOOKUP($D16,BS연결,MATCH(J$1,BS연결H,0),0)/100,"")</f>
        <v/>
      </c>
      <c r="K16" s="34">
        <f>IFERROR(VLOOKUP($D16,BS연결,MATCH(K$1,BS연결H,0),0)/100,"")</f>
        <v/>
      </c>
      <c r="L16" s="18">
        <f>IFERROR(VLOOKUP($D16,BS연결,MATCH(L$1,BS연결H,0),0)/100,"")</f>
        <v/>
      </c>
      <c r="M16" s="18">
        <f>IFERROR(VLOOKUP($D16,BS연결,MATCH(M$1,BS연결H,0),0)/100,"")</f>
        <v/>
      </c>
      <c r="N16" s="18">
        <f>IFERROR(VLOOKUP($D16,BS연결,MATCH(N$1,BS연결H,0),0)/100,"")</f>
        <v/>
      </c>
      <c r="O16" s="18">
        <f>IFERROR(VLOOKUP($D16,BS연결,MATCH(O$1,BS연결H,0),0)/100,"")</f>
        <v/>
      </c>
      <c r="P16" s="34">
        <f>IFERROR(VLOOKUP($D16,BS연결,MATCH(P$1,BS연결H,0),0)/100,"")</f>
        <v/>
      </c>
      <c r="Q16" s="18">
        <f>IFERROR(VLOOKUP($D16,BS연결,MATCH(Q$1,BS연결H,0),0)/100,"")</f>
        <v/>
      </c>
      <c r="R16" s="18">
        <f>IFERROR(VLOOKUP($D16,BS연결,MATCH(R$1,BS연결H,0),0)/100,"")</f>
        <v/>
      </c>
      <c r="S16" s="18">
        <f>IFERROR(VLOOKUP($D16,BS연결,MATCH(S$1,BS연결H,0),0)/100,"")</f>
        <v/>
      </c>
      <c r="T16" s="18">
        <f>IFERROR(VLOOKUP($D16,BS연결,MATCH(T$1,BS연결H,0),0)/100,"")</f>
        <v/>
      </c>
      <c r="U16" s="34">
        <f>IFERROR(VLOOKUP($D16,BS연결,MATCH(U$1,BS연결H,0),0)/100,"")</f>
        <v/>
      </c>
      <c r="V16" s="18">
        <f>IFERROR(VLOOKUP($D16,BS연결,MATCH(V$1,BS연결H,0),0)/100,"")</f>
        <v/>
      </c>
      <c r="W16" s="18">
        <f>IFERROR(VLOOKUP($D16,BS연결,MATCH(W$1,BS연결H,0),0)/100,"")</f>
        <v/>
      </c>
      <c r="X16" s="18">
        <f>IFERROR(VLOOKUP($D16,BS연결,MATCH(X$1,BS연결H,0),0)/100,"")</f>
        <v/>
      </c>
      <c r="Y16" s="18">
        <f>IFERROR(VLOOKUP($D16,BS연결,MATCH(Y$1,BS연결H,0),0)/100,"")</f>
        <v/>
      </c>
      <c r="Z16" s="34">
        <f>IFERROR(VLOOKUP($D16,BS연결,MATCH(Z$1,BS연결H,0),0)/100,"")</f>
        <v/>
      </c>
      <c r="AA16" s="18">
        <f>IFERROR(VLOOKUP($D16,BS연결,MATCH(AA$1,BS연결H,0),0)/100,"")</f>
        <v/>
      </c>
      <c r="AB16" s="19">
        <f>IFERROR(VLOOKUP($D16,BS연결,MATCH(AB$1,BS연결H,0),0)/100,"")</f>
        <v/>
      </c>
      <c r="AC16" s="20">
        <f>IFERROR(AC15*변수!AC28,"")</f>
        <v/>
      </c>
      <c r="AD16" s="20">
        <f>IFERROR(AD15*변수!AD28,"")</f>
        <v/>
      </c>
      <c r="AE16" s="35">
        <f>SUM(AA16:AD16)</f>
        <v/>
      </c>
      <c r="AF16" s="20">
        <f>IFERROR(AF15*변수!AF28,"")</f>
        <v/>
      </c>
      <c r="AG16" s="20">
        <f>IFERROR(AG15*변수!AG28,"")</f>
        <v/>
      </c>
      <c r="AH16" s="20">
        <f>IFERROR(AH15*변수!AH28,"")</f>
        <v/>
      </c>
      <c r="AI16" s="20">
        <f>IFERROR(AI15*변수!AI28,"")</f>
        <v/>
      </c>
      <c r="AJ16" s="35">
        <f>SUM(AF16:AI16)</f>
        <v/>
      </c>
      <c r="AK16" s="20">
        <f>IFERROR(AK15*변수!AK28,"")</f>
        <v/>
      </c>
      <c r="AL16" s="20">
        <f>IFERROR(AL15*변수!AL28,"")</f>
        <v/>
      </c>
      <c r="AM16" s="20">
        <f>IFERROR(AM15*변수!AM28,"")</f>
        <v/>
      </c>
      <c r="AN16" s="20">
        <f>IFERROR(AN15*변수!AN28,"")</f>
        <v/>
      </c>
      <c r="AO16" s="35">
        <f>SUM(AK16:AN16)</f>
        <v/>
      </c>
    </row>
    <row r="17">
      <c r="A17" s="12" t="inlineStr">
        <is>
          <t>자산총계</t>
        </is>
      </c>
      <c r="B17" t="inlineStr">
        <is>
          <t>재무상태</t>
        </is>
      </c>
      <c r="C17" t="inlineStr">
        <is>
          <t>억원</t>
        </is>
      </c>
      <c r="D17" t="inlineStr">
        <is>
          <t>자산총계</t>
        </is>
      </c>
      <c r="E17" s="18">
        <f>IFERROR(VLOOKUP($D17,BS연결,MATCH(E$1,BS연결H,0),0)/100,"")</f>
        <v/>
      </c>
      <c r="F17" s="34">
        <f>IFERROR(VLOOKUP($D17,BS연결,MATCH(F$1,BS연결H,0),0)/100,"")</f>
        <v/>
      </c>
      <c r="G17" s="18">
        <f>IFERROR(VLOOKUP($D17,BS연결,MATCH(G$1,BS연결H,0),0)/100,"")</f>
        <v/>
      </c>
      <c r="H17" s="18">
        <f>IFERROR(VLOOKUP($D17,BS연결,MATCH(H$1,BS연결H,0),0)/100,"")</f>
        <v/>
      </c>
      <c r="I17" s="18">
        <f>IFERROR(VLOOKUP($D17,BS연결,MATCH(I$1,BS연결H,0),0)/100,"")</f>
        <v/>
      </c>
      <c r="J17" s="18">
        <f>IFERROR(VLOOKUP($D17,BS연결,MATCH(J$1,BS연결H,0),0)/100,"")</f>
        <v/>
      </c>
      <c r="K17" s="34">
        <f>IFERROR(VLOOKUP($D17,BS연결,MATCH(K$1,BS연결H,0),0)/100,"")</f>
        <v/>
      </c>
      <c r="L17" s="18">
        <f>IFERROR(VLOOKUP($D17,BS연결,MATCH(L$1,BS연결H,0),0)/100,"")</f>
        <v/>
      </c>
      <c r="M17" s="18">
        <f>IFERROR(VLOOKUP($D17,BS연결,MATCH(M$1,BS연결H,0),0)/100,"")</f>
        <v/>
      </c>
      <c r="N17" s="18">
        <f>IFERROR(VLOOKUP($D17,BS연결,MATCH(N$1,BS연결H,0),0)/100,"")</f>
        <v/>
      </c>
      <c r="O17" s="18">
        <f>IFERROR(VLOOKUP($D17,BS연결,MATCH(O$1,BS연결H,0),0)/100,"")</f>
        <v/>
      </c>
      <c r="P17" s="34">
        <f>IFERROR(VLOOKUP($D17,BS연결,MATCH(P$1,BS연결H,0),0)/100,"")</f>
        <v/>
      </c>
      <c r="Q17" s="18">
        <f>IFERROR(VLOOKUP($D17,BS연결,MATCH(Q$1,BS연결H,0),0)/100,"")</f>
        <v/>
      </c>
      <c r="R17" s="18">
        <f>IFERROR(VLOOKUP($D17,BS연결,MATCH(R$1,BS연결H,0),0)/100,"")</f>
        <v/>
      </c>
      <c r="S17" s="18">
        <f>IFERROR(VLOOKUP($D17,BS연결,MATCH(S$1,BS연결H,0),0)/100,"")</f>
        <v/>
      </c>
      <c r="T17" s="18">
        <f>IFERROR(VLOOKUP($D17,BS연결,MATCH(T$1,BS연결H,0),0)/100,"")</f>
        <v/>
      </c>
      <c r="U17" s="34">
        <f>IFERROR(VLOOKUP($D17,BS연결,MATCH(U$1,BS연결H,0),0)/100,"")</f>
        <v/>
      </c>
      <c r="V17" s="18">
        <f>IFERROR(VLOOKUP($D17,BS연결,MATCH(V$1,BS연결H,0),0)/100,"")</f>
        <v/>
      </c>
      <c r="W17" s="18">
        <f>IFERROR(VLOOKUP($D17,BS연결,MATCH(W$1,BS연결H,0),0)/100,"")</f>
        <v/>
      </c>
      <c r="X17" s="18">
        <f>IFERROR(VLOOKUP($D17,BS연결,MATCH(X$1,BS연결H,0),0)/100,"")</f>
        <v/>
      </c>
      <c r="Y17" s="18">
        <f>IFERROR(VLOOKUP($D17,BS연결,MATCH(Y$1,BS연결H,0),0)/100,"")</f>
        <v/>
      </c>
      <c r="Z17" s="34">
        <f>IFERROR(VLOOKUP($D17,BS연결,MATCH(Z$1,BS연결H,0),0)/100,"")</f>
        <v/>
      </c>
      <c r="AA17" s="18">
        <f>IFERROR(VLOOKUP($D17,BS연결,MATCH(AA$1,BS연결H,0),0)/100,"")</f>
        <v/>
      </c>
      <c r="AB17" s="19">
        <f>IFERROR(VLOOKUP($D17,BS연결,MATCH(AB$1,BS연결H,0),0)/100,"")</f>
        <v/>
      </c>
      <c r="AC17" s="20">
        <f>IFERROR(AC18+AC19,"")</f>
        <v/>
      </c>
      <c r="AD17" s="20">
        <f>IFERROR(AD18+AD19,"")</f>
        <v/>
      </c>
      <c r="AE17" s="35">
        <f>AD17</f>
        <v/>
      </c>
      <c r="AF17" s="20">
        <f>IFERROR(AF18+AF19,"")</f>
        <v/>
      </c>
      <c r="AG17" s="20">
        <f>IFERROR(AG18+AG19,"")</f>
        <v/>
      </c>
      <c r="AH17" s="20">
        <f>IFERROR(AH18+AH19,"")</f>
        <v/>
      </c>
      <c r="AI17" s="20">
        <f>IFERROR(AI18+AI19,"")</f>
        <v/>
      </c>
      <c r="AJ17" s="35">
        <f>AI17</f>
        <v/>
      </c>
      <c r="AK17" s="20">
        <f>IFERROR(AK18+AK19,"")</f>
        <v/>
      </c>
      <c r="AL17" s="20">
        <f>IFERROR(AL18+AL19,"")</f>
        <v/>
      </c>
      <c r="AM17" s="20">
        <f>IFERROR(AM18+AM19,"")</f>
        <v/>
      </c>
      <c r="AN17" s="20">
        <f>IFERROR(AN18+AN19,"")</f>
        <v/>
      </c>
      <c r="AO17" s="35">
        <f>AN17</f>
        <v/>
      </c>
    </row>
    <row r="18">
      <c r="A18" s="12" t="inlineStr">
        <is>
          <t>부채총계</t>
        </is>
      </c>
      <c r="B18" t="inlineStr">
        <is>
          <t>재무상태</t>
        </is>
      </c>
      <c r="C18" t="inlineStr">
        <is>
          <t>억원</t>
        </is>
      </c>
      <c r="D18" t="inlineStr">
        <is>
          <t>부채총계</t>
        </is>
      </c>
      <c r="E18" s="18">
        <f>IFERROR(VLOOKUP($D18,BS연결,MATCH(E$1,BS연결H,0),0)/100,"")</f>
        <v/>
      </c>
      <c r="F18" s="34">
        <f>IFERROR(VLOOKUP($D18,BS연결,MATCH(F$1,BS연결H,0),0)/100,"")</f>
        <v/>
      </c>
      <c r="G18" s="18">
        <f>IFERROR(VLOOKUP($D18,BS연결,MATCH(G$1,BS연결H,0),0)/100,"")</f>
        <v/>
      </c>
      <c r="H18" s="18">
        <f>IFERROR(VLOOKUP($D18,BS연결,MATCH(H$1,BS연결H,0),0)/100,"")</f>
        <v/>
      </c>
      <c r="I18" s="18">
        <f>IFERROR(VLOOKUP($D18,BS연결,MATCH(I$1,BS연결H,0),0)/100,"")</f>
        <v/>
      </c>
      <c r="J18" s="18">
        <f>IFERROR(VLOOKUP($D18,BS연결,MATCH(J$1,BS연결H,0),0)/100,"")</f>
        <v/>
      </c>
      <c r="K18" s="34">
        <f>IFERROR(VLOOKUP($D18,BS연결,MATCH(K$1,BS연결H,0),0)/100,"")</f>
        <v/>
      </c>
      <c r="L18" s="18">
        <f>IFERROR(VLOOKUP($D18,BS연결,MATCH(L$1,BS연결H,0),0)/100,"")</f>
        <v/>
      </c>
      <c r="M18" s="18">
        <f>IFERROR(VLOOKUP($D18,BS연결,MATCH(M$1,BS연결H,0),0)/100,"")</f>
        <v/>
      </c>
      <c r="N18" s="18">
        <f>IFERROR(VLOOKUP($D18,BS연결,MATCH(N$1,BS연결H,0),0)/100,"")</f>
        <v/>
      </c>
      <c r="O18" s="18">
        <f>IFERROR(VLOOKUP($D18,BS연결,MATCH(O$1,BS연결H,0),0)/100,"")</f>
        <v/>
      </c>
      <c r="P18" s="34">
        <f>IFERROR(VLOOKUP($D18,BS연결,MATCH(P$1,BS연결H,0),0)/100,"")</f>
        <v/>
      </c>
      <c r="Q18" s="18">
        <f>IFERROR(VLOOKUP($D18,BS연결,MATCH(Q$1,BS연결H,0),0)/100,"")</f>
        <v/>
      </c>
      <c r="R18" s="18">
        <f>IFERROR(VLOOKUP($D18,BS연결,MATCH(R$1,BS연결H,0),0)/100,"")</f>
        <v/>
      </c>
      <c r="S18" s="18">
        <f>IFERROR(VLOOKUP($D18,BS연결,MATCH(S$1,BS연결H,0),0)/100,"")</f>
        <v/>
      </c>
      <c r="T18" s="18">
        <f>IFERROR(VLOOKUP($D18,BS연결,MATCH(T$1,BS연결H,0),0)/100,"")</f>
        <v/>
      </c>
      <c r="U18" s="34">
        <f>IFERROR(VLOOKUP($D18,BS연결,MATCH(U$1,BS연결H,0),0)/100,"")</f>
        <v/>
      </c>
      <c r="V18" s="18">
        <f>IFERROR(VLOOKUP($D18,BS연결,MATCH(V$1,BS연결H,0),0)/100,"")</f>
        <v/>
      </c>
      <c r="W18" s="18">
        <f>IFERROR(VLOOKUP($D18,BS연결,MATCH(W$1,BS연결H,0),0)/100,"")</f>
        <v/>
      </c>
      <c r="X18" s="18">
        <f>IFERROR(VLOOKUP($D18,BS연결,MATCH(X$1,BS연결H,0),0)/100,"")</f>
        <v/>
      </c>
      <c r="Y18" s="18">
        <f>IFERROR(VLOOKUP($D18,BS연결,MATCH(Y$1,BS연결H,0),0)/100,"")</f>
        <v/>
      </c>
      <c r="Z18" s="34">
        <f>IFERROR(VLOOKUP($D18,BS연결,MATCH(Z$1,BS연결H,0),0)/100,"")</f>
        <v/>
      </c>
      <c r="AA18" s="18">
        <f>IFERROR(VLOOKUP($D18,BS연결,MATCH(AA$1,BS연결H,0),0)/100,"")</f>
        <v/>
      </c>
      <c r="AB18" s="19">
        <f>IFERROR(VLOOKUP($D18,BS연결,MATCH(AB$1,BS연결H,0),0)/100,"")</f>
        <v/>
      </c>
      <c r="AC18" s="20">
        <f>IFERROR(AB18*(1+변수!AC29),"")</f>
        <v/>
      </c>
      <c r="AD18" s="20">
        <f>IFERROR(AC18*(1+변수!AD29),"")</f>
        <v/>
      </c>
      <c r="AE18" s="35">
        <f>AD18</f>
        <v/>
      </c>
      <c r="AF18" s="20">
        <f>IFERROR(AD18*(1+변수!AF29),"")</f>
        <v/>
      </c>
      <c r="AG18" s="20">
        <f>IFERROR(AF18*(1+변수!AG29),"")</f>
        <v/>
      </c>
      <c r="AH18" s="20">
        <f>IFERROR(AG18*(1+변수!AH29),"")</f>
        <v/>
      </c>
      <c r="AI18" s="20">
        <f>IFERROR(AH18*(1+변수!AI29),"")</f>
        <v/>
      </c>
      <c r="AJ18" s="35">
        <f>AI18</f>
        <v/>
      </c>
      <c r="AK18" s="20">
        <f>IFERROR(AI18*(1+변수!AK29),"")</f>
        <v/>
      </c>
      <c r="AL18" s="20">
        <f>IFERROR(AK18*(1+변수!AL29),"")</f>
        <v/>
      </c>
      <c r="AM18" s="20">
        <f>IFERROR(AL18*(1+변수!AM29),"")</f>
        <v/>
      </c>
      <c r="AN18" s="20">
        <f>IFERROR(AM18*(1+변수!AN29),"")</f>
        <v/>
      </c>
      <c r="AO18" s="35">
        <f>AN18</f>
        <v/>
      </c>
    </row>
    <row r="19">
      <c r="A19" s="12" t="inlineStr">
        <is>
          <t>자본총계</t>
        </is>
      </c>
      <c r="B19" t="inlineStr">
        <is>
          <t>재무상태</t>
        </is>
      </c>
      <c r="C19" t="inlineStr">
        <is>
          <t>억원</t>
        </is>
      </c>
      <c r="D19" t="inlineStr">
        <is>
          <t>자본총계</t>
        </is>
      </c>
      <c r="E19" s="18">
        <f>IFERROR(VLOOKUP($D19,BS연결,MATCH(E$1,BS연결H,0),0)/100,"")</f>
        <v/>
      </c>
      <c r="F19" s="34">
        <f>IFERROR(VLOOKUP($D19,BS연결,MATCH(F$1,BS연결H,0),0)/100,"")</f>
        <v/>
      </c>
      <c r="G19" s="18">
        <f>IFERROR(VLOOKUP($D19,BS연결,MATCH(G$1,BS연결H,0),0)/100,"")</f>
        <v/>
      </c>
      <c r="H19" s="18">
        <f>IFERROR(VLOOKUP($D19,BS연결,MATCH(H$1,BS연결H,0),0)/100,"")</f>
        <v/>
      </c>
      <c r="I19" s="18">
        <f>IFERROR(VLOOKUP($D19,BS연결,MATCH(I$1,BS연결H,0),0)/100,"")</f>
        <v/>
      </c>
      <c r="J19" s="18">
        <f>IFERROR(VLOOKUP($D19,BS연결,MATCH(J$1,BS연결H,0),0)/100,"")</f>
        <v/>
      </c>
      <c r="K19" s="34">
        <f>IFERROR(VLOOKUP($D19,BS연결,MATCH(K$1,BS연결H,0),0)/100,"")</f>
        <v/>
      </c>
      <c r="L19" s="18">
        <f>IFERROR(VLOOKUP($D19,BS연결,MATCH(L$1,BS연결H,0),0)/100,"")</f>
        <v/>
      </c>
      <c r="M19" s="18">
        <f>IFERROR(VLOOKUP($D19,BS연결,MATCH(M$1,BS연결H,0),0)/100,"")</f>
        <v/>
      </c>
      <c r="N19" s="18">
        <f>IFERROR(VLOOKUP($D19,BS연결,MATCH(N$1,BS연결H,0),0)/100,"")</f>
        <v/>
      </c>
      <c r="O19" s="18">
        <f>IFERROR(VLOOKUP($D19,BS연결,MATCH(O$1,BS연결H,0),0)/100,"")</f>
        <v/>
      </c>
      <c r="P19" s="34">
        <f>IFERROR(VLOOKUP($D19,BS연결,MATCH(P$1,BS연결H,0),0)/100,"")</f>
        <v/>
      </c>
      <c r="Q19" s="18">
        <f>IFERROR(VLOOKUP($D19,BS연결,MATCH(Q$1,BS연결H,0),0)/100,"")</f>
        <v/>
      </c>
      <c r="R19" s="18">
        <f>IFERROR(VLOOKUP($D19,BS연결,MATCH(R$1,BS연결H,0),0)/100,"")</f>
        <v/>
      </c>
      <c r="S19" s="18">
        <f>IFERROR(VLOOKUP($D19,BS연결,MATCH(S$1,BS연결H,0),0)/100,"")</f>
        <v/>
      </c>
      <c r="T19" s="18">
        <f>IFERROR(VLOOKUP($D19,BS연결,MATCH(T$1,BS연결H,0),0)/100,"")</f>
        <v/>
      </c>
      <c r="U19" s="34">
        <f>IFERROR(VLOOKUP($D19,BS연결,MATCH(U$1,BS연결H,0),0)/100,"")</f>
        <v/>
      </c>
      <c r="V19" s="18">
        <f>IFERROR(VLOOKUP($D19,BS연결,MATCH(V$1,BS연결H,0),0)/100,"")</f>
        <v/>
      </c>
      <c r="W19" s="18">
        <f>IFERROR(VLOOKUP($D19,BS연결,MATCH(W$1,BS연결H,0),0)/100,"")</f>
        <v/>
      </c>
      <c r="X19" s="18">
        <f>IFERROR(VLOOKUP($D19,BS연결,MATCH(X$1,BS연결H,0),0)/100,"")</f>
        <v/>
      </c>
      <c r="Y19" s="18">
        <f>IFERROR(VLOOKUP($D19,BS연결,MATCH(Y$1,BS연결H,0),0)/100,"")</f>
        <v/>
      </c>
      <c r="Z19" s="34">
        <f>IFERROR(VLOOKUP($D19,BS연결,MATCH(Z$1,BS연결H,0),0)/100,"")</f>
        <v/>
      </c>
      <c r="AA19" s="18">
        <f>IFERROR(VLOOKUP($D19,BS연결,MATCH(AA$1,BS연결H,0),0)/100,"")</f>
        <v/>
      </c>
      <c r="AB19" s="19">
        <f>IFERROR(VLOOKUP($D19,BS연결,MATCH(AB$1,BS연결H,0),0)/100,"")</f>
        <v/>
      </c>
      <c r="AC19" s="20">
        <f>IFERROR(AB19+AC15-변수!AC30,"")</f>
        <v/>
      </c>
      <c r="AD19" s="20">
        <f>IFERROR(AC19+AD15-변수!AD30,"")</f>
        <v/>
      </c>
      <c r="AE19" s="35">
        <f>AD19</f>
        <v/>
      </c>
      <c r="AF19" s="20">
        <f>IFERROR(AD19+AF15-변수!AF30,"")</f>
        <v/>
      </c>
      <c r="AG19" s="20">
        <f>IFERROR(AF19+AG15-변수!AG30,"")</f>
        <v/>
      </c>
      <c r="AH19" s="20">
        <f>IFERROR(AG19+AH15-변수!AH30,"")</f>
        <v/>
      </c>
      <c r="AI19" s="20">
        <f>IFERROR(AH19+AI15-변수!AI30,"")</f>
        <v/>
      </c>
      <c r="AJ19" s="35">
        <f>AI19</f>
        <v/>
      </c>
      <c r="AK19" s="20">
        <f>IFERROR(AI19+AK15-변수!AK30,"")</f>
        <v/>
      </c>
      <c r="AL19" s="20">
        <f>IFERROR(AK19+AL15-변수!AL30,"")</f>
        <v/>
      </c>
      <c r="AM19" s="20">
        <f>IFERROR(AL19+AM15-변수!AM30,"")</f>
        <v/>
      </c>
      <c r="AN19" s="20">
        <f>IFERROR(AM19+AN15-변수!AN30,"")</f>
        <v/>
      </c>
      <c r="AO19" s="35">
        <f>AN19</f>
        <v/>
      </c>
    </row>
    <row r="20">
      <c r="A20" s="12" t="inlineStr">
        <is>
          <t>지배주주지분</t>
        </is>
      </c>
      <c r="B20" t="inlineStr">
        <is>
          <t>재무상태</t>
        </is>
      </c>
      <c r="C20" t="inlineStr">
        <is>
          <t>억원</t>
        </is>
      </c>
      <c r="D20" t="inlineStr">
        <is>
          <t>지배주주지분</t>
        </is>
      </c>
      <c r="E20" s="18">
        <f>IFERROR(VLOOKUP($D20,BS연결,MATCH(E$1,BS연결H,0),0)/100,"")</f>
        <v/>
      </c>
      <c r="F20" s="34">
        <f>IFERROR(VLOOKUP($D20,BS연결,MATCH(F$1,BS연결H,0),0)/100,"")</f>
        <v/>
      </c>
      <c r="G20" s="18">
        <f>IFERROR(VLOOKUP($D20,BS연결,MATCH(G$1,BS연결H,0),0)/100,"")</f>
        <v/>
      </c>
      <c r="H20" s="18">
        <f>IFERROR(VLOOKUP($D20,BS연결,MATCH(H$1,BS연결H,0),0)/100,"")</f>
        <v/>
      </c>
      <c r="I20" s="18">
        <f>IFERROR(VLOOKUP($D20,BS연결,MATCH(I$1,BS연결H,0),0)/100,"")</f>
        <v/>
      </c>
      <c r="J20" s="18">
        <f>IFERROR(VLOOKUP($D20,BS연결,MATCH(J$1,BS연결H,0),0)/100,"")</f>
        <v/>
      </c>
      <c r="K20" s="34">
        <f>IFERROR(VLOOKUP($D20,BS연결,MATCH(K$1,BS연결H,0),0)/100,"")</f>
        <v/>
      </c>
      <c r="L20" s="18">
        <f>IFERROR(VLOOKUP($D20,BS연결,MATCH(L$1,BS연결H,0),0)/100,"")</f>
        <v/>
      </c>
      <c r="M20" s="18">
        <f>IFERROR(VLOOKUP($D20,BS연결,MATCH(M$1,BS연결H,0),0)/100,"")</f>
        <v/>
      </c>
      <c r="N20" s="18">
        <f>IFERROR(VLOOKUP($D20,BS연결,MATCH(N$1,BS연결H,0),0)/100,"")</f>
        <v/>
      </c>
      <c r="O20" s="18">
        <f>IFERROR(VLOOKUP($D20,BS연결,MATCH(O$1,BS연결H,0),0)/100,"")</f>
        <v/>
      </c>
      <c r="P20" s="34">
        <f>IFERROR(VLOOKUP($D20,BS연결,MATCH(P$1,BS연결H,0),0)/100,"")</f>
        <v/>
      </c>
      <c r="Q20" s="18">
        <f>IFERROR(VLOOKUP($D20,BS연결,MATCH(Q$1,BS연결H,0),0)/100,"")</f>
        <v/>
      </c>
      <c r="R20" s="18">
        <f>IFERROR(VLOOKUP($D20,BS연결,MATCH(R$1,BS연결H,0),0)/100,"")</f>
        <v/>
      </c>
      <c r="S20" s="18">
        <f>IFERROR(VLOOKUP($D20,BS연결,MATCH(S$1,BS연결H,0),0)/100,"")</f>
        <v/>
      </c>
      <c r="T20" s="18">
        <f>IFERROR(VLOOKUP($D20,BS연결,MATCH(T$1,BS연결H,0),0)/100,"")</f>
        <v/>
      </c>
      <c r="U20" s="34">
        <f>IFERROR(VLOOKUP($D20,BS연결,MATCH(U$1,BS연결H,0),0)/100,"")</f>
        <v/>
      </c>
      <c r="V20" s="18">
        <f>IFERROR(VLOOKUP($D20,BS연결,MATCH(V$1,BS연결H,0),0)/100,"")</f>
        <v/>
      </c>
      <c r="W20" s="18">
        <f>IFERROR(VLOOKUP($D20,BS연결,MATCH(W$1,BS연결H,0),0)/100,"")</f>
        <v/>
      </c>
      <c r="X20" s="18">
        <f>IFERROR(VLOOKUP($D20,BS연결,MATCH(X$1,BS연결H,0),0)/100,"")</f>
        <v/>
      </c>
      <c r="Y20" s="18">
        <f>IFERROR(VLOOKUP($D20,BS연결,MATCH(Y$1,BS연결H,0),0)/100,"")</f>
        <v/>
      </c>
      <c r="Z20" s="34">
        <f>IFERROR(VLOOKUP($D20,BS연결,MATCH(Z$1,BS연결H,0),0)/100,"")</f>
        <v/>
      </c>
      <c r="AA20" s="18">
        <f>IFERROR(VLOOKUP($D20,BS연결,MATCH(AA$1,BS연결H,0),0)/100,"")</f>
        <v/>
      </c>
      <c r="AB20" s="19">
        <f>IFERROR(VLOOKUP($D20,BS연결,MATCH(AB$1,BS연결H,0),0)/100,"")</f>
        <v/>
      </c>
      <c r="AC20" s="20">
        <f>IFERROR(AB20+AC16-변수!AC31,"")</f>
        <v/>
      </c>
      <c r="AD20" s="20">
        <f>IFERROR(AC20+AD16-변수!AD31,"")</f>
        <v/>
      </c>
      <c r="AE20" s="35">
        <f>AD20</f>
        <v/>
      </c>
      <c r="AF20" s="20">
        <f>IFERROR(AD20+AF16-변수!AF31,"")</f>
        <v/>
      </c>
      <c r="AG20" s="20">
        <f>IFERROR(AF20+AG16-변수!AG31,"")</f>
        <v/>
      </c>
      <c r="AH20" s="20">
        <f>IFERROR(AG20+AH16-변수!AH31,"")</f>
        <v/>
      </c>
      <c r="AI20" s="20">
        <f>IFERROR(AH20+AI16-변수!AI31,"")</f>
        <v/>
      </c>
      <c r="AJ20" s="35">
        <f>AI20</f>
        <v/>
      </c>
      <c r="AK20" s="20">
        <f>IFERROR(AI20+AK16-변수!AK31,"")</f>
        <v/>
      </c>
      <c r="AL20" s="20">
        <f>IFERROR(AK20+AL16-변수!AL31,"")</f>
        <v/>
      </c>
      <c r="AM20" s="20">
        <f>IFERROR(AL20+AM16-변수!AM31,"")</f>
        <v/>
      </c>
      <c r="AN20" s="20">
        <f>IFERROR(AM20+AN16-변수!AN31,"")</f>
        <v/>
      </c>
      <c r="AO20" s="35">
        <f>AN20</f>
        <v/>
      </c>
    </row>
    <row r="21">
      <c r="A21" s="12" t="inlineStr">
        <is>
          <t>이자발생자산</t>
        </is>
      </c>
      <c r="B21" t="inlineStr">
        <is>
          <t>재무상태</t>
        </is>
      </c>
      <c r="C21" t="inlineStr">
        <is>
          <t>억원</t>
        </is>
      </c>
      <c r="D21" t="inlineStr">
        <is>
          <t>이자발생자산</t>
        </is>
      </c>
      <c r="E21" s="18">
        <f>IFERROR(VLOOKUP($D21,BS연결,MATCH(E$1,BS연결H,0),0)/100,"")</f>
        <v/>
      </c>
      <c r="F21" s="34">
        <f>IFERROR(VLOOKUP($D21,BS연결,MATCH(F$1,BS연결H,0),0)/100,"")</f>
        <v/>
      </c>
      <c r="G21" s="18">
        <f>IFERROR(VLOOKUP($D21,BS연결,MATCH(G$1,BS연결H,0),0)/100,"")</f>
        <v/>
      </c>
      <c r="H21" s="18">
        <f>IFERROR(VLOOKUP($D21,BS연결,MATCH(H$1,BS연결H,0),0)/100,"")</f>
        <v/>
      </c>
      <c r="I21" s="18">
        <f>IFERROR(VLOOKUP($D21,BS연결,MATCH(I$1,BS연결H,0),0)/100,"")</f>
        <v/>
      </c>
      <c r="J21" s="18">
        <f>IFERROR(VLOOKUP($D21,BS연결,MATCH(J$1,BS연결H,0),0)/100,"")</f>
        <v/>
      </c>
      <c r="K21" s="34">
        <f>IFERROR(VLOOKUP($D21,BS연결,MATCH(K$1,BS연결H,0),0)/100,"")</f>
        <v/>
      </c>
      <c r="L21" s="18">
        <f>IFERROR(VLOOKUP($D21,BS연결,MATCH(L$1,BS연결H,0),0)/100,"")</f>
        <v/>
      </c>
      <c r="M21" s="18">
        <f>IFERROR(VLOOKUP($D21,BS연결,MATCH(M$1,BS연결H,0),0)/100,"")</f>
        <v/>
      </c>
      <c r="N21" s="18">
        <f>IFERROR(VLOOKUP($D21,BS연결,MATCH(N$1,BS연결H,0),0)/100,"")</f>
        <v/>
      </c>
      <c r="O21" s="18">
        <f>IFERROR(VLOOKUP($D21,BS연결,MATCH(O$1,BS연결H,0),0)/100,"")</f>
        <v/>
      </c>
      <c r="P21" s="34">
        <f>IFERROR(VLOOKUP($D21,BS연결,MATCH(P$1,BS연결H,0),0)/100,"")</f>
        <v/>
      </c>
      <c r="Q21" s="18">
        <f>IFERROR(VLOOKUP($D21,BS연결,MATCH(Q$1,BS연결H,0),0)/100,"")</f>
        <v/>
      </c>
      <c r="R21" s="18">
        <f>IFERROR(VLOOKUP($D21,BS연결,MATCH(R$1,BS연결H,0),0)/100,"")</f>
        <v/>
      </c>
      <c r="S21" s="18">
        <f>IFERROR(VLOOKUP($D21,BS연결,MATCH(S$1,BS연결H,0),0)/100,"")</f>
        <v/>
      </c>
      <c r="T21" s="18">
        <f>IFERROR(VLOOKUP($D21,BS연결,MATCH(T$1,BS연결H,0),0)/100,"")</f>
        <v/>
      </c>
      <c r="U21" s="34">
        <f>IFERROR(VLOOKUP($D21,BS연결,MATCH(U$1,BS연결H,0),0)/100,"")</f>
        <v/>
      </c>
      <c r="V21" s="18">
        <f>IFERROR(VLOOKUP($D21,BS연결,MATCH(V$1,BS연결H,0),0)/100,"")</f>
        <v/>
      </c>
      <c r="W21" s="18">
        <f>IFERROR(VLOOKUP($D21,BS연결,MATCH(W$1,BS연결H,0),0)/100,"")</f>
        <v/>
      </c>
      <c r="X21" s="18">
        <f>IFERROR(VLOOKUP($D21,BS연결,MATCH(X$1,BS연결H,0),0)/100,"")</f>
        <v/>
      </c>
      <c r="Y21" s="18">
        <f>IFERROR(VLOOKUP($D21,BS연결,MATCH(Y$1,BS연결H,0),0)/100,"")</f>
        <v/>
      </c>
      <c r="Z21" s="34">
        <f>IFERROR(VLOOKUP($D21,BS연결,MATCH(Z$1,BS연결H,0),0)/100,"")</f>
        <v/>
      </c>
      <c r="AA21" s="18">
        <f>IFERROR(VLOOKUP($D21,BS연결,MATCH(AA$1,BS연결H,0),0)/100,"")</f>
        <v/>
      </c>
      <c r="AB21" s="19">
        <f>IFERROR(VLOOKUP($D21,BS연결,MATCH(AB$1,BS연결H,0),0)/100,"")</f>
        <v/>
      </c>
      <c r="AC21" s="20">
        <f>IFERROR(AB21*(1+변수!AC32),"")</f>
        <v/>
      </c>
      <c r="AD21" s="20">
        <f>IFERROR(AC21*(1+변수!AD32),"")</f>
        <v/>
      </c>
      <c r="AE21" s="35">
        <f>AD21</f>
        <v/>
      </c>
      <c r="AF21" s="20">
        <f>IFERROR(AD21*(1+변수!AF32),"")</f>
        <v/>
      </c>
      <c r="AG21" s="20">
        <f>IFERROR(AF21*(1+변수!AG32),"")</f>
        <v/>
      </c>
      <c r="AH21" s="20">
        <f>IFERROR(AG21*(1+변수!AH32),"")</f>
        <v/>
      </c>
      <c r="AI21" s="20">
        <f>IFERROR(AH21*(1+변수!AI32),"")</f>
        <v/>
      </c>
      <c r="AJ21" s="35">
        <f>AI21</f>
        <v/>
      </c>
      <c r="AK21" s="20">
        <f>IFERROR(AI21*(1+변수!AK32),"")</f>
        <v/>
      </c>
      <c r="AL21" s="20">
        <f>IFERROR(AK21*(1+변수!AL32),"")</f>
        <v/>
      </c>
      <c r="AM21" s="20">
        <f>IFERROR(AL21*(1+변수!AM32),"")</f>
        <v/>
      </c>
      <c r="AN21" s="20">
        <f>IFERROR(AM21*(1+변수!AN32),"")</f>
        <v/>
      </c>
      <c r="AO21" s="35">
        <f>AN21</f>
        <v/>
      </c>
    </row>
    <row r="22">
      <c r="A22" s="12" t="inlineStr">
        <is>
          <t>현금및현금성자산</t>
        </is>
      </c>
      <c r="B22" t="inlineStr">
        <is>
          <t>재무상태</t>
        </is>
      </c>
      <c r="C22" t="inlineStr">
        <is>
          <t>억원</t>
        </is>
      </c>
      <c r="D22" t="inlineStr">
        <is>
          <t>현금및현금성자산</t>
        </is>
      </c>
      <c r="E22" s="18">
        <f>IFERROR(VLOOKUP($D22,BS연결,MATCH(E$1,BS연결H,0),0)/100,"")</f>
        <v/>
      </c>
      <c r="F22" s="34">
        <f>IFERROR(VLOOKUP($D22,BS연결,MATCH(F$1,BS연결H,0),0)/100,"")</f>
        <v/>
      </c>
      <c r="G22" s="18">
        <f>IFERROR(VLOOKUP($D22,BS연결,MATCH(G$1,BS연결H,0),0)/100,"")</f>
        <v/>
      </c>
      <c r="H22" s="18">
        <f>IFERROR(VLOOKUP($D22,BS연결,MATCH(H$1,BS연결H,0),0)/100,"")</f>
        <v/>
      </c>
      <c r="I22" s="18">
        <f>IFERROR(VLOOKUP($D22,BS연결,MATCH(I$1,BS연결H,0),0)/100,"")</f>
        <v/>
      </c>
      <c r="J22" s="18">
        <f>IFERROR(VLOOKUP($D22,BS연결,MATCH(J$1,BS연결H,0),0)/100,"")</f>
        <v/>
      </c>
      <c r="K22" s="34">
        <f>IFERROR(VLOOKUP($D22,BS연결,MATCH(K$1,BS연결H,0),0)/100,"")</f>
        <v/>
      </c>
      <c r="L22" s="18">
        <f>IFERROR(VLOOKUP($D22,BS연결,MATCH(L$1,BS연결H,0),0)/100,"")</f>
        <v/>
      </c>
      <c r="M22" s="18">
        <f>IFERROR(VLOOKUP($D22,BS연결,MATCH(M$1,BS연결H,0),0)/100,"")</f>
        <v/>
      </c>
      <c r="N22" s="18">
        <f>IFERROR(VLOOKUP($D22,BS연결,MATCH(N$1,BS연결H,0),0)/100,"")</f>
        <v/>
      </c>
      <c r="O22" s="18">
        <f>IFERROR(VLOOKUP($D22,BS연결,MATCH(O$1,BS연결H,0),0)/100,"")</f>
        <v/>
      </c>
      <c r="P22" s="34">
        <f>IFERROR(VLOOKUP($D22,BS연결,MATCH(P$1,BS연결H,0),0)/100,"")</f>
        <v/>
      </c>
      <c r="Q22" s="18">
        <f>IFERROR(VLOOKUP($D22,BS연결,MATCH(Q$1,BS연결H,0),0)/100,"")</f>
        <v/>
      </c>
      <c r="R22" s="18">
        <f>IFERROR(VLOOKUP($D22,BS연결,MATCH(R$1,BS연결H,0),0)/100,"")</f>
        <v/>
      </c>
      <c r="S22" s="18">
        <f>IFERROR(VLOOKUP($D22,BS연결,MATCH(S$1,BS연결H,0),0)/100,"")</f>
        <v/>
      </c>
      <c r="T22" s="18">
        <f>IFERROR(VLOOKUP($D22,BS연결,MATCH(T$1,BS연결H,0),0)/100,"")</f>
        <v/>
      </c>
      <c r="U22" s="34">
        <f>IFERROR(VLOOKUP($D22,BS연결,MATCH(U$1,BS연결H,0),0)/100,"")</f>
        <v/>
      </c>
      <c r="V22" s="18">
        <f>IFERROR(VLOOKUP($D22,BS연결,MATCH(V$1,BS연결H,0),0)/100,"")</f>
        <v/>
      </c>
      <c r="W22" s="18">
        <f>IFERROR(VLOOKUP($D22,BS연결,MATCH(W$1,BS연결H,0),0)/100,"")</f>
        <v/>
      </c>
      <c r="X22" s="18">
        <f>IFERROR(VLOOKUP($D22,BS연결,MATCH(X$1,BS연결H,0),0)/100,"")</f>
        <v/>
      </c>
      <c r="Y22" s="18">
        <f>IFERROR(VLOOKUP($D22,BS연결,MATCH(Y$1,BS연결H,0),0)/100,"")</f>
        <v/>
      </c>
      <c r="Z22" s="34">
        <f>IFERROR(VLOOKUP($D22,BS연결,MATCH(Z$1,BS연결H,0),0)/100,"")</f>
        <v/>
      </c>
      <c r="AA22" s="18">
        <f>IFERROR(VLOOKUP($D22,BS연결,MATCH(AA$1,BS연결H,0),0)/100,"")</f>
        <v/>
      </c>
      <c r="AB22" s="19">
        <f>IFERROR(VLOOKUP($D22,BS연결,MATCH(AB$1,BS연결H,0),0)/100,"")</f>
        <v/>
      </c>
      <c r="AC22" s="20" t="n"/>
      <c r="AD22" s="20" t="n"/>
      <c r="AE22" s="35">
        <f>AD22</f>
        <v/>
      </c>
      <c r="AF22" s="20" t="n"/>
      <c r="AG22" s="20" t="n"/>
      <c r="AH22" s="20" t="n"/>
      <c r="AI22" s="20" t="n"/>
      <c r="AJ22" s="35">
        <f>AI22</f>
        <v/>
      </c>
      <c r="AK22" s="20" t="n"/>
      <c r="AL22" s="20" t="n"/>
      <c r="AM22" s="20" t="n"/>
      <c r="AN22" s="20" t="n"/>
      <c r="AO22" s="35">
        <f>AN22</f>
        <v/>
      </c>
    </row>
    <row r="23">
      <c r="A23" s="12" t="inlineStr">
        <is>
          <t>CAPEX</t>
        </is>
      </c>
      <c r="B23" t="inlineStr">
        <is>
          <t>현금흐름</t>
        </is>
      </c>
      <c r="C23" t="inlineStr">
        <is>
          <t>억원</t>
        </is>
      </c>
      <c r="D23" t="inlineStr">
        <is>
          <t>CAPEX</t>
        </is>
      </c>
      <c r="E23" s="18">
        <f>IFERROR(VLOOKUP($D23,BS연결,MATCH(E$1,BS연결H,0),0)/100,"")</f>
        <v/>
      </c>
      <c r="F23" s="34" t="n"/>
      <c r="G23" s="18">
        <f>IFERROR(VLOOKUP($D23,BS연결,MATCH(G$1,BS연결H,0),0)/100,"")</f>
        <v/>
      </c>
      <c r="H23" s="18">
        <f>IFERROR(VLOOKUP($D23,BS연결,MATCH(H$1,BS연결H,0),0)/100,"")</f>
        <v/>
      </c>
      <c r="I23" s="18">
        <f>IFERROR(VLOOKUP($D23,BS연결,MATCH(I$1,BS연결H,0),0)/100,"")</f>
        <v/>
      </c>
      <c r="J23" s="18">
        <f>IFERROR(VLOOKUP($D23,BS연결,MATCH(J$1,BS연결H,0),0)/100,"")</f>
        <v/>
      </c>
      <c r="K23" s="34">
        <f>IFERROR(VLOOKUP($D23,BS연결,MATCH(K$1,BS연결H,0),0)/100,"")</f>
        <v/>
      </c>
      <c r="L23" s="18">
        <f>IFERROR(VLOOKUP($D23,BS연결,MATCH(L$1,BS연결H,0),0)/100,"")</f>
        <v/>
      </c>
      <c r="M23" s="18">
        <f>IFERROR(VLOOKUP($D23,BS연결,MATCH(M$1,BS연결H,0),0)/100,"")</f>
        <v/>
      </c>
      <c r="N23" s="18">
        <f>IFERROR(VLOOKUP($D23,BS연결,MATCH(N$1,BS연결H,0),0)/100,"")</f>
        <v/>
      </c>
      <c r="O23" s="18">
        <f>IFERROR(VLOOKUP($D23,BS연결,MATCH(O$1,BS연결H,0),0)/100,"")</f>
        <v/>
      </c>
      <c r="P23" s="34">
        <f>IFERROR(VLOOKUP($D23,BS연결,MATCH(P$1,BS연결H,0),0)/100,"")</f>
        <v/>
      </c>
      <c r="Q23" s="18">
        <f>IFERROR(VLOOKUP($D23,BS연결,MATCH(Q$1,BS연결H,0),0)/100,"")</f>
        <v/>
      </c>
      <c r="R23" s="18">
        <f>IFERROR(VLOOKUP($D23,BS연결,MATCH(R$1,BS연결H,0),0)/100,"")</f>
        <v/>
      </c>
      <c r="S23" s="18">
        <f>IFERROR(VLOOKUP($D23,BS연결,MATCH(S$1,BS연결H,0),0)/100,"")</f>
        <v/>
      </c>
      <c r="T23" s="18">
        <f>IFERROR(VLOOKUP($D23,BS연결,MATCH(T$1,BS연결H,0),0)/100,"")</f>
        <v/>
      </c>
      <c r="U23" s="34">
        <f>IFERROR(VLOOKUP($D23,BS연결,MATCH(U$1,BS연결H,0),0)/100,"")</f>
        <v/>
      </c>
      <c r="V23" s="18">
        <f>IFERROR(VLOOKUP($D23,BS연결,MATCH(V$1,BS연결H,0),0)/100,"")</f>
        <v/>
      </c>
      <c r="W23" s="18">
        <f>IFERROR(VLOOKUP($D23,BS연결,MATCH(W$1,BS연결H,0),0)/100,"")</f>
        <v/>
      </c>
      <c r="X23" s="18">
        <f>IFERROR(VLOOKUP($D23,BS연결,MATCH(X$1,BS연결H,0),0)/100,"")</f>
        <v/>
      </c>
      <c r="Y23" s="18">
        <f>IFERROR(VLOOKUP($D23,BS연결,MATCH(Y$1,BS연결H,0),0)/100,"")</f>
        <v/>
      </c>
      <c r="Z23" s="34">
        <f>IFERROR(VLOOKUP($D23,BS연결,MATCH(Z$1,BS연결H,0),0)/100,"")</f>
        <v/>
      </c>
      <c r="AA23" s="18">
        <f>IFERROR(VLOOKUP($D23,BS연결,MATCH(AA$1,BS연결H,0),0)/100,"")</f>
        <v/>
      </c>
      <c r="AB23" s="19">
        <f>IFERROR(VLOOKUP($D23,BS연결,MATCH(AB$1,BS연결H,0),0)/100,"")</f>
        <v/>
      </c>
      <c r="AC23" s="20" t="n"/>
      <c r="AD23" s="20" t="n"/>
      <c r="AE23" s="35">
        <f>SUM(AA23:AD23)</f>
        <v/>
      </c>
      <c r="AF23" s="20" t="n"/>
      <c r="AG23" s="20" t="n"/>
      <c r="AH23" s="20" t="n"/>
      <c r="AI23" s="20" t="n"/>
      <c r="AJ23" s="35">
        <f>SUM(AF23:AI23)</f>
        <v/>
      </c>
      <c r="AK23" s="20" t="n"/>
      <c r="AL23" s="20" t="n"/>
      <c r="AM23" s="20" t="n"/>
      <c r="AN23" s="20" t="n"/>
      <c r="AO23" s="35">
        <f>SUM(AK23:AN23)</f>
        <v/>
      </c>
    </row>
    <row r="24">
      <c r="A24" s="12" t="inlineStr">
        <is>
          <t>영업활동현금흐름</t>
        </is>
      </c>
      <c r="B24" t="inlineStr">
        <is>
          <t>현금흐름</t>
        </is>
      </c>
      <c r="C24" t="inlineStr">
        <is>
          <t>억원</t>
        </is>
      </c>
      <c r="D24" t="inlineStr">
        <is>
          <t>영업활동현금흐름</t>
        </is>
      </c>
      <c r="E24" s="18" t="n">
        <v>40.12</v>
      </c>
      <c r="F24" s="34" t="n"/>
      <c r="G24" s="18" t="n">
        <v>13.19</v>
      </c>
      <c r="H24" s="18" t="n">
        <v>44.37</v>
      </c>
      <c r="I24" s="18" t="n">
        <v>22.69</v>
      </c>
      <c r="J24" s="18" t="n">
        <v>116.85</v>
      </c>
      <c r="K24" s="34">
        <f>SUM(G24:J24)</f>
        <v/>
      </c>
      <c r="L24" s="18" t="n">
        <v>21.64</v>
      </c>
      <c r="M24" s="18" t="n">
        <v>91</v>
      </c>
      <c r="N24" s="18" t="n">
        <v>46.31</v>
      </c>
      <c r="O24" s="18" t="n">
        <v>118.61</v>
      </c>
      <c r="P24" s="34">
        <f>SUM(L24:O24)</f>
        <v/>
      </c>
      <c r="Q24" s="18" t="n">
        <v>170.38</v>
      </c>
      <c r="R24" s="18" t="n">
        <v>95.98</v>
      </c>
      <c r="S24" s="18" t="n">
        <v>116.78</v>
      </c>
      <c r="T24" s="18" t="n">
        <v>98.12</v>
      </c>
      <c r="U24" s="34">
        <f>SUM(Q24:T24)</f>
        <v/>
      </c>
      <c r="V24" s="18" t="n">
        <v>89.15000000000001</v>
      </c>
      <c r="W24" s="18" t="n">
        <v>119.41</v>
      </c>
      <c r="X24" s="18" t="n">
        <v>137.92</v>
      </c>
      <c r="Y24" s="18" t="n">
        <v>126.34</v>
      </c>
      <c r="Z24" s="34">
        <f>SUM(V24:Y24)</f>
        <v/>
      </c>
      <c r="AA24" s="18" t="n">
        <v>131.58</v>
      </c>
      <c r="AB24" s="19" t="n">
        <v>131.8</v>
      </c>
      <c r="AC24" s="20" t="n"/>
      <c r="AD24" s="20" t="n"/>
      <c r="AE24" s="35">
        <f>SUM(AA24:AD24)</f>
        <v/>
      </c>
      <c r="AF24" s="20" t="n"/>
      <c r="AG24" s="20" t="n"/>
      <c r="AH24" s="20" t="n"/>
      <c r="AI24" s="20" t="n"/>
      <c r="AJ24" s="35">
        <f>SUM(AF24:AI24)</f>
        <v/>
      </c>
      <c r="AK24" s="20" t="n"/>
      <c r="AL24" s="20" t="n"/>
      <c r="AM24" s="20" t="n"/>
      <c r="AN24" s="20" t="n"/>
      <c r="AO24" s="35">
        <f>SUM(AK24:AN24)</f>
        <v/>
      </c>
    </row>
    <row r="25">
      <c r="A25" s="12" t="inlineStr">
        <is>
          <t>주식수</t>
        </is>
      </c>
      <c r="B25" t="inlineStr">
        <is>
          <t>주당</t>
        </is>
      </c>
      <c r="C25" t="inlineStr">
        <is>
          <t>백만주</t>
        </is>
      </c>
      <c r="D25" t="inlineStr">
        <is>
          <t>유통주식수</t>
        </is>
      </c>
      <c r="E25" s="26" t="n">
        <v>12.856</v>
      </c>
      <c r="F25" s="27">
        <f>E25</f>
        <v/>
      </c>
      <c r="G25" s="26" t="n">
        <v>12.856</v>
      </c>
      <c r="H25" s="26" t="n">
        <v>12.856</v>
      </c>
      <c r="I25" s="26" t="n">
        <v>12.856</v>
      </c>
      <c r="J25" s="26" t="n">
        <v>12.856</v>
      </c>
      <c r="K25" s="27">
        <f>J25</f>
        <v/>
      </c>
      <c r="L25" s="26" t="n">
        <v>12.856</v>
      </c>
      <c r="M25" s="26" t="n">
        <v>12.856</v>
      </c>
      <c r="N25" s="26" t="n">
        <v>12.856</v>
      </c>
      <c r="O25" s="26" t="n">
        <v>12.588</v>
      </c>
      <c r="P25" s="27">
        <f>O25</f>
        <v/>
      </c>
      <c r="Q25" s="26" t="n">
        <v>12.275</v>
      </c>
      <c r="R25" s="26" t="n">
        <v>12.103</v>
      </c>
      <c r="S25" s="26" t="n">
        <v>12.103</v>
      </c>
      <c r="T25" s="26" t="n">
        <v>12.295</v>
      </c>
      <c r="U25" s="27">
        <f>T25</f>
        <v/>
      </c>
      <c r="V25" s="26" t="n">
        <v>12.145</v>
      </c>
      <c r="W25" s="26" t="n">
        <v>11.873</v>
      </c>
      <c r="X25" s="26" t="n">
        <v>11.768</v>
      </c>
      <c r="Y25" s="26" t="n">
        <v>11.768</v>
      </c>
      <c r="Z25" s="27">
        <f>Y25</f>
        <v/>
      </c>
      <c r="AA25" s="26" t="n">
        <v>11.768</v>
      </c>
      <c r="AB25" s="28" t="n">
        <v>11.768</v>
      </c>
      <c r="AC25" s="36">
        <f>IFERROR(AB25*(1+변수!AC36),"")</f>
        <v/>
      </c>
      <c r="AD25" s="36">
        <f>IFERROR(AC25*(1+변수!AD36),"")</f>
        <v/>
      </c>
      <c r="AE25" s="30">
        <f>AD25</f>
        <v/>
      </c>
      <c r="AF25" s="36">
        <f>IFERROR(AD25*(1+변수!AF36),"")</f>
        <v/>
      </c>
      <c r="AG25" s="36">
        <f>IFERROR(AF25*(1+변수!AG36),"")</f>
        <v/>
      </c>
      <c r="AH25" s="36">
        <f>IFERROR(AG25*(1+변수!AH36),"")</f>
        <v/>
      </c>
      <c r="AI25" s="36">
        <f>IFERROR(AH25*(1+변수!AI36),"")</f>
        <v/>
      </c>
      <c r="AJ25" s="30">
        <f>AI25</f>
        <v/>
      </c>
      <c r="AK25" s="36">
        <f>IFERROR(AI25*(1+변수!AK36),"")</f>
        <v/>
      </c>
      <c r="AL25" s="36">
        <f>IFERROR(AK25*(1+변수!AL36),"")</f>
        <v/>
      </c>
      <c r="AM25" s="36">
        <f>IFERROR(AL25*(1+변수!AM36),"")</f>
        <v/>
      </c>
      <c r="AN25" s="36">
        <f>IFERROR(AM25*(1+변수!AN36),"")</f>
        <v/>
      </c>
      <c r="AO25" s="30">
        <f>AN25</f>
        <v/>
      </c>
    </row>
    <row r="26">
      <c r="A26" s="12" t="inlineStr">
        <is>
          <t>EPS</t>
        </is>
      </c>
      <c r="B26" t="inlineStr">
        <is>
          <t>주당</t>
        </is>
      </c>
      <c r="C26" t="inlineStr">
        <is>
          <t>원</t>
        </is>
      </c>
      <c r="D26" t="inlineStr">
        <is>
          <t>EPS</t>
        </is>
      </c>
      <c r="E26" s="18">
        <f>IFERROR(E16*100/E25,"")</f>
        <v/>
      </c>
      <c r="F26" s="34" t="n"/>
      <c r="G26" s="18">
        <f>IFERROR(G16*100/G25,"")</f>
        <v/>
      </c>
      <c r="H26" s="18">
        <f>IFERROR(H16*100/H25,"")</f>
        <v/>
      </c>
      <c r="I26" s="18">
        <f>IFERROR(I16*100/I25,"")</f>
        <v/>
      </c>
      <c r="J26" s="18">
        <f>IFERROR(J16*100/J25,"")</f>
        <v/>
      </c>
      <c r="K26" s="34">
        <f>SUM(G26:J26)</f>
        <v/>
      </c>
      <c r="L26" s="18">
        <f>IFERROR(L16*100/L25,"")</f>
        <v/>
      </c>
      <c r="M26" s="18">
        <f>IFERROR(M16*100/M25,"")</f>
        <v/>
      </c>
      <c r="N26" s="18">
        <f>IFERROR(N16*100/N25,"")</f>
        <v/>
      </c>
      <c r="O26" s="18">
        <f>IFERROR(O16*100/O25,"")</f>
        <v/>
      </c>
      <c r="P26" s="34">
        <f>SUM(L26:O26)</f>
        <v/>
      </c>
      <c r="Q26" s="18">
        <f>IFERROR(Q16*100/Q25,"")</f>
        <v/>
      </c>
      <c r="R26" s="18">
        <f>IFERROR(R16*100/R25,"")</f>
        <v/>
      </c>
      <c r="S26" s="18">
        <f>IFERROR(S16*100/S25,"")</f>
        <v/>
      </c>
      <c r="T26" s="18">
        <f>IFERROR(T16*100/T25,"")</f>
        <v/>
      </c>
      <c r="U26" s="34">
        <f>SUM(Q26:T26)</f>
        <v/>
      </c>
      <c r="V26" s="18">
        <f>IFERROR(V16*100/V25,"")</f>
        <v/>
      </c>
      <c r="W26" s="18">
        <f>IFERROR(W16*100/W25,"")</f>
        <v/>
      </c>
      <c r="X26" s="18">
        <f>IFERROR(X16*100/X25,"")</f>
        <v/>
      </c>
      <c r="Y26" s="18">
        <f>IFERROR(Y16*100/Y25,"")</f>
        <v/>
      </c>
      <c r="Z26" s="34">
        <f>SUM(V26:Y26)</f>
        <v/>
      </c>
      <c r="AA26" s="18">
        <f>IFERROR(AA16*100/AA25,"")</f>
        <v/>
      </c>
      <c r="AB26" s="19">
        <f>IFERROR(AB16*100/AB25,"")</f>
        <v/>
      </c>
      <c r="AC26" s="20">
        <f>IFERROR(AC16*100/AC25,"")</f>
        <v/>
      </c>
      <c r="AD26" s="20">
        <f>IFERROR(AD16*100/AD25,"")</f>
        <v/>
      </c>
      <c r="AE26" s="35">
        <f>SUM(AA26:AD26)</f>
        <v/>
      </c>
      <c r="AF26" s="20">
        <f>IFERROR(AF16*100/AF25,"")</f>
        <v/>
      </c>
      <c r="AG26" s="20">
        <f>IFERROR(AG16*100/AG25,"")</f>
        <v/>
      </c>
      <c r="AH26" s="20">
        <f>IFERROR(AH16*100/AH25,"")</f>
        <v/>
      </c>
      <c r="AI26" s="20">
        <f>IFERROR(AI16*100/AI25,"")</f>
        <v/>
      </c>
      <c r="AJ26" s="35">
        <f>SUM(AF26:AI26)</f>
        <v/>
      </c>
      <c r="AK26" s="20">
        <f>IFERROR(AK16*100/AK25,"")</f>
        <v/>
      </c>
      <c r="AL26" s="20">
        <f>IFERROR(AL16*100/AL25,"")</f>
        <v/>
      </c>
      <c r="AM26" s="20">
        <f>IFERROR(AM16*100/AM25,"")</f>
        <v/>
      </c>
      <c r="AN26" s="20">
        <f>IFERROR(AN16*100/AN25,"")</f>
        <v/>
      </c>
      <c r="AO26" s="35">
        <f>SUM(AK26:AN26)</f>
        <v/>
      </c>
    </row>
    <row r="27">
      <c r="A27" s="12" t="inlineStr">
        <is>
          <t>BPS</t>
        </is>
      </c>
      <c r="B27" t="inlineStr">
        <is>
          <t>주당</t>
        </is>
      </c>
      <c r="C27" t="inlineStr">
        <is>
          <t>원</t>
        </is>
      </c>
      <c r="D27" t="inlineStr">
        <is>
          <t>BPS</t>
        </is>
      </c>
      <c r="E27" s="18">
        <f>IFERROR(E20*100/E25,"")</f>
        <v/>
      </c>
      <c r="F27" s="34">
        <f>E27</f>
        <v/>
      </c>
      <c r="G27" s="18">
        <f>IFERROR(G20*100/G25,"")</f>
        <v/>
      </c>
      <c r="H27" s="18">
        <f>IFERROR(H20*100/H25,"")</f>
        <v/>
      </c>
      <c r="I27" s="18">
        <f>IFERROR(I20*100/I25,"")</f>
        <v/>
      </c>
      <c r="J27" s="18">
        <f>IFERROR(J20*100/J25,"")</f>
        <v/>
      </c>
      <c r="K27" s="34">
        <f>J27</f>
        <v/>
      </c>
      <c r="L27" s="18">
        <f>IFERROR(L20*100/L25,"")</f>
        <v/>
      </c>
      <c r="M27" s="18">
        <f>IFERROR(M20*100/M25,"")</f>
        <v/>
      </c>
      <c r="N27" s="18">
        <f>IFERROR(N20*100/N25,"")</f>
        <v/>
      </c>
      <c r="O27" s="18">
        <f>IFERROR(O20*100/O25,"")</f>
        <v/>
      </c>
      <c r="P27" s="34">
        <f>O27</f>
        <v/>
      </c>
      <c r="Q27" s="18">
        <f>IFERROR(Q20*100/Q25,"")</f>
        <v/>
      </c>
      <c r="R27" s="18">
        <f>IFERROR(R20*100/R25,"")</f>
        <v/>
      </c>
      <c r="S27" s="18">
        <f>IFERROR(S20*100/S25,"")</f>
        <v/>
      </c>
      <c r="T27" s="18">
        <f>IFERROR(T20*100/T25,"")</f>
        <v/>
      </c>
      <c r="U27" s="34">
        <f>T27</f>
        <v/>
      </c>
      <c r="V27" s="18">
        <f>IFERROR(V20*100/V25,"")</f>
        <v/>
      </c>
      <c r="W27" s="18">
        <f>IFERROR(W20*100/W25,"")</f>
        <v/>
      </c>
      <c r="X27" s="18">
        <f>IFERROR(X20*100/X25,"")</f>
        <v/>
      </c>
      <c r="Y27" s="18">
        <f>IFERROR(Y20*100/Y25,"")</f>
        <v/>
      </c>
      <c r="Z27" s="34">
        <f>Y27</f>
        <v/>
      </c>
      <c r="AA27" s="18">
        <f>IFERROR(AA20*100/AA25,"")</f>
        <v/>
      </c>
      <c r="AB27" s="19">
        <f>IFERROR(AB20*100/AB25,"")</f>
        <v/>
      </c>
      <c r="AC27" s="20">
        <f>IFERROR(AC20*100/AC25,"")</f>
        <v/>
      </c>
      <c r="AD27" s="20">
        <f>IFERROR(AD20*100/AD25,"")</f>
        <v/>
      </c>
      <c r="AE27" s="35">
        <f>AD27</f>
        <v/>
      </c>
      <c r="AF27" s="20">
        <f>IFERROR(AF20*100/AF25,"")</f>
        <v/>
      </c>
      <c r="AG27" s="20">
        <f>IFERROR(AG20*100/AG25,"")</f>
        <v/>
      </c>
      <c r="AH27" s="20">
        <f>IFERROR(AH20*100/AH25,"")</f>
        <v/>
      </c>
      <c r="AI27" s="20">
        <f>IFERROR(AI20*100/AI25,"")</f>
        <v/>
      </c>
      <c r="AJ27" s="35">
        <f>AI27</f>
        <v/>
      </c>
      <c r="AK27" s="20">
        <f>IFERROR(AK20*100/AK25,"")</f>
        <v/>
      </c>
      <c r="AL27" s="20">
        <f>IFERROR(AL20*100/AL25,"")</f>
        <v/>
      </c>
      <c r="AM27" s="20">
        <f>IFERROR(AM20*100/AM25,"")</f>
        <v/>
      </c>
      <c r="AN27" s="20">
        <f>IFERROR(AN20*100/AN25,"")</f>
        <v/>
      </c>
      <c r="AO27" s="35">
        <f>AN27</f>
        <v/>
      </c>
    </row>
    <row r="28">
      <c r="A28" s="12" t="inlineStr">
        <is>
          <t>DPS</t>
        </is>
      </c>
      <c r="B28" t="inlineStr">
        <is>
          <t>주당</t>
        </is>
      </c>
      <c r="C28" t="inlineStr">
        <is>
          <t>원</t>
        </is>
      </c>
      <c r="D28" t="inlineStr">
        <is>
          <t>DPS(보통주)</t>
        </is>
      </c>
      <c r="E28" s="18" t="n">
        <v>500</v>
      </c>
      <c r="F28" s="34" t="n">
        <v>500</v>
      </c>
      <c r="G28" s="18" t="n"/>
      <c r="H28" s="18" t="n"/>
      <c r="I28" s="18" t="n"/>
      <c r="J28" s="18" t="n">
        <v>600</v>
      </c>
      <c r="K28" s="34">
        <f>SUM(G28:J28)</f>
        <v/>
      </c>
      <c r="L28" s="18" t="n"/>
      <c r="M28" s="18" t="n"/>
      <c r="N28" s="18" t="n"/>
      <c r="O28" s="18" t="n">
        <v>1050</v>
      </c>
      <c r="P28" s="34">
        <f>SUM(L28:O28)</f>
        <v/>
      </c>
      <c r="Q28" s="18" t="n"/>
      <c r="R28" s="18" t="n"/>
      <c r="S28" s="18" t="n"/>
      <c r="T28" s="18" t="n">
        <v>1150</v>
      </c>
      <c r="U28" s="34">
        <f>SUM(Q28:T28)</f>
        <v/>
      </c>
      <c r="V28" s="18" t="n"/>
      <c r="W28" s="18" t="n"/>
      <c r="X28" s="18" t="n"/>
      <c r="Y28" s="18" t="n">
        <v>1350</v>
      </c>
      <c r="Z28" s="34">
        <f>SUM(V28:Y28)</f>
        <v/>
      </c>
      <c r="AA28" s="18" t="n"/>
      <c r="AB28" s="19" t="n"/>
      <c r="AC28" s="20" t="n"/>
      <c r="AD28" s="20">
        <f>IFERROR(Y28*(1+변수!AD37),"")</f>
        <v/>
      </c>
      <c r="AE28" s="35">
        <f>SUM(AA28:AD28)</f>
        <v/>
      </c>
      <c r="AF28" s="20" t="n"/>
      <c r="AG28" s="20" t="n"/>
      <c r="AH28" s="20" t="n"/>
      <c r="AI28" s="20">
        <f>IFERROR(AD28*(1+변수!AI37),"")</f>
        <v/>
      </c>
      <c r="AJ28" s="35">
        <f>SUM(AF28:AI28)</f>
        <v/>
      </c>
      <c r="AK28" s="20" t="n"/>
      <c r="AL28" s="20" t="n"/>
      <c r="AM28" s="20" t="n"/>
      <c r="AN28" s="20">
        <f>IFERROR(AI28*(1+변수!AN37),"")</f>
        <v/>
      </c>
      <c r="AO28" s="35">
        <f>SUM(AK28:AN28)</f>
        <v/>
      </c>
    </row>
    <row r="29">
      <c r="A29" s="12" t="inlineStr">
        <is>
          <t>PER</t>
        </is>
      </c>
      <c r="B29" t="inlineStr">
        <is>
          <t>주당</t>
        </is>
      </c>
      <c r="C29" t="inlineStr">
        <is>
          <t>배</t>
        </is>
      </c>
      <c r="D29" t="inlineStr">
        <is>
          <t>PER</t>
        </is>
      </c>
      <c r="E29" s="18" t="n"/>
      <c r="F29" s="34" t="n"/>
      <c r="G29" s="18" t="n"/>
      <c r="H29" s="18" t="n"/>
      <c r="I29" s="18" t="n">
        <v>8.49</v>
      </c>
      <c r="J29" s="18" t="n">
        <v>7.98</v>
      </c>
      <c r="K29" s="34">
        <f>SUM(G29:J29)</f>
        <v/>
      </c>
      <c r="L29" s="18" t="n">
        <v>6.95</v>
      </c>
      <c r="M29" s="18" t="n">
        <v>6.57</v>
      </c>
      <c r="N29" s="18" t="n">
        <v>7.71</v>
      </c>
      <c r="O29" s="18" t="n">
        <v>7.06</v>
      </c>
      <c r="P29" s="34">
        <f>SUM(L29:O29)</f>
        <v/>
      </c>
      <c r="Q29" s="18" t="n">
        <v>6.46</v>
      </c>
      <c r="R29" s="18" t="n">
        <v>6.84</v>
      </c>
      <c r="S29" s="18" t="n">
        <v>7.19</v>
      </c>
      <c r="T29" s="18" t="n">
        <v>6.35</v>
      </c>
      <c r="U29" s="34">
        <f>SUM(Q29:T29)</f>
        <v/>
      </c>
      <c r="V29" s="18" t="n">
        <v>7.79</v>
      </c>
      <c r="W29" s="18" t="n">
        <v>8.220000000000001</v>
      </c>
      <c r="X29" s="18" t="n">
        <v>8.220000000000001</v>
      </c>
      <c r="Y29" s="18" t="n">
        <v>8.08</v>
      </c>
      <c r="Z29" s="34">
        <f>SUM(V29:Y29)</f>
        <v/>
      </c>
      <c r="AA29" s="18" t="n">
        <v>7.53</v>
      </c>
      <c r="AB29" s="19" t="n">
        <v>7.82</v>
      </c>
      <c r="AC29" s="20">
        <f>IFERROR(X29*(1+변수!AC38),"")</f>
        <v/>
      </c>
      <c r="AD29" s="20">
        <f>IFERROR(Y29*(1+변수!AD38),"")</f>
        <v/>
      </c>
      <c r="AE29" s="35">
        <f>SUM(AA29:AD29)</f>
        <v/>
      </c>
      <c r="AF29" s="20">
        <f>IFERROR(AA29*(1+변수!AF38),"")</f>
        <v/>
      </c>
      <c r="AG29" s="20">
        <f>IFERROR(AB29*(1+변수!AG38),"")</f>
        <v/>
      </c>
      <c r="AH29" s="20">
        <f>IFERROR(AC29*(1+변수!AH38),"")</f>
        <v/>
      </c>
      <c r="AI29" s="20">
        <f>IFERROR(AD29*(1+변수!AI38),"")</f>
        <v/>
      </c>
      <c r="AJ29" s="35">
        <f>SUM(AF29:AI29)</f>
        <v/>
      </c>
      <c r="AK29" s="20">
        <f>IFERROR(AF29*(1+변수!AK38),"")</f>
        <v/>
      </c>
      <c r="AL29" s="20">
        <f>IFERROR(AG29*(1+변수!AL38),"")</f>
        <v/>
      </c>
      <c r="AM29" s="20">
        <f>IFERROR(AH29*(1+변수!AM38),"")</f>
        <v/>
      </c>
      <c r="AN29" s="20">
        <f>IFERROR(AI29*(1+변수!AN38),"")</f>
        <v/>
      </c>
      <c r="AO29" s="35">
        <f>SUM(AK29:AN29)</f>
        <v/>
      </c>
    </row>
    <row r="30">
      <c r="A30" s="12" t="inlineStr">
        <is>
          <t>PBR</t>
        </is>
      </c>
      <c r="B30" t="inlineStr">
        <is>
          <t>주당</t>
        </is>
      </c>
      <c r="C30" t="inlineStr">
        <is>
          <t>배</t>
        </is>
      </c>
      <c r="D30" t="inlineStr">
        <is>
          <t>PBR</t>
        </is>
      </c>
      <c r="E30" s="18" t="n">
        <v>0.65</v>
      </c>
      <c r="F30" s="34" t="n">
        <v>0.62</v>
      </c>
      <c r="G30" s="18" t="n">
        <v>0.64</v>
      </c>
      <c r="H30" s="18" t="n">
        <v>0.66</v>
      </c>
      <c r="I30" s="18" t="n">
        <v>0.72</v>
      </c>
      <c r="J30" s="18" t="n">
        <v>0.72</v>
      </c>
      <c r="K30" s="34">
        <f>SUM(G30:J30)</f>
        <v/>
      </c>
      <c r="L30" s="18" t="n">
        <v>0.76</v>
      </c>
      <c r="M30" s="18" t="n">
        <v>0.76</v>
      </c>
      <c r="N30" s="18" t="n">
        <v>0.87</v>
      </c>
      <c r="O30" s="18" t="n">
        <v>0.8100000000000001</v>
      </c>
      <c r="P30" s="34">
        <f>SUM(L30:O30)</f>
        <v/>
      </c>
      <c r="Q30" s="18" t="n">
        <v>0.79</v>
      </c>
      <c r="R30" s="18" t="n">
        <v>0.8</v>
      </c>
      <c r="S30" s="18" t="n">
        <v>0.78</v>
      </c>
      <c r="T30" s="18" t="n">
        <v>0.7</v>
      </c>
      <c r="U30" s="34">
        <f>SUM(Q30:T30)</f>
        <v/>
      </c>
      <c r="V30" s="18" t="n">
        <v>0.8100000000000001</v>
      </c>
      <c r="W30" s="18" t="n">
        <v>0.8</v>
      </c>
      <c r="X30" s="18" t="n">
        <v>0.86</v>
      </c>
      <c r="Y30" s="18" t="n">
        <v>0.89</v>
      </c>
      <c r="Z30" s="34">
        <f>SUM(V30:Y30)</f>
        <v/>
      </c>
      <c r="AA30" s="18" t="n">
        <v>0.89</v>
      </c>
      <c r="AB30" s="19" t="n">
        <v>0.95</v>
      </c>
      <c r="AC30" s="20">
        <f>IFERROR(X30*(1+변수!AC39),"")</f>
        <v/>
      </c>
      <c r="AD30" s="20">
        <f>IFERROR(Y30*(1+변수!AD39),"")</f>
        <v/>
      </c>
      <c r="AE30" s="35">
        <f>SUM(AA30:AD30)</f>
        <v/>
      </c>
      <c r="AF30" s="20">
        <f>IFERROR(AA30*(1+변수!AF39),"")</f>
        <v/>
      </c>
      <c r="AG30" s="20">
        <f>IFERROR(AB30*(1+변수!AG39),"")</f>
        <v/>
      </c>
      <c r="AH30" s="20">
        <f>IFERROR(AC30*(1+변수!AH39),"")</f>
        <v/>
      </c>
      <c r="AI30" s="20">
        <f>IFERROR(AD30*(1+변수!AI39),"")</f>
        <v/>
      </c>
      <c r="AJ30" s="35">
        <f>SUM(AF30:AI30)</f>
        <v/>
      </c>
      <c r="AK30" s="20">
        <f>IFERROR(AF30*(1+변수!AK39),"")</f>
        <v/>
      </c>
      <c r="AL30" s="20">
        <f>IFERROR(AG30*(1+변수!AL39),"")</f>
        <v/>
      </c>
      <c r="AM30" s="20">
        <f>IFERROR(AH30*(1+변수!AM39),"")</f>
        <v/>
      </c>
      <c r="AN30" s="20">
        <f>IFERROR(AI30*(1+변수!AN39),"")</f>
        <v/>
      </c>
      <c r="AO30" s="35">
        <f>SUM(AK30:AN30)</f>
        <v/>
      </c>
    </row>
    <row r="31">
      <c r="A31" s="12" t="inlineStr">
        <is>
          <t>매출전사</t>
        </is>
      </c>
      <c r="B31" t="inlineStr">
        <is>
          <t>사업부</t>
        </is>
      </c>
      <c r="C31" t="inlineStr">
        <is>
          <t>억원</t>
        </is>
      </c>
      <c r="D31" t="inlineStr">
        <is>
          <t>매출 전사(부문 미분리)</t>
        </is>
      </c>
      <c r="E31" s="18" t="n">
        <v>358.76</v>
      </c>
      <c r="F31" s="34" t="n"/>
      <c r="G31" s="18" t="n">
        <v>342.57</v>
      </c>
      <c r="H31" s="18" t="n">
        <v>511.6</v>
      </c>
      <c r="I31" s="18" t="n">
        <v>434.45</v>
      </c>
      <c r="J31" s="18" t="n">
        <v>539.9</v>
      </c>
      <c r="K31" s="34">
        <f>SUM(G31:J31)</f>
        <v/>
      </c>
      <c r="L31" s="18" t="n">
        <v>457.04</v>
      </c>
      <c r="M31" s="18" t="n">
        <v>496.23</v>
      </c>
      <c r="N31" s="18" t="n">
        <v>465.92</v>
      </c>
      <c r="O31" s="18" t="n">
        <v>469.2</v>
      </c>
      <c r="P31" s="34">
        <f>SUM(L31:O31)</f>
        <v/>
      </c>
      <c r="Q31" s="18" t="n">
        <v>497.74</v>
      </c>
      <c r="R31" s="18" t="n">
        <v>460.87</v>
      </c>
      <c r="S31" s="18" t="n">
        <v>452.85</v>
      </c>
      <c r="T31" s="18" t="n">
        <v>493.67</v>
      </c>
      <c r="U31" s="34">
        <f>SUM(Q31:T31)</f>
        <v/>
      </c>
      <c r="V31" s="18" t="n">
        <v>490.35</v>
      </c>
      <c r="W31" s="18" t="n">
        <v>543.33</v>
      </c>
      <c r="X31" s="18" t="n">
        <v>538.45</v>
      </c>
      <c r="Y31" s="18" t="n">
        <v>573.52</v>
      </c>
      <c r="Z31" s="34">
        <f>SUM(V31:Y31)</f>
        <v/>
      </c>
      <c r="AA31" s="18" t="n">
        <v>541.46</v>
      </c>
      <c r="AB31" s="19" t="n">
        <v>592.51</v>
      </c>
      <c r="AC31" s="20">
        <f>IFERROR(AC5*변수!AC40,"")</f>
        <v/>
      </c>
      <c r="AD31" s="20">
        <f>IFERROR(AD5*변수!AD40,"")</f>
        <v/>
      </c>
      <c r="AE31" s="35">
        <f>SUM(AA31:AD31)</f>
        <v/>
      </c>
      <c r="AF31" s="20">
        <f>IFERROR(AF5*변수!AF40,"")</f>
        <v/>
      </c>
      <c r="AG31" s="20">
        <f>IFERROR(AG5*변수!AG40,"")</f>
        <v/>
      </c>
      <c r="AH31" s="20">
        <f>IFERROR(AH5*변수!AH40,"")</f>
        <v/>
      </c>
      <c r="AI31" s="20">
        <f>IFERROR(AI5*변수!AI40,"")</f>
        <v/>
      </c>
      <c r="AJ31" s="35">
        <f>SUM(AF31:AI31)</f>
        <v/>
      </c>
      <c r="AK31" s="20">
        <f>IFERROR(AK5*변수!AK40,"")</f>
        <v/>
      </c>
      <c r="AL31" s="20">
        <f>IFERROR(AL5*변수!AL40,"")</f>
        <v/>
      </c>
      <c r="AM31" s="20">
        <f>IFERROR(AM5*변수!AM40,"")</f>
        <v/>
      </c>
      <c r="AN31" s="20">
        <f>IFERROR(AN5*변수!AN40,"")</f>
        <v/>
      </c>
      <c r="AO31" s="35">
        <f>SUM(AK31:AN31)</f>
        <v/>
      </c>
    </row>
    <row r="32">
      <c r="A32" s="12" t="inlineStr">
        <is>
          <t>OP전사</t>
        </is>
      </c>
      <c r="B32" t="inlineStr">
        <is>
          <t>사업부</t>
        </is>
      </c>
      <c r="C32" t="inlineStr">
        <is>
          <t>억원</t>
        </is>
      </c>
      <c r="D32" t="inlineStr">
        <is>
          <t>OP 전사(부문 미분리)</t>
        </is>
      </c>
      <c r="E32" s="18" t="n">
        <v>39.56</v>
      </c>
      <c r="F32" s="34" t="n"/>
      <c r="G32" s="18" t="n">
        <v>52.42</v>
      </c>
      <c r="H32" s="18" t="n">
        <v>103.84</v>
      </c>
      <c r="I32" s="18" t="n">
        <v>102.37</v>
      </c>
      <c r="J32" s="18" t="n">
        <v>148.34</v>
      </c>
      <c r="K32" s="34">
        <f>SUM(G32:J32)</f>
        <v/>
      </c>
      <c r="L32" s="18" t="n">
        <v>112.18</v>
      </c>
      <c r="M32" s="18" t="n">
        <v>153.72</v>
      </c>
      <c r="N32" s="18" t="n">
        <v>141.46</v>
      </c>
      <c r="O32" s="18" t="n">
        <v>111.56</v>
      </c>
      <c r="P32" s="34">
        <f>SUM(L32:O32)</f>
        <v/>
      </c>
      <c r="Q32" s="18" t="n">
        <v>153.92</v>
      </c>
      <c r="R32" s="18" t="n">
        <v>146.99</v>
      </c>
      <c r="S32" s="18" t="n">
        <v>136.56</v>
      </c>
      <c r="T32" s="18" t="n">
        <v>63.84</v>
      </c>
      <c r="U32" s="34">
        <f>SUM(Q32:T32)</f>
        <v/>
      </c>
      <c r="V32" s="18" t="n">
        <v>127.03</v>
      </c>
      <c r="W32" s="18" t="n">
        <v>164.29</v>
      </c>
      <c r="X32" s="18" t="n">
        <v>141.98</v>
      </c>
      <c r="Y32" s="18" t="n">
        <v>155.81</v>
      </c>
      <c r="Z32" s="34">
        <f>SUM(V32:Y32)</f>
        <v/>
      </c>
      <c r="AA32" s="18" t="n">
        <v>156.86</v>
      </c>
      <c r="AB32" s="19" t="n">
        <v>169.91</v>
      </c>
      <c r="AC32" s="20">
        <f>IFERROR(AC31*변수!AC41,"")</f>
        <v/>
      </c>
      <c r="AD32" s="20">
        <f>IFERROR(AD31*변수!AD41,"")</f>
        <v/>
      </c>
      <c r="AE32" s="35">
        <f>SUM(AA32:AD32)</f>
        <v/>
      </c>
      <c r="AF32" s="20">
        <f>IFERROR(AF31*변수!AF41,"")</f>
        <v/>
      </c>
      <c r="AG32" s="20">
        <f>IFERROR(AG31*변수!AG41,"")</f>
        <v/>
      </c>
      <c r="AH32" s="20">
        <f>IFERROR(AH31*변수!AH41,"")</f>
        <v/>
      </c>
      <c r="AI32" s="20">
        <f>IFERROR(AI31*변수!AI41,"")</f>
        <v/>
      </c>
      <c r="AJ32" s="35">
        <f>SUM(AF32:AI32)</f>
        <v/>
      </c>
      <c r="AK32" s="20">
        <f>IFERROR(AK31*변수!AK41,"")</f>
        <v/>
      </c>
      <c r="AL32" s="20">
        <f>IFERROR(AL31*변수!AL41,"")</f>
        <v/>
      </c>
      <c r="AM32" s="20">
        <f>IFERROR(AM31*변수!AM41,"")</f>
        <v/>
      </c>
      <c r="AN32" s="20">
        <f>IFERROR(AN31*변수!AN41,"")</f>
        <v/>
      </c>
      <c r="AO32" s="35">
        <f>SUM(AK32:AN32)</f>
        <v/>
      </c>
    </row>
    <row r="33">
      <c r="B33" s="2" t="inlineStr">
        <is>
          <t>비율(참고)</t>
        </is>
      </c>
      <c r="F33" s="9" t="n"/>
      <c r="K33" s="9" t="n"/>
      <c r="P33" s="9" t="n"/>
      <c r="U33" s="9" t="n"/>
      <c r="Z33" s="9" t="n"/>
      <c r="AB33" s="5" t="n"/>
      <c r="AC33" s="10" t="n"/>
      <c r="AD33" s="10" t="n"/>
      <c r="AE33" s="11" t="n"/>
      <c r="AF33" s="10" t="n"/>
      <c r="AG33" s="10" t="n"/>
      <c r="AH33" s="10" t="n"/>
      <c r="AI33" s="10" t="n"/>
      <c r="AJ33" s="11" t="n"/>
      <c r="AK33" s="10" t="n"/>
      <c r="AL33" s="10" t="n"/>
      <c r="AM33" s="10" t="n"/>
      <c r="AN33" s="10" t="n"/>
      <c r="AO33" s="11" t="n"/>
    </row>
    <row r="34">
      <c r="A34" s="12" t="inlineStr">
        <is>
          <t>OPM</t>
        </is>
      </c>
      <c r="C34" t="inlineStr">
        <is>
          <t>%</t>
        </is>
      </c>
      <c r="D34" t="inlineStr">
        <is>
          <t>영업이익 / 매출액</t>
        </is>
      </c>
      <c r="E34" s="21">
        <f>IFERROR(E9/E5,"")</f>
        <v/>
      </c>
      <c r="F34" s="22">
        <f>IFERROR(F9/F5,"")</f>
        <v/>
      </c>
      <c r="G34" s="21">
        <f>IFERROR(G9/G5,"")</f>
        <v/>
      </c>
      <c r="H34" s="21">
        <f>IFERROR(H9/H5,"")</f>
        <v/>
      </c>
      <c r="I34" s="21">
        <f>IFERROR(I9/I5,"")</f>
        <v/>
      </c>
      <c r="J34" s="21">
        <f>IFERROR(J9/J5,"")</f>
        <v/>
      </c>
      <c r="K34" s="22">
        <f>IFERROR(K9/K5,"")</f>
        <v/>
      </c>
      <c r="L34" s="21">
        <f>IFERROR(L9/L5,"")</f>
        <v/>
      </c>
      <c r="M34" s="21">
        <f>IFERROR(M9/M5,"")</f>
        <v/>
      </c>
      <c r="N34" s="21">
        <f>IFERROR(N9/N5,"")</f>
        <v/>
      </c>
      <c r="O34" s="21">
        <f>IFERROR(O9/O5,"")</f>
        <v/>
      </c>
      <c r="P34" s="22">
        <f>IFERROR(P9/P5,"")</f>
        <v/>
      </c>
      <c r="Q34" s="21">
        <f>IFERROR(Q9/Q5,"")</f>
        <v/>
      </c>
      <c r="R34" s="21">
        <f>IFERROR(R9/R5,"")</f>
        <v/>
      </c>
      <c r="S34" s="21">
        <f>IFERROR(S9/S5,"")</f>
        <v/>
      </c>
      <c r="T34" s="21">
        <f>IFERROR(T9/T5,"")</f>
        <v/>
      </c>
      <c r="U34" s="22">
        <f>IFERROR(U9/U5,"")</f>
        <v/>
      </c>
      <c r="V34" s="21">
        <f>IFERROR(V9/V5,"")</f>
        <v/>
      </c>
      <c r="W34" s="21">
        <f>IFERROR(W9/W5,"")</f>
        <v/>
      </c>
      <c r="X34" s="21">
        <f>IFERROR(X9/X5,"")</f>
        <v/>
      </c>
      <c r="Y34" s="21">
        <f>IFERROR(Y9/Y5,"")</f>
        <v/>
      </c>
      <c r="Z34" s="22">
        <f>IFERROR(Z9/Z5,"")</f>
        <v/>
      </c>
      <c r="AA34" s="21">
        <f>IFERROR(AA9/AA5,"")</f>
        <v/>
      </c>
      <c r="AB34" s="23">
        <f>IFERROR(AB9/AB5,"")</f>
        <v/>
      </c>
      <c r="AC34" s="31">
        <f>IFERROR(AC9/AC5,"")</f>
        <v/>
      </c>
      <c r="AD34" s="31">
        <f>IFERROR(AD9/AD5,"")</f>
        <v/>
      </c>
      <c r="AE34" s="25">
        <f>IFERROR(AE9/AE5,"")</f>
        <v/>
      </c>
      <c r="AF34" s="31">
        <f>IFERROR(AF9/AF5,"")</f>
        <v/>
      </c>
      <c r="AG34" s="31">
        <f>IFERROR(AG9/AG5,"")</f>
        <v/>
      </c>
      <c r="AH34" s="31">
        <f>IFERROR(AH9/AH5,"")</f>
        <v/>
      </c>
      <c r="AI34" s="31">
        <f>IFERROR(AI9/AI5,"")</f>
        <v/>
      </c>
      <c r="AJ34" s="25">
        <f>IFERROR(AJ9/AJ5,"")</f>
        <v/>
      </c>
      <c r="AK34" s="31">
        <f>IFERROR(AK9/AK5,"")</f>
        <v/>
      </c>
      <c r="AL34" s="31">
        <f>IFERROR(AL9/AL5,"")</f>
        <v/>
      </c>
      <c r="AM34" s="31">
        <f>IFERROR(AM9/AM5,"")</f>
        <v/>
      </c>
      <c r="AN34" s="31">
        <f>IFERROR(AN9/AN5,"")</f>
        <v/>
      </c>
      <c r="AO34" s="25">
        <f>IFERROR(AO9/AO5,"")</f>
        <v/>
      </c>
    </row>
    <row r="35">
      <c r="A35" s="12" t="inlineStr">
        <is>
          <t>NPM</t>
        </is>
      </c>
      <c r="C35" t="inlineStr">
        <is>
          <t>%</t>
        </is>
      </c>
      <c r="D35" t="inlineStr">
        <is>
          <t>지배주주순이익 / 매출액</t>
        </is>
      </c>
      <c r="E35" s="21">
        <f>IFERROR(E16/E5,"")</f>
        <v/>
      </c>
      <c r="F35" s="22">
        <f>IFERROR(F16/F5,"")</f>
        <v/>
      </c>
      <c r="G35" s="21">
        <f>IFERROR(G16/G5,"")</f>
        <v/>
      </c>
      <c r="H35" s="21">
        <f>IFERROR(H16/H5,"")</f>
        <v/>
      </c>
      <c r="I35" s="21">
        <f>IFERROR(I16/I5,"")</f>
        <v/>
      </c>
      <c r="J35" s="21">
        <f>IFERROR(J16/J5,"")</f>
        <v/>
      </c>
      <c r="K35" s="22">
        <f>IFERROR(K16/K5,"")</f>
        <v/>
      </c>
      <c r="L35" s="21">
        <f>IFERROR(L16/L5,"")</f>
        <v/>
      </c>
      <c r="M35" s="21">
        <f>IFERROR(M16/M5,"")</f>
        <v/>
      </c>
      <c r="N35" s="21">
        <f>IFERROR(N16/N5,"")</f>
        <v/>
      </c>
      <c r="O35" s="21">
        <f>IFERROR(O16/O5,"")</f>
        <v/>
      </c>
      <c r="P35" s="22">
        <f>IFERROR(P16/P5,"")</f>
        <v/>
      </c>
      <c r="Q35" s="21">
        <f>IFERROR(Q16/Q5,"")</f>
        <v/>
      </c>
      <c r="R35" s="21">
        <f>IFERROR(R16/R5,"")</f>
        <v/>
      </c>
      <c r="S35" s="21">
        <f>IFERROR(S16/S5,"")</f>
        <v/>
      </c>
      <c r="T35" s="21">
        <f>IFERROR(T16/T5,"")</f>
        <v/>
      </c>
      <c r="U35" s="22">
        <f>IFERROR(U16/U5,"")</f>
        <v/>
      </c>
      <c r="V35" s="21">
        <f>IFERROR(V16/V5,"")</f>
        <v/>
      </c>
      <c r="W35" s="21">
        <f>IFERROR(W16/W5,"")</f>
        <v/>
      </c>
      <c r="X35" s="21">
        <f>IFERROR(X16/X5,"")</f>
        <v/>
      </c>
      <c r="Y35" s="21">
        <f>IFERROR(Y16/Y5,"")</f>
        <v/>
      </c>
      <c r="Z35" s="22">
        <f>IFERROR(Z16/Z5,"")</f>
        <v/>
      </c>
      <c r="AA35" s="21">
        <f>IFERROR(AA16/AA5,"")</f>
        <v/>
      </c>
      <c r="AB35" s="23">
        <f>IFERROR(AB16/AB5,"")</f>
        <v/>
      </c>
      <c r="AC35" s="31">
        <f>IFERROR(AC16/AC5,"")</f>
        <v/>
      </c>
      <c r="AD35" s="31">
        <f>IFERROR(AD16/AD5,"")</f>
        <v/>
      </c>
      <c r="AE35" s="25">
        <f>IFERROR(AE16/AE5,"")</f>
        <v/>
      </c>
      <c r="AF35" s="31">
        <f>IFERROR(AF16/AF5,"")</f>
        <v/>
      </c>
      <c r="AG35" s="31">
        <f>IFERROR(AG16/AG5,"")</f>
        <v/>
      </c>
      <c r="AH35" s="31">
        <f>IFERROR(AH16/AH5,"")</f>
        <v/>
      </c>
      <c r="AI35" s="31">
        <f>IFERROR(AI16/AI5,"")</f>
        <v/>
      </c>
      <c r="AJ35" s="25">
        <f>IFERROR(AJ16/AJ5,"")</f>
        <v/>
      </c>
      <c r="AK35" s="31">
        <f>IFERROR(AK16/AK5,"")</f>
        <v/>
      </c>
      <c r="AL35" s="31">
        <f>IFERROR(AL16/AL5,"")</f>
        <v/>
      </c>
      <c r="AM35" s="31">
        <f>IFERROR(AM16/AM5,"")</f>
        <v/>
      </c>
      <c r="AN35" s="31">
        <f>IFERROR(AN16/AN5,"")</f>
        <v/>
      </c>
      <c r="AO35" s="25">
        <f>IFERROR(AO16/AO5,"")</f>
        <v/>
      </c>
    </row>
    <row r="36">
      <c r="A36" s="12" t="inlineStr">
        <is>
          <t>매출원가율</t>
        </is>
      </c>
      <c r="C36" t="inlineStr">
        <is>
          <t>%</t>
        </is>
      </c>
      <c r="D36" t="inlineStr">
        <is>
          <t>매출원가 / 매출액</t>
        </is>
      </c>
      <c r="E36" s="21">
        <f>IFERROR(E6/E5,"")</f>
        <v/>
      </c>
      <c r="F36" s="22">
        <f>IFERROR(F6/F5,"")</f>
        <v/>
      </c>
      <c r="G36" s="21">
        <f>IFERROR(G6/G5,"")</f>
        <v/>
      </c>
      <c r="H36" s="21">
        <f>IFERROR(H6/H5,"")</f>
        <v/>
      </c>
      <c r="I36" s="21">
        <f>IFERROR(I6/I5,"")</f>
        <v/>
      </c>
      <c r="J36" s="21">
        <f>IFERROR(J6/J5,"")</f>
        <v/>
      </c>
      <c r="K36" s="22">
        <f>IFERROR(K6/K5,"")</f>
        <v/>
      </c>
      <c r="L36" s="21">
        <f>IFERROR(L6/L5,"")</f>
        <v/>
      </c>
      <c r="M36" s="21">
        <f>IFERROR(M6/M5,"")</f>
        <v/>
      </c>
      <c r="N36" s="21">
        <f>IFERROR(N6/N5,"")</f>
        <v/>
      </c>
      <c r="O36" s="21">
        <f>IFERROR(O6/O5,"")</f>
        <v/>
      </c>
      <c r="P36" s="22">
        <f>IFERROR(P6/P5,"")</f>
        <v/>
      </c>
      <c r="Q36" s="21">
        <f>IFERROR(Q6/Q5,"")</f>
        <v/>
      </c>
      <c r="R36" s="21">
        <f>IFERROR(R6/R5,"")</f>
        <v/>
      </c>
      <c r="S36" s="21">
        <f>IFERROR(S6/S5,"")</f>
        <v/>
      </c>
      <c r="T36" s="21">
        <f>IFERROR(T6/T5,"")</f>
        <v/>
      </c>
      <c r="U36" s="22">
        <f>IFERROR(U6/U5,"")</f>
        <v/>
      </c>
      <c r="V36" s="21">
        <f>IFERROR(V6/V5,"")</f>
        <v/>
      </c>
      <c r="W36" s="21">
        <f>IFERROR(W6/W5,"")</f>
        <v/>
      </c>
      <c r="X36" s="21">
        <f>IFERROR(X6/X5,"")</f>
        <v/>
      </c>
      <c r="Y36" s="21">
        <f>IFERROR(Y6/Y5,"")</f>
        <v/>
      </c>
      <c r="Z36" s="22">
        <f>IFERROR(Z6/Z5,"")</f>
        <v/>
      </c>
      <c r="AA36" s="21">
        <f>IFERROR(AA6/AA5,"")</f>
        <v/>
      </c>
      <c r="AB36" s="23">
        <f>IFERROR(AB6/AB5,"")</f>
        <v/>
      </c>
      <c r="AC36" s="31">
        <f>IFERROR(AC6/AC5,"")</f>
        <v/>
      </c>
      <c r="AD36" s="31">
        <f>IFERROR(AD6/AD5,"")</f>
        <v/>
      </c>
      <c r="AE36" s="25">
        <f>IFERROR(AE6/AE5,"")</f>
        <v/>
      </c>
      <c r="AF36" s="31">
        <f>IFERROR(AF6/AF5,"")</f>
        <v/>
      </c>
      <c r="AG36" s="31">
        <f>IFERROR(AG6/AG5,"")</f>
        <v/>
      </c>
      <c r="AH36" s="31">
        <f>IFERROR(AH6/AH5,"")</f>
        <v/>
      </c>
      <c r="AI36" s="31">
        <f>IFERROR(AI6/AI5,"")</f>
        <v/>
      </c>
      <c r="AJ36" s="25">
        <f>IFERROR(AJ6/AJ5,"")</f>
        <v/>
      </c>
      <c r="AK36" s="31">
        <f>IFERROR(AK6/AK5,"")</f>
        <v/>
      </c>
      <c r="AL36" s="31">
        <f>IFERROR(AL6/AL5,"")</f>
        <v/>
      </c>
      <c r="AM36" s="31">
        <f>IFERROR(AM6/AM5,"")</f>
        <v/>
      </c>
      <c r="AN36" s="31">
        <f>IFERROR(AN6/AN5,"")</f>
        <v/>
      </c>
      <c r="AO36" s="25">
        <f>IFERROR(AO6/AO5,"")</f>
        <v/>
      </c>
    </row>
    <row r="37">
      <c r="A37" s="12" t="inlineStr">
        <is>
          <t>판관비율</t>
        </is>
      </c>
      <c r="C37" t="inlineStr">
        <is>
          <t>%</t>
        </is>
      </c>
      <c r="D37" t="inlineStr">
        <is>
          <t>판관비 / 매출액</t>
        </is>
      </c>
      <c r="E37" s="21">
        <f>IFERROR(E8/E5,"")</f>
        <v/>
      </c>
      <c r="F37" s="22">
        <f>IFERROR(F8/F5,"")</f>
        <v/>
      </c>
      <c r="G37" s="21">
        <f>IFERROR(G8/G5,"")</f>
        <v/>
      </c>
      <c r="H37" s="21">
        <f>IFERROR(H8/H5,"")</f>
        <v/>
      </c>
      <c r="I37" s="21">
        <f>IFERROR(I8/I5,"")</f>
        <v/>
      </c>
      <c r="J37" s="21">
        <f>IFERROR(J8/J5,"")</f>
        <v/>
      </c>
      <c r="K37" s="22">
        <f>IFERROR(K8/K5,"")</f>
        <v/>
      </c>
      <c r="L37" s="21">
        <f>IFERROR(L8/L5,"")</f>
        <v/>
      </c>
      <c r="M37" s="21">
        <f>IFERROR(M8/M5,"")</f>
        <v/>
      </c>
      <c r="N37" s="21">
        <f>IFERROR(N8/N5,"")</f>
        <v/>
      </c>
      <c r="O37" s="21">
        <f>IFERROR(O8/O5,"")</f>
        <v/>
      </c>
      <c r="P37" s="22">
        <f>IFERROR(P8/P5,"")</f>
        <v/>
      </c>
      <c r="Q37" s="21">
        <f>IFERROR(Q8/Q5,"")</f>
        <v/>
      </c>
      <c r="R37" s="21">
        <f>IFERROR(R8/R5,"")</f>
        <v/>
      </c>
      <c r="S37" s="21">
        <f>IFERROR(S8/S5,"")</f>
        <v/>
      </c>
      <c r="T37" s="21">
        <f>IFERROR(T8/T5,"")</f>
        <v/>
      </c>
      <c r="U37" s="22">
        <f>IFERROR(U8/U5,"")</f>
        <v/>
      </c>
      <c r="V37" s="21">
        <f>IFERROR(V8/V5,"")</f>
        <v/>
      </c>
      <c r="W37" s="21">
        <f>IFERROR(W8/W5,"")</f>
        <v/>
      </c>
      <c r="X37" s="21">
        <f>IFERROR(X8/X5,"")</f>
        <v/>
      </c>
      <c r="Y37" s="21">
        <f>IFERROR(Y8/Y5,"")</f>
        <v/>
      </c>
      <c r="Z37" s="22">
        <f>IFERROR(Z8/Z5,"")</f>
        <v/>
      </c>
      <c r="AA37" s="21">
        <f>IFERROR(AA8/AA5,"")</f>
        <v/>
      </c>
      <c r="AB37" s="23">
        <f>IFERROR(AB8/AB5,"")</f>
        <v/>
      </c>
      <c r="AC37" s="31">
        <f>IFERROR(AC8/AC5,"")</f>
        <v/>
      </c>
      <c r="AD37" s="31">
        <f>IFERROR(AD8/AD5,"")</f>
        <v/>
      </c>
      <c r="AE37" s="25">
        <f>IFERROR(AE8/AE5,"")</f>
        <v/>
      </c>
      <c r="AF37" s="31">
        <f>IFERROR(AF8/AF5,"")</f>
        <v/>
      </c>
      <c r="AG37" s="31">
        <f>IFERROR(AG8/AG5,"")</f>
        <v/>
      </c>
      <c r="AH37" s="31">
        <f>IFERROR(AH8/AH5,"")</f>
        <v/>
      </c>
      <c r="AI37" s="31">
        <f>IFERROR(AI8/AI5,"")</f>
        <v/>
      </c>
      <c r="AJ37" s="25">
        <f>IFERROR(AJ8/AJ5,"")</f>
        <v/>
      </c>
      <c r="AK37" s="31">
        <f>IFERROR(AK8/AK5,"")</f>
        <v/>
      </c>
      <c r="AL37" s="31">
        <f>IFERROR(AL8/AL5,"")</f>
        <v/>
      </c>
      <c r="AM37" s="31">
        <f>IFERROR(AM8/AM5,"")</f>
        <v/>
      </c>
      <c r="AN37" s="31">
        <f>IFERROR(AN8/AN5,"")</f>
        <v/>
      </c>
      <c r="AO37" s="25">
        <f>IFERROR(AO8/AO5,"")</f>
        <v/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G37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</cols>
  <sheetData>
    <row r="1">
      <c r="C1" s="2" t="inlineStr">
        <is>
          <t>이름: 분기H — subQ 를 이름으로 VLOOKUP(억원)</t>
        </is>
      </c>
      <c r="E1" s="3" t="inlineStr">
        <is>
          <t>4Q21</t>
        </is>
      </c>
      <c r="F1" s="3" t="inlineStr">
        <is>
          <t>1Q22</t>
        </is>
      </c>
      <c r="G1" s="3" t="inlineStr">
        <is>
          <t>2Q22</t>
        </is>
      </c>
      <c r="H1" s="3" t="inlineStr">
        <is>
          <t>3Q22</t>
        </is>
      </c>
      <c r="I1" s="3" t="inlineStr">
        <is>
          <t>4Q22</t>
        </is>
      </c>
      <c r="J1" s="3" t="inlineStr">
        <is>
          <t>1Q23</t>
        </is>
      </c>
      <c r="K1" s="3" t="inlineStr">
        <is>
          <t>2Q23</t>
        </is>
      </c>
      <c r="L1" s="3" t="inlineStr">
        <is>
          <t>3Q23</t>
        </is>
      </c>
      <c r="M1" s="3" t="inlineStr">
        <is>
          <t>4Q23</t>
        </is>
      </c>
      <c r="N1" s="3" t="inlineStr">
        <is>
          <t>1Q24</t>
        </is>
      </c>
      <c r="O1" s="3" t="inlineStr">
        <is>
          <t>2Q24</t>
        </is>
      </c>
      <c r="P1" s="3" t="inlineStr">
        <is>
          <t>3Q24</t>
        </is>
      </c>
      <c r="Q1" s="3" t="inlineStr">
        <is>
          <t>4Q24</t>
        </is>
      </c>
      <c r="R1" s="3" t="inlineStr">
        <is>
          <t>1Q25</t>
        </is>
      </c>
      <c r="S1" s="3" t="inlineStr">
        <is>
          <t>2Q25</t>
        </is>
      </c>
      <c r="T1" s="3" t="inlineStr">
        <is>
          <t>3Q25</t>
        </is>
      </c>
      <c r="U1" s="3" t="inlineStr">
        <is>
          <t>4Q25</t>
        </is>
      </c>
      <c r="V1" s="3" t="inlineStr">
        <is>
          <t>1Q26</t>
        </is>
      </c>
      <c r="W1" s="37" t="inlineStr">
        <is>
          <t>2Q26</t>
        </is>
      </c>
      <c r="X1" s="3" t="inlineStr">
        <is>
          <t>3Q26</t>
        </is>
      </c>
      <c r="Y1" s="3" t="inlineStr">
        <is>
          <t>4Q26</t>
        </is>
      </c>
      <c r="Z1" s="3" t="inlineStr">
        <is>
          <t>1Q27</t>
        </is>
      </c>
      <c r="AA1" s="3" t="inlineStr">
        <is>
          <t>2Q27</t>
        </is>
      </c>
      <c r="AB1" s="3" t="inlineStr">
        <is>
          <t>3Q27</t>
        </is>
      </c>
      <c r="AC1" s="3" t="inlineStr">
        <is>
          <t>4Q27</t>
        </is>
      </c>
      <c r="AD1" s="3" t="inlineStr">
        <is>
          <t>1Q28</t>
        </is>
      </c>
      <c r="AE1" s="3" t="inlineStr">
        <is>
          <t>2Q28</t>
        </is>
      </c>
      <c r="AF1" s="3" t="inlineStr">
        <is>
          <t>3Q28</t>
        </is>
      </c>
      <c r="AG1" s="3" t="inlineStr">
        <is>
          <t>4Q28</t>
        </is>
      </c>
    </row>
    <row r="2">
      <c r="C2" t="inlineStr">
        <is>
          <t>종가:</t>
        </is>
      </c>
      <c r="D2" s="18">
        <f>변수!D44</f>
        <v/>
      </c>
      <c r="W2" s="38" t="n"/>
    </row>
    <row r="3">
      <c r="C3" t="inlineStr">
        <is>
          <t>기준일:</t>
        </is>
      </c>
      <c r="D3" t="inlineStr">
        <is>
          <t>20260929</t>
        </is>
      </c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39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2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</row>
    <row r="4">
      <c r="E4" s="7" t="inlineStr">
        <is>
          <t>2021.12</t>
        </is>
      </c>
      <c r="F4" s="7" t="inlineStr">
        <is>
          <t>2022.03</t>
        </is>
      </c>
      <c r="G4" s="7" t="inlineStr">
        <is>
          <t>2022.06</t>
        </is>
      </c>
      <c r="H4" s="7" t="inlineStr">
        <is>
          <t>2022.09</t>
        </is>
      </c>
      <c r="I4" s="7" t="inlineStr">
        <is>
          <t>2022.12</t>
        </is>
      </c>
      <c r="J4" s="7" t="inlineStr">
        <is>
          <t>2023.03</t>
        </is>
      </c>
      <c r="K4" s="7" t="inlineStr">
        <is>
          <t>2023.06</t>
        </is>
      </c>
      <c r="L4" s="7" t="inlineStr">
        <is>
          <t>2023.09</t>
        </is>
      </c>
      <c r="M4" s="7" t="inlineStr">
        <is>
          <t>2023.12</t>
        </is>
      </c>
      <c r="N4" s="7" t="inlineStr">
        <is>
          <t>2024.03</t>
        </is>
      </c>
      <c r="O4" s="7" t="inlineStr">
        <is>
          <t>2024.06</t>
        </is>
      </c>
      <c r="P4" s="7" t="inlineStr">
        <is>
          <t>2024.09</t>
        </is>
      </c>
      <c r="Q4" s="7" t="inlineStr">
        <is>
          <t>2024.12</t>
        </is>
      </c>
      <c r="R4" s="7" t="inlineStr">
        <is>
          <t>2025.03</t>
        </is>
      </c>
      <c r="S4" s="7" t="inlineStr">
        <is>
          <t>2025.06</t>
        </is>
      </c>
      <c r="T4" s="7" t="inlineStr">
        <is>
          <t>2025.09</t>
        </is>
      </c>
      <c r="U4" s="7" t="inlineStr">
        <is>
          <t>2025.12</t>
        </is>
      </c>
      <c r="V4" s="7" t="inlineStr">
        <is>
          <t>2026.03</t>
        </is>
      </c>
      <c r="W4" s="40" t="inlineStr">
        <is>
          <t>2026.06</t>
        </is>
      </c>
      <c r="X4" s="7" t="inlineStr">
        <is>
          <t>2026.09</t>
        </is>
      </c>
      <c r="Y4" s="7" t="inlineStr">
        <is>
          <t>2026.12</t>
        </is>
      </c>
      <c r="Z4" s="7" t="inlineStr">
        <is>
          <t>2027.03</t>
        </is>
      </c>
      <c r="AA4" s="7" t="inlineStr">
        <is>
          <t>2027.06</t>
        </is>
      </c>
      <c r="AB4" s="7" t="inlineStr">
        <is>
          <t>2027.09</t>
        </is>
      </c>
      <c r="AC4" s="7" t="inlineStr">
        <is>
          <t>2027.12</t>
        </is>
      </c>
      <c r="AD4" s="7" t="inlineStr">
        <is>
          <t>2028.03</t>
        </is>
      </c>
      <c r="AE4" s="7" t="inlineStr">
        <is>
          <t>2028.06</t>
        </is>
      </c>
      <c r="AF4" s="7" t="inlineStr">
        <is>
          <t>2028.09</t>
        </is>
      </c>
      <c r="AG4" s="7" t="inlineStr">
        <is>
          <t>2028.12</t>
        </is>
      </c>
    </row>
    <row r="5">
      <c r="A5" s="12" t="inlineStr">
        <is>
          <t>매출액</t>
        </is>
      </c>
      <c r="D5" t="inlineStr">
        <is>
          <t>매출액</t>
        </is>
      </c>
      <c r="E5" s="18">
        <f>IFERROR(VLOOKUP($A5,subQ,MATCH(E$1,SUBQH,0),0),"")</f>
        <v/>
      </c>
      <c r="F5" s="18">
        <f>IFERROR(VLOOKUP($A5,subQ,MATCH(F$1,SUBQH,0),0),"")</f>
        <v/>
      </c>
      <c r="G5" s="18">
        <f>IFERROR(VLOOKUP($A5,subQ,MATCH(G$1,SUBQH,0),0),"")</f>
        <v/>
      </c>
      <c r="H5" s="18">
        <f>IFERROR(VLOOKUP($A5,subQ,MATCH(H$1,SUBQH,0),0),"")</f>
        <v/>
      </c>
      <c r="I5" s="18">
        <f>IFERROR(VLOOKUP($A5,subQ,MATCH(I$1,SUBQH,0),0),"")</f>
        <v/>
      </c>
      <c r="J5" s="18">
        <f>IFERROR(VLOOKUP($A5,subQ,MATCH(J$1,SUBQH,0),0),"")</f>
        <v/>
      </c>
      <c r="K5" s="18">
        <f>IFERROR(VLOOKUP($A5,subQ,MATCH(K$1,SUBQH,0),0),"")</f>
        <v/>
      </c>
      <c r="L5" s="18">
        <f>IFERROR(VLOOKUP($A5,subQ,MATCH(L$1,SUBQH,0),0),"")</f>
        <v/>
      </c>
      <c r="M5" s="18">
        <f>IFERROR(VLOOKUP($A5,subQ,MATCH(M$1,SUBQH,0),0),"")</f>
        <v/>
      </c>
      <c r="N5" s="18">
        <f>IFERROR(VLOOKUP($A5,subQ,MATCH(N$1,SUBQH,0),0),"")</f>
        <v/>
      </c>
      <c r="O5" s="18">
        <f>IFERROR(VLOOKUP($A5,subQ,MATCH(O$1,SUBQH,0),0),"")</f>
        <v/>
      </c>
      <c r="P5" s="18">
        <f>IFERROR(VLOOKUP($A5,subQ,MATCH(P$1,SUBQH,0),0),"")</f>
        <v/>
      </c>
      <c r="Q5" s="18">
        <f>IFERROR(VLOOKUP($A5,subQ,MATCH(Q$1,SUBQH,0),0),"")</f>
        <v/>
      </c>
      <c r="R5" s="18">
        <f>IFERROR(VLOOKUP($A5,subQ,MATCH(R$1,SUBQH,0),0),"")</f>
        <v/>
      </c>
      <c r="S5" s="18">
        <f>IFERROR(VLOOKUP($A5,subQ,MATCH(S$1,SUBQH,0),0),"")</f>
        <v/>
      </c>
      <c r="T5" s="18">
        <f>IFERROR(VLOOKUP($A5,subQ,MATCH(T$1,SUBQH,0),0),"")</f>
        <v/>
      </c>
      <c r="U5" s="18">
        <f>IFERROR(VLOOKUP($A5,subQ,MATCH(U$1,SUBQH,0),0),"")</f>
        <v/>
      </c>
      <c r="V5" s="18">
        <f>IFERROR(VLOOKUP($A5,subQ,MATCH(V$1,SUBQH,0),0),"")</f>
        <v/>
      </c>
      <c r="W5" s="41">
        <f>IFERROR(VLOOKUP($A5,subQ,MATCH(W$1,SUBQH,0),0),"")</f>
        <v/>
      </c>
      <c r="X5" s="20">
        <f>IFERROR(VLOOKUP($A5,subQ,MATCH(X$1,SUBQH,0),0),"")</f>
        <v/>
      </c>
      <c r="Y5" s="20">
        <f>IFERROR(VLOOKUP($A5,subQ,MATCH(Y$1,SUBQH,0),0),"")</f>
        <v/>
      </c>
      <c r="Z5" s="20">
        <f>IFERROR(VLOOKUP($A5,subQ,MATCH(Z$1,SUBQH,0),0),"")</f>
        <v/>
      </c>
      <c r="AA5" s="20">
        <f>IFERROR(VLOOKUP($A5,subQ,MATCH(AA$1,SUBQH,0),0),"")</f>
        <v/>
      </c>
      <c r="AB5" s="20">
        <f>IFERROR(VLOOKUP($A5,subQ,MATCH(AB$1,SUBQH,0),0),"")</f>
        <v/>
      </c>
      <c r="AC5" s="20">
        <f>IFERROR(VLOOKUP($A5,subQ,MATCH(AC$1,SUBQH,0),0),"")</f>
        <v/>
      </c>
      <c r="AD5" s="20">
        <f>IFERROR(VLOOKUP($A5,subQ,MATCH(AD$1,SUBQH,0),0),"")</f>
        <v/>
      </c>
      <c r="AE5" s="20">
        <f>IFERROR(VLOOKUP($A5,subQ,MATCH(AE$1,SUBQH,0),0),"")</f>
        <v/>
      </c>
      <c r="AF5" s="20">
        <f>IFERROR(VLOOKUP($A5,subQ,MATCH(AF$1,SUBQH,0),0),"")</f>
        <v/>
      </c>
      <c r="AG5" s="20">
        <f>IFERROR(VLOOKUP($A5,subQ,MATCH(AG$1,SUBQH,0),0),"")</f>
        <v/>
      </c>
    </row>
    <row r="6">
      <c r="A6" s="12" t="inlineStr">
        <is>
          <t>매출원가</t>
        </is>
      </c>
      <c r="D6" t="inlineStr">
        <is>
          <t>매출원가</t>
        </is>
      </c>
      <c r="E6" s="18">
        <f>IFERROR(VLOOKUP($A6,subQ,MATCH(E$1,SUBQH,0),0),"")</f>
        <v/>
      </c>
      <c r="F6" s="18">
        <f>IFERROR(VLOOKUP($A6,subQ,MATCH(F$1,SUBQH,0),0),"")</f>
        <v/>
      </c>
      <c r="G6" s="18">
        <f>IFERROR(VLOOKUP($A6,subQ,MATCH(G$1,SUBQH,0),0),"")</f>
        <v/>
      </c>
      <c r="H6" s="18">
        <f>IFERROR(VLOOKUP($A6,subQ,MATCH(H$1,SUBQH,0),0),"")</f>
        <v/>
      </c>
      <c r="I6" s="18">
        <f>IFERROR(VLOOKUP($A6,subQ,MATCH(I$1,SUBQH,0),0),"")</f>
        <v/>
      </c>
      <c r="J6" s="18">
        <f>IFERROR(VLOOKUP($A6,subQ,MATCH(J$1,SUBQH,0),0),"")</f>
        <v/>
      </c>
      <c r="K6" s="18">
        <f>IFERROR(VLOOKUP($A6,subQ,MATCH(K$1,SUBQH,0),0),"")</f>
        <v/>
      </c>
      <c r="L6" s="18">
        <f>IFERROR(VLOOKUP($A6,subQ,MATCH(L$1,SUBQH,0),0),"")</f>
        <v/>
      </c>
      <c r="M6" s="18">
        <f>IFERROR(VLOOKUP($A6,subQ,MATCH(M$1,SUBQH,0),0),"")</f>
        <v/>
      </c>
      <c r="N6" s="18">
        <f>IFERROR(VLOOKUP($A6,subQ,MATCH(N$1,SUBQH,0),0),"")</f>
        <v/>
      </c>
      <c r="O6" s="18">
        <f>IFERROR(VLOOKUP($A6,subQ,MATCH(O$1,SUBQH,0),0),"")</f>
        <v/>
      </c>
      <c r="P6" s="18">
        <f>IFERROR(VLOOKUP($A6,subQ,MATCH(P$1,SUBQH,0),0),"")</f>
        <v/>
      </c>
      <c r="Q6" s="18">
        <f>IFERROR(VLOOKUP($A6,subQ,MATCH(Q$1,SUBQH,0),0),"")</f>
        <v/>
      </c>
      <c r="R6" s="18">
        <f>IFERROR(VLOOKUP($A6,subQ,MATCH(R$1,SUBQH,0),0),"")</f>
        <v/>
      </c>
      <c r="S6" s="18">
        <f>IFERROR(VLOOKUP($A6,subQ,MATCH(S$1,SUBQH,0),0),"")</f>
        <v/>
      </c>
      <c r="T6" s="18">
        <f>IFERROR(VLOOKUP($A6,subQ,MATCH(T$1,SUBQH,0),0),"")</f>
        <v/>
      </c>
      <c r="U6" s="18">
        <f>IFERROR(VLOOKUP($A6,subQ,MATCH(U$1,SUBQH,0),0),"")</f>
        <v/>
      </c>
      <c r="V6" s="18">
        <f>IFERROR(VLOOKUP($A6,subQ,MATCH(V$1,SUBQH,0),0),"")</f>
        <v/>
      </c>
      <c r="W6" s="41">
        <f>IFERROR(VLOOKUP($A6,subQ,MATCH(W$1,SUBQH,0),0),"")</f>
        <v/>
      </c>
      <c r="X6" s="20">
        <f>IFERROR(VLOOKUP($A6,subQ,MATCH(X$1,SUBQH,0),0),"")</f>
        <v/>
      </c>
      <c r="Y6" s="20">
        <f>IFERROR(VLOOKUP($A6,subQ,MATCH(Y$1,SUBQH,0),0),"")</f>
        <v/>
      </c>
      <c r="Z6" s="20">
        <f>IFERROR(VLOOKUP($A6,subQ,MATCH(Z$1,SUBQH,0),0),"")</f>
        <v/>
      </c>
      <c r="AA6" s="20">
        <f>IFERROR(VLOOKUP($A6,subQ,MATCH(AA$1,SUBQH,0),0),"")</f>
        <v/>
      </c>
      <c r="AB6" s="20">
        <f>IFERROR(VLOOKUP($A6,subQ,MATCH(AB$1,SUBQH,0),0),"")</f>
        <v/>
      </c>
      <c r="AC6" s="20">
        <f>IFERROR(VLOOKUP($A6,subQ,MATCH(AC$1,SUBQH,0),0),"")</f>
        <v/>
      </c>
      <c r="AD6" s="20">
        <f>IFERROR(VLOOKUP($A6,subQ,MATCH(AD$1,SUBQH,0),0),"")</f>
        <v/>
      </c>
      <c r="AE6" s="20">
        <f>IFERROR(VLOOKUP($A6,subQ,MATCH(AE$1,SUBQH,0),0),"")</f>
        <v/>
      </c>
      <c r="AF6" s="20">
        <f>IFERROR(VLOOKUP($A6,subQ,MATCH(AF$1,SUBQH,0),0),"")</f>
        <v/>
      </c>
      <c r="AG6" s="20">
        <f>IFERROR(VLOOKUP($A6,subQ,MATCH(AG$1,SUBQH,0),0),"")</f>
        <v/>
      </c>
    </row>
    <row r="7">
      <c r="A7" s="12" t="inlineStr">
        <is>
          <t>매출총이익</t>
        </is>
      </c>
      <c r="D7" t="inlineStr">
        <is>
          <t>매출총이익</t>
        </is>
      </c>
      <c r="E7" s="18">
        <f>IFERROR(VLOOKUP($A7,subQ,MATCH(E$1,SUBQH,0),0),"")</f>
        <v/>
      </c>
      <c r="F7" s="18">
        <f>IFERROR(VLOOKUP($A7,subQ,MATCH(F$1,SUBQH,0),0),"")</f>
        <v/>
      </c>
      <c r="G7" s="18">
        <f>IFERROR(VLOOKUP($A7,subQ,MATCH(G$1,SUBQH,0),0),"")</f>
        <v/>
      </c>
      <c r="H7" s="18">
        <f>IFERROR(VLOOKUP($A7,subQ,MATCH(H$1,SUBQH,0),0),"")</f>
        <v/>
      </c>
      <c r="I7" s="18">
        <f>IFERROR(VLOOKUP($A7,subQ,MATCH(I$1,SUBQH,0),0),"")</f>
        <v/>
      </c>
      <c r="J7" s="18">
        <f>IFERROR(VLOOKUP($A7,subQ,MATCH(J$1,SUBQH,0),0),"")</f>
        <v/>
      </c>
      <c r="K7" s="18">
        <f>IFERROR(VLOOKUP($A7,subQ,MATCH(K$1,SUBQH,0),0),"")</f>
        <v/>
      </c>
      <c r="L7" s="18">
        <f>IFERROR(VLOOKUP($A7,subQ,MATCH(L$1,SUBQH,0),0),"")</f>
        <v/>
      </c>
      <c r="M7" s="18">
        <f>IFERROR(VLOOKUP($A7,subQ,MATCH(M$1,SUBQH,0),0),"")</f>
        <v/>
      </c>
      <c r="N7" s="18">
        <f>IFERROR(VLOOKUP($A7,subQ,MATCH(N$1,SUBQH,0),0),"")</f>
        <v/>
      </c>
      <c r="O7" s="18">
        <f>IFERROR(VLOOKUP($A7,subQ,MATCH(O$1,SUBQH,0),0),"")</f>
        <v/>
      </c>
      <c r="P7" s="18">
        <f>IFERROR(VLOOKUP($A7,subQ,MATCH(P$1,SUBQH,0),0),"")</f>
        <v/>
      </c>
      <c r="Q7" s="18">
        <f>IFERROR(VLOOKUP($A7,subQ,MATCH(Q$1,SUBQH,0),0),"")</f>
        <v/>
      </c>
      <c r="R7" s="18">
        <f>IFERROR(VLOOKUP($A7,subQ,MATCH(R$1,SUBQH,0),0),"")</f>
        <v/>
      </c>
      <c r="S7" s="18">
        <f>IFERROR(VLOOKUP($A7,subQ,MATCH(S$1,SUBQH,0),0),"")</f>
        <v/>
      </c>
      <c r="T7" s="18">
        <f>IFERROR(VLOOKUP($A7,subQ,MATCH(T$1,SUBQH,0),0),"")</f>
        <v/>
      </c>
      <c r="U7" s="18">
        <f>IFERROR(VLOOKUP($A7,subQ,MATCH(U$1,SUBQH,0),0),"")</f>
        <v/>
      </c>
      <c r="V7" s="18">
        <f>IFERROR(VLOOKUP($A7,subQ,MATCH(V$1,SUBQH,0),0),"")</f>
        <v/>
      </c>
      <c r="W7" s="41">
        <f>IFERROR(VLOOKUP($A7,subQ,MATCH(W$1,SUBQH,0),0),"")</f>
        <v/>
      </c>
      <c r="X7" s="20">
        <f>IFERROR(VLOOKUP($A7,subQ,MATCH(X$1,SUBQH,0),0),"")</f>
        <v/>
      </c>
      <c r="Y7" s="20">
        <f>IFERROR(VLOOKUP($A7,subQ,MATCH(Y$1,SUBQH,0),0),"")</f>
        <v/>
      </c>
      <c r="Z7" s="20">
        <f>IFERROR(VLOOKUP($A7,subQ,MATCH(Z$1,SUBQH,0),0),"")</f>
        <v/>
      </c>
      <c r="AA7" s="20">
        <f>IFERROR(VLOOKUP($A7,subQ,MATCH(AA$1,SUBQH,0),0),"")</f>
        <v/>
      </c>
      <c r="AB7" s="20">
        <f>IFERROR(VLOOKUP($A7,subQ,MATCH(AB$1,SUBQH,0),0),"")</f>
        <v/>
      </c>
      <c r="AC7" s="20">
        <f>IFERROR(VLOOKUP($A7,subQ,MATCH(AC$1,SUBQH,0),0),"")</f>
        <v/>
      </c>
      <c r="AD7" s="20">
        <f>IFERROR(VLOOKUP($A7,subQ,MATCH(AD$1,SUBQH,0),0),"")</f>
        <v/>
      </c>
      <c r="AE7" s="20">
        <f>IFERROR(VLOOKUP($A7,subQ,MATCH(AE$1,SUBQH,0),0),"")</f>
        <v/>
      </c>
      <c r="AF7" s="20">
        <f>IFERROR(VLOOKUP($A7,subQ,MATCH(AF$1,SUBQH,0),0),"")</f>
        <v/>
      </c>
      <c r="AG7" s="20">
        <f>IFERROR(VLOOKUP($A7,subQ,MATCH(AG$1,SUBQH,0),0),"")</f>
        <v/>
      </c>
    </row>
    <row r="8">
      <c r="A8" s="12" t="inlineStr">
        <is>
          <t>판관비</t>
        </is>
      </c>
      <c r="D8" t="inlineStr">
        <is>
          <t>판매비와관리비</t>
        </is>
      </c>
      <c r="E8" s="18">
        <f>IFERROR(VLOOKUP($A8,subQ,MATCH(E$1,SUBQH,0),0),"")</f>
        <v/>
      </c>
      <c r="F8" s="18">
        <f>IFERROR(VLOOKUP($A8,subQ,MATCH(F$1,SUBQH,0),0),"")</f>
        <v/>
      </c>
      <c r="G8" s="18">
        <f>IFERROR(VLOOKUP($A8,subQ,MATCH(G$1,SUBQH,0),0),"")</f>
        <v/>
      </c>
      <c r="H8" s="18">
        <f>IFERROR(VLOOKUP($A8,subQ,MATCH(H$1,SUBQH,0),0),"")</f>
        <v/>
      </c>
      <c r="I8" s="18">
        <f>IFERROR(VLOOKUP($A8,subQ,MATCH(I$1,SUBQH,0),0),"")</f>
        <v/>
      </c>
      <c r="J8" s="18">
        <f>IFERROR(VLOOKUP($A8,subQ,MATCH(J$1,SUBQH,0),0),"")</f>
        <v/>
      </c>
      <c r="K8" s="18">
        <f>IFERROR(VLOOKUP($A8,subQ,MATCH(K$1,SUBQH,0),0),"")</f>
        <v/>
      </c>
      <c r="L8" s="18">
        <f>IFERROR(VLOOKUP($A8,subQ,MATCH(L$1,SUBQH,0),0),"")</f>
        <v/>
      </c>
      <c r="M8" s="18">
        <f>IFERROR(VLOOKUP($A8,subQ,MATCH(M$1,SUBQH,0),0),"")</f>
        <v/>
      </c>
      <c r="N8" s="18">
        <f>IFERROR(VLOOKUP($A8,subQ,MATCH(N$1,SUBQH,0),0),"")</f>
        <v/>
      </c>
      <c r="O8" s="18">
        <f>IFERROR(VLOOKUP($A8,subQ,MATCH(O$1,SUBQH,0),0),"")</f>
        <v/>
      </c>
      <c r="P8" s="18">
        <f>IFERROR(VLOOKUP($A8,subQ,MATCH(P$1,SUBQH,0),0),"")</f>
        <v/>
      </c>
      <c r="Q8" s="18">
        <f>IFERROR(VLOOKUP($A8,subQ,MATCH(Q$1,SUBQH,0),0),"")</f>
        <v/>
      </c>
      <c r="R8" s="18">
        <f>IFERROR(VLOOKUP($A8,subQ,MATCH(R$1,SUBQH,0),0),"")</f>
        <v/>
      </c>
      <c r="S8" s="18">
        <f>IFERROR(VLOOKUP($A8,subQ,MATCH(S$1,SUBQH,0),0),"")</f>
        <v/>
      </c>
      <c r="T8" s="18">
        <f>IFERROR(VLOOKUP($A8,subQ,MATCH(T$1,SUBQH,0),0),"")</f>
        <v/>
      </c>
      <c r="U8" s="18">
        <f>IFERROR(VLOOKUP($A8,subQ,MATCH(U$1,SUBQH,0),0),"")</f>
        <v/>
      </c>
      <c r="V8" s="18">
        <f>IFERROR(VLOOKUP($A8,subQ,MATCH(V$1,SUBQH,0),0),"")</f>
        <v/>
      </c>
      <c r="W8" s="41">
        <f>IFERROR(VLOOKUP($A8,subQ,MATCH(W$1,SUBQH,0),0),"")</f>
        <v/>
      </c>
      <c r="X8" s="20">
        <f>IFERROR(VLOOKUP($A8,subQ,MATCH(X$1,SUBQH,0),0),"")</f>
        <v/>
      </c>
      <c r="Y8" s="20">
        <f>IFERROR(VLOOKUP($A8,subQ,MATCH(Y$1,SUBQH,0),0),"")</f>
        <v/>
      </c>
      <c r="Z8" s="20">
        <f>IFERROR(VLOOKUP($A8,subQ,MATCH(Z$1,SUBQH,0),0),"")</f>
        <v/>
      </c>
      <c r="AA8" s="20">
        <f>IFERROR(VLOOKUP($A8,subQ,MATCH(AA$1,SUBQH,0),0),"")</f>
        <v/>
      </c>
      <c r="AB8" s="20">
        <f>IFERROR(VLOOKUP($A8,subQ,MATCH(AB$1,SUBQH,0),0),"")</f>
        <v/>
      </c>
      <c r="AC8" s="20">
        <f>IFERROR(VLOOKUP($A8,subQ,MATCH(AC$1,SUBQH,0),0),"")</f>
        <v/>
      </c>
      <c r="AD8" s="20">
        <f>IFERROR(VLOOKUP($A8,subQ,MATCH(AD$1,SUBQH,0),0),"")</f>
        <v/>
      </c>
      <c r="AE8" s="20">
        <f>IFERROR(VLOOKUP($A8,subQ,MATCH(AE$1,SUBQH,0),0),"")</f>
        <v/>
      </c>
      <c r="AF8" s="20">
        <f>IFERROR(VLOOKUP($A8,subQ,MATCH(AF$1,SUBQH,0),0),"")</f>
        <v/>
      </c>
      <c r="AG8" s="20">
        <f>IFERROR(VLOOKUP($A8,subQ,MATCH(AG$1,SUBQH,0),0),"")</f>
        <v/>
      </c>
    </row>
    <row r="9">
      <c r="A9" s="12" t="inlineStr">
        <is>
          <t>영업이익</t>
        </is>
      </c>
      <c r="D9" t="inlineStr">
        <is>
          <t>영업이익</t>
        </is>
      </c>
      <c r="E9" s="18">
        <f>IFERROR(VLOOKUP($A9,subQ,MATCH(E$1,SUBQH,0),0),"")</f>
        <v/>
      </c>
      <c r="F9" s="18">
        <f>IFERROR(VLOOKUP($A9,subQ,MATCH(F$1,SUBQH,0),0),"")</f>
        <v/>
      </c>
      <c r="G9" s="18">
        <f>IFERROR(VLOOKUP($A9,subQ,MATCH(G$1,SUBQH,0),0),"")</f>
        <v/>
      </c>
      <c r="H9" s="18">
        <f>IFERROR(VLOOKUP($A9,subQ,MATCH(H$1,SUBQH,0),0),"")</f>
        <v/>
      </c>
      <c r="I9" s="18">
        <f>IFERROR(VLOOKUP($A9,subQ,MATCH(I$1,SUBQH,0),0),"")</f>
        <v/>
      </c>
      <c r="J9" s="18">
        <f>IFERROR(VLOOKUP($A9,subQ,MATCH(J$1,SUBQH,0),0),"")</f>
        <v/>
      </c>
      <c r="K9" s="18">
        <f>IFERROR(VLOOKUP($A9,subQ,MATCH(K$1,SUBQH,0),0),"")</f>
        <v/>
      </c>
      <c r="L9" s="18">
        <f>IFERROR(VLOOKUP($A9,subQ,MATCH(L$1,SUBQH,0),0),"")</f>
        <v/>
      </c>
      <c r="M9" s="18">
        <f>IFERROR(VLOOKUP($A9,subQ,MATCH(M$1,SUBQH,0),0),"")</f>
        <v/>
      </c>
      <c r="N9" s="18">
        <f>IFERROR(VLOOKUP($A9,subQ,MATCH(N$1,SUBQH,0),0),"")</f>
        <v/>
      </c>
      <c r="O9" s="18">
        <f>IFERROR(VLOOKUP($A9,subQ,MATCH(O$1,SUBQH,0),0),"")</f>
        <v/>
      </c>
      <c r="P9" s="18">
        <f>IFERROR(VLOOKUP($A9,subQ,MATCH(P$1,SUBQH,0),0),"")</f>
        <v/>
      </c>
      <c r="Q9" s="18">
        <f>IFERROR(VLOOKUP($A9,subQ,MATCH(Q$1,SUBQH,0),0),"")</f>
        <v/>
      </c>
      <c r="R9" s="18">
        <f>IFERROR(VLOOKUP($A9,subQ,MATCH(R$1,SUBQH,0),0),"")</f>
        <v/>
      </c>
      <c r="S9" s="18">
        <f>IFERROR(VLOOKUP($A9,subQ,MATCH(S$1,SUBQH,0),0),"")</f>
        <v/>
      </c>
      <c r="T9" s="18">
        <f>IFERROR(VLOOKUP($A9,subQ,MATCH(T$1,SUBQH,0),0),"")</f>
        <v/>
      </c>
      <c r="U9" s="18">
        <f>IFERROR(VLOOKUP($A9,subQ,MATCH(U$1,SUBQH,0),0),"")</f>
        <v/>
      </c>
      <c r="V9" s="18">
        <f>IFERROR(VLOOKUP($A9,subQ,MATCH(V$1,SUBQH,0),0),"")</f>
        <v/>
      </c>
      <c r="W9" s="41">
        <f>IFERROR(VLOOKUP($A9,subQ,MATCH(W$1,SUBQH,0),0),"")</f>
        <v/>
      </c>
      <c r="X9" s="20">
        <f>IFERROR(VLOOKUP($A9,subQ,MATCH(X$1,SUBQH,0),0),"")</f>
        <v/>
      </c>
      <c r="Y9" s="20">
        <f>IFERROR(VLOOKUP($A9,subQ,MATCH(Y$1,SUBQH,0),0),"")</f>
        <v/>
      </c>
      <c r="Z9" s="20">
        <f>IFERROR(VLOOKUP($A9,subQ,MATCH(Z$1,SUBQH,0),0),"")</f>
        <v/>
      </c>
      <c r="AA9" s="20">
        <f>IFERROR(VLOOKUP($A9,subQ,MATCH(AA$1,SUBQH,0),0),"")</f>
        <v/>
      </c>
      <c r="AB9" s="20">
        <f>IFERROR(VLOOKUP($A9,subQ,MATCH(AB$1,SUBQH,0),0),"")</f>
        <v/>
      </c>
      <c r="AC9" s="20">
        <f>IFERROR(VLOOKUP($A9,subQ,MATCH(AC$1,SUBQH,0),0),"")</f>
        <v/>
      </c>
      <c r="AD9" s="20">
        <f>IFERROR(VLOOKUP($A9,subQ,MATCH(AD$1,SUBQH,0),0),"")</f>
        <v/>
      </c>
      <c r="AE9" s="20">
        <f>IFERROR(VLOOKUP($A9,subQ,MATCH(AE$1,SUBQH,0),0),"")</f>
        <v/>
      </c>
      <c r="AF9" s="20">
        <f>IFERROR(VLOOKUP($A9,subQ,MATCH(AF$1,SUBQH,0),0),"")</f>
        <v/>
      </c>
      <c r="AG9" s="20">
        <f>IFERROR(VLOOKUP($A9,subQ,MATCH(AG$1,SUBQH,0),0),"")</f>
        <v/>
      </c>
    </row>
    <row r="10">
      <c r="A10" s="12" t="inlineStr">
        <is>
          <t>OPM</t>
        </is>
      </c>
      <c r="D10" t="inlineStr">
        <is>
          <t>영업이익률</t>
        </is>
      </c>
      <c r="E10" s="21">
        <f>IFERROR(VLOOKUP($A10,subQ,MATCH(E$1,SUBQH,0),0),"")</f>
        <v/>
      </c>
      <c r="F10" s="21">
        <f>IFERROR(VLOOKUP($A10,subQ,MATCH(F$1,SUBQH,0),0),"")</f>
        <v/>
      </c>
      <c r="G10" s="21">
        <f>IFERROR(VLOOKUP($A10,subQ,MATCH(G$1,SUBQH,0),0),"")</f>
        <v/>
      </c>
      <c r="H10" s="21">
        <f>IFERROR(VLOOKUP($A10,subQ,MATCH(H$1,SUBQH,0),0),"")</f>
        <v/>
      </c>
      <c r="I10" s="21">
        <f>IFERROR(VLOOKUP($A10,subQ,MATCH(I$1,SUBQH,0),0),"")</f>
        <v/>
      </c>
      <c r="J10" s="21">
        <f>IFERROR(VLOOKUP($A10,subQ,MATCH(J$1,SUBQH,0),0),"")</f>
        <v/>
      </c>
      <c r="K10" s="21">
        <f>IFERROR(VLOOKUP($A10,subQ,MATCH(K$1,SUBQH,0),0),"")</f>
        <v/>
      </c>
      <c r="L10" s="21">
        <f>IFERROR(VLOOKUP($A10,subQ,MATCH(L$1,SUBQH,0),0),"")</f>
        <v/>
      </c>
      <c r="M10" s="21">
        <f>IFERROR(VLOOKUP($A10,subQ,MATCH(M$1,SUBQH,0),0),"")</f>
        <v/>
      </c>
      <c r="N10" s="21">
        <f>IFERROR(VLOOKUP($A10,subQ,MATCH(N$1,SUBQH,0),0),"")</f>
        <v/>
      </c>
      <c r="O10" s="21">
        <f>IFERROR(VLOOKUP($A10,subQ,MATCH(O$1,SUBQH,0),0),"")</f>
        <v/>
      </c>
      <c r="P10" s="21">
        <f>IFERROR(VLOOKUP($A10,subQ,MATCH(P$1,SUBQH,0),0),"")</f>
        <v/>
      </c>
      <c r="Q10" s="21">
        <f>IFERROR(VLOOKUP($A10,subQ,MATCH(Q$1,SUBQH,0),0),"")</f>
        <v/>
      </c>
      <c r="R10" s="21">
        <f>IFERROR(VLOOKUP($A10,subQ,MATCH(R$1,SUBQH,0),0),"")</f>
        <v/>
      </c>
      <c r="S10" s="21">
        <f>IFERROR(VLOOKUP($A10,subQ,MATCH(S$1,SUBQH,0),0),"")</f>
        <v/>
      </c>
      <c r="T10" s="21">
        <f>IFERROR(VLOOKUP($A10,subQ,MATCH(T$1,SUBQH,0),0),"")</f>
        <v/>
      </c>
      <c r="U10" s="21">
        <f>IFERROR(VLOOKUP($A10,subQ,MATCH(U$1,SUBQH,0),0),"")</f>
        <v/>
      </c>
      <c r="V10" s="21">
        <f>IFERROR(VLOOKUP($A10,subQ,MATCH(V$1,SUBQH,0),0),"")</f>
        <v/>
      </c>
      <c r="W10" s="42">
        <f>IFERROR(VLOOKUP($A10,subQ,MATCH(W$1,SUBQH,0),0),"")</f>
        <v/>
      </c>
      <c r="X10" s="31">
        <f>IFERROR(VLOOKUP($A10,subQ,MATCH(X$1,SUBQH,0),0),"")</f>
        <v/>
      </c>
      <c r="Y10" s="31">
        <f>IFERROR(VLOOKUP($A10,subQ,MATCH(Y$1,SUBQH,0),0),"")</f>
        <v/>
      </c>
      <c r="Z10" s="31">
        <f>IFERROR(VLOOKUP($A10,subQ,MATCH(Z$1,SUBQH,0),0),"")</f>
        <v/>
      </c>
      <c r="AA10" s="31">
        <f>IFERROR(VLOOKUP($A10,subQ,MATCH(AA$1,SUBQH,0),0),"")</f>
        <v/>
      </c>
      <c r="AB10" s="31">
        <f>IFERROR(VLOOKUP($A10,subQ,MATCH(AB$1,SUBQH,0),0),"")</f>
        <v/>
      </c>
      <c r="AC10" s="31">
        <f>IFERROR(VLOOKUP($A10,subQ,MATCH(AC$1,SUBQH,0),0),"")</f>
        <v/>
      </c>
      <c r="AD10" s="31">
        <f>IFERROR(VLOOKUP($A10,subQ,MATCH(AD$1,SUBQH,0),0),"")</f>
        <v/>
      </c>
      <c r="AE10" s="31">
        <f>IFERROR(VLOOKUP($A10,subQ,MATCH(AE$1,SUBQH,0),0),"")</f>
        <v/>
      </c>
      <c r="AF10" s="31">
        <f>IFERROR(VLOOKUP($A10,subQ,MATCH(AF$1,SUBQH,0),0),"")</f>
        <v/>
      </c>
      <c r="AG10" s="31">
        <f>IFERROR(VLOOKUP($A10,subQ,MATCH(AG$1,SUBQH,0),0),"")</f>
        <v/>
      </c>
    </row>
    <row r="11">
      <c r="A11" s="12" t="inlineStr">
        <is>
          <t>금융손익</t>
        </is>
      </c>
      <c r="D11" t="inlineStr">
        <is>
          <t>금융손익(이자·환 포함)</t>
        </is>
      </c>
      <c r="E11" s="18">
        <f>IFERROR(VLOOKUP($A11,subQ,MATCH(E$1,SUBQH,0),0),"")</f>
        <v/>
      </c>
      <c r="F11" s="18">
        <f>IFERROR(VLOOKUP($A11,subQ,MATCH(F$1,SUBQH,0),0),"")</f>
        <v/>
      </c>
      <c r="G11" s="18">
        <f>IFERROR(VLOOKUP($A11,subQ,MATCH(G$1,SUBQH,0),0),"")</f>
        <v/>
      </c>
      <c r="H11" s="18">
        <f>IFERROR(VLOOKUP($A11,subQ,MATCH(H$1,SUBQH,0),0),"")</f>
        <v/>
      </c>
      <c r="I11" s="18">
        <f>IFERROR(VLOOKUP($A11,subQ,MATCH(I$1,SUBQH,0),0),"")</f>
        <v/>
      </c>
      <c r="J11" s="18">
        <f>IFERROR(VLOOKUP($A11,subQ,MATCH(J$1,SUBQH,0),0),"")</f>
        <v/>
      </c>
      <c r="K11" s="18">
        <f>IFERROR(VLOOKUP($A11,subQ,MATCH(K$1,SUBQH,0),0),"")</f>
        <v/>
      </c>
      <c r="L11" s="18">
        <f>IFERROR(VLOOKUP($A11,subQ,MATCH(L$1,SUBQH,0),0),"")</f>
        <v/>
      </c>
      <c r="M11" s="18">
        <f>IFERROR(VLOOKUP($A11,subQ,MATCH(M$1,SUBQH,0),0),"")</f>
        <v/>
      </c>
      <c r="N11" s="18">
        <f>IFERROR(VLOOKUP($A11,subQ,MATCH(N$1,SUBQH,0),0),"")</f>
        <v/>
      </c>
      <c r="O11" s="18">
        <f>IFERROR(VLOOKUP($A11,subQ,MATCH(O$1,SUBQH,0),0),"")</f>
        <v/>
      </c>
      <c r="P11" s="18">
        <f>IFERROR(VLOOKUP($A11,subQ,MATCH(P$1,SUBQH,0),0),"")</f>
        <v/>
      </c>
      <c r="Q11" s="18">
        <f>IFERROR(VLOOKUP($A11,subQ,MATCH(Q$1,SUBQH,0),0),"")</f>
        <v/>
      </c>
      <c r="R11" s="18">
        <f>IFERROR(VLOOKUP($A11,subQ,MATCH(R$1,SUBQH,0),0),"")</f>
        <v/>
      </c>
      <c r="S11" s="18">
        <f>IFERROR(VLOOKUP($A11,subQ,MATCH(S$1,SUBQH,0),0),"")</f>
        <v/>
      </c>
      <c r="T11" s="18">
        <f>IFERROR(VLOOKUP($A11,subQ,MATCH(T$1,SUBQH,0),0),"")</f>
        <v/>
      </c>
      <c r="U11" s="18">
        <f>IFERROR(VLOOKUP($A11,subQ,MATCH(U$1,SUBQH,0),0),"")</f>
        <v/>
      </c>
      <c r="V11" s="18">
        <f>IFERROR(VLOOKUP($A11,subQ,MATCH(V$1,SUBQH,0),0),"")</f>
        <v/>
      </c>
      <c r="W11" s="41">
        <f>IFERROR(VLOOKUP($A11,subQ,MATCH(W$1,SUBQH,0),0),"")</f>
        <v/>
      </c>
      <c r="X11" s="20">
        <f>IFERROR(VLOOKUP($A11,subQ,MATCH(X$1,SUBQH,0),0),"")</f>
        <v/>
      </c>
      <c r="Y11" s="20">
        <f>IFERROR(VLOOKUP($A11,subQ,MATCH(Y$1,SUBQH,0),0),"")</f>
        <v/>
      </c>
      <c r="Z11" s="20">
        <f>IFERROR(VLOOKUP($A11,subQ,MATCH(Z$1,SUBQH,0),0),"")</f>
        <v/>
      </c>
      <c r="AA11" s="20">
        <f>IFERROR(VLOOKUP($A11,subQ,MATCH(AA$1,SUBQH,0),0),"")</f>
        <v/>
      </c>
      <c r="AB11" s="20">
        <f>IFERROR(VLOOKUP($A11,subQ,MATCH(AB$1,SUBQH,0),0),"")</f>
        <v/>
      </c>
      <c r="AC11" s="20">
        <f>IFERROR(VLOOKUP($A11,subQ,MATCH(AC$1,SUBQH,0),0),"")</f>
        <v/>
      </c>
      <c r="AD11" s="20">
        <f>IFERROR(VLOOKUP($A11,subQ,MATCH(AD$1,SUBQH,0),0),"")</f>
        <v/>
      </c>
      <c r="AE11" s="20">
        <f>IFERROR(VLOOKUP($A11,subQ,MATCH(AE$1,SUBQH,0),0),"")</f>
        <v/>
      </c>
      <c r="AF11" s="20">
        <f>IFERROR(VLOOKUP($A11,subQ,MATCH(AF$1,SUBQH,0),0),"")</f>
        <v/>
      </c>
      <c r="AG11" s="20">
        <f>IFERROR(VLOOKUP($A11,subQ,MATCH(AG$1,SUBQH,0),0),"")</f>
        <v/>
      </c>
    </row>
    <row r="12">
      <c r="A12" s="12" t="inlineStr">
        <is>
          <t>기타영업외손익</t>
        </is>
      </c>
      <c r="D12" t="inlineStr">
        <is>
          <t>기타영업외손익</t>
        </is>
      </c>
      <c r="E12" s="18">
        <f>IFERROR(VLOOKUP($A12,subQ,MATCH(E$1,SUBQH,0),0),"")</f>
        <v/>
      </c>
      <c r="F12" s="18">
        <f>IFERROR(VLOOKUP($A12,subQ,MATCH(F$1,SUBQH,0),0),"")</f>
        <v/>
      </c>
      <c r="G12" s="18">
        <f>IFERROR(VLOOKUP($A12,subQ,MATCH(G$1,SUBQH,0),0),"")</f>
        <v/>
      </c>
      <c r="H12" s="18">
        <f>IFERROR(VLOOKUP($A12,subQ,MATCH(H$1,SUBQH,0),0),"")</f>
        <v/>
      </c>
      <c r="I12" s="18">
        <f>IFERROR(VLOOKUP($A12,subQ,MATCH(I$1,SUBQH,0),0),"")</f>
        <v/>
      </c>
      <c r="J12" s="18">
        <f>IFERROR(VLOOKUP($A12,subQ,MATCH(J$1,SUBQH,0),0),"")</f>
        <v/>
      </c>
      <c r="K12" s="18">
        <f>IFERROR(VLOOKUP($A12,subQ,MATCH(K$1,SUBQH,0),0),"")</f>
        <v/>
      </c>
      <c r="L12" s="18">
        <f>IFERROR(VLOOKUP($A12,subQ,MATCH(L$1,SUBQH,0),0),"")</f>
        <v/>
      </c>
      <c r="M12" s="18">
        <f>IFERROR(VLOOKUP($A12,subQ,MATCH(M$1,SUBQH,0),0),"")</f>
        <v/>
      </c>
      <c r="N12" s="18">
        <f>IFERROR(VLOOKUP($A12,subQ,MATCH(N$1,SUBQH,0),0),"")</f>
        <v/>
      </c>
      <c r="O12" s="18">
        <f>IFERROR(VLOOKUP($A12,subQ,MATCH(O$1,SUBQH,0),0),"")</f>
        <v/>
      </c>
      <c r="P12" s="18">
        <f>IFERROR(VLOOKUP($A12,subQ,MATCH(P$1,SUBQH,0),0),"")</f>
        <v/>
      </c>
      <c r="Q12" s="18">
        <f>IFERROR(VLOOKUP($A12,subQ,MATCH(Q$1,SUBQH,0),0),"")</f>
        <v/>
      </c>
      <c r="R12" s="18">
        <f>IFERROR(VLOOKUP($A12,subQ,MATCH(R$1,SUBQH,0),0),"")</f>
        <v/>
      </c>
      <c r="S12" s="18">
        <f>IFERROR(VLOOKUP($A12,subQ,MATCH(S$1,SUBQH,0),0),"")</f>
        <v/>
      </c>
      <c r="T12" s="18">
        <f>IFERROR(VLOOKUP($A12,subQ,MATCH(T$1,SUBQH,0),0),"")</f>
        <v/>
      </c>
      <c r="U12" s="18">
        <f>IFERROR(VLOOKUP($A12,subQ,MATCH(U$1,SUBQH,0),0),"")</f>
        <v/>
      </c>
      <c r="V12" s="18">
        <f>IFERROR(VLOOKUP($A12,subQ,MATCH(V$1,SUBQH,0),0),"")</f>
        <v/>
      </c>
      <c r="W12" s="41">
        <f>IFERROR(VLOOKUP($A12,subQ,MATCH(W$1,SUBQH,0),0),"")</f>
        <v/>
      </c>
      <c r="X12" s="20">
        <f>IFERROR(VLOOKUP($A12,subQ,MATCH(X$1,SUBQH,0),0),"")</f>
        <v/>
      </c>
      <c r="Y12" s="20">
        <f>IFERROR(VLOOKUP($A12,subQ,MATCH(Y$1,SUBQH,0),0),"")</f>
        <v/>
      </c>
      <c r="Z12" s="20">
        <f>IFERROR(VLOOKUP($A12,subQ,MATCH(Z$1,SUBQH,0),0),"")</f>
        <v/>
      </c>
      <c r="AA12" s="20">
        <f>IFERROR(VLOOKUP($A12,subQ,MATCH(AA$1,SUBQH,0),0),"")</f>
        <v/>
      </c>
      <c r="AB12" s="20">
        <f>IFERROR(VLOOKUP($A12,subQ,MATCH(AB$1,SUBQH,0),0),"")</f>
        <v/>
      </c>
      <c r="AC12" s="20">
        <f>IFERROR(VLOOKUP($A12,subQ,MATCH(AC$1,SUBQH,0),0),"")</f>
        <v/>
      </c>
      <c r="AD12" s="20">
        <f>IFERROR(VLOOKUP($A12,subQ,MATCH(AD$1,SUBQH,0),0),"")</f>
        <v/>
      </c>
      <c r="AE12" s="20">
        <f>IFERROR(VLOOKUP($A12,subQ,MATCH(AE$1,SUBQH,0),0),"")</f>
        <v/>
      </c>
      <c r="AF12" s="20">
        <f>IFERROR(VLOOKUP($A12,subQ,MATCH(AF$1,SUBQH,0),0),"")</f>
        <v/>
      </c>
      <c r="AG12" s="20">
        <f>IFERROR(VLOOKUP($A12,subQ,MATCH(AG$1,SUBQH,0),0),"")</f>
        <v/>
      </c>
    </row>
    <row r="13">
      <c r="A13" s="12" t="inlineStr">
        <is>
          <t>세전이익</t>
        </is>
      </c>
      <c r="D13" t="inlineStr">
        <is>
          <t>법인세비용차감전이익</t>
        </is>
      </c>
      <c r="E13" s="18">
        <f>IFERROR(VLOOKUP($A13,subQ,MATCH(E$1,SUBQH,0),0),"")</f>
        <v/>
      </c>
      <c r="F13" s="18">
        <f>IFERROR(VLOOKUP($A13,subQ,MATCH(F$1,SUBQH,0),0),"")</f>
        <v/>
      </c>
      <c r="G13" s="18">
        <f>IFERROR(VLOOKUP($A13,subQ,MATCH(G$1,SUBQH,0),0),"")</f>
        <v/>
      </c>
      <c r="H13" s="18">
        <f>IFERROR(VLOOKUP($A13,subQ,MATCH(H$1,SUBQH,0),0),"")</f>
        <v/>
      </c>
      <c r="I13" s="18">
        <f>IFERROR(VLOOKUP($A13,subQ,MATCH(I$1,SUBQH,0),0),"")</f>
        <v/>
      </c>
      <c r="J13" s="18">
        <f>IFERROR(VLOOKUP($A13,subQ,MATCH(J$1,SUBQH,0),0),"")</f>
        <v/>
      </c>
      <c r="K13" s="18">
        <f>IFERROR(VLOOKUP($A13,subQ,MATCH(K$1,SUBQH,0),0),"")</f>
        <v/>
      </c>
      <c r="L13" s="18">
        <f>IFERROR(VLOOKUP($A13,subQ,MATCH(L$1,SUBQH,0),0),"")</f>
        <v/>
      </c>
      <c r="M13" s="18">
        <f>IFERROR(VLOOKUP($A13,subQ,MATCH(M$1,SUBQH,0),0),"")</f>
        <v/>
      </c>
      <c r="N13" s="18">
        <f>IFERROR(VLOOKUP($A13,subQ,MATCH(N$1,SUBQH,0),0),"")</f>
        <v/>
      </c>
      <c r="O13" s="18">
        <f>IFERROR(VLOOKUP($A13,subQ,MATCH(O$1,SUBQH,0),0),"")</f>
        <v/>
      </c>
      <c r="P13" s="18">
        <f>IFERROR(VLOOKUP($A13,subQ,MATCH(P$1,SUBQH,0),0),"")</f>
        <v/>
      </c>
      <c r="Q13" s="18">
        <f>IFERROR(VLOOKUP($A13,subQ,MATCH(Q$1,SUBQH,0),0),"")</f>
        <v/>
      </c>
      <c r="R13" s="18">
        <f>IFERROR(VLOOKUP($A13,subQ,MATCH(R$1,SUBQH,0),0),"")</f>
        <v/>
      </c>
      <c r="S13" s="18">
        <f>IFERROR(VLOOKUP($A13,subQ,MATCH(S$1,SUBQH,0),0),"")</f>
        <v/>
      </c>
      <c r="T13" s="18">
        <f>IFERROR(VLOOKUP($A13,subQ,MATCH(T$1,SUBQH,0),0),"")</f>
        <v/>
      </c>
      <c r="U13" s="18">
        <f>IFERROR(VLOOKUP($A13,subQ,MATCH(U$1,SUBQH,0),0),"")</f>
        <v/>
      </c>
      <c r="V13" s="18">
        <f>IFERROR(VLOOKUP($A13,subQ,MATCH(V$1,SUBQH,0),0),"")</f>
        <v/>
      </c>
      <c r="W13" s="41">
        <f>IFERROR(VLOOKUP($A13,subQ,MATCH(W$1,SUBQH,0),0),"")</f>
        <v/>
      </c>
      <c r="X13" s="20">
        <f>IFERROR(VLOOKUP($A13,subQ,MATCH(X$1,SUBQH,0),0),"")</f>
        <v/>
      </c>
      <c r="Y13" s="20">
        <f>IFERROR(VLOOKUP($A13,subQ,MATCH(Y$1,SUBQH,0),0),"")</f>
        <v/>
      </c>
      <c r="Z13" s="20">
        <f>IFERROR(VLOOKUP($A13,subQ,MATCH(Z$1,SUBQH,0),0),"")</f>
        <v/>
      </c>
      <c r="AA13" s="20">
        <f>IFERROR(VLOOKUP($A13,subQ,MATCH(AA$1,SUBQH,0),0),"")</f>
        <v/>
      </c>
      <c r="AB13" s="20">
        <f>IFERROR(VLOOKUP($A13,subQ,MATCH(AB$1,SUBQH,0),0),"")</f>
        <v/>
      </c>
      <c r="AC13" s="20">
        <f>IFERROR(VLOOKUP($A13,subQ,MATCH(AC$1,SUBQH,0),0),"")</f>
        <v/>
      </c>
      <c r="AD13" s="20">
        <f>IFERROR(VLOOKUP($A13,subQ,MATCH(AD$1,SUBQH,0),0),"")</f>
        <v/>
      </c>
      <c r="AE13" s="20">
        <f>IFERROR(VLOOKUP($A13,subQ,MATCH(AE$1,SUBQH,0),0),"")</f>
        <v/>
      </c>
      <c r="AF13" s="20">
        <f>IFERROR(VLOOKUP($A13,subQ,MATCH(AF$1,SUBQH,0),0),"")</f>
        <v/>
      </c>
      <c r="AG13" s="20">
        <f>IFERROR(VLOOKUP($A13,subQ,MATCH(AG$1,SUBQH,0),0),"")</f>
        <v/>
      </c>
    </row>
    <row r="14">
      <c r="A14" s="12" t="inlineStr">
        <is>
          <t>법인세비용</t>
        </is>
      </c>
      <c r="D14" t="inlineStr">
        <is>
          <t>법인세비용</t>
        </is>
      </c>
      <c r="E14" s="18">
        <f>IFERROR(VLOOKUP($A14,subQ,MATCH(E$1,SUBQH,0),0),"")</f>
        <v/>
      </c>
      <c r="F14" s="18">
        <f>IFERROR(VLOOKUP($A14,subQ,MATCH(F$1,SUBQH,0),0),"")</f>
        <v/>
      </c>
      <c r="G14" s="18">
        <f>IFERROR(VLOOKUP($A14,subQ,MATCH(G$1,SUBQH,0),0),"")</f>
        <v/>
      </c>
      <c r="H14" s="18">
        <f>IFERROR(VLOOKUP($A14,subQ,MATCH(H$1,SUBQH,0),0),"")</f>
        <v/>
      </c>
      <c r="I14" s="18">
        <f>IFERROR(VLOOKUP($A14,subQ,MATCH(I$1,SUBQH,0),0),"")</f>
        <v/>
      </c>
      <c r="J14" s="18">
        <f>IFERROR(VLOOKUP($A14,subQ,MATCH(J$1,SUBQH,0),0),"")</f>
        <v/>
      </c>
      <c r="K14" s="18">
        <f>IFERROR(VLOOKUP($A14,subQ,MATCH(K$1,SUBQH,0),0),"")</f>
        <v/>
      </c>
      <c r="L14" s="18">
        <f>IFERROR(VLOOKUP($A14,subQ,MATCH(L$1,SUBQH,0),0),"")</f>
        <v/>
      </c>
      <c r="M14" s="18">
        <f>IFERROR(VLOOKUP($A14,subQ,MATCH(M$1,SUBQH,0),0),"")</f>
        <v/>
      </c>
      <c r="N14" s="18">
        <f>IFERROR(VLOOKUP($A14,subQ,MATCH(N$1,SUBQH,0),0),"")</f>
        <v/>
      </c>
      <c r="O14" s="18">
        <f>IFERROR(VLOOKUP($A14,subQ,MATCH(O$1,SUBQH,0),0),"")</f>
        <v/>
      </c>
      <c r="P14" s="18">
        <f>IFERROR(VLOOKUP($A14,subQ,MATCH(P$1,SUBQH,0),0),"")</f>
        <v/>
      </c>
      <c r="Q14" s="18">
        <f>IFERROR(VLOOKUP($A14,subQ,MATCH(Q$1,SUBQH,0),0),"")</f>
        <v/>
      </c>
      <c r="R14" s="18">
        <f>IFERROR(VLOOKUP($A14,subQ,MATCH(R$1,SUBQH,0),0),"")</f>
        <v/>
      </c>
      <c r="S14" s="18">
        <f>IFERROR(VLOOKUP($A14,subQ,MATCH(S$1,SUBQH,0),0),"")</f>
        <v/>
      </c>
      <c r="T14" s="18">
        <f>IFERROR(VLOOKUP($A14,subQ,MATCH(T$1,SUBQH,0),0),"")</f>
        <v/>
      </c>
      <c r="U14" s="18">
        <f>IFERROR(VLOOKUP($A14,subQ,MATCH(U$1,SUBQH,0),0),"")</f>
        <v/>
      </c>
      <c r="V14" s="18">
        <f>IFERROR(VLOOKUP($A14,subQ,MATCH(V$1,SUBQH,0),0),"")</f>
        <v/>
      </c>
      <c r="W14" s="41">
        <f>IFERROR(VLOOKUP($A14,subQ,MATCH(W$1,SUBQH,0),0),"")</f>
        <v/>
      </c>
      <c r="X14" s="20">
        <f>IFERROR(VLOOKUP($A14,subQ,MATCH(X$1,SUBQH,0),0),"")</f>
        <v/>
      </c>
      <c r="Y14" s="20">
        <f>IFERROR(VLOOKUP($A14,subQ,MATCH(Y$1,SUBQH,0),0),"")</f>
        <v/>
      </c>
      <c r="Z14" s="20">
        <f>IFERROR(VLOOKUP($A14,subQ,MATCH(Z$1,SUBQH,0),0),"")</f>
        <v/>
      </c>
      <c r="AA14" s="20">
        <f>IFERROR(VLOOKUP($A14,subQ,MATCH(AA$1,SUBQH,0),0),"")</f>
        <v/>
      </c>
      <c r="AB14" s="20">
        <f>IFERROR(VLOOKUP($A14,subQ,MATCH(AB$1,SUBQH,0),0),"")</f>
        <v/>
      </c>
      <c r="AC14" s="20">
        <f>IFERROR(VLOOKUP($A14,subQ,MATCH(AC$1,SUBQH,0),0),"")</f>
        <v/>
      </c>
      <c r="AD14" s="20">
        <f>IFERROR(VLOOKUP($A14,subQ,MATCH(AD$1,SUBQH,0),0),"")</f>
        <v/>
      </c>
      <c r="AE14" s="20">
        <f>IFERROR(VLOOKUP($A14,subQ,MATCH(AE$1,SUBQH,0),0),"")</f>
        <v/>
      </c>
      <c r="AF14" s="20">
        <f>IFERROR(VLOOKUP($A14,subQ,MATCH(AF$1,SUBQH,0),0),"")</f>
        <v/>
      </c>
      <c r="AG14" s="20">
        <f>IFERROR(VLOOKUP($A14,subQ,MATCH(AG$1,SUBQH,0),0),"")</f>
        <v/>
      </c>
    </row>
    <row r="15">
      <c r="A15" s="12" t="inlineStr">
        <is>
          <t>당기순이익</t>
        </is>
      </c>
      <c r="D15" t="inlineStr">
        <is>
          <t>당기순이익</t>
        </is>
      </c>
      <c r="E15" s="18">
        <f>IFERROR(VLOOKUP($A15,subQ,MATCH(E$1,SUBQH,0),0),"")</f>
        <v/>
      </c>
      <c r="F15" s="18">
        <f>IFERROR(VLOOKUP($A15,subQ,MATCH(F$1,SUBQH,0),0),"")</f>
        <v/>
      </c>
      <c r="G15" s="18">
        <f>IFERROR(VLOOKUP($A15,subQ,MATCH(G$1,SUBQH,0),0),"")</f>
        <v/>
      </c>
      <c r="H15" s="18">
        <f>IFERROR(VLOOKUP($A15,subQ,MATCH(H$1,SUBQH,0),0),"")</f>
        <v/>
      </c>
      <c r="I15" s="18">
        <f>IFERROR(VLOOKUP($A15,subQ,MATCH(I$1,SUBQH,0),0),"")</f>
        <v/>
      </c>
      <c r="J15" s="18">
        <f>IFERROR(VLOOKUP($A15,subQ,MATCH(J$1,SUBQH,0),0),"")</f>
        <v/>
      </c>
      <c r="K15" s="18">
        <f>IFERROR(VLOOKUP($A15,subQ,MATCH(K$1,SUBQH,0),0),"")</f>
        <v/>
      </c>
      <c r="L15" s="18">
        <f>IFERROR(VLOOKUP($A15,subQ,MATCH(L$1,SUBQH,0),0),"")</f>
        <v/>
      </c>
      <c r="M15" s="18">
        <f>IFERROR(VLOOKUP($A15,subQ,MATCH(M$1,SUBQH,0),0),"")</f>
        <v/>
      </c>
      <c r="N15" s="18">
        <f>IFERROR(VLOOKUP($A15,subQ,MATCH(N$1,SUBQH,0),0),"")</f>
        <v/>
      </c>
      <c r="O15" s="18">
        <f>IFERROR(VLOOKUP($A15,subQ,MATCH(O$1,SUBQH,0),0),"")</f>
        <v/>
      </c>
      <c r="P15" s="18">
        <f>IFERROR(VLOOKUP($A15,subQ,MATCH(P$1,SUBQH,0),0),"")</f>
        <v/>
      </c>
      <c r="Q15" s="18">
        <f>IFERROR(VLOOKUP($A15,subQ,MATCH(Q$1,SUBQH,0),0),"")</f>
        <v/>
      </c>
      <c r="R15" s="18">
        <f>IFERROR(VLOOKUP($A15,subQ,MATCH(R$1,SUBQH,0),0),"")</f>
        <v/>
      </c>
      <c r="S15" s="18">
        <f>IFERROR(VLOOKUP($A15,subQ,MATCH(S$1,SUBQH,0),0),"")</f>
        <v/>
      </c>
      <c r="T15" s="18">
        <f>IFERROR(VLOOKUP($A15,subQ,MATCH(T$1,SUBQH,0),0),"")</f>
        <v/>
      </c>
      <c r="U15" s="18">
        <f>IFERROR(VLOOKUP($A15,subQ,MATCH(U$1,SUBQH,0),0),"")</f>
        <v/>
      </c>
      <c r="V15" s="18">
        <f>IFERROR(VLOOKUP($A15,subQ,MATCH(V$1,SUBQH,0),0),"")</f>
        <v/>
      </c>
      <c r="W15" s="41">
        <f>IFERROR(VLOOKUP($A15,subQ,MATCH(W$1,SUBQH,0),0),"")</f>
        <v/>
      </c>
      <c r="X15" s="20">
        <f>IFERROR(VLOOKUP($A15,subQ,MATCH(X$1,SUBQH,0),0),"")</f>
        <v/>
      </c>
      <c r="Y15" s="20">
        <f>IFERROR(VLOOKUP($A15,subQ,MATCH(Y$1,SUBQH,0),0),"")</f>
        <v/>
      </c>
      <c r="Z15" s="20">
        <f>IFERROR(VLOOKUP($A15,subQ,MATCH(Z$1,SUBQH,0),0),"")</f>
        <v/>
      </c>
      <c r="AA15" s="20">
        <f>IFERROR(VLOOKUP($A15,subQ,MATCH(AA$1,SUBQH,0),0),"")</f>
        <v/>
      </c>
      <c r="AB15" s="20">
        <f>IFERROR(VLOOKUP($A15,subQ,MATCH(AB$1,SUBQH,0),0),"")</f>
        <v/>
      </c>
      <c r="AC15" s="20">
        <f>IFERROR(VLOOKUP($A15,subQ,MATCH(AC$1,SUBQH,0),0),"")</f>
        <v/>
      </c>
      <c r="AD15" s="20">
        <f>IFERROR(VLOOKUP($A15,subQ,MATCH(AD$1,SUBQH,0),0),"")</f>
        <v/>
      </c>
      <c r="AE15" s="20">
        <f>IFERROR(VLOOKUP($A15,subQ,MATCH(AE$1,SUBQH,0),0),"")</f>
        <v/>
      </c>
      <c r="AF15" s="20">
        <f>IFERROR(VLOOKUP($A15,subQ,MATCH(AF$1,SUBQH,0),0),"")</f>
        <v/>
      </c>
      <c r="AG15" s="20">
        <f>IFERROR(VLOOKUP($A15,subQ,MATCH(AG$1,SUBQH,0),0),"")</f>
        <v/>
      </c>
    </row>
    <row r="16">
      <c r="A16" s="12" t="inlineStr">
        <is>
          <t>지배주주순이익</t>
        </is>
      </c>
      <c r="D16" t="inlineStr">
        <is>
          <t>지배주주순이익</t>
        </is>
      </c>
      <c r="E16" s="18">
        <f>IFERROR(VLOOKUP($A16,subQ,MATCH(E$1,SUBQH,0),0),"")</f>
        <v/>
      </c>
      <c r="F16" s="18">
        <f>IFERROR(VLOOKUP($A16,subQ,MATCH(F$1,SUBQH,0),0),"")</f>
        <v/>
      </c>
      <c r="G16" s="18">
        <f>IFERROR(VLOOKUP($A16,subQ,MATCH(G$1,SUBQH,0),0),"")</f>
        <v/>
      </c>
      <c r="H16" s="18">
        <f>IFERROR(VLOOKUP($A16,subQ,MATCH(H$1,SUBQH,0),0),"")</f>
        <v/>
      </c>
      <c r="I16" s="18">
        <f>IFERROR(VLOOKUP($A16,subQ,MATCH(I$1,SUBQH,0),0),"")</f>
        <v/>
      </c>
      <c r="J16" s="18">
        <f>IFERROR(VLOOKUP($A16,subQ,MATCH(J$1,SUBQH,0),0),"")</f>
        <v/>
      </c>
      <c r="K16" s="18">
        <f>IFERROR(VLOOKUP($A16,subQ,MATCH(K$1,SUBQH,0),0),"")</f>
        <v/>
      </c>
      <c r="L16" s="18">
        <f>IFERROR(VLOOKUP($A16,subQ,MATCH(L$1,SUBQH,0),0),"")</f>
        <v/>
      </c>
      <c r="M16" s="18">
        <f>IFERROR(VLOOKUP($A16,subQ,MATCH(M$1,SUBQH,0),0),"")</f>
        <v/>
      </c>
      <c r="N16" s="18">
        <f>IFERROR(VLOOKUP($A16,subQ,MATCH(N$1,SUBQH,0),0),"")</f>
        <v/>
      </c>
      <c r="O16" s="18">
        <f>IFERROR(VLOOKUP($A16,subQ,MATCH(O$1,SUBQH,0),0),"")</f>
        <v/>
      </c>
      <c r="P16" s="18">
        <f>IFERROR(VLOOKUP($A16,subQ,MATCH(P$1,SUBQH,0),0),"")</f>
        <v/>
      </c>
      <c r="Q16" s="18">
        <f>IFERROR(VLOOKUP($A16,subQ,MATCH(Q$1,SUBQH,0),0),"")</f>
        <v/>
      </c>
      <c r="R16" s="18">
        <f>IFERROR(VLOOKUP($A16,subQ,MATCH(R$1,SUBQH,0),0),"")</f>
        <v/>
      </c>
      <c r="S16" s="18">
        <f>IFERROR(VLOOKUP($A16,subQ,MATCH(S$1,SUBQH,0),0),"")</f>
        <v/>
      </c>
      <c r="T16" s="18">
        <f>IFERROR(VLOOKUP($A16,subQ,MATCH(T$1,SUBQH,0),0),"")</f>
        <v/>
      </c>
      <c r="U16" s="18">
        <f>IFERROR(VLOOKUP($A16,subQ,MATCH(U$1,SUBQH,0),0),"")</f>
        <v/>
      </c>
      <c r="V16" s="18">
        <f>IFERROR(VLOOKUP($A16,subQ,MATCH(V$1,SUBQH,0),0),"")</f>
        <v/>
      </c>
      <c r="W16" s="41">
        <f>IFERROR(VLOOKUP($A16,subQ,MATCH(W$1,SUBQH,0),0),"")</f>
        <v/>
      </c>
      <c r="X16" s="20">
        <f>IFERROR(VLOOKUP($A16,subQ,MATCH(X$1,SUBQH,0),0),"")</f>
        <v/>
      </c>
      <c r="Y16" s="20">
        <f>IFERROR(VLOOKUP($A16,subQ,MATCH(Y$1,SUBQH,0),0),"")</f>
        <v/>
      </c>
      <c r="Z16" s="20">
        <f>IFERROR(VLOOKUP($A16,subQ,MATCH(Z$1,SUBQH,0),0),"")</f>
        <v/>
      </c>
      <c r="AA16" s="20">
        <f>IFERROR(VLOOKUP($A16,subQ,MATCH(AA$1,SUBQH,0),0),"")</f>
        <v/>
      </c>
      <c r="AB16" s="20">
        <f>IFERROR(VLOOKUP($A16,subQ,MATCH(AB$1,SUBQH,0),0),"")</f>
        <v/>
      </c>
      <c r="AC16" s="20">
        <f>IFERROR(VLOOKUP($A16,subQ,MATCH(AC$1,SUBQH,0),0),"")</f>
        <v/>
      </c>
      <c r="AD16" s="20">
        <f>IFERROR(VLOOKUP($A16,subQ,MATCH(AD$1,SUBQH,0),0),"")</f>
        <v/>
      </c>
      <c r="AE16" s="20">
        <f>IFERROR(VLOOKUP($A16,subQ,MATCH(AE$1,SUBQH,0),0),"")</f>
        <v/>
      </c>
      <c r="AF16" s="20">
        <f>IFERROR(VLOOKUP($A16,subQ,MATCH(AF$1,SUBQH,0),0),"")</f>
        <v/>
      </c>
      <c r="AG16" s="20">
        <f>IFERROR(VLOOKUP($A16,subQ,MATCH(AG$1,SUBQH,0),0),"")</f>
        <v/>
      </c>
    </row>
    <row r="17">
      <c r="A17" s="12" t="inlineStr">
        <is>
          <t>자산총계</t>
        </is>
      </c>
      <c r="D17" t="inlineStr">
        <is>
          <t>자산총계</t>
        </is>
      </c>
      <c r="E17" s="18">
        <f>IFERROR(VLOOKUP($A17,subQ,MATCH(E$1,SUBQH,0),0),"")</f>
        <v/>
      </c>
      <c r="F17" s="18">
        <f>IFERROR(VLOOKUP($A17,subQ,MATCH(F$1,SUBQH,0),0),"")</f>
        <v/>
      </c>
      <c r="G17" s="18">
        <f>IFERROR(VLOOKUP($A17,subQ,MATCH(G$1,SUBQH,0),0),"")</f>
        <v/>
      </c>
      <c r="H17" s="18">
        <f>IFERROR(VLOOKUP($A17,subQ,MATCH(H$1,SUBQH,0),0),"")</f>
        <v/>
      </c>
      <c r="I17" s="18">
        <f>IFERROR(VLOOKUP($A17,subQ,MATCH(I$1,SUBQH,0),0),"")</f>
        <v/>
      </c>
      <c r="J17" s="18">
        <f>IFERROR(VLOOKUP($A17,subQ,MATCH(J$1,SUBQH,0),0),"")</f>
        <v/>
      </c>
      <c r="K17" s="18">
        <f>IFERROR(VLOOKUP($A17,subQ,MATCH(K$1,SUBQH,0),0),"")</f>
        <v/>
      </c>
      <c r="L17" s="18">
        <f>IFERROR(VLOOKUP($A17,subQ,MATCH(L$1,SUBQH,0),0),"")</f>
        <v/>
      </c>
      <c r="M17" s="18">
        <f>IFERROR(VLOOKUP($A17,subQ,MATCH(M$1,SUBQH,0),0),"")</f>
        <v/>
      </c>
      <c r="N17" s="18">
        <f>IFERROR(VLOOKUP($A17,subQ,MATCH(N$1,SUBQH,0),0),"")</f>
        <v/>
      </c>
      <c r="O17" s="18">
        <f>IFERROR(VLOOKUP($A17,subQ,MATCH(O$1,SUBQH,0),0),"")</f>
        <v/>
      </c>
      <c r="P17" s="18">
        <f>IFERROR(VLOOKUP($A17,subQ,MATCH(P$1,SUBQH,0),0),"")</f>
        <v/>
      </c>
      <c r="Q17" s="18">
        <f>IFERROR(VLOOKUP($A17,subQ,MATCH(Q$1,SUBQH,0),0),"")</f>
        <v/>
      </c>
      <c r="R17" s="18">
        <f>IFERROR(VLOOKUP($A17,subQ,MATCH(R$1,SUBQH,0),0),"")</f>
        <v/>
      </c>
      <c r="S17" s="18">
        <f>IFERROR(VLOOKUP($A17,subQ,MATCH(S$1,SUBQH,0),0),"")</f>
        <v/>
      </c>
      <c r="T17" s="18">
        <f>IFERROR(VLOOKUP($A17,subQ,MATCH(T$1,SUBQH,0),0),"")</f>
        <v/>
      </c>
      <c r="U17" s="18">
        <f>IFERROR(VLOOKUP($A17,subQ,MATCH(U$1,SUBQH,0),0),"")</f>
        <v/>
      </c>
      <c r="V17" s="18">
        <f>IFERROR(VLOOKUP($A17,subQ,MATCH(V$1,SUBQH,0),0),"")</f>
        <v/>
      </c>
      <c r="W17" s="41">
        <f>IFERROR(VLOOKUP($A17,subQ,MATCH(W$1,SUBQH,0),0),"")</f>
        <v/>
      </c>
      <c r="X17" s="20">
        <f>IFERROR(VLOOKUP($A17,subQ,MATCH(X$1,SUBQH,0),0),"")</f>
        <v/>
      </c>
      <c r="Y17" s="20">
        <f>IFERROR(VLOOKUP($A17,subQ,MATCH(Y$1,SUBQH,0),0),"")</f>
        <v/>
      </c>
      <c r="Z17" s="20">
        <f>IFERROR(VLOOKUP($A17,subQ,MATCH(Z$1,SUBQH,0),0),"")</f>
        <v/>
      </c>
      <c r="AA17" s="20">
        <f>IFERROR(VLOOKUP($A17,subQ,MATCH(AA$1,SUBQH,0),0),"")</f>
        <v/>
      </c>
      <c r="AB17" s="20">
        <f>IFERROR(VLOOKUP($A17,subQ,MATCH(AB$1,SUBQH,0),0),"")</f>
        <v/>
      </c>
      <c r="AC17" s="20">
        <f>IFERROR(VLOOKUP($A17,subQ,MATCH(AC$1,SUBQH,0),0),"")</f>
        <v/>
      </c>
      <c r="AD17" s="20">
        <f>IFERROR(VLOOKUP($A17,subQ,MATCH(AD$1,SUBQH,0),0),"")</f>
        <v/>
      </c>
      <c r="AE17" s="20">
        <f>IFERROR(VLOOKUP($A17,subQ,MATCH(AE$1,SUBQH,0),0),"")</f>
        <v/>
      </c>
      <c r="AF17" s="20">
        <f>IFERROR(VLOOKUP($A17,subQ,MATCH(AF$1,SUBQH,0),0),"")</f>
        <v/>
      </c>
      <c r="AG17" s="20">
        <f>IFERROR(VLOOKUP($A17,subQ,MATCH(AG$1,SUBQH,0),0),"")</f>
        <v/>
      </c>
    </row>
    <row r="18">
      <c r="A18" s="12" t="inlineStr">
        <is>
          <t>부채총계</t>
        </is>
      </c>
      <c r="D18" t="inlineStr">
        <is>
          <t>부채총계</t>
        </is>
      </c>
      <c r="E18" s="18">
        <f>IFERROR(VLOOKUP($A18,subQ,MATCH(E$1,SUBQH,0),0),"")</f>
        <v/>
      </c>
      <c r="F18" s="18">
        <f>IFERROR(VLOOKUP($A18,subQ,MATCH(F$1,SUBQH,0),0),"")</f>
        <v/>
      </c>
      <c r="G18" s="18">
        <f>IFERROR(VLOOKUP($A18,subQ,MATCH(G$1,SUBQH,0),0),"")</f>
        <v/>
      </c>
      <c r="H18" s="18">
        <f>IFERROR(VLOOKUP($A18,subQ,MATCH(H$1,SUBQH,0),0),"")</f>
        <v/>
      </c>
      <c r="I18" s="18">
        <f>IFERROR(VLOOKUP($A18,subQ,MATCH(I$1,SUBQH,0),0),"")</f>
        <v/>
      </c>
      <c r="J18" s="18">
        <f>IFERROR(VLOOKUP($A18,subQ,MATCH(J$1,SUBQH,0),0),"")</f>
        <v/>
      </c>
      <c r="K18" s="18">
        <f>IFERROR(VLOOKUP($A18,subQ,MATCH(K$1,SUBQH,0),0),"")</f>
        <v/>
      </c>
      <c r="L18" s="18">
        <f>IFERROR(VLOOKUP($A18,subQ,MATCH(L$1,SUBQH,0),0),"")</f>
        <v/>
      </c>
      <c r="M18" s="18">
        <f>IFERROR(VLOOKUP($A18,subQ,MATCH(M$1,SUBQH,0),0),"")</f>
        <v/>
      </c>
      <c r="N18" s="18">
        <f>IFERROR(VLOOKUP($A18,subQ,MATCH(N$1,SUBQH,0),0),"")</f>
        <v/>
      </c>
      <c r="O18" s="18">
        <f>IFERROR(VLOOKUP($A18,subQ,MATCH(O$1,SUBQH,0),0),"")</f>
        <v/>
      </c>
      <c r="P18" s="18">
        <f>IFERROR(VLOOKUP($A18,subQ,MATCH(P$1,SUBQH,0),0),"")</f>
        <v/>
      </c>
      <c r="Q18" s="18">
        <f>IFERROR(VLOOKUP($A18,subQ,MATCH(Q$1,SUBQH,0),0),"")</f>
        <v/>
      </c>
      <c r="R18" s="18">
        <f>IFERROR(VLOOKUP($A18,subQ,MATCH(R$1,SUBQH,0),0),"")</f>
        <v/>
      </c>
      <c r="S18" s="18">
        <f>IFERROR(VLOOKUP($A18,subQ,MATCH(S$1,SUBQH,0),0),"")</f>
        <v/>
      </c>
      <c r="T18" s="18">
        <f>IFERROR(VLOOKUP($A18,subQ,MATCH(T$1,SUBQH,0),0),"")</f>
        <v/>
      </c>
      <c r="U18" s="18">
        <f>IFERROR(VLOOKUP($A18,subQ,MATCH(U$1,SUBQH,0),0),"")</f>
        <v/>
      </c>
      <c r="V18" s="18">
        <f>IFERROR(VLOOKUP($A18,subQ,MATCH(V$1,SUBQH,0),0),"")</f>
        <v/>
      </c>
      <c r="W18" s="41">
        <f>IFERROR(VLOOKUP($A18,subQ,MATCH(W$1,SUBQH,0),0),"")</f>
        <v/>
      </c>
      <c r="X18" s="20">
        <f>IFERROR(VLOOKUP($A18,subQ,MATCH(X$1,SUBQH,0),0),"")</f>
        <v/>
      </c>
      <c r="Y18" s="20">
        <f>IFERROR(VLOOKUP($A18,subQ,MATCH(Y$1,SUBQH,0),0),"")</f>
        <v/>
      </c>
      <c r="Z18" s="20">
        <f>IFERROR(VLOOKUP($A18,subQ,MATCH(Z$1,SUBQH,0),0),"")</f>
        <v/>
      </c>
      <c r="AA18" s="20">
        <f>IFERROR(VLOOKUP($A18,subQ,MATCH(AA$1,SUBQH,0),0),"")</f>
        <v/>
      </c>
      <c r="AB18" s="20">
        <f>IFERROR(VLOOKUP($A18,subQ,MATCH(AB$1,SUBQH,0),0),"")</f>
        <v/>
      </c>
      <c r="AC18" s="20">
        <f>IFERROR(VLOOKUP($A18,subQ,MATCH(AC$1,SUBQH,0),0),"")</f>
        <v/>
      </c>
      <c r="AD18" s="20">
        <f>IFERROR(VLOOKUP($A18,subQ,MATCH(AD$1,SUBQH,0),0),"")</f>
        <v/>
      </c>
      <c r="AE18" s="20">
        <f>IFERROR(VLOOKUP($A18,subQ,MATCH(AE$1,SUBQH,0),0),"")</f>
        <v/>
      </c>
      <c r="AF18" s="20">
        <f>IFERROR(VLOOKUP($A18,subQ,MATCH(AF$1,SUBQH,0),0),"")</f>
        <v/>
      </c>
      <c r="AG18" s="20">
        <f>IFERROR(VLOOKUP($A18,subQ,MATCH(AG$1,SUBQH,0),0),"")</f>
        <v/>
      </c>
    </row>
    <row r="19">
      <c r="A19" s="12" t="inlineStr">
        <is>
          <t>자본총계</t>
        </is>
      </c>
      <c r="D19" t="inlineStr">
        <is>
          <t>자본총계</t>
        </is>
      </c>
      <c r="E19" s="18">
        <f>IFERROR(VLOOKUP($A19,subQ,MATCH(E$1,SUBQH,0),0),"")</f>
        <v/>
      </c>
      <c r="F19" s="18">
        <f>IFERROR(VLOOKUP($A19,subQ,MATCH(F$1,SUBQH,0),0),"")</f>
        <v/>
      </c>
      <c r="G19" s="18">
        <f>IFERROR(VLOOKUP($A19,subQ,MATCH(G$1,SUBQH,0),0),"")</f>
        <v/>
      </c>
      <c r="H19" s="18">
        <f>IFERROR(VLOOKUP($A19,subQ,MATCH(H$1,SUBQH,0),0),"")</f>
        <v/>
      </c>
      <c r="I19" s="18">
        <f>IFERROR(VLOOKUP($A19,subQ,MATCH(I$1,SUBQH,0),0),"")</f>
        <v/>
      </c>
      <c r="J19" s="18">
        <f>IFERROR(VLOOKUP($A19,subQ,MATCH(J$1,SUBQH,0),0),"")</f>
        <v/>
      </c>
      <c r="K19" s="18">
        <f>IFERROR(VLOOKUP($A19,subQ,MATCH(K$1,SUBQH,0),0),"")</f>
        <v/>
      </c>
      <c r="L19" s="18">
        <f>IFERROR(VLOOKUP($A19,subQ,MATCH(L$1,SUBQH,0),0),"")</f>
        <v/>
      </c>
      <c r="M19" s="18">
        <f>IFERROR(VLOOKUP($A19,subQ,MATCH(M$1,SUBQH,0),0),"")</f>
        <v/>
      </c>
      <c r="N19" s="18">
        <f>IFERROR(VLOOKUP($A19,subQ,MATCH(N$1,SUBQH,0),0),"")</f>
        <v/>
      </c>
      <c r="O19" s="18">
        <f>IFERROR(VLOOKUP($A19,subQ,MATCH(O$1,SUBQH,0),0),"")</f>
        <v/>
      </c>
      <c r="P19" s="18">
        <f>IFERROR(VLOOKUP($A19,subQ,MATCH(P$1,SUBQH,0),0),"")</f>
        <v/>
      </c>
      <c r="Q19" s="18">
        <f>IFERROR(VLOOKUP($A19,subQ,MATCH(Q$1,SUBQH,0),0),"")</f>
        <v/>
      </c>
      <c r="R19" s="18">
        <f>IFERROR(VLOOKUP($A19,subQ,MATCH(R$1,SUBQH,0),0),"")</f>
        <v/>
      </c>
      <c r="S19" s="18">
        <f>IFERROR(VLOOKUP($A19,subQ,MATCH(S$1,SUBQH,0),0),"")</f>
        <v/>
      </c>
      <c r="T19" s="18">
        <f>IFERROR(VLOOKUP($A19,subQ,MATCH(T$1,SUBQH,0),0),"")</f>
        <v/>
      </c>
      <c r="U19" s="18">
        <f>IFERROR(VLOOKUP($A19,subQ,MATCH(U$1,SUBQH,0),0),"")</f>
        <v/>
      </c>
      <c r="V19" s="18">
        <f>IFERROR(VLOOKUP($A19,subQ,MATCH(V$1,SUBQH,0),0),"")</f>
        <v/>
      </c>
      <c r="W19" s="41">
        <f>IFERROR(VLOOKUP($A19,subQ,MATCH(W$1,SUBQH,0),0),"")</f>
        <v/>
      </c>
      <c r="X19" s="20">
        <f>IFERROR(VLOOKUP($A19,subQ,MATCH(X$1,SUBQH,0),0),"")</f>
        <v/>
      </c>
      <c r="Y19" s="20">
        <f>IFERROR(VLOOKUP($A19,subQ,MATCH(Y$1,SUBQH,0),0),"")</f>
        <v/>
      </c>
      <c r="Z19" s="20">
        <f>IFERROR(VLOOKUP($A19,subQ,MATCH(Z$1,SUBQH,0),0),"")</f>
        <v/>
      </c>
      <c r="AA19" s="20">
        <f>IFERROR(VLOOKUP($A19,subQ,MATCH(AA$1,SUBQH,0),0),"")</f>
        <v/>
      </c>
      <c r="AB19" s="20">
        <f>IFERROR(VLOOKUP($A19,subQ,MATCH(AB$1,SUBQH,0),0),"")</f>
        <v/>
      </c>
      <c r="AC19" s="20">
        <f>IFERROR(VLOOKUP($A19,subQ,MATCH(AC$1,SUBQH,0),0),"")</f>
        <v/>
      </c>
      <c r="AD19" s="20">
        <f>IFERROR(VLOOKUP($A19,subQ,MATCH(AD$1,SUBQH,0),0),"")</f>
        <v/>
      </c>
      <c r="AE19" s="20">
        <f>IFERROR(VLOOKUP($A19,subQ,MATCH(AE$1,SUBQH,0),0),"")</f>
        <v/>
      </c>
      <c r="AF19" s="20">
        <f>IFERROR(VLOOKUP($A19,subQ,MATCH(AF$1,SUBQH,0),0),"")</f>
        <v/>
      </c>
      <c r="AG19" s="20">
        <f>IFERROR(VLOOKUP($A19,subQ,MATCH(AG$1,SUBQH,0),0),"")</f>
        <v/>
      </c>
    </row>
    <row r="20">
      <c r="A20" s="12" t="inlineStr">
        <is>
          <t>지배주주지분</t>
        </is>
      </c>
      <c r="D20" t="inlineStr">
        <is>
          <t>지배주주지분</t>
        </is>
      </c>
      <c r="E20" s="18">
        <f>IFERROR(VLOOKUP($A20,subQ,MATCH(E$1,SUBQH,0),0),"")</f>
        <v/>
      </c>
      <c r="F20" s="18">
        <f>IFERROR(VLOOKUP($A20,subQ,MATCH(F$1,SUBQH,0),0),"")</f>
        <v/>
      </c>
      <c r="G20" s="18">
        <f>IFERROR(VLOOKUP($A20,subQ,MATCH(G$1,SUBQH,0),0),"")</f>
        <v/>
      </c>
      <c r="H20" s="18">
        <f>IFERROR(VLOOKUP($A20,subQ,MATCH(H$1,SUBQH,0),0),"")</f>
        <v/>
      </c>
      <c r="I20" s="18">
        <f>IFERROR(VLOOKUP($A20,subQ,MATCH(I$1,SUBQH,0),0),"")</f>
        <v/>
      </c>
      <c r="J20" s="18">
        <f>IFERROR(VLOOKUP($A20,subQ,MATCH(J$1,SUBQH,0),0),"")</f>
        <v/>
      </c>
      <c r="K20" s="18">
        <f>IFERROR(VLOOKUP($A20,subQ,MATCH(K$1,SUBQH,0),0),"")</f>
        <v/>
      </c>
      <c r="L20" s="18">
        <f>IFERROR(VLOOKUP($A20,subQ,MATCH(L$1,SUBQH,0),0),"")</f>
        <v/>
      </c>
      <c r="M20" s="18">
        <f>IFERROR(VLOOKUP($A20,subQ,MATCH(M$1,SUBQH,0),0),"")</f>
        <v/>
      </c>
      <c r="N20" s="18">
        <f>IFERROR(VLOOKUP($A20,subQ,MATCH(N$1,SUBQH,0),0),"")</f>
        <v/>
      </c>
      <c r="O20" s="18">
        <f>IFERROR(VLOOKUP($A20,subQ,MATCH(O$1,SUBQH,0),0),"")</f>
        <v/>
      </c>
      <c r="P20" s="18">
        <f>IFERROR(VLOOKUP($A20,subQ,MATCH(P$1,SUBQH,0),0),"")</f>
        <v/>
      </c>
      <c r="Q20" s="18">
        <f>IFERROR(VLOOKUP($A20,subQ,MATCH(Q$1,SUBQH,0),0),"")</f>
        <v/>
      </c>
      <c r="R20" s="18">
        <f>IFERROR(VLOOKUP($A20,subQ,MATCH(R$1,SUBQH,0),0),"")</f>
        <v/>
      </c>
      <c r="S20" s="18">
        <f>IFERROR(VLOOKUP($A20,subQ,MATCH(S$1,SUBQH,0),0),"")</f>
        <v/>
      </c>
      <c r="T20" s="18">
        <f>IFERROR(VLOOKUP($A20,subQ,MATCH(T$1,SUBQH,0),0),"")</f>
        <v/>
      </c>
      <c r="U20" s="18">
        <f>IFERROR(VLOOKUP($A20,subQ,MATCH(U$1,SUBQH,0),0),"")</f>
        <v/>
      </c>
      <c r="V20" s="18">
        <f>IFERROR(VLOOKUP($A20,subQ,MATCH(V$1,SUBQH,0),0),"")</f>
        <v/>
      </c>
      <c r="W20" s="41">
        <f>IFERROR(VLOOKUP($A20,subQ,MATCH(W$1,SUBQH,0),0),"")</f>
        <v/>
      </c>
      <c r="X20" s="20">
        <f>IFERROR(VLOOKUP($A20,subQ,MATCH(X$1,SUBQH,0),0),"")</f>
        <v/>
      </c>
      <c r="Y20" s="20">
        <f>IFERROR(VLOOKUP($A20,subQ,MATCH(Y$1,SUBQH,0),0),"")</f>
        <v/>
      </c>
      <c r="Z20" s="20">
        <f>IFERROR(VLOOKUP($A20,subQ,MATCH(Z$1,SUBQH,0),0),"")</f>
        <v/>
      </c>
      <c r="AA20" s="20">
        <f>IFERROR(VLOOKUP($A20,subQ,MATCH(AA$1,SUBQH,0),0),"")</f>
        <v/>
      </c>
      <c r="AB20" s="20">
        <f>IFERROR(VLOOKUP($A20,subQ,MATCH(AB$1,SUBQH,0),0),"")</f>
        <v/>
      </c>
      <c r="AC20" s="20">
        <f>IFERROR(VLOOKUP($A20,subQ,MATCH(AC$1,SUBQH,0),0),"")</f>
        <v/>
      </c>
      <c r="AD20" s="20">
        <f>IFERROR(VLOOKUP($A20,subQ,MATCH(AD$1,SUBQH,0),0),"")</f>
        <v/>
      </c>
      <c r="AE20" s="20">
        <f>IFERROR(VLOOKUP($A20,subQ,MATCH(AE$1,SUBQH,0),0),"")</f>
        <v/>
      </c>
      <c r="AF20" s="20">
        <f>IFERROR(VLOOKUP($A20,subQ,MATCH(AF$1,SUBQH,0),0),"")</f>
        <v/>
      </c>
      <c r="AG20" s="20">
        <f>IFERROR(VLOOKUP($A20,subQ,MATCH(AG$1,SUBQH,0),0),"")</f>
        <v/>
      </c>
    </row>
    <row r="21">
      <c r="A21" s="12" t="inlineStr">
        <is>
          <t>이자발생자산</t>
        </is>
      </c>
      <c r="D21" t="inlineStr">
        <is>
          <t>이자발생자산</t>
        </is>
      </c>
      <c r="E21" s="18">
        <f>IFERROR(VLOOKUP($A21,subQ,MATCH(E$1,SUBQH,0),0),"")</f>
        <v/>
      </c>
      <c r="F21" s="18">
        <f>IFERROR(VLOOKUP($A21,subQ,MATCH(F$1,SUBQH,0),0),"")</f>
        <v/>
      </c>
      <c r="G21" s="18">
        <f>IFERROR(VLOOKUP($A21,subQ,MATCH(G$1,SUBQH,0),0),"")</f>
        <v/>
      </c>
      <c r="H21" s="18">
        <f>IFERROR(VLOOKUP($A21,subQ,MATCH(H$1,SUBQH,0),0),"")</f>
        <v/>
      </c>
      <c r="I21" s="18">
        <f>IFERROR(VLOOKUP($A21,subQ,MATCH(I$1,SUBQH,0),0),"")</f>
        <v/>
      </c>
      <c r="J21" s="18">
        <f>IFERROR(VLOOKUP($A21,subQ,MATCH(J$1,SUBQH,0),0),"")</f>
        <v/>
      </c>
      <c r="K21" s="18">
        <f>IFERROR(VLOOKUP($A21,subQ,MATCH(K$1,SUBQH,0),0),"")</f>
        <v/>
      </c>
      <c r="L21" s="18">
        <f>IFERROR(VLOOKUP($A21,subQ,MATCH(L$1,SUBQH,0),0),"")</f>
        <v/>
      </c>
      <c r="M21" s="18">
        <f>IFERROR(VLOOKUP($A21,subQ,MATCH(M$1,SUBQH,0),0),"")</f>
        <v/>
      </c>
      <c r="N21" s="18">
        <f>IFERROR(VLOOKUP($A21,subQ,MATCH(N$1,SUBQH,0),0),"")</f>
        <v/>
      </c>
      <c r="O21" s="18">
        <f>IFERROR(VLOOKUP($A21,subQ,MATCH(O$1,SUBQH,0),0),"")</f>
        <v/>
      </c>
      <c r="P21" s="18">
        <f>IFERROR(VLOOKUP($A21,subQ,MATCH(P$1,SUBQH,0),0),"")</f>
        <v/>
      </c>
      <c r="Q21" s="18">
        <f>IFERROR(VLOOKUP($A21,subQ,MATCH(Q$1,SUBQH,0),0),"")</f>
        <v/>
      </c>
      <c r="R21" s="18">
        <f>IFERROR(VLOOKUP($A21,subQ,MATCH(R$1,SUBQH,0),0),"")</f>
        <v/>
      </c>
      <c r="S21" s="18">
        <f>IFERROR(VLOOKUP($A21,subQ,MATCH(S$1,SUBQH,0),0),"")</f>
        <v/>
      </c>
      <c r="T21" s="18">
        <f>IFERROR(VLOOKUP($A21,subQ,MATCH(T$1,SUBQH,0),0),"")</f>
        <v/>
      </c>
      <c r="U21" s="18">
        <f>IFERROR(VLOOKUP($A21,subQ,MATCH(U$1,SUBQH,0),0),"")</f>
        <v/>
      </c>
      <c r="V21" s="18">
        <f>IFERROR(VLOOKUP($A21,subQ,MATCH(V$1,SUBQH,0),0),"")</f>
        <v/>
      </c>
      <c r="W21" s="41">
        <f>IFERROR(VLOOKUP($A21,subQ,MATCH(W$1,SUBQH,0),0),"")</f>
        <v/>
      </c>
      <c r="X21" s="20">
        <f>IFERROR(VLOOKUP($A21,subQ,MATCH(X$1,SUBQH,0),0),"")</f>
        <v/>
      </c>
      <c r="Y21" s="20">
        <f>IFERROR(VLOOKUP($A21,subQ,MATCH(Y$1,SUBQH,0),0),"")</f>
        <v/>
      </c>
      <c r="Z21" s="20">
        <f>IFERROR(VLOOKUP($A21,subQ,MATCH(Z$1,SUBQH,0),0),"")</f>
        <v/>
      </c>
      <c r="AA21" s="20">
        <f>IFERROR(VLOOKUP($A21,subQ,MATCH(AA$1,SUBQH,0),0),"")</f>
        <v/>
      </c>
      <c r="AB21" s="20">
        <f>IFERROR(VLOOKUP($A21,subQ,MATCH(AB$1,SUBQH,0),0),"")</f>
        <v/>
      </c>
      <c r="AC21" s="20">
        <f>IFERROR(VLOOKUP($A21,subQ,MATCH(AC$1,SUBQH,0),0),"")</f>
        <v/>
      </c>
      <c r="AD21" s="20">
        <f>IFERROR(VLOOKUP($A21,subQ,MATCH(AD$1,SUBQH,0),0),"")</f>
        <v/>
      </c>
      <c r="AE21" s="20">
        <f>IFERROR(VLOOKUP($A21,subQ,MATCH(AE$1,SUBQH,0),0),"")</f>
        <v/>
      </c>
      <c r="AF21" s="20">
        <f>IFERROR(VLOOKUP($A21,subQ,MATCH(AF$1,SUBQH,0),0),"")</f>
        <v/>
      </c>
      <c r="AG21" s="20">
        <f>IFERROR(VLOOKUP($A21,subQ,MATCH(AG$1,SUBQH,0),0),"")</f>
        <v/>
      </c>
    </row>
    <row r="22">
      <c r="A22" s="12" t="inlineStr">
        <is>
          <t>현금및현금성자산</t>
        </is>
      </c>
      <c r="D22" t="inlineStr">
        <is>
          <t>현금및현금성자산</t>
        </is>
      </c>
      <c r="E22" s="18">
        <f>IFERROR(VLOOKUP($A22,subQ,MATCH(E$1,SUBQH,0),0),"")</f>
        <v/>
      </c>
      <c r="F22" s="18">
        <f>IFERROR(VLOOKUP($A22,subQ,MATCH(F$1,SUBQH,0),0),"")</f>
        <v/>
      </c>
      <c r="G22" s="18">
        <f>IFERROR(VLOOKUP($A22,subQ,MATCH(G$1,SUBQH,0),0),"")</f>
        <v/>
      </c>
      <c r="H22" s="18">
        <f>IFERROR(VLOOKUP($A22,subQ,MATCH(H$1,SUBQH,0),0),"")</f>
        <v/>
      </c>
      <c r="I22" s="18">
        <f>IFERROR(VLOOKUP($A22,subQ,MATCH(I$1,SUBQH,0),0),"")</f>
        <v/>
      </c>
      <c r="J22" s="18">
        <f>IFERROR(VLOOKUP($A22,subQ,MATCH(J$1,SUBQH,0),0),"")</f>
        <v/>
      </c>
      <c r="K22" s="18">
        <f>IFERROR(VLOOKUP($A22,subQ,MATCH(K$1,SUBQH,0),0),"")</f>
        <v/>
      </c>
      <c r="L22" s="18">
        <f>IFERROR(VLOOKUP($A22,subQ,MATCH(L$1,SUBQH,0),0),"")</f>
        <v/>
      </c>
      <c r="M22" s="18">
        <f>IFERROR(VLOOKUP($A22,subQ,MATCH(M$1,SUBQH,0),0),"")</f>
        <v/>
      </c>
      <c r="N22" s="18">
        <f>IFERROR(VLOOKUP($A22,subQ,MATCH(N$1,SUBQH,0),0),"")</f>
        <v/>
      </c>
      <c r="O22" s="18">
        <f>IFERROR(VLOOKUP($A22,subQ,MATCH(O$1,SUBQH,0),0),"")</f>
        <v/>
      </c>
      <c r="P22" s="18">
        <f>IFERROR(VLOOKUP($A22,subQ,MATCH(P$1,SUBQH,0),0),"")</f>
        <v/>
      </c>
      <c r="Q22" s="18">
        <f>IFERROR(VLOOKUP($A22,subQ,MATCH(Q$1,SUBQH,0),0),"")</f>
        <v/>
      </c>
      <c r="R22" s="18">
        <f>IFERROR(VLOOKUP($A22,subQ,MATCH(R$1,SUBQH,0),0),"")</f>
        <v/>
      </c>
      <c r="S22" s="18">
        <f>IFERROR(VLOOKUP($A22,subQ,MATCH(S$1,SUBQH,0),0),"")</f>
        <v/>
      </c>
      <c r="T22" s="18">
        <f>IFERROR(VLOOKUP($A22,subQ,MATCH(T$1,SUBQH,0),0),"")</f>
        <v/>
      </c>
      <c r="U22" s="18">
        <f>IFERROR(VLOOKUP($A22,subQ,MATCH(U$1,SUBQH,0),0),"")</f>
        <v/>
      </c>
      <c r="V22" s="18">
        <f>IFERROR(VLOOKUP($A22,subQ,MATCH(V$1,SUBQH,0),0),"")</f>
        <v/>
      </c>
      <c r="W22" s="41">
        <f>IFERROR(VLOOKUP($A22,subQ,MATCH(W$1,SUBQH,0),0),"")</f>
        <v/>
      </c>
      <c r="X22" s="20">
        <f>IFERROR(VLOOKUP($A22,subQ,MATCH(X$1,SUBQH,0),0),"")</f>
        <v/>
      </c>
      <c r="Y22" s="20">
        <f>IFERROR(VLOOKUP($A22,subQ,MATCH(Y$1,SUBQH,0),0),"")</f>
        <v/>
      </c>
      <c r="Z22" s="20">
        <f>IFERROR(VLOOKUP($A22,subQ,MATCH(Z$1,SUBQH,0),0),"")</f>
        <v/>
      </c>
      <c r="AA22" s="20">
        <f>IFERROR(VLOOKUP($A22,subQ,MATCH(AA$1,SUBQH,0),0),"")</f>
        <v/>
      </c>
      <c r="AB22" s="20">
        <f>IFERROR(VLOOKUP($A22,subQ,MATCH(AB$1,SUBQH,0),0),"")</f>
        <v/>
      </c>
      <c r="AC22" s="20">
        <f>IFERROR(VLOOKUP($A22,subQ,MATCH(AC$1,SUBQH,0),0),"")</f>
        <v/>
      </c>
      <c r="AD22" s="20">
        <f>IFERROR(VLOOKUP($A22,subQ,MATCH(AD$1,SUBQH,0),0),"")</f>
        <v/>
      </c>
      <c r="AE22" s="20">
        <f>IFERROR(VLOOKUP($A22,subQ,MATCH(AE$1,SUBQH,0),0),"")</f>
        <v/>
      </c>
      <c r="AF22" s="20">
        <f>IFERROR(VLOOKUP($A22,subQ,MATCH(AF$1,SUBQH,0),0),"")</f>
        <v/>
      </c>
      <c r="AG22" s="20">
        <f>IFERROR(VLOOKUP($A22,subQ,MATCH(AG$1,SUBQH,0),0),"")</f>
        <v/>
      </c>
    </row>
    <row r="23">
      <c r="A23" s="12" t="inlineStr">
        <is>
          <t>CAPEX</t>
        </is>
      </c>
      <c r="D23" t="inlineStr">
        <is>
          <t>CAPEX</t>
        </is>
      </c>
      <c r="E23" s="18">
        <f>IFERROR(VLOOKUP($A23,subQ,MATCH(E$1,SUBQH,0),0),"")</f>
        <v/>
      </c>
      <c r="F23" s="18">
        <f>IFERROR(VLOOKUP($A23,subQ,MATCH(F$1,SUBQH,0),0),"")</f>
        <v/>
      </c>
      <c r="G23" s="18">
        <f>IFERROR(VLOOKUP($A23,subQ,MATCH(G$1,SUBQH,0),0),"")</f>
        <v/>
      </c>
      <c r="H23" s="18">
        <f>IFERROR(VLOOKUP($A23,subQ,MATCH(H$1,SUBQH,0),0),"")</f>
        <v/>
      </c>
      <c r="I23" s="18">
        <f>IFERROR(VLOOKUP($A23,subQ,MATCH(I$1,SUBQH,0),0),"")</f>
        <v/>
      </c>
      <c r="J23" s="18">
        <f>IFERROR(VLOOKUP($A23,subQ,MATCH(J$1,SUBQH,0),0),"")</f>
        <v/>
      </c>
      <c r="K23" s="18">
        <f>IFERROR(VLOOKUP($A23,subQ,MATCH(K$1,SUBQH,0),0),"")</f>
        <v/>
      </c>
      <c r="L23" s="18">
        <f>IFERROR(VLOOKUP($A23,subQ,MATCH(L$1,SUBQH,0),0),"")</f>
        <v/>
      </c>
      <c r="M23" s="18">
        <f>IFERROR(VLOOKUP($A23,subQ,MATCH(M$1,SUBQH,0),0),"")</f>
        <v/>
      </c>
      <c r="N23" s="18">
        <f>IFERROR(VLOOKUP($A23,subQ,MATCH(N$1,SUBQH,0),0),"")</f>
        <v/>
      </c>
      <c r="O23" s="18">
        <f>IFERROR(VLOOKUP($A23,subQ,MATCH(O$1,SUBQH,0),0),"")</f>
        <v/>
      </c>
      <c r="P23" s="18">
        <f>IFERROR(VLOOKUP($A23,subQ,MATCH(P$1,SUBQH,0),0),"")</f>
        <v/>
      </c>
      <c r="Q23" s="18">
        <f>IFERROR(VLOOKUP($A23,subQ,MATCH(Q$1,SUBQH,0),0),"")</f>
        <v/>
      </c>
      <c r="R23" s="18">
        <f>IFERROR(VLOOKUP($A23,subQ,MATCH(R$1,SUBQH,0),0),"")</f>
        <v/>
      </c>
      <c r="S23" s="18">
        <f>IFERROR(VLOOKUP($A23,subQ,MATCH(S$1,SUBQH,0),0),"")</f>
        <v/>
      </c>
      <c r="T23" s="18">
        <f>IFERROR(VLOOKUP($A23,subQ,MATCH(T$1,SUBQH,0),0),"")</f>
        <v/>
      </c>
      <c r="U23" s="18">
        <f>IFERROR(VLOOKUP($A23,subQ,MATCH(U$1,SUBQH,0),0),"")</f>
        <v/>
      </c>
      <c r="V23" s="18">
        <f>IFERROR(VLOOKUP($A23,subQ,MATCH(V$1,SUBQH,0),0),"")</f>
        <v/>
      </c>
      <c r="W23" s="41">
        <f>IFERROR(VLOOKUP($A23,subQ,MATCH(W$1,SUBQH,0),0),"")</f>
        <v/>
      </c>
      <c r="X23" s="20">
        <f>IFERROR(VLOOKUP($A23,subQ,MATCH(X$1,SUBQH,0),0),"")</f>
        <v/>
      </c>
      <c r="Y23" s="20">
        <f>IFERROR(VLOOKUP($A23,subQ,MATCH(Y$1,SUBQH,0),0),"")</f>
        <v/>
      </c>
      <c r="Z23" s="20">
        <f>IFERROR(VLOOKUP($A23,subQ,MATCH(Z$1,SUBQH,0),0),"")</f>
        <v/>
      </c>
      <c r="AA23" s="20">
        <f>IFERROR(VLOOKUP($A23,subQ,MATCH(AA$1,SUBQH,0),0),"")</f>
        <v/>
      </c>
      <c r="AB23" s="20">
        <f>IFERROR(VLOOKUP($A23,subQ,MATCH(AB$1,SUBQH,0),0),"")</f>
        <v/>
      </c>
      <c r="AC23" s="20">
        <f>IFERROR(VLOOKUP($A23,subQ,MATCH(AC$1,SUBQH,0),0),"")</f>
        <v/>
      </c>
      <c r="AD23" s="20">
        <f>IFERROR(VLOOKUP($A23,subQ,MATCH(AD$1,SUBQH,0),0),"")</f>
        <v/>
      </c>
      <c r="AE23" s="20">
        <f>IFERROR(VLOOKUP($A23,subQ,MATCH(AE$1,SUBQH,0),0),"")</f>
        <v/>
      </c>
      <c r="AF23" s="20">
        <f>IFERROR(VLOOKUP($A23,subQ,MATCH(AF$1,SUBQH,0),0),"")</f>
        <v/>
      </c>
      <c r="AG23" s="20">
        <f>IFERROR(VLOOKUP($A23,subQ,MATCH(AG$1,SUBQH,0),0),"")</f>
        <v/>
      </c>
    </row>
    <row r="24">
      <c r="A24" s="12" t="inlineStr">
        <is>
          <t>영업활동현금흐름</t>
        </is>
      </c>
      <c r="D24" t="inlineStr">
        <is>
          <t>영업활동현금흐름</t>
        </is>
      </c>
      <c r="E24" s="18">
        <f>IFERROR(VLOOKUP($A24,subQ,MATCH(E$1,SUBQH,0),0),"")</f>
        <v/>
      </c>
      <c r="F24" s="18">
        <f>IFERROR(VLOOKUP($A24,subQ,MATCH(F$1,SUBQH,0),0),"")</f>
        <v/>
      </c>
      <c r="G24" s="18">
        <f>IFERROR(VLOOKUP($A24,subQ,MATCH(G$1,SUBQH,0),0),"")</f>
        <v/>
      </c>
      <c r="H24" s="18">
        <f>IFERROR(VLOOKUP($A24,subQ,MATCH(H$1,SUBQH,0),0),"")</f>
        <v/>
      </c>
      <c r="I24" s="18">
        <f>IFERROR(VLOOKUP($A24,subQ,MATCH(I$1,SUBQH,0),0),"")</f>
        <v/>
      </c>
      <c r="J24" s="18">
        <f>IFERROR(VLOOKUP($A24,subQ,MATCH(J$1,SUBQH,0),0),"")</f>
        <v/>
      </c>
      <c r="K24" s="18">
        <f>IFERROR(VLOOKUP($A24,subQ,MATCH(K$1,SUBQH,0),0),"")</f>
        <v/>
      </c>
      <c r="L24" s="18">
        <f>IFERROR(VLOOKUP($A24,subQ,MATCH(L$1,SUBQH,0),0),"")</f>
        <v/>
      </c>
      <c r="M24" s="18">
        <f>IFERROR(VLOOKUP($A24,subQ,MATCH(M$1,SUBQH,0),0),"")</f>
        <v/>
      </c>
      <c r="N24" s="18">
        <f>IFERROR(VLOOKUP($A24,subQ,MATCH(N$1,SUBQH,0),0),"")</f>
        <v/>
      </c>
      <c r="O24" s="18">
        <f>IFERROR(VLOOKUP($A24,subQ,MATCH(O$1,SUBQH,0),0),"")</f>
        <v/>
      </c>
      <c r="P24" s="18">
        <f>IFERROR(VLOOKUP($A24,subQ,MATCH(P$1,SUBQH,0),0),"")</f>
        <v/>
      </c>
      <c r="Q24" s="18">
        <f>IFERROR(VLOOKUP($A24,subQ,MATCH(Q$1,SUBQH,0),0),"")</f>
        <v/>
      </c>
      <c r="R24" s="18">
        <f>IFERROR(VLOOKUP($A24,subQ,MATCH(R$1,SUBQH,0),0),"")</f>
        <v/>
      </c>
      <c r="S24" s="18">
        <f>IFERROR(VLOOKUP($A24,subQ,MATCH(S$1,SUBQH,0),0),"")</f>
        <v/>
      </c>
      <c r="T24" s="18">
        <f>IFERROR(VLOOKUP($A24,subQ,MATCH(T$1,SUBQH,0),0),"")</f>
        <v/>
      </c>
      <c r="U24" s="18">
        <f>IFERROR(VLOOKUP($A24,subQ,MATCH(U$1,SUBQH,0),0),"")</f>
        <v/>
      </c>
      <c r="V24" s="18">
        <f>IFERROR(VLOOKUP($A24,subQ,MATCH(V$1,SUBQH,0),0),"")</f>
        <v/>
      </c>
      <c r="W24" s="41">
        <f>IFERROR(VLOOKUP($A24,subQ,MATCH(W$1,SUBQH,0),0),"")</f>
        <v/>
      </c>
      <c r="X24" s="20">
        <f>IFERROR(VLOOKUP($A24,subQ,MATCH(X$1,SUBQH,0),0),"")</f>
        <v/>
      </c>
      <c r="Y24" s="20">
        <f>IFERROR(VLOOKUP($A24,subQ,MATCH(Y$1,SUBQH,0),0),"")</f>
        <v/>
      </c>
      <c r="Z24" s="20">
        <f>IFERROR(VLOOKUP($A24,subQ,MATCH(Z$1,SUBQH,0),0),"")</f>
        <v/>
      </c>
      <c r="AA24" s="20">
        <f>IFERROR(VLOOKUP($A24,subQ,MATCH(AA$1,SUBQH,0),0),"")</f>
        <v/>
      </c>
      <c r="AB24" s="20">
        <f>IFERROR(VLOOKUP($A24,subQ,MATCH(AB$1,SUBQH,0),0),"")</f>
        <v/>
      </c>
      <c r="AC24" s="20">
        <f>IFERROR(VLOOKUP($A24,subQ,MATCH(AC$1,SUBQH,0),0),"")</f>
        <v/>
      </c>
      <c r="AD24" s="20">
        <f>IFERROR(VLOOKUP($A24,subQ,MATCH(AD$1,SUBQH,0),0),"")</f>
        <v/>
      </c>
      <c r="AE24" s="20">
        <f>IFERROR(VLOOKUP($A24,subQ,MATCH(AE$1,SUBQH,0),0),"")</f>
        <v/>
      </c>
      <c r="AF24" s="20">
        <f>IFERROR(VLOOKUP($A24,subQ,MATCH(AF$1,SUBQH,0),0),"")</f>
        <v/>
      </c>
      <c r="AG24" s="20">
        <f>IFERROR(VLOOKUP($A24,subQ,MATCH(AG$1,SUBQH,0),0),"")</f>
        <v/>
      </c>
    </row>
    <row r="25">
      <c r="A25" s="12" t="inlineStr">
        <is>
          <t>주식수</t>
        </is>
      </c>
      <c r="D25" t="inlineStr">
        <is>
          <t>유통주식수</t>
        </is>
      </c>
      <c r="E25" s="26">
        <f>IFERROR(VLOOKUP($A25,subQ,MATCH(E$1,SUBQH,0),0),"")</f>
        <v/>
      </c>
      <c r="F25" s="26">
        <f>IFERROR(VLOOKUP($A25,subQ,MATCH(F$1,SUBQH,0),0),"")</f>
        <v/>
      </c>
      <c r="G25" s="26">
        <f>IFERROR(VLOOKUP($A25,subQ,MATCH(G$1,SUBQH,0),0),"")</f>
        <v/>
      </c>
      <c r="H25" s="26">
        <f>IFERROR(VLOOKUP($A25,subQ,MATCH(H$1,SUBQH,0),0),"")</f>
        <v/>
      </c>
      <c r="I25" s="26">
        <f>IFERROR(VLOOKUP($A25,subQ,MATCH(I$1,SUBQH,0),0),"")</f>
        <v/>
      </c>
      <c r="J25" s="26">
        <f>IFERROR(VLOOKUP($A25,subQ,MATCH(J$1,SUBQH,0),0),"")</f>
        <v/>
      </c>
      <c r="K25" s="26">
        <f>IFERROR(VLOOKUP($A25,subQ,MATCH(K$1,SUBQH,0),0),"")</f>
        <v/>
      </c>
      <c r="L25" s="26">
        <f>IFERROR(VLOOKUP($A25,subQ,MATCH(L$1,SUBQH,0),0),"")</f>
        <v/>
      </c>
      <c r="M25" s="26">
        <f>IFERROR(VLOOKUP($A25,subQ,MATCH(M$1,SUBQH,0),0),"")</f>
        <v/>
      </c>
      <c r="N25" s="26">
        <f>IFERROR(VLOOKUP($A25,subQ,MATCH(N$1,SUBQH,0),0),"")</f>
        <v/>
      </c>
      <c r="O25" s="26">
        <f>IFERROR(VLOOKUP($A25,subQ,MATCH(O$1,SUBQH,0),0),"")</f>
        <v/>
      </c>
      <c r="P25" s="26">
        <f>IFERROR(VLOOKUP($A25,subQ,MATCH(P$1,SUBQH,0),0),"")</f>
        <v/>
      </c>
      <c r="Q25" s="26">
        <f>IFERROR(VLOOKUP($A25,subQ,MATCH(Q$1,SUBQH,0),0),"")</f>
        <v/>
      </c>
      <c r="R25" s="26">
        <f>IFERROR(VLOOKUP($A25,subQ,MATCH(R$1,SUBQH,0),0),"")</f>
        <v/>
      </c>
      <c r="S25" s="26">
        <f>IFERROR(VLOOKUP($A25,subQ,MATCH(S$1,SUBQH,0),0),"")</f>
        <v/>
      </c>
      <c r="T25" s="26">
        <f>IFERROR(VLOOKUP($A25,subQ,MATCH(T$1,SUBQH,0),0),"")</f>
        <v/>
      </c>
      <c r="U25" s="26">
        <f>IFERROR(VLOOKUP($A25,subQ,MATCH(U$1,SUBQH,0),0),"")</f>
        <v/>
      </c>
      <c r="V25" s="26">
        <f>IFERROR(VLOOKUP($A25,subQ,MATCH(V$1,SUBQH,0),0),"")</f>
        <v/>
      </c>
      <c r="W25" s="43">
        <f>IFERROR(VLOOKUP($A25,subQ,MATCH(W$1,SUBQH,0),0),"")</f>
        <v/>
      </c>
      <c r="X25" s="36">
        <f>IFERROR(VLOOKUP($A25,subQ,MATCH(X$1,SUBQH,0),0),"")</f>
        <v/>
      </c>
      <c r="Y25" s="36">
        <f>IFERROR(VLOOKUP($A25,subQ,MATCH(Y$1,SUBQH,0),0),"")</f>
        <v/>
      </c>
      <c r="Z25" s="36">
        <f>IFERROR(VLOOKUP($A25,subQ,MATCH(Z$1,SUBQH,0),0),"")</f>
        <v/>
      </c>
      <c r="AA25" s="36">
        <f>IFERROR(VLOOKUP($A25,subQ,MATCH(AA$1,SUBQH,0),0),"")</f>
        <v/>
      </c>
      <c r="AB25" s="36">
        <f>IFERROR(VLOOKUP($A25,subQ,MATCH(AB$1,SUBQH,0),0),"")</f>
        <v/>
      </c>
      <c r="AC25" s="36">
        <f>IFERROR(VLOOKUP($A25,subQ,MATCH(AC$1,SUBQH,0),0),"")</f>
        <v/>
      </c>
      <c r="AD25" s="36">
        <f>IFERROR(VLOOKUP($A25,subQ,MATCH(AD$1,SUBQH,0),0),"")</f>
        <v/>
      </c>
      <c r="AE25" s="36">
        <f>IFERROR(VLOOKUP($A25,subQ,MATCH(AE$1,SUBQH,0),0),"")</f>
        <v/>
      </c>
      <c r="AF25" s="36">
        <f>IFERROR(VLOOKUP($A25,subQ,MATCH(AF$1,SUBQH,0),0),"")</f>
        <v/>
      </c>
      <c r="AG25" s="36">
        <f>IFERROR(VLOOKUP($A25,subQ,MATCH(AG$1,SUBQH,0),0),"")</f>
        <v/>
      </c>
    </row>
    <row r="26">
      <c r="A26" s="12" t="inlineStr">
        <is>
          <t>EPS</t>
        </is>
      </c>
      <c r="D26" t="inlineStr">
        <is>
          <t>EPS</t>
        </is>
      </c>
      <c r="E26" s="18">
        <f>IFERROR(VLOOKUP($A26,subQ,MATCH(E$1,SUBQH,0),0),"")</f>
        <v/>
      </c>
      <c r="F26" s="18">
        <f>IFERROR(VLOOKUP($A26,subQ,MATCH(F$1,SUBQH,0),0),"")</f>
        <v/>
      </c>
      <c r="G26" s="18">
        <f>IFERROR(VLOOKUP($A26,subQ,MATCH(G$1,SUBQH,0),0),"")</f>
        <v/>
      </c>
      <c r="H26" s="18">
        <f>IFERROR(VLOOKUP($A26,subQ,MATCH(H$1,SUBQH,0),0),"")</f>
        <v/>
      </c>
      <c r="I26" s="18">
        <f>IFERROR(VLOOKUP($A26,subQ,MATCH(I$1,SUBQH,0),0),"")</f>
        <v/>
      </c>
      <c r="J26" s="18">
        <f>IFERROR(VLOOKUP($A26,subQ,MATCH(J$1,SUBQH,0),0),"")</f>
        <v/>
      </c>
      <c r="K26" s="18">
        <f>IFERROR(VLOOKUP($A26,subQ,MATCH(K$1,SUBQH,0),0),"")</f>
        <v/>
      </c>
      <c r="L26" s="18">
        <f>IFERROR(VLOOKUP($A26,subQ,MATCH(L$1,SUBQH,0),0),"")</f>
        <v/>
      </c>
      <c r="M26" s="18">
        <f>IFERROR(VLOOKUP($A26,subQ,MATCH(M$1,SUBQH,0),0),"")</f>
        <v/>
      </c>
      <c r="N26" s="18">
        <f>IFERROR(VLOOKUP($A26,subQ,MATCH(N$1,SUBQH,0),0),"")</f>
        <v/>
      </c>
      <c r="O26" s="18">
        <f>IFERROR(VLOOKUP($A26,subQ,MATCH(O$1,SUBQH,0),0),"")</f>
        <v/>
      </c>
      <c r="P26" s="18">
        <f>IFERROR(VLOOKUP($A26,subQ,MATCH(P$1,SUBQH,0),0),"")</f>
        <v/>
      </c>
      <c r="Q26" s="18">
        <f>IFERROR(VLOOKUP($A26,subQ,MATCH(Q$1,SUBQH,0),0),"")</f>
        <v/>
      </c>
      <c r="R26" s="18">
        <f>IFERROR(VLOOKUP($A26,subQ,MATCH(R$1,SUBQH,0),0),"")</f>
        <v/>
      </c>
      <c r="S26" s="18">
        <f>IFERROR(VLOOKUP($A26,subQ,MATCH(S$1,SUBQH,0),0),"")</f>
        <v/>
      </c>
      <c r="T26" s="18">
        <f>IFERROR(VLOOKUP($A26,subQ,MATCH(T$1,SUBQH,0),0),"")</f>
        <v/>
      </c>
      <c r="U26" s="18">
        <f>IFERROR(VLOOKUP($A26,subQ,MATCH(U$1,SUBQH,0),0),"")</f>
        <v/>
      </c>
      <c r="V26" s="18">
        <f>IFERROR(VLOOKUP($A26,subQ,MATCH(V$1,SUBQH,0),0),"")</f>
        <v/>
      </c>
      <c r="W26" s="41">
        <f>IFERROR(VLOOKUP($A26,subQ,MATCH(W$1,SUBQH,0),0),"")</f>
        <v/>
      </c>
      <c r="X26" s="20">
        <f>IFERROR(VLOOKUP($A26,subQ,MATCH(X$1,SUBQH,0),0),"")</f>
        <v/>
      </c>
      <c r="Y26" s="20">
        <f>IFERROR(VLOOKUP($A26,subQ,MATCH(Y$1,SUBQH,0),0),"")</f>
        <v/>
      </c>
      <c r="Z26" s="20">
        <f>IFERROR(VLOOKUP($A26,subQ,MATCH(Z$1,SUBQH,0),0),"")</f>
        <v/>
      </c>
      <c r="AA26" s="20">
        <f>IFERROR(VLOOKUP($A26,subQ,MATCH(AA$1,SUBQH,0),0),"")</f>
        <v/>
      </c>
      <c r="AB26" s="20">
        <f>IFERROR(VLOOKUP($A26,subQ,MATCH(AB$1,SUBQH,0),0),"")</f>
        <v/>
      </c>
      <c r="AC26" s="20">
        <f>IFERROR(VLOOKUP($A26,subQ,MATCH(AC$1,SUBQH,0),0),"")</f>
        <v/>
      </c>
      <c r="AD26" s="20">
        <f>IFERROR(VLOOKUP($A26,subQ,MATCH(AD$1,SUBQH,0),0),"")</f>
        <v/>
      </c>
      <c r="AE26" s="20">
        <f>IFERROR(VLOOKUP($A26,subQ,MATCH(AE$1,SUBQH,0),0),"")</f>
        <v/>
      </c>
      <c r="AF26" s="20">
        <f>IFERROR(VLOOKUP($A26,subQ,MATCH(AF$1,SUBQH,0),0),"")</f>
        <v/>
      </c>
      <c r="AG26" s="20">
        <f>IFERROR(VLOOKUP($A26,subQ,MATCH(AG$1,SUBQH,0),0),"")</f>
        <v/>
      </c>
    </row>
    <row r="27">
      <c r="A27" s="12" t="inlineStr">
        <is>
          <t>BPS</t>
        </is>
      </c>
      <c r="D27" t="inlineStr">
        <is>
          <t>BPS</t>
        </is>
      </c>
      <c r="E27" s="18">
        <f>IFERROR(VLOOKUP($A27,subQ,MATCH(E$1,SUBQH,0),0),"")</f>
        <v/>
      </c>
      <c r="F27" s="18">
        <f>IFERROR(VLOOKUP($A27,subQ,MATCH(F$1,SUBQH,0),0),"")</f>
        <v/>
      </c>
      <c r="G27" s="18">
        <f>IFERROR(VLOOKUP($A27,subQ,MATCH(G$1,SUBQH,0),0),"")</f>
        <v/>
      </c>
      <c r="H27" s="18">
        <f>IFERROR(VLOOKUP($A27,subQ,MATCH(H$1,SUBQH,0),0),"")</f>
        <v/>
      </c>
      <c r="I27" s="18">
        <f>IFERROR(VLOOKUP($A27,subQ,MATCH(I$1,SUBQH,0),0),"")</f>
        <v/>
      </c>
      <c r="J27" s="18">
        <f>IFERROR(VLOOKUP($A27,subQ,MATCH(J$1,SUBQH,0),0),"")</f>
        <v/>
      </c>
      <c r="K27" s="18">
        <f>IFERROR(VLOOKUP($A27,subQ,MATCH(K$1,SUBQH,0),0),"")</f>
        <v/>
      </c>
      <c r="L27" s="18">
        <f>IFERROR(VLOOKUP($A27,subQ,MATCH(L$1,SUBQH,0),0),"")</f>
        <v/>
      </c>
      <c r="M27" s="18">
        <f>IFERROR(VLOOKUP($A27,subQ,MATCH(M$1,SUBQH,0),0),"")</f>
        <v/>
      </c>
      <c r="N27" s="18">
        <f>IFERROR(VLOOKUP($A27,subQ,MATCH(N$1,SUBQH,0),0),"")</f>
        <v/>
      </c>
      <c r="O27" s="18">
        <f>IFERROR(VLOOKUP($A27,subQ,MATCH(O$1,SUBQH,0),0),"")</f>
        <v/>
      </c>
      <c r="P27" s="18">
        <f>IFERROR(VLOOKUP($A27,subQ,MATCH(P$1,SUBQH,0),0),"")</f>
        <v/>
      </c>
      <c r="Q27" s="18">
        <f>IFERROR(VLOOKUP($A27,subQ,MATCH(Q$1,SUBQH,0),0),"")</f>
        <v/>
      </c>
      <c r="R27" s="18">
        <f>IFERROR(VLOOKUP($A27,subQ,MATCH(R$1,SUBQH,0),0),"")</f>
        <v/>
      </c>
      <c r="S27" s="18">
        <f>IFERROR(VLOOKUP($A27,subQ,MATCH(S$1,SUBQH,0),0),"")</f>
        <v/>
      </c>
      <c r="T27" s="18">
        <f>IFERROR(VLOOKUP($A27,subQ,MATCH(T$1,SUBQH,0),0),"")</f>
        <v/>
      </c>
      <c r="U27" s="18">
        <f>IFERROR(VLOOKUP($A27,subQ,MATCH(U$1,SUBQH,0),0),"")</f>
        <v/>
      </c>
      <c r="V27" s="18">
        <f>IFERROR(VLOOKUP($A27,subQ,MATCH(V$1,SUBQH,0),0),"")</f>
        <v/>
      </c>
      <c r="W27" s="41">
        <f>IFERROR(VLOOKUP($A27,subQ,MATCH(W$1,SUBQH,0),0),"")</f>
        <v/>
      </c>
      <c r="X27" s="20">
        <f>IFERROR(VLOOKUP($A27,subQ,MATCH(X$1,SUBQH,0),0),"")</f>
        <v/>
      </c>
      <c r="Y27" s="20">
        <f>IFERROR(VLOOKUP($A27,subQ,MATCH(Y$1,SUBQH,0),0),"")</f>
        <v/>
      </c>
      <c r="Z27" s="20">
        <f>IFERROR(VLOOKUP($A27,subQ,MATCH(Z$1,SUBQH,0),0),"")</f>
        <v/>
      </c>
      <c r="AA27" s="20">
        <f>IFERROR(VLOOKUP($A27,subQ,MATCH(AA$1,SUBQH,0),0),"")</f>
        <v/>
      </c>
      <c r="AB27" s="20">
        <f>IFERROR(VLOOKUP($A27,subQ,MATCH(AB$1,SUBQH,0),0),"")</f>
        <v/>
      </c>
      <c r="AC27" s="20">
        <f>IFERROR(VLOOKUP($A27,subQ,MATCH(AC$1,SUBQH,0),0),"")</f>
        <v/>
      </c>
      <c r="AD27" s="20">
        <f>IFERROR(VLOOKUP($A27,subQ,MATCH(AD$1,SUBQH,0),0),"")</f>
        <v/>
      </c>
      <c r="AE27" s="20">
        <f>IFERROR(VLOOKUP($A27,subQ,MATCH(AE$1,SUBQH,0),0),"")</f>
        <v/>
      </c>
      <c r="AF27" s="20">
        <f>IFERROR(VLOOKUP($A27,subQ,MATCH(AF$1,SUBQH,0),0),"")</f>
        <v/>
      </c>
      <c r="AG27" s="20">
        <f>IFERROR(VLOOKUP($A27,subQ,MATCH(AG$1,SUBQH,0),0),"")</f>
        <v/>
      </c>
    </row>
    <row r="28">
      <c r="A28" s="12" t="inlineStr">
        <is>
          <t>DPS</t>
        </is>
      </c>
      <c r="D28" t="inlineStr">
        <is>
          <t>DPS(보통주)</t>
        </is>
      </c>
      <c r="E28" s="18">
        <f>IFERROR(VLOOKUP($A28,subQ,MATCH(E$1,SUBQH,0),0),"")</f>
        <v/>
      </c>
      <c r="F28" s="18">
        <f>IFERROR(VLOOKUP($A28,subQ,MATCH(F$1,SUBQH,0),0),"")</f>
        <v/>
      </c>
      <c r="G28" s="18">
        <f>IFERROR(VLOOKUP($A28,subQ,MATCH(G$1,SUBQH,0),0),"")</f>
        <v/>
      </c>
      <c r="H28" s="18">
        <f>IFERROR(VLOOKUP($A28,subQ,MATCH(H$1,SUBQH,0),0),"")</f>
        <v/>
      </c>
      <c r="I28" s="18">
        <f>IFERROR(VLOOKUP($A28,subQ,MATCH(I$1,SUBQH,0),0),"")</f>
        <v/>
      </c>
      <c r="J28" s="18">
        <f>IFERROR(VLOOKUP($A28,subQ,MATCH(J$1,SUBQH,0),0),"")</f>
        <v/>
      </c>
      <c r="K28" s="18">
        <f>IFERROR(VLOOKUP($A28,subQ,MATCH(K$1,SUBQH,0),0),"")</f>
        <v/>
      </c>
      <c r="L28" s="18">
        <f>IFERROR(VLOOKUP($A28,subQ,MATCH(L$1,SUBQH,0),0),"")</f>
        <v/>
      </c>
      <c r="M28" s="18">
        <f>IFERROR(VLOOKUP($A28,subQ,MATCH(M$1,SUBQH,0),0),"")</f>
        <v/>
      </c>
      <c r="N28" s="18">
        <f>IFERROR(VLOOKUP($A28,subQ,MATCH(N$1,SUBQH,0),0),"")</f>
        <v/>
      </c>
      <c r="O28" s="18">
        <f>IFERROR(VLOOKUP($A28,subQ,MATCH(O$1,SUBQH,0),0),"")</f>
        <v/>
      </c>
      <c r="P28" s="18">
        <f>IFERROR(VLOOKUP($A28,subQ,MATCH(P$1,SUBQH,0),0),"")</f>
        <v/>
      </c>
      <c r="Q28" s="18">
        <f>IFERROR(VLOOKUP($A28,subQ,MATCH(Q$1,SUBQH,0),0),"")</f>
        <v/>
      </c>
      <c r="R28" s="18">
        <f>IFERROR(VLOOKUP($A28,subQ,MATCH(R$1,SUBQH,0),0),"")</f>
        <v/>
      </c>
      <c r="S28" s="18">
        <f>IFERROR(VLOOKUP($A28,subQ,MATCH(S$1,SUBQH,0),0),"")</f>
        <v/>
      </c>
      <c r="T28" s="18">
        <f>IFERROR(VLOOKUP($A28,subQ,MATCH(T$1,SUBQH,0),0),"")</f>
        <v/>
      </c>
      <c r="U28" s="18">
        <f>IFERROR(VLOOKUP($A28,subQ,MATCH(U$1,SUBQH,0),0),"")</f>
        <v/>
      </c>
      <c r="V28" s="18">
        <f>IFERROR(VLOOKUP($A28,subQ,MATCH(V$1,SUBQH,0),0),"")</f>
        <v/>
      </c>
      <c r="W28" s="41">
        <f>IFERROR(VLOOKUP($A28,subQ,MATCH(W$1,SUBQH,0),0),"")</f>
        <v/>
      </c>
      <c r="X28" s="20">
        <f>IFERROR(VLOOKUP($A28,subQ,MATCH(X$1,SUBQH,0),0),"")</f>
        <v/>
      </c>
      <c r="Y28" s="20">
        <f>IFERROR(VLOOKUP($A28,subQ,MATCH(Y$1,SUBQH,0),0),"")</f>
        <v/>
      </c>
      <c r="Z28" s="20">
        <f>IFERROR(VLOOKUP($A28,subQ,MATCH(Z$1,SUBQH,0),0),"")</f>
        <v/>
      </c>
      <c r="AA28" s="20">
        <f>IFERROR(VLOOKUP($A28,subQ,MATCH(AA$1,SUBQH,0),0),"")</f>
        <v/>
      </c>
      <c r="AB28" s="20">
        <f>IFERROR(VLOOKUP($A28,subQ,MATCH(AB$1,SUBQH,0),0),"")</f>
        <v/>
      </c>
      <c r="AC28" s="20">
        <f>IFERROR(VLOOKUP($A28,subQ,MATCH(AC$1,SUBQH,0),0),"")</f>
        <v/>
      </c>
      <c r="AD28" s="20">
        <f>IFERROR(VLOOKUP($A28,subQ,MATCH(AD$1,SUBQH,0),0),"")</f>
        <v/>
      </c>
      <c r="AE28" s="20">
        <f>IFERROR(VLOOKUP($A28,subQ,MATCH(AE$1,SUBQH,0),0),"")</f>
        <v/>
      </c>
      <c r="AF28" s="20">
        <f>IFERROR(VLOOKUP($A28,subQ,MATCH(AF$1,SUBQH,0),0),"")</f>
        <v/>
      </c>
      <c r="AG28" s="20">
        <f>IFERROR(VLOOKUP($A28,subQ,MATCH(AG$1,SUBQH,0),0),"")</f>
        <v/>
      </c>
    </row>
    <row r="29">
      <c r="A29" s="12" t="inlineStr">
        <is>
          <t>PER</t>
        </is>
      </c>
      <c r="D29" t="inlineStr">
        <is>
          <t>PER</t>
        </is>
      </c>
      <c r="E29" s="18">
        <f>IFERROR(VLOOKUP($A29,subQ,MATCH(E$1,SUBQH,0),0),"")</f>
        <v/>
      </c>
      <c r="F29" s="18">
        <f>IFERROR(VLOOKUP($A29,subQ,MATCH(F$1,SUBQH,0),0),"")</f>
        <v/>
      </c>
      <c r="G29" s="18">
        <f>IFERROR(VLOOKUP($A29,subQ,MATCH(G$1,SUBQH,0),0),"")</f>
        <v/>
      </c>
      <c r="H29" s="18">
        <f>IFERROR(VLOOKUP($A29,subQ,MATCH(H$1,SUBQH,0),0),"")</f>
        <v/>
      </c>
      <c r="I29" s="18">
        <f>IFERROR(VLOOKUP($A29,subQ,MATCH(I$1,SUBQH,0),0),"")</f>
        <v/>
      </c>
      <c r="J29" s="18">
        <f>IFERROR(VLOOKUP($A29,subQ,MATCH(J$1,SUBQH,0),0),"")</f>
        <v/>
      </c>
      <c r="K29" s="18">
        <f>IFERROR(VLOOKUP($A29,subQ,MATCH(K$1,SUBQH,0),0),"")</f>
        <v/>
      </c>
      <c r="L29" s="18">
        <f>IFERROR(VLOOKUP($A29,subQ,MATCH(L$1,SUBQH,0),0),"")</f>
        <v/>
      </c>
      <c r="M29" s="18">
        <f>IFERROR(VLOOKUP($A29,subQ,MATCH(M$1,SUBQH,0),0),"")</f>
        <v/>
      </c>
      <c r="N29" s="18">
        <f>IFERROR(VLOOKUP($A29,subQ,MATCH(N$1,SUBQH,0),0),"")</f>
        <v/>
      </c>
      <c r="O29" s="18">
        <f>IFERROR(VLOOKUP($A29,subQ,MATCH(O$1,SUBQH,0),0),"")</f>
        <v/>
      </c>
      <c r="P29" s="18">
        <f>IFERROR(VLOOKUP($A29,subQ,MATCH(P$1,SUBQH,0),0),"")</f>
        <v/>
      </c>
      <c r="Q29" s="18">
        <f>IFERROR(VLOOKUP($A29,subQ,MATCH(Q$1,SUBQH,0),0),"")</f>
        <v/>
      </c>
      <c r="R29" s="18">
        <f>IFERROR(VLOOKUP($A29,subQ,MATCH(R$1,SUBQH,0),0),"")</f>
        <v/>
      </c>
      <c r="S29" s="18">
        <f>IFERROR(VLOOKUP($A29,subQ,MATCH(S$1,SUBQH,0),0),"")</f>
        <v/>
      </c>
      <c r="T29" s="18">
        <f>IFERROR(VLOOKUP($A29,subQ,MATCH(T$1,SUBQH,0),0),"")</f>
        <v/>
      </c>
      <c r="U29" s="18">
        <f>IFERROR(VLOOKUP($A29,subQ,MATCH(U$1,SUBQH,0),0),"")</f>
        <v/>
      </c>
      <c r="V29" s="18">
        <f>IFERROR(VLOOKUP($A29,subQ,MATCH(V$1,SUBQH,0),0),"")</f>
        <v/>
      </c>
      <c r="W29" s="41">
        <f>IFERROR(VLOOKUP($A29,subQ,MATCH(W$1,SUBQH,0),0),"")</f>
        <v/>
      </c>
      <c r="X29" s="20">
        <f>IFERROR(VLOOKUP($A29,subQ,MATCH(X$1,SUBQH,0),0),"")</f>
        <v/>
      </c>
      <c r="Y29" s="20">
        <f>IFERROR(VLOOKUP($A29,subQ,MATCH(Y$1,SUBQH,0),0),"")</f>
        <v/>
      </c>
      <c r="Z29" s="20">
        <f>IFERROR(VLOOKUP($A29,subQ,MATCH(Z$1,SUBQH,0),0),"")</f>
        <v/>
      </c>
      <c r="AA29" s="20">
        <f>IFERROR(VLOOKUP($A29,subQ,MATCH(AA$1,SUBQH,0),0),"")</f>
        <v/>
      </c>
      <c r="AB29" s="20">
        <f>IFERROR(VLOOKUP($A29,subQ,MATCH(AB$1,SUBQH,0),0),"")</f>
        <v/>
      </c>
      <c r="AC29" s="20">
        <f>IFERROR(VLOOKUP($A29,subQ,MATCH(AC$1,SUBQH,0),0),"")</f>
        <v/>
      </c>
      <c r="AD29" s="20">
        <f>IFERROR(VLOOKUP($A29,subQ,MATCH(AD$1,SUBQH,0),0),"")</f>
        <v/>
      </c>
      <c r="AE29" s="20">
        <f>IFERROR(VLOOKUP($A29,subQ,MATCH(AE$1,SUBQH,0),0),"")</f>
        <v/>
      </c>
      <c r="AF29" s="20">
        <f>IFERROR(VLOOKUP($A29,subQ,MATCH(AF$1,SUBQH,0),0),"")</f>
        <v/>
      </c>
      <c r="AG29" s="20">
        <f>IFERROR(VLOOKUP($A29,subQ,MATCH(AG$1,SUBQH,0),0),"")</f>
        <v/>
      </c>
    </row>
    <row r="30">
      <c r="A30" s="12" t="inlineStr">
        <is>
          <t>PBR</t>
        </is>
      </c>
      <c r="D30" t="inlineStr">
        <is>
          <t>PBR</t>
        </is>
      </c>
      <c r="E30" s="18">
        <f>IFERROR(VLOOKUP($A30,subQ,MATCH(E$1,SUBQH,0),0),"")</f>
        <v/>
      </c>
      <c r="F30" s="18">
        <f>IFERROR(VLOOKUP($A30,subQ,MATCH(F$1,SUBQH,0),0),"")</f>
        <v/>
      </c>
      <c r="G30" s="18">
        <f>IFERROR(VLOOKUP($A30,subQ,MATCH(G$1,SUBQH,0),0),"")</f>
        <v/>
      </c>
      <c r="H30" s="18">
        <f>IFERROR(VLOOKUP($A30,subQ,MATCH(H$1,SUBQH,0),0),"")</f>
        <v/>
      </c>
      <c r="I30" s="18">
        <f>IFERROR(VLOOKUP($A30,subQ,MATCH(I$1,SUBQH,0),0),"")</f>
        <v/>
      </c>
      <c r="J30" s="18">
        <f>IFERROR(VLOOKUP($A30,subQ,MATCH(J$1,SUBQH,0),0),"")</f>
        <v/>
      </c>
      <c r="K30" s="18">
        <f>IFERROR(VLOOKUP($A30,subQ,MATCH(K$1,SUBQH,0),0),"")</f>
        <v/>
      </c>
      <c r="L30" s="18">
        <f>IFERROR(VLOOKUP($A30,subQ,MATCH(L$1,SUBQH,0),0),"")</f>
        <v/>
      </c>
      <c r="M30" s="18">
        <f>IFERROR(VLOOKUP($A30,subQ,MATCH(M$1,SUBQH,0),0),"")</f>
        <v/>
      </c>
      <c r="N30" s="18">
        <f>IFERROR(VLOOKUP($A30,subQ,MATCH(N$1,SUBQH,0),0),"")</f>
        <v/>
      </c>
      <c r="O30" s="18">
        <f>IFERROR(VLOOKUP($A30,subQ,MATCH(O$1,SUBQH,0),0),"")</f>
        <v/>
      </c>
      <c r="P30" s="18">
        <f>IFERROR(VLOOKUP($A30,subQ,MATCH(P$1,SUBQH,0),0),"")</f>
        <v/>
      </c>
      <c r="Q30" s="18">
        <f>IFERROR(VLOOKUP($A30,subQ,MATCH(Q$1,SUBQH,0),0),"")</f>
        <v/>
      </c>
      <c r="R30" s="18">
        <f>IFERROR(VLOOKUP($A30,subQ,MATCH(R$1,SUBQH,0),0),"")</f>
        <v/>
      </c>
      <c r="S30" s="18">
        <f>IFERROR(VLOOKUP($A30,subQ,MATCH(S$1,SUBQH,0),0),"")</f>
        <v/>
      </c>
      <c r="T30" s="18">
        <f>IFERROR(VLOOKUP($A30,subQ,MATCH(T$1,SUBQH,0),0),"")</f>
        <v/>
      </c>
      <c r="U30" s="18">
        <f>IFERROR(VLOOKUP($A30,subQ,MATCH(U$1,SUBQH,0),0),"")</f>
        <v/>
      </c>
      <c r="V30" s="18">
        <f>IFERROR(VLOOKUP($A30,subQ,MATCH(V$1,SUBQH,0),0),"")</f>
        <v/>
      </c>
      <c r="W30" s="41">
        <f>IFERROR(VLOOKUP($A30,subQ,MATCH(W$1,SUBQH,0),0),"")</f>
        <v/>
      </c>
      <c r="X30" s="20">
        <f>IFERROR(VLOOKUP($A30,subQ,MATCH(X$1,SUBQH,0),0),"")</f>
        <v/>
      </c>
      <c r="Y30" s="20">
        <f>IFERROR(VLOOKUP($A30,subQ,MATCH(Y$1,SUBQH,0),0),"")</f>
        <v/>
      </c>
      <c r="Z30" s="20">
        <f>IFERROR(VLOOKUP($A30,subQ,MATCH(Z$1,SUBQH,0),0),"")</f>
        <v/>
      </c>
      <c r="AA30" s="20">
        <f>IFERROR(VLOOKUP($A30,subQ,MATCH(AA$1,SUBQH,0),0),"")</f>
        <v/>
      </c>
      <c r="AB30" s="20">
        <f>IFERROR(VLOOKUP($A30,subQ,MATCH(AB$1,SUBQH,0),0),"")</f>
        <v/>
      </c>
      <c r="AC30" s="20">
        <f>IFERROR(VLOOKUP($A30,subQ,MATCH(AC$1,SUBQH,0),0),"")</f>
        <v/>
      </c>
      <c r="AD30" s="20">
        <f>IFERROR(VLOOKUP($A30,subQ,MATCH(AD$1,SUBQH,0),0),"")</f>
        <v/>
      </c>
      <c r="AE30" s="20">
        <f>IFERROR(VLOOKUP($A30,subQ,MATCH(AE$1,SUBQH,0),0),"")</f>
        <v/>
      </c>
      <c r="AF30" s="20">
        <f>IFERROR(VLOOKUP($A30,subQ,MATCH(AF$1,SUBQH,0),0),"")</f>
        <v/>
      </c>
      <c r="AG30" s="20">
        <f>IFERROR(VLOOKUP($A30,subQ,MATCH(AG$1,SUBQH,0),0),"")</f>
        <v/>
      </c>
    </row>
    <row r="31">
      <c r="A31" s="12" t="inlineStr">
        <is>
          <t>매출전사</t>
        </is>
      </c>
      <c r="D31" t="inlineStr">
        <is>
          <t>매출 전사(부문 미분리)</t>
        </is>
      </c>
      <c r="E31" s="18">
        <f>IFERROR(VLOOKUP($A31,subQ,MATCH(E$1,SUBQH,0),0),"")</f>
        <v/>
      </c>
      <c r="F31" s="18">
        <f>IFERROR(VLOOKUP($A31,subQ,MATCH(F$1,SUBQH,0),0),"")</f>
        <v/>
      </c>
      <c r="G31" s="18">
        <f>IFERROR(VLOOKUP($A31,subQ,MATCH(G$1,SUBQH,0),0),"")</f>
        <v/>
      </c>
      <c r="H31" s="18">
        <f>IFERROR(VLOOKUP($A31,subQ,MATCH(H$1,SUBQH,0),0),"")</f>
        <v/>
      </c>
      <c r="I31" s="18">
        <f>IFERROR(VLOOKUP($A31,subQ,MATCH(I$1,SUBQH,0),0),"")</f>
        <v/>
      </c>
      <c r="J31" s="18">
        <f>IFERROR(VLOOKUP($A31,subQ,MATCH(J$1,SUBQH,0),0),"")</f>
        <v/>
      </c>
      <c r="K31" s="18">
        <f>IFERROR(VLOOKUP($A31,subQ,MATCH(K$1,SUBQH,0),0),"")</f>
        <v/>
      </c>
      <c r="L31" s="18">
        <f>IFERROR(VLOOKUP($A31,subQ,MATCH(L$1,SUBQH,0),0),"")</f>
        <v/>
      </c>
      <c r="M31" s="18">
        <f>IFERROR(VLOOKUP($A31,subQ,MATCH(M$1,SUBQH,0),0),"")</f>
        <v/>
      </c>
      <c r="N31" s="18">
        <f>IFERROR(VLOOKUP($A31,subQ,MATCH(N$1,SUBQH,0),0),"")</f>
        <v/>
      </c>
      <c r="O31" s="18">
        <f>IFERROR(VLOOKUP($A31,subQ,MATCH(O$1,SUBQH,0),0),"")</f>
        <v/>
      </c>
      <c r="P31" s="18">
        <f>IFERROR(VLOOKUP($A31,subQ,MATCH(P$1,SUBQH,0),0),"")</f>
        <v/>
      </c>
      <c r="Q31" s="18">
        <f>IFERROR(VLOOKUP($A31,subQ,MATCH(Q$1,SUBQH,0),0),"")</f>
        <v/>
      </c>
      <c r="R31" s="18">
        <f>IFERROR(VLOOKUP($A31,subQ,MATCH(R$1,SUBQH,0),0),"")</f>
        <v/>
      </c>
      <c r="S31" s="18">
        <f>IFERROR(VLOOKUP($A31,subQ,MATCH(S$1,SUBQH,0),0),"")</f>
        <v/>
      </c>
      <c r="T31" s="18">
        <f>IFERROR(VLOOKUP($A31,subQ,MATCH(T$1,SUBQH,0),0),"")</f>
        <v/>
      </c>
      <c r="U31" s="18">
        <f>IFERROR(VLOOKUP($A31,subQ,MATCH(U$1,SUBQH,0),0),"")</f>
        <v/>
      </c>
      <c r="V31" s="18">
        <f>IFERROR(VLOOKUP($A31,subQ,MATCH(V$1,SUBQH,0),0),"")</f>
        <v/>
      </c>
      <c r="W31" s="41">
        <f>IFERROR(VLOOKUP($A31,subQ,MATCH(W$1,SUBQH,0),0),"")</f>
        <v/>
      </c>
      <c r="X31" s="20">
        <f>IFERROR(VLOOKUP($A31,subQ,MATCH(X$1,SUBQH,0),0),"")</f>
        <v/>
      </c>
      <c r="Y31" s="20">
        <f>IFERROR(VLOOKUP($A31,subQ,MATCH(Y$1,SUBQH,0),0),"")</f>
        <v/>
      </c>
      <c r="Z31" s="20">
        <f>IFERROR(VLOOKUP($A31,subQ,MATCH(Z$1,SUBQH,0),0),"")</f>
        <v/>
      </c>
      <c r="AA31" s="20">
        <f>IFERROR(VLOOKUP($A31,subQ,MATCH(AA$1,SUBQH,0),0),"")</f>
        <v/>
      </c>
      <c r="AB31" s="20">
        <f>IFERROR(VLOOKUP($A31,subQ,MATCH(AB$1,SUBQH,0),0),"")</f>
        <v/>
      </c>
      <c r="AC31" s="20">
        <f>IFERROR(VLOOKUP($A31,subQ,MATCH(AC$1,SUBQH,0),0),"")</f>
        <v/>
      </c>
      <c r="AD31" s="20">
        <f>IFERROR(VLOOKUP($A31,subQ,MATCH(AD$1,SUBQH,0),0),"")</f>
        <v/>
      </c>
      <c r="AE31" s="20">
        <f>IFERROR(VLOOKUP($A31,subQ,MATCH(AE$1,SUBQH,0),0),"")</f>
        <v/>
      </c>
      <c r="AF31" s="20">
        <f>IFERROR(VLOOKUP($A31,subQ,MATCH(AF$1,SUBQH,0),0),"")</f>
        <v/>
      </c>
      <c r="AG31" s="20">
        <f>IFERROR(VLOOKUP($A31,subQ,MATCH(AG$1,SUBQH,0),0),"")</f>
        <v/>
      </c>
    </row>
    <row r="32">
      <c r="A32" s="12" t="inlineStr">
        <is>
          <t>OP전사</t>
        </is>
      </c>
      <c r="D32" t="inlineStr">
        <is>
          <t>OP 전사(부문 미분리)</t>
        </is>
      </c>
      <c r="E32" s="18">
        <f>IFERROR(VLOOKUP($A32,subQ,MATCH(E$1,SUBQH,0),0),"")</f>
        <v/>
      </c>
      <c r="F32" s="18">
        <f>IFERROR(VLOOKUP($A32,subQ,MATCH(F$1,SUBQH,0),0),"")</f>
        <v/>
      </c>
      <c r="G32" s="18">
        <f>IFERROR(VLOOKUP($A32,subQ,MATCH(G$1,SUBQH,0),0),"")</f>
        <v/>
      </c>
      <c r="H32" s="18">
        <f>IFERROR(VLOOKUP($A32,subQ,MATCH(H$1,SUBQH,0),0),"")</f>
        <v/>
      </c>
      <c r="I32" s="18">
        <f>IFERROR(VLOOKUP($A32,subQ,MATCH(I$1,SUBQH,0),0),"")</f>
        <v/>
      </c>
      <c r="J32" s="18">
        <f>IFERROR(VLOOKUP($A32,subQ,MATCH(J$1,SUBQH,0),0),"")</f>
        <v/>
      </c>
      <c r="K32" s="18">
        <f>IFERROR(VLOOKUP($A32,subQ,MATCH(K$1,SUBQH,0),0),"")</f>
        <v/>
      </c>
      <c r="L32" s="18">
        <f>IFERROR(VLOOKUP($A32,subQ,MATCH(L$1,SUBQH,0),0),"")</f>
        <v/>
      </c>
      <c r="M32" s="18">
        <f>IFERROR(VLOOKUP($A32,subQ,MATCH(M$1,SUBQH,0),0),"")</f>
        <v/>
      </c>
      <c r="N32" s="18">
        <f>IFERROR(VLOOKUP($A32,subQ,MATCH(N$1,SUBQH,0),0),"")</f>
        <v/>
      </c>
      <c r="O32" s="18">
        <f>IFERROR(VLOOKUP($A32,subQ,MATCH(O$1,SUBQH,0),0),"")</f>
        <v/>
      </c>
      <c r="P32" s="18">
        <f>IFERROR(VLOOKUP($A32,subQ,MATCH(P$1,SUBQH,0),0),"")</f>
        <v/>
      </c>
      <c r="Q32" s="18">
        <f>IFERROR(VLOOKUP($A32,subQ,MATCH(Q$1,SUBQH,0),0),"")</f>
        <v/>
      </c>
      <c r="R32" s="18">
        <f>IFERROR(VLOOKUP($A32,subQ,MATCH(R$1,SUBQH,0),0),"")</f>
        <v/>
      </c>
      <c r="S32" s="18">
        <f>IFERROR(VLOOKUP($A32,subQ,MATCH(S$1,SUBQH,0),0),"")</f>
        <v/>
      </c>
      <c r="T32" s="18">
        <f>IFERROR(VLOOKUP($A32,subQ,MATCH(T$1,SUBQH,0),0),"")</f>
        <v/>
      </c>
      <c r="U32" s="18">
        <f>IFERROR(VLOOKUP($A32,subQ,MATCH(U$1,SUBQH,0),0),"")</f>
        <v/>
      </c>
      <c r="V32" s="18">
        <f>IFERROR(VLOOKUP($A32,subQ,MATCH(V$1,SUBQH,0),0),"")</f>
        <v/>
      </c>
      <c r="W32" s="41">
        <f>IFERROR(VLOOKUP($A32,subQ,MATCH(W$1,SUBQH,0),0),"")</f>
        <v/>
      </c>
      <c r="X32" s="20">
        <f>IFERROR(VLOOKUP($A32,subQ,MATCH(X$1,SUBQH,0),0),"")</f>
        <v/>
      </c>
      <c r="Y32" s="20">
        <f>IFERROR(VLOOKUP($A32,subQ,MATCH(Y$1,SUBQH,0),0),"")</f>
        <v/>
      </c>
      <c r="Z32" s="20">
        <f>IFERROR(VLOOKUP($A32,subQ,MATCH(Z$1,SUBQH,0),0),"")</f>
        <v/>
      </c>
      <c r="AA32" s="20">
        <f>IFERROR(VLOOKUP($A32,subQ,MATCH(AA$1,SUBQH,0),0),"")</f>
        <v/>
      </c>
      <c r="AB32" s="20">
        <f>IFERROR(VLOOKUP($A32,subQ,MATCH(AB$1,SUBQH,0),0),"")</f>
        <v/>
      </c>
      <c r="AC32" s="20">
        <f>IFERROR(VLOOKUP($A32,subQ,MATCH(AC$1,SUBQH,0),0),"")</f>
        <v/>
      </c>
      <c r="AD32" s="20">
        <f>IFERROR(VLOOKUP($A32,subQ,MATCH(AD$1,SUBQH,0),0),"")</f>
        <v/>
      </c>
      <c r="AE32" s="20">
        <f>IFERROR(VLOOKUP($A32,subQ,MATCH(AE$1,SUBQH,0),0),"")</f>
        <v/>
      </c>
      <c r="AF32" s="20">
        <f>IFERROR(VLOOKUP($A32,subQ,MATCH(AF$1,SUBQH,0),0),"")</f>
        <v/>
      </c>
      <c r="AG32" s="20">
        <f>IFERROR(VLOOKUP($A32,subQ,MATCH(AG$1,SUBQH,0),0),"")</f>
        <v/>
      </c>
    </row>
    <row r="33">
      <c r="A33" s="12" t="inlineStr">
        <is>
          <t>OPM</t>
        </is>
      </c>
      <c r="D33" t="inlineStr">
        <is>
          <t>영업이익률</t>
        </is>
      </c>
      <c r="E33" s="21">
        <f>IFERROR(VLOOKUP($A33,subQ,MATCH(E$1,SUBQH,0),0),"")</f>
        <v/>
      </c>
      <c r="F33" s="21">
        <f>IFERROR(VLOOKUP($A33,subQ,MATCH(F$1,SUBQH,0),0),"")</f>
        <v/>
      </c>
      <c r="G33" s="21">
        <f>IFERROR(VLOOKUP($A33,subQ,MATCH(G$1,SUBQH,0),0),"")</f>
        <v/>
      </c>
      <c r="H33" s="21">
        <f>IFERROR(VLOOKUP($A33,subQ,MATCH(H$1,SUBQH,0),0),"")</f>
        <v/>
      </c>
      <c r="I33" s="21">
        <f>IFERROR(VLOOKUP($A33,subQ,MATCH(I$1,SUBQH,0),0),"")</f>
        <v/>
      </c>
      <c r="J33" s="21">
        <f>IFERROR(VLOOKUP($A33,subQ,MATCH(J$1,SUBQH,0),0),"")</f>
        <v/>
      </c>
      <c r="K33" s="21">
        <f>IFERROR(VLOOKUP($A33,subQ,MATCH(K$1,SUBQH,0),0),"")</f>
        <v/>
      </c>
      <c r="L33" s="21">
        <f>IFERROR(VLOOKUP($A33,subQ,MATCH(L$1,SUBQH,0),0),"")</f>
        <v/>
      </c>
      <c r="M33" s="21">
        <f>IFERROR(VLOOKUP($A33,subQ,MATCH(M$1,SUBQH,0),0),"")</f>
        <v/>
      </c>
      <c r="N33" s="21">
        <f>IFERROR(VLOOKUP($A33,subQ,MATCH(N$1,SUBQH,0),0),"")</f>
        <v/>
      </c>
      <c r="O33" s="21">
        <f>IFERROR(VLOOKUP($A33,subQ,MATCH(O$1,SUBQH,0),0),"")</f>
        <v/>
      </c>
      <c r="P33" s="21">
        <f>IFERROR(VLOOKUP($A33,subQ,MATCH(P$1,SUBQH,0),0),"")</f>
        <v/>
      </c>
      <c r="Q33" s="21">
        <f>IFERROR(VLOOKUP($A33,subQ,MATCH(Q$1,SUBQH,0),0),"")</f>
        <v/>
      </c>
      <c r="R33" s="21">
        <f>IFERROR(VLOOKUP($A33,subQ,MATCH(R$1,SUBQH,0),0),"")</f>
        <v/>
      </c>
      <c r="S33" s="21">
        <f>IFERROR(VLOOKUP($A33,subQ,MATCH(S$1,SUBQH,0),0),"")</f>
        <v/>
      </c>
      <c r="T33" s="21">
        <f>IFERROR(VLOOKUP($A33,subQ,MATCH(T$1,SUBQH,0),0),"")</f>
        <v/>
      </c>
      <c r="U33" s="21">
        <f>IFERROR(VLOOKUP($A33,subQ,MATCH(U$1,SUBQH,0),0),"")</f>
        <v/>
      </c>
      <c r="V33" s="21">
        <f>IFERROR(VLOOKUP($A33,subQ,MATCH(V$1,SUBQH,0),0),"")</f>
        <v/>
      </c>
      <c r="W33" s="42">
        <f>IFERROR(VLOOKUP($A33,subQ,MATCH(W$1,SUBQH,0),0),"")</f>
        <v/>
      </c>
      <c r="X33" s="31">
        <f>IFERROR(VLOOKUP($A33,subQ,MATCH(X$1,SUBQH,0),0),"")</f>
        <v/>
      </c>
      <c r="Y33" s="31">
        <f>IFERROR(VLOOKUP($A33,subQ,MATCH(Y$1,SUBQH,0),0),"")</f>
        <v/>
      </c>
      <c r="Z33" s="31">
        <f>IFERROR(VLOOKUP($A33,subQ,MATCH(Z$1,SUBQH,0),0),"")</f>
        <v/>
      </c>
      <c r="AA33" s="31">
        <f>IFERROR(VLOOKUP($A33,subQ,MATCH(AA$1,SUBQH,0),0),"")</f>
        <v/>
      </c>
      <c r="AB33" s="31">
        <f>IFERROR(VLOOKUP($A33,subQ,MATCH(AB$1,SUBQH,0),0),"")</f>
        <v/>
      </c>
      <c r="AC33" s="31">
        <f>IFERROR(VLOOKUP($A33,subQ,MATCH(AC$1,SUBQH,0),0),"")</f>
        <v/>
      </c>
      <c r="AD33" s="31">
        <f>IFERROR(VLOOKUP($A33,subQ,MATCH(AD$1,SUBQH,0),0),"")</f>
        <v/>
      </c>
      <c r="AE33" s="31">
        <f>IFERROR(VLOOKUP($A33,subQ,MATCH(AE$1,SUBQH,0),0),"")</f>
        <v/>
      </c>
      <c r="AF33" s="31">
        <f>IFERROR(VLOOKUP($A33,subQ,MATCH(AF$1,SUBQH,0),0),"")</f>
        <v/>
      </c>
      <c r="AG33" s="31">
        <f>IFERROR(VLOOKUP($A33,subQ,MATCH(AG$1,SUBQH,0),0),"")</f>
        <v/>
      </c>
    </row>
    <row r="34">
      <c r="A34" s="12" t="inlineStr">
        <is>
          <t>NPM</t>
        </is>
      </c>
      <c r="D34" t="inlineStr">
        <is>
          <t>NPM</t>
        </is>
      </c>
      <c r="E34" s="21">
        <f>IFERROR(VLOOKUP($A34,subQ,MATCH(E$1,SUBQH,0),0),"")</f>
        <v/>
      </c>
      <c r="F34" s="21">
        <f>IFERROR(VLOOKUP($A34,subQ,MATCH(F$1,SUBQH,0),0),"")</f>
        <v/>
      </c>
      <c r="G34" s="21">
        <f>IFERROR(VLOOKUP($A34,subQ,MATCH(G$1,SUBQH,0),0),"")</f>
        <v/>
      </c>
      <c r="H34" s="21">
        <f>IFERROR(VLOOKUP($A34,subQ,MATCH(H$1,SUBQH,0),0),"")</f>
        <v/>
      </c>
      <c r="I34" s="21">
        <f>IFERROR(VLOOKUP($A34,subQ,MATCH(I$1,SUBQH,0),0),"")</f>
        <v/>
      </c>
      <c r="J34" s="21">
        <f>IFERROR(VLOOKUP($A34,subQ,MATCH(J$1,SUBQH,0),0),"")</f>
        <v/>
      </c>
      <c r="K34" s="21">
        <f>IFERROR(VLOOKUP($A34,subQ,MATCH(K$1,SUBQH,0),0),"")</f>
        <v/>
      </c>
      <c r="L34" s="21">
        <f>IFERROR(VLOOKUP($A34,subQ,MATCH(L$1,SUBQH,0),0),"")</f>
        <v/>
      </c>
      <c r="M34" s="21">
        <f>IFERROR(VLOOKUP($A34,subQ,MATCH(M$1,SUBQH,0),0),"")</f>
        <v/>
      </c>
      <c r="N34" s="21">
        <f>IFERROR(VLOOKUP($A34,subQ,MATCH(N$1,SUBQH,0),0),"")</f>
        <v/>
      </c>
      <c r="O34" s="21">
        <f>IFERROR(VLOOKUP($A34,subQ,MATCH(O$1,SUBQH,0),0),"")</f>
        <v/>
      </c>
      <c r="P34" s="21">
        <f>IFERROR(VLOOKUP($A34,subQ,MATCH(P$1,SUBQH,0),0),"")</f>
        <v/>
      </c>
      <c r="Q34" s="21">
        <f>IFERROR(VLOOKUP($A34,subQ,MATCH(Q$1,SUBQH,0),0),"")</f>
        <v/>
      </c>
      <c r="R34" s="21">
        <f>IFERROR(VLOOKUP($A34,subQ,MATCH(R$1,SUBQH,0),0),"")</f>
        <v/>
      </c>
      <c r="S34" s="21">
        <f>IFERROR(VLOOKUP($A34,subQ,MATCH(S$1,SUBQH,0),0),"")</f>
        <v/>
      </c>
      <c r="T34" s="21">
        <f>IFERROR(VLOOKUP($A34,subQ,MATCH(T$1,SUBQH,0),0),"")</f>
        <v/>
      </c>
      <c r="U34" s="21">
        <f>IFERROR(VLOOKUP($A34,subQ,MATCH(U$1,SUBQH,0),0),"")</f>
        <v/>
      </c>
      <c r="V34" s="21">
        <f>IFERROR(VLOOKUP($A34,subQ,MATCH(V$1,SUBQH,0),0),"")</f>
        <v/>
      </c>
      <c r="W34" s="42">
        <f>IFERROR(VLOOKUP($A34,subQ,MATCH(W$1,SUBQH,0),0),"")</f>
        <v/>
      </c>
      <c r="X34" s="31">
        <f>IFERROR(VLOOKUP($A34,subQ,MATCH(X$1,SUBQH,0),0),"")</f>
        <v/>
      </c>
      <c r="Y34" s="31">
        <f>IFERROR(VLOOKUP($A34,subQ,MATCH(Y$1,SUBQH,0),0),"")</f>
        <v/>
      </c>
      <c r="Z34" s="31">
        <f>IFERROR(VLOOKUP($A34,subQ,MATCH(Z$1,SUBQH,0),0),"")</f>
        <v/>
      </c>
      <c r="AA34" s="31">
        <f>IFERROR(VLOOKUP($A34,subQ,MATCH(AA$1,SUBQH,0),0),"")</f>
        <v/>
      </c>
      <c r="AB34" s="31">
        <f>IFERROR(VLOOKUP($A34,subQ,MATCH(AB$1,SUBQH,0),0),"")</f>
        <v/>
      </c>
      <c r="AC34" s="31">
        <f>IFERROR(VLOOKUP($A34,subQ,MATCH(AC$1,SUBQH,0),0),"")</f>
        <v/>
      </c>
      <c r="AD34" s="31">
        <f>IFERROR(VLOOKUP($A34,subQ,MATCH(AD$1,SUBQH,0),0),"")</f>
        <v/>
      </c>
      <c r="AE34" s="31">
        <f>IFERROR(VLOOKUP($A34,subQ,MATCH(AE$1,SUBQH,0),0),"")</f>
        <v/>
      </c>
      <c r="AF34" s="31">
        <f>IFERROR(VLOOKUP($A34,subQ,MATCH(AF$1,SUBQH,0),0),"")</f>
        <v/>
      </c>
      <c r="AG34" s="31">
        <f>IFERROR(VLOOKUP($A34,subQ,MATCH(AG$1,SUBQH,0),0),"")</f>
        <v/>
      </c>
    </row>
    <row r="35">
      <c r="A35" s="12" t="inlineStr">
        <is>
          <t>매출액 YoY</t>
        </is>
      </c>
      <c r="D35" t="inlineStr">
        <is>
          <t>매출액 YoY</t>
        </is>
      </c>
      <c r="I35" s="21">
        <f>IFERROR(I5/E5-1,"")</f>
        <v/>
      </c>
      <c r="J35" s="21">
        <f>IFERROR(J5/F5-1,"")</f>
        <v/>
      </c>
      <c r="K35" s="21">
        <f>IFERROR(K5/G5-1,"")</f>
        <v/>
      </c>
      <c r="L35" s="21">
        <f>IFERROR(L5/H5-1,"")</f>
        <v/>
      </c>
      <c r="M35" s="21">
        <f>IFERROR(M5/I5-1,"")</f>
        <v/>
      </c>
      <c r="N35" s="21">
        <f>IFERROR(N5/J5-1,"")</f>
        <v/>
      </c>
      <c r="O35" s="21">
        <f>IFERROR(O5/K5-1,"")</f>
        <v/>
      </c>
      <c r="P35" s="21">
        <f>IFERROR(P5/L5-1,"")</f>
        <v/>
      </c>
      <c r="Q35" s="21">
        <f>IFERROR(Q5/M5-1,"")</f>
        <v/>
      </c>
      <c r="R35" s="21">
        <f>IFERROR(R5/N5-1,"")</f>
        <v/>
      </c>
      <c r="S35" s="21">
        <f>IFERROR(S5/O5-1,"")</f>
        <v/>
      </c>
      <c r="T35" s="21">
        <f>IFERROR(T5/P5-1,"")</f>
        <v/>
      </c>
      <c r="U35" s="21">
        <f>IFERROR(U5/Q5-1,"")</f>
        <v/>
      </c>
      <c r="V35" s="21">
        <f>IFERROR(V5/R5-1,"")</f>
        <v/>
      </c>
      <c r="W35" s="42">
        <f>IFERROR(W5/S5-1,"")</f>
        <v/>
      </c>
      <c r="X35" s="31">
        <f>IFERROR(X5/T5-1,"")</f>
        <v/>
      </c>
      <c r="Y35" s="31">
        <f>IFERROR(Y5/U5-1,"")</f>
        <v/>
      </c>
      <c r="Z35" s="31">
        <f>IFERROR(Z5/V5-1,"")</f>
        <v/>
      </c>
      <c r="AA35" s="31">
        <f>IFERROR(AA5/W5-1,"")</f>
        <v/>
      </c>
      <c r="AB35" s="31">
        <f>IFERROR(AB5/X5-1,"")</f>
        <v/>
      </c>
      <c r="AC35" s="31">
        <f>IFERROR(AC5/Y5-1,"")</f>
        <v/>
      </c>
      <c r="AD35" s="31">
        <f>IFERROR(AD5/Z5-1,"")</f>
        <v/>
      </c>
      <c r="AE35" s="31">
        <f>IFERROR(AE5/AA5-1,"")</f>
        <v/>
      </c>
      <c r="AF35" s="31">
        <f>IFERROR(AF5/AB5-1,"")</f>
        <v/>
      </c>
      <c r="AG35" s="31">
        <f>IFERROR(AG5/AC5-1,"")</f>
        <v/>
      </c>
    </row>
    <row r="36">
      <c r="A36" s="12" t="inlineStr">
        <is>
          <t>영업이익 YoY</t>
        </is>
      </c>
      <c r="D36" t="inlineStr">
        <is>
          <t>영업이익 YoY</t>
        </is>
      </c>
      <c r="I36" s="21">
        <f>IFERROR(I9/E9-1,"")</f>
        <v/>
      </c>
      <c r="J36" s="21">
        <f>IFERROR(J9/F9-1,"")</f>
        <v/>
      </c>
      <c r="K36" s="21">
        <f>IFERROR(K9/G9-1,"")</f>
        <v/>
      </c>
      <c r="L36" s="21">
        <f>IFERROR(L9/H9-1,"")</f>
        <v/>
      </c>
      <c r="M36" s="21">
        <f>IFERROR(M9/I9-1,"")</f>
        <v/>
      </c>
      <c r="N36" s="21">
        <f>IFERROR(N9/J9-1,"")</f>
        <v/>
      </c>
      <c r="O36" s="21">
        <f>IFERROR(O9/K9-1,"")</f>
        <v/>
      </c>
      <c r="P36" s="21">
        <f>IFERROR(P9/L9-1,"")</f>
        <v/>
      </c>
      <c r="Q36" s="21">
        <f>IFERROR(Q9/M9-1,"")</f>
        <v/>
      </c>
      <c r="R36" s="21">
        <f>IFERROR(R9/N9-1,"")</f>
        <v/>
      </c>
      <c r="S36" s="21">
        <f>IFERROR(S9/O9-1,"")</f>
        <v/>
      </c>
      <c r="T36" s="21">
        <f>IFERROR(T9/P9-1,"")</f>
        <v/>
      </c>
      <c r="U36" s="21">
        <f>IFERROR(U9/Q9-1,"")</f>
        <v/>
      </c>
      <c r="V36" s="21">
        <f>IFERROR(V9/R9-1,"")</f>
        <v/>
      </c>
      <c r="W36" s="42">
        <f>IFERROR(W9/S9-1,"")</f>
        <v/>
      </c>
      <c r="X36" s="31">
        <f>IFERROR(X9/T9-1,"")</f>
        <v/>
      </c>
      <c r="Y36" s="31">
        <f>IFERROR(Y9/U9-1,"")</f>
        <v/>
      </c>
      <c r="Z36" s="31">
        <f>IFERROR(Z9/V9-1,"")</f>
        <v/>
      </c>
      <c r="AA36" s="31">
        <f>IFERROR(AA9/W9-1,"")</f>
        <v/>
      </c>
      <c r="AB36" s="31">
        <f>IFERROR(AB9/X9-1,"")</f>
        <v/>
      </c>
      <c r="AC36" s="31">
        <f>IFERROR(AC9/Y9-1,"")</f>
        <v/>
      </c>
      <c r="AD36" s="31">
        <f>IFERROR(AD9/Z9-1,"")</f>
        <v/>
      </c>
      <c r="AE36" s="31">
        <f>IFERROR(AE9/AA9-1,"")</f>
        <v/>
      </c>
      <c r="AF36" s="31">
        <f>IFERROR(AF9/AB9-1,"")</f>
        <v/>
      </c>
      <c r="AG36" s="31">
        <f>IFERROR(AG9/AC9-1,"")</f>
        <v/>
      </c>
    </row>
    <row r="37">
      <c r="A37" s="12" t="inlineStr">
        <is>
          <t>지배주주순이익 YoY</t>
        </is>
      </c>
      <c r="D37" t="inlineStr">
        <is>
          <t>지배주주순이익 YoY</t>
        </is>
      </c>
      <c r="I37" s="21">
        <f>IFERROR(I16/E16-1,"")</f>
        <v/>
      </c>
      <c r="J37" s="21">
        <f>IFERROR(J16/F16-1,"")</f>
        <v/>
      </c>
      <c r="K37" s="21">
        <f>IFERROR(K16/G16-1,"")</f>
        <v/>
      </c>
      <c r="L37" s="21">
        <f>IFERROR(L16/H16-1,"")</f>
        <v/>
      </c>
      <c r="M37" s="21">
        <f>IFERROR(M16/I16-1,"")</f>
        <v/>
      </c>
      <c r="N37" s="21">
        <f>IFERROR(N16/J16-1,"")</f>
        <v/>
      </c>
      <c r="O37" s="21">
        <f>IFERROR(O16/K16-1,"")</f>
        <v/>
      </c>
      <c r="P37" s="21">
        <f>IFERROR(P16/L16-1,"")</f>
        <v/>
      </c>
      <c r="Q37" s="21">
        <f>IFERROR(Q16/M16-1,"")</f>
        <v/>
      </c>
      <c r="R37" s="21">
        <f>IFERROR(R16/N16-1,"")</f>
        <v/>
      </c>
      <c r="S37" s="21">
        <f>IFERROR(S16/O16-1,"")</f>
        <v/>
      </c>
      <c r="T37" s="21">
        <f>IFERROR(T16/P16-1,"")</f>
        <v/>
      </c>
      <c r="U37" s="21">
        <f>IFERROR(U16/Q16-1,"")</f>
        <v/>
      </c>
      <c r="V37" s="21">
        <f>IFERROR(V16/R16-1,"")</f>
        <v/>
      </c>
      <c r="W37" s="42">
        <f>IFERROR(W16/S16-1,"")</f>
        <v/>
      </c>
      <c r="X37" s="31">
        <f>IFERROR(X16/T16-1,"")</f>
        <v/>
      </c>
      <c r="Y37" s="31">
        <f>IFERROR(Y16/U16-1,"")</f>
        <v/>
      </c>
      <c r="Z37" s="31">
        <f>IFERROR(Z16/V16-1,"")</f>
        <v/>
      </c>
      <c r="AA37" s="31">
        <f>IFERROR(AA16/W16-1,"")</f>
        <v/>
      </c>
      <c r="AB37" s="31">
        <f>IFERROR(AB16/X16-1,"")</f>
        <v/>
      </c>
      <c r="AC37" s="31">
        <f>IFERROR(AC16/Y16-1,"")</f>
        <v/>
      </c>
      <c r="AD37" s="31">
        <f>IFERROR(AD16/Z16-1,"")</f>
        <v/>
      </c>
      <c r="AE37" s="31">
        <f>IFERROR(AE16/AA16-1,"")</f>
        <v/>
      </c>
      <c r="AF37" s="31">
        <f>IFERROR(AF16/AB16-1,"")</f>
        <v/>
      </c>
      <c r="AG37" s="31">
        <f>IFERROR(AG16/AC16-1,"")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37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</cols>
  <sheetData>
    <row r="1">
      <c r="C1" s="2" t="inlineStr">
        <is>
          <t>이름: 연간예상H — subQ 를 이름으로 VLOOKUP(억원)</t>
        </is>
      </c>
      <c r="E1" s="3" t="n">
        <v>2021</v>
      </c>
      <c r="F1" s="3" t="n">
        <v>2022</v>
      </c>
      <c r="G1" s="3" t="n">
        <v>2023</v>
      </c>
      <c r="H1" s="3" t="n">
        <v>2024</v>
      </c>
      <c r="I1" s="37" t="n">
        <v>2025</v>
      </c>
      <c r="J1" s="3" t="n">
        <v>2026</v>
      </c>
      <c r="K1" s="3" t="n">
        <v>2027</v>
      </c>
      <c r="L1" s="3" t="n">
        <v>2028</v>
      </c>
    </row>
    <row r="2">
      <c r="C2" t="inlineStr">
        <is>
          <t>종가:</t>
        </is>
      </c>
      <c r="D2" s="18">
        <f>변수!D44</f>
        <v/>
      </c>
      <c r="I2" s="38" t="n"/>
    </row>
    <row r="3">
      <c r="C3" t="inlineStr">
        <is>
          <t>기준일:</t>
        </is>
      </c>
      <c r="D3" t="inlineStr">
        <is>
          <t>20260929</t>
        </is>
      </c>
      <c r="E3" s="2" t="n">
        <v>1</v>
      </c>
      <c r="F3" s="2" t="n">
        <v>2</v>
      </c>
      <c r="G3" s="2" t="n">
        <v>3</v>
      </c>
      <c r="H3" s="2" t="n">
        <v>4</v>
      </c>
      <c r="I3" s="39" t="n">
        <v>5</v>
      </c>
      <c r="J3" s="2" t="n">
        <v>6</v>
      </c>
      <c r="K3" s="2" t="n">
        <v>7</v>
      </c>
      <c r="L3" s="2" t="n">
        <v>8</v>
      </c>
    </row>
    <row r="4">
      <c r="E4" s="7" t="inlineStr">
        <is>
          <t>2021.12A</t>
        </is>
      </c>
      <c r="F4" s="7" t="inlineStr">
        <is>
          <t>2022.12A</t>
        </is>
      </c>
      <c r="G4" s="7" t="inlineStr">
        <is>
          <t>2023.12A</t>
        </is>
      </c>
      <c r="H4" s="7" t="inlineStr">
        <is>
          <t>2024.12A</t>
        </is>
      </c>
      <c r="I4" s="40" t="inlineStr">
        <is>
          <t>2025.12A</t>
        </is>
      </c>
      <c r="J4" s="7" t="inlineStr">
        <is>
          <t>2026.12A</t>
        </is>
      </c>
      <c r="K4" s="7" t="inlineStr">
        <is>
          <t>2027.12A</t>
        </is>
      </c>
      <c r="L4" s="7" t="inlineStr">
        <is>
          <t>2028.12A</t>
        </is>
      </c>
    </row>
    <row r="5">
      <c r="A5" s="12" t="inlineStr">
        <is>
          <t>매출액</t>
        </is>
      </c>
      <c r="D5" t="inlineStr">
        <is>
          <t>매출액</t>
        </is>
      </c>
      <c r="E5" s="18">
        <f>IFERROR(VLOOKUP($A5,subQ,MATCH(E$1,SUBQH,0),0),"")</f>
        <v/>
      </c>
      <c r="F5" s="18">
        <f>IFERROR(VLOOKUP($A5,subQ,MATCH(F$1,SUBQH,0),0),"")</f>
        <v/>
      </c>
      <c r="G5" s="18">
        <f>IFERROR(VLOOKUP($A5,subQ,MATCH(G$1,SUBQH,0),0),"")</f>
        <v/>
      </c>
      <c r="H5" s="18">
        <f>IFERROR(VLOOKUP($A5,subQ,MATCH(H$1,SUBQH,0),0),"")</f>
        <v/>
      </c>
      <c r="I5" s="41">
        <f>IFERROR(VLOOKUP($A5,subQ,MATCH(I$1,SUBQH,0),0),"")</f>
        <v/>
      </c>
      <c r="J5" s="20">
        <f>IFERROR(VLOOKUP($A5,subQ,MATCH(J$1,SUBQH,0),0),"")</f>
        <v/>
      </c>
      <c r="K5" s="20">
        <f>IFERROR(VLOOKUP($A5,subQ,MATCH(K$1,SUBQH,0),0),"")</f>
        <v/>
      </c>
      <c r="L5" s="20">
        <f>IFERROR(VLOOKUP($A5,subQ,MATCH(L$1,SUBQH,0),0),"")</f>
        <v/>
      </c>
    </row>
    <row r="6">
      <c r="A6" s="12" t="inlineStr">
        <is>
          <t>매출원가</t>
        </is>
      </c>
      <c r="D6" t="inlineStr">
        <is>
          <t>매출원가</t>
        </is>
      </c>
      <c r="E6" s="18">
        <f>IFERROR(VLOOKUP($A6,subQ,MATCH(E$1,SUBQH,0),0),"")</f>
        <v/>
      </c>
      <c r="F6" s="18">
        <f>IFERROR(VLOOKUP($A6,subQ,MATCH(F$1,SUBQH,0),0),"")</f>
        <v/>
      </c>
      <c r="G6" s="18">
        <f>IFERROR(VLOOKUP($A6,subQ,MATCH(G$1,SUBQH,0),0),"")</f>
        <v/>
      </c>
      <c r="H6" s="18">
        <f>IFERROR(VLOOKUP($A6,subQ,MATCH(H$1,SUBQH,0),0),"")</f>
        <v/>
      </c>
      <c r="I6" s="41">
        <f>IFERROR(VLOOKUP($A6,subQ,MATCH(I$1,SUBQH,0),0),"")</f>
        <v/>
      </c>
      <c r="J6" s="20">
        <f>IFERROR(VLOOKUP($A6,subQ,MATCH(J$1,SUBQH,0),0),"")</f>
        <v/>
      </c>
      <c r="K6" s="20">
        <f>IFERROR(VLOOKUP($A6,subQ,MATCH(K$1,SUBQH,0),0),"")</f>
        <v/>
      </c>
      <c r="L6" s="20">
        <f>IFERROR(VLOOKUP($A6,subQ,MATCH(L$1,SUBQH,0),0),"")</f>
        <v/>
      </c>
    </row>
    <row r="7">
      <c r="A7" s="12" t="inlineStr">
        <is>
          <t>매출총이익</t>
        </is>
      </c>
      <c r="D7" t="inlineStr">
        <is>
          <t>매출총이익</t>
        </is>
      </c>
      <c r="E7" s="18">
        <f>IFERROR(VLOOKUP($A7,subQ,MATCH(E$1,SUBQH,0),0),"")</f>
        <v/>
      </c>
      <c r="F7" s="18">
        <f>IFERROR(VLOOKUP($A7,subQ,MATCH(F$1,SUBQH,0),0),"")</f>
        <v/>
      </c>
      <c r="G7" s="18">
        <f>IFERROR(VLOOKUP($A7,subQ,MATCH(G$1,SUBQH,0),0),"")</f>
        <v/>
      </c>
      <c r="H7" s="18">
        <f>IFERROR(VLOOKUP($A7,subQ,MATCH(H$1,SUBQH,0),0),"")</f>
        <v/>
      </c>
      <c r="I7" s="41">
        <f>IFERROR(VLOOKUP($A7,subQ,MATCH(I$1,SUBQH,0),0),"")</f>
        <v/>
      </c>
      <c r="J7" s="20">
        <f>IFERROR(VLOOKUP($A7,subQ,MATCH(J$1,SUBQH,0),0),"")</f>
        <v/>
      </c>
      <c r="K7" s="20">
        <f>IFERROR(VLOOKUP($A7,subQ,MATCH(K$1,SUBQH,0),0),"")</f>
        <v/>
      </c>
      <c r="L7" s="20">
        <f>IFERROR(VLOOKUP($A7,subQ,MATCH(L$1,SUBQH,0),0),"")</f>
        <v/>
      </c>
    </row>
    <row r="8">
      <c r="A8" s="12" t="inlineStr">
        <is>
          <t>판관비</t>
        </is>
      </c>
      <c r="D8" t="inlineStr">
        <is>
          <t>판매비와관리비</t>
        </is>
      </c>
      <c r="E8" s="18">
        <f>IFERROR(VLOOKUP($A8,subQ,MATCH(E$1,SUBQH,0),0),"")</f>
        <v/>
      </c>
      <c r="F8" s="18">
        <f>IFERROR(VLOOKUP($A8,subQ,MATCH(F$1,SUBQH,0),0),"")</f>
        <v/>
      </c>
      <c r="G8" s="18">
        <f>IFERROR(VLOOKUP($A8,subQ,MATCH(G$1,SUBQH,0),0),"")</f>
        <v/>
      </c>
      <c r="H8" s="18">
        <f>IFERROR(VLOOKUP($A8,subQ,MATCH(H$1,SUBQH,0),0),"")</f>
        <v/>
      </c>
      <c r="I8" s="41">
        <f>IFERROR(VLOOKUP($A8,subQ,MATCH(I$1,SUBQH,0),0),"")</f>
        <v/>
      </c>
      <c r="J8" s="20">
        <f>IFERROR(VLOOKUP($A8,subQ,MATCH(J$1,SUBQH,0),0),"")</f>
        <v/>
      </c>
      <c r="K8" s="20">
        <f>IFERROR(VLOOKUP($A8,subQ,MATCH(K$1,SUBQH,0),0),"")</f>
        <v/>
      </c>
      <c r="L8" s="20">
        <f>IFERROR(VLOOKUP($A8,subQ,MATCH(L$1,SUBQH,0),0),"")</f>
        <v/>
      </c>
    </row>
    <row r="9">
      <c r="A9" s="12" t="inlineStr">
        <is>
          <t>영업이익</t>
        </is>
      </c>
      <c r="D9" t="inlineStr">
        <is>
          <t>영업이익</t>
        </is>
      </c>
      <c r="E9" s="18">
        <f>IFERROR(VLOOKUP($A9,subQ,MATCH(E$1,SUBQH,0),0),"")</f>
        <v/>
      </c>
      <c r="F9" s="18">
        <f>IFERROR(VLOOKUP($A9,subQ,MATCH(F$1,SUBQH,0),0),"")</f>
        <v/>
      </c>
      <c r="G9" s="18">
        <f>IFERROR(VLOOKUP($A9,subQ,MATCH(G$1,SUBQH,0),0),"")</f>
        <v/>
      </c>
      <c r="H9" s="18">
        <f>IFERROR(VLOOKUP($A9,subQ,MATCH(H$1,SUBQH,0),0),"")</f>
        <v/>
      </c>
      <c r="I9" s="41">
        <f>IFERROR(VLOOKUP($A9,subQ,MATCH(I$1,SUBQH,0),0),"")</f>
        <v/>
      </c>
      <c r="J9" s="20">
        <f>IFERROR(VLOOKUP($A9,subQ,MATCH(J$1,SUBQH,0),0),"")</f>
        <v/>
      </c>
      <c r="K9" s="20">
        <f>IFERROR(VLOOKUP($A9,subQ,MATCH(K$1,SUBQH,0),0),"")</f>
        <v/>
      </c>
      <c r="L9" s="20">
        <f>IFERROR(VLOOKUP($A9,subQ,MATCH(L$1,SUBQH,0),0),"")</f>
        <v/>
      </c>
    </row>
    <row r="10">
      <c r="A10" s="12" t="inlineStr">
        <is>
          <t>OPM</t>
        </is>
      </c>
      <c r="D10" t="inlineStr">
        <is>
          <t>영업이익률</t>
        </is>
      </c>
      <c r="E10" s="21">
        <f>IFERROR(VLOOKUP($A10,subQ,MATCH(E$1,SUBQH,0),0),"")</f>
        <v/>
      </c>
      <c r="F10" s="21">
        <f>IFERROR(VLOOKUP($A10,subQ,MATCH(F$1,SUBQH,0),0),"")</f>
        <v/>
      </c>
      <c r="G10" s="21">
        <f>IFERROR(VLOOKUP($A10,subQ,MATCH(G$1,SUBQH,0),0),"")</f>
        <v/>
      </c>
      <c r="H10" s="21">
        <f>IFERROR(VLOOKUP($A10,subQ,MATCH(H$1,SUBQH,0),0),"")</f>
        <v/>
      </c>
      <c r="I10" s="42">
        <f>IFERROR(VLOOKUP($A10,subQ,MATCH(I$1,SUBQH,0),0),"")</f>
        <v/>
      </c>
      <c r="J10" s="31">
        <f>IFERROR(VLOOKUP($A10,subQ,MATCH(J$1,SUBQH,0),0),"")</f>
        <v/>
      </c>
      <c r="K10" s="31">
        <f>IFERROR(VLOOKUP($A10,subQ,MATCH(K$1,SUBQH,0),0),"")</f>
        <v/>
      </c>
      <c r="L10" s="31">
        <f>IFERROR(VLOOKUP($A10,subQ,MATCH(L$1,SUBQH,0),0),"")</f>
        <v/>
      </c>
    </row>
    <row r="11">
      <c r="A11" s="12" t="inlineStr">
        <is>
          <t>금융손익</t>
        </is>
      </c>
      <c r="D11" t="inlineStr">
        <is>
          <t>금융손익(이자·환 포함)</t>
        </is>
      </c>
      <c r="E11" s="18">
        <f>IFERROR(VLOOKUP($A11,subQ,MATCH(E$1,SUBQH,0),0),"")</f>
        <v/>
      </c>
      <c r="F11" s="18">
        <f>IFERROR(VLOOKUP($A11,subQ,MATCH(F$1,SUBQH,0),0),"")</f>
        <v/>
      </c>
      <c r="G11" s="18">
        <f>IFERROR(VLOOKUP($A11,subQ,MATCH(G$1,SUBQH,0),0),"")</f>
        <v/>
      </c>
      <c r="H11" s="18">
        <f>IFERROR(VLOOKUP($A11,subQ,MATCH(H$1,SUBQH,0),0),"")</f>
        <v/>
      </c>
      <c r="I11" s="41">
        <f>IFERROR(VLOOKUP($A11,subQ,MATCH(I$1,SUBQH,0),0),"")</f>
        <v/>
      </c>
      <c r="J11" s="20">
        <f>IFERROR(VLOOKUP($A11,subQ,MATCH(J$1,SUBQH,0),0),"")</f>
        <v/>
      </c>
      <c r="K11" s="20">
        <f>IFERROR(VLOOKUP($A11,subQ,MATCH(K$1,SUBQH,0),0),"")</f>
        <v/>
      </c>
      <c r="L11" s="20">
        <f>IFERROR(VLOOKUP($A11,subQ,MATCH(L$1,SUBQH,0),0),"")</f>
        <v/>
      </c>
    </row>
    <row r="12">
      <c r="A12" s="12" t="inlineStr">
        <is>
          <t>기타영업외손익</t>
        </is>
      </c>
      <c r="D12" t="inlineStr">
        <is>
          <t>기타영업외손익</t>
        </is>
      </c>
      <c r="E12" s="18">
        <f>IFERROR(VLOOKUP($A12,subQ,MATCH(E$1,SUBQH,0),0),"")</f>
        <v/>
      </c>
      <c r="F12" s="18">
        <f>IFERROR(VLOOKUP($A12,subQ,MATCH(F$1,SUBQH,0),0),"")</f>
        <v/>
      </c>
      <c r="G12" s="18">
        <f>IFERROR(VLOOKUP($A12,subQ,MATCH(G$1,SUBQH,0),0),"")</f>
        <v/>
      </c>
      <c r="H12" s="18">
        <f>IFERROR(VLOOKUP($A12,subQ,MATCH(H$1,SUBQH,0),0),"")</f>
        <v/>
      </c>
      <c r="I12" s="41">
        <f>IFERROR(VLOOKUP($A12,subQ,MATCH(I$1,SUBQH,0),0),"")</f>
        <v/>
      </c>
      <c r="J12" s="20">
        <f>IFERROR(VLOOKUP($A12,subQ,MATCH(J$1,SUBQH,0),0),"")</f>
        <v/>
      </c>
      <c r="K12" s="20">
        <f>IFERROR(VLOOKUP($A12,subQ,MATCH(K$1,SUBQH,0),0),"")</f>
        <v/>
      </c>
      <c r="L12" s="20">
        <f>IFERROR(VLOOKUP($A12,subQ,MATCH(L$1,SUBQH,0),0),"")</f>
        <v/>
      </c>
    </row>
    <row r="13">
      <c r="A13" s="12" t="inlineStr">
        <is>
          <t>세전이익</t>
        </is>
      </c>
      <c r="D13" t="inlineStr">
        <is>
          <t>법인세비용차감전이익</t>
        </is>
      </c>
      <c r="E13" s="18">
        <f>IFERROR(VLOOKUP($A13,subQ,MATCH(E$1,SUBQH,0),0),"")</f>
        <v/>
      </c>
      <c r="F13" s="18">
        <f>IFERROR(VLOOKUP($A13,subQ,MATCH(F$1,SUBQH,0),0),"")</f>
        <v/>
      </c>
      <c r="G13" s="18">
        <f>IFERROR(VLOOKUP($A13,subQ,MATCH(G$1,SUBQH,0),0),"")</f>
        <v/>
      </c>
      <c r="H13" s="18">
        <f>IFERROR(VLOOKUP($A13,subQ,MATCH(H$1,SUBQH,0),0),"")</f>
        <v/>
      </c>
      <c r="I13" s="41">
        <f>IFERROR(VLOOKUP($A13,subQ,MATCH(I$1,SUBQH,0),0),"")</f>
        <v/>
      </c>
      <c r="J13" s="20">
        <f>IFERROR(VLOOKUP($A13,subQ,MATCH(J$1,SUBQH,0),0),"")</f>
        <v/>
      </c>
      <c r="K13" s="20">
        <f>IFERROR(VLOOKUP($A13,subQ,MATCH(K$1,SUBQH,0),0),"")</f>
        <v/>
      </c>
      <c r="L13" s="20">
        <f>IFERROR(VLOOKUP($A13,subQ,MATCH(L$1,SUBQH,0),0),"")</f>
        <v/>
      </c>
    </row>
    <row r="14">
      <c r="A14" s="12" t="inlineStr">
        <is>
          <t>법인세비용</t>
        </is>
      </c>
      <c r="D14" t="inlineStr">
        <is>
          <t>법인세비용</t>
        </is>
      </c>
      <c r="E14" s="18">
        <f>IFERROR(VLOOKUP($A14,subQ,MATCH(E$1,SUBQH,0),0),"")</f>
        <v/>
      </c>
      <c r="F14" s="18">
        <f>IFERROR(VLOOKUP($A14,subQ,MATCH(F$1,SUBQH,0),0),"")</f>
        <v/>
      </c>
      <c r="G14" s="18">
        <f>IFERROR(VLOOKUP($A14,subQ,MATCH(G$1,SUBQH,0),0),"")</f>
        <v/>
      </c>
      <c r="H14" s="18">
        <f>IFERROR(VLOOKUP($A14,subQ,MATCH(H$1,SUBQH,0),0),"")</f>
        <v/>
      </c>
      <c r="I14" s="41">
        <f>IFERROR(VLOOKUP($A14,subQ,MATCH(I$1,SUBQH,0),0),"")</f>
        <v/>
      </c>
      <c r="J14" s="20">
        <f>IFERROR(VLOOKUP($A14,subQ,MATCH(J$1,SUBQH,0),0),"")</f>
        <v/>
      </c>
      <c r="K14" s="20">
        <f>IFERROR(VLOOKUP($A14,subQ,MATCH(K$1,SUBQH,0),0),"")</f>
        <v/>
      </c>
      <c r="L14" s="20">
        <f>IFERROR(VLOOKUP($A14,subQ,MATCH(L$1,SUBQH,0),0),"")</f>
        <v/>
      </c>
    </row>
    <row r="15">
      <c r="A15" s="12" t="inlineStr">
        <is>
          <t>당기순이익</t>
        </is>
      </c>
      <c r="D15" t="inlineStr">
        <is>
          <t>당기순이익</t>
        </is>
      </c>
      <c r="E15" s="18">
        <f>IFERROR(VLOOKUP($A15,subQ,MATCH(E$1,SUBQH,0),0),"")</f>
        <v/>
      </c>
      <c r="F15" s="18">
        <f>IFERROR(VLOOKUP($A15,subQ,MATCH(F$1,SUBQH,0),0),"")</f>
        <v/>
      </c>
      <c r="G15" s="18">
        <f>IFERROR(VLOOKUP($A15,subQ,MATCH(G$1,SUBQH,0),0),"")</f>
        <v/>
      </c>
      <c r="H15" s="18">
        <f>IFERROR(VLOOKUP($A15,subQ,MATCH(H$1,SUBQH,0),0),"")</f>
        <v/>
      </c>
      <c r="I15" s="41">
        <f>IFERROR(VLOOKUP($A15,subQ,MATCH(I$1,SUBQH,0),0),"")</f>
        <v/>
      </c>
      <c r="J15" s="20">
        <f>IFERROR(VLOOKUP($A15,subQ,MATCH(J$1,SUBQH,0),0),"")</f>
        <v/>
      </c>
      <c r="K15" s="20">
        <f>IFERROR(VLOOKUP($A15,subQ,MATCH(K$1,SUBQH,0),0),"")</f>
        <v/>
      </c>
      <c r="L15" s="20">
        <f>IFERROR(VLOOKUP($A15,subQ,MATCH(L$1,SUBQH,0),0),"")</f>
        <v/>
      </c>
    </row>
    <row r="16">
      <c r="A16" s="12" t="inlineStr">
        <is>
          <t>지배주주순이익</t>
        </is>
      </c>
      <c r="D16" t="inlineStr">
        <is>
          <t>지배주주순이익</t>
        </is>
      </c>
      <c r="E16" s="18">
        <f>IFERROR(VLOOKUP($A16,subQ,MATCH(E$1,SUBQH,0),0),"")</f>
        <v/>
      </c>
      <c r="F16" s="18">
        <f>IFERROR(VLOOKUP($A16,subQ,MATCH(F$1,SUBQH,0),0),"")</f>
        <v/>
      </c>
      <c r="G16" s="18">
        <f>IFERROR(VLOOKUP($A16,subQ,MATCH(G$1,SUBQH,0),0),"")</f>
        <v/>
      </c>
      <c r="H16" s="18">
        <f>IFERROR(VLOOKUP($A16,subQ,MATCH(H$1,SUBQH,0),0),"")</f>
        <v/>
      </c>
      <c r="I16" s="41">
        <f>IFERROR(VLOOKUP($A16,subQ,MATCH(I$1,SUBQH,0),0),"")</f>
        <v/>
      </c>
      <c r="J16" s="20">
        <f>IFERROR(VLOOKUP($A16,subQ,MATCH(J$1,SUBQH,0),0),"")</f>
        <v/>
      </c>
      <c r="K16" s="20">
        <f>IFERROR(VLOOKUP($A16,subQ,MATCH(K$1,SUBQH,0),0),"")</f>
        <v/>
      </c>
      <c r="L16" s="20">
        <f>IFERROR(VLOOKUP($A16,subQ,MATCH(L$1,SUBQH,0),0),"")</f>
        <v/>
      </c>
    </row>
    <row r="17">
      <c r="A17" s="12" t="inlineStr">
        <is>
          <t>자산총계</t>
        </is>
      </c>
      <c r="D17" t="inlineStr">
        <is>
          <t>자산총계</t>
        </is>
      </c>
      <c r="E17" s="18">
        <f>IFERROR(VLOOKUP($A17,subQ,MATCH(E$1,SUBQH,0),0),"")</f>
        <v/>
      </c>
      <c r="F17" s="18">
        <f>IFERROR(VLOOKUP($A17,subQ,MATCH(F$1,SUBQH,0),0),"")</f>
        <v/>
      </c>
      <c r="G17" s="18">
        <f>IFERROR(VLOOKUP($A17,subQ,MATCH(G$1,SUBQH,0),0),"")</f>
        <v/>
      </c>
      <c r="H17" s="18">
        <f>IFERROR(VLOOKUP($A17,subQ,MATCH(H$1,SUBQH,0),0),"")</f>
        <v/>
      </c>
      <c r="I17" s="41">
        <f>IFERROR(VLOOKUP($A17,subQ,MATCH(I$1,SUBQH,0),0),"")</f>
        <v/>
      </c>
      <c r="J17" s="20">
        <f>IFERROR(VLOOKUP($A17,subQ,MATCH(J$1,SUBQH,0),0),"")</f>
        <v/>
      </c>
      <c r="K17" s="20">
        <f>IFERROR(VLOOKUP($A17,subQ,MATCH(K$1,SUBQH,0),0),"")</f>
        <v/>
      </c>
      <c r="L17" s="20">
        <f>IFERROR(VLOOKUP($A17,subQ,MATCH(L$1,SUBQH,0),0),"")</f>
        <v/>
      </c>
    </row>
    <row r="18">
      <c r="A18" s="12" t="inlineStr">
        <is>
          <t>부채총계</t>
        </is>
      </c>
      <c r="D18" t="inlineStr">
        <is>
          <t>부채총계</t>
        </is>
      </c>
      <c r="E18" s="18">
        <f>IFERROR(VLOOKUP($A18,subQ,MATCH(E$1,SUBQH,0),0),"")</f>
        <v/>
      </c>
      <c r="F18" s="18">
        <f>IFERROR(VLOOKUP($A18,subQ,MATCH(F$1,SUBQH,0),0),"")</f>
        <v/>
      </c>
      <c r="G18" s="18">
        <f>IFERROR(VLOOKUP($A18,subQ,MATCH(G$1,SUBQH,0),0),"")</f>
        <v/>
      </c>
      <c r="H18" s="18">
        <f>IFERROR(VLOOKUP($A18,subQ,MATCH(H$1,SUBQH,0),0),"")</f>
        <v/>
      </c>
      <c r="I18" s="41">
        <f>IFERROR(VLOOKUP($A18,subQ,MATCH(I$1,SUBQH,0),0),"")</f>
        <v/>
      </c>
      <c r="J18" s="20">
        <f>IFERROR(VLOOKUP($A18,subQ,MATCH(J$1,SUBQH,0),0),"")</f>
        <v/>
      </c>
      <c r="K18" s="20">
        <f>IFERROR(VLOOKUP($A18,subQ,MATCH(K$1,SUBQH,0),0),"")</f>
        <v/>
      </c>
      <c r="L18" s="20">
        <f>IFERROR(VLOOKUP($A18,subQ,MATCH(L$1,SUBQH,0),0),"")</f>
        <v/>
      </c>
    </row>
    <row r="19">
      <c r="A19" s="12" t="inlineStr">
        <is>
          <t>자본총계</t>
        </is>
      </c>
      <c r="D19" t="inlineStr">
        <is>
          <t>자본총계</t>
        </is>
      </c>
      <c r="E19" s="18">
        <f>IFERROR(VLOOKUP($A19,subQ,MATCH(E$1,SUBQH,0),0),"")</f>
        <v/>
      </c>
      <c r="F19" s="18">
        <f>IFERROR(VLOOKUP($A19,subQ,MATCH(F$1,SUBQH,0),0),"")</f>
        <v/>
      </c>
      <c r="G19" s="18">
        <f>IFERROR(VLOOKUP($A19,subQ,MATCH(G$1,SUBQH,0),0),"")</f>
        <v/>
      </c>
      <c r="H19" s="18">
        <f>IFERROR(VLOOKUP($A19,subQ,MATCH(H$1,SUBQH,0),0),"")</f>
        <v/>
      </c>
      <c r="I19" s="41">
        <f>IFERROR(VLOOKUP($A19,subQ,MATCH(I$1,SUBQH,0),0),"")</f>
        <v/>
      </c>
      <c r="J19" s="20">
        <f>IFERROR(VLOOKUP($A19,subQ,MATCH(J$1,SUBQH,0),0),"")</f>
        <v/>
      </c>
      <c r="K19" s="20">
        <f>IFERROR(VLOOKUP($A19,subQ,MATCH(K$1,SUBQH,0),0),"")</f>
        <v/>
      </c>
      <c r="L19" s="20">
        <f>IFERROR(VLOOKUP($A19,subQ,MATCH(L$1,SUBQH,0),0),"")</f>
        <v/>
      </c>
    </row>
    <row r="20">
      <c r="A20" s="12" t="inlineStr">
        <is>
          <t>지배주주지분</t>
        </is>
      </c>
      <c r="D20" t="inlineStr">
        <is>
          <t>지배주주지분</t>
        </is>
      </c>
      <c r="E20" s="18">
        <f>IFERROR(VLOOKUP($A20,subQ,MATCH(E$1,SUBQH,0),0),"")</f>
        <v/>
      </c>
      <c r="F20" s="18">
        <f>IFERROR(VLOOKUP($A20,subQ,MATCH(F$1,SUBQH,0),0),"")</f>
        <v/>
      </c>
      <c r="G20" s="18">
        <f>IFERROR(VLOOKUP($A20,subQ,MATCH(G$1,SUBQH,0),0),"")</f>
        <v/>
      </c>
      <c r="H20" s="18">
        <f>IFERROR(VLOOKUP($A20,subQ,MATCH(H$1,SUBQH,0),0),"")</f>
        <v/>
      </c>
      <c r="I20" s="41">
        <f>IFERROR(VLOOKUP($A20,subQ,MATCH(I$1,SUBQH,0),0),"")</f>
        <v/>
      </c>
      <c r="J20" s="20">
        <f>IFERROR(VLOOKUP($A20,subQ,MATCH(J$1,SUBQH,0),0),"")</f>
        <v/>
      </c>
      <c r="K20" s="20">
        <f>IFERROR(VLOOKUP($A20,subQ,MATCH(K$1,SUBQH,0),0),"")</f>
        <v/>
      </c>
      <c r="L20" s="20">
        <f>IFERROR(VLOOKUP($A20,subQ,MATCH(L$1,SUBQH,0),0),"")</f>
        <v/>
      </c>
    </row>
    <row r="21">
      <c r="A21" s="12" t="inlineStr">
        <is>
          <t>이자발생자산</t>
        </is>
      </c>
      <c r="D21" t="inlineStr">
        <is>
          <t>이자발생자산</t>
        </is>
      </c>
      <c r="E21" s="18">
        <f>IFERROR(VLOOKUP($A21,subQ,MATCH(E$1,SUBQH,0),0),"")</f>
        <v/>
      </c>
      <c r="F21" s="18">
        <f>IFERROR(VLOOKUP($A21,subQ,MATCH(F$1,SUBQH,0),0),"")</f>
        <v/>
      </c>
      <c r="G21" s="18">
        <f>IFERROR(VLOOKUP($A21,subQ,MATCH(G$1,SUBQH,0),0),"")</f>
        <v/>
      </c>
      <c r="H21" s="18">
        <f>IFERROR(VLOOKUP($A21,subQ,MATCH(H$1,SUBQH,0),0),"")</f>
        <v/>
      </c>
      <c r="I21" s="41">
        <f>IFERROR(VLOOKUP($A21,subQ,MATCH(I$1,SUBQH,0),0),"")</f>
        <v/>
      </c>
      <c r="J21" s="20">
        <f>IFERROR(VLOOKUP($A21,subQ,MATCH(J$1,SUBQH,0),0),"")</f>
        <v/>
      </c>
      <c r="K21" s="20">
        <f>IFERROR(VLOOKUP($A21,subQ,MATCH(K$1,SUBQH,0),0),"")</f>
        <v/>
      </c>
      <c r="L21" s="20">
        <f>IFERROR(VLOOKUP($A21,subQ,MATCH(L$1,SUBQH,0),0),"")</f>
        <v/>
      </c>
    </row>
    <row r="22">
      <c r="A22" s="12" t="inlineStr">
        <is>
          <t>현금및현금성자산</t>
        </is>
      </c>
      <c r="D22" t="inlineStr">
        <is>
          <t>현금및현금성자산</t>
        </is>
      </c>
      <c r="E22" s="18">
        <f>IFERROR(VLOOKUP($A22,subQ,MATCH(E$1,SUBQH,0),0),"")</f>
        <v/>
      </c>
      <c r="F22" s="18">
        <f>IFERROR(VLOOKUP($A22,subQ,MATCH(F$1,SUBQH,0),0),"")</f>
        <v/>
      </c>
      <c r="G22" s="18">
        <f>IFERROR(VLOOKUP($A22,subQ,MATCH(G$1,SUBQH,0),0),"")</f>
        <v/>
      </c>
      <c r="H22" s="18">
        <f>IFERROR(VLOOKUP($A22,subQ,MATCH(H$1,SUBQH,0),0),"")</f>
        <v/>
      </c>
      <c r="I22" s="41">
        <f>IFERROR(VLOOKUP($A22,subQ,MATCH(I$1,SUBQH,0),0),"")</f>
        <v/>
      </c>
      <c r="J22" s="20">
        <f>IFERROR(VLOOKUP($A22,subQ,MATCH(J$1,SUBQH,0),0),"")</f>
        <v/>
      </c>
      <c r="K22" s="20">
        <f>IFERROR(VLOOKUP($A22,subQ,MATCH(K$1,SUBQH,0),0),"")</f>
        <v/>
      </c>
      <c r="L22" s="20">
        <f>IFERROR(VLOOKUP($A22,subQ,MATCH(L$1,SUBQH,0),0),"")</f>
        <v/>
      </c>
    </row>
    <row r="23">
      <c r="A23" s="12" t="inlineStr">
        <is>
          <t>CAPEX</t>
        </is>
      </c>
      <c r="D23" t="inlineStr">
        <is>
          <t>CAPEX</t>
        </is>
      </c>
      <c r="E23" s="18">
        <f>IFERROR(VLOOKUP($A23,subQ,MATCH(E$1,SUBQH,0),0),"")</f>
        <v/>
      </c>
      <c r="F23" s="18">
        <f>IFERROR(VLOOKUP($A23,subQ,MATCH(F$1,SUBQH,0),0),"")</f>
        <v/>
      </c>
      <c r="G23" s="18">
        <f>IFERROR(VLOOKUP($A23,subQ,MATCH(G$1,SUBQH,0),0),"")</f>
        <v/>
      </c>
      <c r="H23" s="18">
        <f>IFERROR(VLOOKUP($A23,subQ,MATCH(H$1,SUBQH,0),0),"")</f>
        <v/>
      </c>
      <c r="I23" s="41">
        <f>IFERROR(VLOOKUP($A23,subQ,MATCH(I$1,SUBQH,0),0),"")</f>
        <v/>
      </c>
      <c r="J23" s="20">
        <f>IFERROR(VLOOKUP($A23,subQ,MATCH(J$1,SUBQH,0),0),"")</f>
        <v/>
      </c>
      <c r="K23" s="20">
        <f>IFERROR(VLOOKUP($A23,subQ,MATCH(K$1,SUBQH,0),0),"")</f>
        <v/>
      </c>
      <c r="L23" s="20">
        <f>IFERROR(VLOOKUP($A23,subQ,MATCH(L$1,SUBQH,0),0),"")</f>
        <v/>
      </c>
    </row>
    <row r="24">
      <c r="A24" s="12" t="inlineStr">
        <is>
          <t>영업활동현금흐름</t>
        </is>
      </c>
      <c r="D24" t="inlineStr">
        <is>
          <t>영업활동현금흐름</t>
        </is>
      </c>
      <c r="E24" s="18">
        <f>IFERROR(VLOOKUP($A24,subQ,MATCH(E$1,SUBQH,0),0),"")</f>
        <v/>
      </c>
      <c r="F24" s="18">
        <f>IFERROR(VLOOKUP($A24,subQ,MATCH(F$1,SUBQH,0),0),"")</f>
        <v/>
      </c>
      <c r="G24" s="18">
        <f>IFERROR(VLOOKUP($A24,subQ,MATCH(G$1,SUBQH,0),0),"")</f>
        <v/>
      </c>
      <c r="H24" s="18">
        <f>IFERROR(VLOOKUP($A24,subQ,MATCH(H$1,SUBQH,0),0),"")</f>
        <v/>
      </c>
      <c r="I24" s="41">
        <f>IFERROR(VLOOKUP($A24,subQ,MATCH(I$1,SUBQH,0),0),"")</f>
        <v/>
      </c>
      <c r="J24" s="20">
        <f>IFERROR(VLOOKUP($A24,subQ,MATCH(J$1,SUBQH,0),0),"")</f>
        <v/>
      </c>
      <c r="K24" s="20">
        <f>IFERROR(VLOOKUP($A24,subQ,MATCH(K$1,SUBQH,0),0),"")</f>
        <v/>
      </c>
      <c r="L24" s="20">
        <f>IFERROR(VLOOKUP($A24,subQ,MATCH(L$1,SUBQH,0),0),"")</f>
        <v/>
      </c>
    </row>
    <row r="25">
      <c r="A25" s="12" t="inlineStr">
        <is>
          <t>주식수</t>
        </is>
      </c>
      <c r="D25" t="inlineStr">
        <is>
          <t>유통주식수</t>
        </is>
      </c>
      <c r="E25" s="26">
        <f>IFERROR(VLOOKUP($A25,subQ,MATCH(E$1,SUBQH,0),0),"")</f>
        <v/>
      </c>
      <c r="F25" s="26">
        <f>IFERROR(VLOOKUP($A25,subQ,MATCH(F$1,SUBQH,0),0),"")</f>
        <v/>
      </c>
      <c r="G25" s="26">
        <f>IFERROR(VLOOKUP($A25,subQ,MATCH(G$1,SUBQH,0),0),"")</f>
        <v/>
      </c>
      <c r="H25" s="26">
        <f>IFERROR(VLOOKUP($A25,subQ,MATCH(H$1,SUBQH,0),0),"")</f>
        <v/>
      </c>
      <c r="I25" s="43">
        <f>IFERROR(VLOOKUP($A25,subQ,MATCH(I$1,SUBQH,0),0),"")</f>
        <v/>
      </c>
      <c r="J25" s="36">
        <f>IFERROR(VLOOKUP($A25,subQ,MATCH(J$1,SUBQH,0),0),"")</f>
        <v/>
      </c>
      <c r="K25" s="36">
        <f>IFERROR(VLOOKUP($A25,subQ,MATCH(K$1,SUBQH,0),0),"")</f>
        <v/>
      </c>
      <c r="L25" s="36">
        <f>IFERROR(VLOOKUP($A25,subQ,MATCH(L$1,SUBQH,0),0),"")</f>
        <v/>
      </c>
    </row>
    <row r="26">
      <c r="A26" s="12" t="inlineStr">
        <is>
          <t>EPS</t>
        </is>
      </c>
      <c r="D26" t="inlineStr">
        <is>
          <t>EPS</t>
        </is>
      </c>
      <c r="E26" s="18">
        <f>IFERROR(VLOOKUP($A26,subQ,MATCH(E$1,SUBQH,0),0),"")</f>
        <v/>
      </c>
      <c r="F26" s="18">
        <f>IFERROR(VLOOKUP($A26,subQ,MATCH(F$1,SUBQH,0),0),"")</f>
        <v/>
      </c>
      <c r="G26" s="18">
        <f>IFERROR(VLOOKUP($A26,subQ,MATCH(G$1,SUBQH,0),0),"")</f>
        <v/>
      </c>
      <c r="H26" s="18">
        <f>IFERROR(VLOOKUP($A26,subQ,MATCH(H$1,SUBQH,0),0),"")</f>
        <v/>
      </c>
      <c r="I26" s="41">
        <f>IFERROR(VLOOKUP($A26,subQ,MATCH(I$1,SUBQH,0),0),"")</f>
        <v/>
      </c>
      <c r="J26" s="20">
        <f>IFERROR(VLOOKUP($A26,subQ,MATCH(J$1,SUBQH,0),0),"")</f>
        <v/>
      </c>
      <c r="K26" s="20">
        <f>IFERROR(VLOOKUP($A26,subQ,MATCH(K$1,SUBQH,0),0),"")</f>
        <v/>
      </c>
      <c r="L26" s="20">
        <f>IFERROR(VLOOKUP($A26,subQ,MATCH(L$1,SUBQH,0),0),"")</f>
        <v/>
      </c>
    </row>
    <row r="27">
      <c r="A27" s="12" t="inlineStr">
        <is>
          <t>BPS</t>
        </is>
      </c>
      <c r="D27" t="inlineStr">
        <is>
          <t>BPS</t>
        </is>
      </c>
      <c r="E27" s="18">
        <f>IFERROR(VLOOKUP($A27,subQ,MATCH(E$1,SUBQH,0),0),"")</f>
        <v/>
      </c>
      <c r="F27" s="18">
        <f>IFERROR(VLOOKUP($A27,subQ,MATCH(F$1,SUBQH,0),0),"")</f>
        <v/>
      </c>
      <c r="G27" s="18">
        <f>IFERROR(VLOOKUP($A27,subQ,MATCH(G$1,SUBQH,0),0),"")</f>
        <v/>
      </c>
      <c r="H27" s="18">
        <f>IFERROR(VLOOKUP($A27,subQ,MATCH(H$1,SUBQH,0),0),"")</f>
        <v/>
      </c>
      <c r="I27" s="41">
        <f>IFERROR(VLOOKUP($A27,subQ,MATCH(I$1,SUBQH,0),0),"")</f>
        <v/>
      </c>
      <c r="J27" s="20">
        <f>IFERROR(VLOOKUP($A27,subQ,MATCH(J$1,SUBQH,0),0),"")</f>
        <v/>
      </c>
      <c r="K27" s="20">
        <f>IFERROR(VLOOKUP($A27,subQ,MATCH(K$1,SUBQH,0),0),"")</f>
        <v/>
      </c>
      <c r="L27" s="20">
        <f>IFERROR(VLOOKUP($A27,subQ,MATCH(L$1,SUBQH,0),0),"")</f>
        <v/>
      </c>
    </row>
    <row r="28">
      <c r="A28" s="12" t="inlineStr">
        <is>
          <t>DPS</t>
        </is>
      </c>
      <c r="D28" t="inlineStr">
        <is>
          <t>DPS(보통주)</t>
        </is>
      </c>
      <c r="E28" s="18">
        <f>IFERROR(VLOOKUP($A28,subQ,MATCH(E$1,SUBQH,0),0),"")</f>
        <v/>
      </c>
      <c r="F28" s="18">
        <f>IFERROR(VLOOKUP($A28,subQ,MATCH(F$1,SUBQH,0),0),"")</f>
        <v/>
      </c>
      <c r="G28" s="18">
        <f>IFERROR(VLOOKUP($A28,subQ,MATCH(G$1,SUBQH,0),0),"")</f>
        <v/>
      </c>
      <c r="H28" s="18">
        <f>IFERROR(VLOOKUP($A28,subQ,MATCH(H$1,SUBQH,0),0),"")</f>
        <v/>
      </c>
      <c r="I28" s="41">
        <f>IFERROR(VLOOKUP($A28,subQ,MATCH(I$1,SUBQH,0),0),"")</f>
        <v/>
      </c>
      <c r="J28" s="20">
        <f>IFERROR(VLOOKUP($A28,subQ,MATCH(J$1,SUBQH,0),0),"")</f>
        <v/>
      </c>
      <c r="K28" s="20">
        <f>IFERROR(VLOOKUP($A28,subQ,MATCH(K$1,SUBQH,0),0),"")</f>
        <v/>
      </c>
      <c r="L28" s="20">
        <f>IFERROR(VLOOKUP($A28,subQ,MATCH(L$1,SUBQH,0),0),"")</f>
        <v/>
      </c>
    </row>
    <row r="29">
      <c r="A29" s="12" t="inlineStr">
        <is>
          <t>PER</t>
        </is>
      </c>
      <c r="D29" t="inlineStr">
        <is>
          <t>PER</t>
        </is>
      </c>
      <c r="E29" s="18">
        <f>IFERROR(VLOOKUP($A29,subQ,MATCH(E$1,SUBQH,0),0),"")</f>
        <v/>
      </c>
      <c r="F29" s="18">
        <f>IFERROR(VLOOKUP($A29,subQ,MATCH(F$1,SUBQH,0),0),"")</f>
        <v/>
      </c>
      <c r="G29" s="18">
        <f>IFERROR(VLOOKUP($A29,subQ,MATCH(G$1,SUBQH,0),0),"")</f>
        <v/>
      </c>
      <c r="H29" s="18">
        <f>IFERROR(VLOOKUP($A29,subQ,MATCH(H$1,SUBQH,0),0),"")</f>
        <v/>
      </c>
      <c r="I29" s="41">
        <f>IFERROR(VLOOKUP($A29,subQ,MATCH(I$1,SUBQH,0),0),"")</f>
        <v/>
      </c>
      <c r="J29" s="20">
        <f>IFERROR(VLOOKUP($A29,subQ,MATCH(J$1,SUBQH,0),0),"")</f>
        <v/>
      </c>
      <c r="K29" s="20">
        <f>IFERROR(VLOOKUP($A29,subQ,MATCH(K$1,SUBQH,0),0),"")</f>
        <v/>
      </c>
      <c r="L29" s="20">
        <f>IFERROR(VLOOKUP($A29,subQ,MATCH(L$1,SUBQH,0),0),"")</f>
        <v/>
      </c>
    </row>
    <row r="30">
      <c r="A30" s="12" t="inlineStr">
        <is>
          <t>PBR</t>
        </is>
      </c>
      <c r="D30" t="inlineStr">
        <is>
          <t>PBR</t>
        </is>
      </c>
      <c r="E30" s="18">
        <f>IFERROR(VLOOKUP($A30,subQ,MATCH(E$1,SUBQH,0),0),"")</f>
        <v/>
      </c>
      <c r="F30" s="18">
        <f>IFERROR(VLOOKUP($A30,subQ,MATCH(F$1,SUBQH,0),0),"")</f>
        <v/>
      </c>
      <c r="G30" s="18">
        <f>IFERROR(VLOOKUP($A30,subQ,MATCH(G$1,SUBQH,0),0),"")</f>
        <v/>
      </c>
      <c r="H30" s="18">
        <f>IFERROR(VLOOKUP($A30,subQ,MATCH(H$1,SUBQH,0),0),"")</f>
        <v/>
      </c>
      <c r="I30" s="41">
        <f>IFERROR(VLOOKUP($A30,subQ,MATCH(I$1,SUBQH,0),0),"")</f>
        <v/>
      </c>
      <c r="J30" s="20">
        <f>IFERROR(VLOOKUP($A30,subQ,MATCH(J$1,SUBQH,0),0),"")</f>
        <v/>
      </c>
      <c r="K30" s="20">
        <f>IFERROR(VLOOKUP($A30,subQ,MATCH(K$1,SUBQH,0),0),"")</f>
        <v/>
      </c>
      <c r="L30" s="20">
        <f>IFERROR(VLOOKUP($A30,subQ,MATCH(L$1,SUBQH,0),0),"")</f>
        <v/>
      </c>
    </row>
    <row r="31">
      <c r="A31" s="12" t="inlineStr">
        <is>
          <t>매출전사</t>
        </is>
      </c>
      <c r="D31" t="inlineStr">
        <is>
          <t>매출 전사(부문 미분리)</t>
        </is>
      </c>
      <c r="E31" s="18">
        <f>IFERROR(VLOOKUP($A31,subQ,MATCH(E$1,SUBQH,0),0),"")</f>
        <v/>
      </c>
      <c r="F31" s="18">
        <f>IFERROR(VLOOKUP($A31,subQ,MATCH(F$1,SUBQH,0),0),"")</f>
        <v/>
      </c>
      <c r="G31" s="18">
        <f>IFERROR(VLOOKUP($A31,subQ,MATCH(G$1,SUBQH,0),0),"")</f>
        <v/>
      </c>
      <c r="H31" s="18">
        <f>IFERROR(VLOOKUP($A31,subQ,MATCH(H$1,SUBQH,0),0),"")</f>
        <v/>
      </c>
      <c r="I31" s="41">
        <f>IFERROR(VLOOKUP($A31,subQ,MATCH(I$1,SUBQH,0),0),"")</f>
        <v/>
      </c>
      <c r="J31" s="20">
        <f>IFERROR(VLOOKUP($A31,subQ,MATCH(J$1,SUBQH,0),0),"")</f>
        <v/>
      </c>
      <c r="K31" s="20">
        <f>IFERROR(VLOOKUP($A31,subQ,MATCH(K$1,SUBQH,0),0),"")</f>
        <v/>
      </c>
      <c r="L31" s="20">
        <f>IFERROR(VLOOKUP($A31,subQ,MATCH(L$1,SUBQH,0),0),"")</f>
        <v/>
      </c>
    </row>
    <row r="32">
      <c r="A32" s="12" t="inlineStr">
        <is>
          <t>OP전사</t>
        </is>
      </c>
      <c r="D32" t="inlineStr">
        <is>
          <t>OP 전사(부문 미분리)</t>
        </is>
      </c>
      <c r="E32" s="18">
        <f>IFERROR(VLOOKUP($A32,subQ,MATCH(E$1,SUBQH,0),0),"")</f>
        <v/>
      </c>
      <c r="F32" s="18">
        <f>IFERROR(VLOOKUP($A32,subQ,MATCH(F$1,SUBQH,0),0),"")</f>
        <v/>
      </c>
      <c r="G32" s="18">
        <f>IFERROR(VLOOKUP($A32,subQ,MATCH(G$1,SUBQH,0),0),"")</f>
        <v/>
      </c>
      <c r="H32" s="18">
        <f>IFERROR(VLOOKUP($A32,subQ,MATCH(H$1,SUBQH,0),0),"")</f>
        <v/>
      </c>
      <c r="I32" s="41">
        <f>IFERROR(VLOOKUP($A32,subQ,MATCH(I$1,SUBQH,0),0),"")</f>
        <v/>
      </c>
      <c r="J32" s="20">
        <f>IFERROR(VLOOKUP($A32,subQ,MATCH(J$1,SUBQH,0),0),"")</f>
        <v/>
      </c>
      <c r="K32" s="20">
        <f>IFERROR(VLOOKUP($A32,subQ,MATCH(K$1,SUBQH,0),0),"")</f>
        <v/>
      </c>
      <c r="L32" s="20">
        <f>IFERROR(VLOOKUP($A32,subQ,MATCH(L$1,SUBQH,0),0),"")</f>
        <v/>
      </c>
    </row>
    <row r="33">
      <c r="A33" s="12" t="inlineStr">
        <is>
          <t>OPM</t>
        </is>
      </c>
      <c r="D33" t="inlineStr">
        <is>
          <t>영업이익률</t>
        </is>
      </c>
      <c r="E33" s="21">
        <f>IFERROR(VLOOKUP($A33,subQ,MATCH(E$1,SUBQH,0),0),"")</f>
        <v/>
      </c>
      <c r="F33" s="21">
        <f>IFERROR(VLOOKUP($A33,subQ,MATCH(F$1,SUBQH,0),0),"")</f>
        <v/>
      </c>
      <c r="G33" s="21">
        <f>IFERROR(VLOOKUP($A33,subQ,MATCH(G$1,SUBQH,0),0),"")</f>
        <v/>
      </c>
      <c r="H33" s="21">
        <f>IFERROR(VLOOKUP($A33,subQ,MATCH(H$1,SUBQH,0),0),"")</f>
        <v/>
      </c>
      <c r="I33" s="42">
        <f>IFERROR(VLOOKUP($A33,subQ,MATCH(I$1,SUBQH,0),0),"")</f>
        <v/>
      </c>
      <c r="J33" s="31">
        <f>IFERROR(VLOOKUP($A33,subQ,MATCH(J$1,SUBQH,0),0),"")</f>
        <v/>
      </c>
      <c r="K33" s="31">
        <f>IFERROR(VLOOKUP($A33,subQ,MATCH(K$1,SUBQH,0),0),"")</f>
        <v/>
      </c>
      <c r="L33" s="31">
        <f>IFERROR(VLOOKUP($A33,subQ,MATCH(L$1,SUBQH,0),0),"")</f>
        <v/>
      </c>
    </row>
    <row r="34">
      <c r="A34" s="12" t="inlineStr">
        <is>
          <t>NPM</t>
        </is>
      </c>
      <c r="D34" t="inlineStr">
        <is>
          <t>NPM</t>
        </is>
      </c>
      <c r="E34" s="21">
        <f>IFERROR(VLOOKUP($A34,subQ,MATCH(E$1,SUBQH,0),0),"")</f>
        <v/>
      </c>
      <c r="F34" s="21">
        <f>IFERROR(VLOOKUP($A34,subQ,MATCH(F$1,SUBQH,0),0),"")</f>
        <v/>
      </c>
      <c r="G34" s="21">
        <f>IFERROR(VLOOKUP($A34,subQ,MATCH(G$1,SUBQH,0),0),"")</f>
        <v/>
      </c>
      <c r="H34" s="21">
        <f>IFERROR(VLOOKUP($A34,subQ,MATCH(H$1,SUBQH,0),0),"")</f>
        <v/>
      </c>
      <c r="I34" s="42">
        <f>IFERROR(VLOOKUP($A34,subQ,MATCH(I$1,SUBQH,0),0),"")</f>
        <v/>
      </c>
      <c r="J34" s="31">
        <f>IFERROR(VLOOKUP($A34,subQ,MATCH(J$1,SUBQH,0),0),"")</f>
        <v/>
      </c>
      <c r="K34" s="31">
        <f>IFERROR(VLOOKUP($A34,subQ,MATCH(K$1,SUBQH,0),0),"")</f>
        <v/>
      </c>
      <c r="L34" s="31">
        <f>IFERROR(VLOOKUP($A34,subQ,MATCH(L$1,SUBQH,0),0),"")</f>
        <v/>
      </c>
    </row>
    <row r="35">
      <c r="A35" s="12" t="inlineStr">
        <is>
          <t>매출액 YoY</t>
        </is>
      </c>
      <c r="D35" t="inlineStr">
        <is>
          <t>매출액 YoY</t>
        </is>
      </c>
      <c r="F35" s="21">
        <f>IFERROR(F5/E5-1,"")</f>
        <v/>
      </c>
      <c r="G35" s="21">
        <f>IFERROR(G5/F5-1,"")</f>
        <v/>
      </c>
      <c r="H35" s="21">
        <f>IFERROR(H5/G5-1,"")</f>
        <v/>
      </c>
      <c r="I35" s="42">
        <f>IFERROR(I5/H5-1,"")</f>
        <v/>
      </c>
      <c r="J35" s="31">
        <f>IFERROR(J5/I5-1,"")</f>
        <v/>
      </c>
      <c r="K35" s="31">
        <f>IFERROR(K5/J5-1,"")</f>
        <v/>
      </c>
      <c r="L35" s="31">
        <f>IFERROR(L5/K5-1,"")</f>
        <v/>
      </c>
    </row>
    <row r="36">
      <c r="A36" s="12" t="inlineStr">
        <is>
          <t>영업이익 YoY</t>
        </is>
      </c>
      <c r="D36" t="inlineStr">
        <is>
          <t>영업이익 YoY</t>
        </is>
      </c>
      <c r="F36" s="21">
        <f>IFERROR(F9/E9-1,"")</f>
        <v/>
      </c>
      <c r="G36" s="21">
        <f>IFERROR(G9/F9-1,"")</f>
        <v/>
      </c>
      <c r="H36" s="21">
        <f>IFERROR(H9/G9-1,"")</f>
        <v/>
      </c>
      <c r="I36" s="42">
        <f>IFERROR(I9/H9-1,"")</f>
        <v/>
      </c>
      <c r="J36" s="31">
        <f>IFERROR(J9/I9-1,"")</f>
        <v/>
      </c>
      <c r="K36" s="31">
        <f>IFERROR(K9/J9-1,"")</f>
        <v/>
      </c>
      <c r="L36" s="31">
        <f>IFERROR(L9/K9-1,"")</f>
        <v/>
      </c>
    </row>
    <row r="37">
      <c r="A37" s="12" t="inlineStr">
        <is>
          <t>지배주주순이익 YoY</t>
        </is>
      </c>
      <c r="D37" t="inlineStr">
        <is>
          <t>지배주주순이익 YoY</t>
        </is>
      </c>
      <c r="F37" s="21">
        <f>IFERROR(F16/E16-1,"")</f>
        <v/>
      </c>
      <c r="G37" s="21">
        <f>IFERROR(G16/F16-1,"")</f>
        <v/>
      </c>
      <c r="H37" s="21">
        <f>IFERROR(H16/G16-1,"")</f>
        <v/>
      </c>
      <c r="I37" s="42">
        <f>IFERROR(I16/H16-1,"")</f>
        <v/>
      </c>
      <c r="J37" s="31">
        <f>IFERROR(J16/I16-1,"")</f>
        <v/>
      </c>
      <c r="K37" s="31">
        <f>IFERROR(K16/J16-1,"")</f>
        <v/>
      </c>
      <c r="L37" s="31">
        <f>IFERROR(L16/K16-1,"")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B1:G37"/>
  <sheetViews>
    <sheetView workbookViewId="0">
      <selection activeCell="A1" sqref="A1"/>
    </sheetView>
  </sheetViews>
  <sheetFormatPr baseColWidth="8" defaultRowHeight="15"/>
  <cols>
    <col width="34" customWidth="1" min="3" max="3"/>
  </cols>
  <sheetData>
    <row r="1">
      <c r="B1" s="1" t="inlineStr">
        <is>
          <t>종가</t>
        </is>
      </c>
      <c r="C1" s="18">
        <f>변수!D44</f>
        <v/>
      </c>
    </row>
    <row r="2">
      <c r="B2" s="1" t="inlineStr">
        <is>
          <t>기준일</t>
        </is>
      </c>
      <c r="C2">
        <f>변수!D45</f>
        <v/>
      </c>
    </row>
    <row r="3">
      <c r="B3" s="2" t="inlineStr">
        <is>
          <t>모델 산출값 — 목표주가·추천 아님. 밴드·COE 는 변수 시트 3절의 가정</t>
        </is>
      </c>
    </row>
    <row r="5">
      <c r="C5" s="1" t="inlineStr">
        <is>
          <t>FY</t>
        </is>
      </c>
      <c r="D5" s="44" t="n">
        <v>2025</v>
      </c>
      <c r="E5" s="44" t="n">
        <v>2026</v>
      </c>
      <c r="F5" s="44" t="n">
        <v>2027</v>
      </c>
      <c r="G5" s="44" t="n">
        <v>2028</v>
      </c>
    </row>
    <row r="6">
      <c r="D6" s="2" t="inlineStr">
        <is>
          <t>A</t>
        </is>
      </c>
      <c r="E6" s="2" t="inlineStr">
        <is>
          <t>E</t>
        </is>
      </c>
      <c r="F6" s="2" t="inlineStr">
        <is>
          <t>E</t>
        </is>
      </c>
      <c r="G6" s="2" t="inlineStr">
        <is>
          <t>E</t>
        </is>
      </c>
    </row>
    <row r="7">
      <c r="C7" t="inlineStr">
        <is>
          <t>EPS(원)</t>
        </is>
      </c>
      <c r="D7" s="18">
        <f>IFERROR(VLOOKUP("EPS",subQ,MATCH(D$5,SUBQH,0),0),"")</f>
        <v/>
      </c>
      <c r="E7" s="18">
        <f>IFERROR(VLOOKUP("EPS",subQ,MATCH(E$5,SUBQH,0),0),"")</f>
        <v/>
      </c>
      <c r="F7" s="18">
        <f>IFERROR(VLOOKUP("EPS",subQ,MATCH(F$5,SUBQH,0),0),"")</f>
        <v/>
      </c>
      <c r="G7" s="18">
        <f>IFERROR(VLOOKUP("EPS",subQ,MATCH(G$5,SUBQH,0),0),"")</f>
        <v/>
      </c>
    </row>
    <row r="8">
      <c r="C8" t="inlineStr">
        <is>
          <t>BPS(원)</t>
        </is>
      </c>
      <c r="D8" s="18">
        <f>IFERROR(VLOOKUP("BPS",subQ,MATCH(D$5,SUBQH,0),0),"")</f>
        <v/>
      </c>
      <c r="E8" s="18">
        <f>IFERROR(VLOOKUP("BPS",subQ,MATCH(E$5,SUBQH,0),0),"")</f>
        <v/>
      </c>
      <c r="F8" s="18">
        <f>IFERROR(VLOOKUP("BPS",subQ,MATCH(F$5,SUBQH,0),0),"")</f>
        <v/>
      </c>
      <c r="G8" s="18">
        <f>IFERROR(VLOOKUP("BPS",subQ,MATCH(G$5,SUBQH,0),0),"")</f>
        <v/>
      </c>
    </row>
    <row r="9">
      <c r="C9" t="inlineStr">
        <is>
          <t>지배주주순이익(억원)</t>
        </is>
      </c>
      <c r="D9" s="18">
        <f>IFERROR(VLOOKUP("지배주주순이익",subQ,MATCH(D$5,SUBQH,0),0),"")</f>
        <v/>
      </c>
      <c r="E9" s="18">
        <f>IFERROR(VLOOKUP("지배주주순이익",subQ,MATCH(E$5,SUBQH,0),0),"")</f>
        <v/>
      </c>
      <c r="F9" s="18">
        <f>IFERROR(VLOOKUP("지배주주순이익",subQ,MATCH(F$5,SUBQH,0),0),"")</f>
        <v/>
      </c>
      <c r="G9" s="18">
        <f>IFERROR(VLOOKUP("지배주주순이익",subQ,MATCH(G$5,SUBQH,0),0),"")</f>
        <v/>
      </c>
    </row>
    <row r="10">
      <c r="C10" t="inlineStr">
        <is>
          <t>영업이익(억원)</t>
        </is>
      </c>
      <c r="D10" s="18">
        <f>IFERROR(VLOOKUP("영업이익",subQ,MATCH(D$5,SUBQH,0),0),"")</f>
        <v/>
      </c>
      <c r="E10" s="18">
        <f>IFERROR(VLOOKUP("영업이익",subQ,MATCH(E$5,SUBQH,0),0),"")</f>
        <v/>
      </c>
      <c r="F10" s="18">
        <f>IFERROR(VLOOKUP("영업이익",subQ,MATCH(F$5,SUBQH,0),0),"")</f>
        <v/>
      </c>
      <c r="G10" s="18">
        <f>IFERROR(VLOOKUP("영업이익",subQ,MATCH(G$5,SUBQH,0),0),"")</f>
        <v/>
      </c>
    </row>
    <row r="11">
      <c r="C11" t="inlineStr">
        <is>
          <t>ROE(EPS/기초BPS)</t>
        </is>
      </c>
      <c r="E11" s="21">
        <f>IFERROR(E7/D8,"")</f>
        <v/>
      </c>
      <c r="F11" s="21">
        <f>IFERROR(F7/E8,"")</f>
        <v/>
      </c>
      <c r="G11" s="21">
        <f>IFERROR(G7/F8,"")</f>
        <v/>
      </c>
    </row>
    <row r="13">
      <c r="B13" s="1" t="inlineStr">
        <is>
          <t>PER</t>
        </is>
      </c>
    </row>
    <row r="14">
      <c r="C14" t="inlineStr">
        <is>
          <t>12M fwd EPS</t>
        </is>
      </c>
      <c r="D14" s="18">
        <f>IFERROR(E7*변수!D50+F7*(1-변수!D50),"")</f>
        <v/>
      </c>
    </row>
    <row r="15">
      <c r="C15" t="inlineStr">
        <is>
          <t>적정가치 @PER_lo</t>
        </is>
      </c>
      <c r="D15" s="26">
        <f>변수!D47</f>
        <v/>
      </c>
      <c r="E15" s="18">
        <f>IFERROR(ROUND($D$14*D15,-2),"")</f>
        <v/>
      </c>
      <c r="F15" s="21">
        <f>IFERROR(E15/$C$1-1,"")</f>
        <v/>
      </c>
      <c r="G15" s="2" t="inlineStr">
        <is>
          <t>배 · 원 · 종가 대비</t>
        </is>
      </c>
    </row>
    <row r="16">
      <c r="C16" t="inlineStr">
        <is>
          <t>적정가치 @PER_mid</t>
        </is>
      </c>
      <c r="D16" s="26">
        <f>변수!D48</f>
        <v/>
      </c>
      <c r="E16" s="18">
        <f>IFERROR(ROUND($D$14*D16,-2),"")</f>
        <v/>
      </c>
      <c r="F16" s="21">
        <f>IFERROR(E16/$C$1-1,"")</f>
        <v/>
      </c>
      <c r="G16" s="2" t="inlineStr">
        <is>
          <t>배 · 원 · 종가 대비</t>
        </is>
      </c>
    </row>
    <row r="17">
      <c r="C17" t="inlineStr">
        <is>
          <t>적정가치 @PER_hi</t>
        </is>
      </c>
      <c r="D17" s="26">
        <f>변수!D49</f>
        <v/>
      </c>
      <c r="E17" s="18">
        <f>IFERROR(ROUND($D$14*D17,-2),"")</f>
        <v/>
      </c>
      <c r="F17" s="21">
        <f>IFERROR(E17/$C$1-1,"")</f>
        <v/>
      </c>
      <c r="G17" s="2" t="inlineStr">
        <is>
          <t>배 · 원 · 종가 대비</t>
        </is>
      </c>
    </row>
    <row r="18">
      <c r="C18" t="inlineStr">
        <is>
          <t>현재 PER(종가/12M fwd EPS)</t>
        </is>
      </c>
      <c r="D18" s="26">
        <f>IFERROR($C$1/$D$14,"")</f>
        <v/>
      </c>
    </row>
    <row r="20">
      <c r="B20" s="1" t="inlineStr">
        <is>
          <t>PBR</t>
        </is>
      </c>
    </row>
    <row r="21">
      <c r="C21" t="inlineStr">
        <is>
          <t>최근 BPS(마지막 실적 분기)</t>
        </is>
      </c>
      <c r="D21" s="18">
        <f>IFERROR(VLOOKUP("BPS",subQ,MATCH("2Q26",SUBQH,0),0),"")</f>
        <v/>
      </c>
    </row>
    <row r="22">
      <c r="C22" t="inlineStr">
        <is>
          <t>ROE fwd(12M fwd EPS / BPS)</t>
        </is>
      </c>
      <c r="D22" s="21">
        <f>IFERROR($D$14/$D$21,"")</f>
        <v/>
      </c>
    </row>
    <row r="23">
      <c r="C23" t="inlineStr">
        <is>
          <t>COE</t>
        </is>
      </c>
      <c r="D23" s="21">
        <f>변수!D46</f>
        <v/>
      </c>
    </row>
    <row r="24">
      <c r="C24" t="inlineStr">
        <is>
          <t>적정 PBR = ROE/COE</t>
        </is>
      </c>
      <c r="D24" s="13">
        <f>IFERROR(D22/D23,"")</f>
        <v/>
      </c>
    </row>
    <row r="25">
      <c r="C25" t="inlineStr">
        <is>
          <t>적정가치(PBR) = BPS × 적정PBR</t>
        </is>
      </c>
      <c r="D25" s="18">
        <f>IFERROR(ROUND(D21*D24,-2),"")</f>
        <v/>
      </c>
      <c r="E25" s="21">
        <f>IFERROR(D25/$C$1-1,"")</f>
        <v/>
      </c>
    </row>
    <row r="26">
      <c r="C26" t="inlineStr">
        <is>
          <t>현재 PBR(종가/BPS)</t>
        </is>
      </c>
      <c r="D26" s="13">
        <f>IFERROR($C$1/D21,"")</f>
        <v/>
      </c>
    </row>
    <row r="28">
      <c r="B28" s="2" t="inlineStr">
        <is>
          <t>모델 json valuation(참고)</t>
        </is>
      </c>
    </row>
    <row r="29">
      <c r="C29" s="2" t="inlineStr">
        <is>
          <t>eps_fwd12m</t>
        </is>
      </c>
      <c r="D29" t="n">
        <v>4965.2</v>
      </c>
    </row>
    <row r="30">
      <c r="C30" s="2" t="inlineStr">
        <is>
          <t>bps_latest</t>
        </is>
      </c>
      <c r="D30" t="n">
        <v>40031.8</v>
      </c>
    </row>
    <row r="31">
      <c r="C31" s="2" t="inlineStr">
        <is>
          <t>per_now</t>
        </is>
      </c>
      <c r="D31" t="n">
        <v>7.4</v>
      </c>
    </row>
    <row r="32">
      <c r="C32" s="2" t="inlineStr">
        <is>
          <t>pbr_now</t>
        </is>
      </c>
      <c r="D32" t="n">
        <v>0.92</v>
      </c>
    </row>
    <row r="33">
      <c r="C33" s="2" t="inlineStr">
        <is>
          <t>roe_fwd</t>
        </is>
      </c>
      <c r="D33" t="n">
        <v>0.124</v>
      </c>
    </row>
    <row r="34">
      <c r="C34" s="2" t="inlineStr">
        <is>
          <t>fair_pbr</t>
        </is>
      </c>
      <c r="D34" t="n">
        <v>1.38</v>
      </c>
    </row>
    <row r="35">
      <c r="C35" s="2" t="inlineStr">
        <is>
          <t>fair_value_pbr</t>
        </is>
      </c>
      <c r="D35" t="n">
        <v>55200</v>
      </c>
    </row>
    <row r="36">
      <c r="C36" s="2" t="inlineStr">
        <is>
          <t>ev_ebitda</t>
        </is>
      </c>
    </row>
    <row r="37">
      <c r="C37" s="2" t="inlineStr">
        <is>
          <t>note</t>
        </is>
      </c>
      <c r="D37" t="inlineStr">
        <is>
          <t>모델 산출값 — 목표주가·추천 아님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AG19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</cols>
  <sheetData>
    <row r="1">
      <c r="C1" s="2" t="inlineStr">
        <is>
          <t>이름: 외화QH — 환율 QoQ · 외화 순노출 × Δ기말환율</t>
        </is>
      </c>
      <c r="E1" s="3" t="inlineStr">
        <is>
          <t>4Q21</t>
        </is>
      </c>
      <c r="F1" s="3" t="inlineStr">
        <is>
          <t>1Q22</t>
        </is>
      </c>
      <c r="G1" s="3" t="inlineStr">
        <is>
          <t>2Q22</t>
        </is>
      </c>
      <c r="H1" s="3" t="inlineStr">
        <is>
          <t>3Q22</t>
        </is>
      </c>
      <c r="I1" s="3" t="inlineStr">
        <is>
          <t>4Q22</t>
        </is>
      </c>
      <c r="J1" s="3" t="inlineStr">
        <is>
          <t>1Q23</t>
        </is>
      </c>
      <c r="K1" s="3" t="inlineStr">
        <is>
          <t>2Q23</t>
        </is>
      </c>
      <c r="L1" s="3" t="inlineStr">
        <is>
          <t>3Q23</t>
        </is>
      </c>
      <c r="M1" s="3" t="inlineStr">
        <is>
          <t>4Q23</t>
        </is>
      </c>
      <c r="N1" s="3" t="inlineStr">
        <is>
          <t>1Q24</t>
        </is>
      </c>
      <c r="O1" s="3" t="inlineStr">
        <is>
          <t>2Q24</t>
        </is>
      </c>
      <c r="P1" s="3" t="inlineStr">
        <is>
          <t>3Q24</t>
        </is>
      </c>
      <c r="Q1" s="3" t="inlineStr">
        <is>
          <t>4Q24</t>
        </is>
      </c>
      <c r="R1" s="3" t="inlineStr">
        <is>
          <t>1Q25</t>
        </is>
      </c>
      <c r="S1" s="3" t="inlineStr">
        <is>
          <t>2Q25</t>
        </is>
      </c>
      <c r="T1" s="3" t="inlineStr">
        <is>
          <t>3Q25</t>
        </is>
      </c>
      <c r="U1" s="3" t="inlineStr">
        <is>
          <t>4Q25</t>
        </is>
      </c>
      <c r="V1" s="3" t="inlineStr">
        <is>
          <t>1Q26</t>
        </is>
      </c>
      <c r="W1" s="3" t="inlineStr">
        <is>
          <t>2Q26</t>
        </is>
      </c>
      <c r="X1" s="3" t="inlineStr">
        <is>
          <t>3Q26</t>
        </is>
      </c>
      <c r="Y1" s="3" t="inlineStr">
        <is>
          <t>4Q26</t>
        </is>
      </c>
      <c r="Z1" s="3" t="inlineStr">
        <is>
          <t>1Q27</t>
        </is>
      </c>
      <c r="AA1" s="3" t="inlineStr">
        <is>
          <t>2Q27</t>
        </is>
      </c>
      <c r="AB1" s="3" t="inlineStr">
        <is>
          <t>3Q27</t>
        </is>
      </c>
      <c r="AC1" s="3" t="inlineStr">
        <is>
          <t>4Q27</t>
        </is>
      </c>
      <c r="AD1" s="3" t="inlineStr">
        <is>
          <t>1Q28</t>
        </is>
      </c>
      <c r="AE1" s="3" t="inlineStr">
        <is>
          <t>2Q28</t>
        </is>
      </c>
      <c r="AF1" s="3" t="inlineStr">
        <is>
          <t>3Q28</t>
        </is>
      </c>
      <c r="AG1" s="3" t="inlineStr">
        <is>
          <t>4Q28</t>
        </is>
      </c>
    </row>
    <row r="3"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2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</row>
    <row r="4">
      <c r="E4" s="7" t="inlineStr">
        <is>
          <t>2021.12</t>
        </is>
      </c>
      <c r="F4" s="7" t="inlineStr">
        <is>
          <t>2022.03</t>
        </is>
      </c>
      <c r="G4" s="7" t="inlineStr">
        <is>
          <t>2022.06</t>
        </is>
      </c>
      <c r="H4" s="7" t="inlineStr">
        <is>
          <t>2022.09</t>
        </is>
      </c>
      <c r="I4" s="7" t="inlineStr">
        <is>
          <t>2022.12</t>
        </is>
      </c>
      <c r="J4" s="7" t="inlineStr">
        <is>
          <t>2023.03</t>
        </is>
      </c>
      <c r="K4" s="7" t="inlineStr">
        <is>
          <t>2023.06</t>
        </is>
      </c>
      <c r="L4" s="7" t="inlineStr">
        <is>
          <t>2023.09</t>
        </is>
      </c>
      <c r="M4" s="7" t="inlineStr">
        <is>
          <t>2023.12</t>
        </is>
      </c>
      <c r="N4" s="7" t="inlineStr">
        <is>
          <t>2024.03</t>
        </is>
      </c>
      <c r="O4" s="7" t="inlineStr">
        <is>
          <t>2024.06</t>
        </is>
      </c>
      <c r="P4" s="7" t="inlineStr">
        <is>
          <t>2024.09</t>
        </is>
      </c>
      <c r="Q4" s="7" t="inlineStr">
        <is>
          <t>2024.12</t>
        </is>
      </c>
      <c r="R4" s="7" t="inlineStr">
        <is>
          <t>2025.03</t>
        </is>
      </c>
      <c r="S4" s="7" t="inlineStr">
        <is>
          <t>2025.06</t>
        </is>
      </c>
      <c r="T4" s="7" t="inlineStr">
        <is>
          <t>2025.09</t>
        </is>
      </c>
      <c r="U4" s="7" t="inlineStr">
        <is>
          <t>2025.12</t>
        </is>
      </c>
      <c r="V4" s="7" t="inlineStr">
        <is>
          <t>2026.03</t>
        </is>
      </c>
      <c r="W4" s="7" t="inlineStr">
        <is>
          <t>2026.06</t>
        </is>
      </c>
      <c r="X4" s="7" t="inlineStr">
        <is>
          <t>2026.09</t>
        </is>
      </c>
      <c r="Y4" s="7" t="inlineStr">
        <is>
          <t>2026.12</t>
        </is>
      </c>
      <c r="Z4" s="7" t="inlineStr">
        <is>
          <t>2027.03</t>
        </is>
      </c>
      <c r="AA4" s="7" t="inlineStr">
        <is>
          <t>2027.06</t>
        </is>
      </c>
      <c r="AB4" s="7" t="inlineStr">
        <is>
          <t>2027.09</t>
        </is>
      </c>
      <c r="AC4" s="7" t="inlineStr">
        <is>
          <t>2027.12</t>
        </is>
      </c>
      <c r="AD4" s="7" t="inlineStr">
        <is>
          <t>2028.03</t>
        </is>
      </c>
      <c r="AE4" s="7" t="inlineStr">
        <is>
          <t>2028.06</t>
        </is>
      </c>
      <c r="AF4" s="7" t="inlineStr">
        <is>
          <t>2028.09</t>
        </is>
      </c>
      <c r="AG4" s="7" t="inlineStr">
        <is>
          <t>2028.12</t>
        </is>
      </c>
    </row>
    <row r="5">
      <c r="D5" t="inlineStr">
        <is>
          <t xml:space="preserve"> 원/달러(평균)</t>
        </is>
      </c>
      <c r="E5" s="13">
        <f>IFERROR(VLOOKUP($D5,환율,MATCH(E$1,변수H,0),0),"")</f>
        <v/>
      </c>
      <c r="F5" s="13">
        <f>IFERROR(VLOOKUP($D5,환율,MATCH(F$1,변수H,0),0),"")</f>
        <v/>
      </c>
      <c r="G5" s="13">
        <f>IFERROR(VLOOKUP($D5,환율,MATCH(G$1,변수H,0),0),"")</f>
        <v/>
      </c>
      <c r="H5" s="13">
        <f>IFERROR(VLOOKUP($D5,환율,MATCH(H$1,변수H,0),0),"")</f>
        <v/>
      </c>
      <c r="I5" s="13">
        <f>IFERROR(VLOOKUP($D5,환율,MATCH(I$1,변수H,0),0),"")</f>
        <v/>
      </c>
      <c r="J5" s="13">
        <f>IFERROR(VLOOKUP($D5,환율,MATCH(J$1,변수H,0),0),"")</f>
        <v/>
      </c>
      <c r="K5" s="13">
        <f>IFERROR(VLOOKUP($D5,환율,MATCH(K$1,변수H,0),0),"")</f>
        <v/>
      </c>
      <c r="L5" s="13">
        <f>IFERROR(VLOOKUP($D5,환율,MATCH(L$1,변수H,0),0),"")</f>
        <v/>
      </c>
      <c r="M5" s="13">
        <f>IFERROR(VLOOKUP($D5,환율,MATCH(M$1,변수H,0),0),"")</f>
        <v/>
      </c>
      <c r="N5" s="13">
        <f>IFERROR(VLOOKUP($D5,환율,MATCH(N$1,변수H,0),0),"")</f>
        <v/>
      </c>
      <c r="O5" s="13">
        <f>IFERROR(VLOOKUP($D5,환율,MATCH(O$1,변수H,0),0),"")</f>
        <v/>
      </c>
      <c r="P5" s="13">
        <f>IFERROR(VLOOKUP($D5,환율,MATCH(P$1,변수H,0),0),"")</f>
        <v/>
      </c>
      <c r="Q5" s="13">
        <f>IFERROR(VLOOKUP($D5,환율,MATCH(Q$1,변수H,0),0),"")</f>
        <v/>
      </c>
      <c r="R5" s="13">
        <f>IFERROR(VLOOKUP($D5,환율,MATCH(R$1,변수H,0),0),"")</f>
        <v/>
      </c>
      <c r="S5" s="13">
        <f>IFERROR(VLOOKUP($D5,환율,MATCH(S$1,변수H,0),0),"")</f>
        <v/>
      </c>
      <c r="T5" s="13">
        <f>IFERROR(VLOOKUP($D5,환율,MATCH(T$1,변수H,0),0),"")</f>
        <v/>
      </c>
      <c r="U5" s="13">
        <f>IFERROR(VLOOKUP($D5,환율,MATCH(U$1,변수H,0),0),"")</f>
        <v/>
      </c>
      <c r="V5" s="13">
        <f>IFERROR(VLOOKUP($D5,환율,MATCH(V$1,변수H,0),0),"")</f>
        <v/>
      </c>
      <c r="W5" s="13">
        <f>IFERROR(VLOOKUP($D5,환율,MATCH(W$1,변수H,0),0),"")</f>
        <v/>
      </c>
      <c r="X5" s="45">
        <f>IFERROR(VLOOKUP($D5,환율,MATCH(X$1,변수H,0),0),"")</f>
        <v/>
      </c>
      <c r="Y5" s="45">
        <f>IFERROR(VLOOKUP($D5,환율,MATCH(Y$1,변수H,0),0),"")</f>
        <v/>
      </c>
      <c r="Z5" s="45">
        <f>IFERROR(VLOOKUP($D5,환율,MATCH(Z$1,변수H,0),0),"")</f>
        <v/>
      </c>
      <c r="AA5" s="45">
        <f>IFERROR(VLOOKUP($D5,환율,MATCH(AA$1,변수H,0),0),"")</f>
        <v/>
      </c>
      <c r="AB5" s="45">
        <f>IFERROR(VLOOKUP($D5,환율,MATCH(AB$1,변수H,0),0),"")</f>
        <v/>
      </c>
      <c r="AC5" s="45">
        <f>IFERROR(VLOOKUP($D5,환율,MATCH(AC$1,변수H,0),0),"")</f>
        <v/>
      </c>
      <c r="AD5" s="45">
        <f>IFERROR(VLOOKUP($D5,환율,MATCH(AD$1,변수H,0),0),"")</f>
        <v/>
      </c>
      <c r="AE5" s="45">
        <f>IFERROR(VLOOKUP($D5,환율,MATCH(AE$1,변수H,0),0),"")</f>
        <v/>
      </c>
      <c r="AF5" s="45">
        <f>IFERROR(VLOOKUP($D5,환율,MATCH(AF$1,변수H,0),0),"")</f>
        <v/>
      </c>
      <c r="AG5" s="45">
        <f>IFERROR(VLOOKUP($D5,환율,MATCH(AG$1,변수H,0),0),"")</f>
        <v/>
      </c>
    </row>
    <row r="6">
      <c r="A6" s="12" t="inlineStr">
        <is>
          <t>원/달러(평균) QoQ</t>
        </is>
      </c>
      <c r="F6" s="21">
        <f>IFERROR(F5/E5-1,"")</f>
        <v/>
      </c>
      <c r="G6" s="21">
        <f>IFERROR(G5/F5-1,"")</f>
        <v/>
      </c>
      <c r="H6" s="21">
        <f>IFERROR(H5/G5-1,"")</f>
        <v/>
      </c>
      <c r="I6" s="21">
        <f>IFERROR(I5/H5-1,"")</f>
        <v/>
      </c>
      <c r="J6" s="21">
        <f>IFERROR(J5/I5-1,"")</f>
        <v/>
      </c>
      <c r="K6" s="21">
        <f>IFERROR(K5/J5-1,"")</f>
        <v/>
      </c>
      <c r="L6" s="21">
        <f>IFERROR(L5/K5-1,"")</f>
        <v/>
      </c>
      <c r="M6" s="21">
        <f>IFERROR(M5/L5-1,"")</f>
        <v/>
      </c>
      <c r="N6" s="21">
        <f>IFERROR(N5/M5-1,"")</f>
        <v/>
      </c>
      <c r="O6" s="21">
        <f>IFERROR(O5/N5-1,"")</f>
        <v/>
      </c>
      <c r="P6" s="21">
        <f>IFERROR(P5/O5-1,"")</f>
        <v/>
      </c>
      <c r="Q6" s="21">
        <f>IFERROR(Q5/P5-1,"")</f>
        <v/>
      </c>
      <c r="R6" s="21">
        <f>IFERROR(R5/Q5-1,"")</f>
        <v/>
      </c>
      <c r="S6" s="21">
        <f>IFERROR(S5/R5-1,"")</f>
        <v/>
      </c>
      <c r="T6" s="21">
        <f>IFERROR(T5/S5-1,"")</f>
        <v/>
      </c>
      <c r="U6" s="21">
        <f>IFERROR(U5/T5-1,"")</f>
        <v/>
      </c>
      <c r="V6" s="21">
        <f>IFERROR(V5/U5-1,"")</f>
        <v/>
      </c>
      <c r="W6" s="21">
        <f>IFERROR(W5/V5-1,"")</f>
        <v/>
      </c>
      <c r="X6" s="31">
        <f>IFERROR(X5/W5-1,"")</f>
        <v/>
      </c>
      <c r="Y6" s="31">
        <f>IFERROR(Y5/X5-1,"")</f>
        <v/>
      </c>
      <c r="Z6" s="31">
        <f>IFERROR(Z5/Y5-1,"")</f>
        <v/>
      </c>
      <c r="AA6" s="31">
        <f>IFERROR(AA5/Z5-1,"")</f>
        <v/>
      </c>
      <c r="AB6" s="31">
        <f>IFERROR(AB5/AA5-1,"")</f>
        <v/>
      </c>
      <c r="AC6" s="31">
        <f>IFERROR(AC5/AB5-1,"")</f>
        <v/>
      </c>
      <c r="AD6" s="31">
        <f>IFERROR(AD5/AC5-1,"")</f>
        <v/>
      </c>
      <c r="AE6" s="31">
        <f>IFERROR(AE5/AD5-1,"")</f>
        <v/>
      </c>
      <c r="AF6" s="31">
        <f>IFERROR(AF5/AE5-1,"")</f>
        <v/>
      </c>
      <c r="AG6" s="31">
        <f>IFERROR(AG5/AF5-1,"")</f>
        <v/>
      </c>
    </row>
    <row r="7">
      <c r="D7" t="inlineStr">
        <is>
          <t xml:space="preserve"> 원/달러(기말)</t>
        </is>
      </c>
      <c r="E7" s="13">
        <f>IFERROR(VLOOKUP($D7,환율,MATCH(E$1,변수H,0),0),"")</f>
        <v/>
      </c>
      <c r="F7" s="13">
        <f>IFERROR(VLOOKUP($D7,환율,MATCH(F$1,변수H,0),0),"")</f>
        <v/>
      </c>
      <c r="G7" s="13">
        <f>IFERROR(VLOOKUP($D7,환율,MATCH(G$1,변수H,0),0),"")</f>
        <v/>
      </c>
      <c r="H7" s="13">
        <f>IFERROR(VLOOKUP($D7,환율,MATCH(H$1,변수H,0),0),"")</f>
        <v/>
      </c>
      <c r="I7" s="13">
        <f>IFERROR(VLOOKUP($D7,환율,MATCH(I$1,변수H,0),0),"")</f>
        <v/>
      </c>
      <c r="J7" s="13">
        <f>IFERROR(VLOOKUP($D7,환율,MATCH(J$1,변수H,0),0),"")</f>
        <v/>
      </c>
      <c r="K7" s="13">
        <f>IFERROR(VLOOKUP($D7,환율,MATCH(K$1,변수H,0),0),"")</f>
        <v/>
      </c>
      <c r="L7" s="13">
        <f>IFERROR(VLOOKUP($D7,환율,MATCH(L$1,변수H,0),0),"")</f>
        <v/>
      </c>
      <c r="M7" s="13">
        <f>IFERROR(VLOOKUP($D7,환율,MATCH(M$1,변수H,0),0),"")</f>
        <v/>
      </c>
      <c r="N7" s="13">
        <f>IFERROR(VLOOKUP($D7,환율,MATCH(N$1,변수H,0),0),"")</f>
        <v/>
      </c>
      <c r="O7" s="13">
        <f>IFERROR(VLOOKUP($D7,환율,MATCH(O$1,변수H,0),0),"")</f>
        <v/>
      </c>
      <c r="P7" s="13">
        <f>IFERROR(VLOOKUP($D7,환율,MATCH(P$1,변수H,0),0),"")</f>
        <v/>
      </c>
      <c r="Q7" s="13">
        <f>IFERROR(VLOOKUP($D7,환율,MATCH(Q$1,변수H,0),0),"")</f>
        <v/>
      </c>
      <c r="R7" s="13">
        <f>IFERROR(VLOOKUP($D7,환율,MATCH(R$1,변수H,0),0),"")</f>
        <v/>
      </c>
      <c r="S7" s="13">
        <f>IFERROR(VLOOKUP($D7,환율,MATCH(S$1,변수H,0),0),"")</f>
        <v/>
      </c>
      <c r="T7" s="13">
        <f>IFERROR(VLOOKUP($D7,환율,MATCH(T$1,변수H,0),0),"")</f>
        <v/>
      </c>
      <c r="U7" s="13">
        <f>IFERROR(VLOOKUP($D7,환율,MATCH(U$1,변수H,0),0),"")</f>
        <v/>
      </c>
      <c r="V7" s="13">
        <f>IFERROR(VLOOKUP($D7,환율,MATCH(V$1,변수H,0),0),"")</f>
        <v/>
      </c>
      <c r="W7" s="13">
        <f>IFERROR(VLOOKUP($D7,환율,MATCH(W$1,변수H,0),0),"")</f>
        <v/>
      </c>
      <c r="X7" s="45">
        <f>IFERROR(VLOOKUP($D7,환율,MATCH(X$1,변수H,0),0),"")</f>
        <v/>
      </c>
      <c r="Y7" s="45">
        <f>IFERROR(VLOOKUP($D7,환율,MATCH(Y$1,변수H,0),0),"")</f>
        <v/>
      </c>
      <c r="Z7" s="45">
        <f>IFERROR(VLOOKUP($D7,환율,MATCH(Z$1,변수H,0),0),"")</f>
        <v/>
      </c>
      <c r="AA7" s="45">
        <f>IFERROR(VLOOKUP($D7,환율,MATCH(AA$1,변수H,0),0),"")</f>
        <v/>
      </c>
      <c r="AB7" s="45">
        <f>IFERROR(VLOOKUP($D7,환율,MATCH(AB$1,변수H,0),0),"")</f>
        <v/>
      </c>
      <c r="AC7" s="45">
        <f>IFERROR(VLOOKUP($D7,환율,MATCH(AC$1,변수H,0),0),"")</f>
        <v/>
      </c>
      <c r="AD7" s="45">
        <f>IFERROR(VLOOKUP($D7,환율,MATCH(AD$1,변수H,0),0),"")</f>
        <v/>
      </c>
      <c r="AE7" s="45">
        <f>IFERROR(VLOOKUP($D7,환율,MATCH(AE$1,변수H,0),0),"")</f>
        <v/>
      </c>
      <c r="AF7" s="45">
        <f>IFERROR(VLOOKUP($D7,환율,MATCH(AF$1,변수H,0),0),"")</f>
        <v/>
      </c>
      <c r="AG7" s="45">
        <f>IFERROR(VLOOKUP($D7,환율,MATCH(AG$1,변수H,0),0),"")</f>
        <v/>
      </c>
    </row>
    <row r="8">
      <c r="A8" s="12" t="inlineStr">
        <is>
          <t>원/달러(기말) QoQ</t>
        </is>
      </c>
      <c r="F8" s="21">
        <f>IFERROR(F7/E7-1,"")</f>
        <v/>
      </c>
      <c r="G8" s="21">
        <f>IFERROR(G7/F7-1,"")</f>
        <v/>
      </c>
      <c r="H8" s="21">
        <f>IFERROR(H7/G7-1,"")</f>
        <v/>
      </c>
      <c r="I8" s="21">
        <f>IFERROR(I7/H7-1,"")</f>
        <v/>
      </c>
      <c r="J8" s="21">
        <f>IFERROR(J7/I7-1,"")</f>
        <v/>
      </c>
      <c r="K8" s="21">
        <f>IFERROR(K7/J7-1,"")</f>
        <v/>
      </c>
      <c r="L8" s="21">
        <f>IFERROR(L7/K7-1,"")</f>
        <v/>
      </c>
      <c r="M8" s="21">
        <f>IFERROR(M7/L7-1,"")</f>
        <v/>
      </c>
      <c r="N8" s="21">
        <f>IFERROR(N7/M7-1,"")</f>
        <v/>
      </c>
      <c r="O8" s="21">
        <f>IFERROR(O7/N7-1,"")</f>
        <v/>
      </c>
      <c r="P8" s="21">
        <f>IFERROR(P7/O7-1,"")</f>
        <v/>
      </c>
      <c r="Q8" s="21">
        <f>IFERROR(Q7/P7-1,"")</f>
        <v/>
      </c>
      <c r="R8" s="21">
        <f>IFERROR(R7/Q7-1,"")</f>
        <v/>
      </c>
      <c r="S8" s="21">
        <f>IFERROR(S7/R7-1,"")</f>
        <v/>
      </c>
      <c r="T8" s="21">
        <f>IFERROR(T7/S7-1,"")</f>
        <v/>
      </c>
      <c r="U8" s="21">
        <f>IFERROR(U7/T7-1,"")</f>
        <v/>
      </c>
      <c r="V8" s="21">
        <f>IFERROR(V7/U7-1,"")</f>
        <v/>
      </c>
      <c r="W8" s="21">
        <f>IFERROR(W7/V7-1,"")</f>
        <v/>
      </c>
      <c r="X8" s="31">
        <f>IFERROR(X7/W7-1,"")</f>
        <v/>
      </c>
      <c r="Y8" s="31">
        <f>IFERROR(Y7/X7-1,"")</f>
        <v/>
      </c>
      <c r="Z8" s="31">
        <f>IFERROR(Z7/Y7-1,"")</f>
        <v/>
      </c>
      <c r="AA8" s="31">
        <f>IFERROR(AA7/Z7-1,"")</f>
        <v/>
      </c>
      <c r="AB8" s="31">
        <f>IFERROR(AB7/AA7-1,"")</f>
        <v/>
      </c>
      <c r="AC8" s="31">
        <f>IFERROR(AC7/AB7-1,"")</f>
        <v/>
      </c>
      <c r="AD8" s="31">
        <f>IFERROR(AD7/AC7-1,"")</f>
        <v/>
      </c>
      <c r="AE8" s="31">
        <f>IFERROR(AE7/AD7-1,"")</f>
        <v/>
      </c>
      <c r="AF8" s="31">
        <f>IFERROR(AF7/AE7-1,"")</f>
        <v/>
      </c>
      <c r="AG8" s="31">
        <f>IFERROR(AG7/AF7-1,"")</f>
        <v/>
      </c>
    </row>
    <row r="9">
      <c r="D9" t="inlineStr">
        <is>
          <t xml:space="preserve"> W/Euro(평균)</t>
        </is>
      </c>
      <c r="E9" s="13">
        <f>IFERROR(VLOOKUP($D9,환율,MATCH(E$1,변수H,0),0),"")</f>
        <v/>
      </c>
      <c r="F9" s="13">
        <f>IFERROR(VLOOKUP($D9,환율,MATCH(F$1,변수H,0),0),"")</f>
        <v/>
      </c>
      <c r="G9" s="13">
        <f>IFERROR(VLOOKUP($D9,환율,MATCH(G$1,변수H,0),0),"")</f>
        <v/>
      </c>
      <c r="H9" s="13">
        <f>IFERROR(VLOOKUP($D9,환율,MATCH(H$1,변수H,0),0),"")</f>
        <v/>
      </c>
      <c r="I9" s="13">
        <f>IFERROR(VLOOKUP($D9,환율,MATCH(I$1,변수H,0),0),"")</f>
        <v/>
      </c>
      <c r="J9" s="13">
        <f>IFERROR(VLOOKUP($D9,환율,MATCH(J$1,변수H,0),0),"")</f>
        <v/>
      </c>
      <c r="K9" s="13">
        <f>IFERROR(VLOOKUP($D9,환율,MATCH(K$1,변수H,0),0),"")</f>
        <v/>
      </c>
      <c r="L9" s="13">
        <f>IFERROR(VLOOKUP($D9,환율,MATCH(L$1,변수H,0),0),"")</f>
        <v/>
      </c>
      <c r="M9" s="13">
        <f>IFERROR(VLOOKUP($D9,환율,MATCH(M$1,변수H,0),0),"")</f>
        <v/>
      </c>
      <c r="N9" s="13">
        <f>IFERROR(VLOOKUP($D9,환율,MATCH(N$1,변수H,0),0),"")</f>
        <v/>
      </c>
      <c r="O9" s="13">
        <f>IFERROR(VLOOKUP($D9,환율,MATCH(O$1,변수H,0),0),"")</f>
        <v/>
      </c>
      <c r="P9" s="13">
        <f>IFERROR(VLOOKUP($D9,환율,MATCH(P$1,변수H,0),0),"")</f>
        <v/>
      </c>
      <c r="Q9" s="13">
        <f>IFERROR(VLOOKUP($D9,환율,MATCH(Q$1,변수H,0),0),"")</f>
        <v/>
      </c>
      <c r="R9" s="13">
        <f>IFERROR(VLOOKUP($D9,환율,MATCH(R$1,변수H,0),0),"")</f>
        <v/>
      </c>
      <c r="S9" s="13">
        <f>IFERROR(VLOOKUP($D9,환율,MATCH(S$1,변수H,0),0),"")</f>
        <v/>
      </c>
      <c r="T9" s="13">
        <f>IFERROR(VLOOKUP($D9,환율,MATCH(T$1,변수H,0),0),"")</f>
        <v/>
      </c>
      <c r="U9" s="13">
        <f>IFERROR(VLOOKUP($D9,환율,MATCH(U$1,변수H,0),0),"")</f>
        <v/>
      </c>
      <c r="V9" s="13">
        <f>IFERROR(VLOOKUP($D9,환율,MATCH(V$1,변수H,0),0),"")</f>
        <v/>
      </c>
      <c r="W9" s="13">
        <f>IFERROR(VLOOKUP($D9,환율,MATCH(W$1,변수H,0),0),"")</f>
        <v/>
      </c>
      <c r="X9" s="45">
        <f>IFERROR(VLOOKUP($D9,환율,MATCH(X$1,변수H,0),0),"")</f>
        <v/>
      </c>
      <c r="Y9" s="45">
        <f>IFERROR(VLOOKUP($D9,환율,MATCH(Y$1,변수H,0),0),"")</f>
        <v/>
      </c>
      <c r="Z9" s="45">
        <f>IFERROR(VLOOKUP($D9,환율,MATCH(Z$1,변수H,0),0),"")</f>
        <v/>
      </c>
      <c r="AA9" s="45">
        <f>IFERROR(VLOOKUP($D9,환율,MATCH(AA$1,변수H,0),0),"")</f>
        <v/>
      </c>
      <c r="AB9" s="45">
        <f>IFERROR(VLOOKUP($D9,환율,MATCH(AB$1,변수H,0),0),"")</f>
        <v/>
      </c>
      <c r="AC9" s="45">
        <f>IFERROR(VLOOKUP($D9,환율,MATCH(AC$1,변수H,0),0),"")</f>
        <v/>
      </c>
      <c r="AD9" s="45">
        <f>IFERROR(VLOOKUP($D9,환율,MATCH(AD$1,변수H,0),0),"")</f>
        <v/>
      </c>
      <c r="AE9" s="45">
        <f>IFERROR(VLOOKUP($D9,환율,MATCH(AE$1,변수H,0),0),"")</f>
        <v/>
      </c>
      <c r="AF9" s="45">
        <f>IFERROR(VLOOKUP($D9,환율,MATCH(AF$1,변수H,0),0),"")</f>
        <v/>
      </c>
      <c r="AG9" s="45">
        <f>IFERROR(VLOOKUP($D9,환율,MATCH(AG$1,변수H,0),0),"")</f>
        <v/>
      </c>
    </row>
    <row r="10">
      <c r="A10" s="12" t="inlineStr">
        <is>
          <t>W/Euro(평균) QoQ</t>
        </is>
      </c>
      <c r="F10" s="21">
        <f>IFERROR(F9/E9-1,"")</f>
        <v/>
      </c>
      <c r="G10" s="21">
        <f>IFERROR(G9/F9-1,"")</f>
        <v/>
      </c>
      <c r="H10" s="21">
        <f>IFERROR(H9/G9-1,"")</f>
        <v/>
      </c>
      <c r="I10" s="21">
        <f>IFERROR(I9/H9-1,"")</f>
        <v/>
      </c>
      <c r="J10" s="21">
        <f>IFERROR(J9/I9-1,"")</f>
        <v/>
      </c>
      <c r="K10" s="21">
        <f>IFERROR(K9/J9-1,"")</f>
        <v/>
      </c>
      <c r="L10" s="21">
        <f>IFERROR(L9/K9-1,"")</f>
        <v/>
      </c>
      <c r="M10" s="21">
        <f>IFERROR(M9/L9-1,"")</f>
        <v/>
      </c>
      <c r="N10" s="21">
        <f>IFERROR(N9/M9-1,"")</f>
        <v/>
      </c>
      <c r="O10" s="21">
        <f>IFERROR(O9/N9-1,"")</f>
        <v/>
      </c>
      <c r="P10" s="21">
        <f>IFERROR(P9/O9-1,"")</f>
        <v/>
      </c>
      <c r="Q10" s="21">
        <f>IFERROR(Q9/P9-1,"")</f>
        <v/>
      </c>
      <c r="R10" s="21">
        <f>IFERROR(R9/Q9-1,"")</f>
        <v/>
      </c>
      <c r="S10" s="21">
        <f>IFERROR(S9/R9-1,"")</f>
        <v/>
      </c>
      <c r="T10" s="21">
        <f>IFERROR(T9/S9-1,"")</f>
        <v/>
      </c>
      <c r="U10" s="21">
        <f>IFERROR(U9/T9-1,"")</f>
        <v/>
      </c>
      <c r="V10" s="21">
        <f>IFERROR(V9/U9-1,"")</f>
        <v/>
      </c>
      <c r="W10" s="21">
        <f>IFERROR(W9/V9-1,"")</f>
        <v/>
      </c>
      <c r="X10" s="31">
        <f>IFERROR(X9/W9-1,"")</f>
        <v/>
      </c>
      <c r="Y10" s="31">
        <f>IFERROR(Y9/X9-1,"")</f>
        <v/>
      </c>
      <c r="Z10" s="31">
        <f>IFERROR(Z9/Y9-1,"")</f>
        <v/>
      </c>
      <c r="AA10" s="31">
        <f>IFERROR(AA9/Z9-1,"")</f>
        <v/>
      </c>
      <c r="AB10" s="31">
        <f>IFERROR(AB9/AA9-1,"")</f>
        <v/>
      </c>
      <c r="AC10" s="31">
        <f>IFERROR(AC9/AB9-1,"")</f>
        <v/>
      </c>
      <c r="AD10" s="31">
        <f>IFERROR(AD9/AC9-1,"")</f>
        <v/>
      </c>
      <c r="AE10" s="31">
        <f>IFERROR(AE9/AD9-1,"")</f>
        <v/>
      </c>
      <c r="AF10" s="31">
        <f>IFERROR(AF9/AE9-1,"")</f>
        <v/>
      </c>
      <c r="AG10" s="31">
        <f>IFERROR(AG9/AF9-1,"")</f>
        <v/>
      </c>
    </row>
    <row r="11">
      <c r="D11" t="inlineStr">
        <is>
          <t xml:space="preserve"> W/Euro(기말)</t>
        </is>
      </c>
      <c r="E11" s="13">
        <f>IFERROR(VLOOKUP($D11,환율,MATCH(E$1,변수H,0),0),"")</f>
        <v/>
      </c>
      <c r="F11" s="13">
        <f>IFERROR(VLOOKUP($D11,환율,MATCH(F$1,변수H,0),0),"")</f>
        <v/>
      </c>
      <c r="G11" s="13">
        <f>IFERROR(VLOOKUP($D11,환율,MATCH(G$1,변수H,0),0),"")</f>
        <v/>
      </c>
      <c r="H11" s="13">
        <f>IFERROR(VLOOKUP($D11,환율,MATCH(H$1,변수H,0),0),"")</f>
        <v/>
      </c>
      <c r="I11" s="13">
        <f>IFERROR(VLOOKUP($D11,환율,MATCH(I$1,변수H,0),0),"")</f>
        <v/>
      </c>
      <c r="J11" s="13">
        <f>IFERROR(VLOOKUP($D11,환율,MATCH(J$1,변수H,0),0),"")</f>
        <v/>
      </c>
      <c r="K11" s="13">
        <f>IFERROR(VLOOKUP($D11,환율,MATCH(K$1,변수H,0),0),"")</f>
        <v/>
      </c>
      <c r="L11" s="13">
        <f>IFERROR(VLOOKUP($D11,환율,MATCH(L$1,변수H,0),0),"")</f>
        <v/>
      </c>
      <c r="M11" s="13">
        <f>IFERROR(VLOOKUP($D11,환율,MATCH(M$1,변수H,0),0),"")</f>
        <v/>
      </c>
      <c r="N11" s="13">
        <f>IFERROR(VLOOKUP($D11,환율,MATCH(N$1,변수H,0),0),"")</f>
        <v/>
      </c>
      <c r="O11" s="13">
        <f>IFERROR(VLOOKUP($D11,환율,MATCH(O$1,변수H,0),0),"")</f>
        <v/>
      </c>
      <c r="P11" s="13">
        <f>IFERROR(VLOOKUP($D11,환율,MATCH(P$1,변수H,0),0),"")</f>
        <v/>
      </c>
      <c r="Q11" s="13">
        <f>IFERROR(VLOOKUP($D11,환율,MATCH(Q$1,변수H,0),0),"")</f>
        <v/>
      </c>
      <c r="R11" s="13">
        <f>IFERROR(VLOOKUP($D11,환율,MATCH(R$1,변수H,0),0),"")</f>
        <v/>
      </c>
      <c r="S11" s="13">
        <f>IFERROR(VLOOKUP($D11,환율,MATCH(S$1,변수H,0),0),"")</f>
        <v/>
      </c>
      <c r="T11" s="13">
        <f>IFERROR(VLOOKUP($D11,환율,MATCH(T$1,변수H,0),0),"")</f>
        <v/>
      </c>
      <c r="U11" s="13">
        <f>IFERROR(VLOOKUP($D11,환율,MATCH(U$1,변수H,0),0),"")</f>
        <v/>
      </c>
      <c r="V11" s="13">
        <f>IFERROR(VLOOKUP($D11,환율,MATCH(V$1,변수H,0),0),"")</f>
        <v/>
      </c>
      <c r="W11" s="13">
        <f>IFERROR(VLOOKUP($D11,환율,MATCH(W$1,변수H,0),0),"")</f>
        <v/>
      </c>
      <c r="X11" s="45">
        <f>IFERROR(VLOOKUP($D11,환율,MATCH(X$1,변수H,0),0),"")</f>
        <v/>
      </c>
      <c r="Y11" s="45">
        <f>IFERROR(VLOOKUP($D11,환율,MATCH(Y$1,변수H,0),0),"")</f>
        <v/>
      </c>
      <c r="Z11" s="45">
        <f>IFERROR(VLOOKUP($D11,환율,MATCH(Z$1,변수H,0),0),"")</f>
        <v/>
      </c>
      <c r="AA11" s="45">
        <f>IFERROR(VLOOKUP($D11,환율,MATCH(AA$1,변수H,0),0),"")</f>
        <v/>
      </c>
      <c r="AB11" s="45">
        <f>IFERROR(VLOOKUP($D11,환율,MATCH(AB$1,변수H,0),0),"")</f>
        <v/>
      </c>
      <c r="AC11" s="45">
        <f>IFERROR(VLOOKUP($D11,환율,MATCH(AC$1,변수H,0),0),"")</f>
        <v/>
      </c>
      <c r="AD11" s="45">
        <f>IFERROR(VLOOKUP($D11,환율,MATCH(AD$1,변수H,0),0),"")</f>
        <v/>
      </c>
      <c r="AE11" s="45">
        <f>IFERROR(VLOOKUP($D11,환율,MATCH(AE$1,변수H,0),0),"")</f>
        <v/>
      </c>
      <c r="AF11" s="45">
        <f>IFERROR(VLOOKUP($D11,환율,MATCH(AF$1,변수H,0),0),"")</f>
        <v/>
      </c>
      <c r="AG11" s="45">
        <f>IFERROR(VLOOKUP($D11,환율,MATCH(AG$1,변수H,0),0),"")</f>
        <v/>
      </c>
    </row>
    <row r="12">
      <c r="A12" s="12" t="inlineStr">
        <is>
          <t>W/Euro(기말) QoQ</t>
        </is>
      </c>
      <c r="F12" s="21">
        <f>IFERROR(F11/E11-1,"")</f>
        <v/>
      </c>
      <c r="G12" s="21">
        <f>IFERROR(G11/F11-1,"")</f>
        <v/>
      </c>
      <c r="H12" s="21">
        <f>IFERROR(H11/G11-1,"")</f>
        <v/>
      </c>
      <c r="I12" s="21">
        <f>IFERROR(I11/H11-1,"")</f>
        <v/>
      </c>
      <c r="J12" s="21">
        <f>IFERROR(J11/I11-1,"")</f>
        <v/>
      </c>
      <c r="K12" s="21">
        <f>IFERROR(K11/J11-1,"")</f>
        <v/>
      </c>
      <c r="L12" s="21">
        <f>IFERROR(L11/K11-1,"")</f>
        <v/>
      </c>
      <c r="M12" s="21">
        <f>IFERROR(M11/L11-1,"")</f>
        <v/>
      </c>
      <c r="N12" s="21">
        <f>IFERROR(N11/M11-1,"")</f>
        <v/>
      </c>
      <c r="O12" s="21">
        <f>IFERROR(O11/N11-1,"")</f>
        <v/>
      </c>
      <c r="P12" s="21">
        <f>IFERROR(P11/O11-1,"")</f>
        <v/>
      </c>
      <c r="Q12" s="21">
        <f>IFERROR(Q11/P11-1,"")</f>
        <v/>
      </c>
      <c r="R12" s="21">
        <f>IFERROR(R11/Q11-1,"")</f>
        <v/>
      </c>
      <c r="S12" s="21">
        <f>IFERROR(S11/R11-1,"")</f>
        <v/>
      </c>
      <c r="T12" s="21">
        <f>IFERROR(T11/S11-1,"")</f>
        <v/>
      </c>
      <c r="U12" s="21">
        <f>IFERROR(U11/T11-1,"")</f>
        <v/>
      </c>
      <c r="V12" s="21">
        <f>IFERROR(V11/U11-1,"")</f>
        <v/>
      </c>
      <c r="W12" s="21">
        <f>IFERROR(W11/V11-1,"")</f>
        <v/>
      </c>
      <c r="X12" s="31">
        <f>IFERROR(X11/W11-1,"")</f>
        <v/>
      </c>
      <c r="Y12" s="31">
        <f>IFERROR(Y11/X11-1,"")</f>
        <v/>
      </c>
      <c r="Z12" s="31">
        <f>IFERROR(Z11/Y11-1,"")</f>
        <v/>
      </c>
      <c r="AA12" s="31">
        <f>IFERROR(AA11/Z11-1,"")</f>
        <v/>
      </c>
      <c r="AB12" s="31">
        <f>IFERROR(AB11/AA11-1,"")</f>
        <v/>
      </c>
      <c r="AC12" s="31">
        <f>IFERROR(AC11/AB11-1,"")</f>
        <v/>
      </c>
      <c r="AD12" s="31">
        <f>IFERROR(AD11/AC11-1,"")</f>
        <v/>
      </c>
      <c r="AE12" s="31">
        <f>IFERROR(AE11/AD11-1,"")</f>
        <v/>
      </c>
      <c r="AF12" s="31">
        <f>IFERROR(AF11/AE11-1,"")</f>
        <v/>
      </c>
      <c r="AG12" s="31">
        <f>IFERROR(AG11/AF11-1,"")</f>
        <v/>
      </c>
    </row>
    <row r="13">
      <c r="D13" t="inlineStr">
        <is>
          <t xml:space="preserve"> 원/100Y(기말)</t>
        </is>
      </c>
      <c r="E13" s="13">
        <f>IFERROR(VLOOKUP($D13,환율,MATCH(E$1,변수H,0),0),"")</f>
        <v/>
      </c>
      <c r="F13" s="13">
        <f>IFERROR(VLOOKUP($D13,환율,MATCH(F$1,변수H,0),0),"")</f>
        <v/>
      </c>
      <c r="G13" s="13">
        <f>IFERROR(VLOOKUP($D13,환율,MATCH(G$1,변수H,0),0),"")</f>
        <v/>
      </c>
      <c r="H13" s="13">
        <f>IFERROR(VLOOKUP($D13,환율,MATCH(H$1,변수H,0),0),"")</f>
        <v/>
      </c>
      <c r="I13" s="13">
        <f>IFERROR(VLOOKUP($D13,환율,MATCH(I$1,변수H,0),0),"")</f>
        <v/>
      </c>
      <c r="J13" s="13">
        <f>IFERROR(VLOOKUP($D13,환율,MATCH(J$1,변수H,0),0),"")</f>
        <v/>
      </c>
      <c r="K13" s="13">
        <f>IFERROR(VLOOKUP($D13,환율,MATCH(K$1,변수H,0),0),"")</f>
        <v/>
      </c>
      <c r="L13" s="13">
        <f>IFERROR(VLOOKUP($D13,환율,MATCH(L$1,변수H,0),0),"")</f>
        <v/>
      </c>
      <c r="M13" s="13">
        <f>IFERROR(VLOOKUP($D13,환율,MATCH(M$1,변수H,0),0),"")</f>
        <v/>
      </c>
      <c r="N13" s="13">
        <f>IFERROR(VLOOKUP($D13,환율,MATCH(N$1,변수H,0),0),"")</f>
        <v/>
      </c>
      <c r="O13" s="13">
        <f>IFERROR(VLOOKUP($D13,환율,MATCH(O$1,변수H,0),0),"")</f>
        <v/>
      </c>
      <c r="P13" s="13">
        <f>IFERROR(VLOOKUP($D13,환율,MATCH(P$1,변수H,0),0),"")</f>
        <v/>
      </c>
      <c r="Q13" s="13">
        <f>IFERROR(VLOOKUP($D13,환율,MATCH(Q$1,변수H,0),0),"")</f>
        <v/>
      </c>
      <c r="R13" s="13">
        <f>IFERROR(VLOOKUP($D13,환율,MATCH(R$1,변수H,0),0),"")</f>
        <v/>
      </c>
      <c r="S13" s="13">
        <f>IFERROR(VLOOKUP($D13,환율,MATCH(S$1,변수H,0),0),"")</f>
        <v/>
      </c>
      <c r="T13" s="13">
        <f>IFERROR(VLOOKUP($D13,환율,MATCH(T$1,변수H,0),0),"")</f>
        <v/>
      </c>
      <c r="U13" s="13">
        <f>IFERROR(VLOOKUP($D13,환율,MATCH(U$1,변수H,0),0),"")</f>
        <v/>
      </c>
      <c r="V13" s="13">
        <f>IFERROR(VLOOKUP($D13,환율,MATCH(V$1,변수H,0),0),"")</f>
        <v/>
      </c>
      <c r="W13" s="13">
        <f>IFERROR(VLOOKUP($D13,환율,MATCH(W$1,변수H,0),0),"")</f>
        <v/>
      </c>
      <c r="X13" s="45">
        <f>IFERROR(VLOOKUP($D13,환율,MATCH(X$1,변수H,0),0),"")</f>
        <v/>
      </c>
      <c r="Y13" s="45">
        <f>IFERROR(VLOOKUP($D13,환율,MATCH(Y$1,변수H,0),0),"")</f>
        <v/>
      </c>
      <c r="Z13" s="45">
        <f>IFERROR(VLOOKUP($D13,환율,MATCH(Z$1,변수H,0),0),"")</f>
        <v/>
      </c>
      <c r="AA13" s="45">
        <f>IFERROR(VLOOKUP($D13,환율,MATCH(AA$1,변수H,0),0),"")</f>
        <v/>
      </c>
      <c r="AB13" s="45">
        <f>IFERROR(VLOOKUP($D13,환율,MATCH(AB$1,변수H,0),0),"")</f>
        <v/>
      </c>
      <c r="AC13" s="45">
        <f>IFERROR(VLOOKUP($D13,환율,MATCH(AC$1,변수H,0),0),"")</f>
        <v/>
      </c>
      <c r="AD13" s="45">
        <f>IFERROR(VLOOKUP($D13,환율,MATCH(AD$1,변수H,0),0),"")</f>
        <v/>
      </c>
      <c r="AE13" s="45">
        <f>IFERROR(VLOOKUP($D13,환율,MATCH(AE$1,변수H,0),0),"")</f>
        <v/>
      </c>
      <c r="AF13" s="45">
        <f>IFERROR(VLOOKUP($D13,환율,MATCH(AF$1,변수H,0),0),"")</f>
        <v/>
      </c>
      <c r="AG13" s="45">
        <f>IFERROR(VLOOKUP($D13,환율,MATCH(AG$1,변수H,0),0),"")</f>
        <v/>
      </c>
    </row>
    <row r="14">
      <c r="A14" s="12" t="inlineStr">
        <is>
          <t>원/100Y(기말) QoQ</t>
        </is>
      </c>
      <c r="F14" s="21">
        <f>IFERROR(F13/E13-1,"")</f>
        <v/>
      </c>
      <c r="G14" s="21">
        <f>IFERROR(G13/F13-1,"")</f>
        <v/>
      </c>
      <c r="H14" s="21">
        <f>IFERROR(H13/G13-1,"")</f>
        <v/>
      </c>
      <c r="I14" s="21">
        <f>IFERROR(I13/H13-1,"")</f>
        <v/>
      </c>
      <c r="J14" s="21">
        <f>IFERROR(J13/I13-1,"")</f>
        <v/>
      </c>
      <c r="K14" s="21">
        <f>IFERROR(K13/J13-1,"")</f>
        <v/>
      </c>
      <c r="L14" s="21">
        <f>IFERROR(L13/K13-1,"")</f>
        <v/>
      </c>
      <c r="M14" s="21">
        <f>IFERROR(M13/L13-1,"")</f>
        <v/>
      </c>
      <c r="N14" s="21">
        <f>IFERROR(N13/M13-1,"")</f>
        <v/>
      </c>
      <c r="O14" s="21">
        <f>IFERROR(O13/N13-1,"")</f>
        <v/>
      </c>
      <c r="P14" s="21">
        <f>IFERROR(P13/O13-1,"")</f>
        <v/>
      </c>
      <c r="Q14" s="21">
        <f>IFERROR(Q13/P13-1,"")</f>
        <v/>
      </c>
      <c r="R14" s="21">
        <f>IFERROR(R13/Q13-1,"")</f>
        <v/>
      </c>
      <c r="S14" s="21">
        <f>IFERROR(S13/R13-1,"")</f>
        <v/>
      </c>
      <c r="T14" s="21">
        <f>IFERROR(T13/S13-1,"")</f>
        <v/>
      </c>
      <c r="U14" s="21">
        <f>IFERROR(U13/T13-1,"")</f>
        <v/>
      </c>
      <c r="V14" s="21">
        <f>IFERROR(V13/U13-1,"")</f>
        <v/>
      </c>
      <c r="W14" s="21">
        <f>IFERROR(W13/V13-1,"")</f>
        <v/>
      </c>
      <c r="X14" s="31">
        <f>IFERROR(X13/W13-1,"")</f>
        <v/>
      </c>
      <c r="Y14" s="31">
        <f>IFERROR(Y13/X13-1,"")</f>
        <v/>
      </c>
      <c r="Z14" s="31">
        <f>IFERROR(Z13/Y13-1,"")</f>
        <v/>
      </c>
      <c r="AA14" s="31">
        <f>IFERROR(AA13/Z13-1,"")</f>
        <v/>
      </c>
      <c r="AB14" s="31">
        <f>IFERROR(AB13/AA13-1,"")</f>
        <v/>
      </c>
      <c r="AC14" s="31">
        <f>IFERROR(AC13/AB13-1,"")</f>
        <v/>
      </c>
      <c r="AD14" s="31">
        <f>IFERROR(AD13/AC13-1,"")</f>
        <v/>
      </c>
      <c r="AE14" s="31">
        <f>IFERROR(AE13/AD13-1,"")</f>
        <v/>
      </c>
      <c r="AF14" s="31">
        <f>IFERROR(AF13/AE13-1,"")</f>
        <v/>
      </c>
      <c r="AG14" s="31">
        <f>IFERROR(AG13/AF13-1,"")</f>
        <v/>
      </c>
    </row>
    <row r="15">
      <c r="X15" s="10" t="n"/>
      <c r="Y15" s="10" t="n"/>
      <c r="Z15" s="10" t="n"/>
      <c r="AA15" s="10" t="n"/>
      <c r="AB15" s="10" t="n"/>
      <c r="AC15" s="10" t="n"/>
      <c r="AD15" s="10" t="n"/>
      <c r="AE15" s="10" t="n"/>
      <c r="AF15" s="10" t="n"/>
      <c r="AG15" s="10" t="n"/>
    </row>
    <row r="16">
      <c r="A16" s="12" t="inlineStr">
        <is>
          <t>외화순노출</t>
        </is>
      </c>
      <c r="C16" t="inlineStr">
        <is>
          <t>외화 순노출(백만$)</t>
        </is>
      </c>
      <c r="D16" s="26">
        <f>변수!D54</f>
        <v/>
      </c>
      <c r="E16" s="2" t="inlineStr">
        <is>
          <t>외화 순노출 × Δ기말환율 (외화 시트 방식)</t>
        </is>
      </c>
      <c r="X16" s="10" t="n"/>
      <c r="Y16" s="10" t="n"/>
      <c r="Z16" s="10" t="n"/>
      <c r="AA16" s="10" t="n"/>
      <c r="AB16" s="10" t="n"/>
      <c r="AC16" s="10" t="n"/>
      <c r="AD16" s="10" t="n"/>
      <c r="AE16" s="10" t="n"/>
      <c r="AF16" s="10" t="n"/>
      <c r="AG16" s="10" t="n"/>
    </row>
    <row r="17">
      <c r="A17" s="12" t="inlineStr">
        <is>
          <t>환관련손익추정</t>
        </is>
      </c>
      <c r="C17" t="inlineStr">
        <is>
          <t>환관련손익 추정(억원) = 순노출 × Δ원/달러(기말) / 100</t>
        </is>
      </c>
      <c r="F17" s="18">
        <f>IFERROR($D$16*(F7-E7)/100,"")</f>
        <v/>
      </c>
      <c r="G17" s="18">
        <f>IFERROR($D$16*(G7-F7)/100,"")</f>
        <v/>
      </c>
      <c r="H17" s="18">
        <f>IFERROR($D$16*(H7-G7)/100,"")</f>
        <v/>
      </c>
      <c r="I17" s="18">
        <f>IFERROR($D$16*(I7-H7)/100,"")</f>
        <v/>
      </c>
      <c r="J17" s="18">
        <f>IFERROR($D$16*(J7-I7)/100,"")</f>
        <v/>
      </c>
      <c r="K17" s="18">
        <f>IFERROR($D$16*(K7-J7)/100,"")</f>
        <v/>
      </c>
      <c r="L17" s="18">
        <f>IFERROR($D$16*(L7-K7)/100,"")</f>
        <v/>
      </c>
      <c r="M17" s="18">
        <f>IFERROR($D$16*(M7-L7)/100,"")</f>
        <v/>
      </c>
      <c r="N17" s="18">
        <f>IFERROR($D$16*(N7-M7)/100,"")</f>
        <v/>
      </c>
      <c r="O17" s="18">
        <f>IFERROR($D$16*(O7-N7)/100,"")</f>
        <v/>
      </c>
      <c r="P17" s="18">
        <f>IFERROR($D$16*(P7-O7)/100,"")</f>
        <v/>
      </c>
      <c r="Q17" s="18">
        <f>IFERROR($D$16*(Q7-P7)/100,"")</f>
        <v/>
      </c>
      <c r="R17" s="18">
        <f>IFERROR($D$16*(R7-Q7)/100,"")</f>
        <v/>
      </c>
      <c r="S17" s="18">
        <f>IFERROR($D$16*(S7-R7)/100,"")</f>
        <v/>
      </c>
      <c r="T17" s="18">
        <f>IFERROR($D$16*(T7-S7)/100,"")</f>
        <v/>
      </c>
      <c r="U17" s="18">
        <f>IFERROR($D$16*(U7-T7)/100,"")</f>
        <v/>
      </c>
      <c r="V17" s="18">
        <f>IFERROR($D$16*(V7-U7)/100,"")</f>
        <v/>
      </c>
      <c r="W17" s="18">
        <f>IFERROR($D$16*(W7-V7)/100,"")</f>
        <v/>
      </c>
      <c r="X17" s="20">
        <f>IFERROR($D$16*(X7-W7)/100,"")</f>
        <v/>
      </c>
      <c r="Y17" s="20">
        <f>IFERROR($D$16*(Y7-X7)/100,"")</f>
        <v/>
      </c>
      <c r="Z17" s="20">
        <f>IFERROR($D$16*(Z7-Y7)/100,"")</f>
        <v/>
      </c>
      <c r="AA17" s="20">
        <f>IFERROR($D$16*(AA7-Z7)/100,"")</f>
        <v/>
      </c>
      <c r="AB17" s="20">
        <f>IFERROR($D$16*(AB7-AA7)/100,"")</f>
        <v/>
      </c>
      <c r="AC17" s="20">
        <f>IFERROR($D$16*(AC7-AB7)/100,"")</f>
        <v/>
      </c>
      <c r="AD17" s="20">
        <f>IFERROR($D$16*(AD7-AC7)/100,"")</f>
        <v/>
      </c>
      <c r="AE17" s="20">
        <f>IFERROR($D$16*(AE7-AD7)/100,"")</f>
        <v/>
      </c>
      <c r="AF17" s="20">
        <f>IFERROR($D$16*(AF7-AE7)/100,"")</f>
        <v/>
      </c>
      <c r="AG17" s="20">
        <f>IFERROR($D$16*(AG7-AF7)/100,"")</f>
        <v/>
      </c>
    </row>
    <row r="18">
      <c r="A18" s="12" t="inlineStr">
        <is>
          <t>fx_pnl.by_q</t>
        </is>
      </c>
      <c r="C18" t="inlineStr">
        <is>
          <t>모델 fx_pnl.by_q(억원, 참고)</t>
        </is>
      </c>
      <c r="X18" s="10" t="n"/>
      <c r="Y18" s="10" t="n"/>
      <c r="Z18" s="10" t="n"/>
      <c r="AA18" s="10" t="n"/>
      <c r="AB18" s="10" t="n"/>
      <c r="AC18" s="10" t="n"/>
      <c r="AD18" s="10" t="n"/>
      <c r="AE18" s="10" t="n"/>
      <c r="AF18" s="10" t="n"/>
      <c r="AG18" s="10" t="n"/>
    </row>
    <row r="19">
      <c r="C19" s="2" t="inlineStr">
        <is>
          <t>외화 순노출 미공시(face) → 0 + 표기</t>
        </is>
      </c>
      <c r="X19" s="10" t="n"/>
      <c r="Y19" s="10" t="n"/>
      <c r="Z19" s="10" t="n"/>
      <c r="AA19" s="10" t="n"/>
      <c r="AB19" s="10" t="n"/>
      <c r="AC19" s="10" t="n"/>
      <c r="AD19" s="10" t="n"/>
      <c r="AE19" s="10" t="n"/>
      <c r="AF19" s="10" t="n"/>
      <c r="AG19" s="10" t="n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kship_model_xlsx</dc:creator>
  <dcterms:created xmlns:dcterms="http://purl.org/dc/terms/" xmlns:xsi="http://www.w3.org/2001/XMLSchema-instance" xsi:type="dcterms:W3CDTF">2026-10-02T00:00:00Z</dcterms:created>
  <dcterms:modified xmlns:dcterms="http://purl.org/dc/terms/" xmlns:xsi="http://www.w3.org/2001/XMLSchema-instance" xsi:type="dcterms:W3CDTF">2026-10-02T00:00:00Z</dcterms:modified>
</cp:coreProperties>
</file>