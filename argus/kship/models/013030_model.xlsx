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3절 스칼라 '판관비율' 참조 — 숫자로 덮어쓰면 이 분기만 바뀐다
매출액 × 판관비율 12.27%(최근 4분기 중위)</t>
      </text>
    </comment>
    <comment ref="AD22" authorId="0" shapeId="0">
      <text>
        <t>3절 스칼라 '판관비율' 참조 — 숫자로 덮어쓰면 이 분기만 바뀐다
매출액 × 판관비율 12.27%(최근 4분기 중위)</t>
      </text>
    </comment>
    <comment ref="AF22" authorId="0" shapeId="0">
      <text>
        <t>3절 스칼라 '판관비율' 참조 — 숫자로 덮어쓰면 이 분기만 바뀐다
매출액 × 판관비율 12.27%(최근 4분기 중위)</t>
      </text>
    </comment>
    <comment ref="AG22" authorId="0" shapeId="0">
      <text>
        <t>3절 스칼라 '판관비율' 참조 — 숫자로 덮어쓰면 이 분기만 바뀐다
매출액 × 판관비율 12.27%(최근 4분기 중위)</t>
      </text>
    </comment>
    <comment ref="AH22" authorId="0" shapeId="0">
      <text>
        <t>3절 스칼라 '판관비율' 참조 — 숫자로 덮어쓰면 이 분기만 바뀐다
매출액 × 판관비율 12.27%(최근 4분기 중위)</t>
      </text>
    </comment>
    <comment ref="AI22" authorId="0" shapeId="0">
      <text>
        <t>3절 스칼라 '판관비율' 참조 — 숫자로 덮어쓰면 이 분기만 바뀐다
매출액 × 판관비율 12.27%(최근 4분기 중위)</t>
      </text>
    </comment>
    <comment ref="AK22" authorId="0" shapeId="0">
      <text>
        <t>3절 스칼라 '판관비율' 참조 — 숫자로 덮어쓰면 이 분기만 바뀐다
매출액 × 판관비율 12.27%(최근 4분기 중위)</t>
      </text>
    </comment>
    <comment ref="AL22" authorId="0" shapeId="0">
      <text>
        <t>3절 스칼라 '판관비율' 참조 — 숫자로 덮어쓰면 이 분기만 바뀐다
매출액 × 판관비율 12.27%(최근 4분기 중위)</t>
      </text>
    </comment>
    <comment ref="AM22" authorId="0" shapeId="0">
      <text>
        <t>3절 스칼라 '판관비율' 참조 — 숫자로 덮어쓰면 이 분기만 바뀐다
매출액 × 판관비율 12.27%(최근 4분기 중위)</t>
      </text>
    </comment>
    <comment ref="AN22" authorId="0" shapeId="0">
      <text>
        <t>3절 스칼라 '판관비율' 참조 — 숫자로 덮어쓰면 이 분기만 바뀐다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D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F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G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H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I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K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L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M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N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C26" authorId="0" shapeId="0">
      <text>
        <t>3절 스칼라 '지배주주비중' 참조 — 숫자로 덮어쓰면 이 분기만 바뀐다
당기순이익 × (1 − 비지배 비중 0.9%, 최근 8분기 실측)</t>
      </text>
    </comment>
    <comment ref="AD26" authorId="0" shapeId="0">
      <text>
        <t>3절 스칼라 '지배주주비중' 참조 — 숫자로 덮어쓰면 이 분기만 바뀐다
당기순이익 × (1 − 비지배 비중 0.9%, 최근 8분기 실측)</t>
      </text>
    </comment>
    <comment ref="AF26" authorId="0" shapeId="0">
      <text>
        <t>3절 스칼라 '지배주주비중' 참조 — 숫자로 덮어쓰면 이 분기만 바뀐다
당기순이익 × (1 − 비지배 비중 0.9%, 최근 8분기 실측)</t>
      </text>
    </comment>
    <comment ref="AG26" authorId="0" shapeId="0">
      <text>
        <t>3절 스칼라 '지배주주비중' 참조 — 숫자로 덮어쓰면 이 분기만 바뀐다
당기순이익 × (1 − 비지배 비중 0.9%, 최근 8분기 실측)</t>
      </text>
    </comment>
    <comment ref="AH26" authorId="0" shapeId="0">
      <text>
        <t>3절 스칼라 '지배주주비중' 참조 — 숫자로 덮어쓰면 이 분기만 바뀐다
당기순이익 × (1 − 비지배 비중 0.9%, 최근 8분기 실측)</t>
      </text>
    </comment>
    <comment ref="AI26" authorId="0" shapeId="0">
      <text>
        <t>3절 스칼라 '지배주주비중' 참조 — 숫자로 덮어쓰면 이 분기만 바뀐다
당기순이익 × (1 − 비지배 비중 0.9%, 최근 8분기 실측)</t>
      </text>
    </comment>
    <comment ref="AK26" authorId="0" shapeId="0">
      <text>
        <t>3절 스칼라 '지배주주비중' 참조 — 숫자로 덮어쓰면 이 분기만 바뀐다
당기순이익 × (1 − 비지배 비중 0.9%, 최근 8분기 실측)</t>
      </text>
    </comment>
    <comment ref="AL26" authorId="0" shapeId="0">
      <text>
        <t>3절 스칼라 '지배주주비중' 참조 — 숫자로 덮어쓰면 이 분기만 바뀐다
당기순이익 × (1 − 비지배 비중 0.9%, 최근 8분기 실측)</t>
      </text>
    </comment>
    <comment ref="AM26" authorId="0" shapeId="0">
      <text>
        <t>3절 스칼라 '지배주주비중' 참조 — 숫자로 덮어쓰면 이 분기만 바뀐다
당기순이익 × (1 − 비지배 비중 0.9%, 최근 8분기 실측)</t>
      </text>
    </comment>
    <comment ref="AN26" authorId="0" shapeId="0">
      <text>
        <t>3절 스칼라 '지배주주비중' 참조 — 숫자로 덮어쓰면 이 분기만 바뀐다
당기순이익 × (1 − 비지배 비중 0.9%,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AC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4" authorId="0" shapeId="0">
      <text>
        <t>모델값 역산(implied): v / 전분기 − 1
유통주식수 유지 — fin.shares.common_outstanding(2026Q2)</t>
      </text>
    </comment>
    <comment ref="AD34" authorId="0" shapeId="0">
      <text>
        <t>모델값 역산(implied): v / 전분기 − 1
유통주식수 유지 — fin.shares.common_outstanding(2026Q2)</t>
      </text>
    </comment>
    <comment ref="AF34" authorId="0" shapeId="0">
      <text>
        <t>모델값 역산(implied): v / 전분기 − 1
유통주식수 유지 — fin.shares.common_outstanding(2026Q2)</t>
      </text>
    </comment>
    <comment ref="AG34" authorId="0" shapeId="0">
      <text>
        <t>모델값 역산(implied): v / 전분기 − 1
유통주식수 유지 — fin.shares.common_outstanding(2026Q2)</t>
      </text>
    </comment>
    <comment ref="AH34" authorId="0" shapeId="0">
      <text>
        <t>모델값 역산(implied): v / 전분기 − 1
유통주식수 유지 — fin.shares.common_outstanding(2026Q2)</t>
      </text>
    </comment>
    <comment ref="AI34" authorId="0" shapeId="0">
      <text>
        <t>모델값 역산(implied): v / 전분기 − 1
유통주식수 유지 — fin.shares.common_outstanding(2026Q2)</t>
      </text>
    </comment>
    <comment ref="AK34" authorId="0" shapeId="0">
      <text>
        <t>모델값 역산(implied): v / 전분기 − 1
유통주식수 유지 — fin.shares.common_outstanding(2026Q2)</t>
      </text>
    </comment>
    <comment ref="AL34" authorId="0" shapeId="0">
      <text>
        <t>모델값 역산(implied): v / 전분기 − 1
유통주식수 유지 — fin.shares.common_outstanding(2026Q2)</t>
      </text>
    </comment>
    <comment ref="AM34" authorId="0" shapeId="0">
      <text>
        <t>모델값 역산(implied): v / 전분기 − 1
유통주식수 유지 — fin.shares.common_outstanding(2026Q2)</t>
      </text>
    </comment>
    <comment ref="AN34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모델 v 그대로
직전 결산 DPS 1,350원 유지</t>
      </text>
    </comment>
    <comment ref="AI35" authorId="0" shapeId="0">
      <text>
        <t>모델값 역산(implied): 모델 v 그대로
직전 결산 DPS 1,350원 유지</t>
      </text>
    </comment>
    <comment ref="AN35" authorId="0" shapeId="0">
      <text>
        <t>모델값 역산(implied): 모델 v 그대로
직전 결산 DPS 1,350원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AC10" authorId="0" shapeId="0">
      <text>
        <t>추정: 최근 8분기 OPM 중위 27.9% 유지(클립 −20~40%)
[divide]</t>
      </text>
    </comment>
    <comment ref="AD10" authorId="0" shapeId="0">
      <text>
        <t>추정: 최근 8분기 OPM 중위 27.9% 유지(클립 −20~40%)
[divide]</t>
      </text>
    </comment>
    <comment ref="AF10" authorId="0" shapeId="0">
      <text>
        <t>추정: 최근 8분기 OPM 중위 27.9% 유지(클립 −20~40%)
[divide]</t>
      </text>
    </comment>
    <comment ref="AG10" authorId="0" shapeId="0">
      <text>
        <t>추정: 최근 8분기 OPM 중위 27.9% 유지(클립 −20~40%)
[divide]</t>
      </text>
    </comment>
    <comment ref="AH10" authorId="0" shapeId="0">
      <text>
        <t>추정: 최근 8분기 OPM 중위 27.9% 유지(클립 −20~40%)
[divide]</t>
      </text>
    </comment>
    <comment ref="AI10" authorId="0" shapeId="0">
      <text>
        <t>추정: 최근 8분기 OPM 중위 27.9% 유지(클립 −20~40%)
[divide]</t>
      </text>
    </comment>
    <comment ref="AK10" authorId="0" shapeId="0">
      <text>
        <t>추정: 최근 8분기 OPM 중위 27.9% 유지(클립 −20~40%)
[divide]</t>
      </text>
    </comment>
    <comment ref="AL10" authorId="0" shapeId="0">
      <text>
        <t>추정: 최근 8분기 OPM 중위 27.9% 유지(클립 −20~40%)
[divide]</t>
      </text>
    </comment>
    <comment ref="AM10" authorId="0" shapeId="0">
      <text>
        <t>추정: 최근 8분기 OPM 중위 27.9% 유지(클립 −20~40%)
[divide]</t>
      </text>
    </comment>
    <comment ref="AN10" authorId="0" shapeId="0">
      <text>
        <t>추정: 최근 8분기 OPM 중위 27.9%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
[identity]</t>
      </text>
    </comment>
    <comment ref="AC12" authorId="0" shapeId="0">
      <text>
        <t>추정: 이자발생자산 1906억 × 2.67%(CF 이자수취 ÷ 평균 이자발생자산(2025Q3~2026Q2; 주석 이자수익 0분기 &lt; 4)) − 총차입금 0억 × 0.00%(없음) (연율) ÷ 4
[interest]</t>
      </text>
    </comment>
    <comment ref="AD12" authorId="0" shapeId="0">
      <text>
        <t>추정: 이자발생자산 2047억 × 2.67%(CF 이자수취 ÷ 평균 이자발생자산(2025Q3~2026Q2; 주석 이자수익 0분기 &lt; 4)) − 총차입금 0억 × 0.00%(없음) (연율) ÷ 4
[interest]</t>
      </text>
    </comment>
    <comment ref="AF12" authorId="0" shapeId="0">
      <text>
        <t>추정: 이자발생자산 2197억 × 2.67%(CF 이자수취 ÷ 평균 이자발생자산(2025Q3~2026Q2; 주석 이자수익 0분기 &lt; 4)) − 총차입금 0억 × 0.00%(없음) (연율) ÷ 4
[interest]</t>
      </text>
    </comment>
    <comment ref="AG12" authorId="0" shapeId="0">
      <text>
        <t>추정: 이자발생자산 2340억 × 2.67%(CF 이자수취 ÷ 평균 이자발생자산(2025Q3~2026Q2; 주석 이자수익 0분기 &lt; 4)) − 총차입금 0억 × 0.00%(없음) (연율) ÷ 4
[interest]</t>
      </text>
    </comment>
    <comment ref="AH12" authorId="0" shapeId="0">
      <text>
        <t>추정: 이자발생자산 2337억 × 2.67%(CF 이자수취 ÷ 평균 이자발생자산(2025Q3~2026Q2; 주석 이자수익 0분기 &lt; 4)) − 총차입금 0억 × 0.00%(없음) (연율) ÷ 4
[interest]</t>
      </text>
    </comment>
    <comment ref="AI12" authorId="0" shapeId="0">
      <text>
        <t>추정: 이자발생자산 2489억 × 2.67%(CF 이자수취 ÷ 평균 이자발생자산(2025Q3~2026Q2; 주석 이자수익 0분기 &lt; 4)) − 총차입금 0억 × 0.00%(없음) (연율) ÷ 4
[interest]</t>
      </text>
    </comment>
    <comment ref="AK12" authorId="0" shapeId="0">
      <text>
        <t>추정: 이자발생자산 2650억 × 2.67%(CF 이자수취 ÷ 평균 이자발생자산(2025Q3~2026Q2; 주석 이자수익 0분기 &lt; 4)) − 총차입금 0억 × 0.00%(없음) (연율) ÷ 4
[interest]</t>
      </text>
    </comment>
    <comment ref="AL12" authorId="0" shapeId="0">
      <text>
        <t>추정: 이자발생자산 2804억 × 2.67%(CF 이자수취 ÷ 평균 이자발생자산(2025Q3~2026Q2; 주석 이자수익 0분기 &lt; 4)) − 총차입금 0억 × 0.00%(없음) (연율) ÷ 4
[interest]</t>
      </text>
    </comment>
    <comment ref="AM12" authorId="0" shapeId="0">
      <text>
        <t>추정: 이자발생자산 2814억 × 2.67%(CF 이자수취 ÷ 평균 이자발생자산(2025Q3~2026Q2; 주석 이자수익 0분기 &lt; 4)) − 총차입금 0억 × 0.00%(없음) (연율) ÷ 4
[interest]</t>
      </text>
    </comment>
    <comment ref="AN12" authorId="0" shapeId="0">
      <text>
        <t>추정: 이자발생자산 2973억 × 2.67%(CF 이자수취 ÷ 평균 이자발생자산(2025Q3~2026Q2; 주석 이자수익 0분기 &lt; 4))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23.2%(최근 12분기 유효세율 23.2%(5~27% 안 — 그대로))
[tax]</t>
      </text>
    </comment>
    <comment ref="AD15" authorId="0" shapeId="0">
      <text>
        <t>추정: max(세전, 0) × 세율 23.2%(최근 12분기 유효세율 23.2%(5~27% 안 — 그대로))
[tax]</t>
      </text>
    </comment>
    <comment ref="AF15" authorId="0" shapeId="0">
      <text>
        <t>추정: max(세전, 0) × 세율 23.2%(최근 12분기 유효세율 23.2%(5~27% 안 — 그대로))
[tax]</t>
      </text>
    </comment>
    <comment ref="AG15" authorId="0" shapeId="0">
      <text>
        <t>추정: max(세전, 0) × 세율 23.2%(최근 12분기 유효세율 23.2%(5~27% 안 — 그대로))
[tax]</t>
      </text>
    </comment>
    <comment ref="AH15" authorId="0" shapeId="0">
      <text>
        <t>추정: max(세전, 0) × 세율 23.2%(최근 12분기 유효세율 23.2%(5~27% 안 — 그대로))
[tax]</t>
      </text>
    </comment>
    <comment ref="AI15" authorId="0" shapeId="0">
      <text>
        <t>추정: max(세전, 0) × 세율 23.2%(최근 12분기 유효세율 23.2%(5~27% 안 — 그대로))
[tax]</t>
      </text>
    </comment>
    <comment ref="AK15" authorId="0" shapeId="0">
      <text>
        <t>추정: max(세전, 0) × 세율 23.2%(최근 12분기 유효세율 23.2%(5~27% 안 — 그대로))
[tax]</t>
      </text>
    </comment>
    <comment ref="AL15" authorId="0" shapeId="0">
      <text>
        <t>추정: max(세전, 0) × 세율 23.2%(최근 12분기 유효세율 23.2%(5~27% 안 — 그대로))
[tax]</t>
      </text>
    </comment>
    <comment ref="AM15" authorId="0" shapeId="0">
      <text>
        <t>추정: max(세전, 0) × 세율 23.2%(최근 12분기 유효세율 23.2%(5~27% 안 — 그대로))
[tax]</t>
      </text>
    </comment>
    <comment ref="AN15" authorId="0" shapeId="0">
      <text>
        <t>추정: max(세전, 0) × 세율 23.2%(최근 12분기 유효세율 23.2%(5~27%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0.9%, 최근 8분기 실측)
[ratio]</t>
      </text>
    </comment>
    <comment ref="AD17" authorId="0" shapeId="0">
      <text>
        <t>추정: 당기순이익 × (1 − 비지배 비중 0.9%, 최근 8분기 실측)
[ratio]</t>
      </text>
    </comment>
    <comment ref="AF17" authorId="0" shapeId="0">
      <text>
        <t>추정: 당기순이익 × (1 − 비지배 비중 0.9%, 최근 8분기 실측)
[ratio]</t>
      </text>
    </comment>
    <comment ref="AG17" authorId="0" shapeId="0">
      <text>
        <t>추정: 당기순이익 × (1 − 비지배 비중 0.9%, 최근 8분기 실측)
[ratio]</t>
      </text>
    </comment>
    <comment ref="AH17" authorId="0" shapeId="0">
      <text>
        <t>추정: 당기순이익 × (1 − 비지배 비중 0.9%, 최근 8분기 실측)
[ratio]</t>
      </text>
    </comment>
    <comment ref="AI17" authorId="0" shapeId="0">
      <text>
        <t>추정: 당기순이익 × (1 − 비지배 비중 0.9%, 최근 8분기 실측)
[ratio]</t>
      </text>
    </comment>
    <comment ref="AK17" authorId="0" shapeId="0">
      <text>
        <t>추정: 당기순이익 × (1 − 비지배 비중 0.9%, 최근 8분기 실측)
[ratio]</t>
      </text>
    </comment>
    <comment ref="AL17" authorId="0" shapeId="0">
      <text>
        <t>추정: 당기순이익 × (1 − 비지배 비중 0.9%, 최근 8분기 실측)
[ratio]</t>
      </text>
    </comment>
    <comment ref="AM17" authorId="0" shapeId="0">
      <text>
        <t>추정: 당기순이익 × (1 − 비지배 비중 0.9%, 최근 8분기 실측)
[ratio]</t>
      </text>
    </comment>
    <comment ref="AN17" authorId="0" shapeId="0">
      <text>
        <t>추정: 당기순이익 × (1 − 비지배 비중 0.9%,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전분기 + FCF 근사 — 순차입금 롤과 같은 가정
[qoq]</t>
      </text>
    </comment>
    <comment ref="AD22" authorId="0" shapeId="0">
      <text>
        <t>추정: 전분기 + FCF 근사 — 순차입금 롤과 같은 가정
[qoq]</t>
      </text>
    </comment>
    <comment ref="AF22" authorId="0" shapeId="0">
      <text>
        <t>추정: 전분기 + FCF 근사 — 순차입금 롤과 같은 가정
[qoq]</t>
      </text>
    </comment>
    <comment ref="AG22" authorId="0" shapeId="0">
      <text>
        <t>추정: 전분기 + FCF 근사 — 순차입금 롤과 같은 가정
[qoq]</t>
      </text>
    </comment>
    <comment ref="AH22" authorId="0" shapeId="0">
      <text>
        <t>추정: 전분기 + FCF 근사 — 순차입금 롤과 같은 가정
[qoq]</t>
      </text>
    </comment>
    <comment ref="AI22" authorId="0" shapeId="0">
      <text>
        <t>추정: 전분기 + FCF 근사 — 순차입금 롤과 같은 가정
[qoq]</t>
      </text>
    </comment>
    <comment ref="AK22" authorId="0" shapeId="0">
      <text>
        <t>추정: 전분기 + FCF 근사 — 순차입금 롤과 같은 가정
[qoq]</t>
      </text>
    </comment>
    <comment ref="AL22" authorId="0" shapeId="0">
      <text>
        <t>추정: 전분기 + FCF 근사 — 순차입금 롤과 같은 가정
[qoq]</t>
      </text>
    </comment>
    <comment ref="AM22" authorId="0" shapeId="0">
      <text>
        <t>추정: 전분기 + FCF 근사 — 순차입금 롤과 같은 가정
[qoq]</t>
      </text>
    </comment>
    <comment ref="AN22" authorId="0" shapeId="0">
      <text>
        <t>추정: 전분기 + FCF 근사 — 순차입금 롤과 같은 가정
[qoq]</t>
      </text>
    </comment>
    <comment ref="AC24" authorId="0" shapeId="0">
      <text>
        <t>추정: 최근 4분기(2025Q3~2026Q2) CAPEX 중위 유지 — 순차입금 롤에 미반영(감가상각비 없음 → CAPEX≈감가 가정)
[yoy]</t>
      </text>
    </comment>
    <comment ref="AD24" authorId="0" shapeId="0">
      <text>
        <t>추정: 최근 4분기(2025Q3~2026Q2) CAPEX 중위 유지 — 순차입금 롤에 미반영(감가상각비 없음 → CAPEX≈감가 가정)
[yoy]</t>
      </text>
    </comment>
    <comment ref="AF24" authorId="0" shapeId="0">
      <text>
        <t>추정: 최근 4분기(2025Q3~2026Q2) CAPEX 중위 유지 — 순차입금 롤에 미반영(감가상각비 없음 → CAPEX≈감가 가정)
[yoy]</t>
      </text>
    </comment>
    <comment ref="AG24" authorId="0" shapeId="0">
      <text>
        <t>추정: 최근 4분기(2025Q3~2026Q2) CAPEX 중위 유지 — 순차입금 롤에 미반영(감가상각비 없음 → CAPEX≈감가 가정)
[yoy]</t>
      </text>
    </comment>
    <comment ref="AH24" authorId="0" shapeId="0">
      <text>
        <t>추정: 최근 4분기(2025Q3~2026Q2) CAPEX 중위 유지 — 순차입금 롤에 미반영(감가상각비 없음 → CAPEX≈감가 가정)
[yoy]</t>
      </text>
    </comment>
    <comment ref="AI24" authorId="0" shapeId="0">
      <text>
        <t>추정: 최근 4분기(2025Q3~2026Q2) CAPEX 중위 유지 — 순차입금 롤에 미반영(감가상각비 없음 → CAPEX≈감가 가정)
[yoy]</t>
      </text>
    </comment>
    <comment ref="AK24" authorId="0" shapeId="0">
      <text>
        <t>추정: 최근 4분기(2025Q3~2026Q2) CAPEX 중위 유지 — 순차입금 롤에 미반영(감가상각비 없음 → CAPEX≈감가 가정)
[yoy]</t>
      </text>
    </comment>
    <comment ref="AL24" authorId="0" shapeId="0">
      <text>
        <t>추정: 최근 4분기(2025Q3~2026Q2) CAPEX 중위 유지 — 순차입금 롤에 미반영(감가상각비 없음 → CAPEX≈감가 가정)
[yoy]</t>
      </text>
    </comment>
    <comment ref="AM24" authorId="0" shapeId="0">
      <text>
        <t>추정: 최근 4분기(2025Q3~2026Q2) CAPEX 중위 유지 — 순차입금 롤에 미반영(감가상각비 없음 → CAPEX≈감가 가정)
[yoy]</t>
      </text>
    </comment>
    <comment ref="AN24" authorId="0" shapeId="0">
      <text>
        <t>추정: 최근 4분기(2025Q3~2026Q2) CAPEX 중위 유지 — 순차입금 롤에 미반영(감가상각비 없음 → CAPEX≈감가 가정)
[yoy]</t>
      </text>
    </comment>
    <comment ref="E26" authorId="0" shapeId="0">
      <text>
        <t>실측(계정 매핑 없음(파생·부문·시세 행) — 모델값 직접) — fin.shares.common_outstanding</t>
      </text>
    </comment>
    <comment ref="G26" authorId="0" shapeId="0">
      <text>
        <t>실측(계정 매핑 없음(파생·부문·시세 행) — 모델값 직접) — fin.shares.common_outstanding</t>
      </text>
    </comment>
    <comment ref="H26" authorId="0" shapeId="0">
      <text>
        <t>실측(계정 매핑 없음(파생·부문·시세 행) — 모델값 직접) — fin.shares.common_outstanding</t>
      </text>
    </comment>
    <comment ref="I26" authorId="0" shapeId="0">
      <text>
        <t>실측(계정 매핑 없음(파생·부문·시세 행) — 모델값 직접) — fin.shares.common_outstanding</t>
      </text>
    </comment>
    <comment ref="J26" authorId="0" shapeId="0">
      <text>
        <t>실측(계정 매핑 없음(파생·부문·시세 행) — 모델값 직접) — fin.shares.common_outstanding</t>
      </text>
    </comment>
    <comment ref="L26" authorId="0" shapeId="0">
      <text>
        <t>실측(계정 매핑 없음(파생·부문·시세 행) — 모델값 직접) — fin.shares.common_outstanding</t>
      </text>
    </comment>
    <comment ref="M26" authorId="0" shapeId="0">
      <text>
        <t>실측(계정 매핑 없음(파생·부문·시세 행) — 모델값 직접) — fin.shares.common_outstanding</t>
      </text>
    </comment>
    <comment ref="N26" authorId="0" shapeId="0">
      <text>
        <t>실측(계정 매핑 없음(파생·부문·시세 행) — 모델값 직접) — fin.shares.common_outstanding</t>
      </text>
    </comment>
    <comment ref="O26" authorId="0" shapeId="0">
      <text>
        <t>실측(계정 매핑 없음(파생·부문·시세 행) — 모델값 직접) — fin.shares.common_outstanding</t>
      </text>
    </comment>
    <comment ref="Q26" authorId="0" shapeId="0">
      <text>
        <t>실측(계정 매핑 없음(파생·부문·시세 행) — 모델값 직접) — fin.shares.common_outstanding</t>
      </text>
    </comment>
    <comment ref="R26" authorId="0" shapeId="0">
      <text>
        <t>실측(계정 매핑 없음(파생·부문·시세 행) — 모델값 직접) — fin.shares.common_outstanding</t>
      </text>
    </comment>
    <comment ref="S26" authorId="0" shapeId="0">
      <text>
        <t>실측(계정 매핑 없음(파생·부문·시세 행) — 모델값 직접) — fin.shares.common_outstanding</t>
      </text>
    </comment>
    <comment ref="T26" authorId="0" shapeId="0">
      <text>
        <t>실측(계정 매핑 없음(파생·부문·시세 행) — 모델값 직접) — fin.shares.common_outstanding</t>
      </text>
    </comment>
    <comment ref="V26" authorId="0" shapeId="0">
      <text>
        <t>실측(계정 매핑 없음(파생·부문·시세 행) — 모델값 직접) — fin.shares.common_outstanding</t>
      </text>
    </comment>
    <comment ref="W26" authorId="0" shapeId="0">
      <text>
        <t>실측(계정 매핑 없음(파생·부문·시세 행) — 모델값 직접) — fin.shares.common_outstanding</t>
      </text>
    </comment>
    <comment ref="X26" authorId="0" shapeId="0">
      <text>
        <t>실측(계정 매핑 없음(파생·부문·시세 행) — 모델값 직접) — fin.shares.common_outstanding</t>
      </text>
    </comment>
    <comment ref="Y26" authorId="0" shapeId="0">
      <text>
        <t>실측(계정 매핑 없음(파생·부문·시세 행) — 모델값 직접) — fin.shares.common_outstanding</t>
      </text>
    </comment>
    <comment ref="AA26" authorId="0" shapeId="0">
      <text>
        <t>실측(계정 매핑 없음(파생·부문·시세 행) — 모델값 직접) — fin.shares.common_outstanding</t>
      </text>
    </comment>
    <comment ref="AB26" authorId="0" shapeId="0">
      <text>
        <t>실측(계정 매핑 없음(파생·부문·시세 행)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없음(파생·부문·시세 행)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없음(파생·부문·시세 행) — 모델값 직접) — fin.dividend.dps_common(연간, Q4 에 표기)</t>
      </text>
    </comment>
    <comment ref="O29" authorId="0" shapeId="0">
      <text>
        <t>실측(계정 매핑 없음(파생·부문·시세 행) — 모델값 직접) — fin.dividend.dps_common(연간, Q4 에 표기)</t>
      </text>
    </comment>
    <comment ref="T29" authorId="0" shapeId="0">
      <text>
        <t>실측(계정 매핑 없음(파생·부문·시세 행) — 모델값 직접) — fin.dividend.dps_common(연간, Q4 에 표기)</t>
      </text>
    </comment>
    <comment ref="Y29" authorId="0" shapeId="0">
      <text>
        <t>실측(계정 매핑 없음(파생·부문·시세 행) — 모델값 직접) — fin.dividend.dps_common(연간, Q4 에 표기)</t>
      </text>
    </comment>
    <comment ref="AD29" authorId="0" shapeId="0">
      <text>
        <t>추정: 직전 결산 DPS 1,350원 유지
[abs]</t>
      </text>
    </comment>
    <comment ref="AI29" authorId="0" shapeId="0">
      <text>
        <t>추정: 직전 결산 DPS 1,350원 유지
[abs]</t>
      </text>
    </comment>
    <comment ref="AN29" authorId="0" shapeId="0">
      <text>
        <t>추정: 직전 결산 DPS 1,350원 유지
[abs]</t>
      </text>
    </comment>
    <comment ref="AC30" authorId="0" shapeId="0">
      <text>
        <t>추정: 현재 종가 ÷ TTM EPS(추정 포함)
[valuation]</t>
      </text>
    </comment>
    <comment ref="AD30" authorId="0" shapeId="0">
      <text>
        <t>추정: 현재 종가 ÷ TTM EPS(추정 포함)
[valuation]</t>
      </text>
    </comment>
    <comment ref="AF30" authorId="0" shapeId="0">
      <text>
        <t>추정: 현재 종가 ÷ TTM EPS(추정 포함)
[valuation]</t>
      </text>
    </comment>
    <comment ref="AG30" authorId="0" shapeId="0">
      <text>
        <t>추정: 현재 종가 ÷ TTM EPS(추정 포함)
[valuation]</t>
      </text>
    </comment>
    <comment ref="AH30" authorId="0" shapeId="0">
      <text>
        <t>추정: 현재 종가 ÷ TTM EPS(추정 포함)
[valuation]</t>
      </text>
    </comment>
    <comment ref="AI30" authorId="0" shapeId="0">
      <text>
        <t>추정: 현재 종가 ÷ TTM EPS(추정 포함)
[valuation]</t>
      </text>
    </comment>
    <comment ref="AK30" authorId="0" shapeId="0">
      <text>
        <t>추정: 현재 종가 ÷ TTM EPS(추정 포함)
[valuation]</t>
      </text>
    </comment>
    <comment ref="AL30" authorId="0" shapeId="0">
      <text>
        <t>추정: 현재 종가 ÷ TTM EPS(추정 포함)
[valuation]</t>
      </text>
    </comment>
    <comment ref="AM30" authorId="0" shapeId="0">
      <text>
        <t>추정: 현재 종가 ÷ TTM EPS(추정 포함)
[valuation]</t>
      </text>
    </comment>
    <comment ref="AN30" authorId="0" shapeId="0">
      <text>
        <t>추정: 현재 종가 ÷ TTM EPS(추정 포함)
[valuation]</t>
      </text>
    </comment>
    <comment ref="AC31" authorId="0" shapeId="0">
      <text>
        <t>추정: 현재 종가 ÷ BPS(추정 포함)
[valuation]</t>
      </text>
    </comment>
    <comment ref="AD31" authorId="0" shapeId="0">
      <text>
        <t>추정: 현재 종가 ÷ BPS(추정 포함)
[valuation]</t>
      </text>
    </comment>
    <comment ref="AF31" authorId="0" shapeId="0">
      <text>
        <t>추정: 현재 종가 ÷ BPS(추정 포함)
[valuation]</t>
      </text>
    </comment>
    <comment ref="AG31" authorId="0" shapeId="0">
      <text>
        <t>추정: 현재 종가 ÷ BPS(추정 포함)
[valuation]</t>
      </text>
    </comment>
    <comment ref="AH31" authorId="0" shapeId="0">
      <text>
        <t>추정: 현재 종가 ÷ BPS(추정 포함)
[valuation]</t>
      </text>
    </comment>
    <comment ref="AI31" authorId="0" shapeId="0">
      <text>
        <t>추정: 현재 종가 ÷ BPS(추정 포함)
[valuation]</t>
      </text>
    </comment>
    <comment ref="AK31" authorId="0" shapeId="0">
      <text>
        <t>추정: 현재 종가 ÷ BPS(추정 포함)
[valuation]</t>
      </text>
    </comment>
    <comment ref="AL31" authorId="0" shapeId="0">
      <text>
        <t>추정: 현재 종가 ÷ BPS(추정 포함)
[valuation]</t>
      </text>
    </comment>
    <comment ref="AM31" authorId="0" shapeId="0">
      <text>
        <t>추정: 현재 종가 ÷ BPS(추정 포함)
[valuation]</t>
      </text>
    </comment>
    <comment ref="AN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G32" authorId="0" shapeId="0">
      <text>
        <t>실측(계정 매핑 없음(파생·부문·시세 행) — 모델값 직접) — = 매출액(부문 미분리)</t>
      </text>
    </comment>
    <comment ref="H32" authorId="0" shapeId="0">
      <text>
        <t>실측(계정 매핑 없음(파생·부문·시세 행) — 모델값 직접) — = 매출액(부문 미분리)</t>
      </text>
    </comment>
    <comment ref="I32" authorId="0" shapeId="0">
      <text>
        <t>실측(계정 매핑 없음(파생·부문·시세 행) — 모델값 직접) — = 매출액(부문 미분리)</t>
      </text>
    </comment>
    <comment ref="J32" authorId="0" shapeId="0">
      <text>
        <t>실측(계정 매핑 없음(파생·부문·시세 행) — 모델값 직접) — = 매출액(부문 미분리)</t>
      </text>
    </comment>
    <comment ref="L32" authorId="0" shapeId="0">
      <text>
        <t>실측(계정 매핑 없음(파생·부문·시세 행) — 모델값 직접) — = 매출액(부문 미분리)</t>
      </text>
    </comment>
    <comment ref="M32" authorId="0" shapeId="0">
      <text>
        <t>실측(계정 매핑 없음(파생·부문·시세 행) — 모델값 직접) — = 매출액(부문 미분리)</t>
      </text>
    </comment>
    <comment ref="N32" authorId="0" shapeId="0">
      <text>
        <t>실측(계정 매핑 없음(파생·부문·시세 행) — 모델값 직접) — = 매출액(부문 미분리)</t>
      </text>
    </comment>
    <comment ref="O32" authorId="0" shapeId="0">
      <text>
        <t>실측(계정 매핑 없음(파생·부문·시세 행) — 모델값 직접) — = 매출액(부문 미분리)</t>
      </text>
    </comment>
    <comment ref="Q32" authorId="0" shapeId="0">
      <text>
        <t>실측(계정 매핑 없음(파생·부문·시세 행) — 모델값 직접) — = 매출액(부문 미분리)</t>
      </text>
    </comment>
    <comment ref="R32" authorId="0" shapeId="0">
      <text>
        <t>실측(계정 매핑 없음(파생·부문·시세 행) — 모델값 직접) — = 매출액(부문 미분리)</t>
      </text>
    </comment>
    <comment ref="S32" authorId="0" shapeId="0">
      <text>
        <t>실측(계정 매핑 없음(파생·부문·시세 행) — 모델값 직접) — = 매출액(부문 미분리)</t>
      </text>
    </comment>
    <comment ref="T32" authorId="0" shapeId="0">
      <text>
        <t>실측(계정 매핑 없음(파생·부문·시세 행) — 모델값 직접) — = 매출액(부문 미분리)</t>
      </text>
    </comment>
    <comment ref="V32" authorId="0" shapeId="0">
      <text>
        <t>실측(계정 매핑 없음(파생·부문·시세 행) — 모델값 직접) — = 매출액(부문 미분리)</t>
      </text>
    </comment>
    <comment ref="W32" authorId="0" shapeId="0">
      <text>
        <t>실측(계정 매핑 없음(파생·부문·시세 행) — 모델값 직접) — = 매출액(부문 미분리)</t>
      </text>
    </comment>
    <comment ref="X32" authorId="0" shapeId="0">
      <text>
        <t>실측(계정 매핑 없음(파생·부문·시세 행) — 모델값 직접) — = 매출액(부문 미분리)</t>
      </text>
    </comment>
    <comment ref="Y32" authorId="0" shapeId="0">
      <text>
        <t>실측(계정 매핑 없음(파생·부문·시세 행) — 모델값 직접) — = 매출액(부문 미분리)</t>
      </text>
    </comment>
    <comment ref="AA32" authorId="0" shapeId="0">
      <text>
        <t>실측(계정 매핑 없음(파생·부문·시세 행) — 모델값 직접) — = 매출액(부문 미분리)</t>
      </text>
    </comment>
    <comment ref="AB32" authorId="0" shapeId="0">
      <text>
        <t>실측(계정 매핑 없음(파생·부문·시세 행) — 모델값 직접) — = 매출액(부문 미분리)</t>
      </text>
    </comment>
    <comment ref="AC32" authorId="0" shapeId="0">
      <text>
        <t>추정: = 매출액 추정(부문 미분리)
[identity]</t>
      </text>
    </comment>
    <comment ref="AD32" authorId="0" shapeId="0">
      <text>
        <t>추정: = 매출액 추정(부문 미분리)
[identity]</t>
      </text>
    </comment>
    <comment ref="AF32" authorId="0" shapeId="0">
      <text>
        <t>추정: = 매출액 추정(부문 미분리)
[identity]</t>
      </text>
    </comment>
    <comment ref="AG32" authorId="0" shapeId="0">
      <text>
        <t>추정: = 매출액 추정(부문 미분리)
[identity]</t>
      </text>
    </comment>
    <comment ref="AH32" authorId="0" shapeId="0">
      <text>
        <t>추정: = 매출액 추정(부문 미분리)
[identity]</t>
      </text>
    </comment>
    <comment ref="AI32" authorId="0" shapeId="0">
      <text>
        <t>추정: = 매출액 추정(부문 미분리)
[identity]</t>
      </text>
    </comment>
    <comment ref="AK32" authorId="0" shapeId="0">
      <text>
        <t>추정: = 매출액 추정(부문 미분리)
[identity]</t>
      </text>
    </comment>
    <comment ref="AL32" authorId="0" shapeId="0">
      <text>
        <t>추정: = 매출액 추정(부문 미분리)
[identity]</t>
      </text>
    </comment>
    <comment ref="AM32" authorId="0" shapeId="0">
      <text>
        <t>추정: = 매출액 추정(부문 미분리)
[identity]</t>
      </text>
    </comment>
    <comment ref="AN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G33" authorId="0" shapeId="0">
      <text>
        <t>실측(계정 매핑 없음(파생·부문·시세 행) — 모델값 직접) — = 영업이익(부문 미분리)</t>
      </text>
    </comment>
    <comment ref="H33" authorId="0" shapeId="0">
      <text>
        <t>실측(계정 매핑 없음(파생·부문·시세 행) — 모델값 직접) — = 영업이익(부문 미분리)</t>
      </text>
    </comment>
    <comment ref="I33" authorId="0" shapeId="0">
      <text>
        <t>실측(계정 매핑 없음(파생·부문·시세 행) — 모델값 직접) — = 영업이익(부문 미분리)</t>
      </text>
    </comment>
    <comment ref="J33" authorId="0" shapeId="0">
      <text>
        <t>실측(계정 매핑 없음(파생·부문·시세 행) — 모델값 직접) — = 영업이익(부문 미분리)</t>
      </text>
    </comment>
    <comment ref="L33" authorId="0" shapeId="0">
      <text>
        <t>실측(계정 매핑 없음(파생·부문·시세 행) — 모델값 직접) — = 영업이익(부문 미분리)</t>
      </text>
    </comment>
    <comment ref="M33" authorId="0" shapeId="0">
      <text>
        <t>실측(계정 매핑 없음(파생·부문·시세 행) — 모델값 직접) — = 영업이익(부문 미분리)</t>
      </text>
    </comment>
    <comment ref="N33" authorId="0" shapeId="0">
      <text>
        <t>실측(계정 매핑 없음(파생·부문·시세 행) — 모델값 직접) — = 영업이익(부문 미분리)</t>
      </text>
    </comment>
    <comment ref="O33" authorId="0" shapeId="0">
      <text>
        <t>실측(계정 매핑 없음(파생·부문·시세 행) — 모델값 직접) — = 영업이익(부문 미분리)</t>
      </text>
    </comment>
    <comment ref="Q33" authorId="0" shapeId="0">
      <text>
        <t>실측(계정 매핑 없음(파생·부문·시세 행) — 모델값 직접) — = 영업이익(부문 미분리)</t>
      </text>
    </comment>
    <comment ref="R33" authorId="0" shapeId="0">
      <text>
        <t>실측(계정 매핑 없음(파생·부문·시세 행) — 모델값 직접) — = 영업이익(부문 미분리)</t>
      </text>
    </comment>
    <comment ref="S33" authorId="0" shapeId="0">
      <text>
        <t>실측(계정 매핑 없음(파생·부문·시세 행) — 모델값 직접) — = 영업이익(부문 미분리)</t>
      </text>
    </comment>
    <comment ref="T33" authorId="0" shapeId="0">
      <text>
        <t>실측(계정 매핑 없음(파생·부문·시세 행) — 모델값 직접) — = 영업이익(부문 미분리)</t>
      </text>
    </comment>
    <comment ref="V33" authorId="0" shapeId="0">
      <text>
        <t>실측(계정 매핑 없음(파생·부문·시세 행) — 모델값 직접) — = 영업이익(부문 미분리)</t>
      </text>
    </comment>
    <comment ref="W33" authorId="0" shapeId="0">
      <text>
        <t>실측(계정 매핑 없음(파생·부문·시세 행) — 모델값 직접) — = 영업이익(부문 미분리)</t>
      </text>
    </comment>
    <comment ref="X33" authorId="0" shapeId="0">
      <text>
        <t>실측(계정 매핑 없음(파생·부문·시세 행) — 모델값 직접) — = 영업이익(부문 미분리)</t>
      </text>
    </comment>
    <comment ref="Y33" authorId="0" shapeId="0">
      <text>
        <t>실측(계정 매핑 없음(파생·부문·시세 행) — 모델값 직접) — = 영업이익(부문 미분리)</t>
      </text>
    </comment>
    <comment ref="AA33" authorId="0" shapeId="0">
      <text>
        <t>실측(계정 매핑 없음(파생·부문·시세 행) — 모델값 직접) — = 영업이익(부문 미분리)</t>
      </text>
    </comment>
    <comment ref="AB33" authorId="0" shapeId="0">
      <text>
        <t>실측(계정 매핑 없음(파생·부문·시세 행) — 모델값 직접) — = 영업이익(부문 미분리)</t>
      </text>
    </comment>
    <comment ref="AC33" authorId="0" shapeId="0">
      <text>
        <t>추정: = 매출액 × OPM(부문 미분리)
[identity]</t>
      </text>
    </comment>
    <comment ref="AD33" authorId="0" shapeId="0">
      <text>
        <t>추정: = 매출액 × OPM(부문 미분리)
[identity]</t>
      </text>
    </comment>
    <comment ref="AF33" authorId="0" shapeId="0">
      <text>
        <t>추정: = 매출액 × OPM(부문 미분리)
[identity]</t>
      </text>
    </comment>
    <comment ref="AG33" authorId="0" shapeId="0">
      <text>
        <t>추정: = 매출액 × OPM(부문 미분리)
[identity]</t>
      </text>
    </comment>
    <comment ref="AH33" authorId="0" shapeId="0">
      <text>
        <t>추정: = 매출액 × OPM(부문 미분리)
[identity]</t>
      </text>
    </comment>
    <comment ref="AI33" authorId="0" shapeId="0">
      <text>
        <t>추정: = 매출액 × OPM(부문 미분리)
[identity]</t>
      </text>
    </comment>
    <comment ref="AK33" authorId="0" shapeId="0">
      <text>
        <t>추정: = 매출액 × OPM(부문 미분리)
[identity]</t>
      </text>
    </comment>
    <comment ref="AL33" authorId="0" shapeId="0">
      <text>
        <t>추정: = 매출액 × OPM(부문 미분리)
[identity]</t>
      </text>
    </comment>
    <comment ref="AM33" authorId="0" shapeId="0">
      <text>
        <t>추정: = 매출액 × OPM(부문 미분리)
[identity]</t>
      </text>
    </comment>
    <comment ref="AN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23.22% — 법인세 = MAX(세전,0) × 세율, 추정 전 분기 연결(Σ법인세/Σmax(세전,0) 역산, 재현 오차 ≤ 0.05억). 모델 가정 23.22% · 근거: 최근 12분기 유효세율 23.2%(5~27% 안 — 그대로)</t>
        </is>
      </c>
    </row>
    <row r="23">
      <c r="A23" t="inlineStr">
        <is>
          <t>· 판관비율 12.27% — 판관비 = 매출액 × 판관비율, 추정 전 분기 연결</t>
        </is>
      </c>
    </row>
    <row r="24">
      <c r="A24" t="inlineStr">
        <is>
          <t>· 지배주주 비중 99.1% — 지배주주순이익 = 당기순이익 × 비중, 추정 전 분기 연결</t>
        </is>
      </c>
    </row>
    <row r="25">
      <c r="A25" t="inlineStr">
        <is>
          <t>· 이자율 자산 2.67% / 부채 — — 이자손익 = (전분기 이자발생자산 × 자산이자율 − 전분기 총차입금 × 부채이자율)/4, 최소자승 역산(모델 assumptions [0.0267,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7.0/7.6/8.1배(hist_quarterly(분기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assets/models/013030.json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+33/+26/+43/+24(중위 +30억) → 추정 2026Q3 +13억(차 -17억,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34950</v>
      </c>
      <c r="AB15" s="19" t="n">
        <v>31550</v>
      </c>
      <c r="AC15" s="20" t="n">
        <v>36650</v>
      </c>
      <c r="AD15" s="20" t="n">
        <v>34300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41800</v>
      </c>
      <c r="AB16" s="19" t="n">
        <v>48100</v>
      </c>
      <c r="AC16" s="20" t="n">
        <v>39150</v>
      </c>
      <c r="AD16" s="20" t="n">
        <v>37200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29550</v>
      </c>
      <c r="AB17" s="19" t="n">
        <v>29150</v>
      </c>
      <c r="AC17" s="20" t="n">
        <v>27550</v>
      </c>
      <c r="AD17" s="20" t="n">
        <v>34250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34394.9</v>
      </c>
      <c r="AB18" s="19" t="n">
        <v>38186.1</v>
      </c>
      <c r="AC18" s="20" t="n">
        <v>32882.3</v>
      </c>
      <c r="AD18" s="20" t="n">
        <v>35570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0.134197702</v>
      </c>
      <c r="AD21" s="24" t="n">
        <v>0.134201954</v>
      </c>
      <c r="AE21" s="25" t="n"/>
      <c r="AF21" s="24" t="n">
        <v>0.134195671</v>
      </c>
      <c r="AG21" s="24" t="n">
        <v>0.134195274</v>
      </c>
      <c r="AH21" s="24" t="n">
        <v>0.067102225</v>
      </c>
      <c r="AI21" s="24" t="n">
        <v>0.067103261</v>
      </c>
      <c r="AJ21" s="25" t="n"/>
      <c r="AK21" s="24" t="n">
        <v>0.067104149</v>
      </c>
      <c r="AL21" s="24" t="n">
        <v>0.06711109799999999</v>
      </c>
      <c r="AM21" s="24" t="n">
        <v>0.033543556</v>
      </c>
      <c r="AN21" s="24" t="n">
        <v>0.033537903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$D$46</f>
        <v/>
      </c>
      <c r="AD22" s="26">
        <f>$D$46</f>
        <v/>
      </c>
      <c r="AE22" s="25">
        <f>IFERROR(subQ!AE8/subQ!AE5,"")</f>
        <v/>
      </c>
      <c r="AF22" s="26">
        <f>$D$46</f>
        <v/>
      </c>
      <c r="AG22" s="26">
        <f>$D$46</f>
        <v/>
      </c>
      <c r="AH22" s="26">
        <f>$D$46</f>
        <v/>
      </c>
      <c r="AI22" s="26">
        <f>$D$46</f>
        <v/>
      </c>
      <c r="AJ22" s="25">
        <f>IFERROR(subQ!AJ8/subQ!AJ5,"")</f>
        <v/>
      </c>
      <c r="AK22" s="26">
        <f>$D$46</f>
        <v/>
      </c>
      <c r="AL22" s="26">
        <f>$D$46</f>
        <v/>
      </c>
      <c r="AM22" s="26">
        <f>$D$46</f>
        <v/>
      </c>
      <c r="AN22" s="26">
        <f>$D$46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0.279215994</v>
      </c>
      <c r="AD23" s="24" t="n">
        <v>0.27922028</v>
      </c>
      <c r="AE23" s="25">
        <f>IFERROR(subQ!AE9/subQ!AE5,"")</f>
        <v/>
      </c>
      <c r="AF23" s="24" t="n">
        <v>0.279212532</v>
      </c>
      <c r="AG23" s="24" t="n">
        <v>0.27921788</v>
      </c>
      <c r="AH23" s="24" t="n">
        <v>0.279212509</v>
      </c>
      <c r="AI23" s="24" t="n">
        <v>0.279208805</v>
      </c>
      <c r="AJ23" s="25">
        <f>IFERROR(subQ!AJ9/subQ!AJ5,"")</f>
        <v/>
      </c>
      <c r="AK23" s="24" t="n">
        <v>0.279218104</v>
      </c>
      <c r="AL23" s="24" t="n">
        <v>0.279214079</v>
      </c>
      <c r="AM23" s="24" t="n">
        <v>0.279222033</v>
      </c>
      <c r="AN23" s="24" t="n">
        <v>0.279208832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$D$45</f>
        <v/>
      </c>
      <c r="AD25" s="26">
        <f>$D$45</f>
        <v/>
      </c>
      <c r="AE25" s="25">
        <f>IFERROR(subQ!AE15/subQ!AE14,"")</f>
        <v/>
      </c>
      <c r="AF25" s="26">
        <f>$D$45</f>
        <v/>
      </c>
      <c r="AG25" s="26">
        <f>$D$45</f>
        <v/>
      </c>
      <c r="AH25" s="26">
        <f>$D$45</f>
        <v/>
      </c>
      <c r="AI25" s="26">
        <f>$D$45</f>
        <v/>
      </c>
      <c r="AJ25" s="25">
        <f>IFERROR(subQ!AJ15/subQ!AJ14,"")</f>
        <v/>
      </c>
      <c r="AK25" s="26">
        <f>$D$45</f>
        <v/>
      </c>
      <c r="AL25" s="26">
        <f>$D$45</f>
        <v/>
      </c>
      <c r="AM25" s="26">
        <f>$D$45</f>
        <v/>
      </c>
      <c r="AN25" s="26">
        <f>$D$45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$D$47</f>
        <v/>
      </c>
      <c r="AD26" s="26">
        <f>$D$47</f>
        <v/>
      </c>
      <c r="AE26" s="25">
        <f>IFERROR(subQ!AE17/subQ!AE16,"")</f>
        <v/>
      </c>
      <c r="AF26" s="26">
        <f>$D$47</f>
        <v/>
      </c>
      <c r="AG26" s="26">
        <f>$D$47</f>
        <v/>
      </c>
      <c r="AH26" s="26">
        <f>$D$47</f>
        <v/>
      </c>
      <c r="AI26" s="26">
        <f>$D$47</f>
        <v/>
      </c>
      <c r="AJ26" s="25">
        <f>IFERROR(subQ!AJ17/subQ!AJ16,"")</f>
        <v/>
      </c>
      <c r="AK26" s="26">
        <f>$D$47</f>
        <v/>
      </c>
      <c r="AL26" s="26">
        <f>$D$47</f>
        <v/>
      </c>
      <c r="AM26" s="26">
        <f>$D$47</f>
        <v/>
      </c>
      <c r="AN26" s="26">
        <f>$D$47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-2.127e-06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-0.002346933</v>
      </c>
      <c r="AD28" s="30" t="n">
        <v>0.005715422</v>
      </c>
      <c r="AE28" s="31" t="n"/>
      <c r="AF28" s="30" t="n">
        <v>-0.006041907</v>
      </c>
      <c r="AG28" s="30" t="n">
        <v>158.871508918</v>
      </c>
      <c r="AH28" s="30" t="n">
        <v>-0.003835376</v>
      </c>
      <c r="AI28" s="30" t="n">
        <v>0.001961256</v>
      </c>
      <c r="AJ28" s="31" t="n"/>
      <c r="AK28" s="30" t="n">
        <v>0.005321881</v>
      </c>
      <c r="AL28" s="30" t="n">
        <v>158.869334139</v>
      </c>
      <c r="AM28" s="30" t="n">
        <v>0.000615718</v>
      </c>
      <c r="AN28" s="30" t="n">
        <v>-0.007601597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-0.002538333</v>
      </c>
      <c r="AD29" s="30" t="n">
        <v>0.007758576</v>
      </c>
      <c r="AE29" s="31" t="n"/>
      <c r="AF29" s="30" t="n">
        <v>-0.000785841</v>
      </c>
      <c r="AG29" s="30" t="n">
        <v>158.868573336</v>
      </c>
      <c r="AH29" s="30" t="n">
        <v>0.002561779</v>
      </c>
      <c r="AI29" s="30" t="n">
        <v>-0.01042137</v>
      </c>
      <c r="AJ29" s="31" t="n"/>
      <c r="AK29" s="30" t="n">
        <v>0.010241391</v>
      </c>
      <c r="AL29" s="30" t="n">
        <v>158.868093039</v>
      </c>
      <c r="AM29" s="30" t="n">
        <v>0.002876781</v>
      </c>
      <c r="AN29" s="30" t="n">
        <v>-0.007140706</v>
      </c>
      <c r="AO29" s="31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0.07379941700000001</v>
      </c>
      <c r="AD30" s="24" t="n">
        <v>0.07324960599999999</v>
      </c>
      <c r="AE30" s="25" t="n"/>
      <c r="AF30" s="24" t="n">
        <v>0.065046016</v>
      </c>
      <c r="AG30" s="24" t="n">
        <v>-0.00120087</v>
      </c>
      <c r="AH30" s="24" t="n">
        <v>0.064903558</v>
      </c>
      <c r="AI30" s="24" t="n">
        <v>0.06491351400000001</v>
      </c>
      <c r="AJ30" s="25" t="n"/>
      <c r="AK30" s="24" t="n">
        <v>0.058134402</v>
      </c>
      <c r="AL30" s="24" t="n">
        <v>0.003294717</v>
      </c>
      <c r="AM30" s="24" t="n">
        <v>0.056444648</v>
      </c>
      <c r="AN30" s="24" t="n">
        <v>0.056863636</v>
      </c>
      <c r="AO30" s="25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32" t="n"/>
      <c r="AD31" s="32" t="n"/>
      <c r="AE31" s="25" t="n"/>
      <c r="AF31" s="32" t="n"/>
      <c r="AG31" s="32" t="n"/>
      <c r="AH31" s="32" t="n"/>
      <c r="AI31" s="32" t="n"/>
      <c r="AJ31" s="25" t="n"/>
      <c r="AK31" s="32" t="n"/>
      <c r="AL31" s="32" t="n"/>
      <c r="AM31" s="32" t="n"/>
      <c r="AN31" s="32" t="n"/>
      <c r="AO31" s="25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21" t="n"/>
      <c r="F32" s="22" t="n"/>
      <c r="G32" s="21" t="n"/>
      <c r="H32" s="21" t="n"/>
      <c r="I32" s="21" t="n"/>
      <c r="J32" s="21">
        <f>IFERROR(subQ!J24/subQ!E24-1,"")</f>
        <v/>
      </c>
      <c r="K32" s="22" t="n"/>
      <c r="L32" s="21">
        <f>IFERROR(subQ!L24/subQ!G24-1,"")</f>
        <v/>
      </c>
      <c r="M32" s="21">
        <f>IFERROR(subQ!M24/subQ!H24-1,"")</f>
        <v/>
      </c>
      <c r="N32" s="21">
        <f>IFERROR(subQ!N24/subQ!I24-1,"")</f>
        <v/>
      </c>
      <c r="O32" s="21">
        <f>IFERROR(subQ!O24/subQ!J24-1,"")</f>
        <v/>
      </c>
      <c r="P32" s="22" t="n"/>
      <c r="Q32" s="21">
        <f>IFERROR(subQ!Q24/subQ!L24-1,"")</f>
        <v/>
      </c>
      <c r="R32" s="21">
        <f>IFERROR(subQ!R24/subQ!M24-1,"")</f>
        <v/>
      </c>
      <c r="S32" s="21">
        <f>IFERROR(subQ!S24/subQ!N24-1,"")</f>
        <v/>
      </c>
      <c r="T32" s="21">
        <f>IFERROR(subQ!T24/subQ!O24-1,"")</f>
        <v/>
      </c>
      <c r="U32" s="22" t="n"/>
      <c r="V32" s="21">
        <f>IFERROR(subQ!V24/subQ!Q24-1,"")</f>
        <v/>
      </c>
      <c r="W32" s="21">
        <f>IFERROR(subQ!W24/subQ!R24-1,"")</f>
        <v/>
      </c>
      <c r="X32" s="21">
        <f>IFERROR(subQ!X24/subQ!S24-1,"")</f>
        <v/>
      </c>
      <c r="Y32" s="21">
        <f>IFERROR(subQ!Y24/subQ!T24-1,"")</f>
        <v/>
      </c>
      <c r="Z32" s="22" t="n"/>
      <c r="AA32" s="21">
        <f>IFERROR(subQ!AA24/subQ!V24-1,"")</f>
        <v/>
      </c>
      <c r="AB32" s="23">
        <f>IFERROR(subQ!AB24/subQ!W24-1,"")</f>
        <v/>
      </c>
      <c r="AC32" s="24" t="n">
        <v>0.028872616</v>
      </c>
      <c r="AD32" s="24" t="n">
        <v>-0.728819468</v>
      </c>
      <c r="AE32" s="25" t="n"/>
      <c r="AF32" s="24" t="n">
        <v>-0.026884836</v>
      </c>
      <c r="AG32" s="24" t="n">
        <v>0.030425805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21" t="n"/>
      <c r="F33" s="22" t="n"/>
      <c r="G33" s="21" t="n"/>
      <c r="H33" s="21" t="n"/>
      <c r="I33" s="21" t="n"/>
      <c r="J33" s="21">
        <f>IFERROR(subQ!J25/subQ!E25-1,"")</f>
        <v/>
      </c>
      <c r="K33" s="22" t="n"/>
      <c r="L33" s="21">
        <f>IFERROR(subQ!L25/subQ!G25-1,"")</f>
        <v/>
      </c>
      <c r="M33" s="21">
        <f>IFERROR(subQ!M25/subQ!H25-1,"")</f>
        <v/>
      </c>
      <c r="N33" s="21">
        <f>IFERROR(subQ!N25/subQ!I25-1,"")</f>
        <v/>
      </c>
      <c r="O33" s="21">
        <f>IFERROR(subQ!O25/subQ!J25-1,"")</f>
        <v/>
      </c>
      <c r="P33" s="22" t="n"/>
      <c r="Q33" s="21">
        <f>IFERROR(subQ!Q25/subQ!L25-1,"")</f>
        <v/>
      </c>
      <c r="R33" s="21">
        <f>IFERROR(subQ!R25/subQ!M25-1,"")</f>
        <v/>
      </c>
      <c r="S33" s="21">
        <f>IFERROR(subQ!S25/subQ!N25-1,"")</f>
        <v/>
      </c>
      <c r="T33" s="21">
        <f>IFERROR(subQ!T25/subQ!O25-1,"")</f>
        <v/>
      </c>
      <c r="U33" s="22" t="n"/>
      <c r="V33" s="21">
        <f>IFERROR(subQ!V25/subQ!Q25-1,"")</f>
        <v/>
      </c>
      <c r="W33" s="21">
        <f>IFERROR(subQ!W25/subQ!R25-1,"")</f>
        <v/>
      </c>
      <c r="X33" s="21">
        <f>IFERROR(subQ!X25/subQ!S25-1,"")</f>
        <v/>
      </c>
      <c r="Y33" s="21">
        <f>IFERROR(subQ!Y25/subQ!T25-1,"")</f>
        <v/>
      </c>
      <c r="Z33" s="22" t="n"/>
      <c r="AA33" s="21">
        <f>IFERROR(subQ!AA25/subQ!V25-1,"")</f>
        <v/>
      </c>
      <c r="AB33" s="23">
        <f>IFERROR(subQ!AB25/subQ!W25-1,"")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7">
        <f>subQ!E29</f>
        <v/>
      </c>
      <c r="F35" s="28">
        <f>subQ!F29</f>
        <v/>
      </c>
      <c r="G35" s="27">
        <f>subQ!G29</f>
        <v/>
      </c>
      <c r="H35" s="27">
        <f>subQ!H29</f>
        <v/>
      </c>
      <c r="I35" s="27">
        <f>subQ!I29</f>
        <v/>
      </c>
      <c r="J35" s="27">
        <f>subQ!J29</f>
        <v/>
      </c>
      <c r="K35" s="28">
        <f>subQ!K29</f>
        <v/>
      </c>
      <c r="L35" s="27">
        <f>subQ!L29</f>
        <v/>
      </c>
      <c r="M35" s="27">
        <f>subQ!M29</f>
        <v/>
      </c>
      <c r="N35" s="27">
        <f>subQ!N29</f>
        <v/>
      </c>
      <c r="O35" s="27">
        <f>subQ!O29</f>
        <v/>
      </c>
      <c r="P35" s="28">
        <f>subQ!P29</f>
        <v/>
      </c>
      <c r="Q35" s="27">
        <f>subQ!Q29</f>
        <v/>
      </c>
      <c r="R35" s="27">
        <f>subQ!R29</f>
        <v/>
      </c>
      <c r="S35" s="27">
        <f>subQ!S29</f>
        <v/>
      </c>
      <c r="T35" s="27">
        <f>subQ!T29</f>
        <v/>
      </c>
      <c r="U35" s="28">
        <f>subQ!U29</f>
        <v/>
      </c>
      <c r="V35" s="27">
        <f>subQ!V29</f>
        <v/>
      </c>
      <c r="W35" s="27">
        <f>subQ!W29</f>
        <v/>
      </c>
      <c r="X35" s="27">
        <f>subQ!X29</f>
        <v/>
      </c>
      <c r="Y35" s="27">
        <f>subQ!Y29</f>
        <v/>
      </c>
      <c r="Z35" s="28">
        <f>subQ!Z29</f>
        <v/>
      </c>
      <c r="AA35" s="27">
        <f>subQ!AA29</f>
        <v/>
      </c>
      <c r="AB35" s="29">
        <f>subQ!AB29</f>
        <v/>
      </c>
      <c r="AC35" s="33" t="n"/>
      <c r="AD35" s="30" t="n">
        <v>1350</v>
      </c>
      <c r="AE35" s="31">
        <f>subQ!AE29</f>
        <v/>
      </c>
      <c r="AF35" s="33" t="n"/>
      <c r="AG35" s="33" t="n"/>
      <c r="AH35" s="33" t="n"/>
      <c r="AI35" s="30" t="n">
        <v>1350</v>
      </c>
      <c r="AJ35" s="31">
        <f>subQ!AJ29</f>
        <v/>
      </c>
      <c r="AK35" s="33" t="n"/>
      <c r="AL35" s="33" t="n"/>
      <c r="AM35" s="33" t="n"/>
      <c r="AN35" s="30" t="n">
        <v>1350</v>
      </c>
      <c r="AO35" s="31">
        <f>subQ!AO29</f>
        <v/>
      </c>
    </row>
    <row r="36"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4" t="n">
        <v>34300</v>
      </c>
      <c r="E38" s="2" t="inlineStr">
        <is>
          <t>원 — 네이버 정규장 종가(aik 확정종가 대조 · aik 35,650원)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5" t="inlineStr">
        <is>
          <t>20261008</t>
        </is>
      </c>
      <c r="E39" s="2" t="inlineStr">
        <is>
          <t>종가 기준일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4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30" t="n">
        <v>7</v>
      </c>
      <c r="E41" s="2" t="inlineStr">
        <is>
          <t>PER 밴드 하단(배) — hist_quarterly(분기 평균가 ÷ TTM EPS, 16분기, 25/50/75 백분위)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30" t="n">
        <v>7.6</v>
      </c>
      <c r="E42" s="2" t="inlineStr">
        <is>
          <t>PER 밴드 중단(배)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30" t="n">
        <v>8.1</v>
      </c>
      <c r="E43" s="2" t="inlineStr">
        <is>
          <t>PER 밴드 상단(배)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4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6" t="n">
        <v>0.2322292924348725</v>
      </c>
      <c r="E45" s="2" t="inlineStr">
        <is>
          <t>연결 — 법인세 = MAX(세전,0) × 세율(역산, 재현 오차 ≤ 0.05억 · 모델 assumptions 0.2322) · 최근 12분기 유효세율 23.2%(5~27% 안 — 그대로)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6" t="n">
        <v>0.1226949534220975</v>
      </c>
      <c r="E46" s="2" t="inlineStr">
        <is>
          <t>연결 — 판관비 = 매출액 × 판관비율(역산, 재현 오차 ≤ 0.05억 · 모델 assumptions 0.1227)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6" t="n">
        <v>0.9910103676991435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6" t="n">
        <v>0.02671107157483827</v>
      </c>
      <c r="E48" s="2" t="inlineStr">
        <is>
          <t>연결 — 이자손익 = (전분기 이자발생자산 × 자산이자율 − 전분기 총차입금 × 부채이자율)/4(역산, 재현 오차 ≤ 0.05억 · 모델 assumptions 0.0267)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6" t="n"/>
      <c r="E49" s="2" t="inlineStr">
        <is>
          <t>연결 — 같은 수식의 부채 쪽(총차입금 행이 없으면 0)(역산,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4" t="n">
        <v>0.3159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30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4" t="n"/>
      <c r="E52" s="2" t="inlineStr">
        <is>
          <t>sls 없음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7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7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7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7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7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7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7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7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7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7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7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7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7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7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7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7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7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7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7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7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7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7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7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7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7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7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7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7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7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7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7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7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7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7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7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7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7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7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7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7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7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7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7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7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7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7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7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7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7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7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7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7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7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7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7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7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7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7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7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7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7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7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7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7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7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7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7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7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7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7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7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7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7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7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7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7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7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7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7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7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7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7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7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7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7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7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7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7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7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7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7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7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7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7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7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7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7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7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7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7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7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7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7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7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7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7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7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7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7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7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7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7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7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7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7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7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7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7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7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7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7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7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7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7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7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7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7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7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7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7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7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7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7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7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7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7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7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7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7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7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7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7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7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7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7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7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7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7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7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7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7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7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7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7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7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7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7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7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7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7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7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7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7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7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7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7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7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7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7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7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7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7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7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7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7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7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7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7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7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7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7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7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7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7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7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7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7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7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7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7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7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7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7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7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7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7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7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7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7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7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7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7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7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7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7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7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7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7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7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7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7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7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7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7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7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7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7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7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7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7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7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7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7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7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7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7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7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7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7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7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7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7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7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7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7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7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7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7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7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7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7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7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7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7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7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7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7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7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7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7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7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7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7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7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7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7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7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7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7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7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7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7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7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7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7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7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7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7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7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7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7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7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7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7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7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7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7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7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7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7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7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7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7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7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7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7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7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7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7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7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7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7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7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7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7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7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7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7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7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7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7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7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7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7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7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7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7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7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7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7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7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7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7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7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7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7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7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7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7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7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7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7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7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7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7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7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7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7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7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7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7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7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7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7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7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7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7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7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7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7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7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7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7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7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7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7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7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7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7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7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7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7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7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7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7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7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7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7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7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7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7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7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7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7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7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7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7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7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7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7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7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7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7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7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7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7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7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7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7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7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7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7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7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7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7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7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7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7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7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7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7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7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7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7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7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7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7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7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7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7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7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7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7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7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7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7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7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7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7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7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7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7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7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7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7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7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7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7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7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7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7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7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7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7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7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7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7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7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7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7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7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7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7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7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7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7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7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7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7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7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7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7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7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7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7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7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7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7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7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7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7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7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7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7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7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7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7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7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7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7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7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7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7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IFERROR((AB22*변수!$D$48)/4,"")</f>
        <v/>
      </c>
      <c r="AD12" s="20">
        <f>IFERROR((AC22*변수!$D$48)/4,"")</f>
        <v/>
      </c>
      <c r="AE12" s="38">
        <f>SUM(AA12:AD12)</f>
        <v/>
      </c>
      <c r="AF12" s="20">
        <f>IFERROR((AD22*변수!$D$48)/4,"")</f>
        <v/>
      </c>
      <c r="AG12" s="20">
        <f>IFERROR((AF22*변수!$D$48)/4,"")</f>
        <v/>
      </c>
      <c r="AH12" s="20">
        <f>IFERROR((AG22*변수!$D$48)/4,"")</f>
        <v/>
      </c>
      <c r="AI12" s="20">
        <f>IFERROR((AH22*변수!$D$48)/4,"")</f>
        <v/>
      </c>
      <c r="AJ12" s="38">
        <f>SUM(AF12:AI12)</f>
        <v/>
      </c>
      <c r="AK12" s="20">
        <f>IFERROR((AI22*변수!$D$48)/4,"")</f>
        <v/>
      </c>
      <c r="AL12" s="20">
        <f>IFERROR((AK22*변수!$D$48)/4,"")</f>
        <v/>
      </c>
      <c r="AM12" s="20">
        <f>IFERROR((AL22*변수!$D$48)/4,"")</f>
        <v/>
      </c>
      <c r="AN12" s="20">
        <f>IFERROR((AM22*변수!$D$48)/4,"")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8">
        <f>AD23</f>
        <v/>
      </c>
      <c r="AF23" s="20" t="n"/>
      <c r="AG23" s="20" t="n"/>
      <c r="AH23" s="20" t="n"/>
      <c r="AI23" s="20" t="n"/>
      <c r="AJ23" s="38">
        <f>AI23</f>
        <v/>
      </c>
      <c r="AK23" s="20" t="n"/>
      <c r="AL23" s="20" t="n"/>
      <c r="AM23" s="20" t="n"/>
      <c r="AN23" s="20" t="n"/>
      <c r="AO23" s="38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IFERROR(VLOOKUP($D24,BS연결,MATCH(E$1,BS연결H,0),0)/100,"")</f>
        <v/>
      </c>
      <c r="F24" s="37" t="n"/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IFERROR(X24*(1+변수!AC32),"")</f>
        <v/>
      </c>
      <c r="AD24" s="20">
        <f>IFERROR(Y24*(1+변수!AD32),"")</f>
        <v/>
      </c>
      <c r="AE24" s="38">
        <f>SUM(AA24:AD24)</f>
        <v/>
      </c>
      <c r="AF24" s="20">
        <f>IFERROR(AA24*(1+변수!AF32),"")</f>
        <v/>
      </c>
      <c r="AG24" s="20">
        <f>IFERROR(AB24*(1+변수!AG32),"")</f>
        <v/>
      </c>
      <c r="AH24" s="20">
        <f>IFERROR(AC24*(1+변수!AH32),"")</f>
        <v/>
      </c>
      <c r="AI24" s="20">
        <f>IFERROR(AD24*(1+변수!AI32),"")</f>
        <v/>
      </c>
      <c r="AJ24" s="38">
        <f>SUM(AF24:AI24)</f>
        <v/>
      </c>
      <c r="AK24" s="20">
        <f>IFERROR(AF24*(1+변수!AK32),"")</f>
        <v/>
      </c>
      <c r="AL24" s="20">
        <f>IFERROR(AG24*(1+변수!AL32),"")</f>
        <v/>
      </c>
      <c r="AM24" s="20">
        <f>IFERROR(AH24*(1+변수!AM32),"")</f>
        <v/>
      </c>
      <c r="AN24" s="20">
        <f>IFERROR(AI24*(1+변수!AN32),"")</f>
        <v/>
      </c>
      <c r="AO24" s="38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영업활동으로인한현금흐름</t>
        </is>
      </c>
      <c r="E25" s="18">
        <f>IFERROR(VLOOKUP($D25,BS연결,MATCH(E$1,BS연결H,0),0)/100,"")</f>
        <v/>
      </c>
      <c r="F25" s="37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SUM(AA25:AD25)</f>
        <v/>
      </c>
      <c r="AF25" s="20" t="n"/>
      <c r="AG25" s="20" t="n"/>
      <c r="AH25" s="20" t="n"/>
      <c r="AI25" s="20" t="n"/>
      <c r="AJ25" s="38">
        <f>SUM(AF25:AI25)</f>
        <v/>
      </c>
      <c r="AK25" s="20" t="n"/>
      <c r="AL25" s="20" t="n"/>
      <c r="AM25" s="20" t="n"/>
      <c r="AN25" s="20" t="n"/>
      <c r="AO25" s="38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7" t="n">
        <v>12.856</v>
      </c>
      <c r="F26" s="28">
        <f>E26</f>
        <v/>
      </c>
      <c r="G26" s="27" t="n">
        <v>12.856</v>
      </c>
      <c r="H26" s="27" t="n">
        <v>12.856</v>
      </c>
      <c r="I26" s="27" t="n">
        <v>12.856</v>
      </c>
      <c r="J26" s="27" t="n">
        <v>12.856</v>
      </c>
      <c r="K26" s="28">
        <f>J26</f>
        <v/>
      </c>
      <c r="L26" s="27" t="n">
        <v>12.856</v>
      </c>
      <c r="M26" s="27" t="n">
        <v>12.856</v>
      </c>
      <c r="N26" s="27" t="n">
        <v>12.856</v>
      </c>
      <c r="O26" s="27" t="n">
        <v>12.588</v>
      </c>
      <c r="P26" s="28">
        <f>O26</f>
        <v/>
      </c>
      <c r="Q26" s="27" t="n">
        <v>12.275</v>
      </c>
      <c r="R26" s="27" t="n">
        <v>12.103</v>
      </c>
      <c r="S26" s="27" t="n">
        <v>12.103</v>
      </c>
      <c r="T26" s="27" t="n">
        <v>12.295</v>
      </c>
      <c r="U26" s="28">
        <f>T26</f>
        <v/>
      </c>
      <c r="V26" s="27" t="n">
        <v>12.145</v>
      </c>
      <c r="W26" s="27" t="n">
        <v>11.873</v>
      </c>
      <c r="X26" s="27" t="n">
        <v>11.768</v>
      </c>
      <c r="Y26" s="27" t="n">
        <v>11.768</v>
      </c>
      <c r="Z26" s="28">
        <f>Y26</f>
        <v/>
      </c>
      <c r="AA26" s="27" t="n">
        <v>11.768</v>
      </c>
      <c r="AB26" s="29" t="n">
        <v>11.768</v>
      </c>
      <c r="AC26" s="33">
        <f>IFERROR(AB26*(1+변수!AC34),"")</f>
        <v/>
      </c>
      <c r="AD26" s="33">
        <f>IFERROR(AC26*(1+변수!AD34),"")</f>
        <v/>
      </c>
      <c r="AE26" s="31">
        <f>AD26</f>
        <v/>
      </c>
      <c r="AF26" s="33">
        <f>IFERROR(AD26*(1+변수!AF34),"")</f>
        <v/>
      </c>
      <c r="AG26" s="33">
        <f>IFERROR(AF26*(1+변수!AG34),"")</f>
        <v/>
      </c>
      <c r="AH26" s="33">
        <f>IFERROR(AG26*(1+변수!AH34),"")</f>
        <v/>
      </c>
      <c r="AI26" s="33">
        <f>IFERROR(AH26*(1+변수!AI34),"")</f>
        <v/>
      </c>
      <c r="AJ26" s="31">
        <f>AI26</f>
        <v/>
      </c>
      <c r="AK26" s="33">
        <f>IFERROR(AI26*(1+변수!AK34),"")</f>
        <v/>
      </c>
      <c r="AL26" s="33">
        <f>IFERROR(AK26*(1+변수!AL34),"")</f>
        <v/>
      </c>
      <c r="AM26" s="33">
        <f>IFERROR(AL26*(1+변수!AM34),"")</f>
        <v/>
      </c>
      <c r="AN26" s="33">
        <f>IFERROR(AM26*(1+변수!AN34),"")</f>
        <v/>
      </c>
      <c r="AO26" s="31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7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7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7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7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7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8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8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8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7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7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7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7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7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8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8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8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500</v>
      </c>
      <c r="F29" s="37" t="n">
        <v>500</v>
      </c>
      <c r="G29" s="18" t="n"/>
      <c r="H29" s="18" t="n"/>
      <c r="I29" s="18" t="n"/>
      <c r="J29" s="18" t="n">
        <v>600</v>
      </c>
      <c r="K29" s="37">
        <f>SUM(G29:J29)</f>
        <v/>
      </c>
      <c r="L29" s="18" t="n"/>
      <c r="M29" s="18" t="n"/>
      <c r="N29" s="18" t="n"/>
      <c r="O29" s="18" t="n">
        <v>1050</v>
      </c>
      <c r="P29" s="37">
        <f>SUM(L29:O29)</f>
        <v/>
      </c>
      <c r="Q29" s="18" t="n"/>
      <c r="R29" s="18" t="n"/>
      <c r="S29" s="18" t="n"/>
      <c r="T29" s="18" t="n">
        <v>1150</v>
      </c>
      <c r="U29" s="37">
        <f>SUM(Q29:T29)</f>
        <v/>
      </c>
      <c r="V29" s="18" t="n"/>
      <c r="W29" s="18" t="n"/>
      <c r="X29" s="18" t="n"/>
      <c r="Y29" s="18" t="n">
        <v>1350</v>
      </c>
      <c r="Z29" s="37">
        <f>SUM(V29:Y29)</f>
        <v/>
      </c>
      <c r="AA29" s="18" t="n"/>
      <c r="AB29" s="19" t="n"/>
      <c r="AC29" s="20" t="n"/>
      <c r="AD29" s="20">
        <f>변수!AD35</f>
        <v/>
      </c>
      <c r="AE29" s="38">
        <f>SUM(AA29:AD29)</f>
        <v/>
      </c>
      <c r="AF29" s="20" t="n"/>
      <c r="AG29" s="20" t="n"/>
      <c r="AH29" s="20" t="n"/>
      <c r="AI29" s="20">
        <f>변수!AI35</f>
        <v/>
      </c>
      <c r="AJ29" s="38">
        <f>SUM(AF29:AI29)</f>
        <v/>
      </c>
      <c r="AK29" s="20" t="n"/>
      <c r="AL29" s="20" t="n"/>
      <c r="AM29" s="20" t="n"/>
      <c r="AN29" s="20">
        <f>변수!AN35</f>
        <v/>
      </c>
      <c r="AO29" s="38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3" t="n"/>
      <c r="F30" s="14">
        <f>E30</f>
        <v/>
      </c>
      <c r="G30" s="13" t="n"/>
      <c r="H30" s="13" t="n"/>
      <c r="I30" s="13">
        <f>IFERROR(변수!I18/(E27+G27+H27+I27),"")</f>
        <v/>
      </c>
      <c r="J30" s="13">
        <f>IFERROR(변수!J18/(G27+H27+I27+J27),"")</f>
        <v/>
      </c>
      <c r="K30" s="14">
        <f>J30</f>
        <v/>
      </c>
      <c r="L30" s="13">
        <f>IFERROR(변수!L18/(H27+I27+J27+L27),"")</f>
        <v/>
      </c>
      <c r="M30" s="13">
        <f>IFERROR(변수!M18/(I27+J27+L27+M27),"")</f>
        <v/>
      </c>
      <c r="N30" s="13">
        <f>IFERROR(변수!N18/(J27+L27+M27+N27),"")</f>
        <v/>
      </c>
      <c r="O30" s="13">
        <f>IFERROR(변수!O18/(L27+M27+N27+O27),"")</f>
        <v/>
      </c>
      <c r="P30" s="14">
        <f>O30</f>
        <v/>
      </c>
      <c r="Q30" s="13">
        <f>IFERROR(변수!Q18/(M27+N27+O27+Q27),"")</f>
        <v/>
      </c>
      <c r="R30" s="13">
        <f>IFERROR(변수!R18/(N27+O27+Q27+R27),"")</f>
        <v/>
      </c>
      <c r="S30" s="13">
        <f>IFERROR(변수!S18/(O27+Q27+R27+S27),"")</f>
        <v/>
      </c>
      <c r="T30" s="13">
        <f>IFERROR(변수!T18/(Q27+R27+S27+T27),"")</f>
        <v/>
      </c>
      <c r="U30" s="14">
        <f>T30</f>
        <v/>
      </c>
      <c r="V30" s="13">
        <f>IFERROR(변수!V18/(R27+S27+T27+V27),"")</f>
        <v/>
      </c>
      <c r="W30" s="13">
        <f>IFERROR(변수!W18/(S27+T27+V27+W27),"")</f>
        <v/>
      </c>
      <c r="X30" s="13">
        <f>IFERROR(변수!X18/(T27+V27+W27+X27),"")</f>
        <v/>
      </c>
      <c r="Y30" s="13">
        <f>IFERROR(변수!Y18/(V27+W27+X27+Y27),"")</f>
        <v/>
      </c>
      <c r="Z30" s="14">
        <f>Y30</f>
        <v/>
      </c>
      <c r="AA30" s="13">
        <f>IFERROR(변수!AA18/(W27+X27+Y27+AA27),"")</f>
        <v/>
      </c>
      <c r="AB30" s="15">
        <f>IFERROR(변수!AB18/(X27+Y27+AA27+AB27),"")</f>
        <v/>
      </c>
      <c r="AC30" s="39">
        <f>IFERROR(변수!$D$38/(Y27+AA27+AB27+AC27),"")</f>
        <v/>
      </c>
      <c r="AD30" s="39">
        <f>IFERROR(변수!$D$38/(AA27+AB27+AC27+AD27),"")</f>
        <v/>
      </c>
      <c r="AE30" s="40">
        <f>AD30</f>
        <v/>
      </c>
      <c r="AF30" s="39">
        <f>IFERROR(변수!$D$38/(AB27+AC27+AD27+AF27),"")</f>
        <v/>
      </c>
      <c r="AG30" s="39">
        <f>IFERROR(변수!$D$38/(AC27+AD27+AF27+AG27),"")</f>
        <v/>
      </c>
      <c r="AH30" s="39">
        <f>IFERROR(변수!$D$38/(AD27+AF27+AG27+AH27),"")</f>
        <v/>
      </c>
      <c r="AI30" s="39">
        <f>IFERROR(변수!$D$38/(AF27+AG27+AH27+AI27),"")</f>
        <v/>
      </c>
      <c r="AJ30" s="40">
        <f>AI30</f>
        <v/>
      </c>
      <c r="AK30" s="39">
        <f>IFERROR(변수!$D$38/(AG27+AH27+AI27+AK27),"")</f>
        <v/>
      </c>
      <c r="AL30" s="39">
        <f>IFERROR(변수!$D$38/(AH27+AI27+AK27+AL27),"")</f>
        <v/>
      </c>
      <c r="AM30" s="39">
        <f>IFERROR(변수!$D$38/(AI27+AK27+AL27+AM27),"")</f>
        <v/>
      </c>
      <c r="AN30" s="39">
        <f>IFERROR(변수!$D$38/(AK27+AL27+AM27+AN27),"")</f>
        <v/>
      </c>
      <c r="AO30" s="40">
        <f>AN30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3">
        <f>IFERROR(변수!E18/E28,"")</f>
        <v/>
      </c>
      <c r="F31" s="14">
        <f>E31</f>
        <v/>
      </c>
      <c r="G31" s="13">
        <f>IFERROR(변수!G18/G28,"")</f>
        <v/>
      </c>
      <c r="H31" s="13">
        <f>IFERROR(변수!H18/H28,"")</f>
        <v/>
      </c>
      <c r="I31" s="13">
        <f>IFERROR(변수!I18/I28,"")</f>
        <v/>
      </c>
      <c r="J31" s="13">
        <f>IFERROR(변수!J18/J28,"")</f>
        <v/>
      </c>
      <c r="K31" s="14">
        <f>J31</f>
        <v/>
      </c>
      <c r="L31" s="13">
        <f>IFERROR(변수!L18/L28,"")</f>
        <v/>
      </c>
      <c r="M31" s="13">
        <f>IFERROR(변수!M18/M28,"")</f>
        <v/>
      </c>
      <c r="N31" s="13">
        <f>IFERROR(변수!N18/N28,"")</f>
        <v/>
      </c>
      <c r="O31" s="13">
        <f>IFERROR(변수!O18/O28,"")</f>
        <v/>
      </c>
      <c r="P31" s="14">
        <f>O31</f>
        <v/>
      </c>
      <c r="Q31" s="13">
        <f>IFERROR(변수!Q18/Q28,"")</f>
        <v/>
      </c>
      <c r="R31" s="13">
        <f>IFERROR(변수!R18/R28,"")</f>
        <v/>
      </c>
      <c r="S31" s="13">
        <f>IFERROR(변수!S18/S28,"")</f>
        <v/>
      </c>
      <c r="T31" s="13">
        <f>IFERROR(변수!T18/T28,"")</f>
        <v/>
      </c>
      <c r="U31" s="14">
        <f>T31</f>
        <v/>
      </c>
      <c r="V31" s="13">
        <f>IFERROR(변수!V18/V28,"")</f>
        <v/>
      </c>
      <c r="W31" s="13">
        <f>IFERROR(변수!W18/W28,"")</f>
        <v/>
      </c>
      <c r="X31" s="13">
        <f>IFERROR(변수!X18/X28,"")</f>
        <v/>
      </c>
      <c r="Y31" s="13">
        <f>IFERROR(변수!Y18/Y28,"")</f>
        <v/>
      </c>
      <c r="Z31" s="14">
        <f>Y31</f>
        <v/>
      </c>
      <c r="AA31" s="13">
        <f>IFERROR(변수!AA18/AA28,"")</f>
        <v/>
      </c>
      <c r="AB31" s="15">
        <f>IFERROR(변수!AB18/AB28,"")</f>
        <v/>
      </c>
      <c r="AC31" s="39">
        <f>IFERROR(변수!$D$38/AC28,"")</f>
        <v/>
      </c>
      <c r="AD31" s="39">
        <f>IFERROR(변수!$D$38/AD28,"")</f>
        <v/>
      </c>
      <c r="AE31" s="40">
        <f>AD31</f>
        <v/>
      </c>
      <c r="AF31" s="39">
        <f>IFERROR(변수!$D$38/AF28,"")</f>
        <v/>
      </c>
      <c r="AG31" s="39">
        <f>IFERROR(변수!$D$38/AG28,"")</f>
        <v/>
      </c>
      <c r="AH31" s="39">
        <f>IFERROR(변수!$D$38/AH28,"")</f>
        <v/>
      </c>
      <c r="AI31" s="39">
        <f>IFERROR(변수!$D$38/AI28,"")</f>
        <v/>
      </c>
      <c r="AJ31" s="40">
        <f>AI31</f>
        <v/>
      </c>
      <c r="AK31" s="39">
        <f>IFERROR(변수!$D$38/AK28,"")</f>
        <v/>
      </c>
      <c r="AL31" s="39">
        <f>IFERROR(변수!$D$38/AL28,"")</f>
        <v/>
      </c>
      <c r="AM31" s="39">
        <f>IFERROR(변수!$D$38/AM28,"")</f>
        <v/>
      </c>
      <c r="AN31" s="39">
        <f>IFERROR(변수!$D$38/AN28,"")</f>
        <v/>
      </c>
      <c r="AO31" s="40">
        <f>AN31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358.76</v>
      </c>
      <c r="F32" s="37" t="n"/>
      <c r="G32" s="18" t="n">
        <v>342.57</v>
      </c>
      <c r="H32" s="18" t="n">
        <v>511.6</v>
      </c>
      <c r="I32" s="18" t="n">
        <v>434.45</v>
      </c>
      <c r="J32" s="18" t="n">
        <v>539.9</v>
      </c>
      <c r="K32" s="37">
        <f>SUM(G32:J32)</f>
        <v/>
      </c>
      <c r="L32" s="18" t="n">
        <v>457.04</v>
      </c>
      <c r="M32" s="18" t="n">
        <v>496.23</v>
      </c>
      <c r="N32" s="18" t="n">
        <v>465.92</v>
      </c>
      <c r="O32" s="18" t="n">
        <v>469.2</v>
      </c>
      <c r="P32" s="37">
        <f>SUM(L32:O32)</f>
        <v/>
      </c>
      <c r="Q32" s="18" t="n">
        <v>497.74</v>
      </c>
      <c r="R32" s="18" t="n">
        <v>460.87</v>
      </c>
      <c r="S32" s="18" t="n">
        <v>452.85</v>
      </c>
      <c r="T32" s="18" t="n">
        <v>493.67</v>
      </c>
      <c r="U32" s="37">
        <f>SUM(Q32:T32)</f>
        <v/>
      </c>
      <c r="V32" s="18" t="n">
        <v>490.35</v>
      </c>
      <c r="W32" s="18" t="n">
        <v>543.33</v>
      </c>
      <c r="X32" s="18" t="n">
        <v>538.45</v>
      </c>
      <c r="Y32" s="18" t="n">
        <v>573.52</v>
      </c>
      <c r="Z32" s="37">
        <f>SUM(V32:Y32)</f>
        <v/>
      </c>
      <c r="AA32" s="18" t="n">
        <v>541.46</v>
      </c>
      <c r="AB32" s="19" t="n">
        <v>592.51</v>
      </c>
      <c r="AC32" s="20">
        <f>IFERROR(AC5,"")</f>
        <v/>
      </c>
      <c r="AD32" s="20">
        <f>IFERROR(AD5,"")</f>
        <v/>
      </c>
      <c r="AE32" s="38">
        <f>SUM(AA32:AD32)</f>
        <v/>
      </c>
      <c r="AF32" s="20">
        <f>IFERROR(AF5,"")</f>
        <v/>
      </c>
      <c r="AG32" s="20">
        <f>IFERROR(AG5,"")</f>
        <v/>
      </c>
      <c r="AH32" s="20">
        <f>IFERROR(AH5,"")</f>
        <v/>
      </c>
      <c r="AI32" s="20">
        <f>IFERROR(AI5,"")</f>
        <v/>
      </c>
      <c r="AJ32" s="38">
        <f>SUM(AF32:AI32)</f>
        <v/>
      </c>
      <c r="AK32" s="20">
        <f>IFERROR(AK5,"")</f>
        <v/>
      </c>
      <c r="AL32" s="20">
        <f>IFERROR(AL5,"")</f>
        <v/>
      </c>
      <c r="AM32" s="20">
        <f>IFERROR(AM5,"")</f>
        <v/>
      </c>
      <c r="AN32" s="20">
        <f>IFERROR(AN5,"")</f>
        <v/>
      </c>
      <c r="AO32" s="38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39.56</v>
      </c>
      <c r="F33" s="37" t="n"/>
      <c r="G33" s="18" t="n">
        <v>52.42</v>
      </c>
      <c r="H33" s="18" t="n">
        <v>103.84</v>
      </c>
      <c r="I33" s="18" t="n">
        <v>102.37</v>
      </c>
      <c r="J33" s="18" t="n">
        <v>148.34</v>
      </c>
      <c r="K33" s="37">
        <f>SUM(G33:J33)</f>
        <v/>
      </c>
      <c r="L33" s="18" t="n">
        <v>112.18</v>
      </c>
      <c r="M33" s="18" t="n">
        <v>153.72</v>
      </c>
      <c r="N33" s="18" t="n">
        <v>141.46</v>
      </c>
      <c r="O33" s="18" t="n">
        <v>111.56</v>
      </c>
      <c r="P33" s="37">
        <f>SUM(L33:O33)</f>
        <v/>
      </c>
      <c r="Q33" s="18" t="n">
        <v>153.92</v>
      </c>
      <c r="R33" s="18" t="n">
        <v>146.99</v>
      </c>
      <c r="S33" s="18" t="n">
        <v>136.56</v>
      </c>
      <c r="T33" s="18" t="n">
        <v>63.84</v>
      </c>
      <c r="U33" s="37">
        <f>SUM(Q33:T33)</f>
        <v/>
      </c>
      <c r="V33" s="18" t="n">
        <v>127.03</v>
      </c>
      <c r="W33" s="18" t="n">
        <v>164.29</v>
      </c>
      <c r="X33" s="18" t="n">
        <v>141.98</v>
      </c>
      <c r="Y33" s="18" t="n">
        <v>155.81</v>
      </c>
      <c r="Z33" s="37">
        <f>SUM(V33:Y33)</f>
        <v/>
      </c>
      <c r="AA33" s="18" t="n">
        <v>156.86</v>
      </c>
      <c r="AB33" s="19" t="n">
        <v>169.91</v>
      </c>
      <c r="AC33" s="20">
        <f>IFERROR(AC9,"")</f>
        <v/>
      </c>
      <c r="AD33" s="20">
        <f>IFERROR(AD9,"")</f>
        <v/>
      </c>
      <c r="AE33" s="38">
        <f>SUM(AA33:AD33)</f>
        <v/>
      </c>
      <c r="AF33" s="20">
        <f>IFERROR(AF9,"")</f>
        <v/>
      </c>
      <c r="AG33" s="20">
        <f>IFERROR(AG9,"")</f>
        <v/>
      </c>
      <c r="AH33" s="20">
        <f>IFERROR(AH9,"")</f>
        <v/>
      </c>
      <c r="AI33" s="20">
        <f>IFERROR(AI9,"")</f>
        <v/>
      </c>
      <c r="AJ33" s="38">
        <f>SUM(AF33:AI33)</f>
        <v/>
      </c>
      <c r="AK33" s="20">
        <f>IFERROR(AK9,"")</f>
        <v/>
      </c>
      <c r="AL33" s="20">
        <f>IFERROR(AL9,"")</f>
        <v/>
      </c>
      <c r="AM33" s="20">
        <f>IFERROR(AM9,"")</f>
        <v/>
      </c>
      <c r="AN33" s="20">
        <f>IFERROR(AN9,"")</f>
        <v/>
      </c>
      <c r="AO33" s="38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IFERROR(E17/E5,"")</f>
        <v/>
      </c>
      <c r="F35" s="22">
        <f>IFERROR(F17/F5,"")</f>
        <v/>
      </c>
      <c r="G35" s="21">
        <f>IFERROR(G17/G5,"")</f>
        <v/>
      </c>
      <c r="H35" s="21">
        <f>IFERROR(H17/H5,"")</f>
        <v/>
      </c>
      <c r="I35" s="21">
        <f>IFERROR(I17/I5,"")</f>
        <v/>
      </c>
      <c r="J35" s="21">
        <f>IFERROR(J17/J5,"")</f>
        <v/>
      </c>
      <c r="K35" s="22">
        <f>IFERROR(K17/K5,"")</f>
        <v/>
      </c>
      <c r="L35" s="21">
        <f>IFERROR(L17/L5,"")</f>
        <v/>
      </c>
      <c r="M35" s="21">
        <f>IFERROR(M17/M5,"")</f>
        <v/>
      </c>
      <c r="N35" s="21">
        <f>IFERROR(N17/N5,"")</f>
        <v/>
      </c>
      <c r="O35" s="21">
        <f>IFERROR(O17/O5,"")</f>
        <v/>
      </c>
      <c r="P35" s="22">
        <f>IFERROR(P17/P5,"")</f>
        <v/>
      </c>
      <c r="Q35" s="21">
        <f>IFERROR(Q17/Q5,"")</f>
        <v/>
      </c>
      <c r="R35" s="21">
        <f>IFERROR(R17/R5,"")</f>
        <v/>
      </c>
      <c r="S35" s="21">
        <f>IFERROR(S17/S5,"")</f>
        <v/>
      </c>
      <c r="T35" s="21">
        <f>IFERROR(T17/T5,"")</f>
        <v/>
      </c>
      <c r="U35" s="22">
        <f>IFERROR(U17/U5,"")</f>
        <v/>
      </c>
      <c r="V35" s="21">
        <f>IFERROR(V17/V5,"")</f>
        <v/>
      </c>
      <c r="W35" s="21">
        <f>IFERROR(W17/W5,"")</f>
        <v/>
      </c>
      <c r="X35" s="21">
        <f>IFERROR(X17/X5,"")</f>
        <v/>
      </c>
      <c r="Y35" s="21">
        <f>IFERROR(Y17/Y5,"")</f>
        <v/>
      </c>
      <c r="Z35" s="22">
        <f>IFERROR(Z17/Z5,"")</f>
        <v/>
      </c>
      <c r="AA35" s="21">
        <f>IFERROR(AA17/AA5,"")</f>
        <v/>
      </c>
      <c r="AB35" s="23">
        <f>IFERROR(AB17/AB5,"")</f>
        <v/>
      </c>
      <c r="AC35" s="32">
        <f>IFERROR(AC17/AC5,"")</f>
        <v/>
      </c>
      <c r="AD35" s="32">
        <f>IFERROR(AD17/AD5,"")</f>
        <v/>
      </c>
      <c r="AE35" s="25">
        <f>IFERROR(AE17/AE5,"")</f>
        <v/>
      </c>
      <c r="AF35" s="32">
        <f>IFERROR(AF17/AF5,"")</f>
        <v/>
      </c>
      <c r="AG35" s="32">
        <f>IFERROR(AG17/AG5,"")</f>
        <v/>
      </c>
      <c r="AH35" s="32">
        <f>IFERROR(AH17/AH5,"")</f>
        <v/>
      </c>
      <c r="AI35" s="32">
        <f>IFERROR(AI17/AI5,"")</f>
        <v/>
      </c>
      <c r="AJ35" s="25">
        <f>IFERROR(AJ17/AJ5,"")</f>
        <v/>
      </c>
      <c r="AK35" s="32">
        <f>IFERROR(AK17/AK5,"")</f>
        <v/>
      </c>
      <c r="AL35" s="32">
        <f>IFERROR(AL17/AL5,"")</f>
        <v/>
      </c>
      <c r="AM35" s="32">
        <f>IFERROR(AM17/AM5,"")</f>
        <v/>
      </c>
      <c r="AN35" s="32">
        <f>IFERROR(AN17/AN5,"")</f>
        <v/>
      </c>
      <c r="AO35" s="25">
        <f>IFERROR(AO17/AO5,"")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2">
        <f>IFERROR(AC6/AC5,"")</f>
        <v/>
      </c>
      <c r="AD36" s="32">
        <f>IFERROR(AD6/AD5,"")</f>
        <v/>
      </c>
      <c r="AE36" s="25">
        <f>IFERROR(AE6/AE5,"")</f>
        <v/>
      </c>
      <c r="AF36" s="32">
        <f>IFERROR(AF6/AF5,"")</f>
        <v/>
      </c>
      <c r="AG36" s="32">
        <f>IFERROR(AG6/AG5,"")</f>
        <v/>
      </c>
      <c r="AH36" s="32">
        <f>IFERROR(AH6/AH5,"")</f>
        <v/>
      </c>
      <c r="AI36" s="32">
        <f>IFERROR(AI6/AI5,"")</f>
        <v/>
      </c>
      <c r="AJ36" s="25">
        <f>IFERROR(AJ6/AJ5,"")</f>
        <v/>
      </c>
      <c r="AK36" s="32">
        <f>IFERROR(AK6/AK5,"")</f>
        <v/>
      </c>
      <c r="AL36" s="32">
        <f>IFERROR(AL6/AL5,"")</f>
        <v/>
      </c>
      <c r="AM36" s="32">
        <f>IFERROR(AM6/AM5,"")</f>
        <v/>
      </c>
      <c r="AN36" s="32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2">
        <f>IFERROR(AC8/AC5,"")</f>
        <v/>
      </c>
      <c r="AD37" s="32">
        <f>IFERROR(AD8/AD5,"")</f>
        <v/>
      </c>
      <c r="AE37" s="25">
        <f>IFERROR(AE8/AE5,"")</f>
        <v/>
      </c>
      <c r="AF37" s="32">
        <f>IFERROR(AF8/AF5,"")</f>
        <v/>
      </c>
      <c r="AG37" s="32">
        <f>IFERROR(AG8/AG5,"")</f>
        <v/>
      </c>
      <c r="AH37" s="32">
        <f>IFERROR(AH8/AH5,"")</f>
        <v/>
      </c>
      <c r="AI37" s="32">
        <f>IFERROR(AI8/AI5,"")</f>
        <v/>
      </c>
      <c r="AJ37" s="25">
        <f>IFERROR(AJ8/AJ5,"")</f>
        <v/>
      </c>
      <c r="AK37" s="32">
        <f>IFERROR(AK8/AK5,"")</f>
        <v/>
      </c>
      <c r="AL37" s="32">
        <f>IFERROR(AL8/AL5,"")</f>
        <v/>
      </c>
      <c r="AM37" s="32">
        <f>IFERROR(AM8/AM5,"")</f>
        <v/>
      </c>
      <c r="AN37" s="32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변수!D38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27">
        <f>IFERROR(VLOOKUP($A26,subQ,MATCH(I$1,SUBQH,0),0),"")</f>
        <v/>
      </c>
      <c r="J26" s="27">
        <f>IFERROR(VLOOKUP($A26,subQ,MATCH(J$1,SUBQH,0),0),"")</f>
        <v/>
      </c>
      <c r="K26" s="27">
        <f>IFERROR(VLOOKUP($A26,subQ,MATCH(K$1,SUBQH,0),0),"")</f>
        <v/>
      </c>
      <c r="L26" s="27">
        <f>IFERROR(VLOOKUP($A26,subQ,MATCH(L$1,SUBQH,0),0),"")</f>
        <v/>
      </c>
      <c r="M26" s="27">
        <f>IFERROR(VLOOKUP($A26,subQ,MATCH(M$1,SUBQH,0),0),"")</f>
        <v/>
      </c>
      <c r="N26" s="27">
        <f>IFERROR(VLOOKUP($A26,subQ,MATCH(N$1,SUBQH,0),0),"")</f>
        <v/>
      </c>
      <c r="O26" s="27">
        <f>IFERROR(VLOOKUP($A26,subQ,MATCH(O$1,SUBQH,0),0),"")</f>
        <v/>
      </c>
      <c r="P26" s="27">
        <f>IFERROR(VLOOKUP($A26,subQ,MATCH(P$1,SUBQH,0),0),"")</f>
        <v/>
      </c>
      <c r="Q26" s="27">
        <f>IFERROR(VLOOKUP($A26,subQ,MATCH(Q$1,SUBQH,0),0),"")</f>
        <v/>
      </c>
      <c r="R26" s="27">
        <f>IFERROR(VLOOKUP($A26,subQ,MATCH(R$1,SUBQH,0),0),"")</f>
        <v/>
      </c>
      <c r="S26" s="27">
        <f>IFERROR(VLOOKUP($A26,subQ,MATCH(S$1,SUBQH,0),0),"")</f>
        <v/>
      </c>
      <c r="T26" s="27">
        <f>IFERROR(VLOOKUP($A26,subQ,MATCH(T$1,SUBQH,0),0),"")</f>
        <v/>
      </c>
      <c r="U26" s="27">
        <f>IFERROR(VLOOKUP($A26,subQ,MATCH(U$1,SUBQH,0),0),"")</f>
        <v/>
      </c>
      <c r="V26" s="27">
        <f>IFERROR(VLOOKUP($A26,subQ,MATCH(V$1,SUBQH,0),0),"")</f>
        <v/>
      </c>
      <c r="W26" s="47">
        <f>IFERROR(VLOOKUP($A26,subQ,MATCH(W$1,SUBQH,0),0),"")</f>
        <v/>
      </c>
      <c r="X26" s="33">
        <f>IFERROR(VLOOKUP($A26,subQ,MATCH(X$1,SUBQH,0),0),"")</f>
        <v/>
      </c>
      <c r="Y26" s="33">
        <f>IFERROR(VLOOKUP($A26,subQ,MATCH(Y$1,SUBQH,0),0),"")</f>
        <v/>
      </c>
      <c r="Z26" s="33">
        <f>IFERROR(VLOOKUP($A26,subQ,MATCH(Z$1,SUBQH,0),0),"")</f>
        <v/>
      </c>
      <c r="AA26" s="33">
        <f>IFERROR(VLOOKUP($A26,subQ,MATCH(AA$1,SUBQH,0),0),"")</f>
        <v/>
      </c>
      <c r="AB26" s="33">
        <f>IFERROR(VLOOKUP($A26,subQ,MATCH(AB$1,SUBQH,0),0),"")</f>
        <v/>
      </c>
      <c r="AC26" s="33">
        <f>IFERROR(VLOOKUP($A26,subQ,MATCH(AC$1,SUBQH,0),0),"")</f>
        <v/>
      </c>
      <c r="AD26" s="33">
        <f>IFERROR(VLOOKUP($A26,subQ,MATCH(AD$1,SUBQH,0),0),"")</f>
        <v/>
      </c>
      <c r="AE26" s="33">
        <f>IFERROR(VLOOKUP($A26,subQ,MATCH(AE$1,SUBQH,0),0),"")</f>
        <v/>
      </c>
      <c r="AF26" s="33">
        <f>IFERROR(VLOOKUP($A26,subQ,MATCH(AF$1,SUBQH,0),0),"")</f>
        <v/>
      </c>
      <c r="AG26" s="33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13">
        <f>IFERROR(VLOOKUP($A30,subQ,MATCH(I$1,SUBQH,0),0),"")</f>
        <v/>
      </c>
      <c r="J30" s="13">
        <f>IFERROR(VLOOKUP($A30,subQ,MATCH(J$1,SUBQH,0),0),"")</f>
        <v/>
      </c>
      <c r="K30" s="13">
        <f>IFERROR(VLOOKUP($A30,subQ,MATCH(K$1,SUBQH,0),0),"")</f>
        <v/>
      </c>
      <c r="L30" s="13">
        <f>IFERROR(VLOOKUP($A30,subQ,MATCH(L$1,SUBQH,0),0),"")</f>
        <v/>
      </c>
      <c r="M30" s="13">
        <f>IFERROR(VLOOKUP($A30,subQ,MATCH(M$1,SUBQH,0),0),"")</f>
        <v/>
      </c>
      <c r="N30" s="13">
        <f>IFERROR(VLOOKUP($A30,subQ,MATCH(N$1,SUBQH,0),0),"")</f>
        <v/>
      </c>
      <c r="O30" s="13">
        <f>IFERROR(VLOOKUP($A30,subQ,MATCH(O$1,SUBQH,0),0),"")</f>
        <v/>
      </c>
      <c r="P30" s="13">
        <f>IFERROR(VLOOKUP($A30,subQ,MATCH(P$1,SUBQH,0),0),"")</f>
        <v/>
      </c>
      <c r="Q30" s="13">
        <f>IFERROR(VLOOKUP($A30,subQ,MATCH(Q$1,SUBQH,0),0),"")</f>
        <v/>
      </c>
      <c r="R30" s="13">
        <f>IFERROR(VLOOKUP($A30,subQ,MATCH(R$1,SUBQH,0),0),"")</f>
        <v/>
      </c>
      <c r="S30" s="13">
        <f>IFERROR(VLOOKUP($A30,subQ,MATCH(S$1,SUBQH,0),0),"")</f>
        <v/>
      </c>
      <c r="T30" s="13">
        <f>IFERROR(VLOOKUP($A30,subQ,MATCH(T$1,SUBQH,0),0),"")</f>
        <v/>
      </c>
      <c r="U30" s="13">
        <f>IFERROR(VLOOKUP($A30,subQ,MATCH(U$1,SUBQH,0),0),"")</f>
        <v/>
      </c>
      <c r="V30" s="13">
        <f>IFERROR(VLOOKUP($A30,subQ,MATCH(V$1,SUBQH,0),0),"")</f>
        <v/>
      </c>
      <c r="W30" s="48">
        <f>IFERROR(VLOOKUP($A30,subQ,MATCH(W$1,SUBQH,0),0),"")</f>
        <v/>
      </c>
      <c r="X30" s="39">
        <f>IFERROR(VLOOKUP($A30,subQ,MATCH(X$1,SUBQH,0),0),"")</f>
        <v/>
      </c>
      <c r="Y30" s="39">
        <f>IFERROR(VLOOKUP($A30,subQ,MATCH(Y$1,SUBQH,0),0),"")</f>
        <v/>
      </c>
      <c r="Z30" s="39">
        <f>IFERROR(VLOOKUP($A30,subQ,MATCH(Z$1,SUBQH,0),0),"")</f>
        <v/>
      </c>
      <c r="AA30" s="39">
        <f>IFERROR(VLOOKUP($A30,subQ,MATCH(AA$1,SUBQH,0),0),"")</f>
        <v/>
      </c>
      <c r="AB30" s="39">
        <f>IFERROR(VLOOKUP($A30,subQ,MATCH(AB$1,SUBQH,0),0),"")</f>
        <v/>
      </c>
      <c r="AC30" s="39">
        <f>IFERROR(VLOOKUP($A30,subQ,MATCH(AC$1,SUBQH,0),0),"")</f>
        <v/>
      </c>
      <c r="AD30" s="39">
        <f>IFERROR(VLOOKUP($A30,subQ,MATCH(AD$1,SUBQH,0),0),"")</f>
        <v/>
      </c>
      <c r="AE30" s="39">
        <f>IFERROR(VLOOKUP($A30,subQ,MATCH(AE$1,SUBQH,0),0),"")</f>
        <v/>
      </c>
      <c r="AF30" s="39">
        <f>IFERROR(VLOOKUP($A30,subQ,MATCH(AF$1,SUBQH,0),0),"")</f>
        <v/>
      </c>
      <c r="AG30" s="39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13">
        <f>IFERROR(VLOOKUP($A31,subQ,MATCH(I$1,SUBQH,0),0),"")</f>
        <v/>
      </c>
      <c r="J31" s="13">
        <f>IFERROR(VLOOKUP($A31,subQ,MATCH(J$1,SUBQH,0),0),"")</f>
        <v/>
      </c>
      <c r="K31" s="13">
        <f>IFERROR(VLOOKUP($A31,subQ,MATCH(K$1,SUBQH,0),0),"")</f>
        <v/>
      </c>
      <c r="L31" s="13">
        <f>IFERROR(VLOOKUP($A31,subQ,MATCH(L$1,SUBQH,0),0),"")</f>
        <v/>
      </c>
      <c r="M31" s="13">
        <f>IFERROR(VLOOKUP($A31,subQ,MATCH(M$1,SUBQH,0),0),"")</f>
        <v/>
      </c>
      <c r="N31" s="13">
        <f>IFERROR(VLOOKUP($A31,subQ,MATCH(N$1,SUBQH,0),0),"")</f>
        <v/>
      </c>
      <c r="O31" s="13">
        <f>IFERROR(VLOOKUP($A31,subQ,MATCH(O$1,SUBQH,0),0),"")</f>
        <v/>
      </c>
      <c r="P31" s="13">
        <f>IFERROR(VLOOKUP($A31,subQ,MATCH(P$1,SUBQH,0),0),"")</f>
        <v/>
      </c>
      <c r="Q31" s="13">
        <f>IFERROR(VLOOKUP($A31,subQ,MATCH(Q$1,SUBQH,0),0),"")</f>
        <v/>
      </c>
      <c r="R31" s="13">
        <f>IFERROR(VLOOKUP($A31,subQ,MATCH(R$1,SUBQH,0),0),"")</f>
        <v/>
      </c>
      <c r="S31" s="13">
        <f>IFERROR(VLOOKUP($A31,subQ,MATCH(S$1,SUBQH,0),0),"")</f>
        <v/>
      </c>
      <c r="T31" s="13">
        <f>IFERROR(VLOOKUP($A31,subQ,MATCH(T$1,SUBQH,0),0),"")</f>
        <v/>
      </c>
      <c r="U31" s="13">
        <f>IFERROR(VLOOKUP($A31,subQ,MATCH(U$1,SUBQH,0),0),"")</f>
        <v/>
      </c>
      <c r="V31" s="13">
        <f>IFERROR(VLOOKUP($A31,subQ,MATCH(V$1,SUBQH,0),0),"")</f>
        <v/>
      </c>
      <c r="W31" s="48">
        <f>IFERROR(VLOOKUP($A31,subQ,MATCH(W$1,SUBQH,0),0),"")</f>
        <v/>
      </c>
      <c r="X31" s="39">
        <f>IFERROR(VLOOKUP($A31,subQ,MATCH(X$1,SUBQH,0),0),"")</f>
        <v/>
      </c>
      <c r="Y31" s="39">
        <f>IFERROR(VLOOKUP($A31,subQ,MATCH(Y$1,SUBQH,0),0),"")</f>
        <v/>
      </c>
      <c r="Z31" s="39">
        <f>IFERROR(VLOOKUP($A31,subQ,MATCH(Z$1,SUBQH,0),0),"")</f>
        <v/>
      </c>
      <c r="AA31" s="39">
        <f>IFERROR(VLOOKUP($A31,subQ,MATCH(AA$1,SUBQH,0),0),"")</f>
        <v/>
      </c>
      <c r="AB31" s="39">
        <f>IFERROR(VLOOKUP($A31,subQ,MATCH(AB$1,SUBQH,0),0),"")</f>
        <v/>
      </c>
      <c r="AC31" s="39">
        <f>IFERROR(VLOOKUP($A31,subQ,MATCH(AC$1,SUBQH,0),0),"")</f>
        <v/>
      </c>
      <c r="AD31" s="39">
        <f>IFERROR(VLOOKUP($A31,subQ,MATCH(AD$1,SUBQH,0),0),"")</f>
        <v/>
      </c>
      <c r="AE31" s="39">
        <f>IFERROR(VLOOKUP($A31,subQ,MATCH(AE$1,SUBQH,0),0),"")</f>
        <v/>
      </c>
      <c r="AF31" s="39">
        <f>IFERROR(VLOOKUP($A31,subQ,MATCH(AF$1,SUBQH,0),0),"")</f>
        <v/>
      </c>
      <c r="AG31" s="39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6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6">
        <f>IFERROR(W5/S5-1,"")</f>
        <v/>
      </c>
      <c r="X35" s="32">
        <f>IFERROR(X5/T5-1,"")</f>
        <v/>
      </c>
      <c r="Y35" s="32">
        <f>IFERROR(Y5/U5-1,"")</f>
        <v/>
      </c>
      <c r="Z35" s="32">
        <f>IFERROR(Z5/V5-1,"")</f>
        <v/>
      </c>
      <c r="AA35" s="32">
        <f>IFERROR(AA5/W5-1,"")</f>
        <v/>
      </c>
      <c r="AB35" s="32">
        <f>IFERROR(AB5/X5-1,"")</f>
        <v/>
      </c>
      <c r="AC35" s="32">
        <f>IFERROR(AC5/Y5-1,"")</f>
        <v/>
      </c>
      <c r="AD35" s="32">
        <f>IFERROR(AD5/Z5-1,"")</f>
        <v/>
      </c>
      <c r="AE35" s="32">
        <f>IFERROR(AE5/AA5-1,"")</f>
        <v/>
      </c>
      <c r="AF35" s="32">
        <f>IFERROR(AF5/AB5-1,"")</f>
        <v/>
      </c>
      <c r="AG35" s="32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6">
        <f>IFERROR(W9/S9-1,"")</f>
        <v/>
      </c>
      <c r="X36" s="32">
        <f>IFERROR(X9/T9-1,"")</f>
        <v/>
      </c>
      <c r="Y36" s="32">
        <f>IFERROR(Y9/U9-1,"")</f>
        <v/>
      </c>
      <c r="Z36" s="32">
        <f>IFERROR(Z9/V9-1,"")</f>
        <v/>
      </c>
      <c r="AA36" s="32">
        <f>IFERROR(AA9/W9-1,"")</f>
        <v/>
      </c>
      <c r="AB36" s="32">
        <f>IFERROR(AB9/X9-1,"")</f>
        <v/>
      </c>
      <c r="AC36" s="32">
        <f>IFERROR(AC9/Y9-1,"")</f>
        <v/>
      </c>
      <c r="AD36" s="32">
        <f>IFERROR(AD9/Z9-1,"")</f>
        <v/>
      </c>
      <c r="AE36" s="32">
        <f>IFERROR(AE9/AA9-1,"")</f>
        <v/>
      </c>
      <c r="AF36" s="32">
        <f>IFERROR(AF9/AB9-1,"")</f>
        <v/>
      </c>
      <c r="AG36" s="32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IFERROR(I17/E17-1,"")</f>
        <v/>
      </c>
      <c r="J37" s="21">
        <f>IFERROR(J17/F17-1,"")</f>
        <v/>
      </c>
      <c r="K37" s="21">
        <f>IFERROR(K17/G17-1,"")</f>
        <v/>
      </c>
      <c r="L37" s="21">
        <f>IFERROR(L17/H17-1,"")</f>
        <v/>
      </c>
      <c r="M37" s="21">
        <f>IFERROR(M17/I17-1,"")</f>
        <v/>
      </c>
      <c r="N37" s="21">
        <f>IFERROR(N17/J17-1,"")</f>
        <v/>
      </c>
      <c r="O37" s="21">
        <f>IFERROR(O17/K17-1,"")</f>
        <v/>
      </c>
      <c r="P37" s="21">
        <f>IFERROR(P17/L17-1,"")</f>
        <v/>
      </c>
      <c r="Q37" s="21">
        <f>IFERROR(Q17/M17-1,"")</f>
        <v/>
      </c>
      <c r="R37" s="21">
        <f>IFERROR(R17/N17-1,"")</f>
        <v/>
      </c>
      <c r="S37" s="21">
        <f>IFERROR(S17/O17-1,"")</f>
        <v/>
      </c>
      <c r="T37" s="21">
        <f>IFERROR(T17/P17-1,"")</f>
        <v/>
      </c>
      <c r="U37" s="21">
        <f>IFERROR(U17/Q17-1,"")</f>
        <v/>
      </c>
      <c r="V37" s="21">
        <f>IFERROR(V17/R17-1,"")</f>
        <v/>
      </c>
      <c r="W37" s="46">
        <f>IFERROR(W17/S17-1,"")</f>
        <v/>
      </c>
      <c r="X37" s="32">
        <f>IFERROR(X17/T17-1,"")</f>
        <v/>
      </c>
      <c r="Y37" s="32">
        <f>IFERROR(Y17/U17-1,"")</f>
        <v/>
      </c>
      <c r="Z37" s="32">
        <f>IFERROR(Z17/V17-1,"")</f>
        <v/>
      </c>
      <c r="AA37" s="32">
        <f>IFERROR(AA17/W17-1,"")</f>
        <v/>
      </c>
      <c r="AB37" s="32">
        <f>IFERROR(AB17/X17-1,"")</f>
        <v/>
      </c>
      <c r="AC37" s="32">
        <f>IFERROR(AC17/Y17-1,"")</f>
        <v/>
      </c>
      <c r="AD37" s="32">
        <f>IFERROR(AD17/Z17-1,"")</f>
        <v/>
      </c>
      <c r="AE37" s="32">
        <f>IFERROR(AE17/AA17-1,"")</f>
        <v/>
      </c>
      <c r="AF37" s="32">
        <f>IFERROR(AF17/AB17-1,"")</f>
        <v/>
      </c>
      <c r="AG37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변수!D38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47">
        <f>IFERROR(VLOOKUP($A26,subQ,MATCH(I$1,SUBQH,0),0),"")</f>
        <v/>
      </c>
      <c r="J26" s="33">
        <f>IFERROR(VLOOKUP($A26,subQ,MATCH(J$1,SUBQH,0),0),"")</f>
        <v/>
      </c>
      <c r="K26" s="33">
        <f>IFERROR(VLOOKUP($A26,subQ,MATCH(K$1,SUBQH,0),0),"")</f>
        <v/>
      </c>
      <c r="L26" s="33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48">
        <f>IFERROR(VLOOKUP($A30,subQ,MATCH(I$1,SUBQH,0),0),"")</f>
        <v/>
      </c>
      <c r="J30" s="39">
        <f>IFERROR(VLOOKUP($A30,subQ,MATCH(J$1,SUBQH,0),0),"")</f>
        <v/>
      </c>
      <c r="K30" s="39">
        <f>IFERROR(VLOOKUP($A30,subQ,MATCH(K$1,SUBQH,0),0),"")</f>
        <v/>
      </c>
      <c r="L30" s="39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48">
        <f>IFERROR(VLOOKUP($A31,subQ,MATCH(I$1,SUBQH,0),0),"")</f>
        <v/>
      </c>
      <c r="J31" s="39">
        <f>IFERROR(VLOOKUP($A31,subQ,MATCH(J$1,SUBQH,0),0),"")</f>
        <v/>
      </c>
      <c r="K31" s="39">
        <f>IFERROR(VLOOKUP($A31,subQ,MATCH(K$1,SUBQH,0),0),"")</f>
        <v/>
      </c>
      <c r="L31" s="39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6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6">
        <f>IFERROR(I5/H5-1,"")</f>
        <v/>
      </c>
      <c r="J35" s="32">
        <f>IFERROR(J5/I5-1,"")</f>
        <v/>
      </c>
      <c r="K35" s="32">
        <f>IFERROR(K5/J5-1,"")</f>
        <v/>
      </c>
      <c r="L35" s="32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6">
        <f>IFERROR(I9/H9-1,"")</f>
        <v/>
      </c>
      <c r="J36" s="32">
        <f>IFERROR(J9/I9-1,"")</f>
        <v/>
      </c>
      <c r="K36" s="32">
        <f>IFERROR(K9/J9-1,"")</f>
        <v/>
      </c>
      <c r="L36" s="32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IFERROR(F17/E17-1,"")</f>
        <v/>
      </c>
      <c r="G37" s="21">
        <f>IFERROR(G17/F17-1,"")</f>
        <v/>
      </c>
      <c r="H37" s="21">
        <f>IFERROR(H17/G17-1,"")</f>
        <v/>
      </c>
      <c r="I37" s="46">
        <f>IFERROR(I17/H17-1,"")</f>
        <v/>
      </c>
      <c r="J37" s="32">
        <f>IFERROR(J17/I17-1,"")</f>
        <v/>
      </c>
      <c r="K37" s="32">
        <f>IFERROR(K17/J17-1,"")</f>
        <v/>
      </c>
      <c r="L37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IFERROR(E7*변수!D44+F7*(1-변수!D44),"")</f>
        <v/>
      </c>
    </row>
    <row r="15">
      <c r="C15" t="inlineStr">
        <is>
          <t>적정가치 @PER_lo</t>
        </is>
      </c>
      <c r="D15" s="27">
        <f>변수!D41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6.91</v>
      </c>
    </row>
    <row r="32">
      <c r="C32" s="2" t="inlineStr">
        <is>
          <t>pbr_now</t>
        </is>
      </c>
      <c r="D32" t="n">
        <v>0.86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