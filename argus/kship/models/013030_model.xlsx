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모델값 역산(implied): v / 매출액
매출액 × 판관비율 12.27%(최근 4분기 중위)</t>
      </text>
    </comment>
    <comment ref="AD22" authorId="0" shapeId="0">
      <text>
        <t>모델값 역산(implied): v / 매출액
매출액 × 판관비율 12.27%(최근 4분기 중위)</t>
      </text>
    </comment>
    <comment ref="AF22" authorId="0" shapeId="0">
      <text>
        <t>모델값 역산(implied): v / 매출액
매출액 × 판관비율 12.27%(최근 4분기 중위)</t>
      </text>
    </comment>
    <comment ref="AG22" authorId="0" shapeId="0">
      <text>
        <t>모델값 역산(implied): v / 매출액
매출액 × 판관비율 12.27%(최근 4분기 중위)</t>
      </text>
    </comment>
    <comment ref="AH22" authorId="0" shapeId="0">
      <text>
        <t>모델값 역산(implied): v / 매출액
매출액 × 판관비율 12.27%(최근 4분기 중위)</t>
      </text>
    </comment>
    <comment ref="AI22" authorId="0" shapeId="0">
      <text>
        <t>모델값 역산(implied): v / 매출액
매출액 × 판관비율 12.27%(최근 4분기 중위)</t>
      </text>
    </comment>
    <comment ref="AK22" authorId="0" shapeId="0">
      <text>
        <t>모델값 역산(implied): v / 매출액
매출액 × 판관비율 12.27%(최근 4분기 중위)</t>
      </text>
    </comment>
    <comment ref="AL22" authorId="0" shapeId="0">
      <text>
        <t>모델값 역산(implied): v / 매출액
매출액 × 판관비율 12.27%(최근 4분기 중위)</t>
      </text>
    </comment>
    <comment ref="AM22" authorId="0" shapeId="0">
      <text>
        <t>모델값 역산(implied): v / 매출액
매출액 × 판관비율 12.27%(최근 4분기 중위)</t>
      </text>
    </comment>
    <comment ref="AN22" authorId="0" shapeId="0">
      <text>
        <t>모델값 역산(implied): v / 매출액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v / 전년동기 − 1
최근 8분기 OPM 중위 27.9% 유지(클립 −20~40%)</t>
      </text>
    </comment>
    <comment ref="AD24" authorId="0" shapeId="0">
      <text>
        <t>모델값 역산(implied): v / 전년동기 − 1
최근 8분기 OPM 중위 27.9% 유지(클립 −20~40%)</t>
      </text>
    </comment>
    <comment ref="AF24" authorId="0" shapeId="0">
      <text>
        <t>모델값 역산(implied): v / 전년동기 − 1
최근 8분기 OPM 중위 27.9% 유지(클립 −20~40%)</t>
      </text>
    </comment>
    <comment ref="AG24" authorId="0" shapeId="0">
      <text>
        <t>모델값 역산(implied): v / 전년동기 − 1
최근 8분기 OPM 중위 27.9% 유지(클립 −20~40%)</t>
      </text>
    </comment>
    <comment ref="AH24" authorId="0" shapeId="0">
      <text>
        <t>모델값 역산(implied): v / 전년동기 − 1
최근 8분기 OPM 중위 27.9% 유지(클립 −20~40%)</t>
      </text>
    </comment>
    <comment ref="AI24" authorId="0" shapeId="0">
      <text>
        <t>모델값 역산(implied): v / 전년동기 − 1
최근 8분기 OPM 중위 27.9% 유지(클립 −20~40%)</t>
      </text>
    </comment>
    <comment ref="AK24" authorId="0" shapeId="0">
      <text>
        <t>모델값 역산(implied): v / 전년동기 − 1
최근 8분기 OPM 중위 27.9% 유지(클립 −20~40%)</t>
      </text>
    </comment>
    <comment ref="AL24" authorId="0" shapeId="0">
      <text>
        <t>모델값 역산(implied): v / 전년동기 − 1
최근 8분기 OPM 중위 27.9% 유지(클립 −20~40%)</t>
      </text>
    </comment>
    <comment ref="AM24" authorId="0" shapeId="0">
      <text>
        <t>모델값 역산(implied): v / 전년동기 − 1
최근 8분기 OPM 중위 27.9% 유지(클립 −20~40%)</t>
      </text>
    </comment>
    <comment ref="AN24" authorId="0" shapeId="0">
      <text>
        <t>모델값 역산(implied): v / 전년동기 − 1
최근 8분기 OPM 중위 27.9%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</t>
      </text>
    </comment>
    <comment ref="AC26" authorId="0" shapeId="0">
      <text>
        <t>모델값 역산(implied): 모델 v 그대로
이자발생자산 1906억 × 2.67%(CF 이자수취 ÷ 평균 이자발생자산(2025Q3~2026Q2; 주석 이자수익 0분기 &lt; 4)) − 총차입금 0억 × 0.00%(없음) (연율) ÷ 4</t>
      </text>
    </comment>
    <comment ref="AD26" authorId="0" shapeId="0">
      <text>
        <t>모델값 역산(implied): 모델 v 그대로
이자발생자산 2047억 × 2.67%(CF 이자수취 ÷ 평균 이자발생자산(2025Q3~2026Q2; 주석 이자수익 0분기 &lt; 4)) − 총차입금 0억 × 0.00%(없음) (연율) ÷ 4</t>
      </text>
    </comment>
    <comment ref="AF26" authorId="0" shapeId="0">
      <text>
        <t>모델값 역산(implied): 모델 v 그대로
이자발생자산 2197억 × 2.67%(CF 이자수취 ÷ 평균 이자발생자산(2025Q3~2026Q2; 주석 이자수익 0분기 &lt; 4)) − 총차입금 0억 × 0.00%(없음) (연율) ÷ 4</t>
      </text>
    </comment>
    <comment ref="AG26" authorId="0" shapeId="0">
      <text>
        <t>모델값 역산(implied): 모델 v 그대로
이자발생자산 2340억 × 2.67%(CF 이자수취 ÷ 평균 이자발생자산(2025Q3~2026Q2; 주석 이자수익 0분기 &lt; 4)) − 총차입금 0억 × 0.00%(없음) (연율) ÷ 4</t>
      </text>
    </comment>
    <comment ref="AH26" authorId="0" shapeId="0">
      <text>
        <t>모델값 역산(implied): 모델 v 그대로
이자발생자산 2337억 × 2.67%(CF 이자수취 ÷ 평균 이자발생자산(2025Q3~2026Q2; 주석 이자수익 0분기 &lt; 4)) − 총차입금 0억 × 0.00%(없음) (연율) ÷ 4</t>
      </text>
    </comment>
    <comment ref="AI26" authorId="0" shapeId="0">
      <text>
        <t>모델값 역산(implied): 모델 v 그대로
이자발생자산 2489억 × 2.67%(CF 이자수취 ÷ 평균 이자발생자산(2025Q3~2026Q2; 주석 이자수익 0분기 &lt; 4)) − 총차입금 0억 × 0.00%(없음) (연율) ÷ 4</t>
      </text>
    </comment>
    <comment ref="AK26" authorId="0" shapeId="0">
      <text>
        <t>모델값 역산(implied): 모델 v 그대로
이자발생자산 2650억 × 2.67%(CF 이자수취 ÷ 평균 이자발생자산(2025Q3~2026Q2; 주석 이자수익 0분기 &lt; 4)) − 총차입금 0억 × 0.00%(없음) (연율) ÷ 4</t>
      </text>
    </comment>
    <comment ref="AL26" authorId="0" shapeId="0">
      <text>
        <t>모델값 역산(implied): 모델 v 그대로
이자발생자산 2804억 × 2.67%(CF 이자수취 ÷ 평균 이자발생자산(2025Q3~2026Q2; 주석 이자수익 0분기 &lt; 4)) − 총차입금 0억 × 0.00%(없음) (연율) ÷ 4</t>
      </text>
    </comment>
    <comment ref="AM26" authorId="0" shapeId="0">
      <text>
        <t>모델값 역산(implied): 모델 v 그대로
이자발생자산 2814억 × 2.67%(CF 이자수취 ÷ 평균 이자발생자산(2025Q3~2026Q2; 주석 이자수익 0분기 &lt; 4)) − 총차입금 0억 × 0.00%(없음) (연율) ÷ 4</t>
      </text>
    </comment>
    <comment ref="AN26" authorId="0" shapeId="0">
      <text>
        <t>모델값 역산(implied): 모델 v 그대로
이자발생자산 2973억 × 2.67%(CF 이자수취 ÷ 평균 이자발생자산(2025Q3~2026Q2; 주석 이자수익 0분기 &lt; 4)) − 총차입금 0억 × 0.00%(없음)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23.2%(최근 12분기 유효세율 23.2%(5~27% 안 — 그대로))</t>
      </text>
    </comment>
    <comment ref="AD28" authorId="0" shapeId="0">
      <text>
        <t>모델값 역산(implied): v / 세전이익
max(세전, 0) × 세율 23.2%(최근 12분기 유효세율 23.2%(5~27% 안 — 그대로))</t>
      </text>
    </comment>
    <comment ref="AF28" authorId="0" shapeId="0">
      <text>
        <t>모델값 역산(implied): v / 세전이익
max(세전, 0) × 세율 23.2%(최근 12분기 유효세율 23.2%(5~27% 안 — 그대로))</t>
      </text>
    </comment>
    <comment ref="AG28" authorId="0" shapeId="0">
      <text>
        <t>모델값 역산(implied): v / 세전이익
max(세전, 0) × 세율 23.2%(최근 12분기 유효세율 23.2%(5~27% 안 — 그대로))</t>
      </text>
    </comment>
    <comment ref="AH28" authorId="0" shapeId="0">
      <text>
        <t>모델값 역산(implied): v / 세전이익
max(세전, 0) × 세율 23.2%(최근 12분기 유효세율 23.2%(5~27% 안 — 그대로))</t>
      </text>
    </comment>
    <comment ref="AI28" authorId="0" shapeId="0">
      <text>
        <t>모델값 역산(implied): v / 세전이익
max(세전, 0) × 세율 23.2%(최근 12분기 유효세율 23.2%(5~27% 안 — 그대로))</t>
      </text>
    </comment>
    <comment ref="AK28" authorId="0" shapeId="0">
      <text>
        <t>모델값 역산(implied): v / 세전이익
max(세전, 0) × 세율 23.2%(최근 12분기 유효세율 23.2%(5~27% 안 — 그대로))</t>
      </text>
    </comment>
    <comment ref="AL28" authorId="0" shapeId="0">
      <text>
        <t>모델값 역산(implied): v / 세전이익
max(세전, 0) × 세율 23.2%(최근 12분기 유효세율 23.2%(5~27% 안 — 그대로))</t>
      </text>
    </comment>
    <comment ref="AM28" authorId="0" shapeId="0">
      <text>
        <t>모델값 역산(implied): v / 세전이익
max(세전, 0) × 세율 23.2%(최근 12분기 유효세율 23.2%(5~27% 안 — 그대로))</t>
      </text>
    </comment>
    <comment ref="AN28" authorId="0" shapeId="0">
      <text>
        <t>모델값 역산(implied): v / 세전이익
max(세전, 0) × 세율 23.2%(최근 12분기 유효세율 23.2%(5~27% 안 — 그대로))</t>
      </text>
    </comment>
    <comment ref="AC29" authorId="0" shapeId="0">
      <text>
        <t>모델값 역산(implied): v / 당기순이익
당기순이익 × (1 − 비지배 비중 0.9%, 최근 8분기 실측)</t>
      </text>
    </comment>
    <comment ref="AD29" authorId="0" shapeId="0">
      <text>
        <t>모델값 역산(implied): v / 당기순이익
당기순이익 × (1 − 비지배 비중 0.9%, 최근 8분기 실측)</t>
      </text>
    </comment>
    <comment ref="AF29" authorId="0" shapeId="0">
      <text>
        <t>모델값 역산(implied): v / 당기순이익
당기순이익 × (1 − 비지배 비중 0.9%, 최근 8분기 실측)</t>
      </text>
    </comment>
    <comment ref="AG29" authorId="0" shapeId="0">
      <text>
        <t>모델값 역산(implied): v / 당기순이익
당기순이익 × (1 − 비지배 비중 0.9%, 최근 8분기 실측)</t>
      </text>
    </comment>
    <comment ref="AH29" authorId="0" shapeId="0">
      <text>
        <t>모델값 역산(implied): v / 당기순이익
당기순이익 × (1 − 비지배 비중 0.9%, 최근 8분기 실측)</t>
      </text>
    </comment>
    <comment ref="AI29" authorId="0" shapeId="0">
      <text>
        <t>모델값 역산(implied): v / 당기순이익
당기순이익 × (1 − 비지배 비중 0.9%, 최근 8분기 실측)</t>
      </text>
    </comment>
    <comment ref="AK29" authorId="0" shapeId="0">
      <text>
        <t>모델값 역산(implied): v / 당기순이익
당기순이익 × (1 − 비지배 비중 0.9%, 최근 8분기 실측)</t>
      </text>
    </comment>
    <comment ref="AL29" authorId="0" shapeId="0">
      <text>
        <t>모델값 역산(implied): v / 당기순이익
당기순이익 × (1 − 비지배 비중 0.9%, 최근 8분기 실측)</t>
      </text>
    </comment>
    <comment ref="AM29" authorId="0" shapeId="0">
      <text>
        <t>모델값 역산(implied): v / 당기순이익
당기순이익 × (1 − 비지배 비중 0.9%, 최근 8분기 실측)</t>
      </text>
    </comment>
    <comment ref="AN29" authorId="0" shapeId="0">
      <text>
        <t>모델값 역산(implied): v / 당기순이익
당기순이익 × (1 − 비지배 비중 0.9%,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+ (순이익 − 배당) — 순차입금 롤과 같은 가정</t>
      </text>
    </comment>
    <comment ref="AD33" authorId="0" shapeId="0">
      <text>
        <t>모델값 역산(implied): v / 전분기 − 1
전분기 + (순이익 − 배당) — 순차입금 롤과 같은 가정</t>
      </text>
    </comment>
    <comment ref="AF33" authorId="0" shapeId="0">
      <text>
        <t>모델값 역산(implied): v / 전분기 − 1
전분기 + (순이익 − 배당) — 순차입금 롤과 같은 가정</t>
      </text>
    </comment>
    <comment ref="AG33" authorId="0" shapeId="0">
      <text>
        <t>모델값 역산(implied): v / 전분기 − 1
전분기 + (순이익 − 배당) — 순차입금 롤과 같은 가정</t>
      </text>
    </comment>
    <comment ref="AH33" authorId="0" shapeId="0">
      <text>
        <t>모델값 역산(implied): v / 전분기 − 1
전분기 + (순이익 − 배당) — 순차입금 롤과 같은 가정</t>
      </text>
    </comment>
    <comment ref="AI33" authorId="0" shapeId="0">
      <text>
        <t>모델값 역산(implied): v / 전분기 − 1
전분기 + (순이익 − 배당) — 순차입금 롤과 같은 가정</t>
      </text>
    </comment>
    <comment ref="AK33" authorId="0" shapeId="0">
      <text>
        <t>모델값 역산(implied): v / 전분기 − 1
전분기 + (순이익 − 배당) — 순차입금 롤과 같은 가정</t>
      </text>
    </comment>
    <comment ref="AL33" authorId="0" shapeId="0">
      <text>
        <t>모델값 역산(implied): v / 전분기 − 1
전분기 + (순이익 − 배당) — 순차입금 롤과 같은 가정</t>
      </text>
    </comment>
    <comment ref="AM33" authorId="0" shapeId="0">
      <text>
        <t>모델값 역산(implied): v / 전분기 − 1
전분기 + (순이익 − 배당) — 순차입금 롤과 같은 가정</t>
      </text>
    </comment>
    <comment ref="AN33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전년동기 − 1
직전 결산 DPS 1,350원 유지</t>
      </text>
    </comment>
    <comment ref="AI38" authorId="0" shapeId="0">
      <text>
        <t>모델값 역산(implied): v / 전년동기 − 1
직전 결산 DPS 1,350원 유지</t>
      </text>
    </comment>
    <comment ref="AN38" authorId="0" shapeId="0">
      <text>
        <t>모델값 역산(implied): v / 전년동기 − 1
직전 결산 DPS 1,350원 유지</t>
      </text>
    </comment>
    <comment ref="AC39" authorId="0" shapeId="0">
      <text>
        <t>모델값 역산(implied): v / 전년동기 − 1
현재 종가 ÷ TTM EPS(추정 포함)</t>
      </text>
    </comment>
    <comment ref="AD39" authorId="0" shapeId="0">
      <text>
        <t>모델값 역산(implied): v / 전년동기 − 1
현재 종가 ÷ TTM EPS(추정 포함)</t>
      </text>
    </comment>
    <comment ref="AF39" authorId="0" shapeId="0">
      <text>
        <t>모델값 역산(implied): v / 전년동기 − 1
현재 종가 ÷ TTM EPS(추정 포함)</t>
      </text>
    </comment>
    <comment ref="AG39" authorId="0" shapeId="0">
      <text>
        <t>모델값 역산(implied): v / 전년동기 − 1
현재 종가 ÷ TTM EPS(추정 포함)</t>
      </text>
    </comment>
    <comment ref="AH39" authorId="0" shapeId="0">
      <text>
        <t>모델값 역산(implied): v / 전년동기 − 1
현재 종가 ÷ TTM EPS(추정 포함)</t>
      </text>
    </comment>
    <comment ref="AI39" authorId="0" shapeId="0">
      <text>
        <t>모델값 역산(implied): v / 전년동기 − 1
현재 종가 ÷ TTM EPS(추정 포함)</t>
      </text>
    </comment>
    <comment ref="AK39" authorId="0" shapeId="0">
      <text>
        <t>모델값 역산(implied): v / 전년동기 − 1
현재 종가 ÷ TTM EPS(추정 포함)</t>
      </text>
    </comment>
    <comment ref="AL39" authorId="0" shapeId="0">
      <text>
        <t>모델값 역산(implied): v / 전년동기 − 1
현재 종가 ÷ TTM EPS(추정 포함)</t>
      </text>
    </comment>
    <comment ref="AM39" authorId="0" shapeId="0">
      <text>
        <t>모델값 역산(implied): v / 전년동기 − 1
현재 종가 ÷ TTM EPS(추정 포함)</t>
      </text>
    </comment>
    <comment ref="AN39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BPS(추정 포함)</t>
      </text>
    </comment>
    <comment ref="AD40" authorId="0" shapeId="0">
      <text>
        <t>모델값 역산(implied): v / 전년동기 − 1
현재 종가 ÷ BPS(추정 포함)</t>
      </text>
    </comment>
    <comment ref="AF40" authorId="0" shapeId="0">
      <text>
        <t>모델값 역산(implied): v / 전년동기 − 1
현재 종가 ÷ BPS(추정 포함)</t>
      </text>
    </comment>
    <comment ref="AG40" authorId="0" shapeId="0">
      <text>
        <t>모델값 역산(implied): v / 전년동기 − 1
현재 종가 ÷ BPS(추정 포함)</t>
      </text>
    </comment>
    <comment ref="AH40" authorId="0" shapeId="0">
      <text>
        <t>모델값 역산(implied): v / 전년동기 − 1
현재 종가 ÷ BPS(추정 포함)</t>
      </text>
    </comment>
    <comment ref="AI40" authorId="0" shapeId="0">
      <text>
        <t>모델값 역산(implied): v / 전년동기 − 1
현재 종가 ÷ BPS(추정 포함)</t>
      </text>
    </comment>
    <comment ref="AK40" authorId="0" shapeId="0">
      <text>
        <t>모델값 역산(implied): v / 전년동기 − 1
현재 종가 ÷ BPS(추정 포함)</t>
      </text>
    </comment>
    <comment ref="AL40" authorId="0" shapeId="0">
      <text>
        <t>모델값 역산(implied): v / 전년동기 − 1
현재 종가 ÷ BPS(추정 포함)</t>
      </text>
    </comment>
    <comment ref="AM40" authorId="0" shapeId="0">
      <text>
        <t>모델값 역산(implied): v / 전년동기 − 1
현재 종가 ÷ BPS(추정 포함)</t>
      </text>
    </comment>
    <comment ref="AN40" authorId="0" shapeId="0">
      <text>
        <t>모델값 역산(implied): v / 전년동기 − 1
현재 종가 ÷ BPS(추정 포함)</t>
      </text>
    </comment>
    <comment ref="AC41" authorId="0" shapeId="0">
      <text>
        <t>모델값 역산(implied): v / 매출액
= 매출액 추정(부문 미분리)</t>
      </text>
    </comment>
    <comment ref="AD41" authorId="0" shapeId="0">
      <text>
        <t>모델값 역산(implied): v / 매출액
= 매출액 추정(부문 미분리)</t>
      </text>
    </comment>
    <comment ref="AF41" authorId="0" shapeId="0">
      <text>
        <t>모델값 역산(implied): v / 매출액
= 매출액 추정(부문 미분리)</t>
      </text>
    </comment>
    <comment ref="AG41" authorId="0" shapeId="0">
      <text>
        <t>모델값 역산(implied): v / 매출액
= 매출액 추정(부문 미분리)</t>
      </text>
    </comment>
    <comment ref="AH41" authorId="0" shapeId="0">
      <text>
        <t>모델값 역산(implied): v / 매출액
= 매출액 추정(부문 미분리)</t>
      </text>
    </comment>
    <comment ref="AI41" authorId="0" shapeId="0">
      <text>
        <t>모델값 역산(implied): v / 매출액
= 매출액 추정(부문 미분리)</t>
      </text>
    </comment>
    <comment ref="AK41" authorId="0" shapeId="0">
      <text>
        <t>모델값 역산(implied): v / 매출액
= 매출액 추정(부문 미분리)</t>
      </text>
    </comment>
    <comment ref="AL41" authorId="0" shapeId="0">
      <text>
        <t>모델값 역산(implied): v / 매출액
= 매출액 추정(부문 미분리)</t>
      </text>
    </comment>
    <comment ref="AM41" authorId="0" shapeId="0">
      <text>
        <t>모델값 역산(implied): v / 매출액
= 매출액 추정(부문 미분리)</t>
      </text>
    </comment>
    <comment ref="AN41" authorId="0" shapeId="0">
      <text>
        <t>모델값 역산(implied): v / 매출액
= 매출액 추정(부문 미분리)</t>
      </text>
    </comment>
    <comment ref="AC42" authorId="0" shapeId="0">
      <text>
        <t>모델값 역산(implied): v / 매출전사
= 매출액 × OPM(부문 미분리)</t>
      </text>
    </comment>
    <comment ref="AD42" authorId="0" shapeId="0">
      <text>
        <t>모델값 역산(implied): v / 매출전사
= 매출액 × OPM(부문 미분리)</t>
      </text>
    </comment>
    <comment ref="AF42" authorId="0" shapeId="0">
      <text>
        <t>모델값 역산(implied): v / 매출전사
= 매출액 × OPM(부문 미분리)</t>
      </text>
    </comment>
    <comment ref="AG42" authorId="0" shapeId="0">
      <text>
        <t>모델값 역산(implied): v / 매출전사
= 매출액 × OPM(부문 미분리)</t>
      </text>
    </comment>
    <comment ref="AH42" authorId="0" shapeId="0">
      <text>
        <t>모델값 역산(implied): v / 매출전사
= 매출액 × OPM(부문 미분리)</t>
      </text>
    </comment>
    <comment ref="AI42" authorId="0" shapeId="0">
      <text>
        <t>모델값 역산(implied): v / 매출전사
= 매출액 × OPM(부문 미분리)</t>
      </text>
    </comment>
    <comment ref="AK42" authorId="0" shapeId="0">
      <text>
        <t>모델값 역산(implied): v / 매출전사
= 매출액 × OPM(부문 미분리)</t>
      </text>
    </comment>
    <comment ref="AL42" authorId="0" shapeId="0">
      <text>
        <t>모델값 역산(implied): v / 매출전사
= 매출액 × OPM(부문 미분리)</t>
      </text>
    </comment>
    <comment ref="AM42" authorId="0" shapeId="0">
      <text>
        <t>모델값 역산(implied): v / 매출전사
= 매출액 × OPM(부문 미분리)</t>
      </text>
    </comment>
    <comment ref="AN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27.9% 유지(클립 −20~40%)
[yoy]</t>
      </text>
    </comment>
    <comment ref="AD10" authorId="0" shapeId="0">
      <text>
        <t>추정: 최근 8분기 OPM 중위 27.9% 유지(클립 −20~40%)
[yoy]</t>
      </text>
    </comment>
    <comment ref="AF10" authorId="0" shapeId="0">
      <text>
        <t>추정: 최근 8분기 OPM 중위 27.9% 유지(클립 −20~40%)
[yoy]</t>
      </text>
    </comment>
    <comment ref="AG10" authorId="0" shapeId="0">
      <text>
        <t>추정: 최근 8분기 OPM 중위 27.9% 유지(클립 −20~40%)
[yoy]</t>
      </text>
    </comment>
    <comment ref="AH10" authorId="0" shapeId="0">
      <text>
        <t>추정: 최근 8분기 OPM 중위 27.9% 유지(클립 −20~40%)
[yoy]</t>
      </text>
    </comment>
    <comment ref="AI10" authorId="0" shapeId="0">
      <text>
        <t>추정: 최근 8분기 OPM 중위 27.9% 유지(클립 −20~40%)
[yoy]</t>
      </text>
    </comment>
    <comment ref="AK10" authorId="0" shapeId="0">
      <text>
        <t>추정: 최근 8분기 OPM 중위 27.9% 유지(클립 −20~40%)
[yoy]</t>
      </text>
    </comment>
    <comment ref="AL10" authorId="0" shapeId="0">
      <text>
        <t>추정: 최근 8분기 OPM 중위 27.9% 유지(클립 −20~40%)
[yoy]</t>
      </text>
    </comment>
    <comment ref="AM10" authorId="0" shapeId="0">
      <text>
        <t>추정: 최근 8분기 OPM 중위 27.9% 유지(클립 −20~40%)
[yoy]</t>
      </text>
    </comment>
    <comment ref="AN10" authorId="0" shapeId="0">
      <text>
        <t>추정: 최근 8분기 OPM 중위 27.9%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[abs]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[abs]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[abs]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[abs]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[abs]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[abs]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[abs]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[abs]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[abs]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[abs]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[ratio]</t>
      </text>
    </comment>
    <comment ref="AD15" authorId="0" shapeId="0">
      <text>
        <t>추정: max(세전, 0) × 세율 23.2%(최근 12분기 유효세율 23.2%(5~27% 안 — 그대로))
[ratio]</t>
      </text>
    </comment>
    <comment ref="AF15" authorId="0" shapeId="0">
      <text>
        <t>추정: max(세전, 0) × 세율 23.2%(최근 12분기 유효세율 23.2%(5~27% 안 — 그대로))
[ratio]</t>
      </text>
    </comment>
    <comment ref="AG15" authorId="0" shapeId="0">
      <text>
        <t>추정: max(세전, 0) × 세율 23.2%(최근 12분기 유효세율 23.2%(5~27% 안 — 그대로))
[ratio]</t>
      </text>
    </comment>
    <comment ref="AH15" authorId="0" shapeId="0">
      <text>
        <t>추정: max(세전, 0) × 세율 23.2%(최근 12분기 유효세율 23.2%(5~27% 안 — 그대로))
[ratio]</t>
      </text>
    </comment>
    <comment ref="AI15" authorId="0" shapeId="0">
      <text>
        <t>추정: max(세전, 0) × 세율 23.2%(최근 12분기 유효세율 23.2%(5~27% 안 — 그대로))
[ratio]</t>
      </text>
    </comment>
    <comment ref="AK15" authorId="0" shapeId="0">
      <text>
        <t>추정: max(세전, 0) × 세율 23.2%(최근 12분기 유효세율 23.2%(5~27% 안 — 그대로))
[ratio]</t>
      </text>
    </comment>
    <comment ref="AL15" authorId="0" shapeId="0">
      <text>
        <t>추정: max(세전, 0) × 세율 23.2%(최근 12분기 유효세율 23.2%(5~27% 안 — 그대로))
[ratio]</t>
      </text>
    </comment>
    <comment ref="AM15" authorId="0" shapeId="0">
      <text>
        <t>추정: max(세전, 0) × 세율 23.2%(최근 12분기 유효세율 23.2%(5~27% 안 — 그대로))
[ratio]</t>
      </text>
    </comment>
    <comment ref="AN15" authorId="0" shapeId="0">
      <text>
        <t>추정: max(세전, 0) × 세율 23.2%(최근 12분기 유효세율 23.2%(5~27% 안 — 그대로))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(순이익 − 배당) — 순차입금 롤과 같은 가정
[qoq]</t>
      </text>
    </comment>
    <comment ref="AD22" authorId="0" shapeId="0">
      <text>
        <t>추정: 전분기 + (순이익 − 배당) — 순차입금 롤과 같은 가정
[qoq]</t>
      </text>
    </comment>
    <comment ref="AF22" authorId="0" shapeId="0">
      <text>
        <t>추정: 전분기 + (순이익 − 배당) — 순차입금 롤과 같은 가정
[qoq]</t>
      </text>
    </comment>
    <comment ref="AG22" authorId="0" shapeId="0">
      <text>
        <t>추정: 전분기 + (순이익 − 배당) — 순차입금 롤과 같은 가정
[qoq]</t>
      </text>
    </comment>
    <comment ref="AH22" authorId="0" shapeId="0">
      <text>
        <t>추정: 전분기 + (순이익 − 배당) — 순차입금 롤과 같은 가정
[qoq]</t>
      </text>
    </comment>
    <comment ref="AI22" authorId="0" shapeId="0">
      <text>
        <t>추정: 전분기 + (순이익 − 배당) — 순차입금 롤과 같은 가정
[qoq]</t>
      </text>
    </comment>
    <comment ref="AK22" authorId="0" shapeId="0">
      <text>
        <t>추정: 전분기 + (순이익 − 배당) — 순차입금 롤과 같은 가정
[qoq]</t>
      </text>
    </comment>
    <comment ref="AL22" authorId="0" shapeId="0">
      <text>
        <t>추정: 전분기 + (순이익 − 배당) — 순차입금 롤과 같은 가정
[qoq]</t>
      </text>
    </comment>
    <comment ref="AM22" authorId="0" shapeId="0">
      <text>
        <t>추정: 전분기 + (순이익 − 배당) — 순차입금 롤과 같은 가정
[qoq]</t>
      </text>
    </comment>
    <comment ref="AN22" authorId="0" shapeId="0">
      <text>
        <t>추정: 전분기 + (순이익 − 배당) — 순차입금 롤과 같은 가정
[qoq]</t>
      </text>
    </comment>
    <comment ref="E25" authorId="0" shapeId="0">
      <text>
        <t>실측(계정 매핑 없음 — 모델값 직접) — fin.cons.cf.영업활동으로인한현금흐름</t>
      </text>
    </comment>
    <comment ref="G25" authorId="0" shapeId="0">
      <text>
        <t>실측(계정 매핑 없음 — 모델값 직접) — fin.cons.cf.영업활동으로인한현금흐름</t>
      </text>
    </comment>
    <comment ref="H25" authorId="0" shapeId="0">
      <text>
        <t>실측(계정 매핑 없음 — 모델값 직접) — fin.cons.cf.영업활동으로인한현금흐름</t>
      </text>
    </comment>
    <comment ref="I25" authorId="0" shapeId="0">
      <text>
        <t>실측(계정 매핑 없음 — 모델값 직접) — fin.cons.cf.영업활동으로인한현금흐름</t>
      </text>
    </comment>
    <comment ref="J25" authorId="0" shapeId="0">
      <text>
        <t>실측(계정 매핑 없음 — 모델값 직접) — fin.cons.cf.영업활동으로인한현금흐름</t>
      </text>
    </comment>
    <comment ref="L25" authorId="0" shapeId="0">
      <text>
        <t>실측(계정 매핑 없음 — 모델값 직접) — fin.cons.cf.영업활동으로인한현금흐름</t>
      </text>
    </comment>
    <comment ref="M25" authorId="0" shapeId="0">
      <text>
        <t>실측(계정 매핑 없음 — 모델값 직접) — fin.cons.cf.영업활동으로인한현금흐름</t>
      </text>
    </comment>
    <comment ref="N25" authorId="0" shapeId="0">
      <text>
        <t>실측(계정 매핑 없음 — 모델값 직접) — fin.cons.cf.영업활동으로인한현금흐름</t>
      </text>
    </comment>
    <comment ref="O25" authorId="0" shapeId="0">
      <text>
        <t>실측(계정 매핑 없음 — 모델값 직접) — fin.cons.cf.영업활동으로인한현금흐름</t>
      </text>
    </comment>
    <comment ref="Q25" authorId="0" shapeId="0">
      <text>
        <t>실측(계정 매핑 없음 — 모델값 직접) — fin.cons.cf.영업활동으로인한현금흐름</t>
      </text>
    </comment>
    <comment ref="R25" authorId="0" shapeId="0">
      <text>
        <t>실측(계정 매핑 없음 — 모델값 직접) — fin.cons.cf.영업활동으로인한현금흐름</t>
      </text>
    </comment>
    <comment ref="S25" authorId="0" shapeId="0">
      <text>
        <t>실측(계정 매핑 없음 — 모델값 직접) — fin.cons.cf.영업활동으로인한현금흐름</t>
      </text>
    </comment>
    <comment ref="T25" authorId="0" shapeId="0">
      <text>
        <t>실측(계정 매핑 없음 — 모델값 직접) — fin.cons.cf.영업활동으로인한현금흐름</t>
      </text>
    </comment>
    <comment ref="V25" authorId="0" shapeId="0">
      <text>
        <t>실측(계정 매핑 없음 — 모델값 직접) — fin.cons.cf.영업활동으로인한현금흐름</t>
      </text>
    </comment>
    <comment ref="W25" authorId="0" shapeId="0">
      <text>
        <t>실측(계정 매핑 없음 — 모델값 직접) — fin.cons.cf.영업활동으로인한현금흐름</t>
      </text>
    </comment>
    <comment ref="X25" authorId="0" shapeId="0">
      <text>
        <t>실측(계정 매핑 없음 — 모델값 직접) — fin.cons.cf.영업활동으로인한현금흐름</t>
      </text>
    </comment>
    <comment ref="Y25" authorId="0" shapeId="0">
      <text>
        <t>실측(계정 매핑 없음 — 모델값 직접) — fin.cons.cf.영업활동으로인한현금흐름</t>
      </text>
    </comment>
    <comment ref="AA25" authorId="0" shapeId="0">
      <text>
        <t>실측(계정 매핑 없음 — 모델값 직접) — fin.cons.cf.영업활동으로인한현금흐름</t>
      </text>
    </comment>
    <comment ref="AB25" authorId="0" shapeId="0">
      <text>
        <t>실측(계정 매핑 없음 — 모델값 직접) — fin.cons.cf.영업활동으로인한현금흐름</t>
      </text>
    </comment>
    <comment ref="E26" authorId="0" shapeId="0">
      <text>
        <t>실측(계정 매핑 없음 — 모델값 직접) — fin.shares.common_outstanding</t>
      </text>
    </comment>
    <comment ref="G26" authorId="0" shapeId="0">
      <text>
        <t>실측(계정 매핑 없음 — 모델값 직접) — fin.shares.common_outstanding</t>
      </text>
    </comment>
    <comment ref="H26" authorId="0" shapeId="0">
      <text>
        <t>실측(계정 매핑 없음 — 모델값 직접) — fin.shares.common_outstanding</t>
      </text>
    </comment>
    <comment ref="I26" authorId="0" shapeId="0">
      <text>
        <t>실측(계정 매핑 없음 — 모델값 직접) — fin.shares.common_outstanding</t>
      </text>
    </comment>
    <comment ref="J26" authorId="0" shapeId="0">
      <text>
        <t>실측(계정 매핑 없음 — 모델값 직접) — fin.shares.common_outstanding</t>
      </text>
    </comment>
    <comment ref="L26" authorId="0" shapeId="0">
      <text>
        <t>실측(계정 매핑 없음 — 모델값 직접) — fin.shares.common_outstanding</t>
      </text>
    </comment>
    <comment ref="M26" authorId="0" shapeId="0">
      <text>
        <t>실측(계정 매핑 없음 — 모델값 직접) — fin.shares.common_outstanding</t>
      </text>
    </comment>
    <comment ref="N26" authorId="0" shapeId="0">
      <text>
        <t>실측(계정 매핑 없음 — 모델값 직접) — fin.shares.common_outstanding</t>
      </text>
    </comment>
    <comment ref="O26" authorId="0" shapeId="0">
      <text>
        <t>실측(계정 매핑 없음 — 모델값 직접) — fin.shares.common_outstanding</t>
      </text>
    </comment>
    <comment ref="Q26" authorId="0" shapeId="0">
      <text>
        <t>실측(계정 매핑 없음 — 모델값 직접) — fin.shares.common_outstanding</t>
      </text>
    </comment>
    <comment ref="R26" authorId="0" shapeId="0">
      <text>
        <t>실측(계정 매핑 없음 — 모델값 직접) — fin.shares.common_outstanding</t>
      </text>
    </comment>
    <comment ref="S26" authorId="0" shapeId="0">
      <text>
        <t>실측(계정 매핑 없음 — 모델값 직접) — fin.shares.common_outstanding</t>
      </text>
    </comment>
    <comment ref="T26" authorId="0" shapeId="0">
      <text>
        <t>실측(계정 매핑 없음 — 모델값 직접) — fin.shares.common_outstanding</t>
      </text>
    </comment>
    <comment ref="V26" authorId="0" shapeId="0">
      <text>
        <t>실측(계정 매핑 없음 — 모델값 직접) — fin.shares.common_outstanding</t>
      </text>
    </comment>
    <comment ref="W26" authorId="0" shapeId="0">
      <text>
        <t>실측(계정 매핑 없음 — 모델값 직접) — fin.shares.common_outstanding</t>
      </text>
    </comment>
    <comment ref="X26" authorId="0" shapeId="0">
      <text>
        <t>실측(계정 매핑 없음 — 모델값 직접) — fin.shares.common_outstanding</t>
      </text>
    </comment>
    <comment ref="Y26" authorId="0" shapeId="0">
      <text>
        <t>실측(계정 매핑 없음 — 모델값 직접) — fin.shares.common_outstanding</t>
      </text>
    </comment>
    <comment ref="AA26" authorId="0" shapeId="0">
      <text>
        <t>실측(계정 매핑 없음 — 모델값 직접) — fin.shares.common_outstanding</t>
      </text>
    </comment>
    <comment ref="AB26" authorId="0" shapeId="0">
      <text>
        <t>실측(계정 매핑 없음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 — 모델값 직접) — fin.dividend.dps_common(연간, Q4 에 표기)</t>
      </text>
    </comment>
    <comment ref="O29" authorId="0" shapeId="0">
      <text>
        <t>실측(계정 매핑 없음 — 모델값 직접) — fin.dividend.dps_common(연간, Q4 에 표기)</t>
      </text>
    </comment>
    <comment ref="T29" authorId="0" shapeId="0">
      <text>
        <t>실측(계정 매핑 없음 — 모델값 직접) — fin.dividend.dps_common(연간, Q4 에 표기)</t>
      </text>
    </comment>
    <comment ref="Y29" authorId="0" shapeId="0">
      <text>
        <t>실측(계정 매핑 없음 — 모델값 직접) — fin.dividend.dps_common(연간, Q4 에 표기)</t>
      </text>
    </comment>
    <comment ref="AD29" authorId="0" shapeId="0">
      <text>
        <t>추정: 직전 결산 DPS 1,350원 유지
[yoy]</t>
      </text>
    </comment>
    <comment ref="AI29" authorId="0" shapeId="0">
      <text>
        <t>추정: 직전 결산 DPS 1,350원 유지
[yoy]</t>
      </text>
    </comment>
    <comment ref="AN29" authorId="0" shapeId="0">
      <text>
        <t>추정: 직전 결산 DPS 1,350원 유지
[yoy]</t>
      </text>
    </comment>
    <comment ref="I30" authorId="0" shapeId="0">
      <text>
        <t>실측(계정 매핑 없음 — 모델값 직접) — 토스 일봉 분기 평균 ÷ TTM EPS</t>
      </text>
    </comment>
    <comment ref="J30" authorId="0" shapeId="0">
      <text>
        <t>실측(계정 매핑 없음 — 모델값 직접) — 토스 일봉 분기 평균 ÷ TTM EPS</t>
      </text>
    </comment>
    <comment ref="L30" authorId="0" shapeId="0">
      <text>
        <t>실측(계정 매핑 없음 — 모델값 직접) — 토스 일봉 분기 평균 ÷ TTM EPS</t>
      </text>
    </comment>
    <comment ref="M30" authorId="0" shapeId="0">
      <text>
        <t>실측(계정 매핑 없음 — 모델값 직접) — 토스 일봉 분기 평균 ÷ TTM EPS</t>
      </text>
    </comment>
    <comment ref="N30" authorId="0" shapeId="0">
      <text>
        <t>실측(계정 매핑 없음 — 모델값 직접) — 토스 일봉 분기 평균 ÷ TTM EPS</t>
      </text>
    </comment>
    <comment ref="O30" authorId="0" shapeId="0">
      <text>
        <t>실측(계정 매핑 없음 — 모델값 직접) — 토스 일봉 분기 평균 ÷ TTM EPS</t>
      </text>
    </comment>
    <comment ref="Q30" authorId="0" shapeId="0">
      <text>
        <t>실측(계정 매핑 없음 — 모델값 직접) — 토스 일봉 분기 평균 ÷ TTM EPS</t>
      </text>
    </comment>
    <comment ref="R30" authorId="0" shapeId="0">
      <text>
        <t>실측(계정 매핑 없음 — 모델값 직접) — 토스 일봉 분기 평균 ÷ TTM EPS</t>
      </text>
    </comment>
    <comment ref="S30" authorId="0" shapeId="0">
      <text>
        <t>실측(계정 매핑 없음 — 모델값 직접) — 토스 일봉 분기 평균 ÷ TTM EPS</t>
      </text>
    </comment>
    <comment ref="T30" authorId="0" shapeId="0">
      <text>
        <t>실측(계정 매핑 없음 — 모델값 직접) — 토스 일봉 분기 평균 ÷ TTM EPS</t>
      </text>
    </comment>
    <comment ref="V30" authorId="0" shapeId="0">
      <text>
        <t>실측(계정 매핑 없음 — 모델값 직접) — 토스 일봉 분기 평균 ÷ TTM EPS</t>
      </text>
    </comment>
    <comment ref="W30" authorId="0" shapeId="0">
      <text>
        <t>실측(계정 매핑 없음 — 모델값 직접) — 토스 일봉 분기 평균 ÷ TTM EPS</t>
      </text>
    </comment>
    <comment ref="X30" authorId="0" shapeId="0">
      <text>
        <t>실측(계정 매핑 없음 — 모델값 직접) — 토스 일봉 분기 평균 ÷ TTM EPS</t>
      </text>
    </comment>
    <comment ref="Y30" authorId="0" shapeId="0">
      <text>
        <t>실측(계정 매핑 없음 — 모델값 직접) — 토스 일봉 분기 평균 ÷ TTM EPS</t>
      </text>
    </comment>
    <comment ref="AA30" authorId="0" shapeId="0">
      <text>
        <t>실측(계정 매핑 없음 — 모델값 직접) — 토스 일봉 분기 평균 ÷ TTM EPS</t>
      </text>
    </comment>
    <comment ref="AB30" authorId="0" shapeId="0">
      <text>
        <t>실측(계정 매핑 없음 — 모델값 직접) — 토스 일봉 분기 평균 ÷ TTM EPS</t>
      </text>
    </comment>
    <comment ref="AC30" authorId="0" shapeId="0">
      <text>
        <t>추정: 현재 종가 ÷ TTM EPS(추정 포함)
[yoy]</t>
      </text>
    </comment>
    <comment ref="AD30" authorId="0" shapeId="0">
      <text>
        <t>추정: 현재 종가 ÷ TTM EPS(추정 포함)
[yoy]</t>
      </text>
    </comment>
    <comment ref="AF30" authorId="0" shapeId="0">
      <text>
        <t>추정: 현재 종가 ÷ TTM EPS(추정 포함)
[yoy]</t>
      </text>
    </comment>
    <comment ref="AG30" authorId="0" shapeId="0">
      <text>
        <t>추정: 현재 종가 ÷ TTM EPS(추정 포함)
[yoy]</t>
      </text>
    </comment>
    <comment ref="AH30" authorId="0" shapeId="0">
      <text>
        <t>추정: 현재 종가 ÷ TTM EPS(추정 포함)
[yoy]</t>
      </text>
    </comment>
    <comment ref="AI30" authorId="0" shapeId="0">
      <text>
        <t>추정: 현재 종가 ÷ TTM EPS(추정 포함)
[yoy]</t>
      </text>
    </comment>
    <comment ref="AK30" authorId="0" shapeId="0">
      <text>
        <t>추정: 현재 종가 ÷ TTM EPS(추정 포함)
[yoy]</t>
      </text>
    </comment>
    <comment ref="AL30" authorId="0" shapeId="0">
      <text>
        <t>추정: 현재 종가 ÷ TTM EPS(추정 포함)
[yoy]</t>
      </text>
    </comment>
    <comment ref="AM30" authorId="0" shapeId="0">
      <text>
        <t>추정: 현재 종가 ÷ TTM EPS(추정 포함)
[yoy]</t>
      </text>
    </comment>
    <comment ref="AN30" authorId="0" shapeId="0">
      <text>
        <t>추정: 현재 종가 ÷ TTM EPS(추정 포함)
[yoy]</t>
      </text>
    </comment>
    <comment ref="E31" authorId="0" shapeId="0">
      <text>
        <t>실측(계정 매핑 없음 — 모델값 직접) — 토스 일봉 분기 평균 ÷ BPS</t>
      </text>
    </comment>
    <comment ref="F31" authorId="0" shapeId="0">
      <text>
        <t>연간(actual) — 분기 미완 연도, 모델 a 값 직접</t>
      </text>
    </comment>
    <comment ref="G31" authorId="0" shapeId="0">
      <text>
        <t>실측(계정 매핑 없음 — 모델값 직접) — 토스 일봉 분기 평균 ÷ BPS</t>
      </text>
    </comment>
    <comment ref="H31" authorId="0" shapeId="0">
      <text>
        <t>실측(계정 매핑 없음 — 모델값 직접) — 토스 일봉 분기 평균 ÷ BPS</t>
      </text>
    </comment>
    <comment ref="I31" authorId="0" shapeId="0">
      <text>
        <t>실측(계정 매핑 없음 — 모델값 직접) — 토스 일봉 분기 평균 ÷ BPS</t>
      </text>
    </comment>
    <comment ref="J31" authorId="0" shapeId="0">
      <text>
        <t>실측(계정 매핑 없음 — 모델값 직접) — 토스 일봉 분기 평균 ÷ BPS</t>
      </text>
    </comment>
    <comment ref="L31" authorId="0" shapeId="0">
      <text>
        <t>실측(계정 매핑 없음 — 모델값 직접) — 토스 일봉 분기 평균 ÷ BPS</t>
      </text>
    </comment>
    <comment ref="M31" authorId="0" shapeId="0">
      <text>
        <t>실측(계정 매핑 없음 — 모델값 직접) — 토스 일봉 분기 평균 ÷ BPS</t>
      </text>
    </comment>
    <comment ref="N31" authorId="0" shapeId="0">
      <text>
        <t>실측(계정 매핑 없음 — 모델값 직접) — 토스 일봉 분기 평균 ÷ BPS</t>
      </text>
    </comment>
    <comment ref="O31" authorId="0" shapeId="0">
      <text>
        <t>실측(계정 매핑 없음 — 모델값 직접) — 토스 일봉 분기 평균 ÷ BPS</t>
      </text>
    </comment>
    <comment ref="Q31" authorId="0" shapeId="0">
      <text>
        <t>실측(계정 매핑 없음 — 모델값 직접) — 토스 일봉 분기 평균 ÷ BPS</t>
      </text>
    </comment>
    <comment ref="R31" authorId="0" shapeId="0">
      <text>
        <t>실측(계정 매핑 없음 — 모델값 직접) — 토스 일봉 분기 평균 ÷ BPS</t>
      </text>
    </comment>
    <comment ref="S31" authorId="0" shapeId="0">
      <text>
        <t>실측(계정 매핑 없음 — 모델값 직접) — 토스 일봉 분기 평균 ÷ BPS</t>
      </text>
    </comment>
    <comment ref="T31" authorId="0" shapeId="0">
      <text>
        <t>실측(계정 매핑 없음 — 모델값 직접) — 토스 일봉 분기 평균 ÷ BPS</t>
      </text>
    </comment>
    <comment ref="V31" authorId="0" shapeId="0">
      <text>
        <t>실측(계정 매핑 없음 — 모델값 직접) — 토스 일봉 분기 평균 ÷ BPS</t>
      </text>
    </comment>
    <comment ref="W31" authorId="0" shapeId="0">
      <text>
        <t>실측(계정 매핑 없음 — 모델값 직접) — 토스 일봉 분기 평균 ÷ BPS</t>
      </text>
    </comment>
    <comment ref="X31" authorId="0" shapeId="0">
      <text>
        <t>실측(계정 매핑 없음 — 모델값 직접) — 토스 일봉 분기 평균 ÷ BPS</t>
      </text>
    </comment>
    <comment ref="Y31" authorId="0" shapeId="0">
      <text>
        <t>실측(계정 매핑 없음 — 모델값 직접) — 토스 일봉 분기 평균 ÷ BPS</t>
      </text>
    </comment>
    <comment ref="AA31" authorId="0" shapeId="0">
      <text>
        <t>실측(계정 매핑 없음 — 모델값 직접) — 토스 일봉 분기 평균 ÷ BPS</t>
      </text>
    </comment>
    <comment ref="AB31" authorId="0" shapeId="0">
      <text>
        <t>실측(계정 매핑 없음 — 모델값 직접) — 토스 일봉 분기 평균 ÷ BPS</t>
      </text>
    </comment>
    <comment ref="AC31" authorId="0" shapeId="0">
      <text>
        <t>추정: 현재 종가 ÷ BPS(추정 포함)
[yoy]</t>
      </text>
    </comment>
    <comment ref="AD31" authorId="0" shapeId="0">
      <text>
        <t>추정: 현재 종가 ÷ BPS(추정 포함)
[yoy]</t>
      </text>
    </comment>
    <comment ref="AF31" authorId="0" shapeId="0">
      <text>
        <t>추정: 현재 종가 ÷ BPS(추정 포함)
[yoy]</t>
      </text>
    </comment>
    <comment ref="AG31" authorId="0" shapeId="0">
      <text>
        <t>추정: 현재 종가 ÷ BPS(추정 포함)
[yoy]</t>
      </text>
    </comment>
    <comment ref="AH31" authorId="0" shapeId="0">
      <text>
        <t>추정: 현재 종가 ÷ BPS(추정 포함)
[yoy]</t>
      </text>
    </comment>
    <comment ref="AI31" authorId="0" shapeId="0">
      <text>
        <t>추정: 현재 종가 ÷ BPS(추정 포함)
[yoy]</t>
      </text>
    </comment>
    <comment ref="AK31" authorId="0" shapeId="0">
      <text>
        <t>추정: 현재 종가 ÷ BPS(추정 포함)
[yoy]</t>
      </text>
    </comment>
    <comment ref="AL31" authorId="0" shapeId="0">
      <text>
        <t>추정: 현재 종가 ÷ BPS(추정 포함)
[yoy]</t>
      </text>
    </comment>
    <comment ref="AM31" authorId="0" shapeId="0">
      <text>
        <t>추정: 현재 종가 ÷ BPS(추정 포함)
[yoy]</t>
      </text>
    </comment>
    <comment ref="AN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G32" authorId="0" shapeId="0">
      <text>
        <t>실측(계정 매핑 없음 — 모델값 직접) — = 매출액(부문 미분리)</t>
      </text>
    </comment>
    <comment ref="H32" authorId="0" shapeId="0">
      <text>
        <t>실측(계정 매핑 없음 — 모델값 직접) — = 매출액(부문 미분리)</t>
      </text>
    </comment>
    <comment ref="I32" authorId="0" shapeId="0">
      <text>
        <t>실측(계정 매핑 없음 — 모델값 직접) — = 매출액(부문 미분리)</t>
      </text>
    </comment>
    <comment ref="J32" authorId="0" shapeId="0">
      <text>
        <t>실측(계정 매핑 없음 — 모델값 직접) — = 매출액(부문 미분리)</t>
      </text>
    </comment>
    <comment ref="L32" authorId="0" shapeId="0">
      <text>
        <t>실측(계정 매핑 없음 — 모델값 직접) — = 매출액(부문 미분리)</t>
      </text>
    </comment>
    <comment ref="M32" authorId="0" shapeId="0">
      <text>
        <t>실측(계정 매핑 없음 — 모델값 직접) — = 매출액(부문 미분리)</t>
      </text>
    </comment>
    <comment ref="N32" authorId="0" shapeId="0">
      <text>
        <t>실측(계정 매핑 없음 — 모델값 직접) — = 매출액(부문 미분리)</t>
      </text>
    </comment>
    <comment ref="O32" authorId="0" shapeId="0">
      <text>
        <t>실측(계정 매핑 없음 — 모델값 직접) — = 매출액(부문 미분리)</t>
      </text>
    </comment>
    <comment ref="Q32" authorId="0" shapeId="0">
      <text>
        <t>실측(계정 매핑 없음 — 모델값 직접) — = 매출액(부문 미분리)</t>
      </text>
    </comment>
    <comment ref="R32" authorId="0" shapeId="0">
      <text>
        <t>실측(계정 매핑 없음 — 모델값 직접) — = 매출액(부문 미분리)</t>
      </text>
    </comment>
    <comment ref="S32" authorId="0" shapeId="0">
      <text>
        <t>실측(계정 매핑 없음 — 모델값 직접) — = 매출액(부문 미분리)</t>
      </text>
    </comment>
    <comment ref="T32" authorId="0" shapeId="0">
      <text>
        <t>실측(계정 매핑 없음 — 모델값 직접) — = 매출액(부문 미분리)</t>
      </text>
    </comment>
    <comment ref="V32" authorId="0" shapeId="0">
      <text>
        <t>실측(계정 매핑 없음 — 모델값 직접) — = 매출액(부문 미분리)</t>
      </text>
    </comment>
    <comment ref="W32" authorId="0" shapeId="0">
      <text>
        <t>실측(계정 매핑 없음 — 모델값 직접) — = 매출액(부문 미분리)</t>
      </text>
    </comment>
    <comment ref="X32" authorId="0" shapeId="0">
      <text>
        <t>실측(계정 매핑 없음 — 모델값 직접) — = 매출액(부문 미분리)</t>
      </text>
    </comment>
    <comment ref="Y32" authorId="0" shapeId="0">
      <text>
        <t>실측(계정 매핑 없음 — 모델값 직접) — = 매출액(부문 미분리)</t>
      </text>
    </comment>
    <comment ref="AA32" authorId="0" shapeId="0">
      <text>
        <t>실측(계정 매핑 없음 — 모델값 직접) — = 매출액(부문 미분리)</t>
      </text>
    </comment>
    <comment ref="AB32" authorId="0" shapeId="0">
      <text>
        <t>실측(계정 매핑 없음 — 모델값 직접) — = 매출액(부문 미분리)</t>
      </text>
    </comment>
    <comment ref="AC32" authorId="0" shapeId="0">
      <text>
        <t>추정: = 매출액 추정(부문 미분리)
[ratio]</t>
      </text>
    </comment>
    <comment ref="AD32" authorId="0" shapeId="0">
      <text>
        <t>추정: = 매출액 추정(부문 미분리)
[ratio]</t>
      </text>
    </comment>
    <comment ref="AF32" authorId="0" shapeId="0">
      <text>
        <t>추정: = 매출액 추정(부문 미분리)
[ratio]</t>
      </text>
    </comment>
    <comment ref="AG32" authorId="0" shapeId="0">
      <text>
        <t>추정: = 매출액 추정(부문 미분리)
[ratio]</t>
      </text>
    </comment>
    <comment ref="AH32" authorId="0" shapeId="0">
      <text>
        <t>추정: = 매출액 추정(부문 미분리)
[ratio]</t>
      </text>
    </comment>
    <comment ref="AI32" authorId="0" shapeId="0">
      <text>
        <t>추정: = 매출액 추정(부문 미분리)
[ratio]</t>
      </text>
    </comment>
    <comment ref="AK32" authorId="0" shapeId="0">
      <text>
        <t>추정: = 매출액 추정(부문 미분리)
[ratio]</t>
      </text>
    </comment>
    <comment ref="AL32" authorId="0" shapeId="0">
      <text>
        <t>추정: = 매출액 추정(부문 미분리)
[ratio]</t>
      </text>
    </comment>
    <comment ref="AM32" authorId="0" shapeId="0">
      <text>
        <t>추정: = 매출액 추정(부문 미분리)
[ratio]</t>
      </text>
    </comment>
    <comment ref="AN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G33" authorId="0" shapeId="0">
      <text>
        <t>실측(계정 매핑 없음 — 모델값 직접) — = 영업이익(부문 미분리)</t>
      </text>
    </comment>
    <comment ref="H33" authorId="0" shapeId="0">
      <text>
        <t>실측(계정 매핑 없음 — 모델값 직접) — = 영업이익(부문 미분리)</t>
      </text>
    </comment>
    <comment ref="I33" authorId="0" shapeId="0">
      <text>
        <t>실측(계정 매핑 없음 — 모델값 직접) — = 영업이익(부문 미분리)</t>
      </text>
    </comment>
    <comment ref="J33" authorId="0" shapeId="0">
      <text>
        <t>실측(계정 매핑 없음 — 모델값 직접) — = 영업이익(부문 미분리)</t>
      </text>
    </comment>
    <comment ref="L33" authorId="0" shapeId="0">
      <text>
        <t>실측(계정 매핑 없음 — 모델값 직접) — = 영업이익(부문 미분리)</t>
      </text>
    </comment>
    <comment ref="M33" authorId="0" shapeId="0">
      <text>
        <t>실측(계정 매핑 없음 — 모델값 직접) — = 영업이익(부문 미분리)</t>
      </text>
    </comment>
    <comment ref="N33" authorId="0" shapeId="0">
      <text>
        <t>실측(계정 매핑 없음 — 모델값 직접) — = 영업이익(부문 미분리)</t>
      </text>
    </comment>
    <comment ref="O33" authorId="0" shapeId="0">
      <text>
        <t>실측(계정 매핑 없음 — 모델값 직접) — = 영업이익(부문 미분리)</t>
      </text>
    </comment>
    <comment ref="Q33" authorId="0" shapeId="0">
      <text>
        <t>실측(계정 매핑 없음 — 모델값 직접) — = 영업이익(부문 미분리)</t>
      </text>
    </comment>
    <comment ref="R33" authorId="0" shapeId="0">
      <text>
        <t>실측(계정 매핑 없음 — 모델값 직접) — = 영업이익(부문 미분리)</t>
      </text>
    </comment>
    <comment ref="S33" authorId="0" shapeId="0">
      <text>
        <t>실측(계정 매핑 없음 — 모델값 직접) — = 영업이익(부문 미분리)</t>
      </text>
    </comment>
    <comment ref="T33" authorId="0" shapeId="0">
      <text>
        <t>실측(계정 매핑 없음 — 모델값 직접) — = 영업이익(부문 미분리)</t>
      </text>
    </comment>
    <comment ref="V33" authorId="0" shapeId="0">
      <text>
        <t>실측(계정 매핑 없음 — 모델값 직접) — = 영업이익(부문 미분리)</t>
      </text>
    </comment>
    <comment ref="W33" authorId="0" shapeId="0">
      <text>
        <t>실측(계정 매핑 없음 — 모델값 직접) — = 영업이익(부문 미분리)</t>
      </text>
    </comment>
    <comment ref="X33" authorId="0" shapeId="0">
      <text>
        <t>실측(계정 매핑 없음 — 모델값 직접) — = 영업이익(부문 미분리)</t>
      </text>
    </comment>
    <comment ref="Y33" authorId="0" shapeId="0">
      <text>
        <t>실측(계정 매핑 없음 — 모델값 직접) — = 영업이익(부문 미분리)</t>
      </text>
    </comment>
    <comment ref="AA33" authorId="0" shapeId="0">
      <text>
        <t>실측(계정 매핑 없음 — 모델값 직접) — = 영업이익(부문 미분리)</t>
      </text>
    </comment>
    <comment ref="AB33" authorId="0" shapeId="0">
      <text>
        <t>실측(계정 매핑 없음 — 모델값 직접) — = 영업이익(부문 미분리)</t>
      </text>
    </comment>
    <comment ref="AC33" authorId="0" shapeId="0">
      <text>
        <t>추정: = 매출액 × OPM(부문 미분리)
[ratio]</t>
      </text>
    </comment>
    <comment ref="AD33" authorId="0" shapeId="0">
      <text>
        <t>추정: = 매출액 × OPM(부문 미분리)
[ratio]</t>
      </text>
    </comment>
    <comment ref="AF33" authorId="0" shapeId="0">
      <text>
        <t>추정: = 매출액 × OPM(부문 미분리)
[ratio]</t>
      </text>
    </comment>
    <comment ref="AG33" authorId="0" shapeId="0">
      <text>
        <t>추정: = 매출액 × OPM(부문 미분리)
[ratio]</t>
      </text>
    </comment>
    <comment ref="AH33" authorId="0" shapeId="0">
      <text>
        <t>추정: = 매출액 × OPM(부문 미분리)
[ratio]</t>
      </text>
    </comment>
    <comment ref="AI33" authorId="0" shapeId="0">
      <text>
        <t>추정: = 매출액 × OPM(부문 미분리)
[ratio]</t>
      </text>
    </comment>
    <comment ref="AK33" authorId="0" shapeId="0">
      <text>
        <t>추정: = 매출액 × OPM(부문 미분리)
[ratio]</t>
      </text>
    </comment>
    <comment ref="AL33" authorId="0" shapeId="0">
      <text>
        <t>추정: = 매출액 × OPM(부문 미분리)
[ratio]</t>
      </text>
    </comment>
    <comment ref="AM33" authorId="0" shapeId="0">
      <text>
        <t>추정: = 매출액 × OPM(부문 미분리)
[ratio]</t>
      </text>
    </comment>
    <comment ref="AN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assets/models/013030.json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35150</v>
      </c>
      <c r="AB15" s="19" t="n">
        <v>31650</v>
      </c>
      <c r="AC15" s="20" t="n">
        <v>36650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42000</v>
      </c>
      <c r="AB16" s="19" t="n">
        <v>49000</v>
      </c>
      <c r="AC16" s="20" t="n">
        <v>39150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25050</v>
      </c>
      <c r="AB17" s="19" t="n">
        <v>29150</v>
      </c>
      <c r="AC17" s="20" t="n">
        <v>27550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34435.6</v>
      </c>
      <c r="AB18" s="19" t="n">
        <v>38227</v>
      </c>
      <c r="AC18" s="20" t="n">
        <v>32908.9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0.134198</v>
      </c>
      <c r="AD21" s="24" t="n">
        <v>0.134202</v>
      </c>
      <c r="AE21" s="25" t="n"/>
      <c r="AF21" s="24" t="n">
        <v>0.134196</v>
      </c>
      <c r="AG21" s="24" t="n">
        <v>0.134195</v>
      </c>
      <c r="AH21" s="24" t="n">
        <v>0.06710199999999999</v>
      </c>
      <c r="AI21" s="24" t="n">
        <v>0.067103</v>
      </c>
      <c r="AJ21" s="25" t="n"/>
      <c r="AK21" s="24" t="n">
        <v>0.067104</v>
      </c>
      <c r="AL21" s="24" t="n">
        <v>0.067111</v>
      </c>
      <c r="AM21" s="24" t="n">
        <v>0.033544</v>
      </c>
      <c r="AN21" s="24" t="n">
        <v>0.033538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0.122693</v>
      </c>
      <c r="AD22" s="24" t="n">
        <v>0.122692</v>
      </c>
      <c r="AE22" s="25">
        <f>IFERROR(subQ!AE8/subQ!AE5,"")</f>
        <v/>
      </c>
      <c r="AF22" s="24" t="n">
        <v>0.122696</v>
      </c>
      <c r="AG22" s="24" t="n">
        <v>0.12269</v>
      </c>
      <c r="AH22" s="24" t="n">
        <v>0.122696</v>
      </c>
      <c r="AI22" s="24" t="n">
        <v>0.122699</v>
      </c>
      <c r="AJ22" s="25">
        <f>IFERROR(subQ!AJ8/subQ!AJ5,"")</f>
        <v/>
      </c>
      <c r="AK22" s="24" t="n">
        <v>0.122702</v>
      </c>
      <c r="AL22" s="24" t="n">
        <v>0.122699</v>
      </c>
      <c r="AM22" s="24" t="n">
        <v>0.122693</v>
      </c>
      <c r="AN22" s="24" t="n">
        <v>0.12269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0.279216</v>
      </c>
      <c r="AD23" s="24" t="n">
        <v>0.27922</v>
      </c>
      <c r="AE23" s="25">
        <f>IFERROR(subQ!AE9/subQ!AE5,"")</f>
        <v/>
      </c>
      <c r="AF23" s="24" t="n">
        <v>0.279213</v>
      </c>
      <c r="AG23" s="24" t="n">
        <v>0.279218</v>
      </c>
      <c r="AH23" s="24" t="n">
        <v>0.279213</v>
      </c>
      <c r="AI23" s="24" t="n">
        <v>0.279209</v>
      </c>
      <c r="AJ23" s="25">
        <f>IFERROR(subQ!AJ9/subQ!AJ5,"")</f>
        <v/>
      </c>
      <c r="AK23" s="24" t="n">
        <v>0.279218</v>
      </c>
      <c r="AL23" s="24" t="n">
        <v>0.279214</v>
      </c>
      <c r="AM23" s="24" t="n">
        <v>0.279222</v>
      </c>
      <c r="AN23" s="24" t="n">
        <v>0.279209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IFERROR(subQ!J35/subQ!E35-1,"")</f>
        <v/>
      </c>
      <c r="K24" s="22" t="n"/>
      <c r="L24" s="21">
        <f>IFERROR(subQ!L35/subQ!G35-1,"")</f>
        <v/>
      </c>
      <c r="M24" s="21">
        <f>IFERROR(subQ!M35/subQ!H35-1,"")</f>
        <v/>
      </c>
      <c r="N24" s="21">
        <f>IFERROR(subQ!N35/subQ!I35-1,"")</f>
        <v/>
      </c>
      <c r="O24" s="21">
        <f>IFERROR(subQ!O35/subQ!J35-1,"")</f>
        <v/>
      </c>
      <c r="P24" s="22" t="n"/>
      <c r="Q24" s="21">
        <f>IFERROR(subQ!Q35/subQ!L35-1,"")</f>
        <v/>
      </c>
      <c r="R24" s="21">
        <f>IFERROR(subQ!R35/subQ!M35-1,"")</f>
        <v/>
      </c>
      <c r="S24" s="21">
        <f>IFERROR(subQ!S35/subQ!N35-1,"")</f>
        <v/>
      </c>
      <c r="T24" s="21">
        <f>IFERROR(subQ!T35/subQ!O35-1,"")</f>
        <v/>
      </c>
      <c r="U24" s="22" t="n"/>
      <c r="V24" s="21">
        <f>IFERROR(subQ!V35/subQ!Q35-1,"")</f>
        <v/>
      </c>
      <c r="W24" s="21">
        <f>IFERROR(subQ!W35/subQ!R35-1,"")</f>
        <v/>
      </c>
      <c r="X24" s="21">
        <f>IFERROR(subQ!X35/subQ!S35-1,"")</f>
        <v/>
      </c>
      <c r="Y24" s="21">
        <f>IFERROR(subQ!Y35/subQ!T35-1,"")</f>
        <v/>
      </c>
      <c r="Z24" s="22" t="n"/>
      <c r="AA24" s="21">
        <f>IFERROR(subQ!AA35/subQ!V35-1,"")</f>
        <v/>
      </c>
      <c r="AB24" s="23">
        <f>IFERROR(subQ!AB35/subQ!W35-1,"")</f>
        <v/>
      </c>
      <c r="AC24" s="24" t="n">
        <v>0.058779</v>
      </c>
      <c r="AD24" s="24" t="n">
        <v>0.027604</v>
      </c>
      <c r="AE24" s="25" t="n"/>
      <c r="AF24" s="24" t="n">
        <v>-0.036244</v>
      </c>
      <c r="AG24" s="24" t="n">
        <v>-0.026499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12.73</v>
      </c>
      <c r="AD25" s="29" t="n">
        <v>13.67</v>
      </c>
      <c r="AE25" s="30">
        <f>subQ!AE11</f>
        <v/>
      </c>
      <c r="AF25" s="29" t="n">
        <v>14.67</v>
      </c>
      <c r="AG25" s="29" t="n">
        <v>15.62</v>
      </c>
      <c r="AH25" s="29" t="n">
        <v>15.61</v>
      </c>
      <c r="AI25" s="29" t="n">
        <v>16.62</v>
      </c>
      <c r="AJ25" s="30">
        <f>subQ!AJ11</f>
        <v/>
      </c>
      <c r="AK25" s="29" t="n">
        <v>17.7</v>
      </c>
      <c r="AL25" s="29" t="n">
        <v>18.73</v>
      </c>
      <c r="AM25" s="29" t="n">
        <v>18.79</v>
      </c>
      <c r="AN25" s="29" t="n">
        <v>19.85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12.73</v>
      </c>
      <c r="AD26" s="29" t="n">
        <v>13.67</v>
      </c>
      <c r="AE26" s="30">
        <f>subQ!AE12</f>
        <v/>
      </c>
      <c r="AF26" s="29" t="n">
        <v>14.67</v>
      </c>
      <c r="AG26" s="29" t="n">
        <v>15.62</v>
      </c>
      <c r="AH26" s="29" t="n">
        <v>15.61</v>
      </c>
      <c r="AI26" s="29" t="n">
        <v>16.62</v>
      </c>
      <c r="AJ26" s="30">
        <f>subQ!AJ12</f>
        <v/>
      </c>
      <c r="AK26" s="29" t="n">
        <v>17.7</v>
      </c>
      <c r="AL26" s="29" t="n">
        <v>18.73</v>
      </c>
      <c r="AM26" s="29" t="n">
        <v>18.79</v>
      </c>
      <c r="AN26" s="29" t="n">
        <v>19.85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0.232196</v>
      </c>
      <c r="AD28" s="24" t="n">
        <v>0.232219</v>
      </c>
      <c r="AE28" s="25">
        <f>IFERROR(subQ!AE15/subQ!AE14,"")</f>
        <v/>
      </c>
      <c r="AF28" s="24" t="n">
        <v>0.232245</v>
      </c>
      <c r="AG28" s="24" t="n">
        <v>0.232215</v>
      </c>
      <c r="AH28" s="24" t="n">
        <v>0.232221</v>
      </c>
      <c r="AI28" s="24" t="n">
        <v>0.232239</v>
      </c>
      <c r="AJ28" s="25">
        <f>IFERROR(subQ!AJ15/subQ!AJ14,"")</f>
        <v/>
      </c>
      <c r="AK28" s="24" t="n">
        <v>0.232222</v>
      </c>
      <c r="AL28" s="24" t="n">
        <v>0.232245</v>
      </c>
      <c r="AM28" s="24" t="n">
        <v>0.232246</v>
      </c>
      <c r="AN28" s="24" t="n">
        <v>0.23224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0.991044</v>
      </c>
      <c r="AD29" s="24" t="n">
        <v>0.990996</v>
      </c>
      <c r="AE29" s="25">
        <f>IFERROR(subQ!AE17/subQ!AE16,"")</f>
        <v/>
      </c>
      <c r="AF29" s="24" t="n">
        <v>0.990974</v>
      </c>
      <c r="AG29" s="24" t="n">
        <v>0.991029</v>
      </c>
      <c r="AH29" s="24" t="n">
        <v>0.990968</v>
      </c>
      <c r="AI29" s="24" t="n">
        <v>0.991025</v>
      </c>
      <c r="AJ29" s="25">
        <f>IFERROR(subQ!AJ17/subQ!AJ16,"")</f>
        <v/>
      </c>
      <c r="AK29" s="24" t="n">
        <v>0.991043</v>
      </c>
      <c r="AL29" s="24" t="n">
        <v>0.991018</v>
      </c>
      <c r="AM29" s="24" t="n">
        <v>0.990996</v>
      </c>
      <c r="AN29" s="24" t="n">
        <v>0.991008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-0.0068</v>
      </c>
      <c r="AD31" s="29" t="n">
        <v>0</v>
      </c>
      <c r="AE31" s="30" t="n"/>
      <c r="AF31" s="29" t="n">
        <v>0</v>
      </c>
      <c r="AG31" s="29" t="n">
        <v>158.87</v>
      </c>
      <c r="AH31" s="29" t="n">
        <v>0</v>
      </c>
      <c r="AI31" s="29" t="n">
        <v>0</v>
      </c>
      <c r="AJ31" s="30" t="n"/>
      <c r="AK31" s="29" t="n">
        <v>0</v>
      </c>
      <c r="AL31" s="29" t="n">
        <v>158.87</v>
      </c>
      <c r="AM31" s="29" t="n">
        <v>0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-0.0022</v>
      </c>
      <c r="AD32" s="29" t="n">
        <v>0</v>
      </c>
      <c r="AE32" s="30" t="n"/>
      <c r="AF32" s="29" t="n">
        <v>0</v>
      </c>
      <c r="AG32" s="29" t="n">
        <v>158.87</v>
      </c>
      <c r="AH32" s="29" t="n">
        <v>-0</v>
      </c>
      <c r="AI32" s="29" t="n">
        <v>-0.01</v>
      </c>
      <c r="AJ32" s="30" t="n"/>
      <c r="AK32" s="29" t="n">
        <v>0.01</v>
      </c>
      <c r="AL32" s="29" t="n">
        <v>158.87</v>
      </c>
      <c r="AM32" s="29" t="n">
        <v>0</v>
      </c>
      <c r="AN32" s="29" t="n">
        <v>0</v>
      </c>
      <c r="AO32" s="30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0.073799</v>
      </c>
      <c r="AD33" s="24" t="n">
        <v>0.07325</v>
      </c>
      <c r="AE33" s="25" t="n"/>
      <c r="AF33" s="24" t="n">
        <v>0.06504600000000001</v>
      </c>
      <c r="AG33" s="24" t="n">
        <v>-0.001201</v>
      </c>
      <c r="AH33" s="24" t="n">
        <v>0.064904</v>
      </c>
      <c r="AI33" s="24" t="n">
        <v>0.064914</v>
      </c>
      <c r="AJ33" s="25" t="n"/>
      <c r="AK33" s="24" t="n">
        <v>0.058134</v>
      </c>
      <c r="AL33" s="24" t="n">
        <v>0.003295</v>
      </c>
      <c r="AM33" s="24" t="n">
        <v>0.056445</v>
      </c>
      <c r="AN33" s="24" t="n">
        <v>0.056864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31" t="n"/>
      <c r="AD38" s="24" t="n">
        <v>0</v>
      </c>
      <c r="AE38" s="25" t="n"/>
      <c r="AF38" s="31" t="n"/>
      <c r="AG38" s="31" t="n"/>
      <c r="AH38" s="31" t="n"/>
      <c r="AI38" s="24" t="n">
        <v>0</v>
      </c>
      <c r="AJ38" s="25" t="n"/>
      <c r="AK38" s="31" t="n"/>
      <c r="AL38" s="31" t="n"/>
      <c r="AM38" s="31" t="n"/>
      <c r="AN38" s="24" t="n">
        <v>0</v>
      </c>
      <c r="AO38" s="25" t="n"/>
    </row>
    <row r="39">
      <c r="A39" s="12" t="inlineStr">
        <is>
          <t>drv:PER</t>
        </is>
      </c>
      <c r="B39" s="2" t="inlineStr">
        <is>
          <t>yoy</t>
        </is>
      </c>
      <c r="C39" t="inlineStr">
        <is>
          <t>PER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-0.092457</v>
      </c>
      <c r="AD39" s="24" t="n">
        <v>-0.087871</v>
      </c>
      <c r="AE39" s="25" t="n"/>
      <c r="AF39" s="24" t="n">
        <v>-0.003984</v>
      </c>
      <c r="AG39" s="24" t="n">
        <v>-0.053708</v>
      </c>
      <c r="AH39" s="24" t="n">
        <v>-0.025469</v>
      </c>
      <c r="AI39" s="24" t="n">
        <v>-0.032564</v>
      </c>
      <c r="AJ39" s="25" t="n"/>
      <c r="AK39" s="24" t="n">
        <v>-0.066667</v>
      </c>
      <c r="AL39" s="24" t="n">
        <v>-0.07162200000000001</v>
      </c>
      <c r="AM39" s="24" t="n">
        <v>-0.066025</v>
      </c>
      <c r="AN39" s="24" t="n">
        <v>-0.058906</v>
      </c>
      <c r="AO39" s="25" t="n"/>
    </row>
    <row r="40">
      <c r="A40" s="12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0.034884</v>
      </c>
      <c r="AD40" s="24" t="n">
        <v>-0.022472</v>
      </c>
      <c r="AE40" s="25" t="n"/>
      <c r="AF40" s="24" t="n">
        <v>-0.05618</v>
      </c>
      <c r="AG40" s="24" t="n">
        <v>-0.115789</v>
      </c>
      <c r="AH40" s="24" t="n">
        <v>-0.078652</v>
      </c>
      <c r="AI40" s="24" t="n">
        <v>-0.09195399999999999</v>
      </c>
      <c r="AJ40" s="25" t="n"/>
      <c r="AK40" s="24" t="n">
        <v>-0.083333</v>
      </c>
      <c r="AL40" s="24" t="n">
        <v>-0.083333</v>
      </c>
      <c r="AM40" s="24" t="n">
        <v>-0.085366</v>
      </c>
      <c r="AN40" s="24" t="n">
        <v>-0.075949</v>
      </c>
      <c r="AO40" s="25" t="n"/>
    </row>
    <row r="41">
      <c r="A41" s="12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21">
        <f>IFERROR(subQ!E32/subQ!E5,"")</f>
        <v/>
      </c>
      <c r="F41" s="22">
        <f>IFERROR(subQ!F32/subQ!F5,"")</f>
        <v/>
      </c>
      <c r="G41" s="21">
        <f>IFERROR(subQ!G32/subQ!G5,"")</f>
        <v/>
      </c>
      <c r="H41" s="21">
        <f>IFERROR(subQ!H32/subQ!H5,"")</f>
        <v/>
      </c>
      <c r="I41" s="21">
        <f>IFERROR(subQ!I32/subQ!I5,"")</f>
        <v/>
      </c>
      <c r="J41" s="21">
        <f>IFERROR(subQ!J32/subQ!J5,"")</f>
        <v/>
      </c>
      <c r="K41" s="22">
        <f>IFERROR(subQ!K32/subQ!K5,"")</f>
        <v/>
      </c>
      <c r="L41" s="21">
        <f>IFERROR(subQ!L32/subQ!L5,"")</f>
        <v/>
      </c>
      <c r="M41" s="21">
        <f>IFERROR(subQ!M32/subQ!M5,"")</f>
        <v/>
      </c>
      <c r="N41" s="21">
        <f>IFERROR(subQ!N32/subQ!N5,"")</f>
        <v/>
      </c>
      <c r="O41" s="21">
        <f>IFERROR(subQ!O32/subQ!O5,"")</f>
        <v/>
      </c>
      <c r="P41" s="22">
        <f>IFERROR(subQ!P32/subQ!P5,"")</f>
        <v/>
      </c>
      <c r="Q41" s="21">
        <f>IFERROR(subQ!Q32/subQ!Q5,"")</f>
        <v/>
      </c>
      <c r="R41" s="21">
        <f>IFERROR(subQ!R32/subQ!R5,"")</f>
        <v/>
      </c>
      <c r="S41" s="21">
        <f>IFERROR(subQ!S32/subQ!S5,"")</f>
        <v/>
      </c>
      <c r="T41" s="21">
        <f>IFERROR(subQ!T32/subQ!T5,"")</f>
        <v/>
      </c>
      <c r="U41" s="22">
        <f>IFERROR(subQ!U32/subQ!U5,"")</f>
        <v/>
      </c>
      <c r="V41" s="21">
        <f>IFERROR(subQ!V32/subQ!V5,"")</f>
        <v/>
      </c>
      <c r="W41" s="21">
        <f>IFERROR(subQ!W32/subQ!W5,"")</f>
        <v/>
      </c>
      <c r="X41" s="21">
        <f>IFERROR(subQ!X32/subQ!X5,"")</f>
        <v/>
      </c>
      <c r="Y41" s="21">
        <f>IFERROR(subQ!Y32/subQ!Y5,"")</f>
        <v/>
      </c>
      <c r="Z41" s="22">
        <f>IFERROR(subQ!Z32/subQ!Z5,"")</f>
        <v/>
      </c>
      <c r="AA41" s="21">
        <f>IFERROR(subQ!AA32/subQ!AA5,"")</f>
        <v/>
      </c>
      <c r="AB41" s="23">
        <f>IFERROR(subQ!AB32/subQ!AB5,"")</f>
        <v/>
      </c>
      <c r="AC41" s="24" t="n">
        <v>1</v>
      </c>
      <c r="AD41" s="24" t="n">
        <v>1</v>
      </c>
      <c r="AE41" s="25">
        <f>IFERROR(subQ!AE32/subQ!AE5,"")</f>
        <v/>
      </c>
      <c r="AF41" s="24" t="n">
        <v>1</v>
      </c>
      <c r="AG41" s="24" t="n">
        <v>1</v>
      </c>
      <c r="AH41" s="24" t="n">
        <v>1</v>
      </c>
      <c r="AI41" s="24" t="n">
        <v>1</v>
      </c>
      <c r="AJ41" s="25">
        <f>IFERROR(subQ!AJ32/subQ!AJ5,"")</f>
        <v/>
      </c>
      <c r="AK41" s="24" t="n">
        <v>1</v>
      </c>
      <c r="AL41" s="24" t="n">
        <v>1</v>
      </c>
      <c r="AM41" s="24" t="n">
        <v>1</v>
      </c>
      <c r="AN41" s="24" t="n">
        <v>1</v>
      </c>
      <c r="AO41" s="25">
        <f>IFERROR(subQ!AO32/subQ!AO5,"")</f>
        <v/>
      </c>
    </row>
    <row r="42">
      <c r="A42" s="12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21">
        <f>IFERROR(subQ!E33/subQ!E32,"")</f>
        <v/>
      </c>
      <c r="F42" s="22">
        <f>IFERROR(subQ!F33/subQ!F32,"")</f>
        <v/>
      </c>
      <c r="G42" s="21">
        <f>IFERROR(subQ!G33/subQ!G32,"")</f>
        <v/>
      </c>
      <c r="H42" s="21">
        <f>IFERROR(subQ!H33/subQ!H32,"")</f>
        <v/>
      </c>
      <c r="I42" s="21">
        <f>IFERROR(subQ!I33/subQ!I32,"")</f>
        <v/>
      </c>
      <c r="J42" s="21">
        <f>IFERROR(subQ!J33/subQ!J32,"")</f>
        <v/>
      </c>
      <c r="K42" s="22">
        <f>IFERROR(subQ!K33/subQ!K32,"")</f>
        <v/>
      </c>
      <c r="L42" s="21">
        <f>IFERROR(subQ!L33/subQ!L32,"")</f>
        <v/>
      </c>
      <c r="M42" s="21">
        <f>IFERROR(subQ!M33/subQ!M32,"")</f>
        <v/>
      </c>
      <c r="N42" s="21">
        <f>IFERROR(subQ!N33/subQ!N32,"")</f>
        <v/>
      </c>
      <c r="O42" s="21">
        <f>IFERROR(subQ!O33/subQ!O32,"")</f>
        <v/>
      </c>
      <c r="P42" s="22">
        <f>IFERROR(subQ!P33/subQ!P32,"")</f>
        <v/>
      </c>
      <c r="Q42" s="21">
        <f>IFERROR(subQ!Q33/subQ!Q32,"")</f>
        <v/>
      </c>
      <c r="R42" s="21">
        <f>IFERROR(subQ!R33/subQ!R32,"")</f>
        <v/>
      </c>
      <c r="S42" s="21">
        <f>IFERROR(subQ!S33/subQ!S32,"")</f>
        <v/>
      </c>
      <c r="T42" s="21">
        <f>IFERROR(subQ!T33/subQ!T32,"")</f>
        <v/>
      </c>
      <c r="U42" s="22">
        <f>IFERROR(subQ!U33/subQ!U32,"")</f>
        <v/>
      </c>
      <c r="V42" s="21">
        <f>IFERROR(subQ!V33/subQ!V32,"")</f>
        <v/>
      </c>
      <c r="W42" s="21">
        <f>IFERROR(subQ!W33/subQ!W32,"")</f>
        <v/>
      </c>
      <c r="X42" s="21">
        <f>IFERROR(subQ!X33/subQ!X32,"")</f>
        <v/>
      </c>
      <c r="Y42" s="21">
        <f>IFERROR(subQ!Y33/subQ!Y32,"")</f>
        <v/>
      </c>
      <c r="Z42" s="22">
        <f>IFERROR(subQ!Z33/subQ!Z32,"")</f>
        <v/>
      </c>
      <c r="AA42" s="21">
        <f>IFERROR(subQ!AA33/subQ!AA32,"")</f>
        <v/>
      </c>
      <c r="AB42" s="23">
        <f>IFERROR(subQ!AB33/subQ!AB32,"")</f>
        <v/>
      </c>
      <c r="AC42" s="24" t="n">
        <v>0.279216</v>
      </c>
      <c r="AD42" s="24" t="n">
        <v>0.27922</v>
      </c>
      <c r="AE42" s="25">
        <f>IFERROR(subQ!AE33/subQ!AE32,"")</f>
        <v/>
      </c>
      <c r="AF42" s="24" t="n">
        <v>0.279213</v>
      </c>
      <c r="AG42" s="24" t="n">
        <v>0.279218</v>
      </c>
      <c r="AH42" s="24" t="n">
        <v>0.279213</v>
      </c>
      <c r="AI42" s="24" t="n">
        <v>0.279209</v>
      </c>
      <c r="AJ42" s="25">
        <f>IFERROR(subQ!AJ33/subQ!AJ32,"")</f>
        <v/>
      </c>
      <c r="AK42" s="24" t="n">
        <v>0.279218</v>
      </c>
      <c r="AL42" s="24" t="n">
        <v>0.279214</v>
      </c>
      <c r="AM42" s="24" t="n">
        <v>0.279222</v>
      </c>
      <c r="AN42" s="24" t="n">
        <v>0.279209</v>
      </c>
      <c r="AO42" s="25">
        <f>IFERROR(subQ!AO33/subQ!AO32,"")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2" t="n">
        <v>36750</v>
      </c>
      <c r="E45" s="2" t="inlineStr">
        <is>
          <t>원 — aikstockdata(금융위 T+1)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3" t="inlineStr">
        <is>
          <t>20260929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7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7.6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8.1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24" t="n">
        <v>0.2322</v>
      </c>
      <c r="E52" s="2" t="inlineStr">
        <is>
          <t>법인세율 가정(참고 — 추정 수식은 드라이버 행 참조)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24" t="n">
        <v>0.1227</v>
      </c>
      <c r="E53" s="2" t="inlineStr">
        <is>
          <t>판관비율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0.3159</v>
      </c>
      <c r="E54" s="2" t="inlineStr">
        <is>
          <t>배당성향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29" t="n"/>
      <c r="E55" s="2" t="inlineStr">
        <is>
          <t>외화 순노출 × Δ기말환율 (외화 시트 방식)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4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4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4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4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4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4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4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4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4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4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4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4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4" t="n">
        <v>10000</v>
      </c>
      <c r="R7" s="18" t="n">
        <v>9000</v>
      </c>
      <c r="S7" s="18" t="n">
        <v>5000</v>
      </c>
      <c r="T7" s="18" t="n">
        <v>5000</v>
      </c>
      <c r="U7" s="34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4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4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4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4" t="n">
        <v>10000</v>
      </c>
      <c r="R8" s="18" t="n">
        <v>9000</v>
      </c>
      <c r="S8" s="18" t="n">
        <v>5000</v>
      </c>
      <c r="T8" s="18" t="n">
        <v>5000</v>
      </c>
      <c r="U8" s="34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4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4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4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4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4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4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4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4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4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4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4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4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4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4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4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4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4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4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4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4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4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4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4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4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4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4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4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4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4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4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4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4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4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4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4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4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4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4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4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4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4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4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4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4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4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4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4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4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4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4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4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4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4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4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4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4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4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4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4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4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4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4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4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4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4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4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4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4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4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4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4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4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4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4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4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4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4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4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4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4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4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4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4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4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4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4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4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4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4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4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4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4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4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4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4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4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4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4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4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4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4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4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4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4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4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4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4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4" t="n">
        <v>-9932.83</v>
      </c>
      <c r="O30" s="18" t="n">
        <v>-7927.92</v>
      </c>
      <c r="P30" s="34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4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4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4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4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4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4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4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4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4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4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4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4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4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4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4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4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4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4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4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4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4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4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4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4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4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4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4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4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4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4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4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4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4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4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4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4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4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4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4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4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4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4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4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4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4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4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4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4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4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4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4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4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4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4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4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4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4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4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4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4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4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4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4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4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4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4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4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4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4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4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4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4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4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4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4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4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4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4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4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4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4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4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4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4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4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4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4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4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4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4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4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4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4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4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4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4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4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4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4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4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4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4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4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4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4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4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4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4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4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4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4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4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4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4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4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4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4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4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4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4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4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4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4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4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4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4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4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4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4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4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4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4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4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4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4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4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4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4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4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4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4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4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4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4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4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4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4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4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4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4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4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4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4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4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4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4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4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4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4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4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4" t="n">
        <v>10000</v>
      </c>
      <c r="R7" s="18" t="n">
        <v>9000</v>
      </c>
      <c r="S7" s="18" t="n">
        <v>5000</v>
      </c>
      <c r="T7" s="18" t="n">
        <v>5000</v>
      </c>
      <c r="U7" s="34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4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4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4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4" t="n">
        <v>10000</v>
      </c>
      <c r="R8" s="18" t="n">
        <v>9000</v>
      </c>
      <c r="S8" s="18" t="n">
        <v>5000</v>
      </c>
      <c r="T8" s="18" t="n">
        <v>5000</v>
      </c>
      <c r="U8" s="34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4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4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4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4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4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4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4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4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4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4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4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4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4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4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4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4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4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4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4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4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4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4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4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4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4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4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4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4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4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4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4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4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4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4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4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4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4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4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4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4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4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4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4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4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4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4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4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4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4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4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4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4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4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4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4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4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4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4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4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4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4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4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4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4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4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4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4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4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4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4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4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4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4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4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4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4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4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4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4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4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4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4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4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4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4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4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4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4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4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4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4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4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4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4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4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4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4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4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4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4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4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4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4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4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4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4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4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4" t="n">
        <v>-9932.83</v>
      </c>
      <c r="O30" s="18" t="n">
        <v>-7927.92</v>
      </c>
      <c r="P30" s="34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4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4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4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4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4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4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4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4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4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4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4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4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4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4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4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4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4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4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4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4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4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4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4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4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4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4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4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4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4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4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4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4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4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4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4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4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4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4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4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4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4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4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4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4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4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4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4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4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4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4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4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4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4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4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4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4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4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4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4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4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4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4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4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4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4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4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4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4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4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4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4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4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4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4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4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4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4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4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4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4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4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4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4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4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4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4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4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4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4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4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4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4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4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4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4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4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4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4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4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4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4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4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4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4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4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4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4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4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4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4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4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4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4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4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4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4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4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4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4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4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4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4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4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4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4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4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4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4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4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4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4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4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4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4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4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0.1103</v>
      </c>
      <c r="F10" s="34" t="n"/>
      <c r="G10" s="18" t="n">
        <v>0.153</v>
      </c>
      <c r="H10" s="18" t="n">
        <v>0.203</v>
      </c>
      <c r="I10" s="18" t="n">
        <v>0.2356</v>
      </c>
      <c r="J10" s="18" t="n">
        <v>0.2748</v>
      </c>
      <c r="K10" s="34">
        <f>SUM(G10:J10)</f>
        <v/>
      </c>
      <c r="L10" s="18" t="n">
        <v>0.2454</v>
      </c>
      <c r="M10" s="18" t="n">
        <v>0.3098</v>
      </c>
      <c r="N10" s="18" t="n">
        <v>0.3036</v>
      </c>
      <c r="O10" s="18" t="n">
        <v>0.2378</v>
      </c>
      <c r="P10" s="34">
        <f>SUM(L10:O10)</f>
        <v/>
      </c>
      <c r="Q10" s="18" t="n">
        <v>0.3092</v>
      </c>
      <c r="R10" s="18" t="n">
        <v>0.3189</v>
      </c>
      <c r="S10" s="18" t="n">
        <v>0.3015</v>
      </c>
      <c r="T10" s="18" t="n">
        <v>0.1293</v>
      </c>
      <c r="U10" s="34">
        <f>SUM(Q10:T10)</f>
        <v/>
      </c>
      <c r="V10" s="18" t="n">
        <v>0.2591</v>
      </c>
      <c r="W10" s="18" t="n">
        <v>0.3024</v>
      </c>
      <c r="X10" s="18" t="n">
        <v>0.2637</v>
      </c>
      <c r="Y10" s="18" t="n">
        <v>0.2717</v>
      </c>
      <c r="Z10" s="34">
        <f>SUM(V10:Y10)</f>
        <v/>
      </c>
      <c r="AA10" s="18" t="n">
        <v>0.2897</v>
      </c>
      <c r="AB10" s="19" t="n">
        <v>0.2868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5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5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4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영업활동현금흐름</t>
        </is>
      </c>
      <c r="E25" s="18" t="n">
        <v>40.12</v>
      </c>
      <c r="F25" s="34" t="n"/>
      <c r="G25" s="18" t="n">
        <v>13.19</v>
      </c>
      <c r="H25" s="18" t="n">
        <v>44.37</v>
      </c>
      <c r="I25" s="18" t="n">
        <v>22.69</v>
      </c>
      <c r="J25" s="18" t="n">
        <v>116.85</v>
      </c>
      <c r="K25" s="34">
        <f>SUM(G25:J25)</f>
        <v/>
      </c>
      <c r="L25" s="18" t="n">
        <v>21.64</v>
      </c>
      <c r="M25" s="18" t="n">
        <v>91</v>
      </c>
      <c r="N25" s="18" t="n">
        <v>46.31</v>
      </c>
      <c r="O25" s="18" t="n">
        <v>118.61</v>
      </c>
      <c r="P25" s="34">
        <f>SUM(L25:O25)</f>
        <v/>
      </c>
      <c r="Q25" s="18" t="n">
        <v>170.38</v>
      </c>
      <c r="R25" s="18" t="n">
        <v>95.98</v>
      </c>
      <c r="S25" s="18" t="n">
        <v>116.78</v>
      </c>
      <c r="T25" s="18" t="n">
        <v>98.12</v>
      </c>
      <c r="U25" s="34">
        <f>SUM(Q25:T25)</f>
        <v/>
      </c>
      <c r="V25" s="18" t="n">
        <v>89.15000000000001</v>
      </c>
      <c r="W25" s="18" t="n">
        <v>119.41</v>
      </c>
      <c r="X25" s="18" t="n">
        <v>137.92</v>
      </c>
      <c r="Y25" s="18" t="n">
        <v>126.34</v>
      </c>
      <c r="Z25" s="34">
        <f>SUM(V25:Y25)</f>
        <v/>
      </c>
      <c r="AA25" s="18" t="n">
        <v>131.58</v>
      </c>
      <c r="AB25" s="19" t="n">
        <v>131.8</v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6" t="n">
        <v>12.856</v>
      </c>
      <c r="F26" s="27">
        <f>E26</f>
        <v/>
      </c>
      <c r="G26" s="26" t="n">
        <v>12.856</v>
      </c>
      <c r="H26" s="26" t="n">
        <v>12.856</v>
      </c>
      <c r="I26" s="26" t="n">
        <v>12.856</v>
      </c>
      <c r="J26" s="26" t="n">
        <v>12.856</v>
      </c>
      <c r="K26" s="27">
        <f>J26</f>
        <v/>
      </c>
      <c r="L26" s="26" t="n">
        <v>12.856</v>
      </c>
      <c r="M26" s="26" t="n">
        <v>12.856</v>
      </c>
      <c r="N26" s="26" t="n">
        <v>12.856</v>
      </c>
      <c r="O26" s="26" t="n">
        <v>12.588</v>
      </c>
      <c r="P26" s="27">
        <f>O26</f>
        <v/>
      </c>
      <c r="Q26" s="26" t="n">
        <v>12.275</v>
      </c>
      <c r="R26" s="26" t="n">
        <v>12.103</v>
      </c>
      <c r="S26" s="26" t="n">
        <v>12.103</v>
      </c>
      <c r="T26" s="26" t="n">
        <v>12.295</v>
      </c>
      <c r="U26" s="27">
        <f>T26</f>
        <v/>
      </c>
      <c r="V26" s="26" t="n">
        <v>12.145</v>
      </c>
      <c r="W26" s="26" t="n">
        <v>11.873</v>
      </c>
      <c r="X26" s="26" t="n">
        <v>11.768</v>
      </c>
      <c r="Y26" s="26" t="n">
        <v>11.768</v>
      </c>
      <c r="Z26" s="27">
        <f>Y26</f>
        <v/>
      </c>
      <c r="AA26" s="26" t="n">
        <v>11.768</v>
      </c>
      <c r="AB26" s="28" t="n">
        <v>11.768</v>
      </c>
      <c r="AC26" s="36">
        <f>IFERROR(AB26*(1+변수!AC37),"")</f>
        <v/>
      </c>
      <c r="AD26" s="36">
        <f>IFERROR(AC26*(1+변수!AD37),"")</f>
        <v/>
      </c>
      <c r="AE26" s="30">
        <f>AD26</f>
        <v/>
      </c>
      <c r="AF26" s="36">
        <f>IFERROR(AD26*(1+변수!AF37),"")</f>
        <v/>
      </c>
      <c r="AG26" s="36">
        <f>IFERROR(AF26*(1+변수!AG37),"")</f>
        <v/>
      </c>
      <c r="AH26" s="36">
        <f>IFERROR(AG26*(1+변수!AH37),"")</f>
        <v/>
      </c>
      <c r="AI26" s="36">
        <f>IFERROR(AH26*(1+변수!AI37),"")</f>
        <v/>
      </c>
      <c r="AJ26" s="30">
        <f>AI26</f>
        <v/>
      </c>
      <c r="AK26" s="36">
        <f>IFERROR(AI26*(1+변수!AK37),"")</f>
        <v/>
      </c>
      <c r="AL26" s="36">
        <f>IFERROR(AK26*(1+변수!AL37),"")</f>
        <v/>
      </c>
      <c r="AM26" s="36">
        <f>IFERROR(AL26*(1+변수!AM37),"")</f>
        <v/>
      </c>
      <c r="AN26" s="36">
        <f>IFERROR(AM26*(1+변수!AN37),"")</f>
        <v/>
      </c>
      <c r="AO26" s="30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4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4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4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4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4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5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5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5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4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4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4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4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4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5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5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5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4" t="n">
        <v>500</v>
      </c>
      <c r="G29" s="18" t="n"/>
      <c r="H29" s="18" t="n"/>
      <c r="I29" s="18" t="n"/>
      <c r="J29" s="18" t="n">
        <v>600</v>
      </c>
      <c r="K29" s="34">
        <f>SUM(G29:J29)</f>
        <v/>
      </c>
      <c r="L29" s="18" t="n"/>
      <c r="M29" s="18" t="n"/>
      <c r="N29" s="18" t="n"/>
      <c r="O29" s="18" t="n">
        <v>1050</v>
      </c>
      <c r="P29" s="34">
        <f>SUM(L29:O29)</f>
        <v/>
      </c>
      <c r="Q29" s="18" t="n"/>
      <c r="R29" s="18" t="n"/>
      <c r="S29" s="18" t="n"/>
      <c r="T29" s="18" t="n">
        <v>1150</v>
      </c>
      <c r="U29" s="34">
        <f>SUM(Q29:T29)</f>
        <v/>
      </c>
      <c r="V29" s="18" t="n"/>
      <c r="W29" s="18" t="n"/>
      <c r="X29" s="18" t="n"/>
      <c r="Y29" s="18" t="n">
        <v>1350</v>
      </c>
      <c r="Z29" s="34">
        <f>SUM(V29:Y29)</f>
        <v/>
      </c>
      <c r="AA29" s="18" t="n"/>
      <c r="AB29" s="19" t="n"/>
      <c r="AC29" s="20" t="n"/>
      <c r="AD29" s="20">
        <f>IFERROR(Y29*(1+변수!AD38),"")</f>
        <v/>
      </c>
      <c r="AE29" s="35">
        <f>SUM(AA29:AD29)</f>
        <v/>
      </c>
      <c r="AF29" s="20" t="n"/>
      <c r="AG29" s="20" t="n"/>
      <c r="AH29" s="20" t="n"/>
      <c r="AI29" s="20">
        <f>IFERROR(AD29*(1+변수!AI38),"")</f>
        <v/>
      </c>
      <c r="AJ29" s="35">
        <f>SUM(AF29:AI29)</f>
        <v/>
      </c>
      <c r="AK29" s="20" t="n"/>
      <c r="AL29" s="20" t="n"/>
      <c r="AM29" s="20" t="n"/>
      <c r="AN29" s="20">
        <f>IFERROR(AI29*(1+변수!AN38),"")</f>
        <v/>
      </c>
      <c r="AO29" s="35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8" t="n"/>
      <c r="F30" s="34" t="n"/>
      <c r="G30" s="18" t="n"/>
      <c r="H30" s="18" t="n"/>
      <c r="I30" s="18" t="n">
        <v>8.49</v>
      </c>
      <c r="J30" s="18" t="n">
        <v>7.98</v>
      </c>
      <c r="K30" s="34">
        <f>SUM(G30:J30)</f>
        <v/>
      </c>
      <c r="L30" s="18" t="n">
        <v>6.95</v>
      </c>
      <c r="M30" s="18" t="n">
        <v>6.57</v>
      </c>
      <c r="N30" s="18" t="n">
        <v>7.71</v>
      </c>
      <c r="O30" s="18" t="n">
        <v>7.06</v>
      </c>
      <c r="P30" s="34">
        <f>SUM(L30:O30)</f>
        <v/>
      </c>
      <c r="Q30" s="18" t="n">
        <v>6.46</v>
      </c>
      <c r="R30" s="18" t="n">
        <v>6.84</v>
      </c>
      <c r="S30" s="18" t="n">
        <v>7.19</v>
      </c>
      <c r="T30" s="18" t="n">
        <v>6.35</v>
      </c>
      <c r="U30" s="34">
        <f>SUM(Q30:T30)</f>
        <v/>
      </c>
      <c r="V30" s="18" t="n">
        <v>7.79</v>
      </c>
      <c r="W30" s="18" t="n">
        <v>8.220000000000001</v>
      </c>
      <c r="X30" s="18" t="n">
        <v>8.220000000000001</v>
      </c>
      <c r="Y30" s="18" t="n">
        <v>8.08</v>
      </c>
      <c r="Z30" s="34">
        <f>SUM(V30:Y30)</f>
        <v/>
      </c>
      <c r="AA30" s="18" t="n">
        <v>7.53</v>
      </c>
      <c r="AB30" s="19" t="n">
        <v>7.82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8" t="n">
        <v>0.65</v>
      </c>
      <c r="F31" s="34" t="n">
        <v>0.62</v>
      </c>
      <c r="G31" s="18" t="n">
        <v>0.64</v>
      </c>
      <c r="H31" s="18" t="n">
        <v>0.66</v>
      </c>
      <c r="I31" s="18" t="n">
        <v>0.72</v>
      </c>
      <c r="J31" s="18" t="n">
        <v>0.72</v>
      </c>
      <c r="K31" s="34">
        <f>SUM(G31:J31)</f>
        <v/>
      </c>
      <c r="L31" s="18" t="n">
        <v>0.76</v>
      </c>
      <c r="M31" s="18" t="n">
        <v>0.76</v>
      </c>
      <c r="N31" s="18" t="n">
        <v>0.87</v>
      </c>
      <c r="O31" s="18" t="n">
        <v>0.8100000000000001</v>
      </c>
      <c r="P31" s="34">
        <f>SUM(L31:O31)</f>
        <v/>
      </c>
      <c r="Q31" s="18" t="n">
        <v>0.79</v>
      </c>
      <c r="R31" s="18" t="n">
        <v>0.8</v>
      </c>
      <c r="S31" s="18" t="n">
        <v>0.78</v>
      </c>
      <c r="T31" s="18" t="n">
        <v>0.7</v>
      </c>
      <c r="U31" s="34">
        <f>SUM(Q31:T31)</f>
        <v/>
      </c>
      <c r="V31" s="18" t="n">
        <v>0.8100000000000001</v>
      </c>
      <c r="W31" s="18" t="n">
        <v>0.8</v>
      </c>
      <c r="X31" s="18" t="n">
        <v>0.86</v>
      </c>
      <c r="Y31" s="18" t="n">
        <v>0.89</v>
      </c>
      <c r="Z31" s="34">
        <f>SUM(V31:Y31)</f>
        <v/>
      </c>
      <c r="AA31" s="18" t="n">
        <v>0.89</v>
      </c>
      <c r="AB31" s="19" t="n">
        <v>0.95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4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4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4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4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4">
        <f>SUM(V32:Y32)</f>
        <v/>
      </c>
      <c r="AA32" s="18" t="n">
        <v>541.46</v>
      </c>
      <c r="AB32" s="19" t="n">
        <v>592.51</v>
      </c>
      <c r="AC32" s="20">
        <f>IFERROR(AC5*변수!AC41,"")</f>
        <v/>
      </c>
      <c r="AD32" s="20">
        <f>IFERROR(AD5*변수!AD41,"")</f>
        <v/>
      </c>
      <c r="AE32" s="35">
        <f>SUM(AA32:AD32)</f>
        <v/>
      </c>
      <c r="AF32" s="20">
        <f>IFERROR(AF5*변수!AF41,"")</f>
        <v/>
      </c>
      <c r="AG32" s="20">
        <f>IFERROR(AG5*변수!AG41,"")</f>
        <v/>
      </c>
      <c r="AH32" s="20">
        <f>IFERROR(AH5*변수!AH41,"")</f>
        <v/>
      </c>
      <c r="AI32" s="20">
        <f>IFERROR(AI5*변수!AI41,"")</f>
        <v/>
      </c>
      <c r="AJ32" s="35">
        <f>SUM(AF32:AI32)</f>
        <v/>
      </c>
      <c r="AK32" s="20">
        <f>IFERROR(AK5*변수!AK41,"")</f>
        <v/>
      </c>
      <c r="AL32" s="20">
        <f>IFERROR(AL5*변수!AL41,"")</f>
        <v/>
      </c>
      <c r="AM32" s="20">
        <f>IFERROR(AM5*변수!AM41,"")</f>
        <v/>
      </c>
      <c r="AN32" s="20">
        <f>IFERROR(AN5*변수!AN41,"")</f>
        <v/>
      </c>
      <c r="AO32" s="35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4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4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4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4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4">
        <f>SUM(V33:Y33)</f>
        <v/>
      </c>
      <c r="AA33" s="18" t="n">
        <v>156.86</v>
      </c>
      <c r="AB33" s="19" t="n">
        <v>169.91</v>
      </c>
      <c r="AC33" s="20">
        <f>IFERROR(AC32*변수!AC42,"")</f>
        <v/>
      </c>
      <c r="AD33" s="20">
        <f>IFERROR(AD32*변수!AD42,"")</f>
        <v/>
      </c>
      <c r="AE33" s="35">
        <f>SUM(AA33:AD33)</f>
        <v/>
      </c>
      <c r="AF33" s="20">
        <f>IFERROR(AF32*변수!AF42,"")</f>
        <v/>
      </c>
      <c r="AG33" s="20">
        <f>IFERROR(AG32*변수!AG42,"")</f>
        <v/>
      </c>
      <c r="AH33" s="20">
        <f>IFERROR(AH32*변수!AH42,"")</f>
        <v/>
      </c>
      <c r="AI33" s="20">
        <f>IFERROR(AI32*변수!AI42,"")</f>
        <v/>
      </c>
      <c r="AJ33" s="35">
        <f>SUM(AF33:AI33)</f>
        <v/>
      </c>
      <c r="AK33" s="20">
        <f>IFERROR(AK32*변수!AK42,"")</f>
        <v/>
      </c>
      <c r="AL33" s="20">
        <f>IFERROR(AL32*변수!AL42,"")</f>
        <v/>
      </c>
      <c r="AM33" s="20">
        <f>IFERROR(AM32*변수!AM42,"")</f>
        <v/>
      </c>
      <c r="AN33" s="20">
        <f>IFERROR(AN32*변수!AN42,"")</f>
        <v/>
      </c>
      <c r="AO33" s="35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21">
        <f>IFERROR(E9/E5,"")</f>
        <v/>
      </c>
      <c r="F35" s="22">
        <f>IFERROR(F9/F5,"")</f>
        <v/>
      </c>
      <c r="G35" s="21">
        <f>IFERROR(G9/G5,"")</f>
        <v/>
      </c>
      <c r="H35" s="21">
        <f>IFERROR(H9/H5,"")</f>
        <v/>
      </c>
      <c r="I35" s="21">
        <f>IFERROR(I9/I5,"")</f>
        <v/>
      </c>
      <c r="J35" s="21">
        <f>IFERROR(J9/J5,"")</f>
        <v/>
      </c>
      <c r="K35" s="22">
        <f>IFERROR(K9/K5,"")</f>
        <v/>
      </c>
      <c r="L35" s="21">
        <f>IFERROR(L9/L5,"")</f>
        <v/>
      </c>
      <c r="M35" s="21">
        <f>IFERROR(M9/M5,"")</f>
        <v/>
      </c>
      <c r="N35" s="21">
        <f>IFERROR(N9/N5,"")</f>
        <v/>
      </c>
      <c r="O35" s="21">
        <f>IFERROR(O9/O5,"")</f>
        <v/>
      </c>
      <c r="P35" s="22">
        <f>IFERROR(P9/P5,"")</f>
        <v/>
      </c>
      <c r="Q35" s="21">
        <f>IFERROR(Q9/Q5,"")</f>
        <v/>
      </c>
      <c r="R35" s="21">
        <f>IFERROR(R9/R5,"")</f>
        <v/>
      </c>
      <c r="S35" s="21">
        <f>IFERROR(S9/S5,"")</f>
        <v/>
      </c>
      <c r="T35" s="21">
        <f>IFERROR(T9/T5,"")</f>
        <v/>
      </c>
      <c r="U35" s="22">
        <f>IFERROR(U9/U5,"")</f>
        <v/>
      </c>
      <c r="V35" s="21">
        <f>IFERROR(V9/V5,"")</f>
        <v/>
      </c>
      <c r="W35" s="21">
        <f>IFERROR(W9/W5,"")</f>
        <v/>
      </c>
      <c r="X35" s="21">
        <f>IFERROR(X9/X5,"")</f>
        <v/>
      </c>
      <c r="Y35" s="21">
        <f>IFERROR(Y9/Y5,"")</f>
        <v/>
      </c>
      <c r="Z35" s="22">
        <f>IFERROR(Z9/Z5,"")</f>
        <v/>
      </c>
      <c r="AA35" s="21">
        <f>IFERROR(AA9/AA5,"")</f>
        <v/>
      </c>
      <c r="AB35" s="23">
        <f>IFERROR(AB9/AB5,"")</f>
        <v/>
      </c>
      <c r="AC35" s="31">
        <f>IFERROR(AC9/AC5,"")</f>
        <v/>
      </c>
      <c r="AD35" s="31">
        <f>IFERROR(AD9/AD5,"")</f>
        <v/>
      </c>
      <c r="AE35" s="25">
        <f>IFERROR(AE9/AE5,"")</f>
        <v/>
      </c>
      <c r="AF35" s="31">
        <f>IFERROR(AF9/AF5,"")</f>
        <v/>
      </c>
      <c r="AG35" s="31">
        <f>IFERROR(AG9/AG5,"")</f>
        <v/>
      </c>
      <c r="AH35" s="31">
        <f>IFERROR(AH9/AH5,"")</f>
        <v/>
      </c>
      <c r="AI35" s="31">
        <f>IFERROR(AI9/AI5,"")</f>
        <v/>
      </c>
      <c r="AJ35" s="25">
        <f>IFERROR(AJ9/AJ5,"")</f>
        <v/>
      </c>
      <c r="AK35" s="31">
        <f>IFERROR(AK9/AK5,"")</f>
        <v/>
      </c>
      <c r="AL35" s="31">
        <f>IFERROR(AL9/AL5,"")</f>
        <v/>
      </c>
      <c r="AM35" s="31">
        <f>IFERROR(AM9/AM5,"")</f>
        <v/>
      </c>
      <c r="AN35" s="31">
        <f>IFERROR(AN9/AN5,"")</f>
        <v/>
      </c>
      <c r="AO35" s="25">
        <f>IFERROR(AO9/AO5,"")</f>
        <v/>
      </c>
    </row>
    <row r="36">
      <c r="A36" s="12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21">
        <f>IFERROR(E17/E5,"")</f>
        <v/>
      </c>
      <c r="F36" s="22">
        <f>IFERROR(F17/F5,"")</f>
        <v/>
      </c>
      <c r="G36" s="21">
        <f>IFERROR(G17/G5,"")</f>
        <v/>
      </c>
      <c r="H36" s="21">
        <f>IFERROR(H17/H5,"")</f>
        <v/>
      </c>
      <c r="I36" s="21">
        <f>IFERROR(I17/I5,"")</f>
        <v/>
      </c>
      <c r="J36" s="21">
        <f>IFERROR(J17/J5,"")</f>
        <v/>
      </c>
      <c r="K36" s="22">
        <f>IFERROR(K17/K5,"")</f>
        <v/>
      </c>
      <c r="L36" s="21">
        <f>IFERROR(L17/L5,"")</f>
        <v/>
      </c>
      <c r="M36" s="21">
        <f>IFERROR(M17/M5,"")</f>
        <v/>
      </c>
      <c r="N36" s="21">
        <f>IFERROR(N17/N5,"")</f>
        <v/>
      </c>
      <c r="O36" s="21">
        <f>IFERROR(O17/O5,"")</f>
        <v/>
      </c>
      <c r="P36" s="22">
        <f>IFERROR(P17/P5,"")</f>
        <v/>
      </c>
      <c r="Q36" s="21">
        <f>IFERROR(Q17/Q5,"")</f>
        <v/>
      </c>
      <c r="R36" s="21">
        <f>IFERROR(R17/R5,"")</f>
        <v/>
      </c>
      <c r="S36" s="21">
        <f>IFERROR(S17/S5,"")</f>
        <v/>
      </c>
      <c r="T36" s="21">
        <f>IFERROR(T17/T5,"")</f>
        <v/>
      </c>
      <c r="U36" s="22">
        <f>IFERROR(U17/U5,"")</f>
        <v/>
      </c>
      <c r="V36" s="21">
        <f>IFERROR(V17/V5,"")</f>
        <v/>
      </c>
      <c r="W36" s="21">
        <f>IFERROR(W17/W5,"")</f>
        <v/>
      </c>
      <c r="X36" s="21">
        <f>IFERROR(X17/X5,"")</f>
        <v/>
      </c>
      <c r="Y36" s="21">
        <f>IFERROR(Y17/Y5,"")</f>
        <v/>
      </c>
      <c r="Z36" s="22">
        <f>IFERROR(Z17/Z5,"")</f>
        <v/>
      </c>
      <c r="AA36" s="21">
        <f>IFERROR(AA17/AA5,"")</f>
        <v/>
      </c>
      <c r="AB36" s="23">
        <f>IFERROR(AB17/AB5,"")</f>
        <v/>
      </c>
      <c r="AC36" s="31">
        <f>IFERROR(AC17/AC5,"")</f>
        <v/>
      </c>
      <c r="AD36" s="31">
        <f>IFERROR(AD17/AD5,"")</f>
        <v/>
      </c>
      <c r="AE36" s="25">
        <f>IFERROR(AE17/AE5,"")</f>
        <v/>
      </c>
      <c r="AF36" s="31">
        <f>IFERROR(AF17/AF5,"")</f>
        <v/>
      </c>
      <c r="AG36" s="31">
        <f>IFERROR(AG17/AG5,"")</f>
        <v/>
      </c>
      <c r="AH36" s="31">
        <f>IFERROR(AH17/AH5,"")</f>
        <v/>
      </c>
      <c r="AI36" s="31">
        <f>IFERROR(AI17/AI5,"")</f>
        <v/>
      </c>
      <c r="AJ36" s="25">
        <f>IFERROR(AJ17/AJ5,"")</f>
        <v/>
      </c>
      <c r="AK36" s="31">
        <f>IFERROR(AK17/AK5,"")</f>
        <v/>
      </c>
      <c r="AL36" s="31">
        <f>IFERROR(AL17/AL5,"")</f>
        <v/>
      </c>
      <c r="AM36" s="31">
        <f>IFERROR(AM17/AM5,"")</f>
        <v/>
      </c>
      <c r="AN36" s="31">
        <f>IFERROR(AN17/AN5,"")</f>
        <v/>
      </c>
      <c r="AO36" s="25">
        <f>IFERROR(AO17/AO5,"")</f>
        <v/>
      </c>
    </row>
    <row r="37">
      <c r="A37" s="12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21">
        <f>IFERROR(E6/E5,"")</f>
        <v/>
      </c>
      <c r="F37" s="22">
        <f>IFERROR(F6/F5,"")</f>
        <v/>
      </c>
      <c r="G37" s="21">
        <f>IFERROR(G6/G5,"")</f>
        <v/>
      </c>
      <c r="H37" s="21">
        <f>IFERROR(H6/H5,"")</f>
        <v/>
      </c>
      <c r="I37" s="21">
        <f>IFERROR(I6/I5,"")</f>
        <v/>
      </c>
      <c r="J37" s="21">
        <f>IFERROR(J6/J5,"")</f>
        <v/>
      </c>
      <c r="K37" s="22">
        <f>IFERROR(K6/K5,"")</f>
        <v/>
      </c>
      <c r="L37" s="21">
        <f>IFERROR(L6/L5,"")</f>
        <v/>
      </c>
      <c r="M37" s="21">
        <f>IFERROR(M6/M5,"")</f>
        <v/>
      </c>
      <c r="N37" s="21">
        <f>IFERROR(N6/N5,"")</f>
        <v/>
      </c>
      <c r="O37" s="21">
        <f>IFERROR(O6/O5,"")</f>
        <v/>
      </c>
      <c r="P37" s="22">
        <f>IFERROR(P6/P5,"")</f>
        <v/>
      </c>
      <c r="Q37" s="21">
        <f>IFERROR(Q6/Q5,"")</f>
        <v/>
      </c>
      <c r="R37" s="21">
        <f>IFERROR(R6/R5,"")</f>
        <v/>
      </c>
      <c r="S37" s="21">
        <f>IFERROR(S6/S5,"")</f>
        <v/>
      </c>
      <c r="T37" s="21">
        <f>IFERROR(T6/T5,"")</f>
        <v/>
      </c>
      <c r="U37" s="22">
        <f>IFERROR(U6/U5,"")</f>
        <v/>
      </c>
      <c r="V37" s="21">
        <f>IFERROR(V6/V5,"")</f>
        <v/>
      </c>
      <c r="W37" s="21">
        <f>IFERROR(W6/W5,"")</f>
        <v/>
      </c>
      <c r="X37" s="21">
        <f>IFERROR(X6/X5,"")</f>
        <v/>
      </c>
      <c r="Y37" s="21">
        <f>IFERROR(Y6/Y5,"")</f>
        <v/>
      </c>
      <c r="Z37" s="22">
        <f>IFERROR(Z6/Z5,"")</f>
        <v/>
      </c>
      <c r="AA37" s="21">
        <f>IFERROR(AA6/AA5,"")</f>
        <v/>
      </c>
      <c r="AB37" s="23">
        <f>IFERROR(AB6/AB5,"")</f>
        <v/>
      </c>
      <c r="AC37" s="31">
        <f>IFERROR(AC6/AC5,"")</f>
        <v/>
      </c>
      <c r="AD37" s="31">
        <f>IFERROR(AD6/AD5,"")</f>
        <v/>
      </c>
      <c r="AE37" s="25">
        <f>IFERROR(AE6/AE5,"")</f>
        <v/>
      </c>
      <c r="AF37" s="31">
        <f>IFERROR(AF6/AF5,"")</f>
        <v/>
      </c>
      <c r="AG37" s="31">
        <f>IFERROR(AG6/AG5,"")</f>
        <v/>
      </c>
      <c r="AH37" s="31">
        <f>IFERROR(AH6/AH5,"")</f>
        <v/>
      </c>
      <c r="AI37" s="31">
        <f>IFERROR(AI6/AI5,"")</f>
        <v/>
      </c>
      <c r="AJ37" s="25">
        <f>IFERROR(AJ6/AJ5,"")</f>
        <v/>
      </c>
      <c r="AK37" s="31">
        <f>IFERROR(AK6/AK5,"")</f>
        <v/>
      </c>
      <c r="AL37" s="31">
        <f>IFERROR(AL6/AL5,"")</f>
        <v/>
      </c>
      <c r="AM37" s="31">
        <f>IFERROR(AM6/AM5,"")</f>
        <v/>
      </c>
      <c r="AN37" s="31">
        <f>IFERROR(AN6/AN5,"")</f>
        <v/>
      </c>
      <c r="AO37" s="25">
        <f>IFERROR(AO6/AO5,"")</f>
        <v/>
      </c>
    </row>
    <row r="38">
      <c r="A38" s="12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21">
        <f>IFERROR(E8/E5,"")</f>
        <v/>
      </c>
      <c r="F38" s="22">
        <f>IFERROR(F8/F5,"")</f>
        <v/>
      </c>
      <c r="G38" s="21">
        <f>IFERROR(G8/G5,"")</f>
        <v/>
      </c>
      <c r="H38" s="21">
        <f>IFERROR(H8/H5,"")</f>
        <v/>
      </c>
      <c r="I38" s="21">
        <f>IFERROR(I8/I5,"")</f>
        <v/>
      </c>
      <c r="J38" s="21">
        <f>IFERROR(J8/J5,"")</f>
        <v/>
      </c>
      <c r="K38" s="22">
        <f>IFERROR(K8/K5,"")</f>
        <v/>
      </c>
      <c r="L38" s="21">
        <f>IFERROR(L8/L5,"")</f>
        <v/>
      </c>
      <c r="M38" s="21">
        <f>IFERROR(M8/M5,"")</f>
        <v/>
      </c>
      <c r="N38" s="21">
        <f>IFERROR(N8/N5,"")</f>
        <v/>
      </c>
      <c r="O38" s="21">
        <f>IFERROR(O8/O5,"")</f>
        <v/>
      </c>
      <c r="P38" s="22">
        <f>IFERROR(P8/P5,"")</f>
        <v/>
      </c>
      <c r="Q38" s="21">
        <f>IFERROR(Q8/Q5,"")</f>
        <v/>
      </c>
      <c r="R38" s="21">
        <f>IFERROR(R8/R5,"")</f>
        <v/>
      </c>
      <c r="S38" s="21">
        <f>IFERROR(S8/S5,"")</f>
        <v/>
      </c>
      <c r="T38" s="21">
        <f>IFERROR(T8/T5,"")</f>
        <v/>
      </c>
      <c r="U38" s="22">
        <f>IFERROR(U8/U5,"")</f>
        <v/>
      </c>
      <c r="V38" s="21">
        <f>IFERROR(V8/V5,"")</f>
        <v/>
      </c>
      <c r="W38" s="21">
        <f>IFERROR(W8/W5,"")</f>
        <v/>
      </c>
      <c r="X38" s="21">
        <f>IFERROR(X8/X5,"")</f>
        <v/>
      </c>
      <c r="Y38" s="21">
        <f>IFERROR(Y8/Y5,"")</f>
        <v/>
      </c>
      <c r="Z38" s="22">
        <f>IFERROR(Z8/Z5,"")</f>
        <v/>
      </c>
      <c r="AA38" s="21">
        <f>IFERROR(AA8/AA5,"")</f>
        <v/>
      </c>
      <c r="AB38" s="23">
        <f>IFERROR(AB8/AB5,"")</f>
        <v/>
      </c>
      <c r="AC38" s="31">
        <f>IFERROR(AC8/AC5,"")</f>
        <v/>
      </c>
      <c r="AD38" s="31">
        <f>IFERROR(AD8/AD5,"")</f>
        <v/>
      </c>
      <c r="AE38" s="25">
        <f>IFERROR(AE8/AE5,"")</f>
        <v/>
      </c>
      <c r="AF38" s="31">
        <f>IFERROR(AF8/AF5,"")</f>
        <v/>
      </c>
      <c r="AG38" s="31">
        <f>IFERROR(AG8/AG5,"")</f>
        <v/>
      </c>
      <c r="AH38" s="31">
        <f>IFERROR(AH8/AH5,"")</f>
        <v/>
      </c>
      <c r="AI38" s="31">
        <f>IFERROR(AI8/AI5,"")</f>
        <v/>
      </c>
      <c r="AJ38" s="25">
        <f>IFERROR(AJ8/AJ5,"")</f>
        <v/>
      </c>
      <c r="AK38" s="31">
        <f>IFERROR(AK8/AK5,"")</f>
        <v/>
      </c>
      <c r="AL38" s="31">
        <f>IFERROR(AL8/AL5,"")</f>
        <v/>
      </c>
      <c r="AM38" s="31">
        <f>IFERROR(AM8/AM5,"")</f>
        <v/>
      </c>
      <c r="AN38" s="31">
        <f>IFERROR(AN8/AN5,"")</f>
        <v/>
      </c>
      <c r="AO3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26">
        <f>IFERROR(VLOOKUP($A26,subQ,MATCH(I$1,SUBQH,0),0),"")</f>
        <v/>
      </c>
      <c r="J26" s="26">
        <f>IFERROR(VLOOKUP($A26,subQ,MATCH(J$1,SUBQH,0),0),"")</f>
        <v/>
      </c>
      <c r="K26" s="26">
        <f>IFERROR(VLOOKUP($A26,subQ,MATCH(K$1,SUBQH,0),0),"")</f>
        <v/>
      </c>
      <c r="L26" s="26">
        <f>IFERROR(VLOOKUP($A26,subQ,MATCH(L$1,SUBQH,0),0),"")</f>
        <v/>
      </c>
      <c r="M26" s="26">
        <f>IFERROR(VLOOKUP($A26,subQ,MATCH(M$1,SUBQH,0),0),"")</f>
        <v/>
      </c>
      <c r="N26" s="26">
        <f>IFERROR(VLOOKUP($A26,subQ,MATCH(N$1,SUBQH,0),0),"")</f>
        <v/>
      </c>
      <c r="O26" s="26">
        <f>IFERROR(VLOOKUP($A26,subQ,MATCH(O$1,SUBQH,0),0),"")</f>
        <v/>
      </c>
      <c r="P26" s="26">
        <f>IFERROR(VLOOKUP($A26,subQ,MATCH(P$1,SUBQH,0),0),"")</f>
        <v/>
      </c>
      <c r="Q26" s="26">
        <f>IFERROR(VLOOKUP($A26,subQ,MATCH(Q$1,SUBQH,0),0),"")</f>
        <v/>
      </c>
      <c r="R26" s="26">
        <f>IFERROR(VLOOKUP($A26,subQ,MATCH(R$1,SUBQH,0),0),"")</f>
        <v/>
      </c>
      <c r="S26" s="26">
        <f>IFERROR(VLOOKUP($A26,subQ,MATCH(S$1,SUBQH,0),0),"")</f>
        <v/>
      </c>
      <c r="T26" s="26">
        <f>IFERROR(VLOOKUP($A26,subQ,MATCH(T$1,SUBQH,0),0),"")</f>
        <v/>
      </c>
      <c r="U26" s="26">
        <f>IFERROR(VLOOKUP($A26,subQ,MATCH(U$1,SUBQH,0),0),"")</f>
        <v/>
      </c>
      <c r="V26" s="26">
        <f>IFERROR(VLOOKUP($A26,subQ,MATCH(V$1,SUBQH,0),0),"")</f>
        <v/>
      </c>
      <c r="W26" s="43">
        <f>IFERROR(VLOOKUP($A26,subQ,MATCH(W$1,SUBQH,0),0),"")</f>
        <v/>
      </c>
      <c r="X26" s="36">
        <f>IFERROR(VLOOKUP($A26,subQ,MATCH(X$1,SUBQH,0),0),"")</f>
        <v/>
      </c>
      <c r="Y26" s="36">
        <f>IFERROR(VLOOKUP($A26,subQ,MATCH(Y$1,SUBQH,0),0),"")</f>
        <v/>
      </c>
      <c r="Z26" s="36">
        <f>IFERROR(VLOOKUP($A26,subQ,MATCH(Z$1,SUBQH,0),0),"")</f>
        <v/>
      </c>
      <c r="AA26" s="36">
        <f>IFERROR(VLOOKUP($A26,subQ,MATCH(AA$1,SUBQH,0),0),"")</f>
        <v/>
      </c>
      <c r="AB26" s="36">
        <f>IFERROR(VLOOKUP($A26,subQ,MATCH(AB$1,SUBQH,0),0),"")</f>
        <v/>
      </c>
      <c r="AC26" s="36">
        <f>IFERROR(VLOOKUP($A26,subQ,MATCH(AC$1,SUBQH,0),0),"")</f>
        <v/>
      </c>
      <c r="AD26" s="36">
        <f>IFERROR(VLOOKUP($A26,subQ,MATCH(AD$1,SUBQH,0),0),"")</f>
        <v/>
      </c>
      <c r="AE26" s="36">
        <f>IFERROR(VLOOKUP($A26,subQ,MATCH(AE$1,SUBQH,0),0),"")</f>
        <v/>
      </c>
      <c r="AF26" s="36">
        <f>IFERROR(VLOOKUP($A26,subQ,MATCH(AF$1,SUBQH,0),0),"")</f>
        <v/>
      </c>
      <c r="AG26" s="36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I36" s="21">
        <f>IFERROR(I5/E5-1,"")</f>
        <v/>
      </c>
      <c r="J36" s="21">
        <f>IFERROR(J5/F5-1,"")</f>
        <v/>
      </c>
      <c r="K36" s="21">
        <f>IFERROR(K5/G5-1,"")</f>
        <v/>
      </c>
      <c r="L36" s="21">
        <f>IFERROR(L5/H5-1,"")</f>
        <v/>
      </c>
      <c r="M36" s="21">
        <f>IFERROR(M5/I5-1,"")</f>
        <v/>
      </c>
      <c r="N36" s="21">
        <f>IFERROR(N5/J5-1,"")</f>
        <v/>
      </c>
      <c r="O36" s="21">
        <f>IFERROR(O5/K5-1,"")</f>
        <v/>
      </c>
      <c r="P36" s="21">
        <f>IFERROR(P5/L5-1,"")</f>
        <v/>
      </c>
      <c r="Q36" s="21">
        <f>IFERROR(Q5/M5-1,"")</f>
        <v/>
      </c>
      <c r="R36" s="21">
        <f>IFERROR(R5/N5-1,"")</f>
        <v/>
      </c>
      <c r="S36" s="21">
        <f>IFERROR(S5/O5-1,"")</f>
        <v/>
      </c>
      <c r="T36" s="21">
        <f>IFERROR(T5/P5-1,"")</f>
        <v/>
      </c>
      <c r="U36" s="21">
        <f>IFERROR(U5/Q5-1,"")</f>
        <v/>
      </c>
      <c r="V36" s="21">
        <f>IFERROR(V5/R5-1,"")</f>
        <v/>
      </c>
      <c r="W36" s="42">
        <f>IFERROR(W5/S5-1,"")</f>
        <v/>
      </c>
      <c r="X36" s="31">
        <f>IFERROR(X5/T5-1,"")</f>
        <v/>
      </c>
      <c r="Y36" s="31">
        <f>IFERROR(Y5/U5-1,"")</f>
        <v/>
      </c>
      <c r="Z36" s="31">
        <f>IFERROR(Z5/V5-1,"")</f>
        <v/>
      </c>
      <c r="AA36" s="31">
        <f>IFERROR(AA5/W5-1,"")</f>
        <v/>
      </c>
      <c r="AB36" s="31">
        <f>IFERROR(AB5/X5-1,"")</f>
        <v/>
      </c>
      <c r="AC36" s="31">
        <f>IFERROR(AC5/Y5-1,"")</f>
        <v/>
      </c>
      <c r="AD36" s="31">
        <f>IFERROR(AD5/Z5-1,"")</f>
        <v/>
      </c>
      <c r="AE36" s="31">
        <f>IFERROR(AE5/AA5-1,"")</f>
        <v/>
      </c>
      <c r="AF36" s="31">
        <f>IFERROR(AF5/AB5-1,"")</f>
        <v/>
      </c>
      <c r="AG36" s="31">
        <f>IFERROR(AG5/AC5-1,"")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I37" s="21">
        <f>IFERROR(I9/E9-1,"")</f>
        <v/>
      </c>
      <c r="J37" s="21">
        <f>IFERROR(J9/F9-1,"")</f>
        <v/>
      </c>
      <c r="K37" s="21">
        <f>IFERROR(K9/G9-1,"")</f>
        <v/>
      </c>
      <c r="L37" s="21">
        <f>IFERROR(L9/H9-1,"")</f>
        <v/>
      </c>
      <c r="M37" s="21">
        <f>IFERROR(M9/I9-1,"")</f>
        <v/>
      </c>
      <c r="N37" s="21">
        <f>IFERROR(N9/J9-1,"")</f>
        <v/>
      </c>
      <c r="O37" s="21">
        <f>IFERROR(O9/K9-1,"")</f>
        <v/>
      </c>
      <c r="P37" s="21">
        <f>IFERROR(P9/L9-1,"")</f>
        <v/>
      </c>
      <c r="Q37" s="21">
        <f>IFERROR(Q9/M9-1,"")</f>
        <v/>
      </c>
      <c r="R37" s="21">
        <f>IFERROR(R9/N9-1,"")</f>
        <v/>
      </c>
      <c r="S37" s="21">
        <f>IFERROR(S9/O9-1,"")</f>
        <v/>
      </c>
      <c r="T37" s="21">
        <f>IFERROR(T9/P9-1,"")</f>
        <v/>
      </c>
      <c r="U37" s="21">
        <f>IFERROR(U9/Q9-1,"")</f>
        <v/>
      </c>
      <c r="V37" s="21">
        <f>IFERROR(V9/R9-1,"")</f>
        <v/>
      </c>
      <c r="W37" s="42">
        <f>IFERROR(W9/S9-1,"")</f>
        <v/>
      </c>
      <c r="X37" s="31">
        <f>IFERROR(X9/T9-1,"")</f>
        <v/>
      </c>
      <c r="Y37" s="31">
        <f>IFERROR(Y9/U9-1,"")</f>
        <v/>
      </c>
      <c r="Z37" s="31">
        <f>IFERROR(Z9/V9-1,"")</f>
        <v/>
      </c>
      <c r="AA37" s="31">
        <f>IFERROR(AA9/W9-1,"")</f>
        <v/>
      </c>
      <c r="AB37" s="31">
        <f>IFERROR(AB9/X9-1,"")</f>
        <v/>
      </c>
      <c r="AC37" s="31">
        <f>IFERROR(AC9/Y9-1,"")</f>
        <v/>
      </c>
      <c r="AD37" s="31">
        <f>IFERROR(AD9/Z9-1,"")</f>
        <v/>
      </c>
      <c r="AE37" s="31">
        <f>IFERROR(AE9/AA9-1,"")</f>
        <v/>
      </c>
      <c r="AF37" s="31">
        <f>IFERROR(AF9/AB9-1,"")</f>
        <v/>
      </c>
      <c r="AG37" s="31">
        <f>IFERROR(AG9/AC9-1,"")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I38" s="21">
        <f>IFERROR(I17/E17-1,"")</f>
        <v/>
      </c>
      <c r="J38" s="21">
        <f>IFERROR(J17/F17-1,"")</f>
        <v/>
      </c>
      <c r="K38" s="21">
        <f>IFERROR(K17/G17-1,"")</f>
        <v/>
      </c>
      <c r="L38" s="21">
        <f>IFERROR(L17/H17-1,"")</f>
        <v/>
      </c>
      <c r="M38" s="21">
        <f>IFERROR(M17/I17-1,"")</f>
        <v/>
      </c>
      <c r="N38" s="21">
        <f>IFERROR(N17/J17-1,"")</f>
        <v/>
      </c>
      <c r="O38" s="21">
        <f>IFERROR(O17/K17-1,"")</f>
        <v/>
      </c>
      <c r="P38" s="21">
        <f>IFERROR(P17/L17-1,"")</f>
        <v/>
      </c>
      <c r="Q38" s="21">
        <f>IFERROR(Q17/M17-1,"")</f>
        <v/>
      </c>
      <c r="R38" s="21">
        <f>IFERROR(R17/N17-1,"")</f>
        <v/>
      </c>
      <c r="S38" s="21">
        <f>IFERROR(S17/O17-1,"")</f>
        <v/>
      </c>
      <c r="T38" s="21">
        <f>IFERROR(T17/P17-1,"")</f>
        <v/>
      </c>
      <c r="U38" s="21">
        <f>IFERROR(U17/Q17-1,"")</f>
        <v/>
      </c>
      <c r="V38" s="21">
        <f>IFERROR(V17/R17-1,"")</f>
        <v/>
      </c>
      <c r="W38" s="42">
        <f>IFERROR(W17/S17-1,"")</f>
        <v/>
      </c>
      <c r="X38" s="31">
        <f>IFERROR(X17/T17-1,"")</f>
        <v/>
      </c>
      <c r="Y38" s="31">
        <f>IFERROR(Y17/U17-1,"")</f>
        <v/>
      </c>
      <c r="Z38" s="31">
        <f>IFERROR(Z17/V17-1,"")</f>
        <v/>
      </c>
      <c r="AA38" s="31">
        <f>IFERROR(AA17/W17-1,"")</f>
        <v/>
      </c>
      <c r="AB38" s="31">
        <f>IFERROR(AB17/X17-1,"")</f>
        <v/>
      </c>
      <c r="AC38" s="31">
        <f>IFERROR(AC17/Y17-1,"")</f>
        <v/>
      </c>
      <c r="AD38" s="31">
        <f>IFERROR(AD17/Z17-1,"")</f>
        <v/>
      </c>
      <c r="AE38" s="31">
        <f>IFERROR(AE17/AA17-1,"")</f>
        <v/>
      </c>
      <c r="AF38" s="31">
        <f>IFERROR(AF17/AB17-1,"")</f>
        <v/>
      </c>
      <c r="AG38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43">
        <f>IFERROR(VLOOKUP($A26,subQ,MATCH(I$1,SUBQH,0),0),"")</f>
        <v/>
      </c>
      <c r="J26" s="36">
        <f>IFERROR(VLOOKUP($A26,subQ,MATCH(J$1,SUBQH,0),0),"")</f>
        <v/>
      </c>
      <c r="K26" s="36">
        <f>IFERROR(VLOOKUP($A26,subQ,MATCH(K$1,SUBQH,0),0),"")</f>
        <v/>
      </c>
      <c r="L26" s="36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F36" s="21">
        <f>IFERROR(F5/E5-1,"")</f>
        <v/>
      </c>
      <c r="G36" s="21">
        <f>IFERROR(G5/F5-1,"")</f>
        <v/>
      </c>
      <c r="H36" s="21">
        <f>IFERROR(H5/G5-1,"")</f>
        <v/>
      </c>
      <c r="I36" s="42">
        <f>IFERROR(I5/H5-1,"")</f>
        <v/>
      </c>
      <c r="J36" s="31">
        <f>IFERROR(J5/I5-1,"")</f>
        <v/>
      </c>
      <c r="K36" s="31">
        <f>IFERROR(K5/J5-1,"")</f>
        <v/>
      </c>
      <c r="L36" s="31">
        <f>IFERROR(L5/K5-1,"")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F37" s="21">
        <f>IFERROR(F9/E9-1,"")</f>
        <v/>
      </c>
      <c r="G37" s="21">
        <f>IFERROR(G9/F9-1,"")</f>
        <v/>
      </c>
      <c r="H37" s="21">
        <f>IFERROR(H9/G9-1,"")</f>
        <v/>
      </c>
      <c r="I37" s="42">
        <f>IFERROR(I9/H9-1,"")</f>
        <v/>
      </c>
      <c r="J37" s="31">
        <f>IFERROR(J9/I9-1,"")</f>
        <v/>
      </c>
      <c r="K37" s="31">
        <f>IFERROR(K9/J9-1,"")</f>
        <v/>
      </c>
      <c r="L37" s="31">
        <f>IFERROR(L9/K9-1,"")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F38" s="21">
        <f>IFERROR(F17/E17-1,"")</f>
        <v/>
      </c>
      <c r="G38" s="21">
        <f>IFERROR(G17/F17-1,"")</f>
        <v/>
      </c>
      <c r="H38" s="21">
        <f>IFERROR(H17/G17-1,"")</f>
        <v/>
      </c>
      <c r="I38" s="42">
        <f>IFERROR(I17/H17-1,"")</f>
        <v/>
      </c>
      <c r="J38" s="31">
        <f>IFERROR(J17/I17-1,"")</f>
        <v/>
      </c>
      <c r="K38" s="31">
        <f>IFERROR(K17/J17-1,"")</f>
        <v/>
      </c>
      <c r="L38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7.4</v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