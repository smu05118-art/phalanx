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BS연결!$C$5:$AO$69</definedName>
    <definedName name="BS별도H">BS별도!$C$1:$AO$1</definedName>
    <definedName name="BS별도">BS별도!$C$5:$AO$67</definedName>
    <definedName name="SUBQH">subQ!$A$1:$AO$1</definedName>
    <definedName name="subQ">subQ!$A$5:$AO$37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전년동기 × (1+13.4%) — g=최근 4분기 합 YoY 13.4% 클립(−30~+50%), 연차별 절반 감쇠(가정)</t>
      </text>
    </comment>
    <comment ref="AD21" authorId="0" shapeId="0">
      <text>
        <t>모델값 역산(implied): v / 전년동기 − 1
전년동기 × (1+13.4%) — g=최근 4분기 합 YoY 13.4% 클립(−30~+50%), 연차별 절반 감쇠(가정)</t>
      </text>
    </comment>
    <comment ref="AF21" authorId="0" shapeId="0">
      <text>
        <t>모델값 역산(implied): v / 전년동기 − 1
전년동기 × (1+13.4%) — g=최근 4분기 합 YoY 13.4% 클립(−30~+50%), 연차별 절반 감쇠(가정)</t>
      </text>
    </comment>
    <comment ref="AG21" authorId="0" shapeId="0">
      <text>
        <t>모델값 역산(implied): v / 전년동기 − 1
전년동기 × (1+13.4%) — g=최근 4분기 합 YoY 13.4% 클립(−30~+50%), 연차별 절반 감쇠(가정)</t>
      </text>
    </comment>
    <comment ref="AH21" authorId="0" shapeId="0">
      <text>
        <t>모델값 역산(implied): v / 전년동기 − 1
전년동기 × (1+6.7%) — g=최근 4분기 합 YoY 13.4% 클립(−30~+50%), 연차별 절반 감쇠(가정)</t>
      </text>
    </comment>
    <comment ref="AI21" authorId="0" shapeId="0">
      <text>
        <t>모델값 역산(implied): v / 전년동기 − 1
전년동기 × (1+6.7%) — g=최근 4분기 합 YoY 13.4% 클립(−30~+50%), 연차별 절반 감쇠(가정)</t>
      </text>
    </comment>
    <comment ref="AK21" authorId="0" shapeId="0">
      <text>
        <t>모델값 역산(implied): v / 전년동기 − 1
전년동기 × (1+6.7%) — g=최근 4분기 합 YoY 13.4% 클립(−30~+50%), 연차별 절반 감쇠(가정)</t>
      </text>
    </comment>
    <comment ref="AL21" authorId="0" shapeId="0">
      <text>
        <t>모델값 역산(implied): v / 전년동기 − 1
전년동기 × (1+6.7%) — g=최근 4분기 합 YoY 13.4% 클립(−30~+50%), 연차별 절반 감쇠(가정)</t>
      </text>
    </comment>
    <comment ref="AM21" authorId="0" shapeId="0">
      <text>
        <t>모델값 역산(implied): v / 전년동기 − 1
전년동기 × (1+3.4%) — g=최근 4분기 합 YoY 13.4% 클립(−30~+50%), 연차별 절반 감쇠(가정)</t>
      </text>
    </comment>
    <comment ref="AN21" authorId="0" shapeId="0">
      <text>
        <t>모델값 역산(implied): v / 전년동기 − 1
전년동기 × (1+3.4%) — g=최근 4분기 합 YoY 13.4% 클립(−30~+50%), 연차별 절반 감쇠(가정)</t>
      </text>
    </comment>
    <comment ref="AC22" authorId="0" shapeId="0">
      <text>
        <t>3절 스칼라 '판관비율' 참조 — 숫자로 덮어쓰면 이 분기만 바뀐다
매출액 × 판관비율 12.27%(최근 4분기 중위)</t>
      </text>
    </comment>
    <comment ref="AD22" authorId="0" shapeId="0">
      <text>
        <t>3절 스칼라 '판관비율' 참조 — 숫자로 덮어쓰면 이 분기만 바뀐다
매출액 × 판관비율 12.27%(최근 4분기 중위)</t>
      </text>
    </comment>
    <comment ref="AF22" authorId="0" shapeId="0">
      <text>
        <t>3절 스칼라 '판관비율' 참조 — 숫자로 덮어쓰면 이 분기만 바뀐다
매출액 × 판관비율 12.27%(최근 4분기 중위)</t>
      </text>
    </comment>
    <comment ref="AG22" authorId="0" shapeId="0">
      <text>
        <t>3절 스칼라 '판관비율' 참조 — 숫자로 덮어쓰면 이 분기만 바뀐다
매출액 × 판관비율 12.27%(최근 4분기 중위)</t>
      </text>
    </comment>
    <comment ref="AH22" authorId="0" shapeId="0">
      <text>
        <t>3절 스칼라 '판관비율' 참조 — 숫자로 덮어쓰면 이 분기만 바뀐다
매출액 × 판관비율 12.27%(최근 4분기 중위)</t>
      </text>
    </comment>
    <comment ref="AI22" authorId="0" shapeId="0">
      <text>
        <t>3절 스칼라 '판관비율' 참조 — 숫자로 덮어쓰면 이 분기만 바뀐다
매출액 × 판관비율 12.27%(최근 4분기 중위)</t>
      </text>
    </comment>
    <comment ref="AK22" authorId="0" shapeId="0">
      <text>
        <t>3절 스칼라 '판관비율' 참조 — 숫자로 덮어쓰면 이 분기만 바뀐다
매출액 × 판관비율 12.27%(최근 4분기 중위)</t>
      </text>
    </comment>
    <comment ref="AL22" authorId="0" shapeId="0">
      <text>
        <t>3절 스칼라 '판관비율' 참조 — 숫자로 덮어쓰면 이 분기만 바뀐다
매출액 × 판관비율 12.27%(최근 4분기 중위)</t>
      </text>
    </comment>
    <comment ref="AM22" authorId="0" shapeId="0">
      <text>
        <t>3절 스칼라 '판관비율' 참조 — 숫자로 덮어쓰면 이 분기만 바뀐다
매출액 × 판관비율 12.27%(최근 4분기 중위)</t>
      </text>
    </comment>
    <comment ref="AN22" authorId="0" shapeId="0">
      <text>
        <t>3절 스칼라 '판관비율' 참조 — 숫자로 덮어쓰면 이 분기만 바뀐다
매출액 × 판관비율 12.27%(최근 4분기 중위)</t>
      </text>
    </comment>
    <comment ref="AC23" authorId="0" shapeId="0">
      <text>
        <t>모델값 역산(implied): v / 매출액
매출액 × OPM(최근 8분기 OPM 중위 27.9% 유지(클립 −20~40%))</t>
      </text>
    </comment>
    <comment ref="AD23" authorId="0" shapeId="0">
      <text>
        <t>모델값 역산(implied): v / 매출액
매출액 × OPM(최근 8분기 OPM 중위 27.9% 유지(클립 −20~40%))</t>
      </text>
    </comment>
    <comment ref="AF23" authorId="0" shapeId="0">
      <text>
        <t>모델값 역산(implied): v / 매출액
매출액 × OPM(최근 8분기 OPM 중위 27.9% 유지(클립 −20~40%))</t>
      </text>
    </comment>
    <comment ref="AG23" authorId="0" shapeId="0">
      <text>
        <t>모델값 역산(implied): v / 매출액
매출액 × OPM(최근 8분기 OPM 중위 27.9% 유지(클립 −20~40%))</t>
      </text>
    </comment>
    <comment ref="AH23" authorId="0" shapeId="0">
      <text>
        <t>모델값 역산(implied): v / 매출액
매출액 × OPM(최근 8분기 OPM 중위 27.9% 유지(클립 −20~40%))</t>
      </text>
    </comment>
    <comment ref="AI23" authorId="0" shapeId="0">
      <text>
        <t>모델값 역산(implied): v / 매출액
매출액 × OPM(최근 8분기 OPM 중위 27.9% 유지(클립 −20~40%))</t>
      </text>
    </comment>
    <comment ref="AK23" authorId="0" shapeId="0">
      <text>
        <t>모델값 역산(implied): v / 매출액
매출액 × OPM(최근 8분기 OPM 중위 27.9% 유지(클립 −20~40%))</t>
      </text>
    </comment>
    <comment ref="AL23" authorId="0" shapeId="0">
      <text>
        <t>모델값 역산(implied): v / 매출액
매출액 × OPM(최근 8분기 OPM 중위 27.9% 유지(클립 −20~40%))</t>
      </text>
    </comment>
    <comment ref="AM23" authorId="0" shapeId="0">
      <text>
        <t>모델값 역산(implied): v / 매출액
매출액 × OPM(최근 8분기 OPM 중위 27.9% 유지(클립 −20~40%))</t>
      </text>
    </comment>
    <comment ref="AN23" authorId="0" shapeId="0">
      <text>
        <t>모델값 역산(implied): v / 매출액
매출액 × OPM(최근 8분기 OPM 중위 27.9% 유지(클립 −20~40%))</t>
      </text>
    </comment>
    <comment ref="AC24" authorId="0" shapeId="0">
      <text>
        <t>모델값 역산(implied): 모델 v 그대로
일회성 미가정 → 0</t>
      </text>
    </comment>
    <comment ref="AD24" authorId="0" shapeId="0">
      <text>
        <t>모델값 역산(implied): 모델 v 그대로
일회성 미가정 → 0</t>
      </text>
    </comment>
    <comment ref="AF24" authorId="0" shapeId="0">
      <text>
        <t>모델값 역산(implied): 모델 v 그대로
일회성 미가정 → 0</t>
      </text>
    </comment>
    <comment ref="AG24" authorId="0" shapeId="0">
      <text>
        <t>모델값 역산(implied): 모델 v 그대로
일회성 미가정 → 0</t>
      </text>
    </comment>
    <comment ref="AH24" authorId="0" shapeId="0">
      <text>
        <t>모델값 역산(implied): 모델 v 그대로
일회성 미가정 → 0</t>
      </text>
    </comment>
    <comment ref="AI24" authorId="0" shapeId="0">
      <text>
        <t>모델값 역산(implied): 모델 v 그대로
일회성 미가정 → 0</t>
      </text>
    </comment>
    <comment ref="AK24" authorId="0" shapeId="0">
      <text>
        <t>모델값 역산(implied): 모델 v 그대로
일회성 미가정 → 0</t>
      </text>
    </comment>
    <comment ref="AL24" authorId="0" shapeId="0">
      <text>
        <t>모델값 역산(implied): 모델 v 그대로
일회성 미가정 → 0</t>
      </text>
    </comment>
    <comment ref="AM24" authorId="0" shapeId="0">
      <text>
        <t>모델값 역산(implied): 모델 v 그대로
일회성 미가정 → 0</t>
      </text>
    </comment>
    <comment ref="AN24" authorId="0" shapeId="0">
      <text>
        <t>모델값 역산(implied): 모델 v 그대로
일회성 미가정 → 0</t>
      </text>
    </comment>
    <comment ref="AC25" authorId="0" shapeId="0">
      <text>
        <t>3절 스칼라 '세율' 참조 — 숫자로 덮어쓰면 이 분기만 바뀐다
max(세전, 0) × 세율 23.2%(최근 12분기 유효세율 23.2%(5~27% 안 — 그대로))</t>
      </text>
    </comment>
    <comment ref="AD25" authorId="0" shapeId="0">
      <text>
        <t>3절 스칼라 '세율' 참조 — 숫자로 덮어쓰면 이 분기만 바뀐다
max(세전, 0) × 세율 23.2%(최근 12분기 유효세율 23.2%(5~27% 안 — 그대로))</t>
      </text>
    </comment>
    <comment ref="AF25" authorId="0" shapeId="0">
      <text>
        <t>3절 스칼라 '세율' 참조 — 숫자로 덮어쓰면 이 분기만 바뀐다
max(세전, 0) × 세율 23.2%(최근 12분기 유효세율 23.2%(5~27% 안 — 그대로))</t>
      </text>
    </comment>
    <comment ref="AG25" authorId="0" shapeId="0">
      <text>
        <t>3절 스칼라 '세율' 참조 — 숫자로 덮어쓰면 이 분기만 바뀐다
max(세전, 0) × 세율 23.2%(최근 12분기 유효세율 23.2%(5~27% 안 — 그대로))</t>
      </text>
    </comment>
    <comment ref="AH25" authorId="0" shapeId="0">
      <text>
        <t>3절 스칼라 '세율' 참조 — 숫자로 덮어쓰면 이 분기만 바뀐다
max(세전, 0) × 세율 23.2%(최근 12분기 유효세율 23.2%(5~27% 안 — 그대로))</t>
      </text>
    </comment>
    <comment ref="AI25" authorId="0" shapeId="0">
      <text>
        <t>3절 스칼라 '세율' 참조 — 숫자로 덮어쓰면 이 분기만 바뀐다
max(세전, 0) × 세율 23.2%(최근 12분기 유효세율 23.2%(5~27% 안 — 그대로))</t>
      </text>
    </comment>
    <comment ref="AK25" authorId="0" shapeId="0">
      <text>
        <t>3절 스칼라 '세율' 참조 — 숫자로 덮어쓰면 이 분기만 바뀐다
max(세전, 0) × 세율 23.2%(최근 12분기 유효세율 23.2%(5~27% 안 — 그대로))</t>
      </text>
    </comment>
    <comment ref="AL25" authorId="0" shapeId="0">
      <text>
        <t>3절 스칼라 '세율' 참조 — 숫자로 덮어쓰면 이 분기만 바뀐다
max(세전, 0) × 세율 23.2%(최근 12분기 유효세율 23.2%(5~27% 안 — 그대로))</t>
      </text>
    </comment>
    <comment ref="AM25" authorId="0" shapeId="0">
      <text>
        <t>3절 스칼라 '세율' 참조 — 숫자로 덮어쓰면 이 분기만 바뀐다
max(세전, 0) × 세율 23.2%(최근 12분기 유효세율 23.2%(5~27% 안 — 그대로))</t>
      </text>
    </comment>
    <comment ref="AN25" authorId="0" shapeId="0">
      <text>
        <t>3절 스칼라 '세율' 참조 — 숫자로 덮어쓰면 이 분기만 바뀐다
max(세전, 0) × 세율 23.2%(최근 12분기 유효세율 23.2%(5~27% 안 — 그대로))</t>
      </text>
    </comment>
    <comment ref="AC26" authorId="0" shapeId="0">
      <text>
        <t>3절 스칼라 '지배주주비중' 참조 — 숫자로 덮어쓰면 이 분기만 바뀐다
당기순이익 × (1 − 비지배 비중 0.9%, 최근 8분기 실측)</t>
      </text>
    </comment>
    <comment ref="AD26" authorId="0" shapeId="0">
      <text>
        <t>3절 스칼라 '지배주주비중' 참조 — 숫자로 덮어쓰면 이 분기만 바뀐다
당기순이익 × (1 − 비지배 비중 0.9%, 최근 8분기 실측)</t>
      </text>
    </comment>
    <comment ref="AF26" authorId="0" shapeId="0">
      <text>
        <t>3절 스칼라 '지배주주비중' 참조 — 숫자로 덮어쓰면 이 분기만 바뀐다
당기순이익 × (1 − 비지배 비중 0.9%, 최근 8분기 실측)</t>
      </text>
    </comment>
    <comment ref="AG26" authorId="0" shapeId="0">
      <text>
        <t>3절 스칼라 '지배주주비중' 참조 — 숫자로 덮어쓰면 이 분기만 바뀐다
당기순이익 × (1 − 비지배 비중 0.9%, 최근 8분기 실측)</t>
      </text>
    </comment>
    <comment ref="AH26" authorId="0" shapeId="0">
      <text>
        <t>3절 스칼라 '지배주주비중' 참조 — 숫자로 덮어쓰면 이 분기만 바뀐다
당기순이익 × (1 − 비지배 비중 0.9%, 최근 8분기 실측)</t>
      </text>
    </comment>
    <comment ref="AI26" authorId="0" shapeId="0">
      <text>
        <t>3절 스칼라 '지배주주비중' 참조 — 숫자로 덮어쓰면 이 분기만 바뀐다
당기순이익 × (1 − 비지배 비중 0.9%, 최근 8분기 실측)</t>
      </text>
    </comment>
    <comment ref="AK26" authorId="0" shapeId="0">
      <text>
        <t>3절 스칼라 '지배주주비중' 참조 — 숫자로 덮어쓰면 이 분기만 바뀐다
당기순이익 × (1 − 비지배 비중 0.9%, 최근 8분기 실측)</t>
      </text>
    </comment>
    <comment ref="AL26" authorId="0" shapeId="0">
      <text>
        <t>3절 스칼라 '지배주주비중' 참조 — 숫자로 덮어쓰면 이 분기만 바뀐다
당기순이익 × (1 − 비지배 비중 0.9%, 최근 8분기 실측)</t>
      </text>
    </comment>
    <comment ref="AM26" authorId="0" shapeId="0">
      <text>
        <t>3절 스칼라 '지배주주비중' 참조 — 숫자로 덮어쓰면 이 분기만 바뀐다
당기순이익 × (1 − 비지배 비중 0.9%, 최근 8분기 실측)</t>
      </text>
    </comment>
    <comment ref="AN26" authorId="0" shapeId="0">
      <text>
        <t>3절 스칼라 '지배주주비중' 참조 — 숫자로 덮어쓰면 이 분기만 바뀐다
당기순이익 × (1 − 비지배 비중 0.9%, 최근 8분기 실측)</t>
      </text>
    </comment>
    <comment ref="AC27" authorId="0" shapeId="0">
      <text>
        <t>모델값 역산(implied): v / 전분기 − 1
마지막 실적 유지(가정)</t>
      </text>
    </comment>
    <comment ref="AD27" authorId="0" shapeId="0">
      <text>
        <t>모델값 역산(implied): v / 전분기 − 1
마지막 실적 유지(가정)</t>
      </text>
    </comment>
    <comment ref="AF27" authorId="0" shapeId="0">
      <text>
        <t>모델값 역산(implied): v / 전분기 − 1
마지막 실적 유지(가정)</t>
      </text>
    </comment>
    <comment ref="AG27" authorId="0" shapeId="0">
      <text>
        <t>모델값 역산(implied): v / 전분기 − 1
마지막 실적 유지(가정)</t>
      </text>
    </comment>
    <comment ref="AH27" authorId="0" shapeId="0">
      <text>
        <t>모델값 역산(implied): v / 전분기 − 1
마지막 실적 유지(가정)</t>
      </text>
    </comment>
    <comment ref="AI27" authorId="0" shapeId="0">
      <text>
        <t>모델값 역산(implied): v / 전분기 − 1
마지막 실적 유지(가정)</t>
      </text>
    </comment>
    <comment ref="AK27" authorId="0" shapeId="0">
      <text>
        <t>모델값 역산(implied): v / 전분기 − 1
마지막 실적 유지(가정)</t>
      </text>
    </comment>
    <comment ref="AL27" authorId="0" shapeId="0">
      <text>
        <t>모델값 역산(implied): v / 전분기 − 1
마지막 실적 유지(가정)</t>
      </text>
    </comment>
    <comment ref="AM27" authorId="0" shapeId="0">
      <text>
        <t>모델값 역산(implied): v / 전분기 − 1
마지막 실적 유지(가정)</t>
      </text>
    </comment>
    <comment ref="AN27" authorId="0" shapeId="0">
      <text>
        <t>모델값 역산(implied): v / 전분기 − 1
마지막 실적 유지(가정)</t>
      </text>
    </comment>
    <comment ref="AC28" authorId="0" shapeId="0">
      <text>
        <t>모델값 역산(implied): 전분기(시트값) + 당기순이익(시트 수식값) − v
전분기 + 당기순이익 − 배당(Q2 지급 가정)</t>
      </text>
    </comment>
    <comment ref="AD28" authorId="0" shapeId="0">
      <text>
        <t>모델값 역산(implied): 전분기(시트값) + 당기순이익(시트 수식값) − v
전분기 + 당기순이익 − 배당(Q2 지급 가정)</t>
      </text>
    </comment>
    <comment ref="AF28" authorId="0" shapeId="0">
      <text>
        <t>모델값 역산(implied): 전분기(시트값) + 당기순이익(시트 수식값) − v
전분기 + 당기순이익 − 배당(Q2 지급 가정)</t>
      </text>
    </comment>
    <comment ref="AG28" authorId="0" shapeId="0">
      <text>
        <t>모델값 역산(implied): 전분기(시트값) + 당기순이익(시트 수식값) − v
전분기 + 당기순이익 − 배당(Q2 지급 가정)</t>
      </text>
    </comment>
    <comment ref="AH28" authorId="0" shapeId="0">
      <text>
        <t>모델값 역산(implied): 전분기(시트값) + 당기순이익(시트 수식값) − v
전분기 + 당기순이익 − 배당(Q2 지급 가정)</t>
      </text>
    </comment>
    <comment ref="AI28" authorId="0" shapeId="0">
      <text>
        <t>모델값 역산(implied): 전분기(시트값) + 당기순이익(시트 수식값) − v
전분기 + 당기순이익 − 배당(Q2 지급 가정)</t>
      </text>
    </comment>
    <comment ref="AK28" authorId="0" shapeId="0">
      <text>
        <t>모델값 역산(implied): 전분기(시트값) + 당기순이익(시트 수식값) − v
전분기 + 당기순이익 − 배당(Q2 지급 가정)</t>
      </text>
    </comment>
    <comment ref="AL28" authorId="0" shapeId="0">
      <text>
        <t>모델값 역산(implied): 전분기(시트값) + 당기순이익(시트 수식값) − v
전분기 + 당기순이익 − 배당(Q2 지급 가정)</t>
      </text>
    </comment>
    <comment ref="AM28" authorId="0" shapeId="0">
      <text>
        <t>모델값 역산(implied): 전분기(시트값) + 당기순이익(시트 수식값) − v
전분기 + 당기순이익 − 배당(Q2 지급 가정)</t>
      </text>
    </comment>
    <comment ref="AN28" authorId="0" shapeId="0">
      <text>
        <t>모델값 역산(implied): 전분기(시트값) + 당기순이익(시트 수식값) − v
전분기 + 당기순이익 − 배당(Q2 지급 가정)</t>
      </text>
    </comment>
    <comment ref="AC29" authorId="0" shapeId="0">
      <text>
        <t>모델값 역산(implied): 전분기(시트값) + 지배주주순이익(시트 수식값) − v
전분기 + 지배주주순이익 − 배당</t>
      </text>
    </comment>
    <comment ref="AD29" authorId="0" shapeId="0">
      <text>
        <t>모델값 역산(implied): 전분기(시트값) + 지배주주순이익(시트 수식값) − v
전분기 + 지배주주순이익 − 배당</t>
      </text>
    </comment>
    <comment ref="AF29" authorId="0" shapeId="0">
      <text>
        <t>모델값 역산(implied): 전분기(시트값) + 지배주주순이익(시트 수식값) − v
전분기 + 지배주주순이익 − 배당</t>
      </text>
    </comment>
    <comment ref="AG29" authorId="0" shapeId="0">
      <text>
        <t>모델값 역산(implied): 전분기(시트값) + 지배주주순이익(시트 수식값) − v
전분기 + 지배주주순이익 − 배당</t>
      </text>
    </comment>
    <comment ref="AH29" authorId="0" shapeId="0">
      <text>
        <t>모델값 역산(implied): 전분기(시트값) + 지배주주순이익(시트 수식값) − v
전분기 + 지배주주순이익 − 배당</t>
      </text>
    </comment>
    <comment ref="AI29" authorId="0" shapeId="0">
      <text>
        <t>모델값 역산(implied): 전분기(시트값) + 지배주주순이익(시트 수식값) − v
전분기 + 지배주주순이익 − 배당</t>
      </text>
    </comment>
    <comment ref="AK29" authorId="0" shapeId="0">
      <text>
        <t>모델값 역산(implied): 전분기(시트값) + 지배주주순이익(시트 수식값) − v
전분기 + 지배주주순이익 − 배당</t>
      </text>
    </comment>
    <comment ref="AL29" authorId="0" shapeId="0">
      <text>
        <t>모델값 역산(implied): 전분기(시트값) + 지배주주순이익(시트 수식값) − v
전분기 + 지배주주순이익 − 배당</t>
      </text>
    </comment>
    <comment ref="AM29" authorId="0" shapeId="0">
      <text>
        <t>모델값 역산(implied): 전분기(시트값) + 지배주주순이익(시트 수식값) − v
전분기 + 지배주주순이익 − 배당</t>
      </text>
    </comment>
    <comment ref="AN29" authorId="0" shapeId="0">
      <text>
        <t>모델값 역산(implied): 전분기(시트값) + 지배주주순이익(시트 수식값) − v
전분기 + 지배주주순이익 − 배당</t>
      </text>
    </comment>
    <comment ref="AC30" authorId="0" shapeId="0">
      <text>
        <t>모델값 역산(implied): v / 전분기 − 1
전분기 + FCF 근사 — 순차입금 롤과 같은 가정</t>
      </text>
    </comment>
    <comment ref="AD30" authorId="0" shapeId="0">
      <text>
        <t>모델값 역산(implied): v / 전분기 − 1
전분기 + FCF 근사 — 순차입금 롤과 같은 가정</t>
      </text>
    </comment>
    <comment ref="AF30" authorId="0" shapeId="0">
      <text>
        <t>모델값 역산(implied): v / 전분기 − 1
전분기 + FCF 근사 — 순차입금 롤과 같은 가정</t>
      </text>
    </comment>
    <comment ref="AG30" authorId="0" shapeId="0">
      <text>
        <t>모델값 역산(implied): v / 전분기 − 1
전분기 + FCF 근사 — 순차입금 롤과 같은 가정</t>
      </text>
    </comment>
    <comment ref="AH30" authorId="0" shapeId="0">
      <text>
        <t>모델값 역산(implied): v / 전분기 − 1
전분기 + FCF 근사 — 순차입금 롤과 같은 가정</t>
      </text>
    </comment>
    <comment ref="AI30" authorId="0" shapeId="0">
      <text>
        <t>모델값 역산(implied): v / 전분기 − 1
전분기 + FCF 근사 — 순차입금 롤과 같은 가정</t>
      </text>
    </comment>
    <comment ref="AK30" authorId="0" shapeId="0">
      <text>
        <t>모델값 역산(implied): v / 전분기 − 1
전분기 + FCF 근사 — 순차입금 롤과 같은 가정</t>
      </text>
    </comment>
    <comment ref="AL30" authorId="0" shapeId="0">
      <text>
        <t>모델값 역산(implied): v / 전분기 − 1
전분기 + FCF 근사 — 순차입금 롤과 같은 가정</t>
      </text>
    </comment>
    <comment ref="AM30" authorId="0" shapeId="0">
      <text>
        <t>모델값 역산(implied): v / 전분기 − 1
전분기 + FCF 근사 — 순차입금 롤과 같은 가정</t>
      </text>
    </comment>
    <comment ref="AN30" authorId="0" shapeId="0">
      <text>
        <t>모델값 역산(implied): v / 전분기 − 1
전분기 + FCF 근사 — 순차입금 롤과 같은 가정</t>
      </text>
    </comment>
    <comment ref="AC32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D32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F32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G32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H32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I32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K32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L32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M32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N32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C34" authorId="0" shapeId="0">
      <text>
        <t>모델값 역산(implied): v / 전분기 − 1
유통주식수 유지 — fin.shares.common_outstanding(2026Q2)</t>
      </text>
    </comment>
    <comment ref="AD34" authorId="0" shapeId="0">
      <text>
        <t>모델값 역산(implied): v / 전분기 − 1
유통주식수 유지 — fin.shares.common_outstanding(2026Q2)</t>
      </text>
    </comment>
    <comment ref="AF34" authorId="0" shapeId="0">
      <text>
        <t>모델값 역산(implied): v / 전분기 − 1
유통주식수 유지 — fin.shares.common_outstanding(2026Q2)</t>
      </text>
    </comment>
    <comment ref="AG34" authorId="0" shapeId="0">
      <text>
        <t>모델값 역산(implied): v / 전분기 − 1
유통주식수 유지 — fin.shares.common_outstanding(2026Q2)</t>
      </text>
    </comment>
    <comment ref="AH34" authorId="0" shapeId="0">
      <text>
        <t>모델값 역산(implied): v / 전분기 − 1
유통주식수 유지 — fin.shares.common_outstanding(2026Q2)</t>
      </text>
    </comment>
    <comment ref="AI34" authorId="0" shapeId="0">
      <text>
        <t>모델값 역산(implied): v / 전분기 − 1
유통주식수 유지 — fin.shares.common_outstanding(2026Q2)</t>
      </text>
    </comment>
    <comment ref="AK34" authorId="0" shapeId="0">
      <text>
        <t>모델값 역산(implied): v / 전분기 − 1
유통주식수 유지 — fin.shares.common_outstanding(2026Q2)</t>
      </text>
    </comment>
    <comment ref="AL34" authorId="0" shapeId="0">
      <text>
        <t>모델값 역산(implied): v / 전분기 − 1
유통주식수 유지 — fin.shares.common_outstanding(2026Q2)</t>
      </text>
    </comment>
    <comment ref="AM34" authorId="0" shapeId="0">
      <text>
        <t>모델값 역산(implied): v / 전분기 − 1
유통주식수 유지 — fin.shares.common_outstanding(2026Q2)</t>
      </text>
    </comment>
    <comment ref="AN34" authorId="0" shapeId="0">
      <text>
        <t>모델값 역산(implied): v / 전분기 − 1
유통주식수 유지 — fin.shares.common_outstanding(2026Q2)</t>
      </text>
    </comment>
    <comment ref="AD35" authorId="0" shapeId="0">
      <text>
        <t>모델값 역산(implied): 모델 v 그대로
직전 결산 DPS 1,350원 유지</t>
      </text>
    </comment>
    <comment ref="AI35" authorId="0" shapeId="0">
      <text>
        <t>모델값 역산(implied): 모델 v 그대로
직전 결산 DPS 1,350원 유지</t>
      </text>
    </comment>
    <comment ref="AN35" authorId="0" shapeId="0">
      <text>
        <t>모델값 역산(implied): 모델 v 그대로
직전 결산 DPS 1,350원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전년동기 × (1+13.4%) — g=최근 4분기 합 YoY 13.4% 클립(−30~+50%), 연차별 절반 감쇠(가정)
[yoy]</t>
      </text>
    </comment>
    <comment ref="AD5" authorId="0" shapeId="0">
      <text>
        <t>추정: 전년동기 × (1+13.4%) — g=최근 4분기 합 YoY 13.4% 클립(−30~+50%), 연차별 절반 감쇠(가정)
[yoy]</t>
      </text>
    </comment>
    <comment ref="AF5" authorId="0" shapeId="0">
      <text>
        <t>추정: 전년동기 × (1+13.4%) — g=최근 4분기 합 YoY 13.4% 클립(−30~+50%), 연차별 절반 감쇠(가정)
[yoy]</t>
      </text>
    </comment>
    <comment ref="AG5" authorId="0" shapeId="0">
      <text>
        <t>추정: 전년동기 × (1+13.4%) — g=최근 4분기 합 YoY 13.4% 클립(−30~+50%), 연차별 절반 감쇠(가정)
[yoy]</t>
      </text>
    </comment>
    <comment ref="AH5" authorId="0" shapeId="0">
      <text>
        <t>추정: 전년동기 × (1+6.7%) — g=최근 4분기 합 YoY 13.4% 클립(−30~+50%), 연차별 절반 감쇠(가정)
[yoy]</t>
      </text>
    </comment>
    <comment ref="AI5" authorId="0" shapeId="0">
      <text>
        <t>추정: 전년동기 × (1+6.7%) — g=최근 4분기 합 YoY 13.4% 클립(−30~+50%), 연차별 절반 감쇠(가정)
[yoy]</t>
      </text>
    </comment>
    <comment ref="AK5" authorId="0" shapeId="0">
      <text>
        <t>추정: 전년동기 × (1+6.7%) — g=최근 4분기 합 YoY 13.4% 클립(−30~+50%), 연차별 절반 감쇠(가정)
[yoy]</t>
      </text>
    </comment>
    <comment ref="AL5" authorId="0" shapeId="0">
      <text>
        <t>추정: 전년동기 × (1+6.7%) — g=최근 4분기 합 YoY 13.4% 클립(−30~+50%), 연차별 절반 감쇠(가정)
[yoy]</t>
      </text>
    </comment>
    <comment ref="AM5" authorId="0" shapeId="0">
      <text>
        <t>추정: 전년동기 × (1+3.4%) — g=최근 4분기 합 YoY 13.4% 클립(−30~+50%), 연차별 절반 감쇠(가정)
[yoy]</t>
      </text>
    </comment>
    <comment ref="AN5" authorId="0" shapeId="0">
      <text>
        <t>추정: 전년동기 × (1+3.4%) — g=최근 4분기 합 YoY 13.4% 클립(−30~+50%), 연차별 절반 감쇠(가정)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12.27%(최근 4분기 중위)
[ratio]</t>
      </text>
    </comment>
    <comment ref="AD8" authorId="0" shapeId="0">
      <text>
        <t>추정: 매출액 × 판관비율 12.27%(최근 4분기 중위)
[ratio]</t>
      </text>
    </comment>
    <comment ref="AF8" authorId="0" shapeId="0">
      <text>
        <t>추정: 매출액 × 판관비율 12.27%(최근 4분기 중위)
[ratio]</t>
      </text>
    </comment>
    <comment ref="AG8" authorId="0" shapeId="0">
      <text>
        <t>추정: 매출액 × 판관비율 12.27%(최근 4분기 중위)
[ratio]</t>
      </text>
    </comment>
    <comment ref="AH8" authorId="0" shapeId="0">
      <text>
        <t>추정: 매출액 × 판관비율 12.27%(최근 4분기 중위)
[ratio]</t>
      </text>
    </comment>
    <comment ref="AI8" authorId="0" shapeId="0">
      <text>
        <t>추정: 매출액 × 판관비율 12.27%(최근 4분기 중위)
[ratio]</t>
      </text>
    </comment>
    <comment ref="AK8" authorId="0" shapeId="0">
      <text>
        <t>추정: 매출액 × 판관비율 12.27%(최근 4분기 중위)
[ratio]</t>
      </text>
    </comment>
    <comment ref="AL8" authorId="0" shapeId="0">
      <text>
        <t>추정: 매출액 × 판관비율 12.27%(최근 4분기 중위)
[ratio]</t>
      </text>
    </comment>
    <comment ref="AM8" authorId="0" shapeId="0">
      <text>
        <t>추정: 매출액 × 판관비율 12.27%(최근 4분기 중위)
[ratio]</t>
      </text>
    </comment>
    <comment ref="AN8" authorId="0" shapeId="0">
      <text>
        <t>추정: 매출액 × 판관비율 12.27%(최근 4분기 중위)
[ratio]</t>
      </text>
    </comment>
    <comment ref="AC9" authorId="0" shapeId="0">
      <text>
        <t>추정: 매출액 × OPM(최근 8분기 OPM 중위 27.9% 유지(클립 −20~40%))
[ratio]</t>
      </text>
    </comment>
    <comment ref="AD9" authorId="0" shapeId="0">
      <text>
        <t>추정: 매출액 × OPM(최근 8분기 OPM 중위 27.9% 유지(클립 −20~40%))
[ratio]</t>
      </text>
    </comment>
    <comment ref="AF9" authorId="0" shapeId="0">
      <text>
        <t>추정: 매출액 × OPM(최근 8분기 OPM 중위 27.9% 유지(클립 −20~40%))
[ratio]</t>
      </text>
    </comment>
    <comment ref="AG9" authorId="0" shapeId="0">
      <text>
        <t>추정: 매출액 × OPM(최근 8분기 OPM 중위 27.9% 유지(클립 −20~40%))
[ratio]</t>
      </text>
    </comment>
    <comment ref="AH9" authorId="0" shapeId="0">
      <text>
        <t>추정: 매출액 × OPM(최근 8분기 OPM 중위 27.9% 유지(클립 −20~40%))
[ratio]</t>
      </text>
    </comment>
    <comment ref="AI9" authorId="0" shapeId="0">
      <text>
        <t>추정: 매출액 × OPM(최근 8분기 OPM 중위 27.9% 유지(클립 −20~40%))
[ratio]</t>
      </text>
    </comment>
    <comment ref="AK9" authorId="0" shapeId="0">
      <text>
        <t>추정: 매출액 × OPM(최근 8분기 OPM 중위 27.9% 유지(클립 −20~40%))
[ratio]</t>
      </text>
    </comment>
    <comment ref="AL9" authorId="0" shapeId="0">
      <text>
        <t>추정: 매출액 × OPM(최근 8분기 OPM 중위 27.9% 유지(클립 −20~40%))
[ratio]</t>
      </text>
    </comment>
    <comment ref="AM9" authorId="0" shapeId="0">
      <text>
        <t>추정: 매출액 × OPM(최근 8분기 OPM 중위 27.9% 유지(클립 −20~40%))
[ratio]</t>
      </text>
    </comment>
    <comment ref="AN9" authorId="0" shapeId="0">
      <text>
        <t>추정: 매출액 × OPM(최근 8분기 OPM 중위 27.9% 유지(클립 −20~40%))
[ratio]</t>
      </text>
    </comment>
    <comment ref="AC10" authorId="0" shapeId="0">
      <text>
        <t>추정: 최근 8분기 OPM 중위 27.9% 유지(클립 −20~40%)
[divide]</t>
      </text>
    </comment>
    <comment ref="AD10" authorId="0" shapeId="0">
      <text>
        <t>추정: 최근 8분기 OPM 중위 27.9% 유지(클립 −20~40%)
[divide]</t>
      </text>
    </comment>
    <comment ref="AF10" authorId="0" shapeId="0">
      <text>
        <t>추정: 최근 8분기 OPM 중위 27.9% 유지(클립 −20~40%)
[divide]</t>
      </text>
    </comment>
    <comment ref="AG10" authorId="0" shapeId="0">
      <text>
        <t>추정: 최근 8분기 OPM 중위 27.9% 유지(클립 −20~40%)
[divide]</t>
      </text>
    </comment>
    <comment ref="AH10" authorId="0" shapeId="0">
      <text>
        <t>추정: 최근 8분기 OPM 중위 27.9% 유지(클립 −20~40%)
[divide]</t>
      </text>
    </comment>
    <comment ref="AI10" authorId="0" shapeId="0">
      <text>
        <t>추정: 최근 8분기 OPM 중위 27.9% 유지(클립 −20~40%)
[divide]</t>
      </text>
    </comment>
    <comment ref="AK10" authorId="0" shapeId="0">
      <text>
        <t>추정: 최근 8분기 OPM 중위 27.9% 유지(클립 −20~40%)
[divide]</t>
      </text>
    </comment>
    <comment ref="AL10" authorId="0" shapeId="0">
      <text>
        <t>추정: 최근 8분기 OPM 중위 27.9% 유지(클립 −20~40%)
[divide]</t>
      </text>
    </comment>
    <comment ref="AM10" authorId="0" shapeId="0">
      <text>
        <t>추정: 최근 8분기 OPM 중위 27.9% 유지(클립 −20~40%)
[divide]</t>
      </text>
    </comment>
    <comment ref="AN10" authorId="0" shapeId="0">
      <text>
        <t>추정: 최근 8분기 OPM 중위 27.9% 유지(클립 −20~40%)
[divide]</t>
      </text>
    </comment>
    <comment ref="AC11" authorId="0" shapeId="0">
      <text>
        <t>추정: 이자손익 + 외환손익 0 + 파생상품손익 0 + 기타금융손익 +0.00억(잔차 실측 0분기 &lt; 4 → 0) (항등식); 이자손익 = 이자발생자산 1906억 × 2.67%(CF 이자수취 ÷ 평균 이자발생자산(2025Q3~2026Q2; 주석 이자수익 0분기 &lt; 4)) − 총차입금 0억 × 0.00%(없음)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0분기 &lt; 4 → 0) (항등식); 이자손익 = 이자발생자산 2047억 × 2.67%(CF 이자수취 ÷ 평균 이자발생자산(2025Q3~2026Q2; 주석 이자수익 0분기 &lt; 4)) − 총차입금 0억 × 0.00%(없음) (연율) ÷ 4; 환율 효과는 환관련손익 행 별도
[identity]</t>
      </text>
    </comment>
    <comment ref="AF11" authorId="0" shapeId="0">
      <text>
        <t>추정: 이자손익 + 외환손익 0 + 파생상품손익 0 + 기타금융손익 +0.00억(잔차 실측 0분기 &lt; 4 → 0) (항등식); 이자손익 = 이자발생자산 2197억 × 2.67%(CF 이자수취 ÷ 평균 이자발생자산(2025Q3~2026Q2; 주석 이자수익 0분기 &lt; 4)) − 총차입금 0억 × 0.00%(없음) (연율) ÷ 4; 환율 효과는 환관련손익 행 별도
[identity]</t>
      </text>
    </comment>
    <comment ref="AG11" authorId="0" shapeId="0">
      <text>
        <t>추정: 이자손익 + 외환손익 0 + 파생상품손익 0 + 기타금융손익 +0.00억(잔차 실측 0분기 &lt; 4 → 0) (항등식); 이자손익 = 이자발생자산 2340억 × 2.67%(CF 이자수취 ÷ 평균 이자발생자산(2025Q3~2026Q2; 주석 이자수익 0분기 &lt; 4)) − 총차입금 0억 × 0.00%(없음) (연율) ÷ 4; 환율 효과는 환관련손익 행 별도
[identity]</t>
      </text>
    </comment>
    <comment ref="AH11" authorId="0" shapeId="0">
      <text>
        <t>추정: 이자손익 + 외환손익 0 + 파생상품손익 0 + 기타금융손익 +0.00억(잔차 실측 0분기 &lt; 4 → 0) (항등식); 이자손익 = 이자발생자산 2337억 × 2.67%(CF 이자수취 ÷ 평균 이자발생자산(2025Q3~2026Q2; 주석 이자수익 0분기 &lt; 4)) − 총차입금 0억 × 0.00%(없음) (연율) ÷ 4; 환율 효과는 환관련손익 행 별도
[identity]</t>
      </text>
    </comment>
    <comment ref="AI11" authorId="0" shapeId="0">
      <text>
        <t>추정: 이자손익 + 외환손익 0 + 파생상품손익 0 + 기타금융손익 +0.00억(잔차 실측 0분기 &lt; 4 → 0) (항등식); 이자손익 = 이자발생자산 2489억 × 2.67%(CF 이자수취 ÷ 평균 이자발생자산(2025Q3~2026Q2; 주석 이자수익 0분기 &lt; 4)) − 총차입금 0억 × 0.00%(없음) (연율) ÷ 4; 환율 효과는 환관련손익 행 별도
[identity]</t>
      </text>
    </comment>
    <comment ref="AK11" authorId="0" shapeId="0">
      <text>
        <t>추정: 이자손익 + 외환손익 0 + 파생상품손익 0 + 기타금융손익 +0.00억(잔차 실측 0분기 &lt; 4 → 0) (항등식); 이자손익 = 이자발생자산 2650억 × 2.67%(CF 이자수취 ÷ 평균 이자발생자산(2025Q3~2026Q2; 주석 이자수익 0분기 &lt; 4)) − 총차입금 0억 × 0.00%(없음) (연율) ÷ 4; 환율 효과는 환관련손익 행 별도
[identity]</t>
      </text>
    </comment>
    <comment ref="AL11" authorId="0" shapeId="0">
      <text>
        <t>추정: 이자손익 + 외환손익 0 + 파생상품손익 0 + 기타금융손익 +0.00억(잔차 실측 0분기 &lt; 4 → 0) (항등식); 이자손익 = 이자발생자산 2804억 × 2.67%(CF 이자수취 ÷ 평균 이자발생자산(2025Q3~2026Q2; 주석 이자수익 0분기 &lt; 4)) − 총차입금 0억 × 0.00%(없음) (연율) ÷ 4; 환율 효과는 환관련손익 행 별도
[identity]</t>
      </text>
    </comment>
    <comment ref="AM11" authorId="0" shapeId="0">
      <text>
        <t>추정: 이자손익 + 외환손익 0 + 파생상품손익 0 + 기타금융손익 +0.00억(잔차 실측 0분기 &lt; 4 → 0) (항등식); 이자손익 = 이자발생자산 2814억 × 2.67%(CF 이자수취 ÷ 평균 이자발생자산(2025Q3~2026Q2; 주석 이자수익 0분기 &lt; 4)) − 총차입금 0억 × 0.00%(없음) (연율) ÷ 4; 환율 효과는 환관련손익 행 별도
[identity]</t>
      </text>
    </comment>
    <comment ref="AN11" authorId="0" shapeId="0">
      <text>
        <t>추정: 이자손익 + 외환손익 0 + 파생상품손익 0 + 기타금융손익 +0.00억(잔차 실측 0분기 &lt; 4 → 0) (항등식); 이자손익 = 이자발생자산 2973억 × 2.67%(CF 이자수취 ÷ 평균 이자발생자산(2025Q3~2026Q2; 주석 이자수익 0분기 &lt; 4)) − 총차입금 0억 × 0.00%(없음) (연율) ÷ 4; 환율 효과는 환관련손익 행 별도
[identity]</t>
      </text>
    </comment>
    <comment ref="AC12" authorId="0" shapeId="0">
      <text>
        <t>추정: 이자발생자산 1906억 × 2.67%(CF 이자수취 ÷ 평균 이자발생자산(2025Q3~2026Q2; 주석 이자수익 0분기 &lt; 4)) − 총차입금 0억 × 0.00%(없음) (연율) ÷ 4
[interest]</t>
      </text>
    </comment>
    <comment ref="AD12" authorId="0" shapeId="0">
      <text>
        <t>추정: 이자발생자산 2047억 × 2.67%(CF 이자수취 ÷ 평균 이자발생자산(2025Q3~2026Q2; 주석 이자수익 0분기 &lt; 4)) − 총차입금 0억 × 0.00%(없음) (연율) ÷ 4
[interest]</t>
      </text>
    </comment>
    <comment ref="AF12" authorId="0" shapeId="0">
      <text>
        <t>추정: 이자발생자산 2197억 × 2.67%(CF 이자수취 ÷ 평균 이자발생자산(2025Q3~2026Q2; 주석 이자수익 0분기 &lt; 4)) − 총차입금 0억 × 0.00%(없음) (연율) ÷ 4
[interest]</t>
      </text>
    </comment>
    <comment ref="AG12" authorId="0" shapeId="0">
      <text>
        <t>추정: 이자발생자산 2340억 × 2.67%(CF 이자수취 ÷ 평균 이자발생자산(2025Q3~2026Q2; 주석 이자수익 0분기 &lt; 4)) − 총차입금 0억 × 0.00%(없음) (연율) ÷ 4
[interest]</t>
      </text>
    </comment>
    <comment ref="AH12" authorId="0" shapeId="0">
      <text>
        <t>추정: 이자발생자산 2337억 × 2.67%(CF 이자수취 ÷ 평균 이자발생자산(2025Q3~2026Q2; 주석 이자수익 0분기 &lt; 4)) − 총차입금 0억 × 0.00%(없음) (연율) ÷ 4
[interest]</t>
      </text>
    </comment>
    <comment ref="AI12" authorId="0" shapeId="0">
      <text>
        <t>추정: 이자발생자산 2489억 × 2.67%(CF 이자수취 ÷ 평균 이자발생자산(2025Q3~2026Q2; 주석 이자수익 0분기 &lt; 4)) − 총차입금 0억 × 0.00%(없음) (연율) ÷ 4
[interest]</t>
      </text>
    </comment>
    <comment ref="AK12" authorId="0" shapeId="0">
      <text>
        <t>추정: 이자발생자산 2650억 × 2.67%(CF 이자수취 ÷ 평균 이자발생자산(2025Q3~2026Q2; 주석 이자수익 0분기 &lt; 4)) − 총차입금 0억 × 0.00%(없음) (연율) ÷ 4
[interest]</t>
      </text>
    </comment>
    <comment ref="AL12" authorId="0" shapeId="0">
      <text>
        <t>추정: 이자발생자산 2804억 × 2.67%(CF 이자수취 ÷ 평균 이자발생자산(2025Q3~2026Q2; 주석 이자수익 0분기 &lt; 4)) − 총차입금 0억 × 0.00%(없음) (연율) ÷ 4
[interest]</t>
      </text>
    </comment>
    <comment ref="AM12" authorId="0" shapeId="0">
      <text>
        <t>추정: 이자발생자산 2814억 × 2.67%(CF 이자수취 ÷ 평균 이자발생자산(2025Q3~2026Q2; 주석 이자수익 0분기 &lt; 4)) − 총차입금 0억 × 0.00%(없음) (연율) ÷ 4
[interest]</t>
      </text>
    </comment>
    <comment ref="AN12" authorId="0" shapeId="0">
      <text>
        <t>추정: 이자발생자산 2973억 × 2.67%(CF 이자수취 ÷ 평균 이자발생자산(2025Q3~2026Q2; 주석 이자수익 0분기 &lt; 4)) − 총차입금 0억 × 0.00%(없음) (연율) ÷ 4
[interest]</t>
      </text>
    </comment>
    <comment ref="AC13" authorId="0" shapeId="0">
      <text>
        <t>추정: 일회성 미가정 → 0
[abs]</t>
      </text>
    </comment>
    <comment ref="AD13" authorId="0" shapeId="0">
      <text>
        <t>추정: 일회성 미가정 → 0
[abs]</t>
      </text>
    </comment>
    <comment ref="AF13" authorId="0" shapeId="0">
      <text>
        <t>추정: 일회성 미가정 → 0
[abs]</t>
      </text>
    </comment>
    <comment ref="AG13" authorId="0" shapeId="0">
      <text>
        <t>추정: 일회성 미가정 → 0
[abs]</t>
      </text>
    </comment>
    <comment ref="AH13" authorId="0" shapeId="0">
      <text>
        <t>추정: 일회성 미가정 → 0
[abs]</t>
      </text>
    </comment>
    <comment ref="AI13" authorId="0" shapeId="0">
      <text>
        <t>추정: 일회성 미가정 → 0
[abs]</t>
      </text>
    </comment>
    <comment ref="AK13" authorId="0" shapeId="0">
      <text>
        <t>추정: 일회성 미가정 → 0
[abs]</t>
      </text>
    </comment>
    <comment ref="AL13" authorId="0" shapeId="0">
      <text>
        <t>추정: 일회성 미가정 → 0
[abs]</t>
      </text>
    </comment>
    <comment ref="AM13" authorId="0" shapeId="0">
      <text>
        <t>추정: 일회성 미가정 → 0
[abs]</t>
      </text>
    </comment>
    <comment ref="AN13" authorId="0" shapeId="0">
      <text>
        <t>추정: 일회성 미가정 → 0
[abs]</t>
      </text>
    </comment>
    <comment ref="AC14" authorId="0" shapeId="0">
      <text>
        <t>추정: 영업이익 + 금융손익 + 기타영업외 + 지분법 + 환관련(항등식)
[identity]</t>
      </text>
    </comment>
    <comment ref="AD14" authorId="0" shapeId="0">
      <text>
        <t>추정: 영업이익 + 금융손익 + 기타영업외 + 지분법 + 환관련(항등식)
[identity]</t>
      </text>
    </comment>
    <comment ref="AF14" authorId="0" shapeId="0">
      <text>
        <t>추정: 영업이익 + 금융손익 + 기타영업외 + 지분법 + 환관련(항등식)
[identity]</t>
      </text>
    </comment>
    <comment ref="AG14" authorId="0" shapeId="0">
      <text>
        <t>추정: 영업이익 + 금융손익 + 기타영업외 + 지분법 + 환관련(항등식)
[identity]</t>
      </text>
    </comment>
    <comment ref="AH14" authorId="0" shapeId="0">
      <text>
        <t>추정: 영업이익 + 금융손익 + 기타영업외 + 지분법 + 환관련(항등식)
[identity]</t>
      </text>
    </comment>
    <comment ref="AI14" authorId="0" shapeId="0">
      <text>
        <t>추정: 영업이익 + 금융손익 + 기타영업외 + 지분법 + 환관련(항등식)
[identity]</t>
      </text>
    </comment>
    <comment ref="AK14" authorId="0" shapeId="0">
      <text>
        <t>추정: 영업이익 + 금융손익 + 기타영업외 + 지분법 + 환관련(항등식)
[identity]</t>
      </text>
    </comment>
    <comment ref="AL14" authorId="0" shapeId="0">
      <text>
        <t>추정: 영업이익 + 금융손익 + 기타영업외 + 지분법 + 환관련(항등식)
[identity]</t>
      </text>
    </comment>
    <comment ref="AM14" authorId="0" shapeId="0">
      <text>
        <t>추정: 영업이익 + 금융손익 + 기타영업외 + 지분법 + 환관련(항등식)
[identity]</t>
      </text>
    </comment>
    <comment ref="AN14" authorId="0" shapeId="0">
      <text>
        <t>추정: 영업이익 + 금융손익 + 기타영업외 + 지분법 + 환관련(항등식)
[identity]</t>
      </text>
    </comment>
    <comment ref="AC15" authorId="0" shapeId="0">
      <text>
        <t>추정: max(세전, 0) × 세율 23.2%(최근 12분기 유효세율 23.2%(5~27% 안 — 그대로))
[tax]</t>
      </text>
    </comment>
    <comment ref="AD15" authorId="0" shapeId="0">
      <text>
        <t>추정: max(세전, 0) × 세율 23.2%(최근 12분기 유효세율 23.2%(5~27% 안 — 그대로))
[tax]</t>
      </text>
    </comment>
    <comment ref="AF15" authorId="0" shapeId="0">
      <text>
        <t>추정: max(세전, 0) × 세율 23.2%(최근 12분기 유효세율 23.2%(5~27% 안 — 그대로))
[tax]</t>
      </text>
    </comment>
    <comment ref="AG15" authorId="0" shapeId="0">
      <text>
        <t>추정: max(세전, 0) × 세율 23.2%(최근 12분기 유효세율 23.2%(5~27% 안 — 그대로))
[tax]</t>
      </text>
    </comment>
    <comment ref="AH15" authorId="0" shapeId="0">
      <text>
        <t>추정: max(세전, 0) × 세율 23.2%(최근 12분기 유효세율 23.2%(5~27% 안 — 그대로))
[tax]</t>
      </text>
    </comment>
    <comment ref="AI15" authorId="0" shapeId="0">
      <text>
        <t>추정: max(세전, 0) × 세율 23.2%(최근 12분기 유효세율 23.2%(5~27% 안 — 그대로))
[tax]</t>
      </text>
    </comment>
    <comment ref="AK15" authorId="0" shapeId="0">
      <text>
        <t>추정: max(세전, 0) × 세율 23.2%(최근 12분기 유효세율 23.2%(5~27% 안 — 그대로))
[tax]</t>
      </text>
    </comment>
    <comment ref="AL15" authorId="0" shapeId="0">
      <text>
        <t>추정: max(세전, 0) × 세율 23.2%(최근 12분기 유효세율 23.2%(5~27% 안 — 그대로))
[tax]</t>
      </text>
    </comment>
    <comment ref="AM15" authorId="0" shapeId="0">
      <text>
        <t>추정: max(세전, 0) × 세율 23.2%(최근 12분기 유효세율 23.2%(5~27% 안 — 그대로))
[tax]</t>
      </text>
    </comment>
    <comment ref="AN15" authorId="0" shapeId="0">
      <text>
        <t>추정: max(세전, 0) × 세율 23.2%(최근 12분기 유효세율 23.2%(5~27% 안 — 그대로))
[tax]</t>
      </text>
    </comment>
    <comment ref="AC16" authorId="0" shapeId="0">
      <text>
        <t>추정: 세전이익 − 법인세비용(항등식)
[identity]</t>
      </text>
    </comment>
    <comment ref="AD16" authorId="0" shapeId="0">
      <text>
        <t>추정: 세전이익 − 법인세비용(항등식)
[identity]</t>
      </text>
    </comment>
    <comment ref="AF16" authorId="0" shapeId="0">
      <text>
        <t>추정: 세전이익 − 법인세비용(항등식)
[identity]</t>
      </text>
    </comment>
    <comment ref="AG16" authorId="0" shapeId="0">
      <text>
        <t>추정: 세전이익 − 법인세비용(항등식)
[identity]</t>
      </text>
    </comment>
    <comment ref="AH16" authorId="0" shapeId="0">
      <text>
        <t>추정: 세전이익 − 법인세비용(항등식)
[identity]</t>
      </text>
    </comment>
    <comment ref="AI16" authorId="0" shapeId="0">
      <text>
        <t>추정: 세전이익 − 법인세비용(항등식)
[identity]</t>
      </text>
    </comment>
    <comment ref="AK16" authorId="0" shapeId="0">
      <text>
        <t>추정: 세전이익 − 법인세비용(항등식)
[identity]</t>
      </text>
    </comment>
    <comment ref="AL16" authorId="0" shapeId="0">
      <text>
        <t>추정: 세전이익 − 법인세비용(항등식)
[identity]</t>
      </text>
    </comment>
    <comment ref="AM16" authorId="0" shapeId="0">
      <text>
        <t>추정: 세전이익 − 법인세비용(항등식)
[identity]</t>
      </text>
    </comment>
    <comment ref="AN16" authorId="0" shapeId="0">
      <text>
        <t>추정: 세전이익 − 법인세비용(항등식)
[identity]</t>
      </text>
    </comment>
    <comment ref="AC17" authorId="0" shapeId="0">
      <text>
        <t>추정: 당기순이익 × (1 − 비지배 비중 0.9%, 최근 8분기 실측)
[ratio]</t>
      </text>
    </comment>
    <comment ref="AD17" authorId="0" shapeId="0">
      <text>
        <t>추정: 당기순이익 × (1 − 비지배 비중 0.9%, 최근 8분기 실측)
[ratio]</t>
      </text>
    </comment>
    <comment ref="AF17" authorId="0" shapeId="0">
      <text>
        <t>추정: 당기순이익 × (1 − 비지배 비중 0.9%, 최근 8분기 실측)
[ratio]</t>
      </text>
    </comment>
    <comment ref="AG17" authorId="0" shapeId="0">
      <text>
        <t>추정: 당기순이익 × (1 − 비지배 비중 0.9%, 최근 8분기 실측)
[ratio]</t>
      </text>
    </comment>
    <comment ref="AH17" authorId="0" shapeId="0">
      <text>
        <t>추정: 당기순이익 × (1 − 비지배 비중 0.9%, 최근 8분기 실측)
[ratio]</t>
      </text>
    </comment>
    <comment ref="AI17" authorId="0" shapeId="0">
      <text>
        <t>추정: 당기순이익 × (1 − 비지배 비중 0.9%, 최근 8분기 실측)
[ratio]</t>
      </text>
    </comment>
    <comment ref="AK17" authorId="0" shapeId="0">
      <text>
        <t>추정: 당기순이익 × (1 − 비지배 비중 0.9%, 최근 8분기 실측)
[ratio]</t>
      </text>
    </comment>
    <comment ref="AL17" authorId="0" shapeId="0">
      <text>
        <t>추정: 당기순이익 × (1 − 비지배 비중 0.9%, 최근 8분기 실측)
[ratio]</t>
      </text>
    </comment>
    <comment ref="AM17" authorId="0" shapeId="0">
      <text>
        <t>추정: 당기순이익 × (1 − 비지배 비중 0.9%, 최근 8분기 실측)
[ratio]</t>
      </text>
    </comment>
    <comment ref="AN17" authorId="0" shapeId="0">
      <text>
        <t>추정: 당기순이익 × (1 − 비지배 비중 0.9%, 최근 8분기 실측)
[ratio]</t>
      </text>
    </comment>
    <comment ref="AC18" authorId="0" shapeId="0">
      <text>
        <t>추정: 부채총계 + 자본총계(항등식)
[identity]</t>
      </text>
    </comment>
    <comment ref="AD18" authorId="0" shapeId="0">
      <text>
        <t>추정: 부채총계 + 자본총계(항등식)
[identity]</t>
      </text>
    </comment>
    <comment ref="AF18" authorId="0" shapeId="0">
      <text>
        <t>추정: 부채총계 + 자본총계(항등식)
[identity]</t>
      </text>
    </comment>
    <comment ref="AG18" authorId="0" shapeId="0">
      <text>
        <t>추정: 부채총계 + 자본총계(항등식)
[identity]</t>
      </text>
    </comment>
    <comment ref="AH18" authorId="0" shapeId="0">
      <text>
        <t>추정: 부채총계 + 자본총계(항등식)
[identity]</t>
      </text>
    </comment>
    <comment ref="AI18" authorId="0" shapeId="0">
      <text>
        <t>추정: 부채총계 + 자본총계(항등식)
[identity]</t>
      </text>
    </comment>
    <comment ref="AK18" authorId="0" shapeId="0">
      <text>
        <t>추정: 부채총계 + 자본총계(항등식)
[identity]</t>
      </text>
    </comment>
    <comment ref="AL18" authorId="0" shapeId="0">
      <text>
        <t>추정: 부채총계 + 자본총계(항등식)
[identity]</t>
      </text>
    </comment>
    <comment ref="AM18" authorId="0" shapeId="0">
      <text>
        <t>추정: 부채총계 + 자본총계(항등식)
[identity]</t>
      </text>
    </comment>
    <comment ref="AN18" authorId="0" shapeId="0">
      <text>
        <t>추정: 부채총계 + 자본총계(항등식)
[identity]</t>
      </text>
    </comment>
    <comment ref="AC19" authorId="0" shapeId="0">
      <text>
        <t>추정: 마지막 실적 유지(가정)
[qoq]</t>
      </text>
    </comment>
    <comment ref="AD19" authorId="0" shapeId="0">
      <text>
        <t>추정: 마지막 실적 유지(가정)
[qoq]</t>
      </text>
    </comment>
    <comment ref="AF19" authorId="0" shapeId="0">
      <text>
        <t>추정: 마지막 실적 유지(가정)
[qoq]</t>
      </text>
    </comment>
    <comment ref="AG19" authorId="0" shapeId="0">
      <text>
        <t>추정: 마지막 실적 유지(가정)
[qoq]</t>
      </text>
    </comment>
    <comment ref="AH19" authorId="0" shapeId="0">
      <text>
        <t>추정: 마지막 실적 유지(가정)
[qoq]</t>
      </text>
    </comment>
    <comment ref="AI19" authorId="0" shapeId="0">
      <text>
        <t>추정: 마지막 실적 유지(가정)
[qoq]</t>
      </text>
    </comment>
    <comment ref="AK19" authorId="0" shapeId="0">
      <text>
        <t>추정: 마지막 실적 유지(가정)
[qoq]</t>
      </text>
    </comment>
    <comment ref="AL19" authorId="0" shapeId="0">
      <text>
        <t>추정: 마지막 실적 유지(가정)
[qoq]</t>
      </text>
    </comment>
    <comment ref="AM19" authorId="0" shapeId="0">
      <text>
        <t>추정: 마지막 실적 유지(가정)
[qoq]</t>
      </text>
    </comment>
    <comment ref="AN19" authorId="0" shapeId="0">
      <text>
        <t>추정: 마지막 실적 유지(가정)
[qoq]</t>
      </text>
    </comment>
    <comment ref="AC20" authorId="0" shapeId="0">
      <text>
        <t>추정: 전분기 + 당기순이익 − 배당(Q2 지급 가정)
[roll]</t>
      </text>
    </comment>
    <comment ref="AD20" authorId="0" shapeId="0">
      <text>
        <t>추정: 전분기 + 당기순이익 − 배당(Q2 지급 가정)
[roll]</t>
      </text>
    </comment>
    <comment ref="AF20" authorId="0" shapeId="0">
      <text>
        <t>추정: 전분기 + 당기순이익 − 배당(Q2 지급 가정)
[roll]</t>
      </text>
    </comment>
    <comment ref="AG20" authorId="0" shapeId="0">
      <text>
        <t>추정: 전분기 + 당기순이익 − 배당(Q2 지급 가정)
[roll]</t>
      </text>
    </comment>
    <comment ref="AH20" authorId="0" shapeId="0">
      <text>
        <t>추정: 전분기 + 당기순이익 − 배당(Q2 지급 가정)
[roll]</t>
      </text>
    </comment>
    <comment ref="AI20" authorId="0" shapeId="0">
      <text>
        <t>추정: 전분기 + 당기순이익 − 배당(Q2 지급 가정)
[roll]</t>
      </text>
    </comment>
    <comment ref="AK20" authorId="0" shapeId="0">
      <text>
        <t>추정: 전분기 + 당기순이익 − 배당(Q2 지급 가정)
[roll]</t>
      </text>
    </comment>
    <comment ref="AL20" authorId="0" shapeId="0">
      <text>
        <t>추정: 전분기 + 당기순이익 − 배당(Q2 지급 가정)
[roll]</t>
      </text>
    </comment>
    <comment ref="AM20" authorId="0" shapeId="0">
      <text>
        <t>추정: 전분기 + 당기순이익 − 배당(Q2 지급 가정)
[roll]</t>
      </text>
    </comment>
    <comment ref="AN20" authorId="0" shapeId="0">
      <text>
        <t>추정: 전분기 + 당기순이익 − 배당(Q2 지급 가정)
[roll]</t>
      </text>
    </comment>
    <comment ref="AC21" authorId="0" shapeId="0">
      <text>
        <t>추정: 전분기 + 지배주주순이익 − 배당
[roll]</t>
      </text>
    </comment>
    <comment ref="AD21" authorId="0" shapeId="0">
      <text>
        <t>추정: 전분기 + 지배주주순이익 − 배당
[roll]</t>
      </text>
    </comment>
    <comment ref="AF21" authorId="0" shapeId="0">
      <text>
        <t>추정: 전분기 + 지배주주순이익 − 배당
[roll]</t>
      </text>
    </comment>
    <comment ref="AG21" authorId="0" shapeId="0">
      <text>
        <t>추정: 전분기 + 지배주주순이익 − 배당
[roll]</t>
      </text>
    </comment>
    <comment ref="AH21" authorId="0" shapeId="0">
      <text>
        <t>추정: 전분기 + 지배주주순이익 − 배당
[roll]</t>
      </text>
    </comment>
    <comment ref="AI21" authorId="0" shapeId="0">
      <text>
        <t>추정: 전분기 + 지배주주순이익 − 배당
[roll]</t>
      </text>
    </comment>
    <comment ref="AK21" authorId="0" shapeId="0">
      <text>
        <t>추정: 전분기 + 지배주주순이익 − 배당
[roll]</t>
      </text>
    </comment>
    <comment ref="AL21" authorId="0" shapeId="0">
      <text>
        <t>추정: 전분기 + 지배주주순이익 − 배당
[roll]</t>
      </text>
    </comment>
    <comment ref="AM21" authorId="0" shapeId="0">
      <text>
        <t>추정: 전분기 + 지배주주순이익 − 배당
[roll]</t>
      </text>
    </comment>
    <comment ref="AN21" authorId="0" shapeId="0">
      <text>
        <t>추정: 전분기 + 지배주주순이익 − 배당
[roll]</t>
      </text>
    </comment>
    <comment ref="AC22" authorId="0" shapeId="0">
      <text>
        <t>추정: 전분기 + FCF 근사 — 순차입금 롤과 같은 가정
[qoq]</t>
      </text>
    </comment>
    <comment ref="AD22" authorId="0" shapeId="0">
      <text>
        <t>추정: 전분기 + FCF 근사 — 순차입금 롤과 같은 가정
[qoq]</t>
      </text>
    </comment>
    <comment ref="AF22" authorId="0" shapeId="0">
      <text>
        <t>추정: 전분기 + FCF 근사 — 순차입금 롤과 같은 가정
[qoq]</t>
      </text>
    </comment>
    <comment ref="AG22" authorId="0" shapeId="0">
      <text>
        <t>추정: 전분기 + FCF 근사 — 순차입금 롤과 같은 가정
[qoq]</t>
      </text>
    </comment>
    <comment ref="AH22" authorId="0" shapeId="0">
      <text>
        <t>추정: 전분기 + FCF 근사 — 순차입금 롤과 같은 가정
[qoq]</t>
      </text>
    </comment>
    <comment ref="AI22" authorId="0" shapeId="0">
      <text>
        <t>추정: 전분기 + FCF 근사 — 순차입금 롤과 같은 가정
[qoq]</t>
      </text>
    </comment>
    <comment ref="AK22" authorId="0" shapeId="0">
      <text>
        <t>추정: 전분기 + FCF 근사 — 순차입금 롤과 같은 가정
[qoq]</t>
      </text>
    </comment>
    <comment ref="AL22" authorId="0" shapeId="0">
      <text>
        <t>추정: 전분기 + FCF 근사 — 순차입금 롤과 같은 가정
[qoq]</t>
      </text>
    </comment>
    <comment ref="AM22" authorId="0" shapeId="0">
      <text>
        <t>추정: 전분기 + FCF 근사 — 순차입금 롤과 같은 가정
[qoq]</t>
      </text>
    </comment>
    <comment ref="AN22" authorId="0" shapeId="0">
      <text>
        <t>추정: 전분기 + FCF 근사 — 순차입금 롤과 같은 가정
[qoq]</t>
      </text>
    </comment>
    <comment ref="AC24" authorId="0" shapeId="0">
      <text>
        <t>추정: 최근 4분기(2025Q3~2026Q2) CAPEX 중위 유지 — 순차입금 롤에 미반영(감가상각비 없음 → CAPEX≈감가 가정)
[yoy]</t>
      </text>
    </comment>
    <comment ref="AD24" authorId="0" shapeId="0">
      <text>
        <t>추정: 최근 4분기(2025Q3~2026Q2) CAPEX 중위 유지 — 순차입금 롤에 미반영(감가상각비 없음 → CAPEX≈감가 가정)
[yoy]</t>
      </text>
    </comment>
    <comment ref="AF24" authorId="0" shapeId="0">
      <text>
        <t>추정: 최근 4분기(2025Q3~2026Q2) CAPEX 중위 유지 — 순차입금 롤에 미반영(감가상각비 없음 → CAPEX≈감가 가정)
[yoy]</t>
      </text>
    </comment>
    <comment ref="AG24" authorId="0" shapeId="0">
      <text>
        <t>추정: 최근 4분기(2025Q3~2026Q2) CAPEX 중위 유지 — 순차입금 롤에 미반영(감가상각비 없음 → CAPEX≈감가 가정)
[yoy]</t>
      </text>
    </comment>
    <comment ref="AH24" authorId="0" shapeId="0">
      <text>
        <t>추정: 최근 4분기(2025Q3~2026Q2) CAPEX 중위 유지 — 순차입금 롤에 미반영(감가상각비 없음 → CAPEX≈감가 가정)
[yoy]</t>
      </text>
    </comment>
    <comment ref="AI24" authorId="0" shapeId="0">
      <text>
        <t>추정: 최근 4분기(2025Q3~2026Q2) CAPEX 중위 유지 — 순차입금 롤에 미반영(감가상각비 없음 → CAPEX≈감가 가정)
[yoy]</t>
      </text>
    </comment>
    <comment ref="AK24" authorId="0" shapeId="0">
      <text>
        <t>추정: 최근 4분기(2025Q3~2026Q2) CAPEX 중위 유지 — 순차입금 롤에 미반영(감가상각비 없음 → CAPEX≈감가 가정)
[yoy]</t>
      </text>
    </comment>
    <comment ref="AL24" authorId="0" shapeId="0">
      <text>
        <t>추정: 최근 4분기(2025Q3~2026Q2) CAPEX 중위 유지 — 순차입금 롤에 미반영(감가상각비 없음 → CAPEX≈감가 가정)
[yoy]</t>
      </text>
    </comment>
    <comment ref="AM24" authorId="0" shapeId="0">
      <text>
        <t>추정: 최근 4분기(2025Q3~2026Q2) CAPEX 중위 유지 — 순차입금 롤에 미반영(감가상각비 없음 → CAPEX≈감가 가정)
[yoy]</t>
      </text>
    </comment>
    <comment ref="AN24" authorId="0" shapeId="0">
      <text>
        <t>추정: 최근 4분기(2025Q3~2026Q2) CAPEX 중위 유지 — 순차입금 롤에 미반영(감가상각비 없음 → CAPEX≈감가 가정)
[yoy]</t>
      </text>
    </comment>
    <comment ref="E26" authorId="0" shapeId="0">
      <text>
        <t>실측(계정 매핑 없음(파생·부문·시세 행) — 모델값 직접) — fin.shares.common_outstanding</t>
      </text>
    </comment>
    <comment ref="G26" authorId="0" shapeId="0">
      <text>
        <t>실측(계정 매핑 없음(파생·부문·시세 행) — 모델값 직접) — fin.shares.common_outstanding</t>
      </text>
    </comment>
    <comment ref="H26" authorId="0" shapeId="0">
      <text>
        <t>실측(계정 매핑 없음(파생·부문·시세 행) — 모델값 직접) — fin.shares.common_outstanding</t>
      </text>
    </comment>
    <comment ref="I26" authorId="0" shapeId="0">
      <text>
        <t>실측(계정 매핑 없음(파생·부문·시세 행) — 모델값 직접) — fin.shares.common_outstanding</t>
      </text>
    </comment>
    <comment ref="J26" authorId="0" shapeId="0">
      <text>
        <t>실측(계정 매핑 없음(파생·부문·시세 행) — 모델값 직접) — fin.shares.common_outstanding</t>
      </text>
    </comment>
    <comment ref="L26" authorId="0" shapeId="0">
      <text>
        <t>실측(계정 매핑 없음(파생·부문·시세 행) — 모델값 직접) — fin.shares.common_outstanding</t>
      </text>
    </comment>
    <comment ref="M26" authorId="0" shapeId="0">
      <text>
        <t>실측(계정 매핑 없음(파생·부문·시세 행) — 모델값 직접) — fin.shares.common_outstanding</t>
      </text>
    </comment>
    <comment ref="N26" authorId="0" shapeId="0">
      <text>
        <t>실측(계정 매핑 없음(파생·부문·시세 행) — 모델값 직접) — fin.shares.common_outstanding</t>
      </text>
    </comment>
    <comment ref="O26" authorId="0" shapeId="0">
      <text>
        <t>실측(계정 매핑 없음(파생·부문·시세 행) — 모델값 직접) — fin.shares.common_outstanding</t>
      </text>
    </comment>
    <comment ref="Q26" authorId="0" shapeId="0">
      <text>
        <t>실측(계정 매핑 없음(파생·부문·시세 행) — 모델값 직접) — fin.shares.common_outstanding</t>
      </text>
    </comment>
    <comment ref="R26" authorId="0" shapeId="0">
      <text>
        <t>실측(계정 매핑 없음(파생·부문·시세 행) — 모델값 직접) — fin.shares.common_outstanding</t>
      </text>
    </comment>
    <comment ref="S26" authorId="0" shapeId="0">
      <text>
        <t>실측(계정 매핑 없음(파생·부문·시세 행) — 모델값 직접) — fin.shares.common_outstanding</t>
      </text>
    </comment>
    <comment ref="T26" authorId="0" shapeId="0">
      <text>
        <t>실측(계정 매핑 없음(파생·부문·시세 행) — 모델값 직접) — fin.shares.common_outstanding</t>
      </text>
    </comment>
    <comment ref="V26" authorId="0" shapeId="0">
      <text>
        <t>실측(계정 매핑 없음(파생·부문·시세 행) — 모델값 직접) — fin.shares.common_outstanding</t>
      </text>
    </comment>
    <comment ref="W26" authorId="0" shapeId="0">
      <text>
        <t>실측(계정 매핑 없음(파생·부문·시세 행) — 모델값 직접) — fin.shares.common_outstanding</t>
      </text>
    </comment>
    <comment ref="X26" authorId="0" shapeId="0">
      <text>
        <t>실측(계정 매핑 없음(파생·부문·시세 행) — 모델값 직접) — fin.shares.common_outstanding</t>
      </text>
    </comment>
    <comment ref="Y26" authorId="0" shapeId="0">
      <text>
        <t>실측(계정 매핑 없음(파생·부문·시세 행) — 모델값 직접) — fin.shares.common_outstanding</t>
      </text>
    </comment>
    <comment ref="AA26" authorId="0" shapeId="0">
      <text>
        <t>실측(계정 매핑 없음(파생·부문·시세 행) — 모델값 직접) — fin.shares.common_outstanding</t>
      </text>
    </comment>
    <comment ref="AB26" authorId="0" shapeId="0">
      <text>
        <t>실측(계정 매핑 없음(파생·부문·시세 행) — 모델값 직접) — fin.shares.common_outstanding</t>
      </text>
    </comment>
    <comment ref="AC26" authorId="0" shapeId="0">
      <text>
        <t>추정: 유통주식수 유지 — fin.shares.common_outstanding(2026Q2)
[qoq]</t>
      </text>
    </comment>
    <comment ref="AD26" authorId="0" shapeId="0">
      <text>
        <t>추정: 유통주식수 유지 — fin.shares.common_outstanding(2026Q2)
[qoq]</t>
      </text>
    </comment>
    <comment ref="AF26" authorId="0" shapeId="0">
      <text>
        <t>추정: 유통주식수 유지 — fin.shares.common_outstanding(2026Q2)
[qoq]</t>
      </text>
    </comment>
    <comment ref="AG26" authorId="0" shapeId="0">
      <text>
        <t>추정: 유통주식수 유지 — fin.shares.common_outstanding(2026Q2)
[qoq]</t>
      </text>
    </comment>
    <comment ref="AH26" authorId="0" shapeId="0">
      <text>
        <t>추정: 유통주식수 유지 — fin.shares.common_outstanding(2026Q2)
[qoq]</t>
      </text>
    </comment>
    <comment ref="AI26" authorId="0" shapeId="0">
      <text>
        <t>추정: 유통주식수 유지 — fin.shares.common_outstanding(2026Q2)
[qoq]</t>
      </text>
    </comment>
    <comment ref="AK26" authorId="0" shapeId="0">
      <text>
        <t>추정: 유통주식수 유지 — fin.shares.common_outstanding(2026Q2)
[qoq]</t>
      </text>
    </comment>
    <comment ref="AL26" authorId="0" shapeId="0">
      <text>
        <t>추정: 유통주식수 유지 — fin.shares.common_outstanding(2026Q2)
[qoq]</t>
      </text>
    </comment>
    <comment ref="AM26" authorId="0" shapeId="0">
      <text>
        <t>추정: 유통주식수 유지 — fin.shares.common_outstanding(2026Q2)
[qoq]</t>
      </text>
    </comment>
    <comment ref="AN26" authorId="0" shapeId="0">
      <text>
        <t>추정: 유통주식수 유지 — fin.shares.common_outstanding(2026Q2)
[qoq]</t>
      </text>
    </comment>
    <comment ref="AC27" authorId="0" shapeId="0">
      <text>
        <t>추정: 지배주주순이익 ÷ 유통주식수
[per_share]</t>
      </text>
    </comment>
    <comment ref="AD27" authorId="0" shapeId="0">
      <text>
        <t>추정: 지배주주순이익 ÷ 유통주식수
[per_share]</t>
      </text>
    </comment>
    <comment ref="AF27" authorId="0" shapeId="0">
      <text>
        <t>추정: 지배주주순이익 ÷ 유통주식수
[per_share]</t>
      </text>
    </comment>
    <comment ref="AG27" authorId="0" shapeId="0">
      <text>
        <t>추정: 지배주주순이익 ÷ 유통주식수
[per_share]</t>
      </text>
    </comment>
    <comment ref="AH27" authorId="0" shapeId="0">
      <text>
        <t>추정: 지배주주순이익 ÷ 유통주식수
[per_share]</t>
      </text>
    </comment>
    <comment ref="AI27" authorId="0" shapeId="0">
      <text>
        <t>추정: 지배주주순이익 ÷ 유통주식수
[per_share]</t>
      </text>
    </comment>
    <comment ref="AK27" authorId="0" shapeId="0">
      <text>
        <t>추정: 지배주주순이익 ÷ 유통주식수
[per_share]</t>
      </text>
    </comment>
    <comment ref="AL27" authorId="0" shapeId="0">
      <text>
        <t>추정: 지배주주순이익 ÷ 유통주식수
[per_share]</t>
      </text>
    </comment>
    <comment ref="AM27" authorId="0" shapeId="0">
      <text>
        <t>추정: 지배주주순이익 ÷ 유통주식수
[per_share]</t>
      </text>
    </comment>
    <comment ref="AN27" authorId="0" shapeId="0">
      <text>
        <t>추정: 지배주주순이익 ÷ 유통주식수
[per_share]</t>
      </text>
    </comment>
    <comment ref="AC28" authorId="0" shapeId="0">
      <text>
        <t>추정: 지배주주지분 ÷ 유통주식수
[per_share]</t>
      </text>
    </comment>
    <comment ref="AD28" authorId="0" shapeId="0">
      <text>
        <t>추정: 지배주주지분 ÷ 유통주식수
[per_share]</t>
      </text>
    </comment>
    <comment ref="AF28" authorId="0" shapeId="0">
      <text>
        <t>추정: 지배주주지분 ÷ 유통주식수
[per_share]</t>
      </text>
    </comment>
    <comment ref="AG28" authorId="0" shapeId="0">
      <text>
        <t>추정: 지배주주지분 ÷ 유통주식수
[per_share]</t>
      </text>
    </comment>
    <comment ref="AH28" authorId="0" shapeId="0">
      <text>
        <t>추정: 지배주주지분 ÷ 유통주식수
[per_share]</t>
      </text>
    </comment>
    <comment ref="AI28" authorId="0" shapeId="0">
      <text>
        <t>추정: 지배주주지분 ÷ 유통주식수
[per_share]</t>
      </text>
    </comment>
    <comment ref="AK28" authorId="0" shapeId="0">
      <text>
        <t>추정: 지배주주지분 ÷ 유통주식수
[per_share]</t>
      </text>
    </comment>
    <comment ref="AL28" authorId="0" shapeId="0">
      <text>
        <t>추정: 지배주주지분 ÷ 유통주식수
[per_share]</t>
      </text>
    </comment>
    <comment ref="AM28" authorId="0" shapeId="0">
      <text>
        <t>추정: 지배주주지분 ÷ 유통주식수
[per_share]</t>
      </text>
    </comment>
    <comment ref="AN28" authorId="0" shapeId="0">
      <text>
        <t>추정: 지배주주지분 ÷ 유통주식수
[per_share]</t>
      </text>
    </comment>
    <comment ref="E29" authorId="0" shapeId="0">
      <text>
        <t>실측(계정 매핑 없음(파생·부문·시세 행) — 모델값 직접) — fin.dividend.dps_common(연간, Q4 에 표기)</t>
      </text>
    </comment>
    <comment ref="F29" authorId="0" shapeId="0">
      <text>
        <t>연간(actual) — 분기 미완 연도, 모델 a 값 직접</t>
      </text>
    </comment>
    <comment ref="J29" authorId="0" shapeId="0">
      <text>
        <t>실측(계정 매핑 없음(파생·부문·시세 행) — 모델값 직접) — fin.dividend.dps_common(연간, Q4 에 표기)</t>
      </text>
    </comment>
    <comment ref="O29" authorId="0" shapeId="0">
      <text>
        <t>실측(계정 매핑 없음(파생·부문·시세 행) — 모델값 직접) — fin.dividend.dps_common(연간, Q4 에 표기)</t>
      </text>
    </comment>
    <comment ref="T29" authorId="0" shapeId="0">
      <text>
        <t>실측(계정 매핑 없음(파생·부문·시세 행) — 모델값 직접) — fin.dividend.dps_common(연간, Q4 에 표기)</t>
      </text>
    </comment>
    <comment ref="Y29" authorId="0" shapeId="0">
      <text>
        <t>실측(계정 매핑 없음(파생·부문·시세 행) — 모델값 직접) — fin.dividend.dps_common(연간, Q4 에 표기)</t>
      </text>
    </comment>
    <comment ref="AD29" authorId="0" shapeId="0">
      <text>
        <t>추정: 직전 결산 DPS 1,350원 유지
[abs]</t>
      </text>
    </comment>
    <comment ref="AI29" authorId="0" shapeId="0">
      <text>
        <t>추정: 직전 결산 DPS 1,350원 유지
[abs]</t>
      </text>
    </comment>
    <comment ref="AN29" authorId="0" shapeId="0">
      <text>
        <t>추정: 직전 결산 DPS 1,350원 유지
[abs]</t>
      </text>
    </comment>
    <comment ref="AC30" authorId="0" shapeId="0">
      <text>
        <t>추정: 현재 종가 ÷ TTM EPS(추정 포함)
[valuation]</t>
      </text>
    </comment>
    <comment ref="AD30" authorId="0" shapeId="0">
      <text>
        <t>추정: 현재 종가 ÷ TTM EPS(추정 포함)
[valuation]</t>
      </text>
    </comment>
    <comment ref="AF30" authorId="0" shapeId="0">
      <text>
        <t>추정: 현재 종가 ÷ TTM EPS(추정 포함)
[valuation]</t>
      </text>
    </comment>
    <comment ref="AG30" authorId="0" shapeId="0">
      <text>
        <t>추정: 현재 종가 ÷ TTM EPS(추정 포함)
[valuation]</t>
      </text>
    </comment>
    <comment ref="AH30" authorId="0" shapeId="0">
      <text>
        <t>추정: 현재 종가 ÷ TTM EPS(추정 포함)
[valuation]</t>
      </text>
    </comment>
    <comment ref="AI30" authorId="0" shapeId="0">
      <text>
        <t>추정: 현재 종가 ÷ TTM EPS(추정 포함)
[valuation]</t>
      </text>
    </comment>
    <comment ref="AK30" authorId="0" shapeId="0">
      <text>
        <t>추정: 현재 종가 ÷ TTM EPS(추정 포함)
[valuation]</t>
      </text>
    </comment>
    <comment ref="AL30" authorId="0" shapeId="0">
      <text>
        <t>추정: 현재 종가 ÷ TTM EPS(추정 포함)
[valuation]</t>
      </text>
    </comment>
    <comment ref="AM30" authorId="0" shapeId="0">
      <text>
        <t>추정: 현재 종가 ÷ TTM EPS(추정 포함)
[valuation]</t>
      </text>
    </comment>
    <comment ref="AN30" authorId="0" shapeId="0">
      <text>
        <t>추정: 현재 종가 ÷ TTM EPS(추정 포함)
[valuation]</t>
      </text>
    </comment>
    <comment ref="AC31" authorId="0" shapeId="0">
      <text>
        <t>추정: 현재 종가 ÷ BPS(추정 포함)
[valuation]</t>
      </text>
    </comment>
    <comment ref="AD31" authorId="0" shapeId="0">
      <text>
        <t>추정: 현재 종가 ÷ BPS(추정 포함)
[valuation]</t>
      </text>
    </comment>
    <comment ref="AF31" authorId="0" shapeId="0">
      <text>
        <t>추정: 현재 종가 ÷ BPS(추정 포함)
[valuation]</t>
      </text>
    </comment>
    <comment ref="AG31" authorId="0" shapeId="0">
      <text>
        <t>추정: 현재 종가 ÷ BPS(추정 포함)
[valuation]</t>
      </text>
    </comment>
    <comment ref="AH31" authorId="0" shapeId="0">
      <text>
        <t>추정: 현재 종가 ÷ BPS(추정 포함)
[valuation]</t>
      </text>
    </comment>
    <comment ref="AI31" authorId="0" shapeId="0">
      <text>
        <t>추정: 현재 종가 ÷ BPS(추정 포함)
[valuation]</t>
      </text>
    </comment>
    <comment ref="AK31" authorId="0" shapeId="0">
      <text>
        <t>추정: 현재 종가 ÷ BPS(추정 포함)
[valuation]</t>
      </text>
    </comment>
    <comment ref="AL31" authorId="0" shapeId="0">
      <text>
        <t>추정: 현재 종가 ÷ BPS(추정 포함)
[valuation]</t>
      </text>
    </comment>
    <comment ref="AM31" authorId="0" shapeId="0">
      <text>
        <t>추정: 현재 종가 ÷ BPS(추정 포함)
[valuation]</t>
      </text>
    </comment>
    <comment ref="AN31" authorId="0" shapeId="0">
      <text>
        <t>추정: 현재 종가 ÷ BPS(추정 포함)
[valuation]</t>
      </text>
    </comment>
    <comment ref="E32" authorId="0" shapeId="0">
      <text>
        <t>실측(계정 매핑 없음(파생·부문·시세 행) — 모델값 직접) — = 매출액(부문 미분리)</t>
      </text>
    </comment>
    <comment ref="G32" authorId="0" shapeId="0">
      <text>
        <t>실측(계정 매핑 없음(파생·부문·시세 행) — 모델값 직접) — = 매출액(부문 미분리)</t>
      </text>
    </comment>
    <comment ref="H32" authorId="0" shapeId="0">
      <text>
        <t>실측(계정 매핑 없음(파생·부문·시세 행) — 모델값 직접) — = 매출액(부문 미분리)</t>
      </text>
    </comment>
    <comment ref="I32" authorId="0" shapeId="0">
      <text>
        <t>실측(계정 매핑 없음(파생·부문·시세 행) — 모델값 직접) — = 매출액(부문 미분리)</t>
      </text>
    </comment>
    <comment ref="J32" authorId="0" shapeId="0">
      <text>
        <t>실측(계정 매핑 없음(파생·부문·시세 행) — 모델값 직접) — = 매출액(부문 미분리)</t>
      </text>
    </comment>
    <comment ref="L32" authorId="0" shapeId="0">
      <text>
        <t>실측(계정 매핑 없음(파생·부문·시세 행) — 모델값 직접) — = 매출액(부문 미분리)</t>
      </text>
    </comment>
    <comment ref="M32" authorId="0" shapeId="0">
      <text>
        <t>실측(계정 매핑 없음(파생·부문·시세 행) — 모델값 직접) — = 매출액(부문 미분리)</t>
      </text>
    </comment>
    <comment ref="N32" authorId="0" shapeId="0">
      <text>
        <t>실측(계정 매핑 없음(파생·부문·시세 행) — 모델값 직접) — = 매출액(부문 미분리)</t>
      </text>
    </comment>
    <comment ref="O32" authorId="0" shapeId="0">
      <text>
        <t>실측(계정 매핑 없음(파생·부문·시세 행) — 모델값 직접) — = 매출액(부문 미분리)</t>
      </text>
    </comment>
    <comment ref="Q32" authorId="0" shapeId="0">
      <text>
        <t>실측(계정 매핑 없음(파생·부문·시세 행) — 모델값 직접) — = 매출액(부문 미분리)</t>
      </text>
    </comment>
    <comment ref="R32" authorId="0" shapeId="0">
      <text>
        <t>실측(계정 매핑 없음(파생·부문·시세 행) — 모델값 직접) — = 매출액(부문 미분리)</t>
      </text>
    </comment>
    <comment ref="S32" authorId="0" shapeId="0">
      <text>
        <t>실측(계정 매핑 없음(파생·부문·시세 행) — 모델값 직접) — = 매출액(부문 미분리)</t>
      </text>
    </comment>
    <comment ref="T32" authorId="0" shapeId="0">
      <text>
        <t>실측(계정 매핑 없음(파생·부문·시세 행) — 모델값 직접) — = 매출액(부문 미분리)</t>
      </text>
    </comment>
    <comment ref="V32" authorId="0" shapeId="0">
      <text>
        <t>실측(계정 매핑 없음(파생·부문·시세 행) — 모델값 직접) — = 매출액(부문 미분리)</t>
      </text>
    </comment>
    <comment ref="W32" authorId="0" shapeId="0">
      <text>
        <t>실측(계정 매핑 없음(파생·부문·시세 행) — 모델값 직접) — = 매출액(부문 미분리)</t>
      </text>
    </comment>
    <comment ref="X32" authorId="0" shapeId="0">
      <text>
        <t>실측(계정 매핑 없음(파생·부문·시세 행) — 모델값 직접) — = 매출액(부문 미분리)</t>
      </text>
    </comment>
    <comment ref="Y32" authorId="0" shapeId="0">
      <text>
        <t>실측(계정 매핑 없음(파생·부문·시세 행) — 모델값 직접) — = 매출액(부문 미분리)</t>
      </text>
    </comment>
    <comment ref="AA32" authorId="0" shapeId="0">
      <text>
        <t>실측(계정 매핑 없음(파생·부문·시세 행) — 모델값 직접) — = 매출액(부문 미분리)</t>
      </text>
    </comment>
    <comment ref="AB32" authorId="0" shapeId="0">
      <text>
        <t>실측(계정 매핑 없음(파생·부문·시세 행) — 모델값 직접) — = 매출액(부문 미분리)</t>
      </text>
    </comment>
    <comment ref="AC32" authorId="0" shapeId="0">
      <text>
        <t>추정: = 매출액 추정(부문 미분리)
[identity]</t>
      </text>
    </comment>
    <comment ref="AD32" authorId="0" shapeId="0">
      <text>
        <t>추정: = 매출액 추정(부문 미분리)
[identity]</t>
      </text>
    </comment>
    <comment ref="AF32" authorId="0" shapeId="0">
      <text>
        <t>추정: = 매출액 추정(부문 미분리)
[identity]</t>
      </text>
    </comment>
    <comment ref="AG32" authorId="0" shapeId="0">
      <text>
        <t>추정: = 매출액 추정(부문 미분리)
[identity]</t>
      </text>
    </comment>
    <comment ref="AH32" authorId="0" shapeId="0">
      <text>
        <t>추정: = 매출액 추정(부문 미분리)
[identity]</t>
      </text>
    </comment>
    <comment ref="AI32" authorId="0" shapeId="0">
      <text>
        <t>추정: = 매출액 추정(부문 미분리)
[identity]</t>
      </text>
    </comment>
    <comment ref="AK32" authorId="0" shapeId="0">
      <text>
        <t>추정: = 매출액 추정(부문 미분리)
[identity]</t>
      </text>
    </comment>
    <comment ref="AL32" authorId="0" shapeId="0">
      <text>
        <t>추정: = 매출액 추정(부문 미분리)
[identity]</t>
      </text>
    </comment>
    <comment ref="AM32" authorId="0" shapeId="0">
      <text>
        <t>추정: = 매출액 추정(부문 미분리)
[identity]</t>
      </text>
    </comment>
    <comment ref="AN32" authorId="0" shapeId="0">
      <text>
        <t>추정: = 매출액 추정(부문 미분리)
[identity]</t>
      </text>
    </comment>
    <comment ref="E33" authorId="0" shapeId="0">
      <text>
        <t>실측(계정 매핑 없음(파생·부문·시세 행) — 모델값 직접) — = 영업이익(부문 미분리)</t>
      </text>
    </comment>
    <comment ref="G33" authorId="0" shapeId="0">
      <text>
        <t>실측(계정 매핑 없음(파생·부문·시세 행) — 모델값 직접) — = 영업이익(부문 미분리)</t>
      </text>
    </comment>
    <comment ref="H33" authorId="0" shapeId="0">
      <text>
        <t>실측(계정 매핑 없음(파생·부문·시세 행) — 모델값 직접) — = 영업이익(부문 미분리)</t>
      </text>
    </comment>
    <comment ref="I33" authorId="0" shapeId="0">
      <text>
        <t>실측(계정 매핑 없음(파생·부문·시세 행) — 모델값 직접) — = 영업이익(부문 미분리)</t>
      </text>
    </comment>
    <comment ref="J33" authorId="0" shapeId="0">
      <text>
        <t>실측(계정 매핑 없음(파생·부문·시세 행) — 모델값 직접) — = 영업이익(부문 미분리)</t>
      </text>
    </comment>
    <comment ref="L33" authorId="0" shapeId="0">
      <text>
        <t>실측(계정 매핑 없음(파생·부문·시세 행) — 모델값 직접) — = 영업이익(부문 미분리)</t>
      </text>
    </comment>
    <comment ref="M33" authorId="0" shapeId="0">
      <text>
        <t>실측(계정 매핑 없음(파생·부문·시세 행) — 모델값 직접) — = 영업이익(부문 미분리)</t>
      </text>
    </comment>
    <comment ref="N33" authorId="0" shapeId="0">
      <text>
        <t>실측(계정 매핑 없음(파생·부문·시세 행) — 모델값 직접) — = 영업이익(부문 미분리)</t>
      </text>
    </comment>
    <comment ref="O33" authorId="0" shapeId="0">
      <text>
        <t>실측(계정 매핑 없음(파생·부문·시세 행) — 모델값 직접) — = 영업이익(부문 미분리)</t>
      </text>
    </comment>
    <comment ref="Q33" authorId="0" shapeId="0">
      <text>
        <t>실측(계정 매핑 없음(파생·부문·시세 행) — 모델값 직접) — = 영업이익(부문 미분리)</t>
      </text>
    </comment>
    <comment ref="R33" authorId="0" shapeId="0">
      <text>
        <t>실측(계정 매핑 없음(파생·부문·시세 행) — 모델값 직접) — = 영업이익(부문 미분리)</t>
      </text>
    </comment>
    <comment ref="S33" authorId="0" shapeId="0">
      <text>
        <t>실측(계정 매핑 없음(파생·부문·시세 행) — 모델값 직접) — = 영업이익(부문 미분리)</t>
      </text>
    </comment>
    <comment ref="T33" authorId="0" shapeId="0">
      <text>
        <t>실측(계정 매핑 없음(파생·부문·시세 행) — 모델값 직접) — = 영업이익(부문 미분리)</t>
      </text>
    </comment>
    <comment ref="V33" authorId="0" shapeId="0">
      <text>
        <t>실측(계정 매핑 없음(파생·부문·시세 행) — 모델값 직접) — = 영업이익(부문 미분리)</t>
      </text>
    </comment>
    <comment ref="W33" authorId="0" shapeId="0">
      <text>
        <t>실측(계정 매핑 없음(파생·부문·시세 행) — 모델값 직접) — = 영업이익(부문 미분리)</t>
      </text>
    </comment>
    <comment ref="X33" authorId="0" shapeId="0">
      <text>
        <t>실측(계정 매핑 없음(파생·부문·시세 행) — 모델값 직접) — = 영업이익(부문 미분리)</t>
      </text>
    </comment>
    <comment ref="Y33" authorId="0" shapeId="0">
      <text>
        <t>실측(계정 매핑 없음(파생·부문·시세 행) — 모델값 직접) — = 영업이익(부문 미분리)</t>
      </text>
    </comment>
    <comment ref="AA33" authorId="0" shapeId="0">
      <text>
        <t>실측(계정 매핑 없음(파생·부문·시세 행) — 모델값 직접) — = 영업이익(부문 미분리)</t>
      </text>
    </comment>
    <comment ref="AB33" authorId="0" shapeId="0">
      <text>
        <t>실측(계정 매핑 없음(파생·부문·시세 행) — 모델값 직접) — = 영업이익(부문 미분리)</t>
      </text>
    </comment>
    <comment ref="AC33" authorId="0" shapeId="0">
      <text>
        <t>추정: = 매출액 × OPM(부문 미분리)
[identity]</t>
      </text>
    </comment>
    <comment ref="AD33" authorId="0" shapeId="0">
      <text>
        <t>추정: = 매출액 × OPM(부문 미분리)
[identity]</t>
      </text>
    </comment>
    <comment ref="AF33" authorId="0" shapeId="0">
      <text>
        <t>추정: = 매출액 × OPM(부문 미분리)
[identity]</t>
      </text>
    </comment>
    <comment ref="AG33" authorId="0" shapeId="0">
      <text>
        <t>추정: = 매출액 × OPM(부문 미분리)
[identity]</t>
      </text>
    </comment>
    <comment ref="AH33" authorId="0" shapeId="0">
      <text>
        <t>추정: = 매출액 × OPM(부문 미분리)
[identity]</t>
      </text>
    </comment>
    <comment ref="AI33" authorId="0" shapeId="0">
      <text>
        <t>추정: = 매출액 × OPM(부문 미분리)
[identity]</t>
      </text>
    </comment>
    <comment ref="AK33" authorId="0" shapeId="0">
      <text>
        <t>추정: = 매출액 × OPM(부문 미분리)
[identity]</t>
      </text>
    </comment>
    <comment ref="AL33" authorId="0" shapeId="0">
      <text>
        <t>추정: = 매출액 × OPM(부문 미분리)
[identity]</t>
      </text>
    </comment>
    <comment ref="AM33" authorId="0" shapeId="0">
      <text>
        <t>추정: = 매출액 × OPM(부문 미분리)
[identity]</t>
      </text>
    </comment>
    <comment ref="AN33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하이록코리아(013030) 실적 모델 — ARGUS 한국조선</t>
        </is>
      </c>
    </row>
    <row r="2">
      <c r="A2" t="inlineStr">
        <is>
          <t>기준 분기 2026Q2 · 마지막 실적 2026Q2 · 생성 2026-10-12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23.22% — 법인세 = MAX(세전,0) × 세율, 추정 전 분기 연결(Σ법인세/Σmax(세전,0) 역산, 재현 오차 ≤ 0.05억). 모델 가정 23.22% · 근거: 최근 12분기 유효세율 23.2%(5~27% 안 — 그대로)</t>
        </is>
      </c>
    </row>
    <row r="23">
      <c r="A23" t="inlineStr">
        <is>
          <t>· 판관비율 12.27% — 판관비 = 매출액 × 판관비율, 추정 전 분기 연결</t>
        </is>
      </c>
    </row>
    <row r="24">
      <c r="A24" t="inlineStr">
        <is>
          <t>· 지배주주 비중 99.1% — 지배주주순이익 = 당기순이익 × 비중, 추정 전 분기 연결</t>
        </is>
      </c>
    </row>
    <row r="25">
      <c r="A25" t="inlineStr">
        <is>
          <t>· 이자율 자산 2.67% / 부채 — — 이자손익 = (전분기 이자발생자산 × 자산이자율 − 전분기 총차입금 × 부채이자율)/4, 최소자승 역산(모델 assumptions [0.0267, None] 는 4자리 반올림이라 그대로 쓰면 ±1억 어긋남) · 출처: {"asset": "CF 이자수취 ÷ 평균 이자발생자산(2025Q3~2026Q2; 주석 이자수익 0분기 &lt; 4)", "debt": null}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7.0/7.6/8.1배(hist_quarterly(분기 평균가 ÷ TTM EPS, 16분기, 25/50/75 백분위))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assets/models/013030.json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매출 드라이버 폴백(고객 조선사 연결 없음(suppliers.json)): 전년동기 × (1+g) 추세 / 감가상각비가 face·CF 에 없음(주석 미파싱) → EBITDA·EV/EBITDA 미산출 / 금융손익 실적→추정 단절: 최근 4분기 실적 +33/+26/+43/+24(중위 +30억) → 추정 2026Q3 +13억(차 -17억, -57%) — 추정은 이자손익 + 기타금융 중위, 외환·파생 평가손익 0 가정(환율 효과는 환관련손익 행). 값은 바꾸지 않음 — 지배NI·EPS 해석 시 참고</t>
        </is>
      </c>
    </row>
    <row r="34">
      <c r="A34" t="inlineStr">
        <is>
          <t>백테스트: {"freeze": "2025Q2", "horizon": 4, "revenue_wape_pct": 7.8, "op_wape_pct": 0.8, "n": 4, "note": "단일 회사 4분기 — 통계 아님", "driver_at_freeze": "trend_seasonal", "selection_oos_at_freeze": null,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473.52, "rev_act": 538.45, "op_pred": 142.99, "op_act": 141.98}, {"q": "2025Q4", "rev_pred": 516.21, "rev_act": 573.52, "op_pred": 155.87, "op_act": 155.81}, {"q": "2026Q1", "rev_pred": 512.74, "rev_act": 541.46, "op_pred": 154.83, "op_act": 156.86}, {"q": "2026Q2", "rev_pred": 568.14, "rev_act": 592.51, "op_pred": 171.56, "op_act": 169.91}]}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1345.14</v>
      </c>
      <c r="AE6" s="17" t="n">
        <v>1457.21</v>
      </c>
      <c r="AF6" s="16" t="n">
        <v>1341.49</v>
      </c>
      <c r="AG6" s="16" t="n">
        <v>1341.49</v>
      </c>
      <c r="AH6" s="16" t="n">
        <v>1341.49</v>
      </c>
      <c r="AI6" s="16" t="n">
        <v>1341.49</v>
      </c>
      <c r="AJ6" s="11" t="n"/>
      <c r="AK6" s="16" t="n">
        <v>1341.49</v>
      </c>
      <c r="AL6" s="16" t="n">
        <v>1341.49</v>
      </c>
      <c r="AM6" s="16" t="n">
        <v>1341.49</v>
      </c>
      <c r="AN6" s="16" t="n">
        <v>1341.49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1341.49</v>
      </c>
      <c r="AE7" s="17" t="n">
        <v>1341.49</v>
      </c>
      <c r="AF7" s="16" t="n">
        <v>1341.49</v>
      </c>
      <c r="AG7" s="16" t="n">
        <v>1341.49</v>
      </c>
      <c r="AH7" s="16" t="n">
        <v>1341.49</v>
      </c>
      <c r="AI7" s="16" t="n">
        <v>1341.49</v>
      </c>
      <c r="AJ7" s="11" t="n"/>
      <c r="AK7" s="16" t="n">
        <v>1341.49</v>
      </c>
      <c r="AL7" s="16" t="n">
        <v>1341.49</v>
      </c>
      <c r="AM7" s="16" t="n">
        <v>1341.49</v>
      </c>
      <c r="AN7" s="16" t="n">
        <v>1341.49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850.79</v>
      </c>
      <c r="AE8" s="17" t="n">
        <v>919.21</v>
      </c>
      <c r="AF8" s="16" t="n">
        <v>847.7</v>
      </c>
      <c r="AG8" s="16" t="n">
        <v>847.7</v>
      </c>
      <c r="AH8" s="16" t="n">
        <v>847.7</v>
      </c>
      <c r="AI8" s="16" t="n">
        <v>847.7</v>
      </c>
      <c r="AJ8" s="11" t="n"/>
      <c r="AK8" s="16" t="n">
        <v>847.7</v>
      </c>
      <c r="AL8" s="16" t="n">
        <v>847.7</v>
      </c>
      <c r="AM8" s="16" t="n">
        <v>847.7</v>
      </c>
      <c r="AN8" s="16" t="n">
        <v>847.7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847.7</v>
      </c>
      <c r="AE9" s="17" t="n">
        <v>847.7</v>
      </c>
      <c r="AF9" s="16" t="n">
        <v>847.7</v>
      </c>
      <c r="AG9" s="16" t="n">
        <v>847.7</v>
      </c>
      <c r="AH9" s="16" t="n">
        <v>847.7</v>
      </c>
      <c r="AI9" s="16" t="n">
        <v>847.7</v>
      </c>
      <c r="AJ9" s="11" t="n"/>
      <c r="AK9" s="16" t="n">
        <v>847.7</v>
      </c>
      <c r="AL9" s="16" t="n">
        <v>847.7</v>
      </c>
      <c r="AM9" s="16" t="n">
        <v>847.7</v>
      </c>
      <c r="AN9" s="16" t="n">
        <v>847.7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1509.74</v>
      </c>
      <c r="AE10" s="17" t="n">
        <v>1689.95</v>
      </c>
      <c r="AF10" s="16" t="n">
        <v>1503.27</v>
      </c>
      <c r="AG10" s="16" t="n">
        <v>1503.27</v>
      </c>
      <c r="AH10" s="16" t="n">
        <v>1503.27</v>
      </c>
      <c r="AI10" s="16" t="n">
        <v>1503.27</v>
      </c>
      <c r="AJ10" s="11" t="n"/>
      <c r="AK10" s="16" t="n">
        <v>1503.27</v>
      </c>
      <c r="AL10" s="16" t="n">
        <v>1503.27</v>
      </c>
      <c r="AM10" s="16" t="n">
        <v>1503.27</v>
      </c>
      <c r="AN10" s="16" t="n">
        <v>1503.27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1503.27</v>
      </c>
      <c r="AE11" s="17" t="n">
        <v>1503.27</v>
      </c>
      <c r="AF11" s="16" t="n">
        <v>1503.27</v>
      </c>
      <c r="AG11" s="16" t="n">
        <v>1503.27</v>
      </c>
      <c r="AH11" s="16" t="n">
        <v>1503.27</v>
      </c>
      <c r="AI11" s="16" t="n">
        <v>1503.27</v>
      </c>
      <c r="AJ11" s="11" t="n"/>
      <c r="AK11" s="16" t="n">
        <v>1503.27</v>
      </c>
      <c r="AL11" s="16" t="n">
        <v>1503.27</v>
      </c>
      <c r="AM11" s="16" t="n">
        <v>1503.27</v>
      </c>
      <c r="AN11" s="16" t="n">
        <v>1503.27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200.69</v>
      </c>
      <c r="AE12" s="17" t="n">
        <v>213.75</v>
      </c>
      <c r="AF12" s="16" t="n">
        <v>200.46</v>
      </c>
      <c r="AG12" s="16" t="n">
        <v>200.46</v>
      </c>
      <c r="AH12" s="16" t="n">
        <v>200.46</v>
      </c>
      <c r="AI12" s="16" t="n">
        <v>200.46</v>
      </c>
      <c r="AJ12" s="11" t="n"/>
      <c r="AK12" s="16" t="n">
        <v>200.46</v>
      </c>
      <c r="AL12" s="16" t="n">
        <v>200.46</v>
      </c>
      <c r="AM12" s="16" t="n">
        <v>200.46</v>
      </c>
      <c r="AN12" s="16" t="n">
        <v>200.46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200.46</v>
      </c>
      <c r="AE13" s="17" t="n">
        <v>200.46</v>
      </c>
      <c r="AF13" s="16" t="n">
        <v>200.46</v>
      </c>
      <c r="AG13" s="16" t="n">
        <v>200.46</v>
      </c>
      <c r="AH13" s="16" t="n">
        <v>200.46</v>
      </c>
      <c r="AI13" s="16" t="n">
        <v>200.46</v>
      </c>
      <c r="AJ13" s="11" t="n"/>
      <c r="AK13" s="16" t="n">
        <v>200.46</v>
      </c>
      <c r="AL13" s="16" t="n">
        <v>200.46</v>
      </c>
      <c r="AM13" s="16" t="n">
        <v>200.46</v>
      </c>
      <c r="AN13" s="16" t="n">
        <v>200.46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16750</v>
      </c>
      <c r="F15" s="9" t="n"/>
      <c r="G15" s="18" t="n">
        <v>17950</v>
      </c>
      <c r="H15" s="18" t="n">
        <v>18650</v>
      </c>
      <c r="I15" s="18" t="n">
        <v>21000</v>
      </c>
      <c r="J15" s="18" t="n">
        <v>20500</v>
      </c>
      <c r="K15" s="9" t="n"/>
      <c r="L15" s="18" t="n">
        <v>23050</v>
      </c>
      <c r="M15" s="18" t="n">
        <v>26350</v>
      </c>
      <c r="N15" s="18" t="n">
        <v>27250</v>
      </c>
      <c r="O15" s="18" t="n">
        <v>26650</v>
      </c>
      <c r="P15" s="9" t="n"/>
      <c r="Q15" s="18" t="n">
        <v>25950</v>
      </c>
      <c r="R15" s="18" t="n">
        <v>27900</v>
      </c>
      <c r="S15" s="18" t="n">
        <v>25100</v>
      </c>
      <c r="T15" s="18" t="n">
        <v>25150</v>
      </c>
      <c r="U15" s="9" t="n"/>
      <c r="V15" s="18" t="n">
        <v>26600</v>
      </c>
      <c r="W15" s="18" t="n">
        <v>30150</v>
      </c>
      <c r="X15" s="18" t="n">
        <v>34650</v>
      </c>
      <c r="Y15" s="18" t="n">
        <v>30750</v>
      </c>
      <c r="Z15" s="9" t="n"/>
      <c r="AA15" s="18" t="n">
        <v>34950</v>
      </c>
      <c r="AB15" s="19" t="n">
        <v>31550</v>
      </c>
      <c r="AC15" s="20" t="n">
        <v>36650</v>
      </c>
      <c r="AD15" s="20" t="n">
        <v>33350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19600</v>
      </c>
      <c r="F16" s="9" t="n"/>
      <c r="G16" s="18" t="n">
        <v>18550</v>
      </c>
      <c r="H16" s="18" t="n">
        <v>19550</v>
      </c>
      <c r="I16" s="18" t="n">
        <v>26900</v>
      </c>
      <c r="J16" s="18" t="n">
        <v>23700</v>
      </c>
      <c r="K16" s="9" t="n"/>
      <c r="L16" s="18" t="n">
        <v>25450</v>
      </c>
      <c r="M16" s="18" t="n">
        <v>26650</v>
      </c>
      <c r="N16" s="18" t="n">
        <v>31600</v>
      </c>
      <c r="O16" s="18" t="n">
        <v>28550</v>
      </c>
      <c r="P16" s="9" t="n"/>
      <c r="Q16" s="18" t="n">
        <v>28100</v>
      </c>
      <c r="R16" s="18" t="n">
        <v>30250</v>
      </c>
      <c r="S16" s="18" t="n">
        <v>29350</v>
      </c>
      <c r="T16" s="18" t="n">
        <v>27550</v>
      </c>
      <c r="U16" s="9" t="n"/>
      <c r="V16" s="18" t="n">
        <v>32450</v>
      </c>
      <c r="W16" s="18" t="n">
        <v>32200</v>
      </c>
      <c r="X16" s="18" t="n">
        <v>41500</v>
      </c>
      <c r="Y16" s="18" t="n">
        <v>39600</v>
      </c>
      <c r="Z16" s="9" t="n"/>
      <c r="AA16" s="18" t="n">
        <v>41800</v>
      </c>
      <c r="AB16" s="19" t="n">
        <v>48100</v>
      </c>
      <c r="AC16" s="20" t="n">
        <v>39150</v>
      </c>
      <c r="AD16" s="20" t="n">
        <v>37200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15100</v>
      </c>
      <c r="F17" s="9" t="n"/>
      <c r="G17" s="18" t="n">
        <v>14950</v>
      </c>
      <c r="H17" s="18" t="n">
        <v>16100</v>
      </c>
      <c r="I17" s="18" t="n">
        <v>16550</v>
      </c>
      <c r="J17" s="18" t="n">
        <v>18750</v>
      </c>
      <c r="K17" s="9" t="n"/>
      <c r="L17" s="18" t="n">
        <v>18750</v>
      </c>
      <c r="M17" s="18" t="n">
        <v>20200</v>
      </c>
      <c r="N17" s="18" t="n">
        <v>24950</v>
      </c>
      <c r="O17" s="18" t="n">
        <v>22950</v>
      </c>
      <c r="P17" s="9" t="n"/>
      <c r="Q17" s="18" t="n">
        <v>23250</v>
      </c>
      <c r="R17" s="18" t="n">
        <v>24100</v>
      </c>
      <c r="S17" s="18" t="n">
        <v>23400</v>
      </c>
      <c r="T17" s="18" t="n">
        <v>22400</v>
      </c>
      <c r="U17" s="9" t="n"/>
      <c r="V17" s="18" t="n">
        <v>24700</v>
      </c>
      <c r="W17" s="18" t="n">
        <v>25050</v>
      </c>
      <c r="X17" s="18" t="n">
        <v>28250</v>
      </c>
      <c r="Y17" s="18" t="n">
        <v>30400</v>
      </c>
      <c r="Z17" s="9" t="n"/>
      <c r="AA17" s="18" t="n">
        <v>29550</v>
      </c>
      <c r="AB17" s="19" t="n">
        <v>29150</v>
      </c>
      <c r="AC17" s="20" t="n">
        <v>27550</v>
      </c>
      <c r="AD17" s="20" t="n">
        <v>33000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17332.5</v>
      </c>
      <c r="F18" s="9" t="n"/>
      <c r="G18" s="18" t="n">
        <v>17076.3</v>
      </c>
      <c r="H18" s="18" t="n">
        <v>18184.7</v>
      </c>
      <c r="I18" s="18" t="n">
        <v>20820.6</v>
      </c>
      <c r="J18" s="18" t="n">
        <v>21030.6</v>
      </c>
      <c r="K18" s="9" t="n"/>
      <c r="L18" s="18" t="n">
        <v>22295.2</v>
      </c>
      <c r="M18" s="18" t="n">
        <v>22935.2</v>
      </c>
      <c r="N18" s="18" t="n">
        <v>27416.1</v>
      </c>
      <c r="O18" s="18" t="n">
        <v>26108.3</v>
      </c>
      <c r="P18" s="9" t="n"/>
      <c r="Q18" s="18" t="n">
        <v>25520.5</v>
      </c>
      <c r="R18" s="18" t="n">
        <v>27053.3</v>
      </c>
      <c r="S18" s="18" t="n">
        <v>26740.3</v>
      </c>
      <c r="T18" s="18" t="n">
        <v>24737.7</v>
      </c>
      <c r="U18" s="9" t="n"/>
      <c r="V18" s="18" t="n">
        <v>28184.5</v>
      </c>
      <c r="W18" s="18" t="n">
        <v>28673.3</v>
      </c>
      <c r="X18" s="18" t="n">
        <v>31993.8</v>
      </c>
      <c r="Y18" s="18" t="n">
        <v>34214.4</v>
      </c>
      <c r="Z18" s="9" t="n"/>
      <c r="AA18" s="18" t="n">
        <v>34394.9</v>
      </c>
      <c r="AB18" s="19" t="n">
        <v>38186.1</v>
      </c>
      <c r="AC18" s="20" t="n">
        <v>32882.3</v>
      </c>
      <c r="AD18" s="20" t="n">
        <v>35216.7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0.134197702</v>
      </c>
      <c r="AD21" s="24" t="n">
        <v>0.134201954</v>
      </c>
      <c r="AE21" s="25" t="n"/>
      <c r="AF21" s="24" t="n">
        <v>0.134195671</v>
      </c>
      <c r="AG21" s="24" t="n">
        <v>0.134195274</v>
      </c>
      <c r="AH21" s="24" t="n">
        <v>0.067102225</v>
      </c>
      <c r="AI21" s="24" t="n">
        <v>0.067103261</v>
      </c>
      <c r="AJ21" s="25" t="n"/>
      <c r="AK21" s="24" t="n">
        <v>0.067104149</v>
      </c>
      <c r="AL21" s="24" t="n">
        <v>0.06711109799999999</v>
      </c>
      <c r="AM21" s="24" t="n">
        <v>0.033543556</v>
      </c>
      <c r="AN21" s="24" t="n">
        <v>0.033537903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$D$46</f>
        <v/>
      </c>
      <c r="AD22" s="26">
        <f>$D$46</f>
        <v/>
      </c>
      <c r="AE22" s="25">
        <f>IFERROR(subQ!AE8/subQ!AE5,"")</f>
        <v/>
      </c>
      <c r="AF22" s="26">
        <f>$D$46</f>
        <v/>
      </c>
      <c r="AG22" s="26">
        <f>$D$46</f>
        <v/>
      </c>
      <c r="AH22" s="26">
        <f>$D$46</f>
        <v/>
      </c>
      <c r="AI22" s="26">
        <f>$D$46</f>
        <v/>
      </c>
      <c r="AJ22" s="25">
        <f>IFERROR(subQ!AJ8/subQ!AJ5,"")</f>
        <v/>
      </c>
      <c r="AK22" s="26">
        <f>$D$46</f>
        <v/>
      </c>
      <c r="AL22" s="26">
        <f>$D$46</f>
        <v/>
      </c>
      <c r="AM22" s="26">
        <f>$D$46</f>
        <v/>
      </c>
      <c r="AN22" s="26">
        <f>$D$46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0.279215994</v>
      </c>
      <c r="AD23" s="24" t="n">
        <v>0.27922028</v>
      </c>
      <c r="AE23" s="25">
        <f>IFERROR(subQ!AE9/subQ!AE5,"")</f>
        <v/>
      </c>
      <c r="AF23" s="24" t="n">
        <v>0.279212532</v>
      </c>
      <c r="AG23" s="24" t="n">
        <v>0.27921788</v>
      </c>
      <c r="AH23" s="24" t="n">
        <v>0.279212509</v>
      </c>
      <c r="AI23" s="24" t="n">
        <v>0.279208805</v>
      </c>
      <c r="AJ23" s="25">
        <f>IFERROR(subQ!AJ9/subQ!AJ5,"")</f>
        <v/>
      </c>
      <c r="AK23" s="24" t="n">
        <v>0.279218104</v>
      </c>
      <c r="AL23" s="24" t="n">
        <v>0.279214079</v>
      </c>
      <c r="AM23" s="24" t="n">
        <v>0.279222033</v>
      </c>
      <c r="AN23" s="24" t="n">
        <v>0.279208832</v>
      </c>
      <c r="AO23" s="25">
        <f>IFERROR(subQ!AO9/subQ!AO5,"")</f>
        <v/>
      </c>
    </row>
    <row r="24">
      <c r="A24" s="12" t="inlineStr">
        <is>
          <t>drv:기타영업외손익</t>
        </is>
      </c>
      <c r="B24" s="2" t="inlineStr">
        <is>
          <t>abs</t>
        </is>
      </c>
      <c r="C24" t="inlineStr">
        <is>
          <t>기타영업외손익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drv:법인세비용</t>
        </is>
      </c>
      <c r="B25" s="2" t="inlineStr">
        <is>
          <t>tax</t>
        </is>
      </c>
      <c r="C25" t="inlineStr">
        <is>
          <t>법인세율(/세전) — 법인세 = MAX(세전,0) × 세율</t>
        </is>
      </c>
      <c r="E25" s="21">
        <f>IFERROR(subQ!E15/subQ!E14,"")</f>
        <v/>
      </c>
      <c r="F25" s="22">
        <f>IFERROR(subQ!F15/subQ!F14,"")</f>
        <v/>
      </c>
      <c r="G25" s="21">
        <f>IFERROR(subQ!G15/subQ!G14,"")</f>
        <v/>
      </c>
      <c r="H25" s="21">
        <f>IFERROR(subQ!H15/subQ!H14,"")</f>
        <v/>
      </c>
      <c r="I25" s="21">
        <f>IFERROR(subQ!I15/subQ!I14,"")</f>
        <v/>
      </c>
      <c r="J25" s="21">
        <f>IFERROR(subQ!J15/subQ!J14,"")</f>
        <v/>
      </c>
      <c r="K25" s="22">
        <f>IFERROR(subQ!K15/subQ!K14,"")</f>
        <v/>
      </c>
      <c r="L25" s="21">
        <f>IFERROR(subQ!L15/subQ!L14,"")</f>
        <v/>
      </c>
      <c r="M25" s="21">
        <f>IFERROR(subQ!M15/subQ!M14,"")</f>
        <v/>
      </c>
      <c r="N25" s="21">
        <f>IFERROR(subQ!N15/subQ!N14,"")</f>
        <v/>
      </c>
      <c r="O25" s="21">
        <f>IFERROR(subQ!O15/subQ!O14,"")</f>
        <v/>
      </c>
      <c r="P25" s="22">
        <f>IFERROR(subQ!P15/subQ!P14,"")</f>
        <v/>
      </c>
      <c r="Q25" s="21">
        <f>IFERROR(subQ!Q15/subQ!Q14,"")</f>
        <v/>
      </c>
      <c r="R25" s="21">
        <f>IFERROR(subQ!R15/subQ!R14,"")</f>
        <v/>
      </c>
      <c r="S25" s="21">
        <f>IFERROR(subQ!S15/subQ!S14,"")</f>
        <v/>
      </c>
      <c r="T25" s="21">
        <f>IFERROR(subQ!T15/subQ!T14,"")</f>
        <v/>
      </c>
      <c r="U25" s="22">
        <f>IFERROR(subQ!U15/subQ!U14,"")</f>
        <v/>
      </c>
      <c r="V25" s="21">
        <f>IFERROR(subQ!V15/subQ!V14,"")</f>
        <v/>
      </c>
      <c r="W25" s="21">
        <f>IFERROR(subQ!W15/subQ!W14,"")</f>
        <v/>
      </c>
      <c r="X25" s="21">
        <f>IFERROR(subQ!X15/subQ!X14,"")</f>
        <v/>
      </c>
      <c r="Y25" s="21">
        <f>IFERROR(subQ!Y15/subQ!Y14,"")</f>
        <v/>
      </c>
      <c r="Z25" s="22">
        <f>IFERROR(subQ!Z15/subQ!Z14,"")</f>
        <v/>
      </c>
      <c r="AA25" s="21">
        <f>IFERROR(subQ!AA15/subQ!AA14,"")</f>
        <v/>
      </c>
      <c r="AB25" s="23">
        <f>IFERROR(subQ!AB15/subQ!AB14,"")</f>
        <v/>
      </c>
      <c r="AC25" s="26">
        <f>$D$45</f>
        <v/>
      </c>
      <c r="AD25" s="26">
        <f>$D$45</f>
        <v/>
      </c>
      <c r="AE25" s="25">
        <f>IFERROR(subQ!AE15/subQ!AE14,"")</f>
        <v/>
      </c>
      <c r="AF25" s="26">
        <f>$D$45</f>
        <v/>
      </c>
      <c r="AG25" s="26">
        <f>$D$45</f>
        <v/>
      </c>
      <c r="AH25" s="26">
        <f>$D$45</f>
        <v/>
      </c>
      <c r="AI25" s="26">
        <f>$D$45</f>
        <v/>
      </c>
      <c r="AJ25" s="25">
        <f>IFERROR(subQ!AJ15/subQ!AJ14,"")</f>
        <v/>
      </c>
      <c r="AK25" s="26">
        <f>$D$45</f>
        <v/>
      </c>
      <c r="AL25" s="26">
        <f>$D$45</f>
        <v/>
      </c>
      <c r="AM25" s="26">
        <f>$D$45</f>
        <v/>
      </c>
      <c r="AN25" s="26">
        <f>$D$45</f>
        <v/>
      </c>
      <c r="AO25" s="25">
        <f>IFERROR(subQ!AO15/subQ!AO14,"")</f>
        <v/>
      </c>
    </row>
    <row r="26">
      <c r="A26" s="12" t="inlineStr">
        <is>
          <t>drv:지배주주순이익</t>
        </is>
      </c>
      <c r="B26" s="2" t="inlineStr">
        <is>
          <t>ratio</t>
        </is>
      </c>
      <c r="C26" t="inlineStr">
        <is>
          <t>지배주주 비중(/당기순이익)</t>
        </is>
      </c>
      <c r="E26" s="21">
        <f>IFERROR(subQ!E17/subQ!E16,"")</f>
        <v/>
      </c>
      <c r="F26" s="22">
        <f>IFERROR(subQ!F17/subQ!F16,"")</f>
        <v/>
      </c>
      <c r="G26" s="21">
        <f>IFERROR(subQ!G17/subQ!G16,"")</f>
        <v/>
      </c>
      <c r="H26" s="21">
        <f>IFERROR(subQ!H17/subQ!H16,"")</f>
        <v/>
      </c>
      <c r="I26" s="21">
        <f>IFERROR(subQ!I17/subQ!I16,"")</f>
        <v/>
      </c>
      <c r="J26" s="21">
        <f>IFERROR(subQ!J17/subQ!J16,"")</f>
        <v/>
      </c>
      <c r="K26" s="22">
        <f>IFERROR(subQ!K17/subQ!K16,"")</f>
        <v/>
      </c>
      <c r="L26" s="21">
        <f>IFERROR(subQ!L17/subQ!L16,"")</f>
        <v/>
      </c>
      <c r="M26" s="21">
        <f>IFERROR(subQ!M17/subQ!M16,"")</f>
        <v/>
      </c>
      <c r="N26" s="21">
        <f>IFERROR(subQ!N17/subQ!N16,"")</f>
        <v/>
      </c>
      <c r="O26" s="21">
        <f>IFERROR(subQ!O17/subQ!O16,"")</f>
        <v/>
      </c>
      <c r="P26" s="22">
        <f>IFERROR(subQ!P17/subQ!P16,"")</f>
        <v/>
      </c>
      <c r="Q26" s="21">
        <f>IFERROR(subQ!Q17/subQ!Q16,"")</f>
        <v/>
      </c>
      <c r="R26" s="21">
        <f>IFERROR(subQ!R17/subQ!R16,"")</f>
        <v/>
      </c>
      <c r="S26" s="21">
        <f>IFERROR(subQ!S17/subQ!S16,"")</f>
        <v/>
      </c>
      <c r="T26" s="21">
        <f>IFERROR(subQ!T17/subQ!T16,"")</f>
        <v/>
      </c>
      <c r="U26" s="22">
        <f>IFERROR(subQ!U17/subQ!U16,"")</f>
        <v/>
      </c>
      <c r="V26" s="21">
        <f>IFERROR(subQ!V17/subQ!V16,"")</f>
        <v/>
      </c>
      <c r="W26" s="21">
        <f>IFERROR(subQ!W17/subQ!W16,"")</f>
        <v/>
      </c>
      <c r="X26" s="21">
        <f>IFERROR(subQ!X17/subQ!X16,"")</f>
        <v/>
      </c>
      <c r="Y26" s="21">
        <f>IFERROR(subQ!Y17/subQ!Y16,"")</f>
        <v/>
      </c>
      <c r="Z26" s="22">
        <f>IFERROR(subQ!Z17/subQ!Z16,"")</f>
        <v/>
      </c>
      <c r="AA26" s="21">
        <f>IFERROR(subQ!AA17/subQ!AA16,"")</f>
        <v/>
      </c>
      <c r="AB26" s="23">
        <f>IFERROR(subQ!AB17/subQ!AB16,"")</f>
        <v/>
      </c>
      <c r="AC26" s="26">
        <f>$D$47</f>
        <v/>
      </c>
      <c r="AD26" s="26">
        <f>$D$47</f>
        <v/>
      </c>
      <c r="AE26" s="25">
        <f>IFERROR(subQ!AE17/subQ!AE16,"")</f>
        <v/>
      </c>
      <c r="AF26" s="26">
        <f>$D$47</f>
        <v/>
      </c>
      <c r="AG26" s="26">
        <f>$D$47</f>
        <v/>
      </c>
      <c r="AH26" s="26">
        <f>$D$47</f>
        <v/>
      </c>
      <c r="AI26" s="26">
        <f>$D$47</f>
        <v/>
      </c>
      <c r="AJ26" s="25">
        <f>IFERROR(subQ!AJ17/subQ!AJ16,"")</f>
        <v/>
      </c>
      <c r="AK26" s="26">
        <f>$D$47</f>
        <v/>
      </c>
      <c r="AL26" s="26">
        <f>$D$47</f>
        <v/>
      </c>
      <c r="AM26" s="26">
        <f>$D$47</f>
        <v/>
      </c>
      <c r="AN26" s="26">
        <f>$D$47</f>
        <v/>
      </c>
      <c r="AO26" s="25">
        <f>IFERROR(subQ!AO17/subQ!AO16,"")</f>
        <v/>
      </c>
    </row>
    <row r="27">
      <c r="A27" s="12" t="inlineStr">
        <is>
          <t>drv:부채총계</t>
        </is>
      </c>
      <c r="B27" s="2" t="inlineStr">
        <is>
          <t>qoq</t>
        </is>
      </c>
      <c r="C27" t="inlineStr">
        <is>
          <t>부채총계 QoQ</t>
        </is>
      </c>
      <c r="E27" s="21" t="n"/>
      <c r="F27" s="22" t="n"/>
      <c r="G27" s="21">
        <f>IFERROR(subQ!G19/subQ!E19-1,"")</f>
        <v/>
      </c>
      <c r="H27" s="21">
        <f>IFERROR(subQ!H19/subQ!G19-1,"")</f>
        <v/>
      </c>
      <c r="I27" s="21">
        <f>IFERROR(subQ!I19/subQ!H19-1,"")</f>
        <v/>
      </c>
      <c r="J27" s="21">
        <f>IFERROR(subQ!J19/subQ!I19-1,"")</f>
        <v/>
      </c>
      <c r="K27" s="22" t="n"/>
      <c r="L27" s="21">
        <f>IFERROR(subQ!L19/subQ!J19-1,"")</f>
        <v/>
      </c>
      <c r="M27" s="21">
        <f>IFERROR(subQ!M19/subQ!L19-1,"")</f>
        <v/>
      </c>
      <c r="N27" s="21">
        <f>IFERROR(subQ!N19/subQ!M19-1,"")</f>
        <v/>
      </c>
      <c r="O27" s="21">
        <f>IFERROR(subQ!O19/subQ!N19-1,"")</f>
        <v/>
      </c>
      <c r="P27" s="22" t="n"/>
      <c r="Q27" s="21">
        <f>IFERROR(subQ!Q19/subQ!O19-1,"")</f>
        <v/>
      </c>
      <c r="R27" s="21">
        <f>IFERROR(subQ!R19/subQ!Q19-1,"")</f>
        <v/>
      </c>
      <c r="S27" s="21">
        <f>IFERROR(subQ!S19/subQ!R19-1,"")</f>
        <v/>
      </c>
      <c r="T27" s="21">
        <f>IFERROR(subQ!T19/subQ!S19-1,"")</f>
        <v/>
      </c>
      <c r="U27" s="22" t="n"/>
      <c r="V27" s="21">
        <f>IFERROR(subQ!V19/subQ!T19-1,"")</f>
        <v/>
      </c>
      <c r="W27" s="21">
        <f>IFERROR(subQ!W19/subQ!V19-1,"")</f>
        <v/>
      </c>
      <c r="X27" s="21">
        <f>IFERROR(subQ!X19/subQ!W19-1,"")</f>
        <v/>
      </c>
      <c r="Y27" s="21">
        <f>IFERROR(subQ!Y19/subQ!X19-1,"")</f>
        <v/>
      </c>
      <c r="Z27" s="22" t="n"/>
      <c r="AA27" s="21">
        <f>IFERROR(subQ!AA19/subQ!Y19-1,"")</f>
        <v/>
      </c>
      <c r="AB27" s="23">
        <f>IFERROR(subQ!AB19/subQ!AA19-1,"")</f>
        <v/>
      </c>
      <c r="AC27" s="24" t="n">
        <v>-2.127e-06</v>
      </c>
      <c r="AD27" s="24" t="n">
        <v>0</v>
      </c>
      <c r="AE27" s="25" t="n"/>
      <c r="AF27" s="24" t="n">
        <v>0</v>
      </c>
      <c r="AG27" s="24" t="n">
        <v>0</v>
      </c>
      <c r="AH27" s="24" t="n">
        <v>0</v>
      </c>
      <c r="AI27" s="24" t="n">
        <v>0</v>
      </c>
      <c r="AJ27" s="25" t="n"/>
      <c r="AK27" s="24" t="n">
        <v>0</v>
      </c>
      <c r="AL27" s="24" t="n">
        <v>0</v>
      </c>
      <c r="AM27" s="24" t="n">
        <v>0</v>
      </c>
      <c r="AN27" s="24" t="n">
        <v>0</v>
      </c>
      <c r="AO27" s="25" t="n"/>
    </row>
    <row r="28">
      <c r="A28" s="12" t="inlineStr">
        <is>
          <t>drv:자본총계</t>
        </is>
      </c>
      <c r="B28" s="2" t="inlineStr">
        <is>
          <t>roll</t>
        </is>
      </c>
      <c r="C28" t="inlineStr">
        <is>
          <t>자본총계 기타변동(배당 등, 억원)</t>
        </is>
      </c>
      <c r="E28" s="27" t="n"/>
      <c r="F28" s="28" t="n"/>
      <c r="G28" s="27">
        <f>IFERROR(subQ!E20+subQ!G16-subQ!G20,"")</f>
        <v/>
      </c>
      <c r="H28" s="27">
        <f>IFERROR(subQ!G20+subQ!H16-subQ!H20,"")</f>
        <v/>
      </c>
      <c r="I28" s="27">
        <f>IFERROR(subQ!H20+subQ!I16-subQ!I20,"")</f>
        <v/>
      </c>
      <c r="J28" s="27">
        <f>IFERROR(subQ!I20+subQ!J16-subQ!J20,"")</f>
        <v/>
      </c>
      <c r="K28" s="28" t="n"/>
      <c r="L28" s="27">
        <f>IFERROR(subQ!J20+subQ!L16-subQ!L20,"")</f>
        <v/>
      </c>
      <c r="M28" s="27">
        <f>IFERROR(subQ!L20+subQ!M16-subQ!M20,"")</f>
        <v/>
      </c>
      <c r="N28" s="27">
        <f>IFERROR(subQ!M20+subQ!N16-subQ!N20,"")</f>
        <v/>
      </c>
      <c r="O28" s="27">
        <f>IFERROR(subQ!N20+subQ!O16-subQ!O20,"")</f>
        <v/>
      </c>
      <c r="P28" s="28" t="n"/>
      <c r="Q28" s="27">
        <f>IFERROR(subQ!O20+subQ!Q16-subQ!Q20,"")</f>
        <v/>
      </c>
      <c r="R28" s="27">
        <f>IFERROR(subQ!Q20+subQ!R16-subQ!R20,"")</f>
        <v/>
      </c>
      <c r="S28" s="27">
        <f>IFERROR(subQ!R20+subQ!S16-subQ!S20,"")</f>
        <v/>
      </c>
      <c r="T28" s="27">
        <f>IFERROR(subQ!S20+subQ!T16-subQ!T20,"")</f>
        <v/>
      </c>
      <c r="U28" s="28" t="n"/>
      <c r="V28" s="27">
        <f>IFERROR(subQ!T20+subQ!V16-subQ!V20,"")</f>
        <v/>
      </c>
      <c r="W28" s="27">
        <f>IFERROR(subQ!V20+subQ!W16-subQ!W20,"")</f>
        <v/>
      </c>
      <c r="X28" s="27">
        <f>IFERROR(subQ!W20+subQ!X16-subQ!X20,"")</f>
        <v/>
      </c>
      <c r="Y28" s="27">
        <f>IFERROR(subQ!X20+subQ!Y16-subQ!Y20,"")</f>
        <v/>
      </c>
      <c r="Z28" s="28" t="n"/>
      <c r="AA28" s="27">
        <f>IFERROR(subQ!Y20+subQ!AA16-subQ!AA20,"")</f>
        <v/>
      </c>
      <c r="AB28" s="29">
        <f>IFERROR(subQ!AA20+subQ!AB16-subQ!AB20,"")</f>
        <v/>
      </c>
      <c r="AC28" s="30" t="n">
        <v>-0.002346933</v>
      </c>
      <c r="AD28" s="30" t="n">
        <v>0.005715422</v>
      </c>
      <c r="AE28" s="31" t="n"/>
      <c r="AF28" s="30" t="n">
        <v>-0.006041907</v>
      </c>
      <c r="AG28" s="30" t="n">
        <v>158.871508918</v>
      </c>
      <c r="AH28" s="30" t="n">
        <v>-0.003835376</v>
      </c>
      <c r="AI28" s="30" t="n">
        <v>0.001961256</v>
      </c>
      <c r="AJ28" s="31" t="n"/>
      <c r="AK28" s="30" t="n">
        <v>0.005321881</v>
      </c>
      <c r="AL28" s="30" t="n">
        <v>158.869334139</v>
      </c>
      <c r="AM28" s="30" t="n">
        <v>0.000615718</v>
      </c>
      <c r="AN28" s="30" t="n">
        <v>-0.007601597</v>
      </c>
      <c r="AO28" s="31" t="n"/>
    </row>
    <row r="29">
      <c r="A29" s="12" t="inlineStr">
        <is>
          <t>drv:지배주주지분</t>
        </is>
      </c>
      <c r="B29" s="2" t="inlineStr">
        <is>
          <t>roll</t>
        </is>
      </c>
      <c r="C29" t="inlineStr">
        <is>
          <t>지배주주지분 기타변동(배당 등, 억원)</t>
        </is>
      </c>
      <c r="E29" s="27" t="n"/>
      <c r="F29" s="28" t="n"/>
      <c r="G29" s="27">
        <f>IFERROR(subQ!E21+subQ!G17-subQ!G21,"")</f>
        <v/>
      </c>
      <c r="H29" s="27">
        <f>IFERROR(subQ!G21+subQ!H17-subQ!H21,"")</f>
        <v/>
      </c>
      <c r="I29" s="27">
        <f>IFERROR(subQ!H21+subQ!I17-subQ!I21,"")</f>
        <v/>
      </c>
      <c r="J29" s="27">
        <f>IFERROR(subQ!I21+subQ!J17-subQ!J21,"")</f>
        <v/>
      </c>
      <c r="K29" s="28" t="n"/>
      <c r="L29" s="27">
        <f>IFERROR(subQ!J21+subQ!L17-subQ!L21,"")</f>
        <v/>
      </c>
      <c r="M29" s="27">
        <f>IFERROR(subQ!L21+subQ!M17-subQ!M21,"")</f>
        <v/>
      </c>
      <c r="N29" s="27">
        <f>IFERROR(subQ!M21+subQ!N17-subQ!N21,"")</f>
        <v/>
      </c>
      <c r="O29" s="27">
        <f>IFERROR(subQ!N21+subQ!O17-subQ!O21,"")</f>
        <v/>
      </c>
      <c r="P29" s="28" t="n"/>
      <c r="Q29" s="27">
        <f>IFERROR(subQ!O21+subQ!Q17-subQ!Q21,"")</f>
        <v/>
      </c>
      <c r="R29" s="27">
        <f>IFERROR(subQ!Q21+subQ!R17-subQ!R21,"")</f>
        <v/>
      </c>
      <c r="S29" s="27">
        <f>IFERROR(subQ!R21+subQ!S17-subQ!S21,"")</f>
        <v/>
      </c>
      <c r="T29" s="27">
        <f>IFERROR(subQ!S21+subQ!T17-subQ!T21,"")</f>
        <v/>
      </c>
      <c r="U29" s="28" t="n"/>
      <c r="V29" s="27">
        <f>IFERROR(subQ!T21+subQ!V17-subQ!V21,"")</f>
        <v/>
      </c>
      <c r="W29" s="27">
        <f>IFERROR(subQ!V21+subQ!W17-subQ!W21,"")</f>
        <v/>
      </c>
      <c r="X29" s="27">
        <f>IFERROR(subQ!W21+subQ!X17-subQ!X21,"")</f>
        <v/>
      </c>
      <c r="Y29" s="27">
        <f>IFERROR(subQ!X21+subQ!Y17-subQ!Y21,"")</f>
        <v/>
      </c>
      <c r="Z29" s="28" t="n"/>
      <c r="AA29" s="27">
        <f>IFERROR(subQ!Y21+subQ!AA17-subQ!AA21,"")</f>
        <v/>
      </c>
      <c r="AB29" s="29">
        <f>IFERROR(subQ!AA21+subQ!AB17-subQ!AB21,"")</f>
        <v/>
      </c>
      <c r="AC29" s="30" t="n">
        <v>-0.002538333</v>
      </c>
      <c r="AD29" s="30" t="n">
        <v>0.007758576</v>
      </c>
      <c r="AE29" s="31" t="n"/>
      <c r="AF29" s="30" t="n">
        <v>-0.000785841</v>
      </c>
      <c r="AG29" s="30" t="n">
        <v>158.868573336</v>
      </c>
      <c r="AH29" s="30" t="n">
        <v>0.002561779</v>
      </c>
      <c r="AI29" s="30" t="n">
        <v>-0.01042137</v>
      </c>
      <c r="AJ29" s="31" t="n"/>
      <c r="AK29" s="30" t="n">
        <v>0.010241391</v>
      </c>
      <c r="AL29" s="30" t="n">
        <v>158.868093039</v>
      </c>
      <c r="AM29" s="30" t="n">
        <v>0.002876781</v>
      </c>
      <c r="AN29" s="30" t="n">
        <v>-0.007140706</v>
      </c>
      <c r="AO29" s="31" t="n"/>
    </row>
    <row r="30">
      <c r="A30" s="12" t="inlineStr">
        <is>
          <t>drv:이자발생자산</t>
        </is>
      </c>
      <c r="B30" s="2" t="inlineStr">
        <is>
          <t>qoq</t>
        </is>
      </c>
      <c r="C30" t="inlineStr">
        <is>
          <t>이자발생자산 QoQ</t>
        </is>
      </c>
      <c r="E30" s="21" t="n"/>
      <c r="F30" s="22" t="n"/>
      <c r="G30" s="21">
        <f>IFERROR(subQ!G22/subQ!E22-1,"")</f>
        <v/>
      </c>
      <c r="H30" s="21">
        <f>IFERROR(subQ!H22/subQ!G22-1,"")</f>
        <v/>
      </c>
      <c r="I30" s="21">
        <f>IFERROR(subQ!I22/subQ!H22-1,"")</f>
        <v/>
      </c>
      <c r="J30" s="21">
        <f>IFERROR(subQ!J22/subQ!I22-1,"")</f>
        <v/>
      </c>
      <c r="K30" s="22" t="n"/>
      <c r="L30" s="21">
        <f>IFERROR(subQ!L22/subQ!J22-1,"")</f>
        <v/>
      </c>
      <c r="M30" s="21">
        <f>IFERROR(subQ!M22/subQ!L22-1,"")</f>
        <v/>
      </c>
      <c r="N30" s="21">
        <f>IFERROR(subQ!N22/subQ!M22-1,"")</f>
        <v/>
      </c>
      <c r="O30" s="21">
        <f>IFERROR(subQ!O22/subQ!N22-1,"")</f>
        <v/>
      </c>
      <c r="P30" s="22" t="n"/>
      <c r="Q30" s="21">
        <f>IFERROR(subQ!Q22/subQ!O22-1,"")</f>
        <v/>
      </c>
      <c r="R30" s="21">
        <f>IFERROR(subQ!R22/subQ!Q22-1,"")</f>
        <v/>
      </c>
      <c r="S30" s="21">
        <f>IFERROR(subQ!S22/subQ!R22-1,"")</f>
        <v/>
      </c>
      <c r="T30" s="21">
        <f>IFERROR(subQ!T22/subQ!S22-1,"")</f>
        <v/>
      </c>
      <c r="U30" s="22" t="n"/>
      <c r="V30" s="21">
        <f>IFERROR(subQ!V22/subQ!T22-1,"")</f>
        <v/>
      </c>
      <c r="W30" s="21">
        <f>IFERROR(subQ!W22/subQ!V22-1,"")</f>
        <v/>
      </c>
      <c r="X30" s="21">
        <f>IFERROR(subQ!X22/subQ!W22-1,"")</f>
        <v/>
      </c>
      <c r="Y30" s="21">
        <f>IFERROR(subQ!Y22/subQ!X22-1,"")</f>
        <v/>
      </c>
      <c r="Z30" s="22" t="n"/>
      <c r="AA30" s="21">
        <f>IFERROR(subQ!AA22/subQ!Y22-1,"")</f>
        <v/>
      </c>
      <c r="AB30" s="23">
        <f>IFERROR(subQ!AB22/subQ!AA22-1,"")</f>
        <v/>
      </c>
      <c r="AC30" s="24" t="n">
        <v>0.07379941700000001</v>
      </c>
      <c r="AD30" s="24" t="n">
        <v>0.07324960599999999</v>
      </c>
      <c r="AE30" s="25" t="n"/>
      <c r="AF30" s="24" t="n">
        <v>0.065046016</v>
      </c>
      <c r="AG30" s="24" t="n">
        <v>-0.00120087</v>
      </c>
      <c r="AH30" s="24" t="n">
        <v>0.064903558</v>
      </c>
      <c r="AI30" s="24" t="n">
        <v>0.06491351400000001</v>
      </c>
      <c r="AJ30" s="25" t="n"/>
      <c r="AK30" s="24" t="n">
        <v>0.058134402</v>
      </c>
      <c r="AL30" s="24" t="n">
        <v>0.003294717</v>
      </c>
      <c r="AM30" s="24" t="n">
        <v>0.056444648</v>
      </c>
      <c r="AN30" s="24" t="n">
        <v>0.056863636</v>
      </c>
      <c r="AO30" s="25" t="n"/>
    </row>
    <row r="31">
      <c r="A31" s="12" t="inlineStr">
        <is>
          <t>drv:현금및현금성자산</t>
        </is>
      </c>
      <c r="B31" s="2" t="inlineStr">
        <is>
          <t>qoq</t>
        </is>
      </c>
      <c r="C31" t="inlineStr">
        <is>
          <t>현금및현금성자산 QoQ</t>
        </is>
      </c>
      <c r="E31" s="21" t="n"/>
      <c r="F31" s="22" t="n"/>
      <c r="G31" s="21">
        <f>IFERROR(subQ!G23/subQ!E23-1,"")</f>
        <v/>
      </c>
      <c r="H31" s="21">
        <f>IFERROR(subQ!H23/subQ!G23-1,"")</f>
        <v/>
      </c>
      <c r="I31" s="21">
        <f>IFERROR(subQ!I23/subQ!H23-1,"")</f>
        <v/>
      </c>
      <c r="J31" s="21">
        <f>IFERROR(subQ!J23/subQ!I23-1,"")</f>
        <v/>
      </c>
      <c r="K31" s="22" t="n"/>
      <c r="L31" s="21">
        <f>IFERROR(subQ!L23/subQ!J23-1,"")</f>
        <v/>
      </c>
      <c r="M31" s="21">
        <f>IFERROR(subQ!M23/subQ!L23-1,"")</f>
        <v/>
      </c>
      <c r="N31" s="21">
        <f>IFERROR(subQ!N23/subQ!M23-1,"")</f>
        <v/>
      </c>
      <c r="O31" s="21">
        <f>IFERROR(subQ!O23/subQ!N23-1,"")</f>
        <v/>
      </c>
      <c r="P31" s="22" t="n"/>
      <c r="Q31" s="21">
        <f>IFERROR(subQ!Q23/subQ!O23-1,"")</f>
        <v/>
      </c>
      <c r="R31" s="21">
        <f>IFERROR(subQ!R23/subQ!Q23-1,"")</f>
        <v/>
      </c>
      <c r="S31" s="21">
        <f>IFERROR(subQ!S23/subQ!R23-1,"")</f>
        <v/>
      </c>
      <c r="T31" s="21">
        <f>IFERROR(subQ!T23/subQ!S23-1,"")</f>
        <v/>
      </c>
      <c r="U31" s="22" t="n"/>
      <c r="V31" s="21">
        <f>IFERROR(subQ!V23/subQ!T23-1,"")</f>
        <v/>
      </c>
      <c r="W31" s="21">
        <f>IFERROR(subQ!W23/subQ!V23-1,"")</f>
        <v/>
      </c>
      <c r="X31" s="21">
        <f>IFERROR(subQ!X23/subQ!W23-1,"")</f>
        <v/>
      </c>
      <c r="Y31" s="21">
        <f>IFERROR(subQ!Y23/subQ!X23-1,"")</f>
        <v/>
      </c>
      <c r="Z31" s="22" t="n"/>
      <c r="AA31" s="21">
        <f>IFERROR(subQ!AA23/subQ!Y23-1,"")</f>
        <v/>
      </c>
      <c r="AB31" s="23">
        <f>IFERROR(subQ!AB23/subQ!AA23-1,"")</f>
        <v/>
      </c>
      <c r="AC31" s="32" t="n"/>
      <c r="AD31" s="32" t="n"/>
      <c r="AE31" s="25" t="n"/>
      <c r="AF31" s="32" t="n"/>
      <c r="AG31" s="32" t="n"/>
      <c r="AH31" s="32" t="n"/>
      <c r="AI31" s="32" t="n"/>
      <c r="AJ31" s="25" t="n"/>
      <c r="AK31" s="32" t="n"/>
      <c r="AL31" s="32" t="n"/>
      <c r="AM31" s="32" t="n"/>
      <c r="AN31" s="32" t="n"/>
      <c r="AO31" s="25" t="n"/>
    </row>
    <row r="32">
      <c r="A32" s="12" t="inlineStr">
        <is>
          <t>drv:CAPEX</t>
        </is>
      </c>
      <c r="B32" s="2" t="inlineStr">
        <is>
          <t>yoy</t>
        </is>
      </c>
      <c r="C32" t="inlineStr">
        <is>
          <t>CAPEX YoY</t>
        </is>
      </c>
      <c r="E32" s="21" t="n"/>
      <c r="F32" s="22" t="n"/>
      <c r="G32" s="21" t="n"/>
      <c r="H32" s="21" t="n"/>
      <c r="I32" s="21" t="n"/>
      <c r="J32" s="21">
        <f>IFERROR(subQ!J24/subQ!E24-1,"")</f>
        <v/>
      </c>
      <c r="K32" s="22" t="n"/>
      <c r="L32" s="21">
        <f>IFERROR(subQ!L24/subQ!G24-1,"")</f>
        <v/>
      </c>
      <c r="M32" s="21">
        <f>IFERROR(subQ!M24/subQ!H24-1,"")</f>
        <v/>
      </c>
      <c r="N32" s="21">
        <f>IFERROR(subQ!N24/subQ!I24-1,"")</f>
        <v/>
      </c>
      <c r="O32" s="21">
        <f>IFERROR(subQ!O24/subQ!J24-1,"")</f>
        <v/>
      </c>
      <c r="P32" s="22" t="n"/>
      <c r="Q32" s="21">
        <f>IFERROR(subQ!Q24/subQ!L24-1,"")</f>
        <v/>
      </c>
      <c r="R32" s="21">
        <f>IFERROR(subQ!R24/subQ!M24-1,"")</f>
        <v/>
      </c>
      <c r="S32" s="21">
        <f>IFERROR(subQ!S24/subQ!N24-1,"")</f>
        <v/>
      </c>
      <c r="T32" s="21">
        <f>IFERROR(subQ!T24/subQ!O24-1,"")</f>
        <v/>
      </c>
      <c r="U32" s="22" t="n"/>
      <c r="V32" s="21">
        <f>IFERROR(subQ!V24/subQ!Q24-1,"")</f>
        <v/>
      </c>
      <c r="W32" s="21">
        <f>IFERROR(subQ!W24/subQ!R24-1,"")</f>
        <v/>
      </c>
      <c r="X32" s="21">
        <f>IFERROR(subQ!X24/subQ!S24-1,"")</f>
        <v/>
      </c>
      <c r="Y32" s="21">
        <f>IFERROR(subQ!Y24/subQ!T24-1,"")</f>
        <v/>
      </c>
      <c r="Z32" s="22" t="n"/>
      <c r="AA32" s="21">
        <f>IFERROR(subQ!AA24/subQ!V24-1,"")</f>
        <v/>
      </c>
      <c r="AB32" s="23">
        <f>IFERROR(subQ!AB24/subQ!W24-1,"")</f>
        <v/>
      </c>
      <c r="AC32" s="24" t="n">
        <v>0.028872616</v>
      </c>
      <c r="AD32" s="24" t="n">
        <v>-0.728819468</v>
      </c>
      <c r="AE32" s="25" t="n"/>
      <c r="AF32" s="24" t="n">
        <v>-0.026884836</v>
      </c>
      <c r="AG32" s="24" t="n">
        <v>0.030425805</v>
      </c>
      <c r="AH32" s="24" t="n">
        <v>0</v>
      </c>
      <c r="AI32" s="24" t="n">
        <v>0</v>
      </c>
      <c r="AJ32" s="25" t="n"/>
      <c r="AK32" s="24" t="n">
        <v>0</v>
      </c>
      <c r="AL32" s="24" t="n">
        <v>0</v>
      </c>
      <c r="AM32" s="24" t="n">
        <v>0</v>
      </c>
      <c r="AN32" s="24" t="n">
        <v>0</v>
      </c>
      <c r="AO32" s="25" t="n"/>
    </row>
    <row r="33">
      <c r="A33" s="12" t="inlineStr">
        <is>
          <t>drv:영업활동현금흐름</t>
        </is>
      </c>
      <c r="B33" s="2" t="inlineStr">
        <is>
          <t>yoy</t>
        </is>
      </c>
      <c r="C33" t="inlineStr">
        <is>
          <t>영업활동현금흐름 YoY</t>
        </is>
      </c>
      <c r="E33" s="21" t="n"/>
      <c r="F33" s="22" t="n"/>
      <c r="G33" s="21" t="n"/>
      <c r="H33" s="21" t="n"/>
      <c r="I33" s="21" t="n"/>
      <c r="J33" s="21">
        <f>IFERROR(subQ!J25/subQ!E25-1,"")</f>
        <v/>
      </c>
      <c r="K33" s="22" t="n"/>
      <c r="L33" s="21">
        <f>IFERROR(subQ!L25/subQ!G25-1,"")</f>
        <v/>
      </c>
      <c r="M33" s="21">
        <f>IFERROR(subQ!M25/subQ!H25-1,"")</f>
        <v/>
      </c>
      <c r="N33" s="21">
        <f>IFERROR(subQ!N25/subQ!I25-1,"")</f>
        <v/>
      </c>
      <c r="O33" s="21">
        <f>IFERROR(subQ!O25/subQ!J25-1,"")</f>
        <v/>
      </c>
      <c r="P33" s="22" t="n"/>
      <c r="Q33" s="21">
        <f>IFERROR(subQ!Q25/subQ!L25-1,"")</f>
        <v/>
      </c>
      <c r="R33" s="21">
        <f>IFERROR(subQ!R25/subQ!M25-1,"")</f>
        <v/>
      </c>
      <c r="S33" s="21">
        <f>IFERROR(subQ!S25/subQ!N25-1,"")</f>
        <v/>
      </c>
      <c r="T33" s="21">
        <f>IFERROR(subQ!T25/subQ!O25-1,"")</f>
        <v/>
      </c>
      <c r="U33" s="22" t="n"/>
      <c r="V33" s="21">
        <f>IFERROR(subQ!V25/subQ!Q25-1,"")</f>
        <v/>
      </c>
      <c r="W33" s="21">
        <f>IFERROR(subQ!W25/subQ!R25-1,"")</f>
        <v/>
      </c>
      <c r="X33" s="21">
        <f>IFERROR(subQ!X25/subQ!S25-1,"")</f>
        <v/>
      </c>
      <c r="Y33" s="21">
        <f>IFERROR(subQ!Y25/subQ!T25-1,"")</f>
        <v/>
      </c>
      <c r="Z33" s="22" t="n"/>
      <c r="AA33" s="21">
        <f>IFERROR(subQ!AA25/subQ!V25-1,"")</f>
        <v/>
      </c>
      <c r="AB33" s="23">
        <f>IFERROR(subQ!AB25/subQ!W25-1,"")</f>
        <v/>
      </c>
      <c r="AC33" s="32" t="n"/>
      <c r="AD33" s="32" t="n"/>
      <c r="AE33" s="25" t="n"/>
      <c r="AF33" s="32" t="n"/>
      <c r="AG33" s="32" t="n"/>
      <c r="AH33" s="32" t="n"/>
      <c r="AI33" s="32" t="n"/>
      <c r="AJ33" s="25" t="n"/>
      <c r="AK33" s="32" t="n"/>
      <c r="AL33" s="32" t="n"/>
      <c r="AM33" s="32" t="n"/>
      <c r="AN33" s="32" t="n"/>
      <c r="AO33" s="25" t="n"/>
    </row>
    <row r="34">
      <c r="A34" s="12" t="inlineStr">
        <is>
          <t>drv:주식수</t>
        </is>
      </c>
      <c r="B34" s="2" t="inlineStr">
        <is>
          <t>qoq</t>
        </is>
      </c>
      <c r="C34" t="inlineStr">
        <is>
          <t>주식수 QoQ</t>
        </is>
      </c>
      <c r="E34" s="21" t="n"/>
      <c r="F34" s="22" t="n"/>
      <c r="G34" s="21">
        <f>IFERROR(subQ!G26/subQ!E26-1,"")</f>
        <v/>
      </c>
      <c r="H34" s="21">
        <f>IFERROR(subQ!H26/subQ!G26-1,"")</f>
        <v/>
      </c>
      <c r="I34" s="21">
        <f>IFERROR(subQ!I26/subQ!H26-1,"")</f>
        <v/>
      </c>
      <c r="J34" s="21">
        <f>IFERROR(subQ!J26/subQ!I26-1,"")</f>
        <v/>
      </c>
      <c r="K34" s="22" t="n"/>
      <c r="L34" s="21">
        <f>IFERROR(subQ!L26/subQ!J26-1,"")</f>
        <v/>
      </c>
      <c r="M34" s="21">
        <f>IFERROR(subQ!M26/subQ!L26-1,"")</f>
        <v/>
      </c>
      <c r="N34" s="21">
        <f>IFERROR(subQ!N26/subQ!M26-1,"")</f>
        <v/>
      </c>
      <c r="O34" s="21">
        <f>IFERROR(subQ!O26/subQ!N26-1,"")</f>
        <v/>
      </c>
      <c r="P34" s="22" t="n"/>
      <c r="Q34" s="21">
        <f>IFERROR(subQ!Q26/subQ!O26-1,"")</f>
        <v/>
      </c>
      <c r="R34" s="21">
        <f>IFERROR(subQ!R26/subQ!Q26-1,"")</f>
        <v/>
      </c>
      <c r="S34" s="21">
        <f>IFERROR(subQ!S26/subQ!R26-1,"")</f>
        <v/>
      </c>
      <c r="T34" s="21">
        <f>IFERROR(subQ!T26/subQ!S26-1,"")</f>
        <v/>
      </c>
      <c r="U34" s="22" t="n"/>
      <c r="V34" s="21">
        <f>IFERROR(subQ!V26/subQ!T26-1,"")</f>
        <v/>
      </c>
      <c r="W34" s="21">
        <f>IFERROR(subQ!W26/subQ!V26-1,"")</f>
        <v/>
      </c>
      <c r="X34" s="21">
        <f>IFERROR(subQ!X26/subQ!W26-1,"")</f>
        <v/>
      </c>
      <c r="Y34" s="21">
        <f>IFERROR(subQ!Y26/subQ!X26-1,"")</f>
        <v/>
      </c>
      <c r="Z34" s="22" t="n"/>
      <c r="AA34" s="21">
        <f>IFERROR(subQ!AA26/subQ!Y26-1,"")</f>
        <v/>
      </c>
      <c r="AB34" s="23">
        <f>IFERROR(subQ!AB26/subQ!AA26-1,"")</f>
        <v/>
      </c>
      <c r="AC34" s="24" t="n">
        <v>0</v>
      </c>
      <c r="AD34" s="24" t="n">
        <v>0</v>
      </c>
      <c r="AE34" s="25" t="n"/>
      <c r="AF34" s="24" t="n">
        <v>0</v>
      </c>
      <c r="AG34" s="24" t="n">
        <v>0</v>
      </c>
      <c r="AH34" s="24" t="n">
        <v>0</v>
      </c>
      <c r="AI34" s="24" t="n">
        <v>0</v>
      </c>
      <c r="AJ34" s="25" t="n"/>
      <c r="AK34" s="24" t="n">
        <v>0</v>
      </c>
      <c r="AL34" s="24" t="n">
        <v>0</v>
      </c>
      <c r="AM34" s="24" t="n">
        <v>0</v>
      </c>
      <c r="AN34" s="24" t="n">
        <v>0</v>
      </c>
      <c r="AO34" s="25" t="n"/>
    </row>
    <row r="35">
      <c r="A35" s="12" t="inlineStr">
        <is>
          <t>drv:DPS</t>
        </is>
      </c>
      <c r="B35" s="2" t="inlineStr">
        <is>
          <t>abs</t>
        </is>
      </c>
      <c r="C35" t="inlineStr">
        <is>
          <t>DPS (가정, 원)</t>
        </is>
      </c>
      <c r="E35" s="27">
        <f>subQ!E29</f>
        <v/>
      </c>
      <c r="F35" s="28">
        <f>subQ!F29</f>
        <v/>
      </c>
      <c r="G35" s="27">
        <f>subQ!G29</f>
        <v/>
      </c>
      <c r="H35" s="27">
        <f>subQ!H29</f>
        <v/>
      </c>
      <c r="I35" s="27">
        <f>subQ!I29</f>
        <v/>
      </c>
      <c r="J35" s="27">
        <f>subQ!J29</f>
        <v/>
      </c>
      <c r="K35" s="28">
        <f>subQ!K29</f>
        <v/>
      </c>
      <c r="L35" s="27">
        <f>subQ!L29</f>
        <v/>
      </c>
      <c r="M35" s="27">
        <f>subQ!M29</f>
        <v/>
      </c>
      <c r="N35" s="27">
        <f>subQ!N29</f>
        <v/>
      </c>
      <c r="O35" s="27">
        <f>subQ!O29</f>
        <v/>
      </c>
      <c r="P35" s="28">
        <f>subQ!P29</f>
        <v/>
      </c>
      <c r="Q35" s="27">
        <f>subQ!Q29</f>
        <v/>
      </c>
      <c r="R35" s="27">
        <f>subQ!R29</f>
        <v/>
      </c>
      <c r="S35" s="27">
        <f>subQ!S29</f>
        <v/>
      </c>
      <c r="T35" s="27">
        <f>subQ!T29</f>
        <v/>
      </c>
      <c r="U35" s="28">
        <f>subQ!U29</f>
        <v/>
      </c>
      <c r="V35" s="27">
        <f>subQ!V29</f>
        <v/>
      </c>
      <c r="W35" s="27">
        <f>subQ!W29</f>
        <v/>
      </c>
      <c r="X35" s="27">
        <f>subQ!X29</f>
        <v/>
      </c>
      <c r="Y35" s="27">
        <f>subQ!Y29</f>
        <v/>
      </c>
      <c r="Z35" s="28">
        <f>subQ!Z29</f>
        <v/>
      </c>
      <c r="AA35" s="27">
        <f>subQ!AA29</f>
        <v/>
      </c>
      <c r="AB35" s="29">
        <f>subQ!AB29</f>
        <v/>
      </c>
      <c r="AC35" s="33" t="n"/>
      <c r="AD35" s="30" t="n">
        <v>1350</v>
      </c>
      <c r="AE35" s="31">
        <f>subQ!AE29</f>
        <v/>
      </c>
      <c r="AF35" s="33" t="n"/>
      <c r="AG35" s="33" t="n"/>
      <c r="AH35" s="33" t="n"/>
      <c r="AI35" s="30" t="n">
        <v>1350</v>
      </c>
      <c r="AJ35" s="31">
        <f>subQ!AJ29</f>
        <v/>
      </c>
      <c r="AK35" s="33" t="n"/>
      <c r="AL35" s="33" t="n"/>
      <c r="AM35" s="33" t="n"/>
      <c r="AN35" s="30" t="n">
        <v>1350</v>
      </c>
      <c r="AO35" s="31">
        <f>subQ!AO29</f>
        <v/>
      </c>
    </row>
    <row r="36">
      <c r="F36" s="9" t="n"/>
      <c r="K36" s="9" t="n"/>
      <c r="P36" s="9" t="n"/>
      <c r="U36" s="9" t="n"/>
      <c r="Z36" s="9" t="n"/>
      <c r="AB36" s="5" t="n"/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B37" s="1" t="inlineStr">
        <is>
          <t>3. 밸류에이션·스칼라</t>
        </is>
      </c>
      <c r="C37" s="2" t="inlineStr">
        <is>
          <t>노란 셀 = 가정. '연결' 표시는 추정 전 분기 수식이 이 셀을 참조한다는 뜻</t>
        </is>
      </c>
      <c r="F37" s="9" t="n"/>
      <c r="K37" s="9" t="n"/>
      <c r="P37" s="9" t="n"/>
      <c r="U37" s="9" t="n"/>
      <c r="Z37" s="9" t="n"/>
      <c r="AB37" s="5" t="n"/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s="12" t="inlineStr">
        <is>
          <t>sc:종가</t>
        </is>
      </c>
      <c r="C38" t="inlineStr">
        <is>
          <t>종가</t>
        </is>
      </c>
      <c r="D38" s="34" t="n">
        <v>33350</v>
      </c>
      <c r="E38" s="2" t="inlineStr">
        <is>
          <t>원 — 네이버 정규장 종가(aik 확정종가 대조 · aik 34,800원)</t>
        </is>
      </c>
      <c r="F38" s="9" t="n"/>
      <c r="K38" s="9" t="n"/>
      <c r="P38" s="9" t="n"/>
      <c r="U38" s="9" t="n"/>
      <c r="Z38" s="9" t="n"/>
      <c r="AB38" s="5" t="n"/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s="12" t="inlineStr">
        <is>
          <t>sc:기준일</t>
        </is>
      </c>
      <c r="C39" t="inlineStr">
        <is>
          <t>기준일</t>
        </is>
      </c>
      <c r="D39" s="35" t="inlineStr">
        <is>
          <t>20261012</t>
        </is>
      </c>
      <c r="E39" s="2" t="inlineStr">
        <is>
          <t>종가 기준일</t>
        </is>
      </c>
      <c r="F39" s="9" t="n"/>
      <c r="K39" s="9" t="n"/>
      <c r="P39" s="9" t="n"/>
      <c r="U39" s="9" t="n"/>
      <c r="Z39" s="9" t="n"/>
      <c r="AB39" s="5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s="12" t="inlineStr">
        <is>
          <t>sc:COE</t>
        </is>
      </c>
      <c r="C40" t="inlineStr">
        <is>
          <t>COE</t>
        </is>
      </c>
      <c r="D40" s="24" t="n">
        <v>0.09</v>
      </c>
      <c r="E40" s="2" t="inlineStr">
        <is>
          <t>자기자본비용(가정) — TP 적정 PBR = ROE/COE</t>
        </is>
      </c>
      <c r="F40" s="9" t="n"/>
      <c r="K40" s="9" t="n"/>
      <c r="P40" s="9" t="n"/>
      <c r="U40" s="9" t="n"/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s="12" t="inlineStr">
        <is>
          <t>sc:PER_lo</t>
        </is>
      </c>
      <c r="C41" t="inlineStr">
        <is>
          <t>PER_lo</t>
        </is>
      </c>
      <c r="D41" s="30" t="n">
        <v>7</v>
      </c>
      <c r="E41" s="2" t="inlineStr">
        <is>
          <t>PER 밴드 하단(배) — hist_quarterly(분기 평균가 ÷ TTM EPS, 16분기, 25/50/75 백분위)</t>
        </is>
      </c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s="12" t="inlineStr">
        <is>
          <t>sc:PER_mid</t>
        </is>
      </c>
      <c r="C42" t="inlineStr">
        <is>
          <t>PER_mid</t>
        </is>
      </c>
      <c r="D42" s="30" t="n">
        <v>7.6</v>
      </c>
      <c r="E42" s="2" t="inlineStr">
        <is>
          <t>PER 밴드 중단(배)</t>
        </is>
      </c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s="12" t="inlineStr">
        <is>
          <t>sc:PER_hi</t>
        </is>
      </c>
      <c r="C43" t="inlineStr">
        <is>
          <t>PER_hi</t>
        </is>
      </c>
      <c r="D43" s="30" t="n">
        <v>8.1</v>
      </c>
      <c r="E43" s="2" t="inlineStr">
        <is>
          <t>PER 밴드 상단(배)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sc:EPS_Y1가중</t>
        </is>
      </c>
      <c r="C44" t="inlineStr">
        <is>
          <t>EPS_Y1가중</t>
        </is>
      </c>
      <c r="D44" s="24" t="n">
        <v>0.5</v>
      </c>
      <c r="E44" s="2" t="inlineStr">
        <is>
          <t>12M fwd EPS = FY(last_actual연도)E × w + FY+1E × (1−w) — 기준 분기 2Q 이면 0.5(가정)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sc:세율</t>
        </is>
      </c>
      <c r="C45" t="inlineStr">
        <is>
          <t>세율</t>
        </is>
      </c>
      <c r="D45" s="36" t="n">
        <v>0.2322292924348725</v>
      </c>
      <c r="E45" s="2" t="inlineStr">
        <is>
          <t>연결 — 법인세 = MAX(세전,0) × 세율(역산, 재현 오차 ≤ 0.05억 · 모델 assumptions 0.2322) · 최근 12분기 유효세율 23.2%(5~27% 안 — 그대로)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sc:판관비율</t>
        </is>
      </c>
      <c r="C46" t="inlineStr">
        <is>
          <t>판관비율</t>
        </is>
      </c>
      <c r="D46" s="36" t="n">
        <v>0.1226949534220975</v>
      </c>
      <c r="E46" s="2" t="inlineStr">
        <is>
          <t>연결 — 판관비 = 매출액 × 판관비율(역산, 재현 오차 ≤ 0.05억 · 모델 assumptions 0.1227)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sc:지배주주비중</t>
        </is>
      </c>
      <c r="C47" t="inlineStr">
        <is>
          <t>지배주주비중</t>
        </is>
      </c>
      <c r="D47" s="36" t="n">
        <v>0.9910103676991434</v>
      </c>
      <c r="E47" s="2" t="inlineStr">
        <is>
          <t>연결 — 지배주주순이익 = 당기순이익 × 비중(역산, 재현 오차 ≤ 0.05억)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sc:이자율_자산</t>
        </is>
      </c>
      <c r="C48" t="inlineStr">
        <is>
          <t>이자율_자산</t>
        </is>
      </c>
      <c r="D48" s="36" t="n">
        <v>0.02671107157483827</v>
      </c>
      <c r="E48" s="2" t="inlineStr">
        <is>
          <t>연결 — 이자손익 = (전분기 이자발생자산 × 자산이자율 − 전분기 총차입금 × 부채이자율)/4(역산, 재현 오차 ≤ 0.05억 · 모델 assumptions 0.0267)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sc:이자율_부채</t>
        </is>
      </c>
      <c r="C49" t="inlineStr">
        <is>
          <t>이자율_부채</t>
        </is>
      </c>
      <c r="D49" s="36" t="n"/>
      <c r="E49" s="2" t="inlineStr">
        <is>
          <t>연결 — 같은 수식의 부채 쪽(총차입금 행이 없으면 0)(역산, 재현 오차 ≤ 0.05억)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sc:배당성향</t>
        </is>
      </c>
      <c r="C50" t="inlineStr">
        <is>
          <t>배당성향</t>
        </is>
      </c>
      <c r="D50" s="24" t="n">
        <v>0.3159</v>
      </c>
      <c r="E50" s="2" t="inlineStr">
        <is>
          <t>배당성향(참고 — 모델은 직전 DPS 유지·Q2 지급 가정)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sc:외화순노출_백만$</t>
        </is>
      </c>
      <c r="C51" t="inlineStr">
        <is>
          <t>외화순노출_백만$</t>
        </is>
      </c>
      <c r="D51" s="30" t="n"/>
      <c r="E51" s="2" t="inlineStr">
        <is>
          <t>외화 순노출 × Δ기말환율 (외화 시트 방식) — 외화 순노출 미공시(face) → 0 + 표기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sc:헤지비율</t>
        </is>
      </c>
      <c r="C52" t="inlineStr">
        <is>
          <t>헤지비율</t>
        </is>
      </c>
      <c r="D52" s="24" t="n"/>
      <c r="E52" s="2" t="inlineStr">
        <is>
          <t>sls 없음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sc:헤지환율_약정</t>
        </is>
      </c>
      <c r="C53" t="inlineStr">
        <is>
          <t>헤지환율_약정</t>
        </is>
      </c>
      <c r="D53" s="16" t="n"/>
      <c r="E53" s="2" t="inlineStr">
        <is>
          <t>sls 없음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6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하이록코리아(연)</t>
        </is>
      </c>
      <c r="C3" s="2" t="inlineStr">
        <is>
          <t>UPDATE: 26-10-12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281619.18</v>
      </c>
      <c r="F5" s="37" t="n">
        <v>281619.18</v>
      </c>
      <c r="G5" s="18" t="n">
        <v>286421.34</v>
      </c>
      <c r="H5" s="18" t="n">
        <v>294536.08</v>
      </c>
      <c r="I5" s="18" t="n">
        <v>308862.51</v>
      </c>
      <c r="J5" s="18" t="n">
        <v>314733.92</v>
      </c>
      <c r="K5" s="37" t="n">
        <v>314733.92</v>
      </c>
      <c r="L5" s="18" t="n">
        <v>316829.87</v>
      </c>
      <c r="M5" s="18" t="n">
        <v>323301.44</v>
      </c>
      <c r="N5" s="18" t="n">
        <v>333748.8</v>
      </c>
      <c r="O5" s="18" t="n">
        <v>334758.95</v>
      </c>
      <c r="P5" s="37" t="n">
        <v>334758.95</v>
      </c>
      <c r="Q5" s="18" t="n">
        <v>347512.9</v>
      </c>
      <c r="R5" s="18" t="n">
        <v>337258.02</v>
      </c>
      <c r="S5" s="18" t="n">
        <v>343202.16</v>
      </c>
      <c r="T5" s="18" t="n">
        <v>367167.1</v>
      </c>
      <c r="U5" s="37" t="n">
        <v>367167.1</v>
      </c>
      <c r="V5" s="18" t="n">
        <v>371111.62</v>
      </c>
      <c r="W5" s="18" t="n">
        <v>358155.42</v>
      </c>
      <c r="X5" s="18" t="n">
        <v>370909.77</v>
      </c>
      <c r="Y5" s="18" t="n">
        <v>385627.56</v>
      </c>
      <c r="Z5" s="37" t="n">
        <v>385627.56</v>
      </c>
      <c r="AA5" s="18" t="n">
        <v>399220.69</v>
      </c>
      <c r="AB5" s="19" t="n">
        <v>401405.86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66056.91</v>
      </c>
      <c r="F6" s="37" t="n">
        <v>66056.91</v>
      </c>
      <c r="G6" s="18" t="n">
        <v>44596.12</v>
      </c>
      <c r="H6" s="18" t="n">
        <v>20050.32</v>
      </c>
      <c r="I6" s="18" t="n">
        <v>61310.63</v>
      </c>
      <c r="J6" s="18" t="n">
        <v>55323.48</v>
      </c>
      <c r="K6" s="37" t="n">
        <v>55323.48</v>
      </c>
      <c r="L6" s="18" t="n">
        <v>151900.84</v>
      </c>
      <c r="M6" s="18" t="n">
        <v>131988.86</v>
      </c>
      <c r="N6" s="18" t="n">
        <v>137429.09</v>
      </c>
      <c r="O6" s="18" t="n">
        <v>170178.98</v>
      </c>
      <c r="P6" s="37" t="n">
        <v>170178.98</v>
      </c>
      <c r="Q6" s="18" t="n">
        <v>182205.41</v>
      </c>
      <c r="R6" s="18" t="n">
        <v>170730.41</v>
      </c>
      <c r="S6" s="18" t="n">
        <v>187871.31</v>
      </c>
      <c r="T6" s="18" t="n">
        <v>194323.89</v>
      </c>
      <c r="U6" s="37" t="n">
        <v>194323.89</v>
      </c>
      <c r="V6" s="18" t="n">
        <v>188946.26</v>
      </c>
      <c r="W6" s="18" t="n">
        <v>179720.53</v>
      </c>
      <c r="X6" s="18" t="n">
        <v>183944.34</v>
      </c>
      <c r="Y6" s="18" t="n">
        <v>191225.63</v>
      </c>
      <c r="Z6" s="37" t="n">
        <v>191225.63</v>
      </c>
      <c r="AA6" s="18" t="n">
        <v>174520.6</v>
      </c>
      <c r="AB6" s="19" t="n">
        <v>185542.5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109904.35</v>
      </c>
      <c r="F7" s="37" t="n">
        <v>109904.35</v>
      </c>
      <c r="G7" s="18" t="n">
        <v>132104.35</v>
      </c>
      <c r="H7" s="18" t="n">
        <v>153906.83</v>
      </c>
      <c r="I7" s="18" t="n">
        <v>113200</v>
      </c>
      <c r="J7" s="18" t="n">
        <v>128500</v>
      </c>
      <c r="K7" s="37" t="n">
        <v>128500</v>
      </c>
      <c r="L7" s="18" t="n">
        <v>25500</v>
      </c>
      <c r="M7" s="18" t="n">
        <v>46000</v>
      </c>
      <c r="N7" s="18" t="n">
        <v>43500</v>
      </c>
      <c r="O7" s="18" t="n">
        <v>10000</v>
      </c>
      <c r="P7" s="37" t="n">
        <v>10000</v>
      </c>
      <c r="R7" s="18" t="n">
        <v>9000</v>
      </c>
      <c r="S7" s="18" t="n">
        <v>5000</v>
      </c>
      <c r="T7" s="18" t="n">
        <v>5000</v>
      </c>
      <c r="U7" s="37" t="n">
        <v>5000</v>
      </c>
      <c r="V7" s="18" t="n">
        <v>7500</v>
      </c>
      <c r="W7" s="18" t="n">
        <v>5000</v>
      </c>
      <c r="X7" s="18" t="n">
        <v>5000</v>
      </c>
      <c r="Y7" s="18" t="n">
        <v>5000</v>
      </c>
      <c r="Z7" s="37" t="n">
        <v>5000</v>
      </c>
      <c r="AA7" s="18" t="n">
        <v>5000</v>
      </c>
      <c r="AB7" s="19" t="n">
        <v>5000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109904.35</v>
      </c>
      <c r="F8" s="37" t="n">
        <v>109904.35</v>
      </c>
      <c r="G8" s="18" t="n">
        <v>132104.35</v>
      </c>
      <c r="H8" s="18" t="n">
        <v>153906.83</v>
      </c>
      <c r="I8" s="18" t="n">
        <v>113200</v>
      </c>
      <c r="J8" s="18" t="n">
        <v>128500</v>
      </c>
      <c r="K8" s="37" t="n">
        <v>128500</v>
      </c>
      <c r="L8" s="18" t="n">
        <v>25500</v>
      </c>
      <c r="M8" s="18" t="n">
        <v>46000</v>
      </c>
      <c r="N8" s="18" t="n">
        <v>43500</v>
      </c>
      <c r="O8" s="18" t="n">
        <v>10000</v>
      </c>
      <c r="P8" s="37" t="n">
        <v>10000</v>
      </c>
      <c r="R8" s="18" t="n">
        <v>9000</v>
      </c>
      <c r="S8" s="18" t="n">
        <v>5000</v>
      </c>
      <c r="T8" s="18" t="n">
        <v>5000</v>
      </c>
      <c r="U8" s="37" t="n">
        <v>5000</v>
      </c>
      <c r="V8" s="18" t="n">
        <v>7500</v>
      </c>
      <c r="W8" s="18" t="n">
        <v>5000</v>
      </c>
      <c r="X8" s="18" t="n">
        <v>5000</v>
      </c>
      <c r="Y8" s="18" t="n">
        <v>5000</v>
      </c>
      <c r="Z8" s="37" t="n">
        <v>5000</v>
      </c>
      <c r="AA8" s="18" t="n">
        <v>5000</v>
      </c>
      <c r="AB8" s="19" t="n">
        <v>5000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단기투자자산(공정가치)</t>
        </is>
      </c>
      <c r="E9" s="18" t="n">
        <v>124.75</v>
      </c>
      <c r="F9" s="37" t="n">
        <v>124.75</v>
      </c>
      <c r="G9" s="18" t="n">
        <v>126.91</v>
      </c>
      <c r="H9" s="18" t="n">
        <v>136.24</v>
      </c>
      <c r="I9" s="18" t="n">
        <v>145.93</v>
      </c>
      <c r="J9" s="18" t="n">
        <v>134.27</v>
      </c>
      <c r="K9" s="37" t="n">
        <v>134.27</v>
      </c>
      <c r="L9" s="18" t="n">
        <v>137.01</v>
      </c>
      <c r="M9" s="18" t="n">
        <v>91.56</v>
      </c>
      <c r="N9" s="18" t="n">
        <v>1.2</v>
      </c>
      <c r="O9" s="18" t="n">
        <v>2558.21</v>
      </c>
      <c r="P9" s="37" t="n">
        <v>2558.21</v>
      </c>
      <c r="Q9" s="18" t="n">
        <v>9808.799999999999</v>
      </c>
      <c r="R9" s="18" t="n">
        <v>4709.36</v>
      </c>
      <c r="S9" s="18" t="n">
        <v>1218.76</v>
      </c>
      <c r="T9" s="18" t="n">
        <v>4975.66</v>
      </c>
      <c r="U9" s="37" t="n">
        <v>4975.66</v>
      </c>
      <c r="V9" s="18" t="n">
        <v>9310.51</v>
      </c>
      <c r="W9" s="18" t="n">
        <v>7910.79</v>
      </c>
      <c r="X9" s="18" t="n">
        <v>14837.55</v>
      </c>
      <c r="Y9" s="18" t="n">
        <v>16200.91</v>
      </c>
      <c r="Z9" s="37" t="n">
        <v>16200.91</v>
      </c>
      <c r="AA9" s="18" t="n">
        <v>46435.24</v>
      </c>
      <c r="AB9" s="19" t="n">
        <v>32533.51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매출채권및기타채권</t>
        </is>
      </c>
      <c r="E10" s="18" t="n">
        <v>36779.87</v>
      </c>
      <c r="F10" s="37" t="n">
        <v>36779.87</v>
      </c>
      <c r="G10" s="18" t="n">
        <v>34215.23</v>
      </c>
      <c r="H10" s="18" t="n">
        <v>45343.79</v>
      </c>
      <c r="I10" s="18" t="n">
        <v>49684.05</v>
      </c>
      <c r="J10" s="18" t="n">
        <v>44786.84</v>
      </c>
      <c r="K10" s="37" t="n">
        <v>44786.84</v>
      </c>
      <c r="L10" s="18" t="n">
        <v>45129.22</v>
      </c>
      <c r="M10" s="18" t="n">
        <v>44882.93</v>
      </c>
      <c r="N10" s="18" t="n">
        <v>45735.73</v>
      </c>
      <c r="O10" s="18" t="n">
        <v>45108.43</v>
      </c>
      <c r="P10" s="37" t="n">
        <v>45108.43</v>
      </c>
      <c r="Q10" s="18" t="n">
        <v>47611.21</v>
      </c>
      <c r="R10" s="18" t="n">
        <v>44851.87</v>
      </c>
      <c r="S10" s="18" t="n">
        <v>40532.3</v>
      </c>
      <c r="T10" s="18" t="n">
        <v>50132.07</v>
      </c>
      <c r="U10" s="37" t="n">
        <v>50132.07</v>
      </c>
      <c r="V10" s="18" t="n">
        <v>53122.05</v>
      </c>
      <c r="W10" s="18" t="n">
        <v>51185.79</v>
      </c>
      <c r="X10" s="18" t="n">
        <v>47665.27</v>
      </c>
      <c r="Y10" s="18" t="n">
        <v>50228.88</v>
      </c>
      <c r="Z10" s="37" t="n">
        <v>50228.88</v>
      </c>
      <c r="AA10" s="18" t="n">
        <v>50537.27</v>
      </c>
      <c r="AB10" s="19" t="n">
        <v>47757.47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재고자산</t>
        </is>
      </c>
      <c r="E11" s="18" t="n">
        <v>68129.89999999999</v>
      </c>
      <c r="F11" s="37" t="n">
        <v>68129.89999999999</v>
      </c>
      <c r="G11" s="18" t="n">
        <v>73821.13</v>
      </c>
      <c r="H11" s="18" t="n">
        <v>73836.10000000001</v>
      </c>
      <c r="I11" s="18" t="n">
        <v>82816.31</v>
      </c>
      <c r="J11" s="18" t="n">
        <v>84949.91</v>
      </c>
      <c r="K11" s="37" t="n">
        <v>84949.91</v>
      </c>
      <c r="L11" s="18" t="n">
        <v>92045.32000000001</v>
      </c>
      <c r="M11" s="18" t="n">
        <v>98803.28999999999</v>
      </c>
      <c r="N11" s="18" t="n">
        <v>105199.41</v>
      </c>
      <c r="O11" s="18" t="n">
        <v>106226.17</v>
      </c>
      <c r="P11" s="37" t="n">
        <v>106226.17</v>
      </c>
      <c r="Q11" s="18" t="n">
        <v>106607.54</v>
      </c>
      <c r="R11" s="18" t="n">
        <v>105818.39</v>
      </c>
      <c r="S11" s="18" t="n">
        <v>106072.33</v>
      </c>
      <c r="T11" s="18" t="n">
        <v>110715</v>
      </c>
      <c r="U11" s="37" t="n">
        <v>110715</v>
      </c>
      <c r="V11" s="18" t="n">
        <v>110205.92</v>
      </c>
      <c r="W11" s="18" t="n">
        <v>112398.52</v>
      </c>
      <c r="X11" s="18" t="n">
        <v>115738.64</v>
      </c>
      <c r="Y11" s="18" t="n">
        <v>119523.26</v>
      </c>
      <c r="Z11" s="37" t="n">
        <v>119523.26</v>
      </c>
      <c r="AA11" s="18" t="n">
        <v>118091.45</v>
      </c>
      <c r="AB11" s="19" t="n">
        <v>121885.95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비유동자산</t>
        </is>
      </c>
      <c r="E12" s="18" t="n">
        <v>98176.95</v>
      </c>
      <c r="F12" s="37" t="n">
        <v>98176.95</v>
      </c>
      <c r="G12" s="18" t="n">
        <v>98059.45</v>
      </c>
      <c r="H12" s="18" t="n">
        <v>97688.57000000001</v>
      </c>
      <c r="I12" s="18" t="n">
        <v>98083.3</v>
      </c>
      <c r="J12" s="18" t="n">
        <v>97188.50999999999</v>
      </c>
      <c r="K12" s="37" t="n">
        <v>97188.50999999999</v>
      </c>
      <c r="L12" s="18" t="n">
        <v>108187.38</v>
      </c>
      <c r="M12" s="18" t="n">
        <v>107750.34</v>
      </c>
      <c r="N12" s="18" t="n">
        <v>108009.29</v>
      </c>
      <c r="O12" s="18" t="n">
        <v>108396.37</v>
      </c>
      <c r="P12" s="37" t="n">
        <v>108396.37</v>
      </c>
      <c r="Q12" s="18" t="n">
        <v>108206.89</v>
      </c>
      <c r="R12" s="18" t="n">
        <v>106260.15</v>
      </c>
      <c r="S12" s="18" t="n">
        <v>105354.27</v>
      </c>
      <c r="T12" s="18" t="n">
        <v>105513.12</v>
      </c>
      <c r="U12" s="37" t="n">
        <v>105513.12</v>
      </c>
      <c r="V12" s="18" t="n">
        <v>107830.91</v>
      </c>
      <c r="W12" s="18" t="n">
        <v>109078.74</v>
      </c>
      <c r="X12" s="18" t="n">
        <v>108981.28</v>
      </c>
      <c r="Y12" s="18" t="n">
        <v>112464.64</v>
      </c>
      <c r="Z12" s="37" t="n">
        <v>112464.64</v>
      </c>
      <c r="AA12" s="18" t="n">
        <v>111984.24</v>
      </c>
      <c r="AB12" s="19" t="n">
        <v>112549.54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장기금융자산</t>
        </is>
      </c>
      <c r="E13" s="18" t="n">
        <v>99.25</v>
      </c>
      <c r="F13" s="37" t="n">
        <v>99.25</v>
      </c>
      <c r="G13" s="18" t="n">
        <v>99.25</v>
      </c>
      <c r="H13" s="18" t="n">
        <v>99.25</v>
      </c>
      <c r="I13" s="18" t="n">
        <v>99.25</v>
      </c>
      <c r="J13" s="18" t="n">
        <v>99.25</v>
      </c>
      <c r="K13" s="37" t="n">
        <v>99.25</v>
      </c>
      <c r="L13" s="18" t="n">
        <v>99.25</v>
      </c>
      <c r="M13" s="18" t="n">
        <v>99.25</v>
      </c>
      <c r="N13" s="18" t="n">
        <v>99.25</v>
      </c>
      <c r="O13" s="18" t="n">
        <v>99.25</v>
      </c>
      <c r="P13" s="37" t="n">
        <v>99.25</v>
      </c>
      <c r="Q13" s="18" t="n">
        <v>99.25</v>
      </c>
      <c r="R13" s="18" t="n">
        <v>99.25</v>
      </c>
      <c r="S13" s="18" t="n">
        <v>99.25</v>
      </c>
      <c r="T13" s="18" t="n">
        <v>99.25</v>
      </c>
      <c r="U13" s="37" t="n">
        <v>99.25</v>
      </c>
      <c r="V13" s="18" t="n">
        <v>99.25</v>
      </c>
      <c r="W13" s="18" t="n">
        <v>99.25</v>
      </c>
      <c r="X13" s="18" t="n">
        <v>99.25</v>
      </c>
      <c r="Y13" s="18" t="n">
        <v>99.25</v>
      </c>
      <c r="Z13" s="37" t="n">
        <v>99.25</v>
      </c>
      <c r="AA13" s="18" t="n">
        <v>99.25</v>
      </c>
      <c r="AB13" s="19" t="n">
        <v>99.25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투자자산</t>
        </is>
      </c>
      <c r="E14" s="18" t="n">
        <v>99.25</v>
      </c>
      <c r="F14" s="37" t="n">
        <v>99.25</v>
      </c>
      <c r="G14" s="18" t="n">
        <v>99.25</v>
      </c>
      <c r="H14" s="18" t="n">
        <v>99.25</v>
      </c>
      <c r="I14" s="18" t="n">
        <v>99.25</v>
      </c>
      <c r="J14" s="18" t="n">
        <v>99.25</v>
      </c>
      <c r="K14" s="37" t="n">
        <v>99.25</v>
      </c>
      <c r="L14" s="18" t="n">
        <v>99.25</v>
      </c>
      <c r="M14" s="18" t="n">
        <v>99.25</v>
      </c>
      <c r="N14" s="18" t="n">
        <v>99.25</v>
      </c>
      <c r="O14" s="18" t="n">
        <v>99.25</v>
      </c>
      <c r="P14" s="37" t="n">
        <v>99.25</v>
      </c>
      <c r="Q14" s="18" t="n">
        <v>99.25</v>
      </c>
      <c r="R14" s="18" t="n">
        <v>99.25</v>
      </c>
      <c r="S14" s="18" t="n">
        <v>99.25</v>
      </c>
      <c r="T14" s="18" t="n">
        <v>99.25</v>
      </c>
      <c r="U14" s="37" t="n">
        <v>99.25</v>
      </c>
      <c r="V14" s="18" t="n">
        <v>99.25</v>
      </c>
      <c r="W14" s="18" t="n">
        <v>99.25</v>
      </c>
      <c r="X14" s="18" t="n">
        <v>99.25</v>
      </c>
      <c r="Y14" s="18" t="n">
        <v>99.25</v>
      </c>
      <c r="Z14" s="37" t="n">
        <v>99.25</v>
      </c>
      <c r="AA14" s="18" t="n">
        <v>99.25</v>
      </c>
      <c r="AB14" s="19" t="n">
        <v>99.25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장기매출채권및기타채권</t>
        </is>
      </c>
      <c r="E15" s="18" t="n">
        <v>2871.74</v>
      </c>
      <c r="F15" s="37" t="n">
        <v>2871.74</v>
      </c>
      <c r="G15" s="18" t="n">
        <v>2929.54</v>
      </c>
      <c r="H15" s="18" t="n">
        <v>2720.39</v>
      </c>
      <c r="I15" s="18" t="n">
        <v>2618.18</v>
      </c>
      <c r="J15" s="18" t="n">
        <v>2999.18</v>
      </c>
      <c r="K15" s="37" t="n">
        <v>2999.18</v>
      </c>
      <c r="L15" s="18" t="n">
        <v>2879.46</v>
      </c>
      <c r="M15" s="18" t="n">
        <v>2739.56</v>
      </c>
      <c r="N15" s="18" t="n">
        <v>2611.66</v>
      </c>
      <c r="O15" s="18" t="n">
        <v>2507.16</v>
      </c>
      <c r="P15" s="37" t="n">
        <v>2507.16</v>
      </c>
      <c r="Q15" s="18" t="n">
        <v>2414.13</v>
      </c>
      <c r="R15" s="18" t="n">
        <v>2300.03</v>
      </c>
      <c r="S15" s="18" t="n">
        <v>2203.03</v>
      </c>
      <c r="T15" s="18" t="n">
        <v>2158.19</v>
      </c>
      <c r="U15" s="37" t="n">
        <v>2158.19</v>
      </c>
      <c r="V15" s="18" t="n">
        <v>2082.19</v>
      </c>
      <c r="W15" s="18" t="n">
        <v>1993.69</v>
      </c>
      <c r="X15" s="18" t="n">
        <v>2269.37</v>
      </c>
      <c r="Y15" s="18" t="n">
        <v>3262.6</v>
      </c>
      <c r="Z15" s="37" t="n">
        <v>3262.6</v>
      </c>
      <c r="AA15" s="18" t="n">
        <v>3456.25</v>
      </c>
      <c r="AB15" s="19" t="n">
        <v>3473.37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유형자산</t>
        </is>
      </c>
      <c r="E16" s="18" t="n">
        <v>70810</v>
      </c>
      <c r="F16" s="37" t="n">
        <v>70810</v>
      </c>
      <c r="G16" s="18" t="n">
        <v>70630.94</v>
      </c>
      <c r="H16" s="18" t="n">
        <v>70722.95</v>
      </c>
      <c r="I16" s="18" t="n">
        <v>71325.34</v>
      </c>
      <c r="J16" s="18" t="n">
        <v>70697.66</v>
      </c>
      <c r="K16" s="37" t="n">
        <v>70697.66</v>
      </c>
      <c r="L16" s="18" t="n">
        <v>71017.00999999999</v>
      </c>
      <c r="M16" s="18" t="n">
        <v>70960.39</v>
      </c>
      <c r="N16" s="18" t="n">
        <v>72033.67</v>
      </c>
      <c r="O16" s="18" t="n">
        <v>72739.39</v>
      </c>
      <c r="P16" s="37" t="n">
        <v>72739.39</v>
      </c>
      <c r="Q16" s="18" t="n">
        <v>72364.75999999999</v>
      </c>
      <c r="R16" s="18" t="n">
        <v>71634.49000000001</v>
      </c>
      <c r="S16" s="18" t="n">
        <v>71994.74000000001</v>
      </c>
      <c r="T16" s="18" t="n">
        <v>72243.00999999999</v>
      </c>
      <c r="U16" s="37" t="n">
        <v>72243.00999999999</v>
      </c>
      <c r="V16" s="18" t="n">
        <v>74088.38</v>
      </c>
      <c r="W16" s="18" t="n">
        <v>75213.59</v>
      </c>
      <c r="X16" s="18" t="n">
        <v>75104.17</v>
      </c>
      <c r="Y16" s="18" t="n">
        <v>78151.09</v>
      </c>
      <c r="Z16" s="37" t="n">
        <v>78151.09</v>
      </c>
      <c r="AA16" s="18" t="n">
        <v>78034.75</v>
      </c>
      <c r="AB16" s="19" t="n">
        <v>78016.61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투자부동산</t>
        </is>
      </c>
      <c r="E17" s="18" t="n">
        <v>11837.8</v>
      </c>
      <c r="F17" s="37" t="n">
        <v>11837.8</v>
      </c>
      <c r="G17" s="18" t="n">
        <v>11803.01</v>
      </c>
      <c r="H17" s="18" t="n">
        <v>11768.21</v>
      </c>
      <c r="I17" s="18" t="n">
        <v>11733.42</v>
      </c>
      <c r="J17" s="18" t="n">
        <v>11698.62</v>
      </c>
      <c r="K17" s="37" t="n">
        <v>11698.62</v>
      </c>
      <c r="L17" s="18" t="n">
        <v>19292.73</v>
      </c>
      <c r="M17" s="18" t="n">
        <v>19236.98</v>
      </c>
      <c r="N17" s="18" t="n">
        <v>19181.22</v>
      </c>
      <c r="O17" s="18" t="n">
        <v>19125.47</v>
      </c>
      <c r="P17" s="37" t="n">
        <v>19125.47</v>
      </c>
      <c r="Q17" s="18" t="n">
        <v>19069.72</v>
      </c>
      <c r="R17" s="18" t="n">
        <v>19013.96</v>
      </c>
      <c r="S17" s="18" t="n">
        <v>18958.21</v>
      </c>
      <c r="T17" s="18" t="n">
        <v>18902.46</v>
      </c>
      <c r="U17" s="37" t="n">
        <v>18902.46</v>
      </c>
      <c r="V17" s="18" t="n">
        <v>18846.7</v>
      </c>
      <c r="W17" s="18" t="n">
        <v>18790.95</v>
      </c>
      <c r="X17" s="18" t="n">
        <v>18735.19</v>
      </c>
      <c r="Y17" s="18" t="n">
        <v>18679.44</v>
      </c>
      <c r="Z17" s="37" t="n">
        <v>18679.44</v>
      </c>
      <c r="AA17" s="18" t="n">
        <v>18623.69</v>
      </c>
      <c r="AB17" s="19" t="n">
        <v>18567.93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무형자산</t>
        </is>
      </c>
      <c r="E18" s="18" t="n">
        <v>8114.46</v>
      </c>
      <c r="F18" s="37" t="n">
        <v>8114.46</v>
      </c>
      <c r="G18" s="18" t="n">
        <v>8114.46</v>
      </c>
      <c r="H18" s="18" t="n">
        <v>8105.72</v>
      </c>
      <c r="I18" s="18" t="n">
        <v>7806.51</v>
      </c>
      <c r="J18" s="18" t="n">
        <v>7777.76</v>
      </c>
      <c r="K18" s="37" t="n">
        <v>7777.76</v>
      </c>
      <c r="L18" s="18" t="n">
        <v>7805.26</v>
      </c>
      <c r="M18" s="18" t="n">
        <v>7811.51</v>
      </c>
      <c r="N18" s="18" t="n">
        <v>7803.38</v>
      </c>
      <c r="O18" s="18" t="n">
        <v>7787.76</v>
      </c>
      <c r="P18" s="37" t="n">
        <v>7787.76</v>
      </c>
      <c r="Q18" s="18" t="n">
        <v>7787.76</v>
      </c>
      <c r="R18" s="18" t="n">
        <v>7777.76</v>
      </c>
      <c r="S18" s="18" t="n">
        <v>7782.76</v>
      </c>
      <c r="T18" s="18" t="n">
        <v>7749.01</v>
      </c>
      <c r="U18" s="37" t="n">
        <v>7749.01</v>
      </c>
      <c r="V18" s="18" t="n">
        <v>7750.26</v>
      </c>
      <c r="W18" s="18" t="n">
        <v>7765.26</v>
      </c>
      <c r="X18" s="18" t="n">
        <v>7825.93</v>
      </c>
      <c r="Y18" s="18" t="n">
        <v>7823.26</v>
      </c>
      <c r="Z18" s="37" t="n">
        <v>7823.26</v>
      </c>
      <c r="AA18" s="18" t="n">
        <v>7816.07</v>
      </c>
      <c r="AB18" s="19" t="n">
        <v>7801.63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이연법인세자산</t>
        </is>
      </c>
      <c r="E19" s="18" t="n">
        <v>4443.7</v>
      </c>
      <c r="F19" s="37" t="n">
        <v>4443.7</v>
      </c>
      <c r="G19" s="18" t="n">
        <v>4482.25</v>
      </c>
      <c r="H19" s="18" t="n">
        <v>4272.06</v>
      </c>
      <c r="I19" s="18" t="n">
        <v>4500.6</v>
      </c>
      <c r="J19" s="18" t="n">
        <v>3916.04</v>
      </c>
      <c r="K19" s="37" t="n">
        <v>3916.04</v>
      </c>
      <c r="L19" s="18" t="n">
        <v>7093.67</v>
      </c>
      <c r="M19" s="18" t="n">
        <v>6902.65</v>
      </c>
      <c r="N19" s="18" t="n">
        <v>6280.09</v>
      </c>
      <c r="O19" s="18" t="n">
        <v>6137.34</v>
      </c>
      <c r="P19" s="37" t="n">
        <v>6137.34</v>
      </c>
      <c r="Q19" s="18" t="n">
        <v>6471.28</v>
      </c>
      <c r="R19" s="18" t="n">
        <v>5434.66</v>
      </c>
      <c r="S19" s="18" t="n">
        <v>4316.29</v>
      </c>
      <c r="T19" s="18" t="n">
        <v>4361.2</v>
      </c>
      <c r="U19" s="37" t="n">
        <v>4361.2</v>
      </c>
      <c r="V19" s="18" t="n">
        <v>4964.13</v>
      </c>
      <c r="W19" s="18" t="n">
        <v>5216</v>
      </c>
      <c r="X19" s="18" t="n">
        <v>4947.37</v>
      </c>
      <c r="Y19" s="18" t="n">
        <v>4449</v>
      </c>
      <c r="Z19" s="37" t="n">
        <v>4449</v>
      </c>
      <c r="AA19" s="18" t="n">
        <v>3954.23</v>
      </c>
      <c r="AB19" s="19" t="n">
        <v>4590.74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자산총계</t>
        </is>
      </c>
      <c r="E20" s="18" t="n">
        <v>379796.14</v>
      </c>
      <c r="F20" s="37" t="n">
        <v>379796.14</v>
      </c>
      <c r="G20" s="18" t="n">
        <v>384480.79</v>
      </c>
      <c r="H20" s="18" t="n">
        <v>392224.65</v>
      </c>
      <c r="I20" s="18" t="n">
        <v>406945.81</v>
      </c>
      <c r="J20" s="18" t="n">
        <v>411922.43</v>
      </c>
      <c r="K20" s="37" t="n">
        <v>411922.43</v>
      </c>
      <c r="L20" s="18" t="n">
        <v>425017.25</v>
      </c>
      <c r="M20" s="18" t="n">
        <v>431051.78</v>
      </c>
      <c r="N20" s="18" t="n">
        <v>441758.08</v>
      </c>
      <c r="O20" s="18" t="n">
        <v>443155.32</v>
      </c>
      <c r="P20" s="37" t="n">
        <v>443155.32</v>
      </c>
      <c r="Q20" s="18" t="n">
        <v>455719.79</v>
      </c>
      <c r="R20" s="18" t="n">
        <v>443518.17</v>
      </c>
      <c r="S20" s="18" t="n">
        <v>448556.43</v>
      </c>
      <c r="T20" s="18" t="n">
        <v>472680.21</v>
      </c>
      <c r="U20" s="37" t="n">
        <v>472680.21</v>
      </c>
      <c r="V20" s="18" t="n">
        <v>478942.53</v>
      </c>
      <c r="W20" s="18" t="n">
        <v>467234.16</v>
      </c>
      <c r="X20" s="18" t="n">
        <v>479891.05</v>
      </c>
      <c r="Y20" s="18" t="n">
        <v>498092.2</v>
      </c>
      <c r="Z20" s="37" t="n">
        <v>498092.2</v>
      </c>
      <c r="AA20" s="18" t="n">
        <v>511204.94</v>
      </c>
      <c r="AB20" s="19" t="n">
        <v>513955.4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유동부채</t>
        </is>
      </c>
      <c r="E21" s="18" t="n">
        <v>21327.01</v>
      </c>
      <c r="F21" s="37" t="n">
        <v>21327.01</v>
      </c>
      <c r="G21" s="18" t="n">
        <v>26720.93</v>
      </c>
      <c r="H21" s="18" t="n">
        <v>24196.36</v>
      </c>
      <c r="I21" s="18" t="n">
        <v>26815.18</v>
      </c>
      <c r="J21" s="18" t="n">
        <v>27997.31</v>
      </c>
      <c r="K21" s="37" t="n">
        <v>27997.31</v>
      </c>
      <c r="L21" s="18" t="n">
        <v>33294.15</v>
      </c>
      <c r="M21" s="18" t="n">
        <v>26511.9</v>
      </c>
      <c r="N21" s="18" t="n">
        <v>24862.99</v>
      </c>
      <c r="O21" s="18" t="n">
        <v>25793.57</v>
      </c>
      <c r="P21" s="37" t="n">
        <v>25793.57</v>
      </c>
      <c r="Q21" s="18" t="n">
        <v>43023.49</v>
      </c>
      <c r="R21" s="18" t="n">
        <v>21870.24</v>
      </c>
      <c r="S21" s="18" t="n">
        <v>17858.38</v>
      </c>
      <c r="T21" s="18" t="n">
        <v>25915.26</v>
      </c>
      <c r="U21" s="37" t="n">
        <v>25915.26</v>
      </c>
      <c r="V21" s="18" t="n">
        <v>38102.95</v>
      </c>
      <c r="W21" s="18" t="n">
        <v>24211.68</v>
      </c>
      <c r="X21" s="18" t="n">
        <v>24086.01</v>
      </c>
      <c r="Y21" s="18" t="n">
        <v>27743.19</v>
      </c>
      <c r="Z21" s="37" t="n">
        <v>27743.19</v>
      </c>
      <c r="AA21" s="18" t="n">
        <v>40879.06</v>
      </c>
      <c r="AB21" s="19" t="n">
        <v>27902.22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매입채무및기타채무</t>
        </is>
      </c>
      <c r="E22" s="18" t="n">
        <v>14092.91</v>
      </c>
      <c r="F22" s="37" t="n">
        <v>14092.91</v>
      </c>
      <c r="G22" s="18" t="n">
        <v>19920.14</v>
      </c>
      <c r="H22" s="18" t="n">
        <v>16135.35</v>
      </c>
      <c r="I22" s="18" t="n">
        <v>17312.03</v>
      </c>
      <c r="J22" s="18" t="n">
        <v>16894.26</v>
      </c>
      <c r="K22" s="37" t="n">
        <v>16894.26</v>
      </c>
      <c r="L22" s="18" t="n">
        <v>22188.5</v>
      </c>
      <c r="M22" s="18" t="n">
        <v>15889.99</v>
      </c>
      <c r="N22" s="18" t="n">
        <v>13047.59</v>
      </c>
      <c r="O22" s="18" t="n">
        <v>15030.95</v>
      </c>
      <c r="P22" s="37" t="n">
        <v>15030.95</v>
      </c>
      <c r="Q22" s="18" t="n">
        <v>28031.79</v>
      </c>
      <c r="R22" s="18" t="n">
        <v>11529.82</v>
      </c>
      <c r="S22" s="18" t="n">
        <v>11341.61</v>
      </c>
      <c r="T22" s="18" t="n">
        <v>17039.77</v>
      </c>
      <c r="U22" s="37" t="n">
        <v>17039.77</v>
      </c>
      <c r="V22" s="18" t="n">
        <v>29847.94</v>
      </c>
      <c r="W22" s="18" t="n">
        <v>16112.28</v>
      </c>
      <c r="X22" s="18" t="n">
        <v>15000.37</v>
      </c>
      <c r="Y22" s="18" t="n">
        <v>16774.88</v>
      </c>
      <c r="Z22" s="37" t="n">
        <v>16774.88</v>
      </c>
      <c r="AA22" s="18" t="n">
        <v>29242.6</v>
      </c>
      <c r="AB22" s="19" t="n">
        <v>16974.77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당기법인세부채(미지급법인세)</t>
        </is>
      </c>
      <c r="E23" s="18" t="n">
        <v>5499.46</v>
      </c>
      <c r="F23" s="37" t="n">
        <v>5499.46</v>
      </c>
      <c r="G23" s="18" t="n">
        <v>5165.04</v>
      </c>
      <c r="H23" s="18" t="n">
        <v>5978.2</v>
      </c>
      <c r="I23" s="18" t="n">
        <v>7764.01</v>
      </c>
      <c r="J23" s="18" t="n">
        <v>9270.15</v>
      </c>
      <c r="K23" s="37" t="n">
        <v>9270.15</v>
      </c>
      <c r="L23" s="18" t="n">
        <v>9514.959999999999</v>
      </c>
      <c r="M23" s="18" t="n">
        <v>7746.08</v>
      </c>
      <c r="N23" s="18" t="n">
        <v>8755.209999999999</v>
      </c>
      <c r="O23" s="18" t="n">
        <v>7718.18</v>
      </c>
      <c r="P23" s="37" t="n">
        <v>7718.18</v>
      </c>
      <c r="Q23" s="18" t="n">
        <v>12093.96</v>
      </c>
      <c r="R23" s="18" t="n">
        <v>7735.23</v>
      </c>
      <c r="S23" s="18" t="n">
        <v>4662.32</v>
      </c>
      <c r="T23" s="18" t="n">
        <v>6935.86</v>
      </c>
      <c r="U23" s="37" t="n">
        <v>6935.86</v>
      </c>
      <c r="V23" s="18" t="n">
        <v>7126.71</v>
      </c>
      <c r="W23" s="18" t="n">
        <v>6538.64</v>
      </c>
      <c r="X23" s="18" t="n">
        <v>7636.59</v>
      </c>
      <c r="Y23" s="18" t="n">
        <v>9032.629999999999</v>
      </c>
      <c r="Z23" s="37" t="n">
        <v>9032.629999999999</v>
      </c>
      <c r="AA23" s="18" t="n">
        <v>9893.48</v>
      </c>
      <c r="AB23" s="19" t="n">
        <v>8859.07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비유동부채</t>
        </is>
      </c>
      <c r="E24" s="18" t="n">
        <v>10371.02</v>
      </c>
      <c r="F24" s="37" t="n">
        <v>10371.02</v>
      </c>
      <c r="G24" s="18" t="n">
        <v>9449.860000000001</v>
      </c>
      <c r="H24" s="18" t="n">
        <v>7521.71</v>
      </c>
      <c r="I24" s="18" t="n">
        <v>6082.01</v>
      </c>
      <c r="J24" s="18" t="n">
        <v>3799.16</v>
      </c>
      <c r="K24" s="37" t="n">
        <v>3799.16</v>
      </c>
      <c r="L24" s="18" t="n">
        <v>12919.29</v>
      </c>
      <c r="M24" s="18" t="n">
        <v>11412.71</v>
      </c>
      <c r="N24" s="18" t="n">
        <v>8920.99</v>
      </c>
      <c r="O24" s="18" t="n">
        <v>10502.28</v>
      </c>
      <c r="P24" s="37" t="n">
        <v>10502.28</v>
      </c>
      <c r="Q24" s="18" t="n">
        <v>11148.43</v>
      </c>
      <c r="R24" s="18" t="n">
        <v>10225.42</v>
      </c>
      <c r="S24" s="18" t="n">
        <v>11572.65</v>
      </c>
      <c r="T24" s="18" t="n">
        <v>10801.7</v>
      </c>
      <c r="U24" s="37" t="n">
        <v>10801.7</v>
      </c>
      <c r="V24" s="18" t="n">
        <v>13960.69</v>
      </c>
      <c r="W24" s="18" t="n">
        <v>13940.02</v>
      </c>
      <c r="X24" s="18" t="n">
        <v>13773.84</v>
      </c>
      <c r="Y24" s="18" t="n">
        <v>11201.05</v>
      </c>
      <c r="Z24" s="37" t="n">
        <v>11201.05</v>
      </c>
      <c r="AA24" s="18" t="n">
        <v>7338.92</v>
      </c>
      <c r="AB24" s="19" t="n">
        <v>9717.860000000001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확정급여부채</t>
        </is>
      </c>
      <c r="E25" s="18" t="n">
        <v>10371.03</v>
      </c>
      <c r="F25" s="37" t="n">
        <v>10371.03</v>
      </c>
      <c r="G25" s="18" t="n">
        <v>9449.860000000001</v>
      </c>
      <c r="H25" s="18" t="n">
        <v>7521.71</v>
      </c>
      <c r="I25" s="18" t="n">
        <v>6082.01</v>
      </c>
      <c r="J25" s="18" t="n">
        <v>3799.16</v>
      </c>
      <c r="K25" s="37" t="n">
        <v>3799.16</v>
      </c>
      <c r="L25" s="18" t="n">
        <v>12919.3</v>
      </c>
      <c r="M25" s="18" t="n">
        <v>11412.71</v>
      </c>
      <c r="N25" s="18" t="n">
        <v>8920.99</v>
      </c>
      <c r="O25" s="18" t="n">
        <v>10502.29</v>
      </c>
      <c r="P25" s="37" t="n">
        <v>10502.29</v>
      </c>
      <c r="Q25" s="18" t="n">
        <v>11148.42</v>
      </c>
      <c r="R25" s="18" t="n">
        <v>10225.42</v>
      </c>
      <c r="S25" s="18" t="n">
        <v>11572.65</v>
      </c>
      <c r="T25" s="18" t="n">
        <v>10801.7</v>
      </c>
      <c r="U25" s="37" t="n">
        <v>10801.7</v>
      </c>
      <c r="V25" s="18" t="n">
        <v>13960.69</v>
      </c>
      <c r="W25" s="18" t="n">
        <v>13940.02</v>
      </c>
      <c r="X25" s="18" t="n">
        <v>13773.84</v>
      </c>
      <c r="Y25" s="18" t="n">
        <v>11201.05</v>
      </c>
      <c r="Z25" s="37" t="n">
        <v>11201.05</v>
      </c>
      <c r="AA25" s="18" t="n">
        <v>7338.92</v>
      </c>
      <c r="AB25" s="19" t="n">
        <v>9717.860000000001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부채총계</t>
        </is>
      </c>
      <c r="E26" s="18" t="n">
        <v>31698.03</v>
      </c>
      <c r="F26" s="37" t="n">
        <v>31698.03</v>
      </c>
      <c r="G26" s="18" t="n">
        <v>36170.79</v>
      </c>
      <c r="H26" s="18" t="n">
        <v>31718.08</v>
      </c>
      <c r="I26" s="18" t="n">
        <v>32897.18</v>
      </c>
      <c r="J26" s="18" t="n">
        <v>31796.47</v>
      </c>
      <c r="K26" s="37" t="n">
        <v>31796.47</v>
      </c>
      <c r="L26" s="18" t="n">
        <v>46213.44</v>
      </c>
      <c r="M26" s="18" t="n">
        <v>37924.61</v>
      </c>
      <c r="N26" s="18" t="n">
        <v>33783.99</v>
      </c>
      <c r="O26" s="18" t="n">
        <v>36295.86</v>
      </c>
      <c r="P26" s="37" t="n">
        <v>36295.86</v>
      </c>
      <c r="Q26" s="18" t="n">
        <v>54171.92</v>
      </c>
      <c r="R26" s="18" t="n">
        <v>32095.67</v>
      </c>
      <c r="S26" s="18" t="n">
        <v>29431.03</v>
      </c>
      <c r="T26" s="18" t="n">
        <v>36716.96</v>
      </c>
      <c r="U26" s="37" t="n">
        <v>36716.96</v>
      </c>
      <c r="V26" s="18" t="n">
        <v>52063.65</v>
      </c>
      <c r="W26" s="18" t="n">
        <v>38151.7</v>
      </c>
      <c r="X26" s="18" t="n">
        <v>37859.85</v>
      </c>
      <c r="Y26" s="18" t="n">
        <v>38944.24</v>
      </c>
      <c r="Z26" s="37" t="n">
        <v>38944.24</v>
      </c>
      <c r="AA26" s="18" t="n">
        <v>48217.98</v>
      </c>
      <c r="AB26" s="19" t="n">
        <v>37620.08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지배주주지분</t>
        </is>
      </c>
      <c r="E27" s="18" t="n">
        <v>344658.32</v>
      </c>
      <c r="F27" s="37" t="n">
        <v>344658.32</v>
      </c>
      <c r="G27" s="18" t="n">
        <v>344817.96</v>
      </c>
      <c r="H27" s="18" t="n">
        <v>356786.08</v>
      </c>
      <c r="I27" s="18" t="n">
        <v>370964.24</v>
      </c>
      <c r="J27" s="18" t="n">
        <v>377157.28</v>
      </c>
      <c r="K27" s="37" t="n">
        <v>377157.28</v>
      </c>
      <c r="L27" s="18" t="n">
        <v>375706.35</v>
      </c>
      <c r="M27" s="18" t="n">
        <v>390115.51</v>
      </c>
      <c r="N27" s="18" t="n">
        <v>404641.86</v>
      </c>
      <c r="O27" s="18" t="n">
        <v>403509.2</v>
      </c>
      <c r="P27" s="37" t="n">
        <v>403509.2</v>
      </c>
      <c r="Q27" s="18" t="n">
        <v>397921.26</v>
      </c>
      <c r="R27" s="18" t="n">
        <v>407572.3</v>
      </c>
      <c r="S27" s="18" t="n">
        <v>415103.93</v>
      </c>
      <c r="T27" s="18" t="n">
        <v>431688.46</v>
      </c>
      <c r="U27" s="37" t="n">
        <v>431688.46</v>
      </c>
      <c r="V27" s="18" t="n">
        <v>422587.67</v>
      </c>
      <c r="W27" s="18" t="n">
        <v>425042.45</v>
      </c>
      <c r="X27" s="18" t="n">
        <v>437611.41</v>
      </c>
      <c r="Y27" s="18" t="n">
        <v>454358.84</v>
      </c>
      <c r="Z27" s="37" t="n">
        <v>454358.84</v>
      </c>
      <c r="AA27" s="18" t="n">
        <v>457762.79</v>
      </c>
      <c r="AB27" s="19" t="n">
        <v>471099.78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자본금</t>
        </is>
      </c>
      <c r="E28" s="18" t="n">
        <v>6806.62</v>
      </c>
      <c r="F28" s="37" t="n">
        <v>6806.62</v>
      </c>
      <c r="G28" s="18" t="n">
        <v>6806.62</v>
      </c>
      <c r="H28" s="18" t="n">
        <v>6806.62</v>
      </c>
      <c r="I28" s="18" t="n">
        <v>6806.62</v>
      </c>
      <c r="J28" s="18" t="n">
        <v>6806.62</v>
      </c>
      <c r="K28" s="37" t="n">
        <v>6806.62</v>
      </c>
      <c r="L28" s="18" t="n">
        <v>6806.62</v>
      </c>
      <c r="M28" s="18" t="n">
        <v>6806.62</v>
      </c>
      <c r="N28" s="18" t="n">
        <v>6806.62</v>
      </c>
      <c r="O28" s="18" t="n">
        <v>6806.62</v>
      </c>
      <c r="P28" s="37" t="n">
        <v>6806.62</v>
      </c>
      <c r="Q28" s="18" t="n">
        <v>6806.62</v>
      </c>
      <c r="R28" s="18" t="n">
        <v>6806.62</v>
      </c>
      <c r="S28" s="18" t="n">
        <v>6806.62</v>
      </c>
      <c r="T28" s="18" t="n">
        <v>6806.62</v>
      </c>
      <c r="U28" s="37" t="n">
        <v>6806.62</v>
      </c>
      <c r="V28" s="18" t="n">
        <v>6806.62</v>
      </c>
      <c r="W28" s="18" t="n">
        <v>6806.62</v>
      </c>
      <c r="X28" s="18" t="n">
        <v>6806.62</v>
      </c>
      <c r="Y28" s="18" t="n">
        <v>6806.62</v>
      </c>
      <c r="Z28" s="37" t="n">
        <v>6806.62</v>
      </c>
      <c r="AA28" s="18" t="n">
        <v>6806.62</v>
      </c>
      <c r="AB28" s="19" t="n">
        <v>6806.62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자본잉여금</t>
        </is>
      </c>
      <c r="E29" s="18" t="n">
        <v>23843.6</v>
      </c>
      <c r="F29" s="37" t="n">
        <v>23843.6</v>
      </c>
      <c r="G29" s="18" t="n">
        <v>23843.6</v>
      </c>
      <c r="H29" s="18" t="n">
        <v>23843.6</v>
      </c>
      <c r="I29" s="18" t="n">
        <v>23843.6</v>
      </c>
      <c r="J29" s="18" t="n">
        <v>23843.6</v>
      </c>
      <c r="K29" s="37" t="n">
        <v>23843.6</v>
      </c>
      <c r="L29" s="18" t="n">
        <v>23843.6</v>
      </c>
      <c r="M29" s="18" t="n">
        <v>23843.6</v>
      </c>
      <c r="N29" s="18" t="n">
        <v>23843.6</v>
      </c>
      <c r="O29" s="18" t="n">
        <v>23843.6</v>
      </c>
      <c r="P29" s="37" t="n">
        <v>23843.6</v>
      </c>
      <c r="Q29" s="18" t="n">
        <v>23843.6</v>
      </c>
      <c r="R29" s="18" t="n">
        <v>23843.6</v>
      </c>
      <c r="S29" s="18" t="n">
        <v>23843.6</v>
      </c>
      <c r="T29" s="18" t="n">
        <v>23843.6</v>
      </c>
      <c r="U29" s="37" t="n">
        <v>23843.6</v>
      </c>
      <c r="V29" s="18" t="n">
        <v>23843.6</v>
      </c>
      <c r="W29" s="18" t="n">
        <v>23843.6</v>
      </c>
      <c r="X29" s="18" t="n">
        <v>23843.6</v>
      </c>
      <c r="Y29" s="18" t="n">
        <v>23843.6</v>
      </c>
      <c r="Z29" s="37" t="n">
        <v>23843.6</v>
      </c>
      <c r="AA29" s="18" t="n">
        <v>23843.6</v>
      </c>
      <c r="AB29" s="19" t="n">
        <v>23843.6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기타자본</t>
        </is>
      </c>
      <c r="E30" s="18" t="n">
        <v>-9932.83</v>
      </c>
      <c r="F30" s="37" t="n">
        <v>-9932.83</v>
      </c>
      <c r="G30" s="18" t="n">
        <v>-9932.83</v>
      </c>
      <c r="H30" s="18" t="n">
        <v>-9932.83</v>
      </c>
      <c r="I30" s="18" t="n">
        <v>-9932.83</v>
      </c>
      <c r="J30" s="18" t="n">
        <v>-9932.83</v>
      </c>
      <c r="K30" s="37" t="n">
        <v>-9932.83</v>
      </c>
      <c r="O30" s="18" t="n">
        <v>-7927.92</v>
      </c>
      <c r="P30" s="37" t="n">
        <v>-7927.92</v>
      </c>
      <c r="Q30" s="18" t="n">
        <v>-16043.95</v>
      </c>
      <c r="R30" s="18" t="n">
        <v>-19948.59</v>
      </c>
      <c r="S30" s="18" t="n">
        <v>-19948.59</v>
      </c>
      <c r="T30" s="18" t="n">
        <v>-203.16</v>
      </c>
      <c r="U30" s="37" t="n">
        <v>-203.16</v>
      </c>
      <c r="V30" s="18" t="n">
        <v>-5053.73</v>
      </c>
      <c r="W30" s="18" t="n">
        <v>-12633.81</v>
      </c>
      <c r="X30" s="18" t="n">
        <v>-203.16</v>
      </c>
      <c r="Y30" s="18" t="n">
        <v>-203.16</v>
      </c>
      <c r="Z30" s="37" t="n">
        <v>-203.16</v>
      </c>
      <c r="AA30" s="18" t="n">
        <v>-203.16</v>
      </c>
      <c r="AB30" s="19" t="n">
        <v>-203.16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기타포괄이익누계액</t>
        </is>
      </c>
      <c r="E31" s="18" t="n">
        <v>525.03</v>
      </c>
      <c r="F31" s="37" t="n">
        <v>525.03</v>
      </c>
      <c r="G31" s="18" t="n">
        <v>700.45</v>
      </c>
      <c r="H31" s="18" t="n">
        <v>1049.3</v>
      </c>
      <c r="I31" s="18" t="n">
        <v>1984.8</v>
      </c>
      <c r="J31" s="18" t="n">
        <v>597.77</v>
      </c>
      <c r="K31" s="37" t="n">
        <v>597.77</v>
      </c>
      <c r="L31" s="18" t="n">
        <v>1175.19</v>
      </c>
      <c r="M31" s="18" t="n">
        <v>1045.61</v>
      </c>
      <c r="N31" s="18" t="n">
        <v>1306.21</v>
      </c>
      <c r="O31" s="18" t="n">
        <v>866.16</v>
      </c>
      <c r="P31" s="37" t="n">
        <v>866.16</v>
      </c>
      <c r="Q31" s="18" t="n">
        <v>1499.52</v>
      </c>
      <c r="R31" s="18" t="n">
        <v>2083.06</v>
      </c>
      <c r="S31" s="18" t="n">
        <v>1417.05</v>
      </c>
      <c r="T31" s="18" t="n">
        <v>3234.57</v>
      </c>
      <c r="U31" s="37" t="n">
        <v>3234.57</v>
      </c>
      <c r="V31" s="18" t="n">
        <v>3436.13</v>
      </c>
      <c r="W31" s="18" t="n">
        <v>2063.56</v>
      </c>
      <c r="X31" s="18" t="n">
        <v>2950.87</v>
      </c>
      <c r="Y31" s="18" t="n">
        <v>3676.46</v>
      </c>
      <c r="Z31" s="37" t="n">
        <v>3676.46</v>
      </c>
      <c r="AA31" s="18" t="n">
        <v>5183.97</v>
      </c>
      <c r="AB31" s="19" t="n">
        <v>5900.24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이익잉여금</t>
        </is>
      </c>
      <c r="E32" s="18" t="n">
        <v>323415.91</v>
      </c>
      <c r="F32" s="37" t="n">
        <v>323415.91</v>
      </c>
      <c r="G32" s="18" t="n">
        <v>323400.13</v>
      </c>
      <c r="H32" s="18" t="n">
        <v>335019.4</v>
      </c>
      <c r="I32" s="18" t="n">
        <v>348262.06</v>
      </c>
      <c r="J32" s="18" t="n">
        <v>355842.12</v>
      </c>
      <c r="K32" s="37" t="n">
        <v>355842.12</v>
      </c>
      <c r="L32" s="18" t="n">
        <v>343880.95</v>
      </c>
      <c r="M32" s="18" t="n">
        <v>358419.69</v>
      </c>
      <c r="N32" s="18" t="n">
        <v>372685.43</v>
      </c>
      <c r="O32" s="18" t="n">
        <v>379920.74</v>
      </c>
      <c r="P32" s="37" t="n">
        <v>379920.74</v>
      </c>
      <c r="Q32" s="18" t="n">
        <v>381815.47</v>
      </c>
      <c r="R32" s="18" t="n">
        <v>394787.62</v>
      </c>
      <c r="S32" s="18" t="n">
        <v>402985.26</v>
      </c>
      <c r="T32" s="18" t="n">
        <v>398006.84</v>
      </c>
      <c r="U32" s="37" t="n">
        <v>398006.84</v>
      </c>
      <c r="V32" s="18" t="n">
        <v>393555.06</v>
      </c>
      <c r="W32" s="18" t="n">
        <v>404962.49</v>
      </c>
      <c r="X32" s="18" t="n">
        <v>404213.49</v>
      </c>
      <c r="Y32" s="18" t="n">
        <v>420235.33</v>
      </c>
      <c r="Z32" s="37" t="n">
        <v>420235.33</v>
      </c>
      <c r="AA32" s="18" t="n">
        <v>422131.77</v>
      </c>
      <c r="AB32" s="19" t="n">
        <v>434752.49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비지배주주지분</t>
        </is>
      </c>
      <c r="E33" s="18" t="n">
        <v>3439.79</v>
      </c>
      <c r="F33" s="37" t="n">
        <v>3439.79</v>
      </c>
      <c r="G33" s="18" t="n">
        <v>3492.04</v>
      </c>
      <c r="H33" s="18" t="n">
        <v>3720.49</v>
      </c>
      <c r="I33" s="18" t="n">
        <v>3084.38</v>
      </c>
      <c r="J33" s="18" t="n">
        <v>2968.68</v>
      </c>
      <c r="K33" s="37" t="n">
        <v>2968.68</v>
      </c>
      <c r="L33" s="18" t="n">
        <v>3097.45</v>
      </c>
      <c r="M33" s="18" t="n">
        <v>3011.66</v>
      </c>
      <c r="N33" s="18" t="n">
        <v>3332.24</v>
      </c>
      <c r="O33" s="18" t="n">
        <v>3350.26</v>
      </c>
      <c r="P33" s="37" t="n">
        <v>3350.26</v>
      </c>
      <c r="Q33" s="18" t="n">
        <v>3626.61</v>
      </c>
      <c r="R33" s="18" t="n">
        <v>3850.21</v>
      </c>
      <c r="S33" s="18" t="n">
        <v>4021.46</v>
      </c>
      <c r="T33" s="18" t="n">
        <v>4274.79</v>
      </c>
      <c r="U33" s="37" t="n">
        <v>4274.79</v>
      </c>
      <c r="V33" s="18" t="n">
        <v>4291.21</v>
      </c>
      <c r="W33" s="18" t="n">
        <v>4040.01</v>
      </c>
      <c r="X33" s="18" t="n">
        <v>4419.79</v>
      </c>
      <c r="Y33" s="18" t="n">
        <v>4789.12</v>
      </c>
      <c r="Z33" s="37" t="n">
        <v>4789.12</v>
      </c>
      <c r="AA33" s="18" t="n">
        <v>5224.16</v>
      </c>
      <c r="AB33" s="19" t="n">
        <v>5235.54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자본총계</t>
        </is>
      </c>
      <c r="E34" s="18" t="n">
        <v>348098.11</v>
      </c>
      <c r="F34" s="37" t="n">
        <v>348098.11</v>
      </c>
      <c r="G34" s="18" t="n">
        <v>348310</v>
      </c>
      <c r="H34" s="18" t="n">
        <v>360506.58</v>
      </c>
      <c r="I34" s="18" t="n">
        <v>374048.62</v>
      </c>
      <c r="J34" s="18" t="n">
        <v>380125.96</v>
      </c>
      <c r="K34" s="37" t="n">
        <v>380125.96</v>
      </c>
      <c r="L34" s="18" t="n">
        <v>378803.8</v>
      </c>
      <c r="M34" s="18" t="n">
        <v>393127.17</v>
      </c>
      <c r="N34" s="18" t="n">
        <v>407974.09</v>
      </c>
      <c r="O34" s="18" t="n">
        <v>406859.46</v>
      </c>
      <c r="P34" s="37" t="n">
        <v>406859.46</v>
      </c>
      <c r="Q34" s="18" t="n">
        <v>401547.87</v>
      </c>
      <c r="R34" s="18" t="n">
        <v>411422.5</v>
      </c>
      <c r="S34" s="18" t="n">
        <v>419125.4</v>
      </c>
      <c r="T34" s="18" t="n">
        <v>435963.25</v>
      </c>
      <c r="U34" s="37" t="n">
        <v>435963.25</v>
      </c>
      <c r="V34" s="18" t="n">
        <v>426878.88</v>
      </c>
      <c r="W34" s="18" t="n">
        <v>429082.46</v>
      </c>
      <c r="X34" s="18" t="n">
        <v>442031.2</v>
      </c>
      <c r="Y34" s="18" t="n">
        <v>459147.96</v>
      </c>
      <c r="Z34" s="37" t="n">
        <v>459147.96</v>
      </c>
      <c r="AA34" s="18" t="n">
        <v>462986.95</v>
      </c>
      <c r="AB34" s="19" t="n">
        <v>476335.32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부채와자본총계</t>
        </is>
      </c>
      <c r="E35" s="18" t="n">
        <v>379796.14</v>
      </c>
      <c r="F35" s="37" t="n">
        <v>379796.14</v>
      </c>
      <c r="G35" s="18" t="n">
        <v>384480.79</v>
      </c>
      <c r="H35" s="18" t="n">
        <v>392224.65</v>
      </c>
      <c r="I35" s="18" t="n">
        <v>406945.81</v>
      </c>
      <c r="J35" s="18" t="n">
        <v>411922.43</v>
      </c>
      <c r="K35" s="37" t="n">
        <v>411922.43</v>
      </c>
      <c r="L35" s="18" t="n">
        <v>425017.25</v>
      </c>
      <c r="M35" s="18" t="n">
        <v>431051.78</v>
      </c>
      <c r="N35" s="18" t="n">
        <v>441758.08</v>
      </c>
      <c r="O35" s="18" t="n">
        <v>443155.32</v>
      </c>
      <c r="P35" s="37" t="n">
        <v>443155.32</v>
      </c>
      <c r="Q35" s="18" t="n">
        <v>455719.79</v>
      </c>
      <c r="R35" s="18" t="n">
        <v>443518.17</v>
      </c>
      <c r="S35" s="18" t="n">
        <v>448556.43</v>
      </c>
      <c r="T35" s="18" t="n">
        <v>472680.21</v>
      </c>
      <c r="U35" s="37" t="n">
        <v>472680.21</v>
      </c>
      <c r="V35" s="18" t="n">
        <v>478942.53</v>
      </c>
      <c r="W35" s="18" t="n">
        <v>467234.16</v>
      </c>
      <c r="X35" s="18" t="n">
        <v>479891.05</v>
      </c>
      <c r="Y35" s="18" t="n">
        <v>498092.2</v>
      </c>
      <c r="Z35" s="37" t="n">
        <v>498092.2</v>
      </c>
      <c r="AA35" s="18" t="n">
        <v>511204.94</v>
      </c>
      <c r="AB35" s="19" t="n">
        <v>513955.4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이자발생자산</t>
        </is>
      </c>
      <c r="E36" s="18" t="n">
        <v>176060.51</v>
      </c>
      <c r="F36" s="37" t="n">
        <v>176060.51</v>
      </c>
      <c r="G36" s="18" t="n">
        <v>176799.72</v>
      </c>
      <c r="H36" s="18" t="n">
        <v>174056.4</v>
      </c>
      <c r="I36" s="18" t="n">
        <v>174609.88</v>
      </c>
      <c r="J36" s="18" t="n">
        <v>183922.73</v>
      </c>
      <c r="K36" s="37" t="n">
        <v>183922.73</v>
      </c>
      <c r="L36" s="18" t="n">
        <v>177500.09</v>
      </c>
      <c r="M36" s="18" t="n">
        <v>178088.11</v>
      </c>
      <c r="N36" s="18" t="n">
        <v>181028.34</v>
      </c>
      <c r="O36" s="18" t="n">
        <v>180278.23</v>
      </c>
      <c r="P36" s="37" t="n">
        <v>180278.23</v>
      </c>
      <c r="Q36" s="18" t="n">
        <v>182304.66</v>
      </c>
      <c r="R36" s="18" t="n">
        <v>179829.66</v>
      </c>
      <c r="S36" s="18" t="n">
        <v>192970.56</v>
      </c>
      <c r="T36" s="18" t="n">
        <v>199423.14</v>
      </c>
      <c r="U36" s="37" t="n">
        <v>199423.14</v>
      </c>
      <c r="V36" s="18" t="n">
        <v>196545.51</v>
      </c>
      <c r="W36" s="18" t="n">
        <v>184819.78</v>
      </c>
      <c r="X36" s="18" t="n">
        <v>189043.59</v>
      </c>
      <c r="Y36" s="18" t="n">
        <v>196324.88</v>
      </c>
      <c r="Z36" s="37" t="n">
        <v>196324.88</v>
      </c>
      <c r="AA36" s="18" t="n">
        <v>179619.85</v>
      </c>
      <c r="AB36" s="19" t="n">
        <v>190641.75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단기충당부채</t>
        </is>
      </c>
      <c r="F37" s="9" t="n"/>
      <c r="J37" s="18" t="n">
        <v>261.25</v>
      </c>
      <c r="K37" s="37" t="n">
        <v>261.25</v>
      </c>
      <c r="L37" s="18" t="n">
        <v>261.25</v>
      </c>
      <c r="M37" s="18" t="n">
        <v>261.25</v>
      </c>
      <c r="N37" s="18" t="n">
        <v>261.25</v>
      </c>
      <c r="O37" s="18" t="n">
        <v>261.25</v>
      </c>
      <c r="P37" s="37" t="n">
        <v>261.25</v>
      </c>
      <c r="Q37" s="18" t="n">
        <v>261.25</v>
      </c>
      <c r="R37" s="18" t="n">
        <v>261.25</v>
      </c>
      <c r="U37" s="9" t="n"/>
      <c r="Z37" s="9" t="n"/>
      <c r="AB37" s="5" t="n"/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매출액(수익)</t>
        </is>
      </c>
      <c r="E38" s="18" t="n">
        <v>35876.12</v>
      </c>
      <c r="F38" s="9" t="n"/>
      <c r="G38" s="18" t="n">
        <v>34257.14</v>
      </c>
      <c r="H38" s="18" t="n">
        <v>51159.73</v>
      </c>
      <c r="I38" s="18" t="n">
        <v>43444.64</v>
      </c>
      <c r="J38" s="18" t="n">
        <v>53989.58</v>
      </c>
      <c r="K38" s="37" t="n">
        <v>182851.09</v>
      </c>
      <c r="L38" s="18" t="n">
        <v>45703.71</v>
      </c>
      <c r="M38" s="18" t="n">
        <v>49622.98</v>
      </c>
      <c r="N38" s="18" t="n">
        <v>46591.97</v>
      </c>
      <c r="O38" s="18" t="n">
        <v>46920.48</v>
      </c>
      <c r="P38" s="37" t="n">
        <v>188839.14</v>
      </c>
      <c r="Q38" s="18" t="n">
        <v>49774</v>
      </c>
      <c r="R38" s="18" t="n">
        <v>46087.07</v>
      </c>
      <c r="S38" s="18" t="n">
        <v>45284.68</v>
      </c>
      <c r="T38" s="18" t="n">
        <v>49366.58</v>
      </c>
      <c r="U38" s="37" t="n">
        <v>190512.33</v>
      </c>
      <c r="V38" s="18" t="n">
        <v>49035.49</v>
      </c>
      <c r="W38" s="18" t="n">
        <v>54333.03</v>
      </c>
      <c r="X38" s="18" t="n">
        <v>53845.11</v>
      </c>
      <c r="Y38" s="18" t="n">
        <v>57352.22</v>
      </c>
      <c r="Z38" s="37" t="n">
        <v>214565.85</v>
      </c>
      <c r="AA38" s="18" t="n">
        <v>54145.86</v>
      </c>
      <c r="AB38" s="19" t="n">
        <v>59250.82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매출원가</t>
        </is>
      </c>
      <c r="E39" s="18" t="n">
        <v>25478.83</v>
      </c>
      <c r="F39" s="9" t="n"/>
      <c r="G39" s="18" t="n">
        <v>23457.07</v>
      </c>
      <c r="H39" s="18" t="n">
        <v>35198.68</v>
      </c>
      <c r="I39" s="18" t="n">
        <v>27324.64</v>
      </c>
      <c r="J39" s="18" t="n">
        <v>33254.62</v>
      </c>
      <c r="K39" s="37" t="n">
        <v>119235.01</v>
      </c>
      <c r="L39" s="18" t="n">
        <v>27927.65</v>
      </c>
      <c r="M39" s="18" t="n">
        <v>28207.59</v>
      </c>
      <c r="N39" s="18" t="n">
        <v>26766.38</v>
      </c>
      <c r="O39" s="18" t="n">
        <v>29188.34</v>
      </c>
      <c r="P39" s="37" t="n">
        <v>112089.96</v>
      </c>
      <c r="Q39" s="18" t="n">
        <v>28542.45</v>
      </c>
      <c r="R39" s="18" t="n">
        <v>26464.79</v>
      </c>
      <c r="S39" s="18" t="n">
        <v>25886.53</v>
      </c>
      <c r="T39" s="18" t="n">
        <v>33847.13</v>
      </c>
      <c r="U39" s="37" t="n">
        <v>114740.9</v>
      </c>
      <c r="V39" s="18" t="n">
        <v>29531.82</v>
      </c>
      <c r="W39" s="18" t="n">
        <v>31122.07</v>
      </c>
      <c r="X39" s="18" t="n">
        <v>34124.43</v>
      </c>
      <c r="Y39" s="18" t="n">
        <v>33987.46</v>
      </c>
      <c r="Z39" s="37" t="n">
        <v>128765.78</v>
      </c>
      <c r="AA39" s="18" t="n">
        <v>31707.67</v>
      </c>
      <c r="AB39" s="19" t="n">
        <v>35109.82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매출총이익</t>
        </is>
      </c>
      <c r="E40" s="18" t="n">
        <v>10397.3</v>
      </c>
      <c r="F40" s="9" t="n"/>
      <c r="G40" s="18" t="n">
        <v>10800.06</v>
      </c>
      <c r="H40" s="18" t="n">
        <v>15961.05</v>
      </c>
      <c r="I40" s="18" t="n">
        <v>16120</v>
      </c>
      <c r="J40" s="18" t="n">
        <v>20734.96</v>
      </c>
      <c r="K40" s="37" t="n">
        <v>63616.07</v>
      </c>
      <c r="L40" s="18" t="n">
        <v>17776.06</v>
      </c>
      <c r="M40" s="18" t="n">
        <v>21415.39</v>
      </c>
      <c r="N40" s="18" t="n">
        <v>19825.6</v>
      </c>
      <c r="O40" s="18" t="n">
        <v>17732.14</v>
      </c>
      <c r="P40" s="37" t="n">
        <v>76749.19</v>
      </c>
      <c r="Q40" s="18" t="n">
        <v>21231.55</v>
      </c>
      <c r="R40" s="18" t="n">
        <v>19622.28</v>
      </c>
      <c r="S40" s="18" t="n">
        <v>19398.15</v>
      </c>
      <c r="T40" s="18" t="n">
        <v>15519.44</v>
      </c>
      <c r="U40" s="37" t="n">
        <v>75771.42</v>
      </c>
      <c r="V40" s="18" t="n">
        <v>19503.67</v>
      </c>
      <c r="W40" s="18" t="n">
        <v>23210.96</v>
      </c>
      <c r="X40" s="18" t="n">
        <v>19720.68</v>
      </c>
      <c r="Y40" s="18" t="n">
        <v>23364.76</v>
      </c>
      <c r="Z40" s="37" t="n">
        <v>85800.07000000001</v>
      </c>
      <c r="AA40" s="18" t="n">
        <v>22438.19</v>
      </c>
      <c r="AB40" s="19" t="n">
        <v>24141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판관비</t>
        </is>
      </c>
      <c r="E41" s="18" t="n">
        <v>6441</v>
      </c>
      <c r="F41" s="9" t="n"/>
      <c r="G41" s="18" t="n">
        <v>5558.45</v>
      </c>
      <c r="H41" s="18" t="n">
        <v>5577.27</v>
      </c>
      <c r="I41" s="18" t="n">
        <v>5882.89</v>
      </c>
      <c r="J41" s="18" t="n">
        <v>5901.28</v>
      </c>
      <c r="K41" s="37" t="n">
        <v>22919.89</v>
      </c>
      <c r="L41" s="18" t="n">
        <v>6558.38</v>
      </c>
      <c r="M41" s="18" t="n">
        <v>6043.1</v>
      </c>
      <c r="N41" s="18" t="n">
        <v>5679.81</v>
      </c>
      <c r="O41" s="18" t="n">
        <v>6576.36</v>
      </c>
      <c r="P41" s="37" t="n">
        <v>24857.65</v>
      </c>
      <c r="Q41" s="18" t="n">
        <v>5839.79</v>
      </c>
      <c r="R41" s="18" t="n">
        <v>4923.06</v>
      </c>
      <c r="S41" s="18" t="n">
        <v>5742.6</v>
      </c>
      <c r="T41" s="18" t="n">
        <v>9135.26</v>
      </c>
      <c r="U41" s="37" t="n">
        <v>25640.71</v>
      </c>
      <c r="V41" s="18" t="n">
        <v>6800.79</v>
      </c>
      <c r="W41" s="18" t="n">
        <v>6781.94</v>
      </c>
      <c r="X41" s="18" t="n">
        <v>5522.49</v>
      </c>
      <c r="Y41" s="18" t="n">
        <v>7784.01</v>
      </c>
      <c r="Z41" s="37" t="n">
        <v>26889.23</v>
      </c>
      <c r="AA41" s="18" t="n">
        <v>6752.59</v>
      </c>
      <c r="AB41" s="19" t="n">
        <v>7150.26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영업이익</t>
        </is>
      </c>
      <c r="E42" s="18" t="n">
        <v>3956.31</v>
      </c>
      <c r="F42" s="9" t="n"/>
      <c r="G42" s="18" t="n">
        <v>5241.61</v>
      </c>
      <c r="H42" s="18" t="n">
        <v>10383.78</v>
      </c>
      <c r="I42" s="18" t="n">
        <v>10237.11</v>
      </c>
      <c r="J42" s="18" t="n">
        <v>14833.68</v>
      </c>
      <c r="K42" s="37" t="n">
        <v>40696.18</v>
      </c>
      <c r="L42" s="18" t="n">
        <v>11217.68</v>
      </c>
      <c r="M42" s="18" t="n">
        <v>15372.29</v>
      </c>
      <c r="N42" s="18" t="n">
        <v>14145.79</v>
      </c>
      <c r="O42" s="18" t="n">
        <v>11155.77</v>
      </c>
      <c r="P42" s="37" t="n">
        <v>51891.53</v>
      </c>
      <c r="Q42" s="18" t="n">
        <v>15391.76</v>
      </c>
      <c r="R42" s="18" t="n">
        <v>14699.21</v>
      </c>
      <c r="S42" s="18" t="n">
        <v>13655.55</v>
      </c>
      <c r="T42" s="18" t="n">
        <v>6384.18</v>
      </c>
      <c r="U42" s="37" t="n">
        <v>50130.7</v>
      </c>
      <c r="V42" s="18" t="n">
        <v>12702.89</v>
      </c>
      <c r="W42" s="18" t="n">
        <v>16429.01</v>
      </c>
      <c r="X42" s="18" t="n">
        <v>14198.19</v>
      </c>
      <c r="Y42" s="18" t="n">
        <v>15580.75</v>
      </c>
      <c r="Z42" s="37" t="n">
        <v>58910.84</v>
      </c>
      <c r="AA42" s="18" t="n">
        <v>15685.6</v>
      </c>
      <c r="AB42" s="19" t="n">
        <v>16990.74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기타영업외수익</t>
        </is>
      </c>
      <c r="E43" s="18" t="n">
        <v>392.06</v>
      </c>
      <c r="F43" s="9" t="n"/>
      <c r="G43" s="18" t="n">
        <v>91.63</v>
      </c>
      <c r="H43" s="18" t="n">
        <v>336.14</v>
      </c>
      <c r="I43" s="18" t="n">
        <v>83.77</v>
      </c>
      <c r="J43" s="18" t="n">
        <v>62.61</v>
      </c>
      <c r="K43" s="37" t="n">
        <v>574.15</v>
      </c>
      <c r="L43" s="18" t="n">
        <v>242.66</v>
      </c>
      <c r="M43" s="18" t="n">
        <v>152.56</v>
      </c>
      <c r="N43" s="18" t="n">
        <v>240.37</v>
      </c>
      <c r="O43" s="18" t="n">
        <v>126.65</v>
      </c>
      <c r="P43" s="37" t="n">
        <v>762.24</v>
      </c>
      <c r="Q43" s="18" t="n">
        <v>122.24</v>
      </c>
      <c r="R43" s="18" t="n">
        <v>118.25</v>
      </c>
      <c r="S43" s="18" t="n">
        <v>178.15</v>
      </c>
      <c r="T43" s="18" t="n">
        <v>193.4</v>
      </c>
      <c r="U43" s="37" t="n">
        <v>612.04</v>
      </c>
      <c r="V43" s="18" t="n">
        <v>126.68</v>
      </c>
      <c r="W43" s="18" t="n">
        <v>677.87</v>
      </c>
      <c r="X43" s="18" t="n">
        <v>303.51</v>
      </c>
      <c r="Y43" s="18" t="n">
        <v>164.92</v>
      </c>
      <c r="Z43" s="37" t="n">
        <v>1272.98</v>
      </c>
      <c r="AA43" s="18" t="n">
        <v>151.95</v>
      </c>
      <c r="AB43" s="19" t="n">
        <v>170.17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기타영업외비용</t>
        </is>
      </c>
      <c r="E44" s="18" t="n">
        <v>17.64</v>
      </c>
      <c r="F44" s="9" t="n"/>
      <c r="G44" s="18" t="n">
        <v>2.31</v>
      </c>
      <c r="H44" s="18" t="n">
        <v>8.75</v>
      </c>
      <c r="I44" s="18" t="n">
        <v>357.54</v>
      </c>
      <c r="J44" s="18" t="n">
        <v>31.83</v>
      </c>
      <c r="K44" s="37" t="n">
        <v>400.43</v>
      </c>
      <c r="L44" s="18" t="n">
        <v>18.53</v>
      </c>
      <c r="M44" s="18" t="n">
        <v>0.35</v>
      </c>
      <c r="N44" s="18" t="n">
        <v>689.05</v>
      </c>
      <c r="O44" s="18" t="n">
        <v>4.82</v>
      </c>
      <c r="P44" s="37" t="n">
        <v>712.75</v>
      </c>
      <c r="Q44" s="18" t="n">
        <v>0.01</v>
      </c>
      <c r="R44" s="18" t="n">
        <v>11.17</v>
      </c>
      <c r="S44" s="18" t="n">
        <v>-4.85</v>
      </c>
      <c r="T44" s="18" t="n">
        <v>54.11</v>
      </c>
      <c r="U44" s="37" t="n">
        <v>60.44</v>
      </c>
      <c r="V44" s="18" t="n">
        <v>3.03</v>
      </c>
      <c r="W44" s="18" t="n">
        <v>256.01</v>
      </c>
      <c r="X44" s="18" t="n">
        <v>90.17</v>
      </c>
      <c r="Y44" s="18" t="n">
        <v>96.69</v>
      </c>
      <c r="Z44" s="37" t="n">
        <v>445.9</v>
      </c>
      <c r="AA44" s="18" t="n">
        <v>127.06</v>
      </c>
      <c r="AB44" s="19" t="n">
        <v>43.08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금융수익</t>
        </is>
      </c>
      <c r="E45" s="18" t="n">
        <v>1652.44</v>
      </c>
      <c r="F45" s="9" t="n"/>
      <c r="G45" s="18" t="n">
        <v>1552.76</v>
      </c>
      <c r="H45" s="18" t="n">
        <v>2950.73</v>
      </c>
      <c r="I45" s="18" t="n">
        <v>5794.22</v>
      </c>
      <c r="J45" s="18" t="n">
        <v>-3054.72</v>
      </c>
      <c r="K45" s="37" t="n">
        <v>7242.99</v>
      </c>
      <c r="L45" s="18" t="n">
        <v>4363.16</v>
      </c>
      <c r="M45" s="18" t="n">
        <v>2703.62</v>
      </c>
      <c r="N45" s="18" t="n">
        <v>2936.71</v>
      </c>
      <c r="O45" s="18" t="n">
        <v>878.11</v>
      </c>
      <c r="P45" s="37" t="n">
        <v>10881.6</v>
      </c>
      <c r="Q45" s="18" t="n">
        <v>3983.81</v>
      </c>
      <c r="R45" s="18" t="n">
        <v>2866.37</v>
      </c>
      <c r="S45" s="18" t="n">
        <v>1938.31</v>
      </c>
      <c r="T45" s="18" t="n">
        <v>5731.61</v>
      </c>
      <c r="U45" s="37" t="n">
        <v>14520.1</v>
      </c>
      <c r="V45" s="18" t="n">
        <v>2286.78</v>
      </c>
      <c r="W45" s="18" t="n">
        <v>1378.55</v>
      </c>
      <c r="X45" s="18" t="n">
        <v>4005.52</v>
      </c>
      <c r="Y45" s="18" t="n">
        <v>2598.97</v>
      </c>
      <c r="Z45" s="37" t="n">
        <v>10269.82</v>
      </c>
      <c r="AA45" s="18" t="n">
        <v>4399.07</v>
      </c>
      <c r="AB45" s="19" t="n">
        <v>2456.41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금융비용</t>
        </is>
      </c>
      <c r="E46" s="18" t="n">
        <v>59.7</v>
      </c>
      <c r="F46" s="9" t="n"/>
      <c r="G46" s="18" t="n">
        <v>52.56</v>
      </c>
      <c r="H46" s="18" t="n">
        <v>60.51</v>
      </c>
      <c r="I46" s="18" t="n">
        <v>35.87</v>
      </c>
      <c r="J46" s="18" t="n">
        <v>2378</v>
      </c>
      <c r="K46" s="37" t="n">
        <v>2526.94</v>
      </c>
      <c r="L46" s="18" t="n">
        <v>284.02</v>
      </c>
      <c r="M46" s="18" t="n">
        <v>652.95</v>
      </c>
      <c r="N46" s="18" t="n">
        <v>291.85</v>
      </c>
      <c r="O46" s="18" t="n">
        <v>863.6799999999999</v>
      </c>
      <c r="P46" s="37" t="n">
        <v>2092.5</v>
      </c>
      <c r="Q46" s="18" t="n">
        <v>33.44</v>
      </c>
      <c r="R46" s="18" t="n">
        <v>99.66</v>
      </c>
      <c r="S46" s="18" t="n">
        <v>2480.4</v>
      </c>
      <c r="T46" s="18" t="n">
        <v>-502.08</v>
      </c>
      <c r="U46" s="37" t="n">
        <v>2111.42</v>
      </c>
      <c r="V46" s="18" t="n">
        <v>316.28</v>
      </c>
      <c r="W46" s="18" t="n">
        <v>3356.74</v>
      </c>
      <c r="X46" s="18" t="n">
        <v>674.51</v>
      </c>
      <c r="Y46" s="18" t="n">
        <v>1.06</v>
      </c>
      <c r="Z46" s="37" t="n">
        <v>4348.59</v>
      </c>
      <c r="AA46" s="18" t="n">
        <v>101.4</v>
      </c>
      <c r="AB46" s="19" t="n">
        <v>45.45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법인세비용차감전계속사업이익</t>
        </is>
      </c>
      <c r="E47" s="18" t="n">
        <v>5923.46</v>
      </c>
      <c r="F47" s="9" t="n"/>
      <c r="G47" s="18" t="n">
        <v>6831.14</v>
      </c>
      <c r="H47" s="18" t="n">
        <v>13601.39</v>
      </c>
      <c r="I47" s="18" t="n">
        <v>15721.69</v>
      </c>
      <c r="J47" s="18" t="n">
        <v>9431.73</v>
      </c>
      <c r="K47" s="37" t="n">
        <v>45585.95</v>
      </c>
      <c r="L47" s="18" t="n">
        <v>15520.95</v>
      </c>
      <c r="M47" s="18" t="n">
        <v>17575.18</v>
      </c>
      <c r="N47" s="18" t="n">
        <v>16341.96</v>
      </c>
      <c r="O47" s="18" t="n">
        <v>11292.03</v>
      </c>
      <c r="P47" s="37" t="n">
        <v>60730.12</v>
      </c>
      <c r="Q47" s="18" t="n">
        <v>19464.37</v>
      </c>
      <c r="R47" s="18" t="n">
        <v>17573</v>
      </c>
      <c r="S47" s="18" t="n">
        <v>13296.46</v>
      </c>
      <c r="T47" s="18" t="n">
        <v>12757.17</v>
      </c>
      <c r="U47" s="37" t="n">
        <v>63091</v>
      </c>
      <c r="V47" s="18" t="n">
        <v>14797.04</v>
      </c>
      <c r="W47" s="18" t="n">
        <v>14872.68</v>
      </c>
      <c r="X47" s="18" t="n">
        <v>17742.55</v>
      </c>
      <c r="Y47" s="18" t="n">
        <v>18246.88</v>
      </c>
      <c r="Z47" s="37" t="n">
        <v>65659.14999999999</v>
      </c>
      <c r="AA47" s="18" t="n">
        <v>20008.17</v>
      </c>
      <c r="AB47" s="19" t="n">
        <v>19528.8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법인세비용</t>
        </is>
      </c>
      <c r="E48" s="18" t="n">
        <v>1216.61</v>
      </c>
      <c r="F48" s="9" t="n"/>
      <c r="G48" s="18" t="n">
        <v>1681.92</v>
      </c>
      <c r="H48" s="18" t="n">
        <v>3396.19</v>
      </c>
      <c r="I48" s="18" t="n">
        <v>3886.99</v>
      </c>
      <c r="J48" s="18" t="n">
        <v>2259.66</v>
      </c>
      <c r="K48" s="37" t="n">
        <v>11224.76</v>
      </c>
      <c r="L48" s="18" t="n">
        <v>3010.26</v>
      </c>
      <c r="M48" s="18" t="n">
        <v>3872.31</v>
      </c>
      <c r="N48" s="18" t="n">
        <v>3538.23</v>
      </c>
      <c r="O48" s="18" t="n">
        <v>2579.06</v>
      </c>
      <c r="P48" s="37" t="n">
        <v>12999.86</v>
      </c>
      <c r="Q48" s="18" t="n">
        <v>4215.78</v>
      </c>
      <c r="R48" s="18" t="n">
        <v>4513.54</v>
      </c>
      <c r="S48" s="18" t="n">
        <v>4146.68</v>
      </c>
      <c r="T48" s="18" t="n">
        <v>2191.1</v>
      </c>
      <c r="U48" s="37" t="n">
        <v>15067.1</v>
      </c>
      <c r="V48" s="18" t="n">
        <v>3252.82</v>
      </c>
      <c r="W48" s="18" t="n">
        <v>3719.58</v>
      </c>
      <c r="X48" s="18" t="n">
        <v>4026.53</v>
      </c>
      <c r="Y48" s="18" t="n">
        <v>3888.09</v>
      </c>
      <c r="Z48" s="37" t="n">
        <v>14887.02</v>
      </c>
      <c r="AA48" s="18" t="n">
        <v>4744.97</v>
      </c>
      <c r="AB48" s="19" t="n">
        <v>4680.07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당기순이익</t>
        </is>
      </c>
      <c r="E49" s="18" t="n">
        <v>4706.86</v>
      </c>
      <c r="F49" s="9" t="n"/>
      <c r="G49" s="18" t="n">
        <v>5149.22</v>
      </c>
      <c r="H49" s="18" t="n">
        <v>10205.2</v>
      </c>
      <c r="I49" s="18" t="n">
        <v>11834.69</v>
      </c>
      <c r="J49" s="18" t="n">
        <v>7172.07</v>
      </c>
      <c r="K49" s="37" t="n">
        <v>34361.18</v>
      </c>
      <c r="L49" s="18" t="n">
        <v>12510.69</v>
      </c>
      <c r="M49" s="18" t="n">
        <v>13702.86</v>
      </c>
      <c r="N49" s="18" t="n">
        <v>12803.74</v>
      </c>
      <c r="O49" s="18" t="n">
        <v>8712.950000000001</v>
      </c>
      <c r="P49" s="37" t="n">
        <v>47730.24</v>
      </c>
      <c r="Q49" s="18" t="n">
        <v>15248.59</v>
      </c>
      <c r="R49" s="18" t="n">
        <v>13059.47</v>
      </c>
      <c r="S49" s="18" t="n">
        <v>9149.77</v>
      </c>
      <c r="T49" s="18" t="n">
        <v>10566.07</v>
      </c>
      <c r="U49" s="37" t="n">
        <v>48023.9</v>
      </c>
      <c r="V49" s="18" t="n">
        <v>11544.22</v>
      </c>
      <c r="W49" s="18" t="n">
        <v>11153.1</v>
      </c>
      <c r="X49" s="18" t="n">
        <v>13716.02</v>
      </c>
      <c r="Y49" s="18" t="n">
        <v>14358.79</v>
      </c>
      <c r="Z49" s="37" t="n">
        <v>50772.13</v>
      </c>
      <c r="AA49" s="18" t="n">
        <v>15263.2</v>
      </c>
      <c r="AB49" s="19" t="n">
        <v>14848.73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(지배주주지분)당기순이익</t>
        </is>
      </c>
      <c r="E50" s="18" t="n">
        <v>4664.27</v>
      </c>
      <c r="F50" s="9" t="n"/>
      <c r="G50" s="18" t="n">
        <v>5148.17</v>
      </c>
      <c r="H50" s="18" t="n">
        <v>10016.92</v>
      </c>
      <c r="I50" s="18" t="n">
        <v>11699.87</v>
      </c>
      <c r="J50" s="18" t="n">
        <v>6997.55</v>
      </c>
      <c r="K50" s="37" t="n">
        <v>33862.51</v>
      </c>
      <c r="L50" s="18" t="n">
        <v>12507.79</v>
      </c>
      <c r="M50" s="18" t="n">
        <v>13656.43</v>
      </c>
      <c r="N50" s="18" t="n">
        <v>12534.95</v>
      </c>
      <c r="O50" s="18" t="n">
        <v>8632.389999999999</v>
      </c>
      <c r="P50" s="37" t="n">
        <v>47331.56</v>
      </c>
      <c r="Q50" s="18" t="n">
        <v>15064.39</v>
      </c>
      <c r="R50" s="18" t="n">
        <v>12927.65</v>
      </c>
      <c r="S50" s="18" t="n">
        <v>8944.200000000001</v>
      </c>
      <c r="T50" s="18" t="n">
        <v>10574.36</v>
      </c>
      <c r="U50" s="37" t="n">
        <v>47510.6</v>
      </c>
      <c r="V50" s="18" t="n">
        <v>11536.6</v>
      </c>
      <c r="W50" s="18" t="n">
        <v>11137.43</v>
      </c>
      <c r="X50" s="18" t="n">
        <v>13445.13</v>
      </c>
      <c r="Y50" s="18" t="n">
        <v>14170.88</v>
      </c>
      <c r="Z50" s="37" t="n">
        <v>50290.04</v>
      </c>
      <c r="AA50" s="18" t="n">
        <v>15157.74</v>
      </c>
      <c r="AB50" s="19" t="n">
        <v>14728.97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(비지배주주지분)당기순이익</t>
        </is>
      </c>
      <c r="E51" s="18" t="n">
        <v>42.58</v>
      </c>
      <c r="F51" s="9" t="n"/>
      <c r="G51" s="18" t="n">
        <v>1.05</v>
      </c>
      <c r="H51" s="18" t="n">
        <v>188.28</v>
      </c>
      <c r="I51" s="18" t="n">
        <v>134.83</v>
      </c>
      <c r="J51" s="18" t="n">
        <v>174.52</v>
      </c>
      <c r="K51" s="37" t="n">
        <v>498.68</v>
      </c>
      <c r="L51" s="18" t="n">
        <v>2.9</v>
      </c>
      <c r="M51" s="18" t="n">
        <v>46.44</v>
      </c>
      <c r="N51" s="18" t="n">
        <v>268.79</v>
      </c>
      <c r="O51" s="18" t="n">
        <v>80.58</v>
      </c>
      <c r="P51" s="37" t="n">
        <v>398.71</v>
      </c>
      <c r="Q51" s="18" t="n">
        <v>184.2</v>
      </c>
      <c r="R51" s="18" t="n">
        <v>131.82</v>
      </c>
      <c r="S51" s="18" t="n">
        <v>205.57</v>
      </c>
      <c r="T51" s="18" t="n">
        <v>-8.300000000000001</v>
      </c>
      <c r="U51" s="37" t="n">
        <v>513.29</v>
      </c>
      <c r="V51" s="18" t="n">
        <v>7.62</v>
      </c>
      <c r="W51" s="18" t="n">
        <v>15.68</v>
      </c>
      <c r="X51" s="18" t="n">
        <v>270.89</v>
      </c>
      <c r="Y51" s="18" t="n">
        <v>187.92</v>
      </c>
      <c r="Z51" s="37" t="n">
        <v>482.11</v>
      </c>
      <c r="AA51" s="18" t="n">
        <v>105.46</v>
      </c>
      <c r="AB51" s="19" t="n">
        <v>119.76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금융손익</t>
        </is>
      </c>
      <c r="E52" s="18" t="n">
        <v>1592.74</v>
      </c>
      <c r="F52" s="9" t="n"/>
      <c r="G52" s="18" t="n">
        <v>1500.2</v>
      </c>
      <c r="H52" s="18" t="n">
        <v>2890.22</v>
      </c>
      <c r="I52" s="18" t="n">
        <v>5758.35</v>
      </c>
      <c r="J52" s="18" t="n">
        <v>-5432.72</v>
      </c>
      <c r="K52" s="37" t="n">
        <v>4716.05</v>
      </c>
      <c r="L52" s="18" t="n">
        <v>4079.14</v>
      </c>
      <c r="M52" s="18" t="n">
        <v>2050.67</v>
      </c>
      <c r="N52" s="18" t="n">
        <v>2644.86</v>
      </c>
      <c r="O52" s="18" t="n">
        <v>14.43</v>
      </c>
      <c r="P52" s="37" t="n">
        <v>8789.1</v>
      </c>
      <c r="Q52" s="18" t="n">
        <v>3950.37</v>
      </c>
      <c r="R52" s="18" t="n">
        <v>2766.71</v>
      </c>
      <c r="S52" s="18" t="n">
        <v>-542.09</v>
      </c>
      <c r="T52" s="18" t="n">
        <v>6233.69</v>
      </c>
      <c r="U52" s="37" t="n">
        <v>12408.68</v>
      </c>
      <c r="V52" s="18" t="n">
        <v>1970.5</v>
      </c>
      <c r="W52" s="18" t="n">
        <v>-1978.19</v>
      </c>
      <c r="X52" s="18" t="n">
        <v>3331.01</v>
      </c>
      <c r="Y52" s="18" t="n">
        <v>2597.91</v>
      </c>
      <c r="Z52" s="37" t="n">
        <v>5921.23</v>
      </c>
      <c r="AA52" s="18" t="n">
        <v>4297.67</v>
      </c>
      <c r="AB52" s="19" t="n">
        <v>2410.96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기타영업외손익</t>
        </is>
      </c>
      <c r="E53" s="18" t="n">
        <v>374.42</v>
      </c>
      <c r="F53" s="9" t="n"/>
      <c r="G53" s="18" t="n">
        <v>89.31999999999999</v>
      </c>
      <c r="H53" s="18" t="n">
        <v>327.39</v>
      </c>
      <c r="I53" s="18" t="n">
        <v>-273.77</v>
      </c>
      <c r="J53" s="18" t="n">
        <v>30.78</v>
      </c>
      <c r="K53" s="37" t="n">
        <v>173.72</v>
      </c>
      <c r="L53" s="18" t="n">
        <v>224.13</v>
      </c>
      <c r="M53" s="18" t="n">
        <v>152.21</v>
      </c>
      <c r="N53" s="18" t="n">
        <v>-448.68</v>
      </c>
      <c r="O53" s="18" t="n">
        <v>121.83</v>
      </c>
      <c r="P53" s="37" t="n">
        <v>49.49</v>
      </c>
      <c r="Q53" s="18" t="n">
        <v>122.23</v>
      </c>
      <c r="R53" s="18" t="n">
        <v>107.08</v>
      </c>
      <c r="S53" s="18" t="n">
        <v>183</v>
      </c>
      <c r="T53" s="18" t="n">
        <v>139.29</v>
      </c>
      <c r="U53" s="37" t="n">
        <v>551.6</v>
      </c>
      <c r="V53" s="18" t="n">
        <v>123.65</v>
      </c>
      <c r="W53" s="18" t="n">
        <v>421.86</v>
      </c>
      <c r="X53" s="18" t="n">
        <v>213.34</v>
      </c>
      <c r="Y53" s="18" t="n">
        <v>68.23</v>
      </c>
      <c r="Z53" s="37" t="n">
        <v>827.08</v>
      </c>
      <c r="AA53" s="18" t="n">
        <v>24.89</v>
      </c>
      <c r="AB53" s="19" t="n">
        <v>127.09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계속사업이익</t>
        </is>
      </c>
      <c r="E54" s="18" t="n">
        <v>4706.86</v>
      </c>
      <c r="F54" s="9" t="n"/>
      <c r="G54" s="18" t="n">
        <v>5149.22</v>
      </c>
      <c r="H54" s="18" t="n">
        <v>10205.2</v>
      </c>
      <c r="I54" s="18" t="n">
        <v>11834.69</v>
      </c>
      <c r="J54" s="18" t="n">
        <v>7172.07</v>
      </c>
      <c r="K54" s="37" t="n">
        <v>34361.18</v>
      </c>
      <c r="L54" s="18" t="n">
        <v>12510.69</v>
      </c>
      <c r="M54" s="18" t="n">
        <v>13702.86</v>
      </c>
      <c r="N54" s="18" t="n">
        <v>12803.74</v>
      </c>
      <c r="O54" s="18" t="n">
        <v>8712.950000000001</v>
      </c>
      <c r="P54" s="37" t="n">
        <v>47730.24</v>
      </c>
      <c r="Q54" s="18" t="n">
        <v>15248.59</v>
      </c>
      <c r="R54" s="18" t="n">
        <v>13059.47</v>
      </c>
      <c r="S54" s="18" t="n">
        <v>9149.77</v>
      </c>
      <c r="T54" s="18" t="n">
        <v>10566.07</v>
      </c>
      <c r="U54" s="37" t="n">
        <v>48023.9</v>
      </c>
      <c r="V54" s="18" t="n">
        <v>11544.22</v>
      </c>
      <c r="W54" s="18" t="n">
        <v>11153.1</v>
      </c>
      <c r="X54" s="18" t="n">
        <v>13716.02</v>
      </c>
      <c r="Y54" s="18" t="n">
        <v>14358.79</v>
      </c>
      <c r="Z54" s="37" t="n">
        <v>50772.13</v>
      </c>
      <c r="AA54" s="18" t="n">
        <v>15263.2</v>
      </c>
      <c r="AB54" s="19" t="n">
        <v>14848.73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총포괄손익</t>
        </is>
      </c>
      <c r="E55" s="18" t="n">
        <v>4690.95</v>
      </c>
      <c r="F55" s="9" t="n"/>
      <c r="G55" s="18" t="n">
        <v>6639.92</v>
      </c>
      <c r="H55" s="18" t="n">
        <v>12196.57</v>
      </c>
      <c r="I55" s="18" t="n">
        <v>14418.37</v>
      </c>
      <c r="J55" s="18" t="n">
        <v>6077.34</v>
      </c>
      <c r="K55" s="37" t="n">
        <v>39332.2</v>
      </c>
      <c r="L55" s="18" t="n">
        <v>6391.48</v>
      </c>
      <c r="M55" s="18" t="n">
        <v>14323.37</v>
      </c>
      <c r="N55" s="18" t="n">
        <v>14846.92</v>
      </c>
      <c r="O55" s="18" t="n">
        <v>6813.28</v>
      </c>
      <c r="P55" s="37" t="n">
        <v>42375.05</v>
      </c>
      <c r="Q55" s="18" t="n">
        <v>16022.07</v>
      </c>
      <c r="R55" s="18" t="n">
        <v>13779.28</v>
      </c>
      <c r="S55" s="18" t="n">
        <v>7702.89</v>
      </c>
      <c r="T55" s="18" t="n">
        <v>12089.6</v>
      </c>
      <c r="U55" s="37" t="n">
        <v>49593.84</v>
      </c>
      <c r="V55" s="18" t="n">
        <v>9905.959999999999</v>
      </c>
      <c r="W55" s="18" t="n">
        <v>9783.65</v>
      </c>
      <c r="X55" s="18" t="n">
        <v>15555.96</v>
      </c>
      <c r="Y55" s="18" t="n">
        <v>17116.76</v>
      </c>
      <c r="Z55" s="37" t="n">
        <v>52362.33</v>
      </c>
      <c r="AA55" s="18" t="n">
        <v>19725.99</v>
      </c>
      <c r="AB55" s="19" t="n">
        <v>13656.57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영업활동으로인한현금흐름</t>
        </is>
      </c>
      <c r="E56" s="18" t="n">
        <v>4011.57</v>
      </c>
      <c r="F56" s="9" t="n"/>
      <c r="G56" s="18" t="n">
        <v>1319.49</v>
      </c>
      <c r="H56" s="18" t="n">
        <v>4437.26</v>
      </c>
      <c r="I56" s="18" t="n">
        <v>2269.31</v>
      </c>
      <c r="J56" s="18" t="n">
        <v>11684.99</v>
      </c>
      <c r="K56" s="37" t="n">
        <v>19711.05</v>
      </c>
      <c r="L56" s="18" t="n">
        <v>2164.25</v>
      </c>
      <c r="M56" s="18" t="n">
        <v>9099.92</v>
      </c>
      <c r="N56" s="18" t="n">
        <v>4631.41</v>
      </c>
      <c r="O56" s="18" t="n">
        <v>11860.94</v>
      </c>
      <c r="P56" s="37" t="n">
        <v>27756.52</v>
      </c>
      <c r="Q56" s="18" t="n">
        <v>17038.08</v>
      </c>
      <c r="R56" s="18" t="n">
        <v>9597.540000000001</v>
      </c>
      <c r="S56" s="18" t="n">
        <v>11677.97</v>
      </c>
      <c r="T56" s="18" t="n">
        <v>9812.129999999999</v>
      </c>
      <c r="U56" s="37" t="n">
        <v>48125.72</v>
      </c>
      <c r="V56" s="18" t="n">
        <v>8914.950000000001</v>
      </c>
      <c r="W56" s="18" t="n">
        <v>11940.59</v>
      </c>
      <c r="X56" s="18" t="n">
        <v>13792.39</v>
      </c>
      <c r="Y56" s="18" t="n">
        <v>12634.08</v>
      </c>
      <c r="Z56" s="37" t="n">
        <v>47282.01</v>
      </c>
      <c r="AA56" s="18" t="n">
        <v>13157.97</v>
      </c>
      <c r="AB56" s="19" t="n">
        <v>13179.76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이자수취(CF)</t>
        </is>
      </c>
      <c r="E57" s="18" t="n">
        <v>312.42</v>
      </c>
      <c r="F57" s="9" t="n"/>
      <c r="G57" s="18" t="n">
        <v>396.81</v>
      </c>
      <c r="H57" s="18" t="n">
        <v>524.46</v>
      </c>
      <c r="I57" s="18" t="n">
        <v>643.8099999999999</v>
      </c>
      <c r="J57" s="18" t="n">
        <v>1942.41</v>
      </c>
      <c r="K57" s="37" t="n">
        <v>3507.49</v>
      </c>
      <c r="L57" s="18" t="n">
        <v>1708.57</v>
      </c>
      <c r="M57" s="18" t="n">
        <v>1355.42</v>
      </c>
      <c r="N57" s="18" t="n">
        <v>1451.62</v>
      </c>
      <c r="O57" s="18" t="n">
        <v>1754.85</v>
      </c>
      <c r="P57" s="37" t="n">
        <v>6270.46</v>
      </c>
      <c r="Q57" s="18" t="n">
        <v>1892.06</v>
      </c>
      <c r="R57" s="18" t="n">
        <v>1592.04</v>
      </c>
      <c r="S57" s="18" t="n">
        <v>1577.76</v>
      </c>
      <c r="T57" s="18" t="n">
        <v>1539.53</v>
      </c>
      <c r="U57" s="37" t="n">
        <v>6601.39</v>
      </c>
      <c r="V57" s="18" t="n">
        <v>1656.65</v>
      </c>
      <c r="W57" s="18" t="n">
        <v>1223.23</v>
      </c>
      <c r="X57" s="18" t="n">
        <v>1077.98</v>
      </c>
      <c r="Y57" s="18" t="n">
        <v>1182.27</v>
      </c>
      <c r="Z57" s="37" t="n">
        <v>5140.13</v>
      </c>
      <c r="AA57" s="18" t="n">
        <v>1435.92</v>
      </c>
      <c r="AB57" s="19" t="n">
        <v>1349.21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법인세납부(CF)</t>
        </is>
      </c>
      <c r="E58" s="18" t="n">
        <v>-36.8</v>
      </c>
      <c r="F58" s="9" t="n"/>
      <c r="G58" s="18" t="n">
        <v>-2418.16</v>
      </c>
      <c r="H58" s="18" t="n">
        <v>-2857.46</v>
      </c>
      <c r="I58" s="18" t="n">
        <v>-2846.14</v>
      </c>
      <c r="J58" s="18" t="n">
        <v>-205.92</v>
      </c>
      <c r="K58" s="37" t="n">
        <v>-8327.68</v>
      </c>
      <c r="L58" s="18" t="n">
        <v>-4170.78</v>
      </c>
      <c r="M58" s="18" t="n">
        <v>-5705.03</v>
      </c>
      <c r="N58" s="18" t="n">
        <v>-2439.29</v>
      </c>
      <c r="O58" s="18" t="n">
        <v>-3046.9</v>
      </c>
      <c r="P58" s="37" t="n">
        <v>-15362</v>
      </c>
      <c r="Q58" s="18" t="n">
        <v>-207.97</v>
      </c>
      <c r="R58" s="18" t="n">
        <v>-7863.41</v>
      </c>
      <c r="S58" s="18" t="n">
        <v>-5862.43</v>
      </c>
      <c r="T58" s="18" t="n">
        <v>173.35</v>
      </c>
      <c r="U58" s="37" t="n">
        <v>-13760.46</v>
      </c>
      <c r="V58" s="18" t="n">
        <v>-3113.41</v>
      </c>
      <c r="W58" s="18" t="n">
        <v>-4621.06</v>
      </c>
      <c r="X58" s="18" t="n">
        <v>-2915.23</v>
      </c>
      <c r="Y58" s="18" t="n">
        <v>-2702.8</v>
      </c>
      <c r="Z58" s="37" t="n">
        <v>-13352.5</v>
      </c>
      <c r="AA58" s="18" t="n">
        <v>-4265.45</v>
      </c>
      <c r="AB58" s="19" t="n">
        <v>-5684.57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투자활동으로인한현금흐름</t>
        </is>
      </c>
      <c r="E59" s="18" t="n">
        <v>37198.58</v>
      </c>
      <c r="F59" s="9" t="n"/>
      <c r="G59" s="18" t="n">
        <v>-23218.41</v>
      </c>
      <c r="H59" s="18" t="n">
        <v>-22892.22</v>
      </c>
      <c r="I59" s="18" t="n">
        <v>38168.17</v>
      </c>
      <c r="J59" s="18" t="n">
        <v>-15993.43</v>
      </c>
      <c r="K59" s="37" t="n">
        <v>-23935.89</v>
      </c>
      <c r="L59" s="18" t="n">
        <v>93748.96000000001</v>
      </c>
      <c r="M59" s="18" t="n">
        <v>-21281.25</v>
      </c>
      <c r="N59" s="18" t="n">
        <v>494.79</v>
      </c>
      <c r="O59" s="18" t="n">
        <v>29207.92</v>
      </c>
      <c r="P59" s="37" t="n">
        <v>102170.42</v>
      </c>
      <c r="Q59" s="18" t="n">
        <v>2315.38</v>
      </c>
      <c r="R59" s="18" t="n">
        <v>-4357</v>
      </c>
      <c r="S59" s="18" t="n">
        <v>6176.18</v>
      </c>
      <c r="T59" s="18" t="n">
        <v>-4880.99</v>
      </c>
      <c r="U59" s="37" t="n">
        <v>-746.4299999999999</v>
      </c>
      <c r="V59" s="18" t="n">
        <v>-9736.690000000001</v>
      </c>
      <c r="W59" s="18" t="n">
        <v>1985.97</v>
      </c>
      <c r="X59" s="18" t="n">
        <v>-8233.09</v>
      </c>
      <c r="Y59" s="18" t="n">
        <v>-6196.6</v>
      </c>
      <c r="Z59" s="37" t="n">
        <v>-22180.41</v>
      </c>
      <c r="AA59" s="18" t="n">
        <v>-31641.11</v>
      </c>
      <c r="AB59" s="19" t="n">
        <v>12945.02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유형자산의증가</t>
        </is>
      </c>
      <c r="E60" s="18" t="n">
        <v>1524.76</v>
      </c>
      <c r="F60" s="9" t="n"/>
      <c r="G60" s="18" t="n">
        <v>877.8200000000001</v>
      </c>
      <c r="H60" s="18" t="n">
        <v>1283.27</v>
      </c>
      <c r="I60" s="18" t="n">
        <v>1858.86</v>
      </c>
      <c r="J60" s="18" t="n">
        <v>784.63</v>
      </c>
      <c r="K60" s="37" t="n">
        <v>4804.58</v>
      </c>
      <c r="L60" s="18" t="n">
        <v>1438.56</v>
      </c>
      <c r="M60" s="18" t="n">
        <v>971.22</v>
      </c>
      <c r="N60" s="18" t="n">
        <v>2208.74</v>
      </c>
      <c r="O60" s="18" t="n">
        <v>1899.91</v>
      </c>
      <c r="P60" s="37" t="n">
        <v>6518.43</v>
      </c>
      <c r="Q60" s="18" t="n">
        <v>437.81</v>
      </c>
      <c r="R60" s="18" t="n">
        <v>598.97</v>
      </c>
      <c r="S60" s="18" t="n">
        <v>1452.61</v>
      </c>
      <c r="T60" s="18" t="n">
        <v>1227.34</v>
      </c>
      <c r="U60" s="37" t="n">
        <v>3716.73</v>
      </c>
      <c r="V60" s="18" t="n">
        <v>2878.98</v>
      </c>
      <c r="W60" s="18" t="n">
        <v>2234.55</v>
      </c>
      <c r="X60" s="18" t="n">
        <v>942.64</v>
      </c>
      <c r="Y60" s="18" t="n">
        <v>3898.57</v>
      </c>
      <c r="Z60" s="37" t="n">
        <v>9954.74</v>
      </c>
      <c r="AA60" s="18" t="n">
        <v>1087.23</v>
      </c>
      <c r="AB60" s="19" t="n">
        <v>1026.76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CAPEX</t>
        </is>
      </c>
      <c r="E61" s="18" t="n">
        <v>1524.76</v>
      </c>
      <c r="F61" s="9" t="n"/>
      <c r="G61" s="18" t="n">
        <v>877.8200000000001</v>
      </c>
      <c r="H61" s="18" t="n">
        <v>1283.27</v>
      </c>
      <c r="I61" s="18" t="n">
        <v>1858.86</v>
      </c>
      <c r="J61" s="18" t="n">
        <v>784.63</v>
      </c>
      <c r="K61" s="37" t="n">
        <v>4804.58</v>
      </c>
      <c r="L61" s="18" t="n">
        <v>1438.56</v>
      </c>
      <c r="M61" s="18" t="n">
        <v>971.22</v>
      </c>
      <c r="N61" s="18" t="n">
        <v>2208.74</v>
      </c>
      <c r="O61" s="18" t="n">
        <v>1899.91</v>
      </c>
      <c r="P61" s="37" t="n">
        <v>6518.43</v>
      </c>
      <c r="Q61" s="18" t="n">
        <v>437.81</v>
      </c>
      <c r="R61" s="18" t="n">
        <v>598.97</v>
      </c>
      <c r="S61" s="18" t="n">
        <v>1452.61</v>
      </c>
      <c r="T61" s="18" t="n">
        <v>1227.34</v>
      </c>
      <c r="U61" s="37" t="n">
        <v>3716.73</v>
      </c>
      <c r="V61" s="18" t="n">
        <v>2878.98</v>
      </c>
      <c r="W61" s="18" t="n">
        <v>2234.55</v>
      </c>
      <c r="X61" s="18" t="n">
        <v>1028.31</v>
      </c>
      <c r="Y61" s="18" t="n">
        <v>3901.46</v>
      </c>
      <c r="Z61" s="37" t="n">
        <v>10043.3</v>
      </c>
      <c r="AA61" s="18" t="n">
        <v>1087.23</v>
      </c>
      <c r="AB61" s="19" t="n">
        <v>1026.76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무형자산의증가</t>
        </is>
      </c>
      <c r="E62" s="18" t="n">
        <v>0</v>
      </c>
      <c r="F62" s="9" t="n"/>
      <c r="K62" s="9" t="n"/>
      <c r="P62" s="9" t="n"/>
      <c r="U62" s="9" t="n"/>
      <c r="Y62" s="18" t="n">
        <v>2.89</v>
      </c>
      <c r="Z62" s="9" t="n"/>
      <c r="AB62" s="5" t="n"/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재무활동으로인한현금흐름</t>
        </is>
      </c>
      <c r="E63" s="18" t="n">
        <v>0</v>
      </c>
      <c r="F63" s="9" t="n"/>
      <c r="I63" s="18" t="n">
        <v>0</v>
      </c>
      <c r="J63" s="18" t="n">
        <v>0</v>
      </c>
      <c r="K63" s="9" t="n"/>
      <c r="N63" s="18" t="n">
        <v>0</v>
      </c>
      <c r="O63" s="18" t="n">
        <v>-7927.92</v>
      </c>
      <c r="P63" s="9" t="n"/>
      <c r="Q63" s="18" t="n">
        <v>-8116.03</v>
      </c>
      <c r="R63" s="18" t="n">
        <v>-17122.27</v>
      </c>
      <c r="S63" s="18" t="n">
        <v>0</v>
      </c>
      <c r="T63" s="18" t="n">
        <v>0</v>
      </c>
      <c r="U63" s="37" t="n">
        <v>-25238.3</v>
      </c>
      <c r="V63" s="18" t="n">
        <v>-4850.57</v>
      </c>
      <c r="W63" s="18" t="n">
        <v>-21745.21</v>
      </c>
      <c r="X63" s="18" t="n">
        <v>-2538.84</v>
      </c>
      <c r="Y63" s="18" t="n">
        <v>-38.08</v>
      </c>
      <c r="Z63" s="37" t="n">
        <v>-29172.7</v>
      </c>
      <c r="AA63" s="18" t="n">
        <v>12.6</v>
      </c>
      <c r="AB63" s="19" t="n">
        <v>-15840.01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배당금지급</t>
        </is>
      </c>
      <c r="E64" s="18" t="n">
        <v>0</v>
      </c>
      <c r="F64" s="9" t="n"/>
      <c r="I64" s="18" t="n">
        <v>0</v>
      </c>
      <c r="J64" s="18" t="n">
        <v>0</v>
      </c>
      <c r="K64" s="9" t="n"/>
      <c r="N64" s="18" t="n">
        <v>0</v>
      </c>
      <c r="O64" s="18" t="n">
        <v>0</v>
      </c>
      <c r="P64" s="9" t="n"/>
      <c r="S64" s="18" t="n">
        <v>0</v>
      </c>
      <c r="T64" s="18" t="n">
        <v>0</v>
      </c>
      <c r="U64" s="9" t="n"/>
      <c r="X64" s="18" t="n">
        <v>56.63</v>
      </c>
      <c r="Y64" s="18" t="n">
        <v>2.28</v>
      </c>
      <c r="Z64" s="9" t="n"/>
      <c r="AB64" s="5" t="n"/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현금및현금성자산의증감</t>
        </is>
      </c>
      <c r="E65" s="18" t="n">
        <v>41179.71</v>
      </c>
      <c r="F65" s="9" t="n"/>
      <c r="G65" s="18" t="n">
        <v>-21460.79</v>
      </c>
      <c r="H65" s="18" t="n">
        <v>-24545.8</v>
      </c>
      <c r="I65" s="18" t="n">
        <v>41260.31</v>
      </c>
      <c r="J65" s="18" t="n">
        <v>-5987.16</v>
      </c>
      <c r="K65" s="37" t="n">
        <v>-10733.44</v>
      </c>
      <c r="L65" s="18" t="n">
        <v>96577.36</v>
      </c>
      <c r="M65" s="18" t="n">
        <v>-19911.98</v>
      </c>
      <c r="N65" s="18" t="n">
        <v>5440.23</v>
      </c>
      <c r="O65" s="18" t="n">
        <v>32749.89</v>
      </c>
      <c r="P65" s="37" t="n">
        <v>114855.5</v>
      </c>
      <c r="Q65" s="18" t="n">
        <v>12026.43</v>
      </c>
      <c r="R65" s="18" t="n">
        <v>-11474.99</v>
      </c>
      <c r="S65" s="18" t="n">
        <v>17140.89</v>
      </c>
      <c r="T65" s="18" t="n">
        <v>6452.58</v>
      </c>
      <c r="U65" s="37" t="n">
        <v>24144.91</v>
      </c>
      <c r="V65" s="18" t="n">
        <v>-5377.63</v>
      </c>
      <c r="W65" s="18" t="n">
        <v>-9225.73</v>
      </c>
      <c r="X65" s="18" t="n">
        <v>4223.8</v>
      </c>
      <c r="Y65" s="18" t="n">
        <v>7281.3</v>
      </c>
      <c r="Z65" s="37" t="n">
        <v>-3098.26</v>
      </c>
      <c r="AA65" s="18" t="n">
        <v>-16705.03</v>
      </c>
      <c r="AB65" s="19" t="n">
        <v>11021.9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기말현금및현금성자산</t>
        </is>
      </c>
      <c r="E66" s="18" t="n">
        <v>41179.71</v>
      </c>
      <c r="F66" s="9" t="n"/>
      <c r="G66" s="18" t="n">
        <v>44596.12</v>
      </c>
      <c r="H66" s="18" t="n">
        <v>-24545.8</v>
      </c>
      <c r="I66" s="18" t="n">
        <v>41260.31</v>
      </c>
      <c r="J66" s="18" t="n">
        <v>-5987.15</v>
      </c>
      <c r="K66" s="37" t="n">
        <v>55323.48</v>
      </c>
      <c r="L66" s="18" t="n">
        <v>151900.84</v>
      </c>
      <c r="M66" s="18" t="n">
        <v>-19911.98</v>
      </c>
      <c r="N66" s="18" t="n">
        <v>5440.23</v>
      </c>
      <c r="O66" s="18" t="n">
        <v>32749.89</v>
      </c>
      <c r="P66" s="37" t="n">
        <v>170178.98</v>
      </c>
      <c r="Q66" s="18" t="n">
        <v>182205.41</v>
      </c>
      <c r="R66" s="18" t="n">
        <v>-11475</v>
      </c>
      <c r="S66" s="18" t="n">
        <v>17140.9</v>
      </c>
      <c r="T66" s="18" t="n">
        <v>6452.58</v>
      </c>
      <c r="U66" s="37" t="n">
        <v>194323.89</v>
      </c>
      <c r="V66" s="18" t="n">
        <v>188946.26</v>
      </c>
      <c r="W66" s="18" t="n">
        <v>-9225.73</v>
      </c>
      <c r="X66" s="18" t="n">
        <v>4223.81</v>
      </c>
      <c r="Y66" s="18" t="n">
        <v>7281.29</v>
      </c>
      <c r="Z66" s="37" t="n">
        <v>191225.63</v>
      </c>
      <c r="AA66" s="18" t="n">
        <v>174520.6</v>
      </c>
      <c r="AB66" s="19" t="n">
        <v>11021.9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이자지급(CF)</t>
        </is>
      </c>
      <c r="F67" s="9" t="n"/>
      <c r="G67" s="18" t="n">
        <v>-2.47</v>
      </c>
      <c r="H67" s="18" t="n">
        <v>-2.45</v>
      </c>
      <c r="I67" s="18" t="n">
        <v>-1.88</v>
      </c>
      <c r="J67" s="18" t="n">
        <v>-3.59</v>
      </c>
      <c r="K67" s="37" t="n">
        <v>-10.39</v>
      </c>
      <c r="L67" s="18" t="n">
        <v>-3.15</v>
      </c>
      <c r="M67" s="18" t="n">
        <v>-3.18</v>
      </c>
      <c r="N67" s="18" t="n">
        <v>-3.06</v>
      </c>
      <c r="O67" s="18" t="n">
        <v>-9.44</v>
      </c>
      <c r="P67" s="37" t="n">
        <v>-18.83</v>
      </c>
      <c r="Q67" s="18" t="n">
        <v>-2.48</v>
      </c>
      <c r="R67" s="18" t="n">
        <v>-1.23</v>
      </c>
      <c r="S67" s="18" t="n">
        <v>-1.78</v>
      </c>
      <c r="T67" s="18" t="n">
        <v>1.07</v>
      </c>
      <c r="U67" s="37" t="n">
        <v>-4.42</v>
      </c>
      <c r="V67" s="18" t="n">
        <v>-1.66</v>
      </c>
      <c r="W67" s="18" t="n">
        <v>-0.98</v>
      </c>
      <c r="X67" s="18" t="n">
        <v>-1.2</v>
      </c>
      <c r="Y67" s="18" t="n">
        <v>-5.99</v>
      </c>
      <c r="Z67" s="37" t="n">
        <v>-9.83</v>
      </c>
      <c r="AB67" s="5" t="n"/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유형자산의감소</t>
        </is>
      </c>
      <c r="F68" s="9" t="n"/>
      <c r="G68" s="18" t="n">
        <v>10.09</v>
      </c>
      <c r="H68" s="18" t="n">
        <v>51.28</v>
      </c>
      <c r="I68" s="18" t="n">
        <v>69.66</v>
      </c>
      <c r="K68" s="9" t="n"/>
      <c r="L68" s="18" t="n">
        <v>103.05</v>
      </c>
      <c r="M68" s="18" t="n">
        <v>16.18</v>
      </c>
      <c r="N68" s="18" t="n">
        <v>18.44</v>
      </c>
      <c r="O68" s="18" t="n">
        <v>57.94</v>
      </c>
      <c r="P68" s="37" t="n">
        <v>195.61</v>
      </c>
      <c r="Q68" s="18" t="n">
        <v>1.82</v>
      </c>
      <c r="R68" s="18" t="n">
        <v>12.12</v>
      </c>
      <c r="S68" s="18" t="n">
        <v>16.18</v>
      </c>
      <c r="T68" s="18" t="n">
        <v>9.52</v>
      </c>
      <c r="U68" s="37" t="n">
        <v>39.64</v>
      </c>
      <c r="V68" s="18" t="n">
        <v>0.04</v>
      </c>
      <c r="W68" s="18" t="n">
        <v>183.56</v>
      </c>
      <c r="X68" s="18" t="n">
        <v>0.33</v>
      </c>
      <c r="Z68" s="9" t="n"/>
      <c r="AA68" s="18" t="n">
        <v>37.5</v>
      </c>
      <c r="AB68" s="19" t="n">
        <v>37.94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자기주식의취득</t>
        </is>
      </c>
      <c r="F69" s="9" t="n"/>
      <c r="K69" s="9" t="n"/>
      <c r="P69" s="9" t="n"/>
      <c r="Q69" s="18" t="n">
        <v>8116.03</v>
      </c>
      <c r="R69" s="18" t="n">
        <v>3904.64</v>
      </c>
      <c r="S69" s="18" t="n">
        <v>0</v>
      </c>
      <c r="T69" s="18" t="n">
        <v>0</v>
      </c>
      <c r="U69" s="37" t="n">
        <v>12020.67</v>
      </c>
      <c r="V69" s="18" t="n">
        <v>4850.57</v>
      </c>
      <c r="W69" s="18" t="n">
        <v>7580.07</v>
      </c>
      <c r="X69" s="18" t="n">
        <v>2551.3</v>
      </c>
      <c r="Y69" s="18" t="n">
        <v>0</v>
      </c>
      <c r="Z69" s="37" t="n">
        <v>14981.94</v>
      </c>
      <c r="AB69" s="5" t="n"/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6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하이록코리아(별)</t>
        </is>
      </c>
      <c r="C3" s="2" t="inlineStr">
        <is>
          <t>UPDATE: 26-10-12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269252.97</v>
      </c>
      <c r="F5" s="37" t="n">
        <v>269252.97</v>
      </c>
      <c r="G5" s="18" t="n">
        <v>273287.15</v>
      </c>
      <c r="H5" s="18" t="n">
        <v>278984.03</v>
      </c>
      <c r="I5" s="18" t="n">
        <v>293466.33</v>
      </c>
      <c r="J5" s="18" t="n">
        <v>301326.52</v>
      </c>
      <c r="K5" s="37" t="n">
        <v>301326.52</v>
      </c>
      <c r="L5" s="18" t="n">
        <v>303886.44</v>
      </c>
      <c r="M5" s="18" t="n">
        <v>309360.49</v>
      </c>
      <c r="N5" s="18" t="n">
        <v>317630.72</v>
      </c>
      <c r="O5" s="18" t="n">
        <v>317372.83</v>
      </c>
      <c r="P5" s="37" t="n">
        <v>317372.83</v>
      </c>
      <c r="Q5" s="18" t="n">
        <v>327895</v>
      </c>
      <c r="R5" s="18" t="n">
        <v>316356.75</v>
      </c>
      <c r="S5" s="18" t="n">
        <v>321709.4</v>
      </c>
      <c r="T5" s="18" t="n">
        <v>344315.3</v>
      </c>
      <c r="U5" s="37" t="n">
        <v>344315.3</v>
      </c>
      <c r="V5" s="18" t="n">
        <v>347264.67</v>
      </c>
      <c r="W5" s="18" t="n">
        <v>335046.06</v>
      </c>
      <c r="X5" s="18" t="n">
        <v>347231.62</v>
      </c>
      <c r="Y5" s="18" t="n">
        <v>359917.88</v>
      </c>
      <c r="Z5" s="37" t="n">
        <v>359917.88</v>
      </c>
      <c r="AA5" s="18" t="n">
        <v>371209.13</v>
      </c>
      <c r="AB5" s="19" t="n">
        <v>372743.64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60920.57</v>
      </c>
      <c r="F6" s="37" t="n">
        <v>60920.57</v>
      </c>
      <c r="G6" s="18" t="n">
        <v>39981.9</v>
      </c>
      <c r="H6" s="18" t="n">
        <v>15122.06</v>
      </c>
      <c r="I6" s="18" t="n">
        <v>56332.91</v>
      </c>
      <c r="J6" s="18" t="n">
        <v>50487.95</v>
      </c>
      <c r="K6" s="37" t="n">
        <v>50487.95</v>
      </c>
      <c r="L6" s="18" t="n">
        <v>147038.35</v>
      </c>
      <c r="M6" s="18" t="n">
        <v>125193.44</v>
      </c>
      <c r="N6" s="18" t="n">
        <v>131739.1</v>
      </c>
      <c r="O6" s="18" t="n">
        <v>163686.85</v>
      </c>
      <c r="P6" s="37" t="n">
        <v>163686.85</v>
      </c>
      <c r="Q6" s="18" t="n">
        <v>174114.05</v>
      </c>
      <c r="R6" s="18" t="n">
        <v>161380.9</v>
      </c>
      <c r="S6" s="18" t="n">
        <v>178116.77</v>
      </c>
      <c r="T6" s="18" t="n">
        <v>186382.42</v>
      </c>
      <c r="U6" s="37" t="n">
        <v>186382.42</v>
      </c>
      <c r="V6" s="18" t="n">
        <v>179764.7</v>
      </c>
      <c r="W6" s="18" t="n">
        <v>168299.79</v>
      </c>
      <c r="X6" s="18" t="n">
        <v>173960.47</v>
      </c>
      <c r="Y6" s="18" t="n">
        <v>181244.21</v>
      </c>
      <c r="Z6" s="37" t="n">
        <v>181244.21</v>
      </c>
      <c r="AA6" s="18" t="n">
        <v>161582.79</v>
      </c>
      <c r="AB6" s="19" t="n">
        <v>173273.18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108400</v>
      </c>
      <c r="F7" s="37" t="n">
        <v>108400</v>
      </c>
      <c r="G7" s="18" t="n">
        <v>130600</v>
      </c>
      <c r="H7" s="18" t="n">
        <v>152400</v>
      </c>
      <c r="I7" s="18" t="n">
        <v>113200</v>
      </c>
      <c r="J7" s="18" t="n">
        <v>128500</v>
      </c>
      <c r="K7" s="37" t="n">
        <v>128500</v>
      </c>
      <c r="L7" s="18" t="n">
        <v>25500</v>
      </c>
      <c r="M7" s="18" t="n">
        <v>46000</v>
      </c>
      <c r="N7" s="18" t="n">
        <v>43500</v>
      </c>
      <c r="O7" s="18" t="n">
        <v>10000</v>
      </c>
      <c r="P7" s="37" t="n">
        <v>10000</v>
      </c>
      <c r="R7" s="18" t="n">
        <v>9000</v>
      </c>
      <c r="S7" s="18" t="n">
        <v>5000</v>
      </c>
      <c r="T7" s="18" t="n">
        <v>5000</v>
      </c>
      <c r="U7" s="37" t="n">
        <v>5000</v>
      </c>
      <c r="V7" s="18" t="n">
        <v>7500</v>
      </c>
      <c r="W7" s="18" t="n">
        <v>5000</v>
      </c>
      <c r="X7" s="18" t="n">
        <v>5000</v>
      </c>
      <c r="Y7" s="18" t="n">
        <v>5000</v>
      </c>
      <c r="Z7" s="37" t="n">
        <v>5000</v>
      </c>
      <c r="AA7" s="18" t="n">
        <v>5000</v>
      </c>
      <c r="AB7" s="19" t="n">
        <v>5000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108400</v>
      </c>
      <c r="F8" s="37" t="n">
        <v>108400</v>
      </c>
      <c r="G8" s="18" t="n">
        <v>130600</v>
      </c>
      <c r="H8" s="18" t="n">
        <v>152400</v>
      </c>
      <c r="I8" s="18" t="n">
        <v>113200</v>
      </c>
      <c r="J8" s="18" t="n">
        <v>128500</v>
      </c>
      <c r="K8" s="37" t="n">
        <v>128500</v>
      </c>
      <c r="L8" s="18" t="n">
        <v>25500</v>
      </c>
      <c r="M8" s="18" t="n">
        <v>46000</v>
      </c>
      <c r="N8" s="18" t="n">
        <v>43500</v>
      </c>
      <c r="O8" s="18" t="n">
        <v>10000</v>
      </c>
      <c r="P8" s="37" t="n">
        <v>10000</v>
      </c>
      <c r="R8" s="18" t="n">
        <v>9000</v>
      </c>
      <c r="S8" s="18" t="n">
        <v>5000</v>
      </c>
      <c r="T8" s="18" t="n">
        <v>5000</v>
      </c>
      <c r="U8" s="37" t="n">
        <v>5000</v>
      </c>
      <c r="V8" s="18" t="n">
        <v>7500</v>
      </c>
      <c r="W8" s="18" t="n">
        <v>5000</v>
      </c>
      <c r="X8" s="18" t="n">
        <v>5000</v>
      </c>
      <c r="Y8" s="18" t="n">
        <v>5000</v>
      </c>
      <c r="Z8" s="37" t="n">
        <v>5000</v>
      </c>
      <c r="AA8" s="18" t="n">
        <v>5000</v>
      </c>
      <c r="AB8" s="19" t="n">
        <v>5000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단기투자자산(공정가치)</t>
        </is>
      </c>
      <c r="E9" s="18" t="n">
        <v>124.75</v>
      </c>
      <c r="F9" s="37" t="n">
        <v>124.75</v>
      </c>
      <c r="G9" s="18" t="n">
        <v>126.91</v>
      </c>
      <c r="H9" s="18" t="n">
        <v>136.24</v>
      </c>
      <c r="I9" s="18" t="n">
        <v>145.93</v>
      </c>
      <c r="J9" s="18" t="n">
        <v>134.27</v>
      </c>
      <c r="K9" s="37" t="n">
        <v>134.27</v>
      </c>
      <c r="L9" s="18" t="n">
        <v>137.01</v>
      </c>
      <c r="M9" s="18" t="n">
        <v>91.56</v>
      </c>
      <c r="N9" s="18" t="n">
        <v>1.2</v>
      </c>
      <c r="O9" s="18" t="n">
        <v>2558.21</v>
      </c>
      <c r="P9" s="37" t="n">
        <v>2558.21</v>
      </c>
      <c r="Q9" s="18" t="n">
        <v>9808.799999999999</v>
      </c>
      <c r="R9" s="18" t="n">
        <v>4709.36</v>
      </c>
      <c r="S9" s="18" t="n">
        <v>1218.76</v>
      </c>
      <c r="T9" s="18" t="n">
        <v>4975.66</v>
      </c>
      <c r="U9" s="37" t="n">
        <v>4975.66</v>
      </c>
      <c r="V9" s="18" t="n">
        <v>9310.51</v>
      </c>
      <c r="W9" s="18" t="n">
        <v>7910.79</v>
      </c>
      <c r="X9" s="18" t="n">
        <v>14837.55</v>
      </c>
      <c r="Y9" s="18" t="n">
        <v>16200.91</v>
      </c>
      <c r="Z9" s="37" t="n">
        <v>16200.91</v>
      </c>
      <c r="AA9" s="18" t="n">
        <v>46435.24</v>
      </c>
      <c r="AB9" s="19" t="n">
        <v>32533.51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매출채권및기타채권</t>
        </is>
      </c>
      <c r="E10" s="18" t="n">
        <v>41839.73</v>
      </c>
      <c r="F10" s="37" t="n">
        <v>41839.73</v>
      </c>
      <c r="G10" s="18" t="n">
        <v>37253.85</v>
      </c>
      <c r="H10" s="18" t="n">
        <v>47853.51</v>
      </c>
      <c r="I10" s="18" t="n">
        <v>53334.04</v>
      </c>
      <c r="J10" s="18" t="n">
        <v>48763.58</v>
      </c>
      <c r="K10" s="37" t="n">
        <v>48763.58</v>
      </c>
      <c r="L10" s="18" t="n">
        <v>48800.46</v>
      </c>
      <c r="M10" s="18" t="n">
        <v>49918.95</v>
      </c>
      <c r="N10" s="18" t="n">
        <v>48147.15</v>
      </c>
      <c r="O10" s="18" t="n">
        <v>45980.52</v>
      </c>
      <c r="P10" s="37" t="n">
        <v>45980.52</v>
      </c>
      <c r="Q10" s="18" t="n">
        <v>47439.19</v>
      </c>
      <c r="R10" s="18" t="n">
        <v>44889.97</v>
      </c>
      <c r="S10" s="18" t="n">
        <v>39695.52</v>
      </c>
      <c r="T10" s="18" t="n">
        <v>48112.73</v>
      </c>
      <c r="U10" s="37" t="n">
        <v>48112.73</v>
      </c>
      <c r="V10" s="18" t="n">
        <v>49977.84</v>
      </c>
      <c r="W10" s="18" t="n">
        <v>51101.71</v>
      </c>
      <c r="X10" s="18" t="n">
        <v>47398.37</v>
      </c>
      <c r="Y10" s="18" t="n">
        <v>50486.13</v>
      </c>
      <c r="Z10" s="37" t="n">
        <v>50486.13</v>
      </c>
      <c r="AA10" s="18" t="n">
        <v>49987.02</v>
      </c>
      <c r="AB10" s="19" t="n">
        <v>46939.94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재고자산</t>
        </is>
      </c>
      <c r="E11" s="18" t="n">
        <v>57804.82</v>
      </c>
      <c r="F11" s="37" t="n">
        <v>57804.82</v>
      </c>
      <c r="G11" s="18" t="n">
        <v>64351.97</v>
      </c>
      <c r="H11" s="18" t="n">
        <v>62569.85</v>
      </c>
      <c r="I11" s="18" t="n">
        <v>69192.88</v>
      </c>
      <c r="J11" s="18" t="n">
        <v>72597.66</v>
      </c>
      <c r="K11" s="37" t="n">
        <v>72597.66</v>
      </c>
      <c r="L11" s="18" t="n">
        <v>80687.2</v>
      </c>
      <c r="M11" s="18" t="n">
        <v>87186.42</v>
      </c>
      <c r="N11" s="18" t="n">
        <v>93208.32000000001</v>
      </c>
      <c r="O11" s="18" t="n">
        <v>95070.67999999999</v>
      </c>
      <c r="P11" s="37" t="n">
        <v>95070.67999999999</v>
      </c>
      <c r="Q11" s="18" t="n">
        <v>95728.63</v>
      </c>
      <c r="R11" s="18" t="n">
        <v>94812.02</v>
      </c>
      <c r="S11" s="18" t="n">
        <v>95927.44</v>
      </c>
      <c r="T11" s="18" t="n">
        <v>98596.52</v>
      </c>
      <c r="U11" s="37" t="n">
        <v>98596.52</v>
      </c>
      <c r="V11" s="18" t="n">
        <v>99429.94</v>
      </c>
      <c r="W11" s="18" t="n">
        <v>101587.14</v>
      </c>
      <c r="X11" s="18" t="n">
        <v>104638.44</v>
      </c>
      <c r="Y11" s="18" t="n">
        <v>106021.01</v>
      </c>
      <c r="Z11" s="37" t="n">
        <v>106021.01</v>
      </c>
      <c r="AA11" s="18" t="n">
        <v>106071.11</v>
      </c>
      <c r="AB11" s="19" t="n">
        <v>109070.18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비유동자산</t>
        </is>
      </c>
      <c r="E12" s="18" t="n">
        <v>100590.4</v>
      </c>
      <c r="F12" s="37" t="n">
        <v>100590.4</v>
      </c>
      <c r="G12" s="18" t="n">
        <v>100318.3</v>
      </c>
      <c r="H12" s="18" t="n">
        <v>99814.64999999999</v>
      </c>
      <c r="I12" s="18" t="n">
        <v>99034.39999999999</v>
      </c>
      <c r="J12" s="18" t="n">
        <v>98359.46000000001</v>
      </c>
      <c r="K12" s="37" t="n">
        <v>98359.46000000001</v>
      </c>
      <c r="L12" s="18" t="n">
        <v>108826.95</v>
      </c>
      <c r="M12" s="18" t="n">
        <v>108396.94</v>
      </c>
      <c r="N12" s="18" t="n">
        <v>108580.94</v>
      </c>
      <c r="O12" s="18" t="n">
        <v>109412.73</v>
      </c>
      <c r="P12" s="37" t="n">
        <v>109412.73</v>
      </c>
      <c r="Q12" s="18" t="n">
        <v>109020.67</v>
      </c>
      <c r="R12" s="18" t="n">
        <v>107816.31</v>
      </c>
      <c r="S12" s="18" t="n">
        <v>107120.3</v>
      </c>
      <c r="T12" s="18" t="n">
        <v>107185.49</v>
      </c>
      <c r="U12" s="37" t="n">
        <v>107185.49</v>
      </c>
      <c r="V12" s="18" t="n">
        <v>109602.51</v>
      </c>
      <c r="W12" s="18" t="n">
        <v>110786.67</v>
      </c>
      <c r="X12" s="18" t="n">
        <v>110292.21</v>
      </c>
      <c r="Y12" s="18" t="n">
        <v>113000.07</v>
      </c>
      <c r="Z12" s="37" t="n">
        <v>113000.07</v>
      </c>
      <c r="AA12" s="18" t="n">
        <v>112208.41</v>
      </c>
      <c r="AB12" s="19" t="n">
        <v>112685.21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장기금융자산</t>
        </is>
      </c>
      <c r="E13" s="18" t="n">
        <v>99.25</v>
      </c>
      <c r="F13" s="37" t="n">
        <v>99.25</v>
      </c>
      <c r="G13" s="18" t="n">
        <v>99.25</v>
      </c>
      <c r="H13" s="18" t="n">
        <v>99.25</v>
      </c>
      <c r="I13" s="18" t="n">
        <v>99.25</v>
      </c>
      <c r="J13" s="18" t="n">
        <v>99.25</v>
      </c>
      <c r="K13" s="37" t="n">
        <v>99.25</v>
      </c>
      <c r="L13" s="18" t="n">
        <v>99.25</v>
      </c>
      <c r="M13" s="18" t="n">
        <v>99.25</v>
      </c>
      <c r="N13" s="18" t="n">
        <v>99.25</v>
      </c>
      <c r="O13" s="18" t="n">
        <v>99.25</v>
      </c>
      <c r="P13" s="37" t="n">
        <v>99.25</v>
      </c>
      <c r="Q13" s="18" t="n">
        <v>99.25</v>
      </c>
      <c r="R13" s="18" t="n">
        <v>99.25</v>
      </c>
      <c r="S13" s="18" t="n">
        <v>99.25</v>
      </c>
      <c r="T13" s="18" t="n">
        <v>99.25</v>
      </c>
      <c r="U13" s="37" t="n">
        <v>99.25</v>
      </c>
      <c r="V13" s="18" t="n">
        <v>99.25</v>
      </c>
      <c r="W13" s="18" t="n">
        <v>99.25</v>
      </c>
      <c r="X13" s="18" t="n">
        <v>99.25</v>
      </c>
      <c r="Y13" s="18" t="n">
        <v>99.25</v>
      </c>
      <c r="Z13" s="37" t="n">
        <v>99.25</v>
      </c>
      <c r="AA13" s="18" t="n">
        <v>99.25</v>
      </c>
      <c r="AB13" s="19" t="n">
        <v>99.25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투자자산</t>
        </is>
      </c>
      <c r="E14" s="18" t="n">
        <v>6009.05</v>
      </c>
      <c r="F14" s="37" t="n">
        <v>6009.05</v>
      </c>
      <c r="G14" s="18" t="n">
        <v>6009.05</v>
      </c>
      <c r="H14" s="18" t="n">
        <v>6009.05</v>
      </c>
      <c r="I14" s="18" t="n">
        <v>5109.05</v>
      </c>
      <c r="J14" s="18" t="n">
        <v>5109.05</v>
      </c>
      <c r="K14" s="37" t="n">
        <v>5109.05</v>
      </c>
      <c r="L14" s="18" t="n">
        <v>5109.05</v>
      </c>
      <c r="M14" s="18" t="n">
        <v>5109.05</v>
      </c>
      <c r="N14" s="18" t="n">
        <v>5109.05</v>
      </c>
      <c r="O14" s="18" t="n">
        <v>5109.05</v>
      </c>
      <c r="P14" s="37" t="n">
        <v>5109.05</v>
      </c>
      <c r="Q14" s="18" t="n">
        <v>5109.05</v>
      </c>
      <c r="R14" s="18" t="n">
        <v>5109.05</v>
      </c>
      <c r="S14" s="18" t="n">
        <v>5109.05</v>
      </c>
      <c r="T14" s="18" t="n">
        <v>5109.05</v>
      </c>
      <c r="U14" s="37" t="n">
        <v>5109.05</v>
      </c>
      <c r="V14" s="18" t="n">
        <v>5109.05</v>
      </c>
      <c r="W14" s="18" t="n">
        <v>5109.05</v>
      </c>
      <c r="X14" s="18" t="n">
        <v>5109.05</v>
      </c>
      <c r="Y14" s="18" t="n">
        <v>5109.05</v>
      </c>
      <c r="Z14" s="37" t="n">
        <v>5109.05</v>
      </c>
      <c r="AA14" s="18" t="n">
        <v>5109.05</v>
      </c>
      <c r="AB14" s="19" t="n">
        <v>5109.05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장기매출채권및기타채권</t>
        </is>
      </c>
      <c r="E15" s="18" t="n">
        <v>2842.39</v>
      </c>
      <c r="F15" s="37" t="n">
        <v>2842.39</v>
      </c>
      <c r="G15" s="18" t="n">
        <v>2900.19</v>
      </c>
      <c r="H15" s="18" t="n">
        <v>2710.39</v>
      </c>
      <c r="I15" s="18" t="n">
        <v>2618.18</v>
      </c>
      <c r="J15" s="18" t="n">
        <v>2999.18</v>
      </c>
      <c r="K15" s="37" t="n">
        <v>2999.18</v>
      </c>
      <c r="L15" s="18" t="n">
        <v>2879.46</v>
      </c>
      <c r="M15" s="18" t="n">
        <v>2739.56</v>
      </c>
      <c r="N15" s="18" t="n">
        <v>2611.66</v>
      </c>
      <c r="O15" s="18" t="n">
        <v>2507.16</v>
      </c>
      <c r="P15" s="37" t="n">
        <v>2507.16</v>
      </c>
      <c r="Q15" s="18" t="n">
        <v>2414.13</v>
      </c>
      <c r="R15" s="18" t="n">
        <v>2300.03</v>
      </c>
      <c r="S15" s="18" t="n">
        <v>2203.03</v>
      </c>
      <c r="T15" s="18" t="n">
        <v>2158.19</v>
      </c>
      <c r="U15" s="37" t="n">
        <v>2158.19</v>
      </c>
      <c r="V15" s="18" t="n">
        <v>2082.19</v>
      </c>
      <c r="W15" s="18" t="n">
        <v>1993.69</v>
      </c>
      <c r="X15" s="18" t="n">
        <v>1848.71</v>
      </c>
      <c r="Y15" s="18" t="n">
        <v>1777.48</v>
      </c>
      <c r="Z15" s="37" t="n">
        <v>1777.48</v>
      </c>
      <c r="AA15" s="18" t="n">
        <v>1889.88</v>
      </c>
      <c r="AB15" s="19" t="n">
        <v>1871.75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종속기업및관계기업투자</t>
        </is>
      </c>
      <c r="E16" s="18" t="n">
        <v>5909.8</v>
      </c>
      <c r="F16" s="37" t="n">
        <v>5909.8</v>
      </c>
      <c r="G16" s="18" t="n">
        <v>5909.8</v>
      </c>
      <c r="H16" s="18" t="n">
        <v>5909.8</v>
      </c>
      <c r="I16" s="18" t="n">
        <v>5009.8</v>
      </c>
      <c r="J16" s="18" t="n">
        <v>5009.8</v>
      </c>
      <c r="K16" s="37" t="n">
        <v>5009.8</v>
      </c>
      <c r="L16" s="18" t="n">
        <v>5009.8</v>
      </c>
      <c r="M16" s="18" t="n">
        <v>5009.8</v>
      </c>
      <c r="N16" s="18" t="n">
        <v>5009.8</v>
      </c>
      <c r="O16" s="18" t="n">
        <v>5009.8</v>
      </c>
      <c r="P16" s="37" t="n">
        <v>5009.8</v>
      </c>
      <c r="Q16" s="18" t="n">
        <v>5009.8</v>
      </c>
      <c r="R16" s="18" t="n">
        <v>5009.8</v>
      </c>
      <c r="S16" s="18" t="n">
        <v>5009.8</v>
      </c>
      <c r="T16" s="18" t="n">
        <v>5009.8</v>
      </c>
      <c r="U16" s="37" t="n">
        <v>5009.8</v>
      </c>
      <c r="V16" s="18" t="n">
        <v>5009.8</v>
      </c>
      <c r="W16" s="18" t="n">
        <v>5009.8</v>
      </c>
      <c r="X16" s="18" t="n">
        <v>5009.8</v>
      </c>
      <c r="Y16" s="18" t="n">
        <v>5009.8</v>
      </c>
      <c r="Z16" s="37" t="n">
        <v>5009.8</v>
      </c>
      <c r="AA16" s="18" t="n">
        <v>5009.8</v>
      </c>
      <c r="AB16" s="19" t="n">
        <v>5009.8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유형자산</t>
        </is>
      </c>
      <c r="E17" s="18" t="n">
        <v>70064.45</v>
      </c>
      <c r="F17" s="37" t="n">
        <v>70064.45</v>
      </c>
      <c r="G17" s="18" t="n">
        <v>69825.25</v>
      </c>
      <c r="H17" s="18" t="n">
        <v>69942.11</v>
      </c>
      <c r="I17" s="18" t="n">
        <v>70546.13</v>
      </c>
      <c r="J17" s="18" t="n">
        <v>70027.8</v>
      </c>
      <c r="K17" s="37" t="n">
        <v>70027.8</v>
      </c>
      <c r="L17" s="18" t="n">
        <v>70399.08</v>
      </c>
      <c r="M17" s="18" t="n">
        <v>70370.36</v>
      </c>
      <c r="N17" s="18" t="n">
        <v>71484.74000000001</v>
      </c>
      <c r="O17" s="18" t="n">
        <v>72282.67</v>
      </c>
      <c r="P17" s="37" t="n">
        <v>72282.67</v>
      </c>
      <c r="Q17" s="18" t="n">
        <v>71914.72</v>
      </c>
      <c r="R17" s="18" t="n">
        <v>71142.14</v>
      </c>
      <c r="S17" s="18" t="n">
        <v>71546.16</v>
      </c>
      <c r="T17" s="18" t="n">
        <v>71742.35000000001</v>
      </c>
      <c r="U17" s="37" t="n">
        <v>71742.35000000001</v>
      </c>
      <c r="V17" s="18" t="n">
        <v>73571.33</v>
      </c>
      <c r="W17" s="18" t="n">
        <v>74768.13</v>
      </c>
      <c r="X17" s="18" t="n">
        <v>74680.67</v>
      </c>
      <c r="Y17" s="18" t="n">
        <v>77767.58</v>
      </c>
      <c r="Z17" s="37" t="n">
        <v>77767.58</v>
      </c>
      <c r="AA17" s="18" t="n">
        <v>77675.81</v>
      </c>
      <c r="AB17" s="19" t="n">
        <v>77688.64999999999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투자부동산</t>
        </is>
      </c>
      <c r="E18" s="18" t="n">
        <v>11837.8</v>
      </c>
      <c r="F18" s="37" t="n">
        <v>11837.8</v>
      </c>
      <c r="G18" s="18" t="n">
        <v>11803.01</v>
      </c>
      <c r="H18" s="18" t="n">
        <v>11768.21</v>
      </c>
      <c r="I18" s="18" t="n">
        <v>11733.42</v>
      </c>
      <c r="J18" s="18" t="n">
        <v>11698.62</v>
      </c>
      <c r="K18" s="37" t="n">
        <v>11698.62</v>
      </c>
      <c r="L18" s="18" t="n">
        <v>19292.73</v>
      </c>
      <c r="M18" s="18" t="n">
        <v>19236.98</v>
      </c>
      <c r="N18" s="18" t="n">
        <v>19181.22</v>
      </c>
      <c r="O18" s="18" t="n">
        <v>19125.47</v>
      </c>
      <c r="P18" s="37" t="n">
        <v>19125.47</v>
      </c>
      <c r="Q18" s="18" t="n">
        <v>19069.72</v>
      </c>
      <c r="R18" s="18" t="n">
        <v>19013.96</v>
      </c>
      <c r="S18" s="18" t="n">
        <v>18958.21</v>
      </c>
      <c r="T18" s="18" t="n">
        <v>18902.46</v>
      </c>
      <c r="U18" s="37" t="n">
        <v>18902.46</v>
      </c>
      <c r="V18" s="18" t="n">
        <v>18846.7</v>
      </c>
      <c r="W18" s="18" t="n">
        <v>18790.95</v>
      </c>
      <c r="X18" s="18" t="n">
        <v>18735.19</v>
      </c>
      <c r="Y18" s="18" t="n">
        <v>18679.44</v>
      </c>
      <c r="Z18" s="37" t="n">
        <v>18679.44</v>
      </c>
      <c r="AA18" s="18" t="n">
        <v>18623.69</v>
      </c>
      <c r="AB18" s="19" t="n">
        <v>18567.93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무형자산</t>
        </is>
      </c>
      <c r="E19" s="18" t="n">
        <v>6429.13</v>
      </c>
      <c r="F19" s="37" t="n">
        <v>6429.13</v>
      </c>
      <c r="G19" s="18" t="n">
        <v>6429.13</v>
      </c>
      <c r="H19" s="18" t="n">
        <v>6420.38</v>
      </c>
      <c r="I19" s="18" t="n">
        <v>6399.13</v>
      </c>
      <c r="J19" s="18" t="n">
        <v>6370.38</v>
      </c>
      <c r="K19" s="37" t="n">
        <v>6370.38</v>
      </c>
      <c r="L19" s="18" t="n">
        <v>6397.88</v>
      </c>
      <c r="M19" s="18" t="n">
        <v>6404.13</v>
      </c>
      <c r="N19" s="18" t="n">
        <v>6396.01</v>
      </c>
      <c r="O19" s="18" t="n">
        <v>6380.38</v>
      </c>
      <c r="P19" s="37" t="n">
        <v>6380.38</v>
      </c>
      <c r="Q19" s="18" t="n">
        <v>6380.38</v>
      </c>
      <c r="R19" s="18" t="n">
        <v>6370.38</v>
      </c>
      <c r="S19" s="18" t="n">
        <v>6375.38</v>
      </c>
      <c r="T19" s="18" t="n">
        <v>6341.63</v>
      </c>
      <c r="U19" s="37" t="n">
        <v>6341.63</v>
      </c>
      <c r="V19" s="18" t="n">
        <v>6342.88</v>
      </c>
      <c r="W19" s="18" t="n">
        <v>6357.88</v>
      </c>
      <c r="X19" s="18" t="n">
        <v>6418.55</v>
      </c>
      <c r="Y19" s="18" t="n">
        <v>6415.88</v>
      </c>
      <c r="Z19" s="37" t="n">
        <v>6415.88</v>
      </c>
      <c r="AA19" s="18" t="n">
        <v>6408.7</v>
      </c>
      <c r="AB19" s="19" t="n">
        <v>6394.26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이연법인세자산</t>
        </is>
      </c>
      <c r="E20" s="18" t="n">
        <v>3407.57</v>
      </c>
      <c r="F20" s="37" t="n">
        <v>3407.57</v>
      </c>
      <c r="G20" s="18" t="n">
        <v>3351.67</v>
      </c>
      <c r="H20" s="18" t="n">
        <v>2964.5</v>
      </c>
      <c r="I20" s="18" t="n">
        <v>2628.49</v>
      </c>
      <c r="J20" s="18" t="n">
        <v>2154.41</v>
      </c>
      <c r="K20" s="37" t="n">
        <v>2154.41</v>
      </c>
      <c r="L20" s="18" t="n">
        <v>4748.74</v>
      </c>
      <c r="M20" s="18" t="n">
        <v>4536.86</v>
      </c>
      <c r="N20" s="18" t="n">
        <v>3798.25</v>
      </c>
      <c r="O20" s="18" t="n">
        <v>4007.99</v>
      </c>
      <c r="P20" s="37" t="n">
        <v>4007.99</v>
      </c>
      <c r="Q20" s="18" t="n">
        <v>4132.66</v>
      </c>
      <c r="R20" s="18" t="n">
        <v>3880.74</v>
      </c>
      <c r="S20" s="18" t="n">
        <v>2928.46</v>
      </c>
      <c r="T20" s="18" t="n">
        <v>2931.81</v>
      </c>
      <c r="U20" s="37" t="n">
        <v>2931.81</v>
      </c>
      <c r="V20" s="18" t="n">
        <v>3650.34</v>
      </c>
      <c r="W20" s="18" t="n">
        <v>3766.96</v>
      </c>
      <c r="X20" s="18" t="n">
        <v>3500.03</v>
      </c>
      <c r="Y20" s="18" t="n">
        <v>3250.63</v>
      </c>
      <c r="Z20" s="37" t="n">
        <v>3250.63</v>
      </c>
      <c r="AA20" s="18" t="n">
        <v>2501.28</v>
      </c>
      <c r="AB20" s="19" t="n">
        <v>3053.56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자산총계</t>
        </is>
      </c>
      <c r="E21" s="18" t="n">
        <v>369843.36</v>
      </c>
      <c r="F21" s="37" t="n">
        <v>369843.36</v>
      </c>
      <c r="G21" s="18" t="n">
        <v>373605.45</v>
      </c>
      <c r="H21" s="18" t="n">
        <v>378798.67</v>
      </c>
      <c r="I21" s="18" t="n">
        <v>392500.73</v>
      </c>
      <c r="J21" s="18" t="n">
        <v>399685.98</v>
      </c>
      <c r="K21" s="37" t="n">
        <v>399685.98</v>
      </c>
      <c r="L21" s="18" t="n">
        <v>412713.38</v>
      </c>
      <c r="M21" s="18" t="n">
        <v>417757.44</v>
      </c>
      <c r="N21" s="18" t="n">
        <v>426211.66</v>
      </c>
      <c r="O21" s="18" t="n">
        <v>426785.55</v>
      </c>
      <c r="P21" s="37" t="n">
        <v>426785.55</v>
      </c>
      <c r="Q21" s="18" t="n">
        <v>436915.68</v>
      </c>
      <c r="R21" s="18" t="n">
        <v>424173.06</v>
      </c>
      <c r="S21" s="18" t="n">
        <v>428829.7</v>
      </c>
      <c r="T21" s="18" t="n">
        <v>451500.79</v>
      </c>
      <c r="U21" s="37" t="n">
        <v>451500.79</v>
      </c>
      <c r="V21" s="18" t="n">
        <v>456867.17</v>
      </c>
      <c r="W21" s="18" t="n">
        <v>445832.73</v>
      </c>
      <c r="X21" s="18" t="n">
        <v>457523.83</v>
      </c>
      <c r="Y21" s="18" t="n">
        <v>472917.95</v>
      </c>
      <c r="Z21" s="37" t="n">
        <v>472917.95</v>
      </c>
      <c r="AA21" s="18" t="n">
        <v>483417.54</v>
      </c>
      <c r="AB21" s="19" t="n">
        <v>485428.85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유동부채</t>
        </is>
      </c>
      <c r="E22" s="18" t="n">
        <v>19765.09</v>
      </c>
      <c r="F22" s="37" t="n">
        <v>19765.09</v>
      </c>
      <c r="G22" s="18" t="n">
        <v>24765.75</v>
      </c>
      <c r="H22" s="18" t="n">
        <v>20836.73</v>
      </c>
      <c r="I22" s="18" t="n">
        <v>22689.66</v>
      </c>
      <c r="J22" s="18" t="n">
        <v>25457.94</v>
      </c>
      <c r="K22" s="37" t="n">
        <v>25457.94</v>
      </c>
      <c r="L22" s="18" t="n">
        <v>30759.03</v>
      </c>
      <c r="M22" s="18" t="n">
        <v>24274.82</v>
      </c>
      <c r="N22" s="18" t="n">
        <v>21968.67</v>
      </c>
      <c r="O22" s="18" t="n">
        <v>23427.3</v>
      </c>
      <c r="P22" s="37" t="n">
        <v>23427.3</v>
      </c>
      <c r="Q22" s="18" t="n">
        <v>39836.96</v>
      </c>
      <c r="R22" s="18" t="n">
        <v>19478.79</v>
      </c>
      <c r="S22" s="18" t="n">
        <v>16264.59</v>
      </c>
      <c r="T22" s="18" t="n">
        <v>24100.01</v>
      </c>
      <c r="U22" s="37" t="n">
        <v>24100.01</v>
      </c>
      <c r="V22" s="18" t="n">
        <v>36778.78</v>
      </c>
      <c r="W22" s="18" t="n">
        <v>22329.85</v>
      </c>
      <c r="X22" s="18" t="n">
        <v>22347.41</v>
      </c>
      <c r="Y22" s="18" t="n">
        <v>25481.26</v>
      </c>
      <c r="Z22" s="37" t="n">
        <v>25481.26</v>
      </c>
      <c r="AA22" s="18" t="n">
        <v>38364.47</v>
      </c>
      <c r="AB22" s="19" t="n">
        <v>25823.34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매입채무및기타채무</t>
        </is>
      </c>
      <c r="E23" s="18" t="n">
        <v>13861.83</v>
      </c>
      <c r="F23" s="37" t="n">
        <v>13861.83</v>
      </c>
      <c r="G23" s="18" t="n">
        <v>19424.39</v>
      </c>
      <c r="H23" s="18" t="n">
        <v>15020.33</v>
      </c>
      <c r="I23" s="18" t="n">
        <v>15453.81</v>
      </c>
      <c r="J23" s="18" t="n">
        <v>16276.94</v>
      </c>
      <c r="K23" s="37" t="n">
        <v>16276.94</v>
      </c>
      <c r="L23" s="18" t="n">
        <v>21605.04</v>
      </c>
      <c r="M23" s="18" t="n">
        <v>15384.24</v>
      </c>
      <c r="N23" s="18" t="n">
        <v>12579.47</v>
      </c>
      <c r="O23" s="18" t="n">
        <v>14541.35</v>
      </c>
      <c r="P23" s="37" t="n">
        <v>14541.35</v>
      </c>
      <c r="Q23" s="18" t="n">
        <v>27584.15</v>
      </c>
      <c r="R23" s="18" t="n">
        <v>11021.8</v>
      </c>
      <c r="S23" s="18" t="n">
        <v>10881.45</v>
      </c>
      <c r="T23" s="18" t="n">
        <v>16444.17</v>
      </c>
      <c r="U23" s="37" t="n">
        <v>16444.17</v>
      </c>
      <c r="V23" s="18" t="n">
        <v>29437.76</v>
      </c>
      <c r="W23" s="18" t="n">
        <v>15650.46</v>
      </c>
      <c r="X23" s="18" t="n">
        <v>14490.57</v>
      </c>
      <c r="Y23" s="18" t="n">
        <v>16018.16</v>
      </c>
      <c r="Z23" s="37" t="n">
        <v>16018.16</v>
      </c>
      <c r="AA23" s="18" t="n">
        <v>28521.42</v>
      </c>
      <c r="AB23" s="19" t="n">
        <v>16133.52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당기법인세부채(미지급법인세)</t>
        </is>
      </c>
      <c r="E24" s="18" t="n">
        <v>5097.61</v>
      </c>
      <c r="F24" s="37" t="n">
        <v>5097.61</v>
      </c>
      <c r="G24" s="18" t="n">
        <v>4818.77</v>
      </c>
      <c r="H24" s="18" t="n">
        <v>5229.82</v>
      </c>
      <c r="I24" s="18" t="n">
        <v>6717.52</v>
      </c>
      <c r="J24" s="18" t="n">
        <v>7936.67</v>
      </c>
      <c r="K24" s="37" t="n">
        <v>7936.67</v>
      </c>
      <c r="L24" s="18" t="n">
        <v>8397.27</v>
      </c>
      <c r="M24" s="18" t="n">
        <v>7238.26</v>
      </c>
      <c r="N24" s="18" t="n">
        <v>7868.46</v>
      </c>
      <c r="O24" s="18" t="n">
        <v>7126.77</v>
      </c>
      <c r="P24" s="37" t="n">
        <v>7126.77</v>
      </c>
      <c r="Q24" s="18" t="n">
        <v>11033.14</v>
      </c>
      <c r="R24" s="18" t="n">
        <v>6960.1</v>
      </c>
      <c r="S24" s="18" t="n">
        <v>4076.55</v>
      </c>
      <c r="T24" s="18" t="n">
        <v>6491.78</v>
      </c>
      <c r="U24" s="37" t="n">
        <v>6491.78</v>
      </c>
      <c r="V24" s="18" t="n">
        <v>6725.69</v>
      </c>
      <c r="W24" s="18" t="n">
        <v>6181.45</v>
      </c>
      <c r="X24" s="18" t="n">
        <v>7378.42</v>
      </c>
      <c r="Y24" s="18" t="n">
        <v>8168.15</v>
      </c>
      <c r="Z24" s="37" t="n">
        <v>8168.15</v>
      </c>
      <c r="AA24" s="18" t="n">
        <v>9142.4</v>
      </c>
      <c r="AB24" s="19" t="n">
        <v>8491.77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비유동부채</t>
        </is>
      </c>
      <c r="E25" s="18" t="n">
        <v>10378.26</v>
      </c>
      <c r="F25" s="37" t="n">
        <v>10378.26</v>
      </c>
      <c r="G25" s="18" t="n">
        <v>9466.09</v>
      </c>
      <c r="H25" s="18" t="n">
        <v>7538.17</v>
      </c>
      <c r="I25" s="18" t="n">
        <v>6082.01</v>
      </c>
      <c r="J25" s="18" t="n">
        <v>3799.16</v>
      </c>
      <c r="K25" s="37" t="n">
        <v>3799.16</v>
      </c>
      <c r="L25" s="18" t="n">
        <v>12919.29</v>
      </c>
      <c r="M25" s="18" t="n">
        <v>11412.71</v>
      </c>
      <c r="N25" s="18" t="n">
        <v>8920.99</v>
      </c>
      <c r="O25" s="18" t="n">
        <v>10502.28</v>
      </c>
      <c r="P25" s="37" t="n">
        <v>10502.28</v>
      </c>
      <c r="Q25" s="18" t="n">
        <v>11148.43</v>
      </c>
      <c r="R25" s="18" t="n">
        <v>10225.42</v>
      </c>
      <c r="S25" s="18" t="n">
        <v>11572.65</v>
      </c>
      <c r="T25" s="18" t="n">
        <v>10801.7</v>
      </c>
      <c r="U25" s="37" t="n">
        <v>10801.7</v>
      </c>
      <c r="V25" s="18" t="n">
        <v>13960.69</v>
      </c>
      <c r="W25" s="18" t="n">
        <v>13940.02</v>
      </c>
      <c r="X25" s="18" t="n">
        <v>13773.84</v>
      </c>
      <c r="Y25" s="18" t="n">
        <v>11201.05</v>
      </c>
      <c r="Z25" s="37" t="n">
        <v>11201.05</v>
      </c>
      <c r="AA25" s="18" t="n">
        <v>7338.92</v>
      </c>
      <c r="AB25" s="19" t="n">
        <v>9717.860000000001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확정급여부채</t>
        </is>
      </c>
      <c r="E26" s="18" t="n">
        <v>10378.26</v>
      </c>
      <c r="F26" s="37" t="n">
        <v>10378.26</v>
      </c>
      <c r="G26" s="18" t="n">
        <v>9466.09</v>
      </c>
      <c r="H26" s="18" t="n">
        <v>7538.17</v>
      </c>
      <c r="I26" s="18" t="n">
        <v>6082.01</v>
      </c>
      <c r="J26" s="18" t="n">
        <v>3799.16</v>
      </c>
      <c r="K26" s="37" t="n">
        <v>3799.16</v>
      </c>
      <c r="L26" s="18" t="n">
        <v>12919.3</v>
      </c>
      <c r="M26" s="18" t="n">
        <v>11412.71</v>
      </c>
      <c r="N26" s="18" t="n">
        <v>8920.99</v>
      </c>
      <c r="O26" s="18" t="n">
        <v>10502.29</v>
      </c>
      <c r="P26" s="37" t="n">
        <v>10502.29</v>
      </c>
      <c r="Q26" s="18" t="n">
        <v>11148.42</v>
      </c>
      <c r="R26" s="18" t="n">
        <v>10225.42</v>
      </c>
      <c r="S26" s="18" t="n">
        <v>11572.65</v>
      </c>
      <c r="T26" s="18" t="n">
        <v>10801.7</v>
      </c>
      <c r="U26" s="37" t="n">
        <v>10801.7</v>
      </c>
      <c r="V26" s="18" t="n">
        <v>13960.69</v>
      </c>
      <c r="W26" s="18" t="n">
        <v>13940.02</v>
      </c>
      <c r="X26" s="18" t="n">
        <v>13773.84</v>
      </c>
      <c r="Y26" s="18" t="n">
        <v>11201.05</v>
      </c>
      <c r="Z26" s="37" t="n">
        <v>11201.05</v>
      </c>
      <c r="AA26" s="18" t="n">
        <v>7338.92</v>
      </c>
      <c r="AB26" s="19" t="n">
        <v>9717.860000000001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부채총계</t>
        </is>
      </c>
      <c r="E27" s="18" t="n">
        <v>30143.34</v>
      </c>
      <c r="F27" s="37" t="n">
        <v>30143.34</v>
      </c>
      <c r="G27" s="18" t="n">
        <v>34231.84</v>
      </c>
      <c r="H27" s="18" t="n">
        <v>28374.9</v>
      </c>
      <c r="I27" s="18" t="n">
        <v>28771.66</v>
      </c>
      <c r="J27" s="18" t="n">
        <v>29257.11</v>
      </c>
      <c r="K27" s="37" t="n">
        <v>29257.11</v>
      </c>
      <c r="L27" s="18" t="n">
        <v>43678.32</v>
      </c>
      <c r="M27" s="18" t="n">
        <v>35687.53</v>
      </c>
      <c r="N27" s="18" t="n">
        <v>30889.66</v>
      </c>
      <c r="O27" s="18" t="n">
        <v>33929.58</v>
      </c>
      <c r="P27" s="37" t="n">
        <v>33929.58</v>
      </c>
      <c r="Q27" s="18" t="n">
        <v>50985.38</v>
      </c>
      <c r="R27" s="18" t="n">
        <v>29704.21</v>
      </c>
      <c r="S27" s="18" t="n">
        <v>27837.24</v>
      </c>
      <c r="T27" s="18" t="n">
        <v>34901.71</v>
      </c>
      <c r="U27" s="37" t="n">
        <v>34901.71</v>
      </c>
      <c r="V27" s="18" t="n">
        <v>50739.47</v>
      </c>
      <c r="W27" s="18" t="n">
        <v>36269.87</v>
      </c>
      <c r="X27" s="18" t="n">
        <v>36121.25</v>
      </c>
      <c r="Y27" s="18" t="n">
        <v>36682.31</v>
      </c>
      <c r="Z27" s="37" t="n">
        <v>36682.31</v>
      </c>
      <c r="AA27" s="18" t="n">
        <v>45703.39</v>
      </c>
      <c r="AB27" s="19" t="n">
        <v>35541.19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자본금</t>
        </is>
      </c>
      <c r="E28" s="18" t="n">
        <v>6806.62</v>
      </c>
      <c r="F28" s="37" t="n">
        <v>6806.62</v>
      </c>
      <c r="G28" s="18" t="n">
        <v>6806.62</v>
      </c>
      <c r="H28" s="18" t="n">
        <v>6806.62</v>
      </c>
      <c r="I28" s="18" t="n">
        <v>6806.62</v>
      </c>
      <c r="J28" s="18" t="n">
        <v>6806.62</v>
      </c>
      <c r="K28" s="37" t="n">
        <v>6806.62</v>
      </c>
      <c r="L28" s="18" t="n">
        <v>6806.62</v>
      </c>
      <c r="M28" s="18" t="n">
        <v>6806.62</v>
      </c>
      <c r="N28" s="18" t="n">
        <v>6806.62</v>
      </c>
      <c r="O28" s="18" t="n">
        <v>6806.62</v>
      </c>
      <c r="P28" s="37" t="n">
        <v>6806.62</v>
      </c>
      <c r="Q28" s="18" t="n">
        <v>6806.62</v>
      </c>
      <c r="R28" s="18" t="n">
        <v>6806.62</v>
      </c>
      <c r="S28" s="18" t="n">
        <v>6806.62</v>
      </c>
      <c r="T28" s="18" t="n">
        <v>6806.62</v>
      </c>
      <c r="U28" s="37" t="n">
        <v>6806.62</v>
      </c>
      <c r="V28" s="18" t="n">
        <v>6806.62</v>
      </c>
      <c r="W28" s="18" t="n">
        <v>6806.62</v>
      </c>
      <c r="X28" s="18" t="n">
        <v>6806.62</v>
      </c>
      <c r="Y28" s="18" t="n">
        <v>6806.62</v>
      </c>
      <c r="Z28" s="37" t="n">
        <v>6806.62</v>
      </c>
      <c r="AA28" s="18" t="n">
        <v>6806.62</v>
      </c>
      <c r="AB28" s="19" t="n">
        <v>6806.62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자본잉여금</t>
        </is>
      </c>
      <c r="E29" s="18" t="n">
        <v>23843.6</v>
      </c>
      <c r="F29" s="37" t="n">
        <v>23843.6</v>
      </c>
      <c r="G29" s="18" t="n">
        <v>23843.6</v>
      </c>
      <c r="H29" s="18" t="n">
        <v>23843.6</v>
      </c>
      <c r="I29" s="18" t="n">
        <v>23843.6</v>
      </c>
      <c r="J29" s="18" t="n">
        <v>23843.6</v>
      </c>
      <c r="K29" s="37" t="n">
        <v>23843.6</v>
      </c>
      <c r="L29" s="18" t="n">
        <v>23843.6</v>
      </c>
      <c r="M29" s="18" t="n">
        <v>23843.6</v>
      </c>
      <c r="N29" s="18" t="n">
        <v>23843.6</v>
      </c>
      <c r="O29" s="18" t="n">
        <v>23843.6</v>
      </c>
      <c r="P29" s="37" t="n">
        <v>23843.6</v>
      </c>
      <c r="Q29" s="18" t="n">
        <v>23843.6</v>
      </c>
      <c r="R29" s="18" t="n">
        <v>23843.6</v>
      </c>
      <c r="S29" s="18" t="n">
        <v>23843.6</v>
      </c>
      <c r="T29" s="18" t="n">
        <v>23843.6</v>
      </c>
      <c r="U29" s="37" t="n">
        <v>23843.6</v>
      </c>
      <c r="V29" s="18" t="n">
        <v>23843.6</v>
      </c>
      <c r="W29" s="18" t="n">
        <v>23843.6</v>
      </c>
      <c r="X29" s="18" t="n">
        <v>23843.6</v>
      </c>
      <c r="Y29" s="18" t="n">
        <v>23843.6</v>
      </c>
      <c r="Z29" s="37" t="n">
        <v>23843.6</v>
      </c>
      <c r="AA29" s="18" t="n">
        <v>23843.6</v>
      </c>
      <c r="AB29" s="19" t="n">
        <v>23843.6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기타자본</t>
        </is>
      </c>
      <c r="E30" s="18" t="n">
        <v>-9932.83</v>
      </c>
      <c r="F30" s="37" t="n">
        <v>-9932.83</v>
      </c>
      <c r="G30" s="18" t="n">
        <v>-9932.83</v>
      </c>
      <c r="H30" s="18" t="n">
        <v>-9932.83</v>
      </c>
      <c r="I30" s="18" t="n">
        <v>-9932.83</v>
      </c>
      <c r="J30" s="18" t="n">
        <v>-9932.83</v>
      </c>
      <c r="K30" s="37" t="n">
        <v>-9932.83</v>
      </c>
      <c r="O30" s="18" t="n">
        <v>-7927.92</v>
      </c>
      <c r="P30" s="37" t="n">
        <v>-7927.92</v>
      </c>
      <c r="Q30" s="18" t="n">
        <v>-16043.95</v>
      </c>
      <c r="R30" s="18" t="n">
        <v>-19948.59</v>
      </c>
      <c r="S30" s="18" t="n">
        <v>-19948.59</v>
      </c>
      <c r="T30" s="18" t="n">
        <v>-203.16</v>
      </c>
      <c r="U30" s="37" t="n">
        <v>-203.16</v>
      </c>
      <c r="V30" s="18" t="n">
        <v>-5053.73</v>
      </c>
      <c r="W30" s="18" t="n">
        <v>-12633.81</v>
      </c>
      <c r="X30" s="18" t="n">
        <v>-203.16</v>
      </c>
      <c r="Y30" s="18" t="n">
        <v>-203.16</v>
      </c>
      <c r="Z30" s="37" t="n">
        <v>-203.16</v>
      </c>
      <c r="AA30" s="18" t="n">
        <v>-203.16</v>
      </c>
      <c r="AB30" s="19" t="n">
        <v>-203.16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이익잉여금</t>
        </is>
      </c>
      <c r="E31" s="18" t="n">
        <v>318982.64</v>
      </c>
      <c r="F31" s="37" t="n">
        <v>318982.64</v>
      </c>
      <c r="G31" s="18" t="n">
        <v>318656.23</v>
      </c>
      <c r="H31" s="18" t="n">
        <v>329706.39</v>
      </c>
      <c r="I31" s="18" t="n">
        <v>343011.69</v>
      </c>
      <c r="J31" s="18" t="n">
        <v>349711.49</v>
      </c>
      <c r="K31" s="37" t="n">
        <v>349711.49</v>
      </c>
      <c r="L31" s="18" t="n">
        <v>338384.85</v>
      </c>
      <c r="M31" s="18" t="n">
        <v>351419.69</v>
      </c>
      <c r="N31" s="18" t="n">
        <v>364671.78</v>
      </c>
      <c r="O31" s="18" t="n">
        <v>370133.68</v>
      </c>
      <c r="P31" s="37" t="n">
        <v>370133.68</v>
      </c>
      <c r="Q31" s="18" t="n">
        <v>371324.03</v>
      </c>
      <c r="R31" s="18" t="n">
        <v>383767.23</v>
      </c>
      <c r="S31" s="18" t="n">
        <v>390290.84</v>
      </c>
      <c r="T31" s="18" t="n">
        <v>386152.03</v>
      </c>
      <c r="U31" s="37" t="n">
        <v>386152.03</v>
      </c>
      <c r="V31" s="18" t="n">
        <v>380531.22</v>
      </c>
      <c r="W31" s="18" t="n">
        <v>391546.46</v>
      </c>
      <c r="X31" s="18" t="n">
        <v>390955.53</v>
      </c>
      <c r="Y31" s="18" t="n">
        <v>405788.59</v>
      </c>
      <c r="Z31" s="37" t="n">
        <v>405788.59</v>
      </c>
      <c r="AA31" s="18" t="n">
        <v>407267.1</v>
      </c>
      <c r="AB31" s="19" t="n">
        <v>419440.6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자본총계</t>
        </is>
      </c>
      <c r="E32" s="18" t="n">
        <v>339700.02</v>
      </c>
      <c r="F32" s="37" t="n">
        <v>339700.02</v>
      </c>
      <c r="G32" s="18" t="n">
        <v>339373.61</v>
      </c>
      <c r="H32" s="18" t="n">
        <v>350423.78</v>
      </c>
      <c r="I32" s="18" t="n">
        <v>363729.07</v>
      </c>
      <c r="J32" s="18" t="n">
        <v>370428.87</v>
      </c>
      <c r="K32" s="37" t="n">
        <v>370428.87</v>
      </c>
      <c r="L32" s="18" t="n">
        <v>369035.06</v>
      </c>
      <c r="M32" s="18" t="n">
        <v>382069.91</v>
      </c>
      <c r="N32" s="18" t="n">
        <v>395322</v>
      </c>
      <c r="O32" s="18" t="n">
        <v>392855.97</v>
      </c>
      <c r="P32" s="37" t="n">
        <v>392855.97</v>
      </c>
      <c r="Q32" s="18" t="n">
        <v>385930.3</v>
      </c>
      <c r="R32" s="18" t="n">
        <v>394468.85</v>
      </c>
      <c r="S32" s="18" t="n">
        <v>400992.46</v>
      </c>
      <c r="T32" s="18" t="n">
        <v>416599.08</v>
      </c>
      <c r="U32" s="37" t="n">
        <v>416599.08</v>
      </c>
      <c r="V32" s="18" t="n">
        <v>406127.7</v>
      </c>
      <c r="W32" s="18" t="n">
        <v>409562.86</v>
      </c>
      <c r="X32" s="18" t="n">
        <v>421402.58</v>
      </c>
      <c r="Y32" s="18" t="n">
        <v>436235.64</v>
      </c>
      <c r="Z32" s="37" t="n">
        <v>436235.64</v>
      </c>
      <c r="AA32" s="18" t="n">
        <v>437714.15</v>
      </c>
      <c r="AB32" s="19" t="n">
        <v>449887.65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부채와자본총계</t>
        </is>
      </c>
      <c r="E33" s="18" t="n">
        <v>369843.36</v>
      </c>
      <c r="F33" s="37" t="n">
        <v>369843.36</v>
      </c>
      <c r="G33" s="18" t="n">
        <v>373605.45</v>
      </c>
      <c r="H33" s="18" t="n">
        <v>378798.67</v>
      </c>
      <c r="I33" s="18" t="n">
        <v>392500.73</v>
      </c>
      <c r="J33" s="18" t="n">
        <v>399685.98</v>
      </c>
      <c r="K33" s="37" t="n">
        <v>399685.98</v>
      </c>
      <c r="L33" s="18" t="n">
        <v>412713.38</v>
      </c>
      <c r="M33" s="18" t="n">
        <v>417757.44</v>
      </c>
      <c r="N33" s="18" t="n">
        <v>426211.66</v>
      </c>
      <c r="O33" s="18" t="n">
        <v>426785.55</v>
      </c>
      <c r="P33" s="37" t="n">
        <v>426785.55</v>
      </c>
      <c r="Q33" s="18" t="n">
        <v>436915.68</v>
      </c>
      <c r="R33" s="18" t="n">
        <v>424173.06</v>
      </c>
      <c r="S33" s="18" t="n">
        <v>428829.7</v>
      </c>
      <c r="T33" s="18" t="n">
        <v>451500.79</v>
      </c>
      <c r="U33" s="37" t="n">
        <v>451500.79</v>
      </c>
      <c r="V33" s="18" t="n">
        <v>456867.17</v>
      </c>
      <c r="W33" s="18" t="n">
        <v>445832.73</v>
      </c>
      <c r="X33" s="18" t="n">
        <v>457523.83</v>
      </c>
      <c r="Y33" s="18" t="n">
        <v>472917.95</v>
      </c>
      <c r="Z33" s="37" t="n">
        <v>472917.95</v>
      </c>
      <c r="AA33" s="18" t="n">
        <v>483417.54</v>
      </c>
      <c r="AB33" s="19" t="n">
        <v>485428.85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지배주주지분</t>
        </is>
      </c>
      <c r="E34" s="18" t="n">
        <v>339700.02</v>
      </c>
      <c r="F34" s="37" t="n">
        <v>339700.02</v>
      </c>
      <c r="G34" s="18" t="n">
        <v>339373.61</v>
      </c>
      <c r="H34" s="18" t="n">
        <v>350423.78</v>
      </c>
      <c r="I34" s="18" t="n">
        <v>363729.07</v>
      </c>
      <c r="J34" s="18" t="n">
        <v>370428.87</v>
      </c>
      <c r="K34" s="37" t="n">
        <v>370428.87</v>
      </c>
      <c r="L34" s="18" t="n">
        <v>369035.06</v>
      </c>
      <c r="M34" s="18" t="n">
        <v>382069.91</v>
      </c>
      <c r="N34" s="18" t="n">
        <v>395322</v>
      </c>
      <c r="O34" s="18" t="n">
        <v>392855.97</v>
      </c>
      <c r="P34" s="37" t="n">
        <v>392855.97</v>
      </c>
      <c r="Q34" s="18" t="n">
        <v>385930.3</v>
      </c>
      <c r="R34" s="18" t="n">
        <v>394468.85</v>
      </c>
      <c r="S34" s="18" t="n">
        <v>400992.46</v>
      </c>
      <c r="T34" s="18" t="n">
        <v>416599.08</v>
      </c>
      <c r="U34" s="37" t="n">
        <v>416599.08</v>
      </c>
      <c r="V34" s="18" t="n">
        <v>406127.7</v>
      </c>
      <c r="W34" s="18" t="n">
        <v>409562.86</v>
      </c>
      <c r="X34" s="18" t="n">
        <v>421402.58</v>
      </c>
      <c r="Y34" s="18" t="n">
        <v>436235.64</v>
      </c>
      <c r="Z34" s="37" t="n">
        <v>436235.64</v>
      </c>
      <c r="AA34" s="18" t="n">
        <v>437714.15</v>
      </c>
      <c r="AB34" s="19" t="n">
        <v>449887.65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이자발생자산</t>
        </is>
      </c>
      <c r="E35" s="18" t="n">
        <v>169419.82</v>
      </c>
      <c r="F35" s="37" t="n">
        <v>169419.82</v>
      </c>
      <c r="G35" s="18" t="n">
        <v>170681.15</v>
      </c>
      <c r="H35" s="18" t="n">
        <v>167621.31</v>
      </c>
      <c r="I35" s="18" t="n">
        <v>169632.16</v>
      </c>
      <c r="J35" s="18" t="n">
        <v>179087.2</v>
      </c>
      <c r="K35" s="37" t="n">
        <v>179087.2</v>
      </c>
      <c r="L35" s="18" t="n">
        <v>172637.6</v>
      </c>
      <c r="M35" s="18" t="n">
        <v>171292.69</v>
      </c>
      <c r="N35" s="18" t="n">
        <v>175338.35</v>
      </c>
      <c r="O35" s="18" t="n">
        <v>173786.1</v>
      </c>
      <c r="P35" s="37" t="n">
        <v>173786.1</v>
      </c>
      <c r="Q35" s="18" t="n">
        <v>174213.3</v>
      </c>
      <c r="R35" s="18" t="n">
        <v>170480.15</v>
      </c>
      <c r="S35" s="18" t="n">
        <v>183216.02</v>
      </c>
      <c r="T35" s="18" t="n">
        <v>191481.67</v>
      </c>
      <c r="U35" s="37" t="n">
        <v>191481.67</v>
      </c>
      <c r="V35" s="18" t="n">
        <v>187363.95</v>
      </c>
      <c r="W35" s="18" t="n">
        <v>173399.04</v>
      </c>
      <c r="X35" s="18" t="n">
        <v>179059.72</v>
      </c>
      <c r="Y35" s="18" t="n">
        <v>186343.46</v>
      </c>
      <c r="Z35" s="37" t="n">
        <v>186343.46</v>
      </c>
      <c r="AA35" s="18" t="n">
        <v>166682.04</v>
      </c>
      <c r="AB35" s="19" t="n">
        <v>178372.43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단기충당부채</t>
        </is>
      </c>
      <c r="F36" s="9" t="n"/>
      <c r="J36" s="18" t="n">
        <v>261.25</v>
      </c>
      <c r="K36" s="37" t="n">
        <v>261.25</v>
      </c>
      <c r="L36" s="18" t="n">
        <v>261.25</v>
      </c>
      <c r="M36" s="18" t="n">
        <v>261.25</v>
      </c>
      <c r="N36" s="18" t="n">
        <v>261.25</v>
      </c>
      <c r="O36" s="18" t="n">
        <v>261.25</v>
      </c>
      <c r="P36" s="37" t="n">
        <v>261.25</v>
      </c>
      <c r="Q36" s="18" t="n">
        <v>261.25</v>
      </c>
      <c r="R36" s="18" t="n">
        <v>261.25</v>
      </c>
      <c r="U36" s="9" t="n"/>
      <c r="Z36" s="9" t="n"/>
      <c r="AB36" s="5" t="n"/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매출액(수익)</t>
        </is>
      </c>
      <c r="E37" s="18" t="n">
        <v>34655.05</v>
      </c>
      <c r="F37" s="9" t="n"/>
      <c r="G37" s="18" t="n">
        <v>30747.71</v>
      </c>
      <c r="H37" s="18" t="n">
        <v>47329.85</v>
      </c>
      <c r="I37" s="18" t="n">
        <v>41115.63</v>
      </c>
      <c r="J37" s="18" t="n">
        <v>50907.54</v>
      </c>
      <c r="K37" s="37" t="n">
        <v>170100.73</v>
      </c>
      <c r="L37" s="18" t="n">
        <v>42705.67</v>
      </c>
      <c r="M37" s="18" t="n">
        <v>45307.32</v>
      </c>
      <c r="N37" s="18" t="n">
        <v>41285.69</v>
      </c>
      <c r="O37" s="18" t="n">
        <v>41449.81</v>
      </c>
      <c r="P37" s="37" t="n">
        <v>170748.49</v>
      </c>
      <c r="Q37" s="18" t="n">
        <v>44733.62</v>
      </c>
      <c r="R37" s="18" t="n">
        <v>41013.87</v>
      </c>
      <c r="S37" s="18" t="n">
        <v>40272.22</v>
      </c>
      <c r="T37" s="18" t="n">
        <v>46711.18</v>
      </c>
      <c r="U37" s="37" t="n">
        <v>172730.89</v>
      </c>
      <c r="V37" s="18" t="n">
        <v>43463.96</v>
      </c>
      <c r="W37" s="18" t="n">
        <v>51212.54</v>
      </c>
      <c r="X37" s="18" t="n">
        <v>46998</v>
      </c>
      <c r="Y37" s="18" t="n">
        <v>51405.51</v>
      </c>
      <c r="Z37" s="37" t="n">
        <v>193080.01</v>
      </c>
      <c r="AA37" s="18" t="n">
        <v>46232.51</v>
      </c>
      <c r="AB37" s="19" t="n">
        <v>52980.77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매출원가</t>
        </is>
      </c>
      <c r="E38" s="18" t="n">
        <v>26135</v>
      </c>
      <c r="F38" s="9" t="n"/>
      <c r="G38" s="18" t="n">
        <v>21810.86</v>
      </c>
      <c r="H38" s="18" t="n">
        <v>34135.95</v>
      </c>
      <c r="I38" s="18" t="n">
        <v>26898.42</v>
      </c>
      <c r="J38" s="18" t="n">
        <v>33768.92</v>
      </c>
      <c r="K38" s="37" t="n">
        <v>116614.15</v>
      </c>
      <c r="L38" s="18" t="n">
        <v>25762.16</v>
      </c>
      <c r="M38" s="18" t="n">
        <v>27957.63</v>
      </c>
      <c r="N38" s="18" t="n">
        <v>24808.85</v>
      </c>
      <c r="O38" s="18" t="n">
        <v>28069.13</v>
      </c>
      <c r="P38" s="37" t="n">
        <v>106597.77</v>
      </c>
      <c r="Q38" s="18" t="n">
        <v>26568.84</v>
      </c>
      <c r="R38" s="18" t="n">
        <v>25421.75</v>
      </c>
      <c r="S38" s="18" t="n">
        <v>25235.6</v>
      </c>
      <c r="T38" s="18" t="n">
        <v>33565.02</v>
      </c>
      <c r="U38" s="37" t="n">
        <v>110791.21</v>
      </c>
      <c r="V38" s="18" t="n">
        <v>27530.87</v>
      </c>
      <c r="W38" s="18" t="n">
        <v>30402.43</v>
      </c>
      <c r="X38" s="18" t="n">
        <v>29486.21</v>
      </c>
      <c r="Y38" s="18" t="n">
        <v>33315.98</v>
      </c>
      <c r="Z38" s="37" t="n">
        <v>120735.49</v>
      </c>
      <c r="AA38" s="18" t="n">
        <v>26985.69</v>
      </c>
      <c r="AB38" s="19" t="n">
        <v>32978.78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매출총이익</t>
        </is>
      </c>
      <c r="E39" s="18" t="n">
        <v>8520.049999999999</v>
      </c>
      <c r="F39" s="9" t="n"/>
      <c r="G39" s="18" t="n">
        <v>8936.85</v>
      </c>
      <c r="H39" s="18" t="n">
        <v>13193.9</v>
      </c>
      <c r="I39" s="18" t="n">
        <v>14217.21</v>
      </c>
      <c r="J39" s="18" t="n">
        <v>17138.62</v>
      </c>
      <c r="K39" s="37" t="n">
        <v>53486.58</v>
      </c>
      <c r="L39" s="18" t="n">
        <v>16943.51</v>
      </c>
      <c r="M39" s="18" t="n">
        <v>17349.68</v>
      </c>
      <c r="N39" s="18" t="n">
        <v>16476.84</v>
      </c>
      <c r="O39" s="18" t="n">
        <v>13380.67</v>
      </c>
      <c r="P39" s="37" t="n">
        <v>64150.7</v>
      </c>
      <c r="Q39" s="18" t="n">
        <v>18164.78</v>
      </c>
      <c r="R39" s="18" t="n">
        <v>15592.12</v>
      </c>
      <c r="S39" s="18" t="n">
        <v>15036.62</v>
      </c>
      <c r="T39" s="18" t="n">
        <v>13146.17</v>
      </c>
      <c r="U39" s="37" t="n">
        <v>61939.69</v>
      </c>
      <c r="V39" s="18" t="n">
        <v>15933.09</v>
      </c>
      <c r="W39" s="18" t="n">
        <v>20810.11</v>
      </c>
      <c r="X39" s="18" t="n">
        <v>17511.79</v>
      </c>
      <c r="Y39" s="18" t="n">
        <v>18089.53</v>
      </c>
      <c r="Z39" s="37" t="n">
        <v>72344.52</v>
      </c>
      <c r="AA39" s="18" t="n">
        <v>19246.82</v>
      </c>
      <c r="AB39" s="19" t="n">
        <v>20001.99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판관비</t>
        </is>
      </c>
      <c r="E40" s="18" t="n">
        <v>4535.46</v>
      </c>
      <c r="F40" s="9" t="n"/>
      <c r="G40" s="18" t="n">
        <v>3998.26</v>
      </c>
      <c r="H40" s="18" t="n">
        <v>3570.14</v>
      </c>
      <c r="I40" s="18" t="n">
        <v>3988.31</v>
      </c>
      <c r="J40" s="18" t="n">
        <v>3812.21</v>
      </c>
      <c r="K40" s="37" t="n">
        <v>15368.92</v>
      </c>
      <c r="L40" s="18" t="n">
        <v>4659.43</v>
      </c>
      <c r="M40" s="18" t="n">
        <v>3916.31</v>
      </c>
      <c r="N40" s="18" t="n">
        <v>3812.99</v>
      </c>
      <c r="O40" s="18" t="n">
        <v>4787.13</v>
      </c>
      <c r="P40" s="37" t="n">
        <v>17175.86</v>
      </c>
      <c r="Q40" s="18" t="n">
        <v>3828.11</v>
      </c>
      <c r="R40" s="18" t="n">
        <v>2741.4</v>
      </c>
      <c r="S40" s="18" t="n">
        <v>3831.89</v>
      </c>
      <c r="T40" s="18" t="n">
        <v>6779.98</v>
      </c>
      <c r="U40" s="37" t="n">
        <v>17181.38</v>
      </c>
      <c r="V40" s="18" t="n">
        <v>4730.68</v>
      </c>
      <c r="W40" s="18" t="n">
        <v>4923.61</v>
      </c>
      <c r="X40" s="18" t="n">
        <v>3515.74</v>
      </c>
      <c r="Y40" s="18" t="n">
        <v>5356.99</v>
      </c>
      <c r="Z40" s="37" t="n">
        <v>18527.02</v>
      </c>
      <c r="AA40" s="18" t="n">
        <v>4291.3</v>
      </c>
      <c r="AB40" s="19" t="n">
        <v>4346.06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영업이익</t>
        </is>
      </c>
      <c r="E41" s="18" t="n">
        <v>3984.58</v>
      </c>
      <c r="F41" s="9" t="n"/>
      <c r="G41" s="18" t="n">
        <v>4938.59</v>
      </c>
      <c r="H41" s="18" t="n">
        <v>9623.76</v>
      </c>
      <c r="I41" s="18" t="n">
        <v>10228.89</v>
      </c>
      <c r="J41" s="18" t="n">
        <v>13326.42</v>
      </c>
      <c r="K41" s="37" t="n">
        <v>38117.66</v>
      </c>
      <c r="L41" s="18" t="n">
        <v>12284.08</v>
      </c>
      <c r="M41" s="18" t="n">
        <v>13433.37</v>
      </c>
      <c r="N41" s="18" t="n">
        <v>12663.85</v>
      </c>
      <c r="O41" s="18" t="n">
        <v>8593.540000000001</v>
      </c>
      <c r="P41" s="37" t="n">
        <v>46974.84</v>
      </c>
      <c r="Q41" s="18" t="n">
        <v>14336.67</v>
      </c>
      <c r="R41" s="18" t="n">
        <v>12850.72</v>
      </c>
      <c r="S41" s="18" t="n">
        <v>11204.74</v>
      </c>
      <c r="T41" s="18" t="n">
        <v>6366.19</v>
      </c>
      <c r="U41" s="37" t="n">
        <v>44758.32</v>
      </c>
      <c r="V41" s="18" t="n">
        <v>11202.41</v>
      </c>
      <c r="W41" s="18" t="n">
        <v>15886.49</v>
      </c>
      <c r="X41" s="18" t="n">
        <v>13996.06</v>
      </c>
      <c r="Y41" s="18" t="n">
        <v>12732.53</v>
      </c>
      <c r="Z41" s="37" t="n">
        <v>53817.49</v>
      </c>
      <c r="AA41" s="18" t="n">
        <v>14955.52</v>
      </c>
      <c r="AB41" s="19" t="n">
        <v>15655.93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기타영업외수익</t>
        </is>
      </c>
      <c r="E42" s="18" t="n">
        <v>67.62</v>
      </c>
      <c r="F42" s="9" t="n"/>
      <c r="G42" s="18" t="n">
        <v>90.97</v>
      </c>
      <c r="H42" s="18" t="n">
        <v>306.87</v>
      </c>
      <c r="I42" s="18" t="n">
        <v>72.83</v>
      </c>
      <c r="J42" s="18" t="n">
        <v>62.65</v>
      </c>
      <c r="K42" s="37" t="n">
        <v>533.3200000000001</v>
      </c>
      <c r="L42" s="18" t="n">
        <v>221.91</v>
      </c>
      <c r="M42" s="18" t="n">
        <v>153.14</v>
      </c>
      <c r="N42" s="18" t="n">
        <v>120.08</v>
      </c>
      <c r="O42" s="18" t="n">
        <v>126.46</v>
      </c>
      <c r="P42" s="37" t="n">
        <v>621.59</v>
      </c>
      <c r="Q42" s="18" t="n">
        <v>121.17</v>
      </c>
      <c r="R42" s="18" t="n">
        <v>118.92</v>
      </c>
      <c r="S42" s="18" t="n">
        <v>139.13</v>
      </c>
      <c r="T42" s="18" t="n">
        <v>1073.27</v>
      </c>
      <c r="U42" s="37" t="n">
        <v>1452.49</v>
      </c>
      <c r="V42" s="18" t="n">
        <v>125.17</v>
      </c>
      <c r="W42" s="18" t="n">
        <v>674.77</v>
      </c>
      <c r="X42" s="18" t="n">
        <v>338.48</v>
      </c>
      <c r="Y42" s="18" t="n">
        <v>824.6900000000001</v>
      </c>
      <c r="Z42" s="37" t="n">
        <v>1963.11</v>
      </c>
      <c r="AA42" s="18" t="n">
        <v>151.48</v>
      </c>
      <c r="AB42" s="19" t="n">
        <v>632.48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기타영업외비용</t>
        </is>
      </c>
      <c r="E43" s="18" t="n">
        <v>8.77</v>
      </c>
      <c r="F43" s="9" t="n"/>
      <c r="G43" s="18" t="n">
        <v>2.31</v>
      </c>
      <c r="H43" s="18" t="n">
        <v>8.75</v>
      </c>
      <c r="I43" s="18" t="n">
        <v>87</v>
      </c>
      <c r="J43" s="18" t="n">
        <v>28.81</v>
      </c>
      <c r="K43" s="37" t="n">
        <v>126.87</v>
      </c>
      <c r="L43" s="18" t="n">
        <v>3.44</v>
      </c>
      <c r="M43" s="18" t="n">
        <v>0</v>
      </c>
      <c r="N43" s="18" t="n">
        <v>688.9</v>
      </c>
      <c r="O43" s="18" t="n">
        <v>0.02</v>
      </c>
      <c r="P43" s="37" t="n">
        <v>692.36</v>
      </c>
      <c r="Q43" s="18" t="n">
        <v>0.01</v>
      </c>
      <c r="R43" s="18" t="n">
        <v>10</v>
      </c>
      <c r="S43" s="18" t="n">
        <v>-5</v>
      </c>
      <c r="T43" s="18" t="n">
        <v>54.1</v>
      </c>
      <c r="U43" s="37" t="n">
        <v>59.11</v>
      </c>
      <c r="V43" s="18" t="n">
        <v>3.03</v>
      </c>
      <c r="W43" s="18" t="n">
        <v>254.3</v>
      </c>
      <c r="X43" s="18" t="n">
        <v>90.18000000000001</v>
      </c>
      <c r="Y43" s="18" t="n">
        <v>91.34999999999999</v>
      </c>
      <c r="Z43" s="37" t="n">
        <v>438.86</v>
      </c>
      <c r="AA43" s="18" t="n">
        <v>127.06</v>
      </c>
      <c r="AB43" s="19" t="n">
        <v>43.08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금융수익</t>
        </is>
      </c>
      <c r="E44" s="18" t="n">
        <v>1652.04</v>
      </c>
      <c r="F44" s="9" t="n"/>
      <c r="G44" s="18" t="n">
        <v>1552.69</v>
      </c>
      <c r="H44" s="18" t="n">
        <v>2864.48</v>
      </c>
      <c r="I44" s="18" t="n">
        <v>5716.5</v>
      </c>
      <c r="J44" s="18" t="n">
        <v>-3040.71</v>
      </c>
      <c r="K44" s="37" t="n">
        <v>7092.96</v>
      </c>
      <c r="L44" s="18" t="n">
        <v>4361.64</v>
      </c>
      <c r="M44" s="18" t="n">
        <v>2670.4</v>
      </c>
      <c r="N44" s="18" t="n">
        <v>2934.52</v>
      </c>
      <c r="O44" s="18" t="n">
        <v>877.15</v>
      </c>
      <c r="P44" s="37" t="n">
        <v>10843.71</v>
      </c>
      <c r="Q44" s="18" t="n">
        <v>3977.06</v>
      </c>
      <c r="R44" s="18" t="n">
        <v>2855.29</v>
      </c>
      <c r="S44" s="18" t="n">
        <v>1929.61</v>
      </c>
      <c r="T44" s="18" t="n">
        <v>5618.65</v>
      </c>
      <c r="U44" s="37" t="n">
        <v>14380.61</v>
      </c>
      <c r="V44" s="18" t="n">
        <v>2278.32</v>
      </c>
      <c r="W44" s="18" t="n">
        <v>1377.78</v>
      </c>
      <c r="X44" s="18" t="n">
        <v>4005.08</v>
      </c>
      <c r="Y44" s="18" t="n">
        <v>2597.59</v>
      </c>
      <c r="Z44" s="37" t="n">
        <v>10258.77</v>
      </c>
      <c r="AA44" s="18" t="n">
        <v>4398.8</v>
      </c>
      <c r="AB44" s="19" t="n">
        <v>2456.01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금융비용</t>
        </is>
      </c>
      <c r="E45" s="18" t="n">
        <v>36.07</v>
      </c>
      <c r="F45" s="9" t="n"/>
      <c r="G45" s="18" t="n">
        <v>34.44</v>
      </c>
      <c r="H45" s="18" t="n">
        <v>73.70999999999999</v>
      </c>
      <c r="I45" s="18" t="n">
        <v>33.99</v>
      </c>
      <c r="J45" s="18" t="n">
        <v>2374.41</v>
      </c>
      <c r="K45" s="37" t="n">
        <v>2516.55</v>
      </c>
      <c r="L45" s="18" t="n">
        <v>278.76</v>
      </c>
      <c r="M45" s="18" t="n">
        <v>649.83</v>
      </c>
      <c r="N45" s="18" t="n">
        <v>269.92</v>
      </c>
      <c r="O45" s="18" t="n">
        <v>834.65</v>
      </c>
      <c r="P45" s="37" t="n">
        <v>2033.16</v>
      </c>
      <c r="Q45" s="18" t="n">
        <v>17.4</v>
      </c>
      <c r="R45" s="18" t="n">
        <v>6.89</v>
      </c>
      <c r="S45" s="18" t="n">
        <v>2379.89</v>
      </c>
      <c r="T45" s="18" t="n">
        <v>-506.33</v>
      </c>
      <c r="U45" s="37" t="n">
        <v>1897.85</v>
      </c>
      <c r="V45" s="18" t="n">
        <v>291.68</v>
      </c>
      <c r="W45" s="18" t="n">
        <v>3345.54</v>
      </c>
      <c r="X45" s="18" t="n">
        <v>645.41</v>
      </c>
      <c r="Y45" s="18" t="n">
        <v>-40.12</v>
      </c>
      <c r="Z45" s="37" t="n">
        <v>4242.51</v>
      </c>
      <c r="AA45" s="18" t="n">
        <v>65.98999999999999</v>
      </c>
      <c r="AB45" s="19" t="n">
        <v>30.78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법인세비용차감전계속사업이익</t>
        </is>
      </c>
      <c r="E46" s="18" t="n">
        <v>5659.4</v>
      </c>
      <c r="F46" s="9" t="n"/>
      <c r="G46" s="18" t="n">
        <v>6545.51</v>
      </c>
      <c r="H46" s="18" t="n">
        <v>12712.66</v>
      </c>
      <c r="I46" s="18" t="n">
        <v>15897.23</v>
      </c>
      <c r="J46" s="18" t="n">
        <v>7945.14</v>
      </c>
      <c r="K46" s="37" t="n">
        <v>43100.54</v>
      </c>
      <c r="L46" s="18" t="n">
        <v>16585.42</v>
      </c>
      <c r="M46" s="18" t="n">
        <v>15607.09</v>
      </c>
      <c r="N46" s="18" t="n">
        <v>14759.64</v>
      </c>
      <c r="O46" s="18" t="n">
        <v>8762.49</v>
      </c>
      <c r="P46" s="37" t="n">
        <v>55714.64</v>
      </c>
      <c r="Q46" s="18" t="n">
        <v>18417.49</v>
      </c>
      <c r="R46" s="18" t="n">
        <v>15808.04</v>
      </c>
      <c r="S46" s="18" t="n">
        <v>10898.59</v>
      </c>
      <c r="T46" s="18" t="n">
        <v>13510.33</v>
      </c>
      <c r="U46" s="37" t="n">
        <v>58634.45</v>
      </c>
      <c r="V46" s="18" t="n">
        <v>13311.18</v>
      </c>
      <c r="W46" s="18" t="n">
        <v>14339.21</v>
      </c>
      <c r="X46" s="18" t="n">
        <v>17604.03</v>
      </c>
      <c r="Y46" s="18" t="n">
        <v>16103.58</v>
      </c>
      <c r="Z46" s="37" t="n">
        <v>61358</v>
      </c>
      <c r="AA46" s="18" t="n">
        <v>19312.75</v>
      </c>
      <c r="AB46" s="19" t="n">
        <v>18670.56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법인세비용</t>
        </is>
      </c>
      <c r="E47" s="18" t="n">
        <v>1221.41</v>
      </c>
      <c r="F47" s="9" t="n"/>
      <c r="G47" s="18" t="n">
        <v>1707.96</v>
      </c>
      <c r="H47" s="18" t="n">
        <v>3264.85</v>
      </c>
      <c r="I47" s="18" t="n">
        <v>4134.73</v>
      </c>
      <c r="J47" s="18" t="n">
        <v>1827.85</v>
      </c>
      <c r="K47" s="37" t="n">
        <v>10935.39</v>
      </c>
      <c r="L47" s="18" t="n">
        <v>3443.1</v>
      </c>
      <c r="M47" s="18" t="n">
        <v>3454.55</v>
      </c>
      <c r="N47" s="18" t="n">
        <v>3238.35</v>
      </c>
      <c r="O47" s="18" t="n">
        <v>1903.51</v>
      </c>
      <c r="P47" s="37" t="n">
        <v>12039.51</v>
      </c>
      <c r="Q47" s="18" t="n">
        <v>4057.48</v>
      </c>
      <c r="R47" s="18" t="n">
        <v>3409.34</v>
      </c>
      <c r="S47" s="18" t="n">
        <v>3628.42</v>
      </c>
      <c r="T47" s="18" t="n">
        <v>2096.36</v>
      </c>
      <c r="U47" s="37" t="n">
        <v>13191.6</v>
      </c>
      <c r="V47" s="18" t="n">
        <v>2943.62</v>
      </c>
      <c r="W47" s="18" t="n">
        <v>3593.98</v>
      </c>
      <c r="X47" s="18" t="n">
        <v>4000.84</v>
      </c>
      <c r="Y47" s="18" t="n">
        <v>3121.49</v>
      </c>
      <c r="Z47" s="37" t="n">
        <v>13659.93</v>
      </c>
      <c r="AA47" s="18" t="n">
        <v>4572.95</v>
      </c>
      <c r="AB47" s="19" t="n">
        <v>4388.81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당기순이익</t>
        </is>
      </c>
      <c r="E48" s="18" t="n">
        <v>4438</v>
      </c>
      <c r="F48" s="9" t="n"/>
      <c r="G48" s="18" t="n">
        <v>4837.54</v>
      </c>
      <c r="H48" s="18" t="n">
        <v>9447.82</v>
      </c>
      <c r="I48" s="18" t="n">
        <v>11762.5</v>
      </c>
      <c r="J48" s="18" t="n">
        <v>6117.3</v>
      </c>
      <c r="K48" s="37" t="n">
        <v>32165.16</v>
      </c>
      <c r="L48" s="18" t="n">
        <v>13142.32</v>
      </c>
      <c r="M48" s="18" t="n">
        <v>12152.54</v>
      </c>
      <c r="N48" s="18" t="n">
        <v>11521.29</v>
      </c>
      <c r="O48" s="18" t="n">
        <v>6858.97</v>
      </c>
      <c r="P48" s="37" t="n">
        <v>43675.12</v>
      </c>
      <c r="Q48" s="18" t="n">
        <v>14360.01</v>
      </c>
      <c r="R48" s="18" t="n">
        <v>12398.7</v>
      </c>
      <c r="S48" s="18" t="n">
        <v>7270.17</v>
      </c>
      <c r="T48" s="18" t="n">
        <v>11413.97</v>
      </c>
      <c r="U48" s="37" t="n">
        <v>45442.85</v>
      </c>
      <c r="V48" s="18" t="n">
        <v>10367.56</v>
      </c>
      <c r="W48" s="18" t="n">
        <v>10745.23</v>
      </c>
      <c r="X48" s="18" t="n">
        <v>13603.2</v>
      </c>
      <c r="Y48" s="18" t="n">
        <v>12982.1</v>
      </c>
      <c r="Z48" s="37" t="n">
        <v>47698.09</v>
      </c>
      <c r="AA48" s="18" t="n">
        <v>14739.8</v>
      </c>
      <c r="AB48" s="19" t="n">
        <v>14281.75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금융손익</t>
        </is>
      </c>
      <c r="E49" s="18" t="n">
        <v>1615.97</v>
      </c>
      <c r="F49" s="9" t="n"/>
      <c r="G49" s="18" t="n">
        <v>1518.25</v>
      </c>
      <c r="H49" s="18" t="n">
        <v>2790.77</v>
      </c>
      <c r="I49" s="18" t="n">
        <v>5682.51</v>
      </c>
      <c r="J49" s="18" t="n">
        <v>-5415.12</v>
      </c>
      <c r="K49" s="37" t="n">
        <v>4576.41</v>
      </c>
      <c r="L49" s="18" t="n">
        <v>4082.88</v>
      </c>
      <c r="M49" s="18" t="n">
        <v>2020.57</v>
      </c>
      <c r="N49" s="18" t="n">
        <v>2664.6</v>
      </c>
      <c r="O49" s="18" t="n">
        <v>42.5</v>
      </c>
      <c r="P49" s="37" t="n">
        <v>8810.549999999999</v>
      </c>
      <c r="Q49" s="18" t="n">
        <v>3959.66</v>
      </c>
      <c r="R49" s="18" t="n">
        <v>2848.4</v>
      </c>
      <c r="S49" s="18" t="n">
        <v>-450.28</v>
      </c>
      <c r="T49" s="18" t="n">
        <v>6124.98</v>
      </c>
      <c r="U49" s="37" t="n">
        <v>12482.76</v>
      </c>
      <c r="V49" s="18" t="n">
        <v>1986.64</v>
      </c>
      <c r="W49" s="18" t="n">
        <v>-1967.76</v>
      </c>
      <c r="X49" s="18" t="n">
        <v>3359.67</v>
      </c>
      <c r="Y49" s="18" t="n">
        <v>2637.71</v>
      </c>
      <c r="Z49" s="37" t="n">
        <v>6016.26</v>
      </c>
      <c r="AA49" s="18" t="n">
        <v>4332.81</v>
      </c>
      <c r="AB49" s="19" t="n">
        <v>2425.23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기타영업외손익</t>
        </is>
      </c>
      <c r="E50" s="18" t="n">
        <v>58.85</v>
      </c>
      <c r="F50" s="9" t="n"/>
      <c r="G50" s="18" t="n">
        <v>88.66</v>
      </c>
      <c r="H50" s="18" t="n">
        <v>298.12</v>
      </c>
      <c r="I50" s="18" t="n">
        <v>-14.17</v>
      </c>
      <c r="J50" s="18" t="n">
        <v>33.84</v>
      </c>
      <c r="K50" s="37" t="n">
        <v>406.45</v>
      </c>
      <c r="L50" s="18" t="n">
        <v>218.47</v>
      </c>
      <c r="M50" s="18" t="n">
        <v>153.14</v>
      </c>
      <c r="N50" s="18" t="n">
        <v>-568.8200000000001</v>
      </c>
      <c r="O50" s="18" t="n">
        <v>126.44</v>
      </c>
      <c r="P50" s="37" t="n">
        <v>-70.77</v>
      </c>
      <c r="Q50" s="18" t="n">
        <v>121.16</v>
      </c>
      <c r="R50" s="18" t="n">
        <v>108.92</v>
      </c>
      <c r="S50" s="18" t="n">
        <v>144.13</v>
      </c>
      <c r="T50" s="18" t="n">
        <v>1019.17</v>
      </c>
      <c r="U50" s="37" t="n">
        <v>1393.38</v>
      </c>
      <c r="V50" s="18" t="n">
        <v>122.14</v>
      </c>
      <c r="W50" s="18" t="n">
        <v>420.47</v>
      </c>
      <c r="X50" s="18" t="n">
        <v>248.3</v>
      </c>
      <c r="Y50" s="18" t="n">
        <v>733.34</v>
      </c>
      <c r="Z50" s="37" t="n">
        <v>1524.25</v>
      </c>
      <c r="AA50" s="18" t="n">
        <v>24.42</v>
      </c>
      <c r="AB50" s="19" t="n">
        <v>589.4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(지배주주지분)당기순이익</t>
        </is>
      </c>
      <c r="E51" s="18" t="n">
        <v>4438</v>
      </c>
      <c r="F51" s="9" t="n"/>
      <c r="G51" s="18" t="n">
        <v>4837.54</v>
      </c>
      <c r="H51" s="18" t="n">
        <v>9447.82</v>
      </c>
      <c r="I51" s="18" t="n">
        <v>11762.5</v>
      </c>
      <c r="J51" s="18" t="n">
        <v>6117.3</v>
      </c>
      <c r="K51" s="37" t="n">
        <v>32165.16</v>
      </c>
      <c r="L51" s="18" t="n">
        <v>13142.32</v>
      </c>
      <c r="M51" s="18" t="n">
        <v>12152.54</v>
      </c>
      <c r="N51" s="18" t="n">
        <v>11521.29</v>
      </c>
      <c r="O51" s="18" t="n">
        <v>6858.97</v>
      </c>
      <c r="P51" s="37" t="n">
        <v>43675.12</v>
      </c>
      <c r="Q51" s="18" t="n">
        <v>14360.01</v>
      </c>
      <c r="R51" s="18" t="n">
        <v>12398.7</v>
      </c>
      <c r="S51" s="18" t="n">
        <v>7270.17</v>
      </c>
      <c r="T51" s="18" t="n">
        <v>11413.97</v>
      </c>
      <c r="U51" s="37" t="n">
        <v>45442.85</v>
      </c>
      <c r="V51" s="18" t="n">
        <v>10367.56</v>
      </c>
      <c r="W51" s="18" t="n">
        <v>10745.23</v>
      </c>
      <c r="X51" s="18" t="n">
        <v>13603.2</v>
      </c>
      <c r="Y51" s="18" t="n">
        <v>12982.1</v>
      </c>
      <c r="Z51" s="37" t="n">
        <v>47698.09</v>
      </c>
      <c r="AA51" s="18" t="n">
        <v>14739.8</v>
      </c>
      <c r="AB51" s="19" t="n">
        <v>14281.75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계속사업이익</t>
        </is>
      </c>
      <c r="E52" s="18" t="n">
        <v>4438</v>
      </c>
      <c r="F52" s="9" t="n"/>
      <c r="G52" s="18" t="n">
        <v>4837.54</v>
      </c>
      <c r="H52" s="18" t="n">
        <v>9447.82</v>
      </c>
      <c r="I52" s="18" t="n">
        <v>11762.5</v>
      </c>
      <c r="J52" s="18" t="n">
        <v>6117.3</v>
      </c>
      <c r="K52" s="37" t="n">
        <v>32165.16</v>
      </c>
      <c r="L52" s="18" t="n">
        <v>13142.32</v>
      </c>
      <c r="M52" s="18" t="n">
        <v>12152.54</v>
      </c>
      <c r="N52" s="18" t="n">
        <v>11521.29</v>
      </c>
      <c r="O52" s="18" t="n">
        <v>6858.97</v>
      </c>
      <c r="P52" s="37" t="n">
        <v>43675.12</v>
      </c>
      <c r="Q52" s="18" t="n">
        <v>14360.01</v>
      </c>
      <c r="R52" s="18" t="n">
        <v>12398.7</v>
      </c>
      <c r="S52" s="18" t="n">
        <v>7270.17</v>
      </c>
      <c r="T52" s="18" t="n">
        <v>11413.97</v>
      </c>
      <c r="U52" s="37" t="n">
        <v>45442.85</v>
      </c>
      <c r="V52" s="18" t="n">
        <v>10367.56</v>
      </c>
      <c r="W52" s="18" t="n">
        <v>10745.23</v>
      </c>
      <c r="X52" s="18" t="n">
        <v>13603.2</v>
      </c>
      <c r="Y52" s="18" t="n">
        <v>12982.1</v>
      </c>
      <c r="Z52" s="37" t="n">
        <v>47698.09</v>
      </c>
      <c r="AA52" s="18" t="n">
        <v>14739.8</v>
      </c>
      <c r="AB52" s="19" t="n">
        <v>14281.75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총포괄손익</t>
        </is>
      </c>
      <c r="E53" s="18" t="n">
        <v>4382.2</v>
      </c>
      <c r="F53" s="9" t="n"/>
      <c r="G53" s="18" t="n">
        <v>6101.62</v>
      </c>
      <c r="H53" s="18" t="n">
        <v>11050.16</v>
      </c>
      <c r="I53" s="18" t="n">
        <v>13305.29</v>
      </c>
      <c r="J53" s="18" t="n">
        <v>6699.8</v>
      </c>
      <c r="K53" s="37" t="n">
        <v>37156.87</v>
      </c>
      <c r="L53" s="18" t="n">
        <v>6319.82</v>
      </c>
      <c r="M53" s="18" t="n">
        <v>13034.85</v>
      </c>
      <c r="N53" s="18" t="n">
        <v>13252.09</v>
      </c>
      <c r="O53" s="18" t="n">
        <v>5461.89</v>
      </c>
      <c r="P53" s="37" t="n">
        <v>38068.65</v>
      </c>
      <c r="Q53" s="18" t="n">
        <v>14407.97</v>
      </c>
      <c r="R53" s="18" t="n">
        <v>12443.2</v>
      </c>
      <c r="S53" s="18" t="n">
        <v>6523.61</v>
      </c>
      <c r="T53" s="18" t="n">
        <v>10858.37</v>
      </c>
      <c r="U53" s="37" t="n">
        <v>44233.15</v>
      </c>
      <c r="V53" s="18" t="n">
        <v>8518.950000000001</v>
      </c>
      <c r="W53" s="18" t="n">
        <v>11015.24</v>
      </c>
      <c r="X53" s="18" t="n">
        <v>14391.01</v>
      </c>
      <c r="Y53" s="18" t="n">
        <v>14833.06</v>
      </c>
      <c r="Z53" s="37" t="n">
        <v>48758.26</v>
      </c>
      <c r="AA53" s="18" t="n">
        <v>17365.51</v>
      </c>
      <c r="AB53" s="19" t="n">
        <v>12173.5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영업활동으로인한현금흐름</t>
        </is>
      </c>
      <c r="E54" s="18" t="n">
        <v>4285.91</v>
      </c>
      <c r="F54" s="9" t="n"/>
      <c r="G54" s="18" t="n">
        <v>1814.43</v>
      </c>
      <c r="H54" s="18" t="n">
        <v>4169.12</v>
      </c>
      <c r="I54" s="18" t="n">
        <v>2201.45</v>
      </c>
      <c r="J54" s="18" t="n">
        <v>11292.98</v>
      </c>
      <c r="K54" s="37" t="n">
        <v>19477.98</v>
      </c>
      <c r="L54" s="18" t="n">
        <v>2351.11</v>
      </c>
      <c r="M54" s="18" t="n">
        <v>7011.49</v>
      </c>
      <c r="N54" s="18" t="n">
        <v>5806.34</v>
      </c>
      <c r="O54" s="18" t="n">
        <v>10984.7</v>
      </c>
      <c r="P54" s="37" t="n">
        <v>26153.64</v>
      </c>
      <c r="Q54" s="18" t="n">
        <v>15603.59</v>
      </c>
      <c r="R54" s="18" t="n">
        <v>8482.559999999999</v>
      </c>
      <c r="S54" s="18" t="n">
        <v>11148.07</v>
      </c>
      <c r="T54" s="18" t="n">
        <v>12044.81</v>
      </c>
      <c r="U54" s="37" t="n">
        <v>47279.03</v>
      </c>
      <c r="V54" s="18" t="n">
        <v>7662.97</v>
      </c>
      <c r="W54" s="18" t="n">
        <v>9107.91</v>
      </c>
      <c r="X54" s="18" t="n">
        <v>15144.9</v>
      </c>
      <c r="Y54" s="18" t="n">
        <v>11907.68</v>
      </c>
      <c r="Z54" s="37" t="n">
        <v>43823.46</v>
      </c>
      <c r="AA54" s="18" t="n">
        <v>10882.23</v>
      </c>
      <c r="AB54" s="19" t="n">
        <v>14178.24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이자수취(CF)</t>
        </is>
      </c>
      <c r="E55" s="18" t="n">
        <v>307.23</v>
      </c>
      <c r="F55" s="9" t="n"/>
      <c r="G55" s="18" t="n">
        <v>396.74</v>
      </c>
      <c r="H55" s="18" t="n">
        <v>522.4</v>
      </c>
      <c r="I55" s="18" t="n">
        <v>629.3</v>
      </c>
      <c r="J55" s="18" t="n">
        <v>1941.08</v>
      </c>
      <c r="K55" s="37" t="n">
        <v>3489.52</v>
      </c>
      <c r="L55" s="18" t="n">
        <v>1707.06</v>
      </c>
      <c r="M55" s="18" t="n">
        <v>1353.84</v>
      </c>
      <c r="N55" s="18" t="n">
        <v>1450.09</v>
      </c>
      <c r="O55" s="18" t="n">
        <v>1753.8</v>
      </c>
      <c r="P55" s="37" t="n">
        <v>6264.79</v>
      </c>
      <c r="Q55" s="18" t="n">
        <v>1890.58</v>
      </c>
      <c r="R55" s="18" t="n">
        <v>1586.69</v>
      </c>
      <c r="S55" s="18" t="n">
        <v>1575.23</v>
      </c>
      <c r="T55" s="18" t="n">
        <v>1535.39</v>
      </c>
      <c r="U55" s="37" t="n">
        <v>6587.89</v>
      </c>
      <c r="V55" s="18" t="n">
        <v>1654.19</v>
      </c>
      <c r="W55" s="18" t="n">
        <v>1222.58</v>
      </c>
      <c r="X55" s="18" t="n">
        <v>1077.69</v>
      </c>
      <c r="Y55" s="18" t="n">
        <v>1180.99</v>
      </c>
      <c r="Z55" s="37" t="n">
        <v>5135.45</v>
      </c>
      <c r="AA55" s="18" t="n">
        <v>1435.64</v>
      </c>
      <c r="AB55" s="19" t="n">
        <v>1348.81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법인세납부(CF)</t>
        </is>
      </c>
      <c r="E56" s="18" t="n">
        <v>-47.31</v>
      </c>
      <c r="F56" s="9" t="n"/>
      <c r="G56" s="18" t="n">
        <v>-2287.44</v>
      </c>
      <c r="H56" s="18" t="n">
        <v>-2918.57</v>
      </c>
      <c r="I56" s="18" t="n">
        <v>-2746.16</v>
      </c>
      <c r="J56" s="18" t="n">
        <v>-298.93</v>
      </c>
      <c r="K56" s="37" t="n">
        <v>-8251.1</v>
      </c>
      <c r="L56" s="18" t="n">
        <v>-3762.54</v>
      </c>
      <c r="M56" s="18" t="n">
        <v>-4666.72</v>
      </c>
      <c r="N56" s="18" t="n">
        <v>-2389.47</v>
      </c>
      <c r="O56" s="18" t="n">
        <v>-2435.27</v>
      </c>
      <c r="P56" s="37" t="n">
        <v>-13254</v>
      </c>
      <c r="Q56" s="18" t="n">
        <v>-290.19</v>
      </c>
      <c r="R56" s="18" t="n">
        <v>-7243.82</v>
      </c>
      <c r="S56" s="18" t="n">
        <v>-5335.44</v>
      </c>
      <c r="T56" s="18" t="n">
        <v>482.43</v>
      </c>
      <c r="U56" s="37" t="n">
        <v>-12387.02</v>
      </c>
      <c r="V56" s="18" t="n">
        <v>-2872.94</v>
      </c>
      <c r="W56" s="18" t="n">
        <v>-4335.94</v>
      </c>
      <c r="X56" s="18" t="n">
        <v>-2773.59</v>
      </c>
      <c r="Y56" s="18" t="n">
        <v>-2771.7</v>
      </c>
      <c r="Z56" s="37" t="n">
        <v>-12754.17</v>
      </c>
      <c r="AA56" s="18" t="n">
        <v>-3687.63</v>
      </c>
      <c r="AB56" s="19" t="n">
        <v>-4918.65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투자활동으로인한현금흐름</t>
        </is>
      </c>
      <c r="E57" s="18" t="n">
        <v>37293.72</v>
      </c>
      <c r="F57" s="9" t="n"/>
      <c r="G57" s="18" t="n">
        <v>-23099.42</v>
      </c>
      <c r="H57" s="18" t="n">
        <v>-22845.89</v>
      </c>
      <c r="I57" s="18" t="n">
        <v>38456.78</v>
      </c>
      <c r="J57" s="18" t="n">
        <v>-15964.55</v>
      </c>
      <c r="K57" s="37" t="n">
        <v>-23453.08</v>
      </c>
      <c r="L57" s="18" t="n">
        <v>93740.50999999999</v>
      </c>
      <c r="M57" s="18" t="n">
        <v>-21265.1</v>
      </c>
      <c r="N57" s="18" t="n">
        <v>493.48</v>
      </c>
      <c r="O57" s="18" t="n">
        <v>29167.12</v>
      </c>
      <c r="P57" s="37" t="n">
        <v>102136.01</v>
      </c>
      <c r="Q57" s="18" t="n">
        <v>2334.53</v>
      </c>
      <c r="R57" s="18" t="n">
        <v>-4286.71</v>
      </c>
      <c r="S57" s="18" t="n">
        <v>6185.56</v>
      </c>
      <c r="T57" s="18" t="n">
        <v>-4816.2</v>
      </c>
      <c r="U57" s="37" t="n">
        <v>-582.8200000000001</v>
      </c>
      <c r="V57" s="18" t="n">
        <v>-9680.549999999999</v>
      </c>
      <c r="W57" s="18" t="n">
        <v>1981.52</v>
      </c>
      <c r="X57" s="18" t="n">
        <v>-7800.72</v>
      </c>
      <c r="Y57" s="18" t="n">
        <v>-5147.44</v>
      </c>
      <c r="Z57" s="37" t="n">
        <v>-20647.19</v>
      </c>
      <c r="AA57" s="18" t="n">
        <v>-31641.12</v>
      </c>
      <c r="AB57" s="19" t="n">
        <v>12950.97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유형자산의증가</t>
        </is>
      </c>
      <c r="E58" s="18" t="n">
        <v>1401.8</v>
      </c>
      <c r="F58" s="9" t="n"/>
      <c r="G58" s="18" t="n">
        <v>756.83</v>
      </c>
      <c r="H58" s="18" t="n">
        <v>1219.07</v>
      </c>
      <c r="I58" s="18" t="n">
        <v>1734.53</v>
      </c>
      <c r="J58" s="18" t="n">
        <v>749.63</v>
      </c>
      <c r="K58" s="37" t="n">
        <v>4460.06</v>
      </c>
      <c r="L58" s="18" t="n">
        <v>1427.04</v>
      </c>
      <c r="M58" s="18" t="n">
        <v>954.62</v>
      </c>
      <c r="N58" s="18" t="n">
        <v>2208.62</v>
      </c>
      <c r="O58" s="18" t="n">
        <v>1899.8</v>
      </c>
      <c r="P58" s="37" t="n">
        <v>6490.08</v>
      </c>
      <c r="Q58" s="18" t="n">
        <v>418.66</v>
      </c>
      <c r="R58" s="18" t="n">
        <v>528.6799999999999</v>
      </c>
      <c r="S58" s="18" t="n">
        <v>1443.23</v>
      </c>
      <c r="T58" s="18" t="n">
        <v>1162.55</v>
      </c>
      <c r="U58" s="37" t="n">
        <v>3553.12</v>
      </c>
      <c r="V58" s="18" t="n">
        <v>2822.8</v>
      </c>
      <c r="W58" s="18" t="n">
        <v>2211.61</v>
      </c>
      <c r="X58" s="18" t="n">
        <v>933.78</v>
      </c>
      <c r="Y58" s="18" t="n">
        <v>3896.77</v>
      </c>
      <c r="Z58" s="37" t="n">
        <v>9864.959999999999</v>
      </c>
      <c r="AA58" s="18" t="n">
        <v>1087.23</v>
      </c>
      <c r="AB58" s="19" t="n">
        <v>1026.76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CAPEX</t>
        </is>
      </c>
      <c r="E59" s="18" t="n">
        <v>1401.8</v>
      </c>
      <c r="F59" s="9" t="n"/>
      <c r="G59" s="18" t="n">
        <v>756.83</v>
      </c>
      <c r="H59" s="18" t="n">
        <v>1219.07</v>
      </c>
      <c r="I59" s="18" t="n">
        <v>1734.53</v>
      </c>
      <c r="J59" s="18" t="n">
        <v>749.63</v>
      </c>
      <c r="K59" s="37" t="n">
        <v>4460.06</v>
      </c>
      <c r="L59" s="18" t="n">
        <v>1427.04</v>
      </c>
      <c r="M59" s="18" t="n">
        <v>954.62</v>
      </c>
      <c r="N59" s="18" t="n">
        <v>2208.62</v>
      </c>
      <c r="O59" s="18" t="n">
        <v>1899.8</v>
      </c>
      <c r="P59" s="37" t="n">
        <v>6490.08</v>
      </c>
      <c r="Q59" s="18" t="n">
        <v>418.66</v>
      </c>
      <c r="R59" s="18" t="n">
        <v>528.6799999999999</v>
      </c>
      <c r="S59" s="18" t="n">
        <v>1443.23</v>
      </c>
      <c r="T59" s="18" t="n">
        <v>1162.55</v>
      </c>
      <c r="U59" s="37" t="n">
        <v>3553.12</v>
      </c>
      <c r="V59" s="18" t="n">
        <v>2822.8</v>
      </c>
      <c r="W59" s="18" t="n">
        <v>2211.61</v>
      </c>
      <c r="X59" s="18" t="n">
        <v>1019.45</v>
      </c>
      <c r="Y59" s="18" t="n">
        <v>3899.66</v>
      </c>
      <c r="Z59" s="37" t="n">
        <v>9953.52</v>
      </c>
      <c r="AA59" s="18" t="n">
        <v>1087.23</v>
      </c>
      <c r="AB59" s="19" t="n">
        <v>1026.76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무형자산의증가</t>
        </is>
      </c>
      <c r="E60" s="18" t="n">
        <v>0</v>
      </c>
      <c r="F60" s="9" t="n"/>
      <c r="K60" s="9" t="n"/>
      <c r="P60" s="9" t="n"/>
      <c r="U60" s="9" t="n"/>
      <c r="Y60" s="18" t="n">
        <v>2.89</v>
      </c>
      <c r="Z60" s="9" t="n"/>
      <c r="AB60" s="5" t="n"/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재무활동으로인한현금흐름</t>
        </is>
      </c>
      <c r="E61" s="18" t="n">
        <v>0</v>
      </c>
      <c r="F61" s="9" t="n"/>
      <c r="I61" s="18" t="n">
        <v>0</v>
      </c>
      <c r="J61" s="18" t="n">
        <v>0</v>
      </c>
      <c r="K61" s="9" t="n"/>
      <c r="N61" s="18" t="n">
        <v>0</v>
      </c>
      <c r="O61" s="18" t="n">
        <v>-7927.92</v>
      </c>
      <c r="P61" s="9" t="n"/>
      <c r="Q61" s="18" t="n">
        <v>-8116.03</v>
      </c>
      <c r="R61" s="18" t="n">
        <v>-17122.27</v>
      </c>
      <c r="S61" s="18" t="n">
        <v>0</v>
      </c>
      <c r="T61" s="18" t="n">
        <v>0</v>
      </c>
      <c r="U61" s="37" t="n">
        <v>-25238.3</v>
      </c>
      <c r="V61" s="18" t="n">
        <v>-4850.57</v>
      </c>
      <c r="W61" s="18" t="n">
        <v>-21745.21</v>
      </c>
      <c r="X61" s="18" t="n">
        <v>-2482.21</v>
      </c>
      <c r="Y61" s="18" t="n">
        <v>-35.8</v>
      </c>
      <c r="Z61" s="37" t="n">
        <v>-29113.79</v>
      </c>
      <c r="AA61" s="18" t="n">
        <v>12.6</v>
      </c>
      <c r="AB61" s="19" t="n">
        <v>-15840.01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배당금지급</t>
        </is>
      </c>
      <c r="E62" s="18" t="n">
        <v>0</v>
      </c>
      <c r="F62" s="9" t="n"/>
      <c r="I62" s="18" t="n">
        <v>0</v>
      </c>
      <c r="J62" s="18" t="n">
        <v>0</v>
      </c>
      <c r="K62" s="9" t="n"/>
      <c r="N62" s="18" t="n">
        <v>0</v>
      </c>
      <c r="O62" s="18" t="n">
        <v>0</v>
      </c>
      <c r="P62" s="9" t="n"/>
      <c r="Q62" s="18" t="n">
        <v>8116.03</v>
      </c>
      <c r="R62" s="18" t="n">
        <v>5101.6</v>
      </c>
      <c r="S62" s="18" t="n">
        <v>0</v>
      </c>
      <c r="T62" s="18" t="n">
        <v>0</v>
      </c>
      <c r="U62" s="37" t="n">
        <v>13217.63</v>
      </c>
      <c r="X62" s="18" t="n">
        <v>0</v>
      </c>
      <c r="Y62" s="18" t="n">
        <v>0</v>
      </c>
      <c r="Z62" s="9" t="n"/>
      <c r="AB62" s="5" t="n"/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현금및현금성자산의증감</t>
        </is>
      </c>
      <c r="E63" s="18" t="n">
        <v>41497.93</v>
      </c>
      <c r="F63" s="9" t="n"/>
      <c r="G63" s="18" t="n">
        <v>-20938.67</v>
      </c>
      <c r="H63" s="18" t="n">
        <v>-24859.84</v>
      </c>
      <c r="I63" s="18" t="n">
        <v>41210.86</v>
      </c>
      <c r="J63" s="18" t="n">
        <v>-5844.97</v>
      </c>
      <c r="K63" s="37" t="n">
        <v>-10432.62</v>
      </c>
      <c r="L63" s="18" t="n">
        <v>96550.39999999999</v>
      </c>
      <c r="M63" s="18" t="n">
        <v>-21844.91</v>
      </c>
      <c r="N63" s="18" t="n">
        <v>6545.66</v>
      </c>
      <c r="O63" s="18" t="n">
        <v>31947.75</v>
      </c>
      <c r="P63" s="37" t="n">
        <v>113198.9</v>
      </c>
      <c r="Q63" s="18" t="n">
        <v>10427.2</v>
      </c>
      <c r="R63" s="18" t="n">
        <v>-12733.15</v>
      </c>
      <c r="S63" s="18" t="n">
        <v>16735.87</v>
      </c>
      <c r="T63" s="18" t="n">
        <v>8265.65</v>
      </c>
      <c r="U63" s="37" t="n">
        <v>22695.57</v>
      </c>
      <c r="V63" s="18" t="n">
        <v>-6617.73</v>
      </c>
      <c r="W63" s="18" t="n">
        <v>-11464.91</v>
      </c>
      <c r="X63" s="18" t="n">
        <v>5660.69</v>
      </c>
      <c r="Y63" s="18" t="n">
        <v>7283.74</v>
      </c>
      <c r="Z63" s="37" t="n">
        <v>-5138.21</v>
      </c>
      <c r="AA63" s="18" t="n">
        <v>-19661.42</v>
      </c>
      <c r="AB63" s="19" t="n">
        <v>11690.39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기말현금및현금성자산</t>
        </is>
      </c>
      <c r="E64" s="18" t="n">
        <v>41497.93</v>
      </c>
      <c r="F64" s="9" t="n"/>
      <c r="G64" s="18" t="n">
        <v>39981.9</v>
      </c>
      <c r="H64" s="18" t="n">
        <v>-24859.84</v>
      </c>
      <c r="I64" s="18" t="n">
        <v>41210.85</v>
      </c>
      <c r="J64" s="18" t="n">
        <v>-5844.96</v>
      </c>
      <c r="K64" s="37" t="n">
        <v>50487.95</v>
      </c>
      <c r="L64" s="18" t="n">
        <v>147038.35</v>
      </c>
      <c r="M64" s="18" t="n">
        <v>-21844.91</v>
      </c>
      <c r="N64" s="18" t="n">
        <v>6545.66</v>
      </c>
      <c r="O64" s="18" t="n">
        <v>31947.75</v>
      </c>
      <c r="P64" s="37" t="n">
        <v>163686.85</v>
      </c>
      <c r="Q64" s="18" t="n">
        <v>174114.05</v>
      </c>
      <c r="R64" s="18" t="n">
        <v>-12733.15</v>
      </c>
      <c r="S64" s="18" t="n">
        <v>16735.87</v>
      </c>
      <c r="T64" s="18" t="n">
        <v>8265.65</v>
      </c>
      <c r="U64" s="37" t="n">
        <v>186382.42</v>
      </c>
      <c r="V64" s="18" t="n">
        <v>179764.7</v>
      </c>
      <c r="W64" s="18" t="n">
        <v>-11464.91</v>
      </c>
      <c r="X64" s="18" t="n">
        <v>5660.68</v>
      </c>
      <c r="Y64" s="18" t="n">
        <v>7283.74</v>
      </c>
      <c r="Z64" s="37" t="n">
        <v>181244.21</v>
      </c>
      <c r="AA64" s="18" t="n">
        <v>161582.79</v>
      </c>
      <c r="AB64" s="19" t="n">
        <v>11690.39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유형자산의감소</t>
        </is>
      </c>
      <c r="F65" s="9" t="n"/>
      <c r="G65" s="18" t="n">
        <v>10.09</v>
      </c>
      <c r="H65" s="18" t="n">
        <v>51.28</v>
      </c>
      <c r="I65" s="18" t="n">
        <v>2.16</v>
      </c>
      <c r="K65" s="9" t="n"/>
      <c r="L65" s="18" t="n">
        <v>83.09</v>
      </c>
      <c r="M65" s="18" t="n">
        <v>15.73</v>
      </c>
      <c r="N65" s="18" t="n">
        <v>17</v>
      </c>
      <c r="O65" s="18" t="n">
        <v>17.03</v>
      </c>
      <c r="P65" s="37" t="n">
        <v>132.85</v>
      </c>
      <c r="Q65" s="18" t="n">
        <v>1.82</v>
      </c>
      <c r="R65" s="18" t="n">
        <v>12.12</v>
      </c>
      <c r="S65" s="18" t="n">
        <v>16.18</v>
      </c>
      <c r="T65" s="18" t="n">
        <v>9.52</v>
      </c>
      <c r="U65" s="37" t="n">
        <v>39.64</v>
      </c>
      <c r="X65" s="18" t="n">
        <v>0</v>
      </c>
      <c r="Y65" s="18" t="n">
        <v>6.5</v>
      </c>
      <c r="Z65" s="9" t="n"/>
      <c r="AA65" s="18" t="n">
        <v>37.5</v>
      </c>
      <c r="AB65" s="19" t="n">
        <v>37.94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자기주식의취득</t>
        </is>
      </c>
      <c r="F66" s="9" t="n"/>
      <c r="K66" s="9" t="n"/>
      <c r="P66" s="9" t="n"/>
      <c r="S66" s="18" t="n">
        <v>0</v>
      </c>
      <c r="T66" s="18" t="n">
        <v>0</v>
      </c>
      <c r="U66" s="9" t="n"/>
      <c r="V66" s="18" t="n">
        <v>4850.57</v>
      </c>
      <c r="W66" s="18" t="n">
        <v>7580.07</v>
      </c>
      <c r="X66" s="18" t="n">
        <v>2551.3</v>
      </c>
      <c r="Y66" s="18" t="n">
        <v>0</v>
      </c>
      <c r="Z66" s="37" t="n">
        <v>14981.94</v>
      </c>
      <c r="AB66" s="5" t="n"/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배당금수취(CF)</t>
        </is>
      </c>
      <c r="F67" s="9" t="n"/>
      <c r="K67" s="9" t="n"/>
      <c r="P67" s="9" t="n"/>
      <c r="U67" s="9" t="n"/>
      <c r="Y67" s="18" t="n">
        <v>660.4</v>
      </c>
      <c r="Z67" s="9" t="n"/>
      <c r="AB67" s="5" t="n"/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3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  <c r="AK10" s="32">
        <f>IFERROR(AK9/AK5,"")</f>
        <v/>
      </c>
      <c r="AL10" s="32">
        <f>IFERROR(AL9/AL5,"")</f>
        <v/>
      </c>
      <c r="AM10" s="32">
        <f>IFERROR(AM9/AM5,"")</f>
        <v/>
      </c>
      <c r="AN10" s="32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IFERROR(AC12,"")</f>
        <v/>
      </c>
      <c r="AD11" s="20">
        <f>IFERROR(AD12,"")</f>
        <v/>
      </c>
      <c r="AE11" s="38">
        <f>SUM(AA11:AD11)</f>
        <v/>
      </c>
      <c r="AF11" s="20">
        <f>IFERROR(AF12,"")</f>
        <v/>
      </c>
      <c r="AG11" s="20">
        <f>IFERROR(AG12,"")</f>
        <v/>
      </c>
      <c r="AH11" s="20">
        <f>IFERROR(AH12,"")</f>
        <v/>
      </c>
      <c r="AI11" s="20">
        <f>IFERROR(AI12,"")</f>
        <v/>
      </c>
      <c r="AJ11" s="38">
        <f>SUM(AF11:AI11)</f>
        <v/>
      </c>
      <c r="AK11" s="20">
        <f>IFERROR(AK12,"")</f>
        <v/>
      </c>
      <c r="AL11" s="20">
        <f>IFERROR(AL12,"")</f>
        <v/>
      </c>
      <c r="AM11" s="20">
        <f>IFERROR(AM12,"")</f>
        <v/>
      </c>
      <c r="AN11" s="20">
        <f>IFERROR(AN12,"")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 t="n"/>
      <c r="H12" s="18" t="n"/>
      <c r="I12" s="18" t="n"/>
      <c r="J12" s="18" t="n"/>
      <c r="K12" s="37">
        <f>SUM(G12:J12)</f>
        <v/>
      </c>
      <c r="L12" s="18" t="n"/>
      <c r="M12" s="18" t="n"/>
      <c r="N12" s="18" t="n"/>
      <c r="O12" s="18" t="n"/>
      <c r="P12" s="37">
        <f>SUM(L12:O12)</f>
        <v/>
      </c>
      <c r="Q12" s="18" t="n"/>
      <c r="R12" s="18" t="n"/>
      <c r="S12" s="18" t="n"/>
      <c r="T12" s="18" t="n"/>
      <c r="U12" s="37">
        <f>SUM(Q12:T12)</f>
        <v/>
      </c>
      <c r="V12" s="18" t="n"/>
      <c r="W12" s="18" t="n"/>
      <c r="X12" s="18" t="n"/>
      <c r="Y12" s="18" t="n"/>
      <c r="Z12" s="37">
        <f>SUM(V12:Y12)</f>
        <v/>
      </c>
      <c r="AA12" s="18" t="n"/>
      <c r="AB12" s="19" t="n"/>
      <c r="AC12" s="20">
        <f>IFERROR((AB22*변수!$D$48)/4,"")</f>
        <v/>
      </c>
      <c r="AD12" s="20">
        <f>IFERROR((AC22*변수!$D$48)/4,"")</f>
        <v/>
      </c>
      <c r="AE12" s="38">
        <f>SUM(AA12:AD12)</f>
        <v/>
      </c>
      <c r="AF12" s="20">
        <f>IFERROR((AD22*변수!$D$48)/4,"")</f>
        <v/>
      </c>
      <c r="AG12" s="20">
        <f>IFERROR((AF22*변수!$D$48)/4,"")</f>
        <v/>
      </c>
      <c r="AH12" s="20">
        <f>IFERROR((AG22*변수!$D$48)/4,"")</f>
        <v/>
      </c>
      <c r="AI12" s="20">
        <f>IFERROR((AH22*변수!$D$48)/4,"")</f>
        <v/>
      </c>
      <c r="AJ12" s="38">
        <f>SUM(AF12:AI12)</f>
        <v/>
      </c>
      <c r="AK12" s="20">
        <f>IFERROR((AI22*변수!$D$48)/4,"")</f>
        <v/>
      </c>
      <c r="AL12" s="20">
        <f>IFERROR((AK22*변수!$D$48)/4,"")</f>
        <v/>
      </c>
      <c r="AM12" s="20">
        <f>IFERROR((AL22*변수!$D$48)/4,"")</f>
        <v/>
      </c>
      <c r="AN12" s="20">
        <f>IFERROR((AM22*변수!$D$48)/4,"")</f>
        <v/>
      </c>
      <c r="AO12" s="38">
        <f>SUM(AK12:AN12)</f>
        <v/>
      </c>
    </row>
    <row r="13">
      <c r="A13" s="12" t="inlineStr">
        <is>
          <t>기타영업외손익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기타영업외손익</t>
        </is>
      </c>
      <c r="E13" s="18">
        <f>IFERROR(VLOOKUP($D13,BS연결,MATCH(E$1,BS연결H,0),0)/100,"")</f>
        <v/>
      </c>
      <c r="F13" s="37" t="n"/>
      <c r="G13" s="18">
        <f>IFERROR(VLOOKUP($D13,BS연결,MATCH(G$1,BS연결H,0),0)/100,"")</f>
        <v/>
      </c>
      <c r="H13" s="18">
        <f>IFERROR(VLOOKUP($D13,BS연결,MATCH(H$1,BS연결H,0),0)/100,"")</f>
        <v/>
      </c>
      <c r="I13" s="18">
        <f>IFERROR(VLOOKUP($D13,BS연결,MATCH(I$1,BS연결H,0),0)/100,"")</f>
        <v/>
      </c>
      <c r="J13" s="18">
        <f>IFERROR(VLOOKUP($D13,BS연결,MATCH(J$1,BS연결H,0),0)/100,"")</f>
        <v/>
      </c>
      <c r="K13" s="37">
        <f>IFERROR(VLOOKUP($D13,BS연결,MATCH(K$1,BS연결H,0),0)/100,"")</f>
        <v/>
      </c>
      <c r="L13" s="18">
        <f>IFERROR(VLOOKUP($D13,BS연결,MATCH(L$1,BS연결H,0),0)/100,"")</f>
        <v/>
      </c>
      <c r="M13" s="18">
        <f>IFERROR(VLOOKUP($D13,BS연결,MATCH(M$1,BS연결H,0),0)/100,"")</f>
        <v/>
      </c>
      <c r="N13" s="18">
        <f>IFERROR(VLOOKUP($D13,BS연결,MATCH(N$1,BS연결H,0),0)/100,"")</f>
        <v/>
      </c>
      <c r="O13" s="18">
        <f>IFERROR(VLOOKUP($D13,BS연결,MATCH(O$1,BS연결H,0),0)/100,"")</f>
        <v/>
      </c>
      <c r="P13" s="37">
        <f>IFERROR(VLOOKUP($D13,BS연결,MATCH(P$1,BS연결H,0),0)/100,"")</f>
        <v/>
      </c>
      <c r="Q13" s="18">
        <f>IFERROR(VLOOKUP($D13,BS연결,MATCH(Q$1,BS연결H,0),0)/100,"")</f>
        <v/>
      </c>
      <c r="R13" s="18">
        <f>IFERROR(VLOOKUP($D13,BS연결,MATCH(R$1,BS연결H,0),0)/100,"")</f>
        <v/>
      </c>
      <c r="S13" s="18">
        <f>IFERROR(VLOOKUP($D13,BS연결,MATCH(S$1,BS연결H,0),0)/100,"")</f>
        <v/>
      </c>
      <c r="T13" s="18">
        <f>IFERROR(VLOOKUP($D13,BS연결,MATCH(T$1,BS연결H,0),0)/100,"")</f>
        <v/>
      </c>
      <c r="U13" s="37">
        <f>IFERROR(VLOOKUP($D13,BS연결,MATCH(U$1,BS연결H,0),0)/100,"")</f>
        <v/>
      </c>
      <c r="V13" s="18">
        <f>IFERROR(VLOOKUP($D13,BS연결,MATCH(V$1,BS연결H,0),0)/100,"")</f>
        <v/>
      </c>
      <c r="W13" s="18">
        <f>IFERROR(VLOOKUP($D13,BS연결,MATCH(W$1,BS연결H,0),0)/100,"")</f>
        <v/>
      </c>
      <c r="X13" s="18">
        <f>IFERROR(VLOOKUP($D13,BS연결,MATCH(X$1,BS연결H,0),0)/100,"")</f>
        <v/>
      </c>
      <c r="Y13" s="18">
        <f>IFERROR(VLOOKUP($D13,BS연결,MATCH(Y$1,BS연결H,0),0)/100,"")</f>
        <v/>
      </c>
      <c r="Z13" s="37">
        <f>IFERROR(VLOOKUP($D13,BS연결,MATCH(Z$1,BS연결H,0),0)/100,"")</f>
        <v/>
      </c>
      <c r="AA13" s="18">
        <f>IFERROR(VLOOKUP($D13,BS연결,MATCH(AA$1,BS연결H,0),0)/100,"")</f>
        <v/>
      </c>
      <c r="AB13" s="19">
        <f>IFERROR(VLOOKUP($D13,BS연결,MATCH(AB$1,BS연결H,0),0)/100,"")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세전이익</t>
        </is>
      </c>
      <c r="B14" t="inlineStr">
        <is>
          <t>손익</t>
        </is>
      </c>
      <c r="C14" t="inlineStr">
        <is>
          <t>억원</t>
        </is>
      </c>
      <c r="D14" t="inlineStr">
        <is>
          <t>법인세비용차감전계속사업이익</t>
        </is>
      </c>
      <c r="E14" s="18">
        <f>IFERROR(VLOOKUP($D14,BS연결,MATCH(E$1,BS연결H,0),0)/100,"")</f>
        <v/>
      </c>
      <c r="F14" s="37" t="n"/>
      <c r="G14" s="18">
        <f>IFERROR(VLOOKUP($D14,BS연결,MATCH(G$1,BS연결H,0),0)/100,"")</f>
        <v/>
      </c>
      <c r="H14" s="18">
        <f>IFERROR(VLOOKUP($D14,BS연결,MATCH(H$1,BS연결H,0),0)/100,"")</f>
        <v/>
      </c>
      <c r="I14" s="18">
        <f>IFERROR(VLOOKUP($D14,BS연결,MATCH(I$1,BS연결H,0),0)/100,"")</f>
        <v/>
      </c>
      <c r="J14" s="18">
        <f>IFERROR(VLOOKUP($D14,BS연결,MATCH(J$1,BS연결H,0),0)/100,"")</f>
        <v/>
      </c>
      <c r="K14" s="37">
        <f>IFERROR(VLOOKUP($D14,BS연결,MATCH(K$1,BS연결H,0),0)/100,"")</f>
        <v/>
      </c>
      <c r="L14" s="18">
        <f>IFERROR(VLOOKUP($D14,BS연결,MATCH(L$1,BS연결H,0),0)/100,"")</f>
        <v/>
      </c>
      <c r="M14" s="18">
        <f>IFERROR(VLOOKUP($D14,BS연결,MATCH(M$1,BS연결H,0),0)/100,"")</f>
        <v/>
      </c>
      <c r="N14" s="18">
        <f>IFERROR(VLOOKUP($D14,BS연결,MATCH(N$1,BS연결H,0),0)/100,"")</f>
        <v/>
      </c>
      <c r="O14" s="18">
        <f>IFERROR(VLOOKUP($D14,BS연결,MATCH(O$1,BS연결H,0),0)/100,"")</f>
        <v/>
      </c>
      <c r="P14" s="37">
        <f>IFERROR(VLOOKUP($D14,BS연결,MATCH(P$1,BS연결H,0),0)/100,"")</f>
        <v/>
      </c>
      <c r="Q14" s="18">
        <f>IFERROR(VLOOKUP($D14,BS연결,MATCH(Q$1,BS연결H,0),0)/100,"")</f>
        <v/>
      </c>
      <c r="R14" s="18">
        <f>IFERROR(VLOOKUP($D14,BS연결,MATCH(R$1,BS연결H,0),0)/100,"")</f>
        <v/>
      </c>
      <c r="S14" s="18">
        <f>IFERROR(VLOOKUP($D14,BS연결,MATCH(S$1,BS연결H,0),0)/100,"")</f>
        <v/>
      </c>
      <c r="T14" s="18">
        <f>IFERROR(VLOOKUP($D14,BS연결,MATCH(T$1,BS연결H,0),0)/100,"")</f>
        <v/>
      </c>
      <c r="U14" s="37">
        <f>IFERROR(VLOOKUP($D14,BS연결,MATCH(U$1,BS연결H,0),0)/100,"")</f>
        <v/>
      </c>
      <c r="V14" s="18">
        <f>IFERROR(VLOOKUP($D14,BS연결,MATCH(V$1,BS연결H,0),0)/100,"")</f>
        <v/>
      </c>
      <c r="W14" s="18">
        <f>IFERROR(VLOOKUP($D14,BS연결,MATCH(W$1,BS연결H,0),0)/100,"")</f>
        <v/>
      </c>
      <c r="X14" s="18">
        <f>IFERROR(VLOOKUP($D14,BS연결,MATCH(X$1,BS연결H,0),0)/100,"")</f>
        <v/>
      </c>
      <c r="Y14" s="18">
        <f>IFERROR(VLOOKUP($D14,BS연결,MATCH(Y$1,BS연결H,0),0)/100,"")</f>
        <v/>
      </c>
      <c r="Z14" s="37">
        <f>IFERROR(VLOOKUP($D14,BS연결,MATCH(Z$1,BS연결H,0),0)/100,"")</f>
        <v/>
      </c>
      <c r="AA14" s="18">
        <f>IFERROR(VLOOKUP($D14,BS연결,MATCH(AA$1,BS연결H,0),0)/100,"")</f>
        <v/>
      </c>
      <c r="AB14" s="19">
        <f>IFERROR(VLOOKUP($D14,BS연결,MATCH(AB$1,BS연결H,0),0)/100,"")</f>
        <v/>
      </c>
      <c r="AC14" s="20">
        <f>IFERROR(AC9+AC11+AC13,"")</f>
        <v/>
      </c>
      <c r="AD14" s="20">
        <f>IFERROR(AD9+AD11+AD13,"")</f>
        <v/>
      </c>
      <c r="AE14" s="38">
        <f>SUM(AA14:AD14)</f>
        <v/>
      </c>
      <c r="AF14" s="20">
        <f>IFERROR(AF9+AF11+AF13,"")</f>
        <v/>
      </c>
      <c r="AG14" s="20">
        <f>IFERROR(AG9+AG11+AG13,"")</f>
        <v/>
      </c>
      <c r="AH14" s="20">
        <f>IFERROR(AH9+AH11+AH13,"")</f>
        <v/>
      </c>
      <c r="AI14" s="20">
        <f>IFERROR(AI9+AI11+AI13,"")</f>
        <v/>
      </c>
      <c r="AJ14" s="38">
        <f>SUM(AF14:AI14)</f>
        <v/>
      </c>
      <c r="AK14" s="20">
        <f>IFERROR(AK9+AK11+AK13,"")</f>
        <v/>
      </c>
      <c r="AL14" s="20">
        <f>IFERROR(AL9+AL11+AL13,"")</f>
        <v/>
      </c>
      <c r="AM14" s="20">
        <f>IFERROR(AM9+AM11+AM13,"")</f>
        <v/>
      </c>
      <c r="AN14" s="20">
        <f>IFERROR(AN9+AN11+AN13,"")</f>
        <v/>
      </c>
      <c r="AO14" s="38">
        <f>SUM(AK14:AN14)</f>
        <v/>
      </c>
    </row>
    <row r="15">
      <c r="A15" s="12" t="inlineStr">
        <is>
          <t>법인세비용</t>
        </is>
      </c>
      <c r="B15" t="inlineStr">
        <is>
          <t>손익</t>
        </is>
      </c>
      <c r="C15" t="inlineStr">
        <is>
          <t>억원</t>
        </is>
      </c>
      <c r="D15" t="inlineStr">
        <is>
          <t>법인세비용</t>
        </is>
      </c>
      <c r="E15" s="18">
        <f>IFERROR(VLOOKUP($D15,BS연결,MATCH(E$1,BS연결H,0),0)/100,"")</f>
        <v/>
      </c>
      <c r="F15" s="37" t="n"/>
      <c r="G15" s="18">
        <f>IFERROR(VLOOKUP($D15,BS연결,MATCH(G$1,BS연결H,0),0)/100,"")</f>
        <v/>
      </c>
      <c r="H15" s="18">
        <f>IFERROR(VLOOKUP($D15,BS연결,MATCH(H$1,BS연결H,0),0)/100,"")</f>
        <v/>
      </c>
      <c r="I15" s="18">
        <f>IFERROR(VLOOKUP($D15,BS연결,MATCH(I$1,BS연결H,0),0)/100,"")</f>
        <v/>
      </c>
      <c r="J15" s="18">
        <f>IFERROR(VLOOKUP($D15,BS연결,MATCH(J$1,BS연결H,0),0)/100,"")</f>
        <v/>
      </c>
      <c r="K15" s="37">
        <f>IFERROR(VLOOKUP($D15,BS연결,MATCH(K$1,BS연결H,0),0)/100,"")</f>
        <v/>
      </c>
      <c r="L15" s="18">
        <f>IFERROR(VLOOKUP($D15,BS연결,MATCH(L$1,BS연결H,0),0)/100,"")</f>
        <v/>
      </c>
      <c r="M15" s="18">
        <f>IFERROR(VLOOKUP($D15,BS연결,MATCH(M$1,BS연결H,0),0)/100,"")</f>
        <v/>
      </c>
      <c r="N15" s="18">
        <f>IFERROR(VLOOKUP($D15,BS연결,MATCH(N$1,BS연결H,0),0)/100,"")</f>
        <v/>
      </c>
      <c r="O15" s="18">
        <f>IFERROR(VLOOKUP($D15,BS연결,MATCH(O$1,BS연결H,0),0)/100,"")</f>
        <v/>
      </c>
      <c r="P15" s="37">
        <f>IFERROR(VLOOKUP($D15,BS연결,MATCH(P$1,BS연결H,0),0)/100,"")</f>
        <v/>
      </c>
      <c r="Q15" s="18">
        <f>IFERROR(VLOOKUP($D15,BS연결,MATCH(Q$1,BS연결H,0),0)/100,"")</f>
        <v/>
      </c>
      <c r="R15" s="18">
        <f>IFERROR(VLOOKUP($D15,BS연결,MATCH(R$1,BS연결H,0),0)/100,"")</f>
        <v/>
      </c>
      <c r="S15" s="18">
        <f>IFERROR(VLOOKUP($D15,BS연결,MATCH(S$1,BS연결H,0),0)/100,"")</f>
        <v/>
      </c>
      <c r="T15" s="18">
        <f>IFERROR(VLOOKUP($D15,BS연결,MATCH(T$1,BS연결H,0),0)/100,"")</f>
        <v/>
      </c>
      <c r="U15" s="37">
        <f>IFERROR(VLOOKUP($D15,BS연결,MATCH(U$1,BS연결H,0),0)/100,"")</f>
        <v/>
      </c>
      <c r="V15" s="18">
        <f>IFERROR(VLOOKUP($D15,BS연결,MATCH(V$1,BS연결H,0),0)/100,"")</f>
        <v/>
      </c>
      <c r="W15" s="18">
        <f>IFERROR(VLOOKUP($D15,BS연결,MATCH(W$1,BS연결H,0),0)/100,"")</f>
        <v/>
      </c>
      <c r="X15" s="18">
        <f>IFERROR(VLOOKUP($D15,BS연결,MATCH(X$1,BS연결H,0),0)/100,"")</f>
        <v/>
      </c>
      <c r="Y15" s="18">
        <f>IFERROR(VLOOKUP($D15,BS연결,MATCH(Y$1,BS연결H,0),0)/100,"")</f>
        <v/>
      </c>
      <c r="Z15" s="37">
        <f>IFERROR(VLOOKUP($D15,BS연결,MATCH(Z$1,BS연결H,0),0)/100,"")</f>
        <v/>
      </c>
      <c r="AA15" s="18">
        <f>IFERROR(VLOOKUP($D15,BS연결,MATCH(AA$1,BS연결H,0),0)/100,"")</f>
        <v/>
      </c>
      <c r="AB15" s="19">
        <f>IFERROR(VLOOKUP($D15,BS연결,MATCH(AB$1,BS연결H,0),0)/100,"")</f>
        <v/>
      </c>
      <c r="AC15" s="20">
        <f>IFERROR(MAX(AC14,0)*변수!AC25,"")</f>
        <v/>
      </c>
      <c r="AD15" s="20">
        <f>IFERROR(MAX(AD14,0)*변수!AD25,"")</f>
        <v/>
      </c>
      <c r="AE15" s="38">
        <f>SUM(AA15:AD15)</f>
        <v/>
      </c>
      <c r="AF15" s="20">
        <f>IFERROR(MAX(AF14,0)*변수!AF25,"")</f>
        <v/>
      </c>
      <c r="AG15" s="20">
        <f>IFERROR(MAX(AG14,0)*변수!AG25,"")</f>
        <v/>
      </c>
      <c r="AH15" s="20">
        <f>IFERROR(MAX(AH14,0)*변수!AH25,"")</f>
        <v/>
      </c>
      <c r="AI15" s="20">
        <f>IFERROR(MAX(AI14,0)*변수!AI25,"")</f>
        <v/>
      </c>
      <c r="AJ15" s="38">
        <f>SUM(AF15:AI15)</f>
        <v/>
      </c>
      <c r="AK15" s="20">
        <f>IFERROR(MAX(AK14,0)*변수!AK25,"")</f>
        <v/>
      </c>
      <c r="AL15" s="20">
        <f>IFERROR(MAX(AL14,0)*변수!AL25,"")</f>
        <v/>
      </c>
      <c r="AM15" s="20">
        <f>IFERROR(MAX(AM14,0)*변수!AM25,"")</f>
        <v/>
      </c>
      <c r="AN15" s="20">
        <f>IFERROR(MAX(AN14,0)*변수!AN25,"")</f>
        <v/>
      </c>
      <c r="AO15" s="38">
        <f>SUM(AK15:AN15)</f>
        <v/>
      </c>
    </row>
    <row r="16">
      <c r="A16" s="12" t="inlineStr">
        <is>
          <t>당기순이익</t>
        </is>
      </c>
      <c r="B16" t="inlineStr">
        <is>
          <t>손익</t>
        </is>
      </c>
      <c r="C16" t="inlineStr">
        <is>
          <t>억원</t>
        </is>
      </c>
      <c r="D16" t="inlineStr">
        <is>
          <t>당기순이익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IFERROR(AC14-AC15,"")</f>
        <v/>
      </c>
      <c r="AD16" s="20">
        <f>IFERROR(AD14-AD15,"")</f>
        <v/>
      </c>
      <c r="AE16" s="38">
        <f>SUM(AA16:AD16)</f>
        <v/>
      </c>
      <c r="AF16" s="20">
        <f>IFERROR(AF14-AF15,"")</f>
        <v/>
      </c>
      <c r="AG16" s="20">
        <f>IFERROR(AG14-AG15,"")</f>
        <v/>
      </c>
      <c r="AH16" s="20">
        <f>IFERROR(AH14-AH15,"")</f>
        <v/>
      </c>
      <c r="AI16" s="20">
        <f>IFERROR(AI14-AI15,"")</f>
        <v/>
      </c>
      <c r="AJ16" s="38">
        <f>SUM(AF16:AI16)</f>
        <v/>
      </c>
      <c r="AK16" s="20">
        <f>IFERROR(AK14-AK15,"")</f>
        <v/>
      </c>
      <c r="AL16" s="20">
        <f>IFERROR(AL14-AL15,"")</f>
        <v/>
      </c>
      <c r="AM16" s="20">
        <f>IFERROR(AM14-AM15,"")</f>
        <v/>
      </c>
      <c r="AN16" s="20">
        <f>IFERROR(AN14-AN15,"")</f>
        <v/>
      </c>
      <c r="AO16" s="38">
        <f>SUM(AK16:AN16)</f>
        <v/>
      </c>
    </row>
    <row r="17">
      <c r="A17" s="12" t="inlineStr">
        <is>
          <t>지배주주순이익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(지배주주지분)당기순이익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IFERROR(VLOOKUP($D17,BS연결,MATCH(Z$1,BS연결H,0),0)/100,"")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IFERROR(AC16*변수!AC26,"")</f>
        <v/>
      </c>
      <c r="AD17" s="20">
        <f>IFERROR(AD16*변수!AD26,"")</f>
        <v/>
      </c>
      <c r="AE17" s="38">
        <f>SUM(AA17:AD17)</f>
        <v/>
      </c>
      <c r="AF17" s="20">
        <f>IFERROR(AF16*변수!AF26,"")</f>
        <v/>
      </c>
      <c r="AG17" s="20">
        <f>IFERROR(AG16*변수!AG26,"")</f>
        <v/>
      </c>
      <c r="AH17" s="20">
        <f>IFERROR(AH16*변수!AH26,"")</f>
        <v/>
      </c>
      <c r="AI17" s="20">
        <f>IFERROR(AI16*변수!AI26,"")</f>
        <v/>
      </c>
      <c r="AJ17" s="38">
        <f>SUM(AF17:AI17)</f>
        <v/>
      </c>
      <c r="AK17" s="20">
        <f>IFERROR(AK16*변수!AK26,"")</f>
        <v/>
      </c>
      <c r="AL17" s="20">
        <f>IFERROR(AL16*변수!AL26,"")</f>
        <v/>
      </c>
      <c r="AM17" s="20">
        <f>IFERROR(AM16*변수!AM26,"")</f>
        <v/>
      </c>
      <c r="AN17" s="20">
        <f>IFERROR(AN16*변수!AN26,"")</f>
        <v/>
      </c>
      <c r="AO17" s="38">
        <f>SUM(AK17:AN17)</f>
        <v/>
      </c>
    </row>
    <row r="18">
      <c r="A18" s="12" t="inlineStr">
        <is>
          <t>자산총계</t>
        </is>
      </c>
      <c r="B18" t="inlineStr">
        <is>
          <t>재무상태</t>
        </is>
      </c>
      <c r="C18" t="inlineStr">
        <is>
          <t>억원</t>
        </is>
      </c>
      <c r="D18" t="inlineStr">
        <is>
          <t>자산총계</t>
        </is>
      </c>
      <c r="E18" s="18">
        <f>IFERROR(VLOOKUP($D18,BS연결,MATCH(E$1,BS연결H,0),0)/100,"")</f>
        <v/>
      </c>
      <c r="F18" s="37">
        <f>IFERROR(VLOOKUP($D18,BS연결,MATCH(F$1,BS연결H,0),0)/100,"")</f>
        <v/>
      </c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IFERROR(AC19+AC20,"")</f>
        <v/>
      </c>
      <c r="AD18" s="20">
        <f>IFERROR(AD19+AD20,"")</f>
        <v/>
      </c>
      <c r="AE18" s="38">
        <f>AD18</f>
        <v/>
      </c>
      <c r="AF18" s="20">
        <f>IFERROR(AF19+AF20,"")</f>
        <v/>
      </c>
      <c r="AG18" s="20">
        <f>IFERROR(AG19+AG20,"")</f>
        <v/>
      </c>
      <c r="AH18" s="20">
        <f>IFERROR(AH19+AH20,"")</f>
        <v/>
      </c>
      <c r="AI18" s="20">
        <f>IFERROR(AI19+AI20,"")</f>
        <v/>
      </c>
      <c r="AJ18" s="38">
        <f>AI18</f>
        <v/>
      </c>
      <c r="AK18" s="20">
        <f>IFERROR(AK19+AK20,"")</f>
        <v/>
      </c>
      <c r="AL18" s="20">
        <f>IFERROR(AL19+AL20,"")</f>
        <v/>
      </c>
      <c r="AM18" s="20">
        <f>IFERROR(AM19+AM20,"")</f>
        <v/>
      </c>
      <c r="AN18" s="20">
        <f>IFERROR(AN19+AN20,"")</f>
        <v/>
      </c>
      <c r="AO18" s="38">
        <f>AN18</f>
        <v/>
      </c>
    </row>
    <row r="19">
      <c r="A19" s="12" t="inlineStr">
        <is>
          <t>부채총계</t>
        </is>
      </c>
      <c r="B19" t="inlineStr">
        <is>
          <t>재무상태</t>
        </is>
      </c>
      <c r="C19" t="inlineStr">
        <is>
          <t>억원</t>
        </is>
      </c>
      <c r="D19" t="inlineStr">
        <is>
          <t>부채총계</t>
        </is>
      </c>
      <c r="E19" s="18">
        <f>IFERROR(VLOOKUP($D19,BS연결,MATCH(E$1,BS연결H,0),0)/100,"")</f>
        <v/>
      </c>
      <c r="F19" s="37">
        <f>IFERROR(VLOOKUP($D19,BS연결,MATCH(F$1,BS연결H,0),0)/100,"")</f>
        <v/>
      </c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>
        <f>IFERROR(VLOOKUP($D19,BS연결,MATCH(N$1,BS연결H,0),0)/100,"")</f>
        <v/>
      </c>
      <c r="O19" s="18">
        <f>IFERROR(VLOOKUP($D19,BS연결,MATCH(O$1,BS연결H,0),0)/100,"")</f>
        <v/>
      </c>
      <c r="P19" s="37">
        <f>IFERROR(VLOOKUP($D19,BS연결,MATCH(P$1,BS연결H,0),0)/100,"")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>
        <f>IFERROR(VLOOKUP($D19,BS연결,MATCH(T$1,BS연결H,0),0)/100,"")</f>
        <v/>
      </c>
      <c r="U19" s="37">
        <f>IFERROR(VLOOKUP($D19,BS연결,MATCH(U$1,BS연결H,0),0)/100,"")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7">
        <f>IFERROR(VLOOKUP($D19,BS연결,MATCH(Z$1,BS연결H,0),0)/100,"")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IFERROR(AB19*(1+변수!AC27),"")</f>
        <v/>
      </c>
      <c r="AD19" s="20">
        <f>IFERROR(AC19*(1+변수!AD27),"")</f>
        <v/>
      </c>
      <c r="AE19" s="38">
        <f>AD19</f>
        <v/>
      </c>
      <c r="AF19" s="20">
        <f>IFERROR(AD19*(1+변수!AF27),"")</f>
        <v/>
      </c>
      <c r="AG19" s="20">
        <f>IFERROR(AF19*(1+변수!AG27),"")</f>
        <v/>
      </c>
      <c r="AH19" s="20">
        <f>IFERROR(AG19*(1+변수!AH27),"")</f>
        <v/>
      </c>
      <c r="AI19" s="20">
        <f>IFERROR(AH19*(1+변수!AI27),"")</f>
        <v/>
      </c>
      <c r="AJ19" s="38">
        <f>AI19</f>
        <v/>
      </c>
      <c r="AK19" s="20">
        <f>IFERROR(AI19*(1+변수!AK27),"")</f>
        <v/>
      </c>
      <c r="AL19" s="20">
        <f>IFERROR(AK19*(1+변수!AL27),"")</f>
        <v/>
      </c>
      <c r="AM19" s="20">
        <f>IFERROR(AL19*(1+변수!AM27),"")</f>
        <v/>
      </c>
      <c r="AN19" s="20">
        <f>IFERROR(AM19*(1+변수!AN27),"")</f>
        <v/>
      </c>
      <c r="AO19" s="38">
        <f>AN19</f>
        <v/>
      </c>
    </row>
    <row r="20">
      <c r="A20" s="12" t="inlineStr">
        <is>
          <t>자본총계</t>
        </is>
      </c>
      <c r="B20" t="inlineStr">
        <is>
          <t>재무상태</t>
        </is>
      </c>
      <c r="C20" t="inlineStr">
        <is>
          <t>억원</t>
        </is>
      </c>
      <c r="D20" t="inlineStr">
        <is>
          <t>자본총계</t>
        </is>
      </c>
      <c r="E20" s="18">
        <f>IFERROR(VLOOKUP($D20,BS연결,MATCH(E$1,BS연결H,0),0)/100,"")</f>
        <v/>
      </c>
      <c r="F20" s="37">
        <f>IFERROR(VLOOKUP($D20,BS연결,MATCH(F$1,BS연결H,0),0)/100,"")</f>
        <v/>
      </c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IFERROR(AB20+AC16-변수!AC28,"")</f>
        <v/>
      </c>
      <c r="AD20" s="20">
        <f>IFERROR(AC20+AD16-변수!AD28,"")</f>
        <v/>
      </c>
      <c r="AE20" s="38">
        <f>AD20</f>
        <v/>
      </c>
      <c r="AF20" s="20">
        <f>IFERROR(AD20+AF16-변수!AF28,"")</f>
        <v/>
      </c>
      <c r="AG20" s="20">
        <f>IFERROR(AF20+AG16-변수!AG28,"")</f>
        <v/>
      </c>
      <c r="AH20" s="20">
        <f>IFERROR(AG20+AH16-변수!AH28,"")</f>
        <v/>
      </c>
      <c r="AI20" s="20">
        <f>IFERROR(AH20+AI16-변수!AI28,"")</f>
        <v/>
      </c>
      <c r="AJ20" s="38">
        <f>AI20</f>
        <v/>
      </c>
      <c r="AK20" s="20">
        <f>IFERROR(AI20+AK16-변수!AK28,"")</f>
        <v/>
      </c>
      <c r="AL20" s="20">
        <f>IFERROR(AK20+AL16-변수!AL28,"")</f>
        <v/>
      </c>
      <c r="AM20" s="20">
        <f>IFERROR(AL20+AM16-변수!AM28,"")</f>
        <v/>
      </c>
      <c r="AN20" s="20">
        <f>IFERROR(AM20+AN16-변수!AN28,"")</f>
        <v/>
      </c>
      <c r="AO20" s="38">
        <f>AN20</f>
        <v/>
      </c>
    </row>
    <row r="21">
      <c r="A21" s="12" t="inlineStr">
        <is>
          <t>지배주주지분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지배주주지분</t>
        </is>
      </c>
      <c r="E21" s="18">
        <f>IFERROR(VLOOKUP($D21,BS연결,MATCH(E$1,BS연결H,0),0)/100,"")</f>
        <v/>
      </c>
      <c r="F21" s="37">
        <f>IFERROR(VLOOKUP($D21,BS연결,MATCH(F$1,BS연결H,0),0)/100,"")</f>
        <v/>
      </c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IFERROR(AB21+AC17-변수!AC29,"")</f>
        <v/>
      </c>
      <c r="AD21" s="20">
        <f>IFERROR(AC21+AD17-변수!AD29,"")</f>
        <v/>
      </c>
      <c r="AE21" s="38">
        <f>AD21</f>
        <v/>
      </c>
      <c r="AF21" s="20">
        <f>IFERROR(AD21+AF17-변수!AF29,"")</f>
        <v/>
      </c>
      <c r="AG21" s="20">
        <f>IFERROR(AF21+AG17-변수!AG29,"")</f>
        <v/>
      </c>
      <c r="AH21" s="20">
        <f>IFERROR(AG21+AH17-변수!AH29,"")</f>
        <v/>
      </c>
      <c r="AI21" s="20">
        <f>IFERROR(AH21+AI17-변수!AI29,"")</f>
        <v/>
      </c>
      <c r="AJ21" s="38">
        <f>AI21</f>
        <v/>
      </c>
      <c r="AK21" s="20">
        <f>IFERROR(AI21+AK17-변수!AK29,"")</f>
        <v/>
      </c>
      <c r="AL21" s="20">
        <f>IFERROR(AK21+AL17-변수!AL29,"")</f>
        <v/>
      </c>
      <c r="AM21" s="20">
        <f>IFERROR(AL21+AM17-변수!AM29,"")</f>
        <v/>
      </c>
      <c r="AN21" s="20">
        <f>IFERROR(AM21+AN17-변수!AN29,"")</f>
        <v/>
      </c>
      <c r="AO21" s="38">
        <f>AN21</f>
        <v/>
      </c>
    </row>
    <row r="22">
      <c r="A22" s="12" t="inlineStr">
        <is>
          <t>이자발생자산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이자발생자산</t>
        </is>
      </c>
      <c r="E22" s="18">
        <f>IFERROR(VLOOKUP($D22,BS연결,MATCH(E$1,BS연결H,0),0)/100,"")</f>
        <v/>
      </c>
      <c r="F22" s="37">
        <f>IFERROR(VLOOKUP($D22,BS연결,MATCH(F$1,BS연결H,0),0)/100,"")</f>
        <v/>
      </c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7">
        <f>IFERROR(VLOOKUP($D22,BS연결,MATCH(P$1,BS연결H,0),0)/100,"")</f>
        <v/>
      </c>
      <c r="Q22" s="18">
        <f>IFERROR(VLOOKUP($D22,BS연결,MATCH(Q$1,BS연결H,0),0)/100,"")</f>
        <v/>
      </c>
      <c r="R22" s="18">
        <f>IFERROR(VLOOKUP($D22,BS연결,MATCH(R$1,BS연결H,0),0)/100,"")</f>
        <v/>
      </c>
      <c r="S22" s="18">
        <f>IFERROR(VLOOKUP($D22,BS연결,MATCH(S$1,BS연결H,0),0)/100,"")</f>
        <v/>
      </c>
      <c r="T22" s="18">
        <f>IFERROR(VLOOKUP($D22,BS연결,MATCH(T$1,BS연결H,0),0)/100,"")</f>
        <v/>
      </c>
      <c r="U22" s="37">
        <f>IFERROR(VLOOKUP($D22,BS연결,MATCH(U$1,BS연결H,0),0)/100,"")</f>
        <v/>
      </c>
      <c r="V22" s="18">
        <f>IFERROR(VLOOKUP($D22,BS연결,MATCH(V$1,BS연결H,0),0)/100,"")</f>
        <v/>
      </c>
      <c r="W22" s="18">
        <f>IFERROR(VLOOKUP($D22,BS연결,MATCH(W$1,BS연결H,0),0)/100,"")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7">
        <f>IFERROR(VLOOKUP($D22,BS연결,MATCH(Z$1,BS연결H,0),0)/100,"")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>
        <f>IFERROR(AB22*(1+변수!AC30),"")</f>
        <v/>
      </c>
      <c r="AD22" s="20">
        <f>IFERROR(AC22*(1+변수!AD30),"")</f>
        <v/>
      </c>
      <c r="AE22" s="38">
        <f>AD22</f>
        <v/>
      </c>
      <c r="AF22" s="20">
        <f>IFERROR(AD22*(1+변수!AF30),"")</f>
        <v/>
      </c>
      <c r="AG22" s="20">
        <f>IFERROR(AF22*(1+변수!AG30),"")</f>
        <v/>
      </c>
      <c r="AH22" s="20">
        <f>IFERROR(AG22*(1+변수!AH30),"")</f>
        <v/>
      </c>
      <c r="AI22" s="20">
        <f>IFERROR(AH22*(1+변수!AI30),"")</f>
        <v/>
      </c>
      <c r="AJ22" s="38">
        <f>AI22</f>
        <v/>
      </c>
      <c r="AK22" s="20">
        <f>IFERROR(AI22*(1+변수!AK30),"")</f>
        <v/>
      </c>
      <c r="AL22" s="20">
        <f>IFERROR(AK22*(1+변수!AL30),"")</f>
        <v/>
      </c>
      <c r="AM22" s="20">
        <f>IFERROR(AL22*(1+변수!AM30),"")</f>
        <v/>
      </c>
      <c r="AN22" s="20">
        <f>IFERROR(AM22*(1+변수!AN30),"")</f>
        <v/>
      </c>
      <c r="AO22" s="38">
        <f>AN22</f>
        <v/>
      </c>
    </row>
    <row r="23">
      <c r="A23" s="12" t="inlineStr">
        <is>
          <t>현금및현금성자산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현금및현금성자산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 t="n"/>
      <c r="AD23" s="20" t="n"/>
      <c r="AE23" s="38">
        <f>AD23</f>
        <v/>
      </c>
      <c r="AF23" s="20" t="n"/>
      <c r="AG23" s="20" t="n"/>
      <c r="AH23" s="20" t="n"/>
      <c r="AI23" s="20" t="n"/>
      <c r="AJ23" s="38">
        <f>AI23</f>
        <v/>
      </c>
      <c r="AK23" s="20" t="n"/>
      <c r="AL23" s="20" t="n"/>
      <c r="AM23" s="20" t="n"/>
      <c r="AN23" s="20" t="n"/>
      <c r="AO23" s="38">
        <f>AN23</f>
        <v/>
      </c>
    </row>
    <row r="24">
      <c r="A24" s="12" t="inlineStr">
        <is>
          <t>CAPEX</t>
        </is>
      </c>
      <c r="B24" t="inlineStr">
        <is>
          <t>현금흐름</t>
        </is>
      </c>
      <c r="C24" t="inlineStr">
        <is>
          <t>억원</t>
        </is>
      </c>
      <c r="D24" t="inlineStr">
        <is>
          <t>CAPEX</t>
        </is>
      </c>
      <c r="E24" s="18">
        <f>IFERROR(VLOOKUP($D24,BS연결,MATCH(E$1,BS연결H,0),0)/100,"")</f>
        <v/>
      </c>
      <c r="F24" s="37" t="n"/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IFERROR(X24*(1+변수!AC32),"")</f>
        <v/>
      </c>
      <c r="AD24" s="20">
        <f>IFERROR(Y24*(1+변수!AD32),"")</f>
        <v/>
      </c>
      <c r="AE24" s="38">
        <f>SUM(AA24:AD24)</f>
        <v/>
      </c>
      <c r="AF24" s="20">
        <f>IFERROR(AA24*(1+변수!AF32),"")</f>
        <v/>
      </c>
      <c r="AG24" s="20">
        <f>IFERROR(AB24*(1+변수!AG32),"")</f>
        <v/>
      </c>
      <c r="AH24" s="20">
        <f>IFERROR(AC24*(1+변수!AH32),"")</f>
        <v/>
      </c>
      <c r="AI24" s="20">
        <f>IFERROR(AD24*(1+변수!AI32),"")</f>
        <v/>
      </c>
      <c r="AJ24" s="38">
        <f>SUM(AF24:AI24)</f>
        <v/>
      </c>
      <c r="AK24" s="20">
        <f>IFERROR(AF24*(1+변수!AK32),"")</f>
        <v/>
      </c>
      <c r="AL24" s="20">
        <f>IFERROR(AG24*(1+변수!AL32),"")</f>
        <v/>
      </c>
      <c r="AM24" s="20">
        <f>IFERROR(AH24*(1+변수!AM32),"")</f>
        <v/>
      </c>
      <c r="AN24" s="20">
        <f>IFERROR(AI24*(1+변수!AN32),"")</f>
        <v/>
      </c>
      <c r="AO24" s="38">
        <f>SUM(AK24:AN24)</f>
        <v/>
      </c>
    </row>
    <row r="25">
      <c r="A25" s="12" t="inlineStr">
        <is>
          <t>영업활동현금흐름</t>
        </is>
      </c>
      <c r="B25" t="inlineStr">
        <is>
          <t>현금흐름</t>
        </is>
      </c>
      <c r="C25" t="inlineStr">
        <is>
          <t>억원</t>
        </is>
      </c>
      <c r="D25" t="inlineStr">
        <is>
          <t>영업활동으로인한현금흐름</t>
        </is>
      </c>
      <c r="E25" s="18">
        <f>IFERROR(VLOOKUP($D25,BS연결,MATCH(E$1,BS연결H,0),0)/100,"")</f>
        <v/>
      </c>
      <c r="F25" s="37" t="n"/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 t="n"/>
      <c r="AD25" s="20" t="n"/>
      <c r="AE25" s="38">
        <f>SUM(AA25:AD25)</f>
        <v/>
      </c>
      <c r="AF25" s="20" t="n"/>
      <c r="AG25" s="20" t="n"/>
      <c r="AH25" s="20" t="n"/>
      <c r="AI25" s="20" t="n"/>
      <c r="AJ25" s="38">
        <f>SUM(AF25:AI25)</f>
        <v/>
      </c>
      <c r="AK25" s="20" t="n"/>
      <c r="AL25" s="20" t="n"/>
      <c r="AM25" s="20" t="n"/>
      <c r="AN25" s="20" t="n"/>
      <c r="AO25" s="38">
        <f>SUM(AK25:AN25)</f>
        <v/>
      </c>
    </row>
    <row r="26">
      <c r="A26" s="12" t="inlineStr">
        <is>
          <t>주식수</t>
        </is>
      </c>
      <c r="B26" t="inlineStr">
        <is>
          <t>주당</t>
        </is>
      </c>
      <c r="C26" t="inlineStr">
        <is>
          <t>백만주</t>
        </is>
      </c>
      <c r="D26" t="inlineStr">
        <is>
          <t>유통주식수</t>
        </is>
      </c>
      <c r="E26" s="27" t="n">
        <v>12.856</v>
      </c>
      <c r="F26" s="28">
        <f>E26</f>
        <v/>
      </c>
      <c r="G26" s="27" t="n">
        <v>12.856</v>
      </c>
      <c r="H26" s="27" t="n">
        <v>12.856</v>
      </c>
      <c r="I26" s="27" t="n">
        <v>12.856</v>
      </c>
      <c r="J26" s="27" t="n">
        <v>12.856</v>
      </c>
      <c r="K26" s="28">
        <f>J26</f>
        <v/>
      </c>
      <c r="L26" s="27" t="n">
        <v>12.856</v>
      </c>
      <c r="M26" s="27" t="n">
        <v>12.856</v>
      </c>
      <c r="N26" s="27" t="n">
        <v>12.856</v>
      </c>
      <c r="O26" s="27" t="n">
        <v>12.588</v>
      </c>
      <c r="P26" s="28">
        <f>O26</f>
        <v/>
      </c>
      <c r="Q26" s="27" t="n">
        <v>12.275</v>
      </c>
      <c r="R26" s="27" t="n">
        <v>12.103</v>
      </c>
      <c r="S26" s="27" t="n">
        <v>12.103</v>
      </c>
      <c r="T26" s="27" t="n">
        <v>12.295</v>
      </c>
      <c r="U26" s="28">
        <f>T26</f>
        <v/>
      </c>
      <c r="V26" s="27" t="n">
        <v>12.145</v>
      </c>
      <c r="W26" s="27" t="n">
        <v>11.873</v>
      </c>
      <c r="X26" s="27" t="n">
        <v>11.768</v>
      </c>
      <c r="Y26" s="27" t="n">
        <v>11.768</v>
      </c>
      <c r="Z26" s="28">
        <f>Y26</f>
        <v/>
      </c>
      <c r="AA26" s="27" t="n">
        <v>11.768</v>
      </c>
      <c r="AB26" s="29" t="n">
        <v>11.768</v>
      </c>
      <c r="AC26" s="33">
        <f>IFERROR(AB26*(1+변수!AC34),"")</f>
        <v/>
      </c>
      <c r="AD26" s="33">
        <f>IFERROR(AC26*(1+변수!AD34),"")</f>
        <v/>
      </c>
      <c r="AE26" s="31">
        <f>AD26</f>
        <v/>
      </c>
      <c r="AF26" s="33">
        <f>IFERROR(AD26*(1+변수!AF34),"")</f>
        <v/>
      </c>
      <c r="AG26" s="33">
        <f>IFERROR(AF26*(1+변수!AG34),"")</f>
        <v/>
      </c>
      <c r="AH26" s="33">
        <f>IFERROR(AG26*(1+변수!AH34),"")</f>
        <v/>
      </c>
      <c r="AI26" s="33">
        <f>IFERROR(AH26*(1+변수!AI34),"")</f>
        <v/>
      </c>
      <c r="AJ26" s="31">
        <f>AI26</f>
        <v/>
      </c>
      <c r="AK26" s="33">
        <f>IFERROR(AI26*(1+변수!AK34),"")</f>
        <v/>
      </c>
      <c r="AL26" s="33">
        <f>IFERROR(AK26*(1+변수!AL34),"")</f>
        <v/>
      </c>
      <c r="AM26" s="33">
        <f>IFERROR(AL26*(1+변수!AM34),"")</f>
        <v/>
      </c>
      <c r="AN26" s="33">
        <f>IFERROR(AM26*(1+변수!AN34),"")</f>
        <v/>
      </c>
      <c r="AO26" s="31">
        <f>AN26</f>
        <v/>
      </c>
    </row>
    <row r="27">
      <c r="A27" s="12" t="inlineStr">
        <is>
          <t>EPS</t>
        </is>
      </c>
      <c r="B27" t="inlineStr">
        <is>
          <t>주당</t>
        </is>
      </c>
      <c r="C27" t="inlineStr">
        <is>
          <t>원</t>
        </is>
      </c>
      <c r="D27" t="inlineStr">
        <is>
          <t>EPS</t>
        </is>
      </c>
      <c r="E27" s="18">
        <f>IFERROR(E17*100/E26,"")</f>
        <v/>
      </c>
      <c r="F27" s="37" t="n"/>
      <c r="G27" s="18">
        <f>IFERROR(G17*100/G26,"")</f>
        <v/>
      </c>
      <c r="H27" s="18">
        <f>IFERROR(H17*100/H26,"")</f>
        <v/>
      </c>
      <c r="I27" s="18">
        <f>IFERROR(I17*100/I26,"")</f>
        <v/>
      </c>
      <c r="J27" s="18">
        <f>IFERROR(J17*100/J26,"")</f>
        <v/>
      </c>
      <c r="K27" s="37">
        <f>SUM(G27:J27)</f>
        <v/>
      </c>
      <c r="L27" s="18">
        <f>IFERROR(L17*100/L26,"")</f>
        <v/>
      </c>
      <c r="M27" s="18">
        <f>IFERROR(M17*100/M26,"")</f>
        <v/>
      </c>
      <c r="N27" s="18">
        <f>IFERROR(N17*100/N26,"")</f>
        <v/>
      </c>
      <c r="O27" s="18">
        <f>IFERROR(O17*100/O26,"")</f>
        <v/>
      </c>
      <c r="P27" s="37">
        <f>SUM(L27:O27)</f>
        <v/>
      </c>
      <c r="Q27" s="18">
        <f>IFERROR(Q17*100/Q26,"")</f>
        <v/>
      </c>
      <c r="R27" s="18">
        <f>IFERROR(R17*100/R26,"")</f>
        <v/>
      </c>
      <c r="S27" s="18">
        <f>IFERROR(S17*100/S26,"")</f>
        <v/>
      </c>
      <c r="T27" s="18">
        <f>IFERROR(T17*100/T26,"")</f>
        <v/>
      </c>
      <c r="U27" s="37">
        <f>SUM(Q27:T27)</f>
        <v/>
      </c>
      <c r="V27" s="18">
        <f>IFERROR(V17*100/V26,"")</f>
        <v/>
      </c>
      <c r="W27" s="18">
        <f>IFERROR(W17*100/W26,"")</f>
        <v/>
      </c>
      <c r="X27" s="18">
        <f>IFERROR(X17*100/X26,"")</f>
        <v/>
      </c>
      <c r="Y27" s="18">
        <f>IFERROR(Y17*100/Y26,"")</f>
        <v/>
      </c>
      <c r="Z27" s="37">
        <f>SUM(V27:Y27)</f>
        <v/>
      </c>
      <c r="AA27" s="18">
        <f>IFERROR(AA17*100/AA26,"")</f>
        <v/>
      </c>
      <c r="AB27" s="19">
        <f>IFERROR(AB17*100/AB26,"")</f>
        <v/>
      </c>
      <c r="AC27" s="20">
        <f>IFERROR(AC17*100/AC26,"")</f>
        <v/>
      </c>
      <c r="AD27" s="20">
        <f>IFERROR(AD17*100/AD26,"")</f>
        <v/>
      </c>
      <c r="AE27" s="38">
        <f>SUM(AA27:AD27)</f>
        <v/>
      </c>
      <c r="AF27" s="20">
        <f>IFERROR(AF17*100/AF26,"")</f>
        <v/>
      </c>
      <c r="AG27" s="20">
        <f>IFERROR(AG17*100/AG26,"")</f>
        <v/>
      </c>
      <c r="AH27" s="20">
        <f>IFERROR(AH17*100/AH26,"")</f>
        <v/>
      </c>
      <c r="AI27" s="20">
        <f>IFERROR(AI17*100/AI26,"")</f>
        <v/>
      </c>
      <c r="AJ27" s="38">
        <f>SUM(AF27:AI27)</f>
        <v/>
      </c>
      <c r="AK27" s="20">
        <f>IFERROR(AK17*100/AK26,"")</f>
        <v/>
      </c>
      <c r="AL27" s="20">
        <f>IFERROR(AL17*100/AL26,"")</f>
        <v/>
      </c>
      <c r="AM27" s="20">
        <f>IFERROR(AM17*100/AM26,"")</f>
        <v/>
      </c>
      <c r="AN27" s="20">
        <f>IFERROR(AN17*100/AN26,"")</f>
        <v/>
      </c>
      <c r="AO27" s="38">
        <f>SUM(AK27:AN27)</f>
        <v/>
      </c>
    </row>
    <row r="28">
      <c r="A28" s="12" t="inlineStr">
        <is>
          <t>BPS</t>
        </is>
      </c>
      <c r="B28" t="inlineStr">
        <is>
          <t>주당</t>
        </is>
      </c>
      <c r="C28" t="inlineStr">
        <is>
          <t>원</t>
        </is>
      </c>
      <c r="D28" t="inlineStr">
        <is>
          <t>BPS</t>
        </is>
      </c>
      <c r="E28" s="18">
        <f>IFERROR(E21*100/E26,"")</f>
        <v/>
      </c>
      <c r="F28" s="37">
        <f>E28</f>
        <v/>
      </c>
      <c r="G28" s="18">
        <f>IFERROR(G21*100/G26,"")</f>
        <v/>
      </c>
      <c r="H28" s="18">
        <f>IFERROR(H21*100/H26,"")</f>
        <v/>
      </c>
      <c r="I28" s="18">
        <f>IFERROR(I21*100/I26,"")</f>
        <v/>
      </c>
      <c r="J28" s="18">
        <f>IFERROR(J21*100/J26,"")</f>
        <v/>
      </c>
      <c r="K28" s="37">
        <f>J28</f>
        <v/>
      </c>
      <c r="L28" s="18">
        <f>IFERROR(L21*100/L26,"")</f>
        <v/>
      </c>
      <c r="M28" s="18">
        <f>IFERROR(M21*100/M26,"")</f>
        <v/>
      </c>
      <c r="N28" s="18">
        <f>IFERROR(N21*100/N26,"")</f>
        <v/>
      </c>
      <c r="O28" s="18">
        <f>IFERROR(O21*100/O26,"")</f>
        <v/>
      </c>
      <c r="P28" s="37">
        <f>O28</f>
        <v/>
      </c>
      <c r="Q28" s="18">
        <f>IFERROR(Q21*100/Q26,"")</f>
        <v/>
      </c>
      <c r="R28" s="18">
        <f>IFERROR(R21*100/R26,"")</f>
        <v/>
      </c>
      <c r="S28" s="18">
        <f>IFERROR(S21*100/S26,"")</f>
        <v/>
      </c>
      <c r="T28" s="18">
        <f>IFERROR(T21*100/T26,"")</f>
        <v/>
      </c>
      <c r="U28" s="37">
        <f>T28</f>
        <v/>
      </c>
      <c r="V28" s="18">
        <f>IFERROR(V21*100/V26,"")</f>
        <v/>
      </c>
      <c r="W28" s="18">
        <f>IFERROR(W21*100/W26,"")</f>
        <v/>
      </c>
      <c r="X28" s="18">
        <f>IFERROR(X21*100/X26,"")</f>
        <v/>
      </c>
      <c r="Y28" s="18">
        <f>IFERROR(Y21*100/Y26,"")</f>
        <v/>
      </c>
      <c r="Z28" s="37">
        <f>Y28</f>
        <v/>
      </c>
      <c r="AA28" s="18">
        <f>IFERROR(AA21*100/AA26,"")</f>
        <v/>
      </c>
      <c r="AB28" s="19">
        <f>IFERROR(AB21*100/AB26,"")</f>
        <v/>
      </c>
      <c r="AC28" s="20">
        <f>IFERROR(AC21*100/AC26,"")</f>
        <v/>
      </c>
      <c r="AD28" s="20">
        <f>IFERROR(AD21*100/AD26,"")</f>
        <v/>
      </c>
      <c r="AE28" s="38">
        <f>AD28</f>
        <v/>
      </c>
      <c r="AF28" s="20">
        <f>IFERROR(AF21*100/AF26,"")</f>
        <v/>
      </c>
      <c r="AG28" s="20">
        <f>IFERROR(AG21*100/AG26,"")</f>
        <v/>
      </c>
      <c r="AH28" s="20">
        <f>IFERROR(AH21*100/AH26,"")</f>
        <v/>
      </c>
      <c r="AI28" s="20">
        <f>IFERROR(AI21*100/AI26,"")</f>
        <v/>
      </c>
      <c r="AJ28" s="38">
        <f>AI28</f>
        <v/>
      </c>
      <c r="AK28" s="20">
        <f>IFERROR(AK21*100/AK26,"")</f>
        <v/>
      </c>
      <c r="AL28" s="20">
        <f>IFERROR(AL21*100/AL26,"")</f>
        <v/>
      </c>
      <c r="AM28" s="20">
        <f>IFERROR(AM21*100/AM26,"")</f>
        <v/>
      </c>
      <c r="AN28" s="20">
        <f>IFERROR(AN21*100/AN26,"")</f>
        <v/>
      </c>
      <c r="AO28" s="38">
        <f>AN28</f>
        <v/>
      </c>
    </row>
    <row r="29">
      <c r="A29" s="12" t="inlineStr">
        <is>
          <t>DPS</t>
        </is>
      </c>
      <c r="B29" t="inlineStr">
        <is>
          <t>주당</t>
        </is>
      </c>
      <c r="C29" t="inlineStr">
        <is>
          <t>원</t>
        </is>
      </c>
      <c r="D29" t="inlineStr">
        <is>
          <t>DPS(보통주)</t>
        </is>
      </c>
      <c r="E29" s="18" t="n">
        <v>500</v>
      </c>
      <c r="F29" s="37" t="n">
        <v>500</v>
      </c>
      <c r="G29" s="18" t="n"/>
      <c r="H29" s="18" t="n"/>
      <c r="I29" s="18" t="n"/>
      <c r="J29" s="18" t="n">
        <v>600</v>
      </c>
      <c r="K29" s="37">
        <f>SUM(G29:J29)</f>
        <v/>
      </c>
      <c r="L29" s="18" t="n"/>
      <c r="M29" s="18" t="n"/>
      <c r="N29" s="18" t="n"/>
      <c r="O29" s="18" t="n">
        <v>1050</v>
      </c>
      <c r="P29" s="37">
        <f>SUM(L29:O29)</f>
        <v/>
      </c>
      <c r="Q29" s="18" t="n"/>
      <c r="R29" s="18" t="n"/>
      <c r="S29" s="18" t="n"/>
      <c r="T29" s="18" t="n">
        <v>1150</v>
      </c>
      <c r="U29" s="37">
        <f>SUM(Q29:T29)</f>
        <v/>
      </c>
      <c r="V29" s="18" t="n"/>
      <c r="W29" s="18" t="n"/>
      <c r="X29" s="18" t="n"/>
      <c r="Y29" s="18" t="n">
        <v>1350</v>
      </c>
      <c r="Z29" s="37">
        <f>SUM(V29:Y29)</f>
        <v/>
      </c>
      <c r="AA29" s="18" t="n"/>
      <c r="AB29" s="19" t="n"/>
      <c r="AC29" s="20" t="n"/>
      <c r="AD29" s="20">
        <f>변수!AD35</f>
        <v/>
      </c>
      <c r="AE29" s="38">
        <f>SUM(AA29:AD29)</f>
        <v/>
      </c>
      <c r="AF29" s="20" t="n"/>
      <c r="AG29" s="20" t="n"/>
      <c r="AH29" s="20" t="n"/>
      <c r="AI29" s="20">
        <f>변수!AI35</f>
        <v/>
      </c>
      <c r="AJ29" s="38">
        <f>SUM(AF29:AI29)</f>
        <v/>
      </c>
      <c r="AK29" s="20" t="n"/>
      <c r="AL29" s="20" t="n"/>
      <c r="AM29" s="20" t="n"/>
      <c r="AN29" s="20">
        <f>변수!AN35</f>
        <v/>
      </c>
      <c r="AO29" s="38">
        <f>SUM(AK29:AN29)</f>
        <v/>
      </c>
    </row>
    <row r="30">
      <c r="A30" s="12" t="inlineStr">
        <is>
          <t>PER</t>
        </is>
      </c>
      <c r="B30" t="inlineStr">
        <is>
          <t>주당</t>
        </is>
      </c>
      <c r="C30" t="inlineStr">
        <is>
          <t>배</t>
        </is>
      </c>
      <c r="D30" t="inlineStr">
        <is>
          <t>PER</t>
        </is>
      </c>
      <c r="E30" s="13" t="n"/>
      <c r="F30" s="14">
        <f>E30</f>
        <v/>
      </c>
      <c r="G30" s="13" t="n"/>
      <c r="H30" s="13" t="n"/>
      <c r="I30" s="13">
        <f>IFERROR(변수!I18/(E27+G27+H27+I27),"")</f>
        <v/>
      </c>
      <c r="J30" s="13">
        <f>IFERROR(변수!J18/(G27+H27+I27+J27),"")</f>
        <v/>
      </c>
      <c r="K30" s="14">
        <f>J30</f>
        <v/>
      </c>
      <c r="L30" s="13">
        <f>IFERROR(변수!L18/(H27+I27+J27+L27),"")</f>
        <v/>
      </c>
      <c r="M30" s="13">
        <f>IFERROR(변수!M18/(I27+J27+L27+M27),"")</f>
        <v/>
      </c>
      <c r="N30" s="13">
        <f>IFERROR(변수!N18/(J27+L27+M27+N27),"")</f>
        <v/>
      </c>
      <c r="O30" s="13">
        <f>IFERROR(변수!O18/(L27+M27+N27+O27),"")</f>
        <v/>
      </c>
      <c r="P30" s="14">
        <f>O30</f>
        <v/>
      </c>
      <c r="Q30" s="13">
        <f>IFERROR(변수!Q18/(M27+N27+O27+Q27),"")</f>
        <v/>
      </c>
      <c r="R30" s="13">
        <f>IFERROR(변수!R18/(N27+O27+Q27+R27),"")</f>
        <v/>
      </c>
      <c r="S30" s="13">
        <f>IFERROR(변수!S18/(O27+Q27+R27+S27),"")</f>
        <v/>
      </c>
      <c r="T30" s="13">
        <f>IFERROR(변수!T18/(Q27+R27+S27+T27),"")</f>
        <v/>
      </c>
      <c r="U30" s="14">
        <f>T30</f>
        <v/>
      </c>
      <c r="V30" s="13">
        <f>IFERROR(변수!V18/(R27+S27+T27+V27),"")</f>
        <v/>
      </c>
      <c r="W30" s="13">
        <f>IFERROR(변수!W18/(S27+T27+V27+W27),"")</f>
        <v/>
      </c>
      <c r="X30" s="13">
        <f>IFERROR(변수!X18/(T27+V27+W27+X27),"")</f>
        <v/>
      </c>
      <c r="Y30" s="13">
        <f>IFERROR(변수!Y18/(V27+W27+X27+Y27),"")</f>
        <v/>
      </c>
      <c r="Z30" s="14">
        <f>Y30</f>
        <v/>
      </c>
      <c r="AA30" s="13">
        <f>IFERROR(변수!AA18/(W27+X27+Y27+AA27),"")</f>
        <v/>
      </c>
      <c r="AB30" s="15">
        <f>IFERROR(변수!AB18/(X27+Y27+AA27+AB27),"")</f>
        <v/>
      </c>
      <c r="AC30" s="39">
        <f>IFERROR(변수!$D$38/(Y27+AA27+AB27+AC27),"")</f>
        <v/>
      </c>
      <c r="AD30" s="39">
        <f>IFERROR(변수!$D$38/(AA27+AB27+AC27+AD27),"")</f>
        <v/>
      </c>
      <c r="AE30" s="40">
        <f>AD30</f>
        <v/>
      </c>
      <c r="AF30" s="39">
        <f>IFERROR(변수!$D$38/(AB27+AC27+AD27+AF27),"")</f>
        <v/>
      </c>
      <c r="AG30" s="39">
        <f>IFERROR(변수!$D$38/(AC27+AD27+AF27+AG27),"")</f>
        <v/>
      </c>
      <c r="AH30" s="39">
        <f>IFERROR(변수!$D$38/(AD27+AF27+AG27+AH27),"")</f>
        <v/>
      </c>
      <c r="AI30" s="39">
        <f>IFERROR(변수!$D$38/(AF27+AG27+AH27+AI27),"")</f>
        <v/>
      </c>
      <c r="AJ30" s="40">
        <f>AI30</f>
        <v/>
      </c>
      <c r="AK30" s="39">
        <f>IFERROR(변수!$D$38/(AG27+AH27+AI27+AK27),"")</f>
        <v/>
      </c>
      <c r="AL30" s="39">
        <f>IFERROR(변수!$D$38/(AH27+AI27+AK27+AL27),"")</f>
        <v/>
      </c>
      <c r="AM30" s="39">
        <f>IFERROR(변수!$D$38/(AI27+AK27+AL27+AM27),"")</f>
        <v/>
      </c>
      <c r="AN30" s="39">
        <f>IFERROR(변수!$D$38/(AK27+AL27+AM27+AN27),"")</f>
        <v/>
      </c>
      <c r="AO30" s="40">
        <f>AN30</f>
        <v/>
      </c>
    </row>
    <row r="31">
      <c r="A31" s="12" t="inlineStr">
        <is>
          <t>PBR</t>
        </is>
      </c>
      <c r="B31" t="inlineStr">
        <is>
          <t>주당</t>
        </is>
      </c>
      <c r="C31" t="inlineStr">
        <is>
          <t>배</t>
        </is>
      </c>
      <c r="D31" t="inlineStr">
        <is>
          <t>PBR</t>
        </is>
      </c>
      <c r="E31" s="13">
        <f>IFERROR(변수!E18/E28,"")</f>
        <v/>
      </c>
      <c r="F31" s="14">
        <f>E31</f>
        <v/>
      </c>
      <c r="G31" s="13">
        <f>IFERROR(변수!G18/G28,"")</f>
        <v/>
      </c>
      <c r="H31" s="13">
        <f>IFERROR(변수!H18/H28,"")</f>
        <v/>
      </c>
      <c r="I31" s="13">
        <f>IFERROR(변수!I18/I28,"")</f>
        <v/>
      </c>
      <c r="J31" s="13">
        <f>IFERROR(변수!J18/J28,"")</f>
        <v/>
      </c>
      <c r="K31" s="14">
        <f>J31</f>
        <v/>
      </c>
      <c r="L31" s="13">
        <f>IFERROR(변수!L18/L28,"")</f>
        <v/>
      </c>
      <c r="M31" s="13">
        <f>IFERROR(변수!M18/M28,"")</f>
        <v/>
      </c>
      <c r="N31" s="13">
        <f>IFERROR(변수!N18/N28,"")</f>
        <v/>
      </c>
      <c r="O31" s="13">
        <f>IFERROR(변수!O18/O28,"")</f>
        <v/>
      </c>
      <c r="P31" s="14">
        <f>O31</f>
        <v/>
      </c>
      <c r="Q31" s="13">
        <f>IFERROR(변수!Q18/Q28,"")</f>
        <v/>
      </c>
      <c r="R31" s="13">
        <f>IFERROR(변수!R18/R28,"")</f>
        <v/>
      </c>
      <c r="S31" s="13">
        <f>IFERROR(변수!S18/S28,"")</f>
        <v/>
      </c>
      <c r="T31" s="13">
        <f>IFERROR(변수!T18/T28,"")</f>
        <v/>
      </c>
      <c r="U31" s="14">
        <f>T31</f>
        <v/>
      </c>
      <c r="V31" s="13">
        <f>IFERROR(변수!V18/V28,"")</f>
        <v/>
      </c>
      <c r="W31" s="13">
        <f>IFERROR(변수!W18/W28,"")</f>
        <v/>
      </c>
      <c r="X31" s="13">
        <f>IFERROR(변수!X18/X28,"")</f>
        <v/>
      </c>
      <c r="Y31" s="13">
        <f>IFERROR(변수!Y18/Y28,"")</f>
        <v/>
      </c>
      <c r="Z31" s="14">
        <f>Y31</f>
        <v/>
      </c>
      <c r="AA31" s="13">
        <f>IFERROR(변수!AA18/AA28,"")</f>
        <v/>
      </c>
      <c r="AB31" s="15">
        <f>IFERROR(변수!AB18/AB28,"")</f>
        <v/>
      </c>
      <c r="AC31" s="39">
        <f>IFERROR(변수!$D$38/AC28,"")</f>
        <v/>
      </c>
      <c r="AD31" s="39">
        <f>IFERROR(변수!$D$38/AD28,"")</f>
        <v/>
      </c>
      <c r="AE31" s="40">
        <f>AD31</f>
        <v/>
      </c>
      <c r="AF31" s="39">
        <f>IFERROR(변수!$D$38/AF28,"")</f>
        <v/>
      </c>
      <c r="AG31" s="39">
        <f>IFERROR(변수!$D$38/AG28,"")</f>
        <v/>
      </c>
      <c r="AH31" s="39">
        <f>IFERROR(변수!$D$38/AH28,"")</f>
        <v/>
      </c>
      <c r="AI31" s="39">
        <f>IFERROR(변수!$D$38/AI28,"")</f>
        <v/>
      </c>
      <c r="AJ31" s="40">
        <f>AI31</f>
        <v/>
      </c>
      <c r="AK31" s="39">
        <f>IFERROR(변수!$D$38/AK28,"")</f>
        <v/>
      </c>
      <c r="AL31" s="39">
        <f>IFERROR(변수!$D$38/AL28,"")</f>
        <v/>
      </c>
      <c r="AM31" s="39">
        <f>IFERROR(변수!$D$38/AM28,"")</f>
        <v/>
      </c>
      <c r="AN31" s="39">
        <f>IFERROR(변수!$D$38/AN28,"")</f>
        <v/>
      </c>
      <c r="AO31" s="40">
        <f>AN31</f>
        <v/>
      </c>
    </row>
    <row r="32">
      <c r="A32" s="12" t="inlineStr">
        <is>
          <t>매출전사</t>
        </is>
      </c>
      <c r="B32" t="inlineStr">
        <is>
          <t>사업부</t>
        </is>
      </c>
      <c r="C32" t="inlineStr">
        <is>
          <t>억원</t>
        </is>
      </c>
      <c r="D32" t="inlineStr">
        <is>
          <t>매출 전사(부문 미분리)</t>
        </is>
      </c>
      <c r="E32" s="18" t="n">
        <v>358.76</v>
      </c>
      <c r="F32" s="37" t="n"/>
      <c r="G32" s="18" t="n">
        <v>342.57</v>
      </c>
      <c r="H32" s="18" t="n">
        <v>511.6</v>
      </c>
      <c r="I32" s="18" t="n">
        <v>434.45</v>
      </c>
      <c r="J32" s="18" t="n">
        <v>539.9</v>
      </c>
      <c r="K32" s="37">
        <f>SUM(G32:J32)</f>
        <v/>
      </c>
      <c r="L32" s="18" t="n">
        <v>457.04</v>
      </c>
      <c r="M32" s="18" t="n">
        <v>496.23</v>
      </c>
      <c r="N32" s="18" t="n">
        <v>465.92</v>
      </c>
      <c r="O32" s="18" t="n">
        <v>469.2</v>
      </c>
      <c r="P32" s="37">
        <f>SUM(L32:O32)</f>
        <v/>
      </c>
      <c r="Q32" s="18" t="n">
        <v>497.74</v>
      </c>
      <c r="R32" s="18" t="n">
        <v>460.87</v>
      </c>
      <c r="S32" s="18" t="n">
        <v>452.85</v>
      </c>
      <c r="T32" s="18" t="n">
        <v>493.67</v>
      </c>
      <c r="U32" s="37">
        <f>SUM(Q32:T32)</f>
        <v/>
      </c>
      <c r="V32" s="18" t="n">
        <v>490.35</v>
      </c>
      <c r="W32" s="18" t="n">
        <v>543.33</v>
      </c>
      <c r="X32" s="18" t="n">
        <v>538.45</v>
      </c>
      <c r="Y32" s="18" t="n">
        <v>573.52</v>
      </c>
      <c r="Z32" s="37">
        <f>SUM(V32:Y32)</f>
        <v/>
      </c>
      <c r="AA32" s="18" t="n">
        <v>541.46</v>
      </c>
      <c r="AB32" s="19" t="n">
        <v>592.51</v>
      </c>
      <c r="AC32" s="20">
        <f>IFERROR(AC5,"")</f>
        <v/>
      </c>
      <c r="AD32" s="20">
        <f>IFERROR(AD5,"")</f>
        <v/>
      </c>
      <c r="AE32" s="38">
        <f>SUM(AA32:AD32)</f>
        <v/>
      </c>
      <c r="AF32" s="20">
        <f>IFERROR(AF5,"")</f>
        <v/>
      </c>
      <c r="AG32" s="20">
        <f>IFERROR(AG5,"")</f>
        <v/>
      </c>
      <c r="AH32" s="20">
        <f>IFERROR(AH5,"")</f>
        <v/>
      </c>
      <c r="AI32" s="20">
        <f>IFERROR(AI5,"")</f>
        <v/>
      </c>
      <c r="AJ32" s="38">
        <f>SUM(AF32:AI32)</f>
        <v/>
      </c>
      <c r="AK32" s="20">
        <f>IFERROR(AK5,"")</f>
        <v/>
      </c>
      <c r="AL32" s="20">
        <f>IFERROR(AL5,"")</f>
        <v/>
      </c>
      <c r="AM32" s="20">
        <f>IFERROR(AM5,"")</f>
        <v/>
      </c>
      <c r="AN32" s="20">
        <f>IFERROR(AN5,"")</f>
        <v/>
      </c>
      <c r="AO32" s="38">
        <f>SUM(AK32:AN32)</f>
        <v/>
      </c>
    </row>
    <row r="33">
      <c r="A33" s="12" t="inlineStr">
        <is>
          <t>OP전사</t>
        </is>
      </c>
      <c r="B33" t="inlineStr">
        <is>
          <t>사업부</t>
        </is>
      </c>
      <c r="C33" t="inlineStr">
        <is>
          <t>억원</t>
        </is>
      </c>
      <c r="D33" t="inlineStr">
        <is>
          <t>OP 전사(부문 미분리)</t>
        </is>
      </c>
      <c r="E33" s="18" t="n">
        <v>39.56</v>
      </c>
      <c r="F33" s="37" t="n"/>
      <c r="G33" s="18" t="n">
        <v>52.42</v>
      </c>
      <c r="H33" s="18" t="n">
        <v>103.84</v>
      </c>
      <c r="I33" s="18" t="n">
        <v>102.37</v>
      </c>
      <c r="J33" s="18" t="n">
        <v>148.34</v>
      </c>
      <c r="K33" s="37">
        <f>SUM(G33:J33)</f>
        <v/>
      </c>
      <c r="L33" s="18" t="n">
        <v>112.18</v>
      </c>
      <c r="M33" s="18" t="n">
        <v>153.72</v>
      </c>
      <c r="N33" s="18" t="n">
        <v>141.46</v>
      </c>
      <c r="O33" s="18" t="n">
        <v>111.56</v>
      </c>
      <c r="P33" s="37">
        <f>SUM(L33:O33)</f>
        <v/>
      </c>
      <c r="Q33" s="18" t="n">
        <v>153.92</v>
      </c>
      <c r="R33" s="18" t="n">
        <v>146.99</v>
      </c>
      <c r="S33" s="18" t="n">
        <v>136.56</v>
      </c>
      <c r="T33" s="18" t="n">
        <v>63.84</v>
      </c>
      <c r="U33" s="37">
        <f>SUM(Q33:T33)</f>
        <v/>
      </c>
      <c r="V33" s="18" t="n">
        <v>127.03</v>
      </c>
      <c r="W33" s="18" t="n">
        <v>164.29</v>
      </c>
      <c r="X33" s="18" t="n">
        <v>141.98</v>
      </c>
      <c r="Y33" s="18" t="n">
        <v>155.81</v>
      </c>
      <c r="Z33" s="37">
        <f>SUM(V33:Y33)</f>
        <v/>
      </c>
      <c r="AA33" s="18" t="n">
        <v>156.86</v>
      </c>
      <c r="AB33" s="19" t="n">
        <v>169.91</v>
      </c>
      <c r="AC33" s="20">
        <f>IFERROR(AC9,"")</f>
        <v/>
      </c>
      <c r="AD33" s="20">
        <f>IFERROR(AD9,"")</f>
        <v/>
      </c>
      <c r="AE33" s="38">
        <f>SUM(AA33:AD33)</f>
        <v/>
      </c>
      <c r="AF33" s="20">
        <f>IFERROR(AF9,"")</f>
        <v/>
      </c>
      <c r="AG33" s="20">
        <f>IFERROR(AG9,"")</f>
        <v/>
      </c>
      <c r="AH33" s="20">
        <f>IFERROR(AH9,"")</f>
        <v/>
      </c>
      <c r="AI33" s="20">
        <f>IFERROR(AI9,"")</f>
        <v/>
      </c>
      <c r="AJ33" s="38">
        <f>SUM(AF33:AI33)</f>
        <v/>
      </c>
      <c r="AK33" s="20">
        <f>IFERROR(AK9,"")</f>
        <v/>
      </c>
      <c r="AL33" s="20">
        <f>IFERROR(AL9,"")</f>
        <v/>
      </c>
      <c r="AM33" s="20">
        <f>IFERROR(AM9,"")</f>
        <v/>
      </c>
      <c r="AN33" s="20">
        <f>IFERROR(AN9,"")</f>
        <v/>
      </c>
      <c r="AO33" s="38">
        <f>SUM(AK33:AN33)</f>
        <v/>
      </c>
    </row>
    <row r="34">
      <c r="B34" s="2" t="inlineStr">
        <is>
          <t>비율(참고)</t>
        </is>
      </c>
      <c r="F34" s="9" t="n"/>
      <c r="K34" s="9" t="n"/>
      <c r="P34" s="9" t="n"/>
      <c r="U34" s="9" t="n"/>
      <c r="Z34" s="9" t="n"/>
      <c r="AB34" s="5" t="n"/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s="12" t="inlineStr">
        <is>
          <t>NPM</t>
        </is>
      </c>
      <c r="C35" t="inlineStr">
        <is>
          <t>%</t>
        </is>
      </c>
      <c r="D35" t="inlineStr">
        <is>
          <t>지배주주순이익 / 매출액</t>
        </is>
      </c>
      <c r="E35" s="21">
        <f>IFERROR(E17/E5,"")</f>
        <v/>
      </c>
      <c r="F35" s="22">
        <f>IFERROR(F17/F5,"")</f>
        <v/>
      </c>
      <c r="G35" s="21">
        <f>IFERROR(G17/G5,"")</f>
        <v/>
      </c>
      <c r="H35" s="21">
        <f>IFERROR(H17/H5,"")</f>
        <v/>
      </c>
      <c r="I35" s="21">
        <f>IFERROR(I17/I5,"")</f>
        <v/>
      </c>
      <c r="J35" s="21">
        <f>IFERROR(J17/J5,"")</f>
        <v/>
      </c>
      <c r="K35" s="22">
        <f>IFERROR(K17/K5,"")</f>
        <v/>
      </c>
      <c r="L35" s="21">
        <f>IFERROR(L17/L5,"")</f>
        <v/>
      </c>
      <c r="M35" s="21">
        <f>IFERROR(M17/M5,"")</f>
        <v/>
      </c>
      <c r="N35" s="21">
        <f>IFERROR(N17/N5,"")</f>
        <v/>
      </c>
      <c r="O35" s="21">
        <f>IFERROR(O17/O5,"")</f>
        <v/>
      </c>
      <c r="P35" s="22">
        <f>IFERROR(P17/P5,"")</f>
        <v/>
      </c>
      <c r="Q35" s="21">
        <f>IFERROR(Q17/Q5,"")</f>
        <v/>
      </c>
      <c r="R35" s="21">
        <f>IFERROR(R17/R5,"")</f>
        <v/>
      </c>
      <c r="S35" s="21">
        <f>IFERROR(S17/S5,"")</f>
        <v/>
      </c>
      <c r="T35" s="21">
        <f>IFERROR(T17/T5,"")</f>
        <v/>
      </c>
      <c r="U35" s="22">
        <f>IFERROR(U17/U5,"")</f>
        <v/>
      </c>
      <c r="V35" s="21">
        <f>IFERROR(V17/V5,"")</f>
        <v/>
      </c>
      <c r="W35" s="21">
        <f>IFERROR(W17/W5,"")</f>
        <v/>
      </c>
      <c r="X35" s="21">
        <f>IFERROR(X17/X5,"")</f>
        <v/>
      </c>
      <c r="Y35" s="21">
        <f>IFERROR(Y17/Y5,"")</f>
        <v/>
      </c>
      <c r="Z35" s="22">
        <f>IFERROR(Z17/Z5,"")</f>
        <v/>
      </c>
      <c r="AA35" s="21">
        <f>IFERROR(AA17/AA5,"")</f>
        <v/>
      </c>
      <c r="AB35" s="23">
        <f>IFERROR(AB17/AB5,"")</f>
        <v/>
      </c>
      <c r="AC35" s="32">
        <f>IFERROR(AC17/AC5,"")</f>
        <v/>
      </c>
      <c r="AD35" s="32">
        <f>IFERROR(AD17/AD5,"")</f>
        <v/>
      </c>
      <c r="AE35" s="25">
        <f>IFERROR(AE17/AE5,"")</f>
        <v/>
      </c>
      <c r="AF35" s="32">
        <f>IFERROR(AF17/AF5,"")</f>
        <v/>
      </c>
      <c r="AG35" s="32">
        <f>IFERROR(AG17/AG5,"")</f>
        <v/>
      </c>
      <c r="AH35" s="32">
        <f>IFERROR(AH17/AH5,"")</f>
        <v/>
      </c>
      <c r="AI35" s="32">
        <f>IFERROR(AI17/AI5,"")</f>
        <v/>
      </c>
      <c r="AJ35" s="25">
        <f>IFERROR(AJ17/AJ5,"")</f>
        <v/>
      </c>
      <c r="AK35" s="32">
        <f>IFERROR(AK17/AK5,"")</f>
        <v/>
      </c>
      <c r="AL35" s="32">
        <f>IFERROR(AL17/AL5,"")</f>
        <v/>
      </c>
      <c r="AM35" s="32">
        <f>IFERROR(AM17/AM5,"")</f>
        <v/>
      </c>
      <c r="AN35" s="32">
        <f>IFERROR(AN17/AN5,"")</f>
        <v/>
      </c>
      <c r="AO35" s="25">
        <f>IFERROR(AO17/AO5,"")</f>
        <v/>
      </c>
    </row>
    <row r="36">
      <c r="A36" s="12" t="inlineStr">
        <is>
          <t>매출원가율</t>
        </is>
      </c>
      <c r="C36" t="inlineStr">
        <is>
          <t>%</t>
        </is>
      </c>
      <c r="D36" t="inlineStr">
        <is>
          <t>매출원가 / 매출액</t>
        </is>
      </c>
      <c r="E36" s="21">
        <f>IFERROR(E6/E5,"")</f>
        <v/>
      </c>
      <c r="F36" s="22">
        <f>IFERROR(F6/F5,"")</f>
        <v/>
      </c>
      <c r="G36" s="21">
        <f>IFERROR(G6/G5,"")</f>
        <v/>
      </c>
      <c r="H36" s="21">
        <f>IFERROR(H6/H5,"")</f>
        <v/>
      </c>
      <c r="I36" s="21">
        <f>IFERROR(I6/I5,"")</f>
        <v/>
      </c>
      <c r="J36" s="21">
        <f>IFERROR(J6/J5,"")</f>
        <v/>
      </c>
      <c r="K36" s="22">
        <f>IFERROR(K6/K5,"")</f>
        <v/>
      </c>
      <c r="L36" s="21">
        <f>IFERROR(L6/L5,"")</f>
        <v/>
      </c>
      <c r="M36" s="21">
        <f>IFERROR(M6/M5,"")</f>
        <v/>
      </c>
      <c r="N36" s="21">
        <f>IFERROR(N6/N5,"")</f>
        <v/>
      </c>
      <c r="O36" s="21">
        <f>IFERROR(O6/O5,"")</f>
        <v/>
      </c>
      <c r="P36" s="22">
        <f>IFERROR(P6/P5,"")</f>
        <v/>
      </c>
      <c r="Q36" s="21">
        <f>IFERROR(Q6/Q5,"")</f>
        <v/>
      </c>
      <c r="R36" s="21">
        <f>IFERROR(R6/R5,"")</f>
        <v/>
      </c>
      <c r="S36" s="21">
        <f>IFERROR(S6/S5,"")</f>
        <v/>
      </c>
      <c r="T36" s="21">
        <f>IFERROR(T6/T5,"")</f>
        <v/>
      </c>
      <c r="U36" s="22">
        <f>IFERROR(U6/U5,"")</f>
        <v/>
      </c>
      <c r="V36" s="21">
        <f>IFERROR(V6/V5,"")</f>
        <v/>
      </c>
      <c r="W36" s="21">
        <f>IFERROR(W6/W5,"")</f>
        <v/>
      </c>
      <c r="X36" s="21">
        <f>IFERROR(X6/X5,"")</f>
        <v/>
      </c>
      <c r="Y36" s="21">
        <f>IFERROR(Y6/Y5,"")</f>
        <v/>
      </c>
      <c r="Z36" s="22">
        <f>IFERROR(Z6/Z5,"")</f>
        <v/>
      </c>
      <c r="AA36" s="21">
        <f>IFERROR(AA6/AA5,"")</f>
        <v/>
      </c>
      <c r="AB36" s="23">
        <f>IFERROR(AB6/AB5,"")</f>
        <v/>
      </c>
      <c r="AC36" s="32">
        <f>IFERROR(AC6/AC5,"")</f>
        <v/>
      </c>
      <c r="AD36" s="32">
        <f>IFERROR(AD6/AD5,"")</f>
        <v/>
      </c>
      <c r="AE36" s="25">
        <f>IFERROR(AE6/AE5,"")</f>
        <v/>
      </c>
      <c r="AF36" s="32">
        <f>IFERROR(AF6/AF5,"")</f>
        <v/>
      </c>
      <c r="AG36" s="32">
        <f>IFERROR(AG6/AG5,"")</f>
        <v/>
      </c>
      <c r="AH36" s="32">
        <f>IFERROR(AH6/AH5,"")</f>
        <v/>
      </c>
      <c r="AI36" s="32">
        <f>IFERROR(AI6/AI5,"")</f>
        <v/>
      </c>
      <c r="AJ36" s="25">
        <f>IFERROR(AJ6/AJ5,"")</f>
        <v/>
      </c>
      <c r="AK36" s="32">
        <f>IFERROR(AK6/AK5,"")</f>
        <v/>
      </c>
      <c r="AL36" s="32">
        <f>IFERROR(AL6/AL5,"")</f>
        <v/>
      </c>
      <c r="AM36" s="32">
        <f>IFERROR(AM6/AM5,"")</f>
        <v/>
      </c>
      <c r="AN36" s="32">
        <f>IFERROR(AN6/AN5,"")</f>
        <v/>
      </c>
      <c r="AO36" s="25">
        <f>IFERROR(AO6/AO5,"")</f>
        <v/>
      </c>
    </row>
    <row r="37">
      <c r="A37" s="12" t="inlineStr">
        <is>
          <t>판관비율</t>
        </is>
      </c>
      <c r="C37" t="inlineStr">
        <is>
          <t>%</t>
        </is>
      </c>
      <c r="D37" t="inlineStr">
        <is>
          <t>판관비 / 매출액</t>
        </is>
      </c>
      <c r="E37" s="21">
        <f>IFERROR(E8/E5,"")</f>
        <v/>
      </c>
      <c r="F37" s="22">
        <f>IFERROR(F8/F5,"")</f>
        <v/>
      </c>
      <c r="G37" s="21">
        <f>IFERROR(G8/G5,"")</f>
        <v/>
      </c>
      <c r="H37" s="21">
        <f>IFERROR(H8/H5,"")</f>
        <v/>
      </c>
      <c r="I37" s="21">
        <f>IFERROR(I8/I5,"")</f>
        <v/>
      </c>
      <c r="J37" s="21">
        <f>IFERROR(J8/J5,"")</f>
        <v/>
      </c>
      <c r="K37" s="22">
        <f>IFERROR(K8/K5,"")</f>
        <v/>
      </c>
      <c r="L37" s="21">
        <f>IFERROR(L8/L5,"")</f>
        <v/>
      </c>
      <c r="M37" s="21">
        <f>IFERROR(M8/M5,"")</f>
        <v/>
      </c>
      <c r="N37" s="21">
        <f>IFERROR(N8/N5,"")</f>
        <v/>
      </c>
      <c r="O37" s="21">
        <f>IFERROR(O8/O5,"")</f>
        <v/>
      </c>
      <c r="P37" s="22">
        <f>IFERROR(P8/P5,"")</f>
        <v/>
      </c>
      <c r="Q37" s="21">
        <f>IFERROR(Q8/Q5,"")</f>
        <v/>
      </c>
      <c r="R37" s="21">
        <f>IFERROR(R8/R5,"")</f>
        <v/>
      </c>
      <c r="S37" s="21">
        <f>IFERROR(S8/S5,"")</f>
        <v/>
      </c>
      <c r="T37" s="21">
        <f>IFERROR(T8/T5,"")</f>
        <v/>
      </c>
      <c r="U37" s="22">
        <f>IFERROR(U8/U5,"")</f>
        <v/>
      </c>
      <c r="V37" s="21">
        <f>IFERROR(V8/V5,"")</f>
        <v/>
      </c>
      <c r="W37" s="21">
        <f>IFERROR(W8/W5,"")</f>
        <v/>
      </c>
      <c r="X37" s="21">
        <f>IFERROR(X8/X5,"")</f>
        <v/>
      </c>
      <c r="Y37" s="21">
        <f>IFERROR(Y8/Y5,"")</f>
        <v/>
      </c>
      <c r="Z37" s="22">
        <f>IFERROR(Z8/Z5,"")</f>
        <v/>
      </c>
      <c r="AA37" s="21">
        <f>IFERROR(AA8/AA5,"")</f>
        <v/>
      </c>
      <c r="AB37" s="23">
        <f>IFERROR(AB8/AB5,"")</f>
        <v/>
      </c>
      <c r="AC37" s="32">
        <f>IFERROR(AC8/AC5,"")</f>
        <v/>
      </c>
      <c r="AD37" s="32">
        <f>IFERROR(AD8/AD5,"")</f>
        <v/>
      </c>
      <c r="AE37" s="25">
        <f>IFERROR(AE8/AE5,"")</f>
        <v/>
      </c>
      <c r="AF37" s="32">
        <f>IFERROR(AF8/AF5,"")</f>
        <v/>
      </c>
      <c r="AG37" s="32">
        <f>IFERROR(AG8/AG5,"")</f>
        <v/>
      </c>
      <c r="AH37" s="32">
        <f>IFERROR(AH8/AH5,"")</f>
        <v/>
      </c>
      <c r="AI37" s="32">
        <f>IFERROR(AI8/AI5,"")</f>
        <v/>
      </c>
      <c r="AJ37" s="25">
        <f>IFERROR(AJ8/AJ5,"")</f>
        <v/>
      </c>
      <c r="AK37" s="32">
        <f>IFERROR(AK8/AK5,"")</f>
        <v/>
      </c>
      <c r="AL37" s="32">
        <f>IFERROR(AL8/AL5,"")</f>
        <v/>
      </c>
      <c r="AM37" s="32">
        <f>IFERROR(AM8/AM5,"")</f>
        <v/>
      </c>
      <c r="AN37" s="32">
        <f>IFERROR(AN8/AN5,"")</f>
        <v/>
      </c>
      <c r="AO37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변수!D38</f>
        <v/>
      </c>
      <c r="W2" s="42" t="n"/>
    </row>
    <row r="3">
      <c r="C3" t="inlineStr">
        <is>
          <t>기준일:</t>
        </is>
      </c>
      <c r="D3" t="inlineStr">
        <is>
          <t>20261012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  <c r="AF10" s="32">
        <f>IFERROR(VLOOKUP($A10,subQ,MATCH(AF$1,SUBQH,0),0),"")</f>
        <v/>
      </c>
      <c r="AG10" s="32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기타영업외손익</t>
        </is>
      </c>
      <c r="D13" t="inlineStr">
        <is>
          <t>기타영업외손익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세전이익</t>
        </is>
      </c>
      <c r="D14" t="inlineStr">
        <is>
          <t>법인세비용차감전이익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법인세비용</t>
        </is>
      </c>
      <c r="D15" t="inlineStr">
        <is>
          <t>법인세비용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당기순이익</t>
        </is>
      </c>
      <c r="D16" t="inlineStr">
        <is>
          <t>당기순이익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지배주주순이익</t>
        </is>
      </c>
      <c r="D17" t="inlineStr">
        <is>
          <t>지배주주순이익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자산총계</t>
        </is>
      </c>
      <c r="D18" t="inlineStr">
        <is>
          <t>자산총계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부채총계</t>
        </is>
      </c>
      <c r="D19" t="inlineStr">
        <is>
          <t>부채총계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자본총계</t>
        </is>
      </c>
      <c r="D20" t="inlineStr">
        <is>
          <t>자본총계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지배주주지분</t>
        </is>
      </c>
      <c r="D21" t="inlineStr">
        <is>
          <t>지배주주지분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이자발생자산</t>
        </is>
      </c>
      <c r="D22" t="inlineStr">
        <is>
          <t>이자발생자산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현금및현금성자산</t>
        </is>
      </c>
      <c r="D23" t="inlineStr">
        <is>
          <t>현금및현금성자산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CAPEX</t>
        </is>
      </c>
      <c r="D24" t="inlineStr">
        <is>
          <t>CAPEX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영업활동현금흐름</t>
        </is>
      </c>
      <c r="D25" t="inlineStr">
        <is>
          <t>영업활동현금흐름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주식수</t>
        </is>
      </c>
      <c r="D26" t="inlineStr">
        <is>
          <t>유통주식수</t>
        </is>
      </c>
      <c r="E26" s="27">
        <f>IFERROR(VLOOKUP($A26,subQ,MATCH(E$1,SUBQH,0),0),"")</f>
        <v/>
      </c>
      <c r="F26" s="27">
        <f>IFERROR(VLOOKUP($A26,subQ,MATCH(F$1,SUBQH,0),0),"")</f>
        <v/>
      </c>
      <c r="G26" s="27">
        <f>IFERROR(VLOOKUP($A26,subQ,MATCH(G$1,SUBQH,0),0),"")</f>
        <v/>
      </c>
      <c r="H26" s="27">
        <f>IFERROR(VLOOKUP($A26,subQ,MATCH(H$1,SUBQH,0),0),"")</f>
        <v/>
      </c>
      <c r="I26" s="27">
        <f>IFERROR(VLOOKUP($A26,subQ,MATCH(I$1,SUBQH,0),0),"")</f>
        <v/>
      </c>
      <c r="J26" s="27">
        <f>IFERROR(VLOOKUP($A26,subQ,MATCH(J$1,SUBQH,0),0),"")</f>
        <v/>
      </c>
      <c r="K26" s="27">
        <f>IFERROR(VLOOKUP($A26,subQ,MATCH(K$1,SUBQH,0),0),"")</f>
        <v/>
      </c>
      <c r="L26" s="27">
        <f>IFERROR(VLOOKUP($A26,subQ,MATCH(L$1,SUBQH,0),0),"")</f>
        <v/>
      </c>
      <c r="M26" s="27">
        <f>IFERROR(VLOOKUP($A26,subQ,MATCH(M$1,SUBQH,0),0),"")</f>
        <v/>
      </c>
      <c r="N26" s="27">
        <f>IFERROR(VLOOKUP($A26,subQ,MATCH(N$1,SUBQH,0),0),"")</f>
        <v/>
      </c>
      <c r="O26" s="27">
        <f>IFERROR(VLOOKUP($A26,subQ,MATCH(O$1,SUBQH,0),0),"")</f>
        <v/>
      </c>
      <c r="P26" s="27">
        <f>IFERROR(VLOOKUP($A26,subQ,MATCH(P$1,SUBQH,0),0),"")</f>
        <v/>
      </c>
      <c r="Q26" s="27">
        <f>IFERROR(VLOOKUP($A26,subQ,MATCH(Q$1,SUBQH,0),0),"")</f>
        <v/>
      </c>
      <c r="R26" s="27">
        <f>IFERROR(VLOOKUP($A26,subQ,MATCH(R$1,SUBQH,0),0),"")</f>
        <v/>
      </c>
      <c r="S26" s="27">
        <f>IFERROR(VLOOKUP($A26,subQ,MATCH(S$1,SUBQH,0),0),"")</f>
        <v/>
      </c>
      <c r="T26" s="27">
        <f>IFERROR(VLOOKUP($A26,subQ,MATCH(T$1,SUBQH,0),0),"")</f>
        <v/>
      </c>
      <c r="U26" s="27">
        <f>IFERROR(VLOOKUP($A26,subQ,MATCH(U$1,SUBQH,0),0),"")</f>
        <v/>
      </c>
      <c r="V26" s="27">
        <f>IFERROR(VLOOKUP($A26,subQ,MATCH(V$1,SUBQH,0),0),"")</f>
        <v/>
      </c>
      <c r="W26" s="47">
        <f>IFERROR(VLOOKUP($A26,subQ,MATCH(W$1,SUBQH,0),0),"")</f>
        <v/>
      </c>
      <c r="X26" s="33">
        <f>IFERROR(VLOOKUP($A26,subQ,MATCH(X$1,SUBQH,0),0),"")</f>
        <v/>
      </c>
      <c r="Y26" s="33">
        <f>IFERROR(VLOOKUP($A26,subQ,MATCH(Y$1,SUBQH,0),0),"")</f>
        <v/>
      </c>
      <c r="Z26" s="33">
        <f>IFERROR(VLOOKUP($A26,subQ,MATCH(Z$1,SUBQH,0),0),"")</f>
        <v/>
      </c>
      <c r="AA26" s="33">
        <f>IFERROR(VLOOKUP($A26,subQ,MATCH(AA$1,SUBQH,0),0),"")</f>
        <v/>
      </c>
      <c r="AB26" s="33">
        <f>IFERROR(VLOOKUP($A26,subQ,MATCH(AB$1,SUBQH,0),0),"")</f>
        <v/>
      </c>
      <c r="AC26" s="33">
        <f>IFERROR(VLOOKUP($A26,subQ,MATCH(AC$1,SUBQH,0),0),"")</f>
        <v/>
      </c>
      <c r="AD26" s="33">
        <f>IFERROR(VLOOKUP($A26,subQ,MATCH(AD$1,SUBQH,0),0),"")</f>
        <v/>
      </c>
      <c r="AE26" s="33">
        <f>IFERROR(VLOOKUP($A26,subQ,MATCH(AE$1,SUBQH,0),0),"")</f>
        <v/>
      </c>
      <c r="AF26" s="33">
        <f>IFERROR(VLOOKUP($A26,subQ,MATCH(AF$1,SUBQH,0),0),"")</f>
        <v/>
      </c>
      <c r="AG26" s="33">
        <f>IFERROR(VLOOKUP($A26,subQ,MATCH(AG$1,SUBQH,0),0),"")</f>
        <v/>
      </c>
    </row>
    <row r="27">
      <c r="A27" s="12" t="inlineStr">
        <is>
          <t>EPS</t>
        </is>
      </c>
      <c r="D27" t="inlineStr">
        <is>
          <t>EPS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BPS</t>
        </is>
      </c>
      <c r="D28" t="inlineStr">
        <is>
          <t>BPS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DPS</t>
        </is>
      </c>
      <c r="D29" t="inlineStr">
        <is>
          <t>DPS(보통주)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PER</t>
        </is>
      </c>
      <c r="D30" t="inlineStr">
        <is>
          <t>PER</t>
        </is>
      </c>
      <c r="E30" s="13">
        <f>IFERROR(VLOOKUP($A30,subQ,MATCH(E$1,SUBQH,0),0),"")</f>
        <v/>
      </c>
      <c r="F30" s="13">
        <f>IFERROR(VLOOKUP($A30,subQ,MATCH(F$1,SUBQH,0),0),"")</f>
        <v/>
      </c>
      <c r="G30" s="13">
        <f>IFERROR(VLOOKUP($A30,subQ,MATCH(G$1,SUBQH,0),0),"")</f>
        <v/>
      </c>
      <c r="H30" s="13">
        <f>IFERROR(VLOOKUP($A30,subQ,MATCH(H$1,SUBQH,0),0),"")</f>
        <v/>
      </c>
      <c r="I30" s="13">
        <f>IFERROR(VLOOKUP($A30,subQ,MATCH(I$1,SUBQH,0),0),"")</f>
        <v/>
      </c>
      <c r="J30" s="13">
        <f>IFERROR(VLOOKUP($A30,subQ,MATCH(J$1,SUBQH,0),0),"")</f>
        <v/>
      </c>
      <c r="K30" s="13">
        <f>IFERROR(VLOOKUP($A30,subQ,MATCH(K$1,SUBQH,0),0),"")</f>
        <v/>
      </c>
      <c r="L30" s="13">
        <f>IFERROR(VLOOKUP($A30,subQ,MATCH(L$1,SUBQH,0),0),"")</f>
        <v/>
      </c>
      <c r="M30" s="13">
        <f>IFERROR(VLOOKUP($A30,subQ,MATCH(M$1,SUBQH,0),0),"")</f>
        <v/>
      </c>
      <c r="N30" s="13">
        <f>IFERROR(VLOOKUP($A30,subQ,MATCH(N$1,SUBQH,0),0),"")</f>
        <v/>
      </c>
      <c r="O30" s="13">
        <f>IFERROR(VLOOKUP($A30,subQ,MATCH(O$1,SUBQH,0),0),"")</f>
        <v/>
      </c>
      <c r="P30" s="13">
        <f>IFERROR(VLOOKUP($A30,subQ,MATCH(P$1,SUBQH,0),0),"")</f>
        <v/>
      </c>
      <c r="Q30" s="13">
        <f>IFERROR(VLOOKUP($A30,subQ,MATCH(Q$1,SUBQH,0),0),"")</f>
        <v/>
      </c>
      <c r="R30" s="13">
        <f>IFERROR(VLOOKUP($A30,subQ,MATCH(R$1,SUBQH,0),0),"")</f>
        <v/>
      </c>
      <c r="S30" s="13">
        <f>IFERROR(VLOOKUP($A30,subQ,MATCH(S$1,SUBQH,0),0),"")</f>
        <v/>
      </c>
      <c r="T30" s="13">
        <f>IFERROR(VLOOKUP($A30,subQ,MATCH(T$1,SUBQH,0),0),"")</f>
        <v/>
      </c>
      <c r="U30" s="13">
        <f>IFERROR(VLOOKUP($A30,subQ,MATCH(U$1,SUBQH,0),0),"")</f>
        <v/>
      </c>
      <c r="V30" s="13">
        <f>IFERROR(VLOOKUP($A30,subQ,MATCH(V$1,SUBQH,0),0),"")</f>
        <v/>
      </c>
      <c r="W30" s="48">
        <f>IFERROR(VLOOKUP($A30,subQ,MATCH(W$1,SUBQH,0),0),"")</f>
        <v/>
      </c>
      <c r="X30" s="39">
        <f>IFERROR(VLOOKUP($A30,subQ,MATCH(X$1,SUBQH,0),0),"")</f>
        <v/>
      </c>
      <c r="Y30" s="39">
        <f>IFERROR(VLOOKUP($A30,subQ,MATCH(Y$1,SUBQH,0),0),"")</f>
        <v/>
      </c>
      <c r="Z30" s="39">
        <f>IFERROR(VLOOKUP($A30,subQ,MATCH(Z$1,SUBQH,0),0),"")</f>
        <v/>
      </c>
      <c r="AA30" s="39">
        <f>IFERROR(VLOOKUP($A30,subQ,MATCH(AA$1,SUBQH,0),0),"")</f>
        <v/>
      </c>
      <c r="AB30" s="39">
        <f>IFERROR(VLOOKUP($A30,subQ,MATCH(AB$1,SUBQH,0),0),"")</f>
        <v/>
      </c>
      <c r="AC30" s="39">
        <f>IFERROR(VLOOKUP($A30,subQ,MATCH(AC$1,SUBQH,0),0),"")</f>
        <v/>
      </c>
      <c r="AD30" s="39">
        <f>IFERROR(VLOOKUP($A30,subQ,MATCH(AD$1,SUBQH,0),0),"")</f>
        <v/>
      </c>
      <c r="AE30" s="39">
        <f>IFERROR(VLOOKUP($A30,subQ,MATCH(AE$1,SUBQH,0),0),"")</f>
        <v/>
      </c>
      <c r="AF30" s="39">
        <f>IFERROR(VLOOKUP($A30,subQ,MATCH(AF$1,SUBQH,0),0),"")</f>
        <v/>
      </c>
      <c r="AG30" s="39">
        <f>IFERROR(VLOOKUP($A30,subQ,MATCH(AG$1,SUBQH,0),0),"")</f>
        <v/>
      </c>
    </row>
    <row r="31">
      <c r="A31" s="12" t="inlineStr">
        <is>
          <t>PBR</t>
        </is>
      </c>
      <c r="D31" t="inlineStr">
        <is>
          <t>PBR</t>
        </is>
      </c>
      <c r="E31" s="13">
        <f>IFERROR(VLOOKUP($A31,subQ,MATCH(E$1,SUBQH,0),0),"")</f>
        <v/>
      </c>
      <c r="F31" s="13">
        <f>IFERROR(VLOOKUP($A31,subQ,MATCH(F$1,SUBQH,0),0),"")</f>
        <v/>
      </c>
      <c r="G31" s="13">
        <f>IFERROR(VLOOKUP($A31,subQ,MATCH(G$1,SUBQH,0),0),"")</f>
        <v/>
      </c>
      <c r="H31" s="13">
        <f>IFERROR(VLOOKUP($A31,subQ,MATCH(H$1,SUBQH,0),0),"")</f>
        <v/>
      </c>
      <c r="I31" s="13">
        <f>IFERROR(VLOOKUP($A31,subQ,MATCH(I$1,SUBQH,0),0),"")</f>
        <v/>
      </c>
      <c r="J31" s="13">
        <f>IFERROR(VLOOKUP($A31,subQ,MATCH(J$1,SUBQH,0),0),"")</f>
        <v/>
      </c>
      <c r="K31" s="13">
        <f>IFERROR(VLOOKUP($A31,subQ,MATCH(K$1,SUBQH,0),0),"")</f>
        <v/>
      </c>
      <c r="L31" s="13">
        <f>IFERROR(VLOOKUP($A31,subQ,MATCH(L$1,SUBQH,0),0),"")</f>
        <v/>
      </c>
      <c r="M31" s="13">
        <f>IFERROR(VLOOKUP($A31,subQ,MATCH(M$1,SUBQH,0),0),"")</f>
        <v/>
      </c>
      <c r="N31" s="13">
        <f>IFERROR(VLOOKUP($A31,subQ,MATCH(N$1,SUBQH,0),0),"")</f>
        <v/>
      </c>
      <c r="O31" s="13">
        <f>IFERROR(VLOOKUP($A31,subQ,MATCH(O$1,SUBQH,0),0),"")</f>
        <v/>
      </c>
      <c r="P31" s="13">
        <f>IFERROR(VLOOKUP($A31,subQ,MATCH(P$1,SUBQH,0),0),"")</f>
        <v/>
      </c>
      <c r="Q31" s="13">
        <f>IFERROR(VLOOKUP($A31,subQ,MATCH(Q$1,SUBQH,0),0),"")</f>
        <v/>
      </c>
      <c r="R31" s="13">
        <f>IFERROR(VLOOKUP($A31,subQ,MATCH(R$1,SUBQH,0),0),"")</f>
        <v/>
      </c>
      <c r="S31" s="13">
        <f>IFERROR(VLOOKUP($A31,subQ,MATCH(S$1,SUBQH,0),0),"")</f>
        <v/>
      </c>
      <c r="T31" s="13">
        <f>IFERROR(VLOOKUP($A31,subQ,MATCH(T$1,SUBQH,0),0),"")</f>
        <v/>
      </c>
      <c r="U31" s="13">
        <f>IFERROR(VLOOKUP($A31,subQ,MATCH(U$1,SUBQH,0),0),"")</f>
        <v/>
      </c>
      <c r="V31" s="13">
        <f>IFERROR(VLOOKUP($A31,subQ,MATCH(V$1,SUBQH,0),0),"")</f>
        <v/>
      </c>
      <c r="W31" s="48">
        <f>IFERROR(VLOOKUP($A31,subQ,MATCH(W$1,SUBQH,0),0),"")</f>
        <v/>
      </c>
      <c r="X31" s="39">
        <f>IFERROR(VLOOKUP($A31,subQ,MATCH(X$1,SUBQH,0),0),"")</f>
        <v/>
      </c>
      <c r="Y31" s="39">
        <f>IFERROR(VLOOKUP($A31,subQ,MATCH(Y$1,SUBQH,0),0),"")</f>
        <v/>
      </c>
      <c r="Z31" s="39">
        <f>IFERROR(VLOOKUP($A31,subQ,MATCH(Z$1,SUBQH,0),0),"")</f>
        <v/>
      </c>
      <c r="AA31" s="39">
        <f>IFERROR(VLOOKUP($A31,subQ,MATCH(AA$1,SUBQH,0),0),"")</f>
        <v/>
      </c>
      <c r="AB31" s="39">
        <f>IFERROR(VLOOKUP($A31,subQ,MATCH(AB$1,SUBQH,0),0),"")</f>
        <v/>
      </c>
      <c r="AC31" s="39">
        <f>IFERROR(VLOOKUP($A31,subQ,MATCH(AC$1,SUBQH,0),0),"")</f>
        <v/>
      </c>
      <c r="AD31" s="39">
        <f>IFERROR(VLOOKUP($A31,subQ,MATCH(AD$1,SUBQH,0),0),"")</f>
        <v/>
      </c>
      <c r="AE31" s="39">
        <f>IFERROR(VLOOKUP($A31,subQ,MATCH(AE$1,SUBQH,0),0),"")</f>
        <v/>
      </c>
      <c r="AF31" s="39">
        <f>IFERROR(VLOOKUP($A31,subQ,MATCH(AF$1,SUBQH,0),0),"")</f>
        <v/>
      </c>
      <c r="AG31" s="39">
        <f>IFERROR(VLOOKUP($A31,subQ,MATCH(AG$1,SUBQH,0),0),"")</f>
        <v/>
      </c>
    </row>
    <row r="32">
      <c r="A32" s="12" t="inlineStr">
        <is>
          <t>매출전사</t>
        </is>
      </c>
      <c r="D32" t="inlineStr">
        <is>
          <t>매출 전사(부문 미분리)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18">
        <f>IFERROR(VLOOKUP($A32,subQ,MATCH(U$1,SUBQH,0),0),"")</f>
        <v/>
      </c>
      <c r="V32" s="18">
        <f>IFERROR(VLOOKUP($A32,subQ,MATCH(V$1,SUBQH,0),0),"")</f>
        <v/>
      </c>
      <c r="W32" s="45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  <c r="AD32" s="20">
        <f>IFERROR(VLOOKUP($A32,subQ,MATCH(AD$1,SUBQH,0),0),"")</f>
        <v/>
      </c>
      <c r="AE32" s="20">
        <f>IFERROR(VLOOKUP($A32,subQ,MATCH(AE$1,SUBQH,0),0),"")</f>
        <v/>
      </c>
      <c r="AF32" s="20">
        <f>IFERROR(VLOOKUP($A32,subQ,MATCH(AF$1,SUBQH,0),0),"")</f>
        <v/>
      </c>
      <c r="AG32" s="20">
        <f>IFERROR(VLOOKUP($A32,subQ,MATCH(AG$1,SUBQH,0),0),"")</f>
        <v/>
      </c>
    </row>
    <row r="33">
      <c r="A33" s="12" t="inlineStr">
        <is>
          <t>OP전사</t>
        </is>
      </c>
      <c r="D33" t="inlineStr">
        <is>
          <t>OP 전사(부문 미분리)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18">
        <f>IFERROR(VLOOKUP($A33,subQ,MATCH(M$1,SUBQH,0),0),"")</f>
        <v/>
      </c>
      <c r="N33" s="18">
        <f>IFERROR(VLOOKUP($A33,subQ,MATCH(N$1,SUBQH,0),0),"")</f>
        <v/>
      </c>
      <c r="O33" s="18">
        <f>IFERROR(VLOOKUP($A33,subQ,MATCH(O$1,SUBQH,0),0),"")</f>
        <v/>
      </c>
      <c r="P33" s="18">
        <f>IFERROR(VLOOKUP($A33,subQ,MATCH(P$1,SUBQH,0),0),"")</f>
        <v/>
      </c>
      <c r="Q33" s="18">
        <f>IFERROR(VLOOKUP($A33,subQ,MATCH(Q$1,SUBQH,0),0),"")</f>
        <v/>
      </c>
      <c r="R33" s="18">
        <f>IFERROR(VLOOKUP($A33,subQ,MATCH(R$1,SUBQH,0),0),"")</f>
        <v/>
      </c>
      <c r="S33" s="18">
        <f>IFERROR(VLOOKUP($A33,subQ,MATCH(S$1,SUBQH,0),0),"")</f>
        <v/>
      </c>
      <c r="T33" s="18">
        <f>IFERROR(VLOOKUP($A33,subQ,MATCH(T$1,SUBQH,0),0),"")</f>
        <v/>
      </c>
      <c r="U33" s="18">
        <f>IFERROR(VLOOKUP($A33,subQ,MATCH(U$1,SUBQH,0),0),"")</f>
        <v/>
      </c>
      <c r="V33" s="18">
        <f>IFERROR(VLOOKUP($A33,subQ,MATCH(V$1,SUBQH,0),0),"")</f>
        <v/>
      </c>
      <c r="W33" s="45">
        <f>IFERROR(VLOOKUP($A33,subQ,MATCH(W$1,SUBQH,0),0),"")</f>
        <v/>
      </c>
      <c r="X33" s="20">
        <f>IFERROR(VLOOKUP($A33,subQ,MATCH(X$1,SUBQH,0),0),"")</f>
        <v/>
      </c>
      <c r="Y33" s="20">
        <f>IFERROR(VLOOKUP($A33,subQ,MATCH(Y$1,SUBQH,0),0),"")</f>
        <v/>
      </c>
      <c r="Z33" s="20">
        <f>IFERROR(VLOOKUP($A33,subQ,MATCH(Z$1,SUBQH,0),0),"")</f>
        <v/>
      </c>
      <c r="AA33" s="20">
        <f>IFERROR(VLOOKUP($A33,subQ,MATCH(AA$1,SUBQH,0),0),"")</f>
        <v/>
      </c>
      <c r="AB33" s="20">
        <f>IFERROR(VLOOKUP($A33,subQ,MATCH(AB$1,SUBQH,0),0),"")</f>
        <v/>
      </c>
      <c r="AC33" s="20">
        <f>IFERROR(VLOOKUP($A33,subQ,MATCH(AC$1,SUBQH,0),0),"")</f>
        <v/>
      </c>
      <c r="AD33" s="20">
        <f>IFERROR(VLOOKUP($A33,subQ,MATCH(AD$1,SUBQH,0),0),"")</f>
        <v/>
      </c>
      <c r="AE33" s="20">
        <f>IFERROR(VLOOKUP($A33,subQ,MATCH(AE$1,SUBQH,0),0),"")</f>
        <v/>
      </c>
      <c r="AF33" s="20">
        <f>IFERROR(VLOOKUP($A33,subQ,MATCH(AF$1,SUBQH,0),0),"")</f>
        <v/>
      </c>
      <c r="AG33" s="20">
        <f>IFERROR(VLOOKUP($A33,subQ,MATCH(AG$1,SUBQH,0),0),"")</f>
        <v/>
      </c>
    </row>
    <row r="34">
      <c r="A34" s="12" t="inlineStr">
        <is>
          <t>NPM</t>
        </is>
      </c>
      <c r="D34" t="inlineStr">
        <is>
          <t>NPM</t>
        </is>
      </c>
      <c r="E34" s="21">
        <f>IFERROR(VLOOKUP($A34,subQ,MATCH(E$1,SUBQH,0),0),"")</f>
        <v/>
      </c>
      <c r="F34" s="21">
        <f>IFERROR(VLOOKUP($A34,subQ,MATCH(F$1,SUBQH,0),0),"")</f>
        <v/>
      </c>
      <c r="G34" s="21">
        <f>IFERROR(VLOOKUP($A34,subQ,MATCH(G$1,SUBQH,0),0),"")</f>
        <v/>
      </c>
      <c r="H34" s="21">
        <f>IFERROR(VLOOKUP($A34,subQ,MATCH(H$1,SUBQH,0),0),"")</f>
        <v/>
      </c>
      <c r="I34" s="21">
        <f>IFERROR(VLOOKUP($A34,subQ,MATCH(I$1,SUBQH,0),0),"")</f>
        <v/>
      </c>
      <c r="J34" s="21">
        <f>IFERROR(VLOOKUP($A34,subQ,MATCH(J$1,SUBQH,0),0),"")</f>
        <v/>
      </c>
      <c r="K34" s="21">
        <f>IFERROR(VLOOKUP($A34,subQ,MATCH(K$1,SUBQH,0),0),"")</f>
        <v/>
      </c>
      <c r="L34" s="21">
        <f>IFERROR(VLOOKUP($A34,subQ,MATCH(L$1,SUBQH,0),0),"")</f>
        <v/>
      </c>
      <c r="M34" s="21">
        <f>IFERROR(VLOOKUP($A34,subQ,MATCH(M$1,SUBQH,0),0),"")</f>
        <v/>
      </c>
      <c r="N34" s="21">
        <f>IFERROR(VLOOKUP($A34,subQ,MATCH(N$1,SUBQH,0),0),"")</f>
        <v/>
      </c>
      <c r="O34" s="21">
        <f>IFERROR(VLOOKUP($A34,subQ,MATCH(O$1,SUBQH,0),0),"")</f>
        <v/>
      </c>
      <c r="P34" s="21">
        <f>IFERROR(VLOOKUP($A34,subQ,MATCH(P$1,SUBQH,0),0),"")</f>
        <v/>
      </c>
      <c r="Q34" s="21">
        <f>IFERROR(VLOOKUP($A34,subQ,MATCH(Q$1,SUBQH,0),0),"")</f>
        <v/>
      </c>
      <c r="R34" s="21">
        <f>IFERROR(VLOOKUP($A34,subQ,MATCH(R$1,SUBQH,0),0),"")</f>
        <v/>
      </c>
      <c r="S34" s="21">
        <f>IFERROR(VLOOKUP($A34,subQ,MATCH(S$1,SUBQH,0),0),"")</f>
        <v/>
      </c>
      <c r="T34" s="21">
        <f>IFERROR(VLOOKUP($A34,subQ,MATCH(T$1,SUBQH,0),0),"")</f>
        <v/>
      </c>
      <c r="U34" s="21">
        <f>IFERROR(VLOOKUP($A34,subQ,MATCH(U$1,SUBQH,0),0),"")</f>
        <v/>
      </c>
      <c r="V34" s="21">
        <f>IFERROR(VLOOKUP($A34,subQ,MATCH(V$1,SUBQH,0),0),"")</f>
        <v/>
      </c>
      <c r="W34" s="46">
        <f>IFERROR(VLOOKUP($A34,subQ,MATCH(W$1,SUBQH,0),0),"")</f>
        <v/>
      </c>
      <c r="X34" s="32">
        <f>IFERROR(VLOOKUP($A34,subQ,MATCH(X$1,SUBQH,0),0),"")</f>
        <v/>
      </c>
      <c r="Y34" s="32">
        <f>IFERROR(VLOOKUP($A34,subQ,MATCH(Y$1,SUBQH,0),0),"")</f>
        <v/>
      </c>
      <c r="Z34" s="32">
        <f>IFERROR(VLOOKUP($A34,subQ,MATCH(Z$1,SUBQH,0),0),"")</f>
        <v/>
      </c>
      <c r="AA34" s="32">
        <f>IFERROR(VLOOKUP($A34,subQ,MATCH(AA$1,SUBQH,0),0),"")</f>
        <v/>
      </c>
      <c r="AB34" s="32">
        <f>IFERROR(VLOOKUP($A34,subQ,MATCH(AB$1,SUBQH,0),0),"")</f>
        <v/>
      </c>
      <c r="AC34" s="32">
        <f>IFERROR(VLOOKUP($A34,subQ,MATCH(AC$1,SUBQH,0),0),"")</f>
        <v/>
      </c>
      <c r="AD34" s="32">
        <f>IFERROR(VLOOKUP($A34,subQ,MATCH(AD$1,SUBQH,0),0),"")</f>
        <v/>
      </c>
      <c r="AE34" s="32">
        <f>IFERROR(VLOOKUP($A34,subQ,MATCH(AE$1,SUBQH,0),0),"")</f>
        <v/>
      </c>
      <c r="AF34" s="32">
        <f>IFERROR(VLOOKUP($A34,subQ,MATCH(AF$1,SUBQH,0),0),"")</f>
        <v/>
      </c>
      <c r="AG34" s="32">
        <f>IFERROR(VLOOKUP($A34,subQ,MATCH(AG$1,SUBQH,0),0),"")</f>
        <v/>
      </c>
    </row>
    <row r="35">
      <c r="A35" s="12" t="inlineStr">
        <is>
          <t>매출액 YoY</t>
        </is>
      </c>
      <c r="D35" t="inlineStr">
        <is>
          <t>매출액 YoY</t>
        </is>
      </c>
      <c r="I35" s="21">
        <f>IFERROR(I5/E5-1,"")</f>
        <v/>
      </c>
      <c r="J35" s="21">
        <f>IFERROR(J5/F5-1,"")</f>
        <v/>
      </c>
      <c r="K35" s="21">
        <f>IFERROR(K5/G5-1,"")</f>
        <v/>
      </c>
      <c r="L35" s="21">
        <f>IFERROR(L5/H5-1,"")</f>
        <v/>
      </c>
      <c r="M35" s="21">
        <f>IFERROR(M5/I5-1,"")</f>
        <v/>
      </c>
      <c r="N35" s="21">
        <f>IFERROR(N5/J5-1,"")</f>
        <v/>
      </c>
      <c r="O35" s="21">
        <f>IFERROR(O5/K5-1,"")</f>
        <v/>
      </c>
      <c r="P35" s="21">
        <f>IFERROR(P5/L5-1,"")</f>
        <v/>
      </c>
      <c r="Q35" s="21">
        <f>IFERROR(Q5/M5-1,"")</f>
        <v/>
      </c>
      <c r="R35" s="21">
        <f>IFERROR(R5/N5-1,"")</f>
        <v/>
      </c>
      <c r="S35" s="21">
        <f>IFERROR(S5/O5-1,"")</f>
        <v/>
      </c>
      <c r="T35" s="21">
        <f>IFERROR(T5/P5-1,"")</f>
        <v/>
      </c>
      <c r="U35" s="21">
        <f>IFERROR(U5/Q5-1,"")</f>
        <v/>
      </c>
      <c r="V35" s="21">
        <f>IFERROR(V5/R5-1,"")</f>
        <v/>
      </c>
      <c r="W35" s="46">
        <f>IFERROR(W5/S5-1,"")</f>
        <v/>
      </c>
      <c r="X35" s="32">
        <f>IFERROR(X5/T5-1,"")</f>
        <v/>
      </c>
      <c r="Y35" s="32">
        <f>IFERROR(Y5/U5-1,"")</f>
        <v/>
      </c>
      <c r="Z35" s="32">
        <f>IFERROR(Z5/V5-1,"")</f>
        <v/>
      </c>
      <c r="AA35" s="32">
        <f>IFERROR(AA5/W5-1,"")</f>
        <v/>
      </c>
      <c r="AB35" s="32">
        <f>IFERROR(AB5/X5-1,"")</f>
        <v/>
      </c>
      <c r="AC35" s="32">
        <f>IFERROR(AC5/Y5-1,"")</f>
        <v/>
      </c>
      <c r="AD35" s="32">
        <f>IFERROR(AD5/Z5-1,"")</f>
        <v/>
      </c>
      <c r="AE35" s="32">
        <f>IFERROR(AE5/AA5-1,"")</f>
        <v/>
      </c>
      <c r="AF35" s="32">
        <f>IFERROR(AF5/AB5-1,"")</f>
        <v/>
      </c>
      <c r="AG35" s="32">
        <f>IFERROR(AG5/AC5-1,"")</f>
        <v/>
      </c>
    </row>
    <row r="36">
      <c r="A36" s="12" t="inlineStr">
        <is>
          <t>영업이익 YoY</t>
        </is>
      </c>
      <c r="D36" t="inlineStr">
        <is>
          <t>영업이익 YoY</t>
        </is>
      </c>
      <c r="I36" s="21">
        <f>IFERROR(I9/E9-1,"")</f>
        <v/>
      </c>
      <c r="J36" s="21">
        <f>IFERROR(J9/F9-1,"")</f>
        <v/>
      </c>
      <c r="K36" s="21">
        <f>IFERROR(K9/G9-1,"")</f>
        <v/>
      </c>
      <c r="L36" s="21">
        <f>IFERROR(L9/H9-1,"")</f>
        <v/>
      </c>
      <c r="M36" s="21">
        <f>IFERROR(M9/I9-1,"")</f>
        <v/>
      </c>
      <c r="N36" s="21">
        <f>IFERROR(N9/J9-1,"")</f>
        <v/>
      </c>
      <c r="O36" s="21">
        <f>IFERROR(O9/K9-1,"")</f>
        <v/>
      </c>
      <c r="P36" s="21">
        <f>IFERROR(P9/L9-1,"")</f>
        <v/>
      </c>
      <c r="Q36" s="21">
        <f>IFERROR(Q9/M9-1,"")</f>
        <v/>
      </c>
      <c r="R36" s="21">
        <f>IFERROR(R9/N9-1,"")</f>
        <v/>
      </c>
      <c r="S36" s="21">
        <f>IFERROR(S9/O9-1,"")</f>
        <v/>
      </c>
      <c r="T36" s="21">
        <f>IFERROR(T9/P9-1,"")</f>
        <v/>
      </c>
      <c r="U36" s="21">
        <f>IFERROR(U9/Q9-1,"")</f>
        <v/>
      </c>
      <c r="V36" s="21">
        <f>IFERROR(V9/R9-1,"")</f>
        <v/>
      </c>
      <c r="W36" s="46">
        <f>IFERROR(W9/S9-1,"")</f>
        <v/>
      </c>
      <c r="X36" s="32">
        <f>IFERROR(X9/T9-1,"")</f>
        <v/>
      </c>
      <c r="Y36" s="32">
        <f>IFERROR(Y9/U9-1,"")</f>
        <v/>
      </c>
      <c r="Z36" s="32">
        <f>IFERROR(Z9/V9-1,"")</f>
        <v/>
      </c>
      <c r="AA36" s="32">
        <f>IFERROR(AA9/W9-1,"")</f>
        <v/>
      </c>
      <c r="AB36" s="32">
        <f>IFERROR(AB9/X9-1,"")</f>
        <v/>
      </c>
      <c r="AC36" s="32">
        <f>IFERROR(AC9/Y9-1,"")</f>
        <v/>
      </c>
      <c r="AD36" s="32">
        <f>IFERROR(AD9/Z9-1,"")</f>
        <v/>
      </c>
      <c r="AE36" s="32">
        <f>IFERROR(AE9/AA9-1,"")</f>
        <v/>
      </c>
      <c r="AF36" s="32">
        <f>IFERROR(AF9/AB9-1,"")</f>
        <v/>
      </c>
      <c r="AG36" s="32">
        <f>IFERROR(AG9/AC9-1,"")</f>
        <v/>
      </c>
    </row>
    <row r="37">
      <c r="A37" s="12" t="inlineStr">
        <is>
          <t>지배주주순이익 YoY</t>
        </is>
      </c>
      <c r="D37" t="inlineStr">
        <is>
          <t>지배주주순이익 YoY</t>
        </is>
      </c>
      <c r="I37" s="21">
        <f>IFERROR(I17/E17-1,"")</f>
        <v/>
      </c>
      <c r="J37" s="21">
        <f>IFERROR(J17/F17-1,"")</f>
        <v/>
      </c>
      <c r="K37" s="21">
        <f>IFERROR(K17/G17-1,"")</f>
        <v/>
      </c>
      <c r="L37" s="21">
        <f>IFERROR(L17/H17-1,"")</f>
        <v/>
      </c>
      <c r="M37" s="21">
        <f>IFERROR(M17/I17-1,"")</f>
        <v/>
      </c>
      <c r="N37" s="21">
        <f>IFERROR(N17/J17-1,"")</f>
        <v/>
      </c>
      <c r="O37" s="21">
        <f>IFERROR(O17/K17-1,"")</f>
        <v/>
      </c>
      <c r="P37" s="21">
        <f>IFERROR(P17/L17-1,"")</f>
        <v/>
      </c>
      <c r="Q37" s="21">
        <f>IFERROR(Q17/M17-1,"")</f>
        <v/>
      </c>
      <c r="R37" s="21">
        <f>IFERROR(R17/N17-1,"")</f>
        <v/>
      </c>
      <c r="S37" s="21">
        <f>IFERROR(S17/O17-1,"")</f>
        <v/>
      </c>
      <c r="T37" s="21">
        <f>IFERROR(T17/P17-1,"")</f>
        <v/>
      </c>
      <c r="U37" s="21">
        <f>IFERROR(U17/Q17-1,"")</f>
        <v/>
      </c>
      <c r="V37" s="21">
        <f>IFERROR(V17/R17-1,"")</f>
        <v/>
      </c>
      <c r="W37" s="46">
        <f>IFERROR(W17/S17-1,"")</f>
        <v/>
      </c>
      <c r="X37" s="32">
        <f>IFERROR(X17/T17-1,"")</f>
        <v/>
      </c>
      <c r="Y37" s="32">
        <f>IFERROR(Y17/U17-1,"")</f>
        <v/>
      </c>
      <c r="Z37" s="32">
        <f>IFERROR(Z17/V17-1,"")</f>
        <v/>
      </c>
      <c r="AA37" s="32">
        <f>IFERROR(AA17/W17-1,"")</f>
        <v/>
      </c>
      <c r="AB37" s="32">
        <f>IFERROR(AB17/X17-1,"")</f>
        <v/>
      </c>
      <c r="AC37" s="32">
        <f>IFERROR(AC17/Y17-1,"")</f>
        <v/>
      </c>
      <c r="AD37" s="32">
        <f>IFERROR(AD17/Z17-1,"")</f>
        <v/>
      </c>
      <c r="AE37" s="32">
        <f>IFERROR(AE17/AA17-1,"")</f>
        <v/>
      </c>
      <c r="AF37" s="32">
        <f>IFERROR(AF17/AB17-1,"")</f>
        <v/>
      </c>
      <c r="AG37" s="32">
        <f>IFERROR(AG17/AC17-1,"")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변수!D38</f>
        <v/>
      </c>
      <c r="I2" s="42" t="n"/>
    </row>
    <row r="3">
      <c r="C3" t="inlineStr">
        <is>
          <t>기준일:</t>
        </is>
      </c>
      <c r="D3" t="inlineStr">
        <is>
          <t>20261012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기타영업외손익</t>
        </is>
      </c>
      <c r="D13" t="inlineStr">
        <is>
          <t>기타영업외손익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세전이익</t>
        </is>
      </c>
      <c r="D14" t="inlineStr">
        <is>
          <t>법인세비용차감전이익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법인세비용</t>
        </is>
      </c>
      <c r="D15" t="inlineStr">
        <is>
          <t>법인세비용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당기순이익</t>
        </is>
      </c>
      <c r="D16" t="inlineStr">
        <is>
          <t>당기순이익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지배주주순이익</t>
        </is>
      </c>
      <c r="D17" t="inlineStr">
        <is>
          <t>지배주주순이익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자산총계</t>
        </is>
      </c>
      <c r="D18" t="inlineStr">
        <is>
          <t>자산총계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부채총계</t>
        </is>
      </c>
      <c r="D19" t="inlineStr">
        <is>
          <t>부채총계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자본총계</t>
        </is>
      </c>
      <c r="D20" t="inlineStr">
        <is>
          <t>자본총계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지배주주지분</t>
        </is>
      </c>
      <c r="D21" t="inlineStr">
        <is>
          <t>지배주주지분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이자발생자산</t>
        </is>
      </c>
      <c r="D22" t="inlineStr">
        <is>
          <t>이자발생자산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현금및현금성자산</t>
        </is>
      </c>
      <c r="D23" t="inlineStr">
        <is>
          <t>현금및현금성자산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CAPEX</t>
        </is>
      </c>
      <c r="D24" t="inlineStr">
        <is>
          <t>CAPEX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영업활동현금흐름</t>
        </is>
      </c>
      <c r="D25" t="inlineStr">
        <is>
          <t>영업활동현금흐름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주식수</t>
        </is>
      </c>
      <c r="D26" t="inlineStr">
        <is>
          <t>유통주식수</t>
        </is>
      </c>
      <c r="E26" s="27">
        <f>IFERROR(VLOOKUP($A26,subQ,MATCH(E$1,SUBQH,0),0),"")</f>
        <v/>
      </c>
      <c r="F26" s="27">
        <f>IFERROR(VLOOKUP($A26,subQ,MATCH(F$1,SUBQH,0),0),"")</f>
        <v/>
      </c>
      <c r="G26" s="27">
        <f>IFERROR(VLOOKUP($A26,subQ,MATCH(G$1,SUBQH,0),0),"")</f>
        <v/>
      </c>
      <c r="H26" s="27">
        <f>IFERROR(VLOOKUP($A26,subQ,MATCH(H$1,SUBQH,0),0),"")</f>
        <v/>
      </c>
      <c r="I26" s="47">
        <f>IFERROR(VLOOKUP($A26,subQ,MATCH(I$1,SUBQH,0),0),"")</f>
        <v/>
      </c>
      <c r="J26" s="33">
        <f>IFERROR(VLOOKUP($A26,subQ,MATCH(J$1,SUBQH,0),0),"")</f>
        <v/>
      </c>
      <c r="K26" s="33">
        <f>IFERROR(VLOOKUP($A26,subQ,MATCH(K$1,SUBQH,0),0),"")</f>
        <v/>
      </c>
      <c r="L26" s="33">
        <f>IFERROR(VLOOKUP($A26,subQ,MATCH(L$1,SUBQH,0),0),"")</f>
        <v/>
      </c>
    </row>
    <row r="27">
      <c r="A27" s="12" t="inlineStr">
        <is>
          <t>EPS</t>
        </is>
      </c>
      <c r="D27" t="inlineStr">
        <is>
          <t>EPS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BPS</t>
        </is>
      </c>
      <c r="D28" t="inlineStr">
        <is>
          <t>BPS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DPS</t>
        </is>
      </c>
      <c r="D29" t="inlineStr">
        <is>
          <t>DPS(보통주)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PER</t>
        </is>
      </c>
      <c r="D30" t="inlineStr">
        <is>
          <t>PER</t>
        </is>
      </c>
      <c r="E30" s="13">
        <f>IFERROR(VLOOKUP($A30,subQ,MATCH(E$1,SUBQH,0),0),"")</f>
        <v/>
      </c>
      <c r="F30" s="13">
        <f>IFERROR(VLOOKUP($A30,subQ,MATCH(F$1,SUBQH,0),0),"")</f>
        <v/>
      </c>
      <c r="G30" s="13">
        <f>IFERROR(VLOOKUP($A30,subQ,MATCH(G$1,SUBQH,0),0),"")</f>
        <v/>
      </c>
      <c r="H30" s="13">
        <f>IFERROR(VLOOKUP($A30,subQ,MATCH(H$1,SUBQH,0),0),"")</f>
        <v/>
      </c>
      <c r="I30" s="48">
        <f>IFERROR(VLOOKUP($A30,subQ,MATCH(I$1,SUBQH,0),0),"")</f>
        <v/>
      </c>
      <c r="J30" s="39">
        <f>IFERROR(VLOOKUP($A30,subQ,MATCH(J$1,SUBQH,0),0),"")</f>
        <v/>
      </c>
      <c r="K30" s="39">
        <f>IFERROR(VLOOKUP($A30,subQ,MATCH(K$1,SUBQH,0),0),"")</f>
        <v/>
      </c>
      <c r="L30" s="39">
        <f>IFERROR(VLOOKUP($A30,subQ,MATCH(L$1,SUBQH,0),0),"")</f>
        <v/>
      </c>
    </row>
    <row r="31">
      <c r="A31" s="12" t="inlineStr">
        <is>
          <t>PBR</t>
        </is>
      </c>
      <c r="D31" t="inlineStr">
        <is>
          <t>PBR</t>
        </is>
      </c>
      <c r="E31" s="13">
        <f>IFERROR(VLOOKUP($A31,subQ,MATCH(E$1,SUBQH,0),0),"")</f>
        <v/>
      </c>
      <c r="F31" s="13">
        <f>IFERROR(VLOOKUP($A31,subQ,MATCH(F$1,SUBQH,0),0),"")</f>
        <v/>
      </c>
      <c r="G31" s="13">
        <f>IFERROR(VLOOKUP($A31,subQ,MATCH(G$1,SUBQH,0),0),"")</f>
        <v/>
      </c>
      <c r="H31" s="13">
        <f>IFERROR(VLOOKUP($A31,subQ,MATCH(H$1,SUBQH,0),0),"")</f>
        <v/>
      </c>
      <c r="I31" s="48">
        <f>IFERROR(VLOOKUP($A31,subQ,MATCH(I$1,SUBQH,0),0),"")</f>
        <v/>
      </c>
      <c r="J31" s="39">
        <f>IFERROR(VLOOKUP($A31,subQ,MATCH(J$1,SUBQH,0),0),"")</f>
        <v/>
      </c>
      <c r="K31" s="39">
        <f>IFERROR(VLOOKUP($A31,subQ,MATCH(K$1,SUBQH,0),0),"")</f>
        <v/>
      </c>
      <c r="L31" s="39">
        <f>IFERROR(VLOOKUP($A31,subQ,MATCH(L$1,SUBQH,0),0),"")</f>
        <v/>
      </c>
    </row>
    <row r="32">
      <c r="A32" s="12" t="inlineStr">
        <is>
          <t>매출전사</t>
        </is>
      </c>
      <c r="D32" t="inlineStr">
        <is>
          <t>매출 전사(부문 미분리)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45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  <c r="L32" s="20">
        <f>IFERROR(VLOOKUP($A32,subQ,MATCH(L$1,SUBQH,0),0),"")</f>
        <v/>
      </c>
    </row>
    <row r="33">
      <c r="A33" s="12" t="inlineStr">
        <is>
          <t>OP전사</t>
        </is>
      </c>
      <c r="D33" t="inlineStr">
        <is>
          <t>OP 전사(부문 미분리)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45">
        <f>IFERROR(VLOOKUP($A33,subQ,MATCH(I$1,SUBQH,0),0),"")</f>
        <v/>
      </c>
      <c r="J33" s="20">
        <f>IFERROR(VLOOKUP($A33,subQ,MATCH(J$1,SUBQH,0),0),"")</f>
        <v/>
      </c>
      <c r="K33" s="20">
        <f>IFERROR(VLOOKUP($A33,subQ,MATCH(K$1,SUBQH,0),0),"")</f>
        <v/>
      </c>
      <c r="L33" s="20">
        <f>IFERROR(VLOOKUP($A33,subQ,MATCH(L$1,SUBQH,0),0),"")</f>
        <v/>
      </c>
    </row>
    <row r="34">
      <c r="A34" s="12" t="inlineStr">
        <is>
          <t>NPM</t>
        </is>
      </c>
      <c r="D34" t="inlineStr">
        <is>
          <t>NPM</t>
        </is>
      </c>
      <c r="E34" s="21">
        <f>IFERROR(VLOOKUP($A34,subQ,MATCH(E$1,SUBQH,0),0),"")</f>
        <v/>
      </c>
      <c r="F34" s="21">
        <f>IFERROR(VLOOKUP($A34,subQ,MATCH(F$1,SUBQH,0),0),"")</f>
        <v/>
      </c>
      <c r="G34" s="21">
        <f>IFERROR(VLOOKUP($A34,subQ,MATCH(G$1,SUBQH,0),0),"")</f>
        <v/>
      </c>
      <c r="H34" s="21">
        <f>IFERROR(VLOOKUP($A34,subQ,MATCH(H$1,SUBQH,0),0),"")</f>
        <v/>
      </c>
      <c r="I34" s="46">
        <f>IFERROR(VLOOKUP($A34,subQ,MATCH(I$1,SUBQH,0),0),"")</f>
        <v/>
      </c>
      <c r="J34" s="32">
        <f>IFERROR(VLOOKUP($A34,subQ,MATCH(J$1,SUBQH,0),0),"")</f>
        <v/>
      </c>
      <c r="K34" s="32">
        <f>IFERROR(VLOOKUP($A34,subQ,MATCH(K$1,SUBQH,0),0),"")</f>
        <v/>
      </c>
      <c r="L34" s="32">
        <f>IFERROR(VLOOKUP($A34,subQ,MATCH(L$1,SUBQH,0),0),"")</f>
        <v/>
      </c>
    </row>
    <row r="35">
      <c r="A35" s="12" t="inlineStr">
        <is>
          <t>매출액 YoY</t>
        </is>
      </c>
      <c r="D35" t="inlineStr">
        <is>
          <t>매출액 YoY</t>
        </is>
      </c>
      <c r="F35" s="21">
        <f>IFERROR(F5/E5-1,"")</f>
        <v/>
      </c>
      <c r="G35" s="21">
        <f>IFERROR(G5/F5-1,"")</f>
        <v/>
      </c>
      <c r="H35" s="21">
        <f>IFERROR(H5/G5-1,"")</f>
        <v/>
      </c>
      <c r="I35" s="46">
        <f>IFERROR(I5/H5-1,"")</f>
        <v/>
      </c>
      <c r="J35" s="32">
        <f>IFERROR(J5/I5-1,"")</f>
        <v/>
      </c>
      <c r="K35" s="32">
        <f>IFERROR(K5/J5-1,"")</f>
        <v/>
      </c>
      <c r="L35" s="32">
        <f>IFERROR(L5/K5-1,"")</f>
        <v/>
      </c>
    </row>
    <row r="36">
      <c r="A36" s="12" t="inlineStr">
        <is>
          <t>영업이익 YoY</t>
        </is>
      </c>
      <c r="D36" t="inlineStr">
        <is>
          <t>영업이익 YoY</t>
        </is>
      </c>
      <c r="F36" s="21">
        <f>IFERROR(F9/E9-1,"")</f>
        <v/>
      </c>
      <c r="G36" s="21">
        <f>IFERROR(G9/F9-1,"")</f>
        <v/>
      </c>
      <c r="H36" s="21">
        <f>IFERROR(H9/G9-1,"")</f>
        <v/>
      </c>
      <c r="I36" s="46">
        <f>IFERROR(I9/H9-1,"")</f>
        <v/>
      </c>
      <c r="J36" s="32">
        <f>IFERROR(J9/I9-1,"")</f>
        <v/>
      </c>
      <c r="K36" s="32">
        <f>IFERROR(K9/J9-1,"")</f>
        <v/>
      </c>
      <c r="L36" s="32">
        <f>IFERROR(L9/K9-1,"")</f>
        <v/>
      </c>
    </row>
    <row r="37">
      <c r="A37" s="12" t="inlineStr">
        <is>
          <t>지배주주순이익 YoY</t>
        </is>
      </c>
      <c r="D37" t="inlineStr">
        <is>
          <t>지배주주순이익 YoY</t>
        </is>
      </c>
      <c r="F37" s="21">
        <f>IFERROR(F17/E17-1,"")</f>
        <v/>
      </c>
      <c r="G37" s="21">
        <f>IFERROR(G17/F17-1,"")</f>
        <v/>
      </c>
      <c r="H37" s="21">
        <f>IFERROR(H17/G17-1,"")</f>
        <v/>
      </c>
      <c r="I37" s="46">
        <f>IFERROR(I17/H17-1,"")</f>
        <v/>
      </c>
      <c r="J37" s="32">
        <f>IFERROR(J17/I17-1,"")</f>
        <v/>
      </c>
      <c r="K37" s="32">
        <f>IFERROR(K17/J17-1,"")</f>
        <v/>
      </c>
      <c r="L37" s="32">
        <f>IFERROR(L17/K17-1,"")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변수!D38</f>
        <v/>
      </c>
    </row>
    <row r="2">
      <c r="B2" s="1" t="inlineStr">
        <is>
          <t>기준일</t>
        </is>
      </c>
      <c r="C2">
        <f>변수!D39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IFERROR(E7*변수!D44+F7*(1-변수!D44),"")</f>
        <v/>
      </c>
    </row>
    <row r="15">
      <c r="C15" t="inlineStr">
        <is>
          <t>적정가치 @PER_lo</t>
        </is>
      </c>
      <c r="D15" s="27">
        <f>변수!D41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변수!D42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변수!D43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변수!D40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4965.2</v>
      </c>
    </row>
    <row r="30">
      <c r="C30" s="2" t="inlineStr">
        <is>
          <t>bps_latest</t>
        </is>
      </c>
      <c r="D30" t="n">
        <v>40031.8</v>
      </c>
    </row>
    <row r="31">
      <c r="C31" s="2" t="inlineStr">
        <is>
          <t>per_now</t>
        </is>
      </c>
      <c r="D31" t="n">
        <v>6.72</v>
      </c>
    </row>
    <row r="32">
      <c r="C32" s="2" t="inlineStr">
        <is>
          <t>pbr_now</t>
        </is>
      </c>
      <c r="D32" t="n">
        <v>0.83</v>
      </c>
    </row>
    <row r="33">
      <c r="C33" s="2" t="inlineStr">
        <is>
          <t>roe_fwd</t>
        </is>
      </c>
      <c r="D33" t="n">
        <v>0.124</v>
      </c>
    </row>
    <row r="34">
      <c r="C34" s="2" t="inlineStr">
        <is>
          <t>fair_pbr</t>
        </is>
      </c>
      <c r="D34" t="n">
        <v>1.38</v>
      </c>
    </row>
    <row r="35">
      <c r="C35" s="2" t="inlineStr">
        <is>
          <t>fair_value_pbr</t>
        </is>
      </c>
      <c r="D35" t="n">
        <v>55200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  <c r="AF6" s="32">
        <f>IFERROR(AF5/AE5-1,"")</f>
        <v/>
      </c>
      <c r="AG6" s="32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  <c r="AF8" s="32">
        <f>IFERROR(AF7/AE7-1,"")</f>
        <v/>
      </c>
      <c r="AG8" s="32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  <c r="AF10" s="32">
        <f>IFERROR(AF9/AE9-1,"")</f>
        <v/>
      </c>
      <c r="AG10" s="32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  <c r="AF12" s="32">
        <f>IFERROR(AF11/AE11-1,"")</f>
        <v/>
      </c>
      <c r="AG12" s="32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  <c r="AF14" s="32">
        <f>IFERROR(AF13/AE13-1,"")</f>
        <v/>
      </c>
      <c r="AG14" s="32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변수!D51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2026-10-12T00:00:00Z</dcterms:created>
  <dcterms:modified xsi:type="dcterms:W3CDTF">2026-10-12T00:00:00Z</dcterms:modified>
</cp:coreProperties>
</file>