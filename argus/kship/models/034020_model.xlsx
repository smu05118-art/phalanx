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(1+8.7%) — g=최근 4분기 합 YoY 8.7% 클립(−30~+50%), 연차별 절반 감쇠(가정)</t>
      </text>
    </comment>
    <comment ref="AD21" authorId="0" shapeId="0">
      <text>
        <t>모델값 역산(implied): v / 전년동기 − 1
전년동기 × (1+8.7%) — g=최근 4분기 합 YoY 8.7% 클립(−30~+50%), 연차별 절반 감쇠(가정)</t>
      </text>
    </comment>
    <comment ref="AF21" authorId="0" shapeId="0">
      <text>
        <t>모델값 역산(implied): v / 전년동기 − 1
전년동기 × (1+8.7%) — g=최근 4분기 합 YoY 8.7% 클립(−30~+50%), 연차별 절반 감쇠(가정)</t>
      </text>
    </comment>
    <comment ref="AG21" authorId="0" shapeId="0">
      <text>
        <t>모델값 역산(implied): v / 전년동기 − 1
전년동기 × (1+8.7%) — g=최근 4분기 합 YoY 8.7% 클립(−30~+50%), 연차별 절반 감쇠(가정)</t>
      </text>
    </comment>
    <comment ref="AH21" authorId="0" shapeId="0">
      <text>
        <t>모델값 역산(implied): v / 전년동기 − 1
전년동기 × (1+4.4%) — g=최근 4분기 합 YoY 8.7% 클립(−30~+50%), 연차별 절반 감쇠(가정)</t>
      </text>
    </comment>
    <comment ref="AI21" authorId="0" shapeId="0">
      <text>
        <t>모델값 역산(implied): v / 전년동기 − 1
전년동기 × (1+4.4%) — g=최근 4분기 합 YoY 8.7% 클립(−30~+50%), 연차별 절반 감쇠(가정)</t>
      </text>
    </comment>
    <comment ref="AK21" authorId="0" shapeId="0">
      <text>
        <t>모델값 역산(implied): v / 전년동기 − 1
전년동기 × (1+4.4%) — g=최근 4분기 합 YoY 8.7% 클립(−30~+50%), 연차별 절반 감쇠(가정)</t>
      </text>
    </comment>
    <comment ref="AL21" authorId="0" shapeId="0">
      <text>
        <t>모델값 역산(implied): v / 전년동기 − 1
전년동기 × (1+4.4%) — g=최근 4분기 합 YoY 8.7% 클립(−30~+50%), 연차별 절반 감쇠(가정)</t>
      </text>
    </comment>
    <comment ref="AM21" authorId="0" shapeId="0">
      <text>
        <t>모델값 역산(implied): v / 전년동기 − 1
전년동기 × (1+2.2%) — g=최근 4분기 합 YoY 8.7% 클립(−30~+50%), 연차별 절반 감쇠(가정)</t>
      </text>
    </comment>
    <comment ref="AN21" authorId="0" shapeId="0">
      <text>
        <t>모델값 역산(implied): v / 전년동기 − 1
전년동기 × (1+2.2%) — g=최근 4분기 합 YoY 8.7% 클립(−30~+50%), 연차별 절반 감쇠(가정)</t>
      </text>
    </comment>
    <comment ref="AC22" authorId="0" shapeId="0">
      <text>
        <t>3절 스칼라 '판관비율' 참조 — 숫자로 덮어쓰면 이 분기만 바뀐다
매출액 × 판관비율 12.02%(최근 4분기 중위)</t>
      </text>
    </comment>
    <comment ref="AD22" authorId="0" shapeId="0">
      <text>
        <t>3절 스칼라 '판관비율' 참조 — 숫자로 덮어쓰면 이 분기만 바뀐다
매출액 × 판관비율 12.02%(최근 4분기 중위)</t>
      </text>
    </comment>
    <comment ref="AF22" authorId="0" shapeId="0">
      <text>
        <t>3절 스칼라 '판관비율' 참조 — 숫자로 덮어쓰면 이 분기만 바뀐다
매출액 × 판관비율 12.02%(최근 4분기 중위)</t>
      </text>
    </comment>
    <comment ref="AG22" authorId="0" shapeId="0">
      <text>
        <t>3절 스칼라 '판관비율' 참조 — 숫자로 덮어쓰면 이 분기만 바뀐다
매출액 × 판관비율 12.02%(최근 4분기 중위)</t>
      </text>
    </comment>
    <comment ref="AH22" authorId="0" shapeId="0">
      <text>
        <t>3절 스칼라 '판관비율' 참조 — 숫자로 덮어쓰면 이 분기만 바뀐다
매출액 × 판관비율 12.02%(최근 4분기 중위)</t>
      </text>
    </comment>
    <comment ref="AI22" authorId="0" shapeId="0">
      <text>
        <t>3절 스칼라 '판관비율' 참조 — 숫자로 덮어쓰면 이 분기만 바뀐다
매출액 × 판관비율 12.02%(최근 4분기 중위)</t>
      </text>
    </comment>
    <comment ref="AK22" authorId="0" shapeId="0">
      <text>
        <t>3절 스칼라 '판관비율' 참조 — 숫자로 덮어쓰면 이 분기만 바뀐다
매출액 × 판관비율 12.02%(최근 4분기 중위)</t>
      </text>
    </comment>
    <comment ref="AL22" authorId="0" shapeId="0">
      <text>
        <t>3절 스칼라 '판관비율' 참조 — 숫자로 덮어쓰면 이 분기만 바뀐다
매출액 × 판관비율 12.02%(최근 4분기 중위)</t>
      </text>
    </comment>
    <comment ref="AM22" authorId="0" shapeId="0">
      <text>
        <t>3절 스칼라 '판관비율' 참조 — 숫자로 덮어쓰면 이 분기만 바뀐다
매출액 × 판관비율 12.02%(최근 4분기 중위)</t>
      </text>
    </comment>
    <comment ref="AN22" authorId="0" shapeId="0">
      <text>
        <t>3절 스칼라 '판관비율' 참조 — 숫자로 덮어쓰면 이 분기만 바뀐다
매출액 × 판관비율 12.02%(최근 4분기 중위)</t>
      </text>
    </comment>
    <comment ref="AC23" authorId="0" shapeId="0">
      <text>
        <t>모델값 역산(implied): v / 매출액
매출액 × OPM(최근 8분기 OPM 중위 4.7% 유지(클립 −20~40%))</t>
      </text>
    </comment>
    <comment ref="AD23" authorId="0" shapeId="0">
      <text>
        <t>모델값 역산(implied): v / 매출액
매출액 × OPM(최근 8분기 OPM 중위 4.7% 유지(클립 −20~40%))</t>
      </text>
    </comment>
    <comment ref="AF23" authorId="0" shapeId="0">
      <text>
        <t>모델값 역산(implied): v / 매출액
매출액 × OPM(최근 8분기 OPM 중위 4.7% 유지(클립 −20~40%))</t>
      </text>
    </comment>
    <comment ref="AG23" authorId="0" shapeId="0">
      <text>
        <t>모델값 역산(implied): v / 매출액
매출액 × OPM(최근 8분기 OPM 중위 4.7% 유지(클립 −20~40%))</t>
      </text>
    </comment>
    <comment ref="AH23" authorId="0" shapeId="0">
      <text>
        <t>모델값 역산(implied): v / 매출액
매출액 × OPM(최근 8분기 OPM 중위 4.7% 유지(클립 −20~40%))</t>
      </text>
    </comment>
    <comment ref="AI23" authorId="0" shapeId="0">
      <text>
        <t>모델값 역산(implied): v / 매출액
매출액 × OPM(최근 8분기 OPM 중위 4.7% 유지(클립 −20~40%))</t>
      </text>
    </comment>
    <comment ref="AK23" authorId="0" shapeId="0">
      <text>
        <t>모델값 역산(implied): v / 매출액
매출액 × OPM(최근 8분기 OPM 중위 4.7% 유지(클립 −20~40%))</t>
      </text>
    </comment>
    <comment ref="AL23" authorId="0" shapeId="0">
      <text>
        <t>모델값 역산(implied): v / 매출액
매출액 × OPM(최근 8분기 OPM 중위 4.7% 유지(클립 −20~40%))</t>
      </text>
    </comment>
    <comment ref="AM23" authorId="0" shapeId="0">
      <text>
        <t>모델값 역산(implied): v / 매출액
매출액 × OPM(최근 8분기 OPM 중위 4.7% 유지(클립 −20~40%))</t>
      </text>
    </comment>
    <comment ref="AN23" authorId="0" shapeId="0">
      <text>
        <t>모델값 역산(implied): v / 매출액
매출액 × OPM(최근 8분기 OPM 중위 4.7%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+1372.76억이 이자손익 추정 -681.87억의 50% 초과 → 0(경고)</t>
      </text>
    </comment>
    <comment ref="AD26" authorId="0" shapeId="0">
      <text>
        <t>모델값 역산(implied): 모델 v 그대로
최근 4분기 중위 +1372.76억이 이자손익 추정 -681.87억의 50% 초과 → 0(경고)</t>
      </text>
    </comment>
    <comment ref="AF26" authorId="0" shapeId="0">
      <text>
        <t>모델값 역산(implied): 모델 v 그대로
최근 4분기 중위 +1372.76억이 이자손익 추정 -681.87억의 50% 초과 → 0(경고)</t>
      </text>
    </comment>
    <comment ref="AG26" authorId="0" shapeId="0">
      <text>
        <t>모델값 역산(implied): 모델 v 그대로
최근 4분기 중위 +1372.76억이 이자손익 추정 -681.87억의 50% 초과 → 0(경고)</t>
      </text>
    </comment>
    <comment ref="AH26" authorId="0" shapeId="0">
      <text>
        <t>모델값 역산(implied): 모델 v 그대로
최근 4분기 중위 +1372.76억이 이자손익 추정 -681.87억의 50% 초과 → 0(경고)</t>
      </text>
    </comment>
    <comment ref="AI26" authorId="0" shapeId="0">
      <text>
        <t>모델값 역산(implied): 모델 v 그대로
최근 4분기 중위 +1372.76억이 이자손익 추정 -681.87억의 50% 초과 → 0(경고)</t>
      </text>
    </comment>
    <comment ref="AK26" authorId="0" shapeId="0">
      <text>
        <t>모델값 역산(implied): 모델 v 그대로
최근 4분기 중위 +1372.76억이 이자손익 추정 -681.87억의 50% 초과 → 0(경고)</t>
      </text>
    </comment>
    <comment ref="AL26" authorId="0" shapeId="0">
      <text>
        <t>모델값 역산(implied): 모델 v 그대로
최근 4분기 중위 +1372.76억이 이자손익 추정 -681.87억의 50% 초과 → 0(경고)</t>
      </text>
    </comment>
    <comment ref="AM26" authorId="0" shapeId="0">
      <text>
        <t>모델값 역산(implied): 모델 v 그대로
최근 4분기 중위 +1372.76억이 이자손익 추정 -681.87억의 50% 초과 → 0(경고)</t>
      </text>
    </comment>
    <comment ref="AN26" authorId="0" shapeId="0">
      <text>
        <t>모델값 역산(implied): 모델 v 그대로
최근 4분기 중위 +1372.76억이 이자손익 추정 -681.87억의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60.0%, 최근 8분기 실측)</t>
      </text>
    </comment>
    <comment ref="AD30" authorId="0" shapeId="0">
      <text>
        <t>3절 스칼라 '지배주주비중' 참조 — 숫자로 덮어쓰면 이 분기만 바뀐다
당기순이익 × (1 − 비지배 비중 60.0%, 최근 8분기 실측)</t>
      </text>
    </comment>
    <comment ref="AF30" authorId="0" shapeId="0">
      <text>
        <t>3절 스칼라 '지배주주비중' 참조 — 숫자로 덮어쓰면 이 분기만 바뀐다
당기순이익 × (1 − 비지배 비중 60.0%, 최근 8분기 실측)</t>
      </text>
    </comment>
    <comment ref="AG30" authorId="0" shapeId="0">
      <text>
        <t>3절 스칼라 '지배주주비중' 참조 — 숫자로 덮어쓰면 이 분기만 바뀐다
당기순이익 × (1 − 비지배 비중 60.0%, 최근 8분기 실측)</t>
      </text>
    </comment>
    <comment ref="AH30" authorId="0" shapeId="0">
      <text>
        <t>3절 스칼라 '지배주주비중' 참조 — 숫자로 덮어쓰면 이 분기만 바뀐다
당기순이익 × (1 − 비지배 비중 60.0%, 최근 8분기 실측)</t>
      </text>
    </comment>
    <comment ref="AI30" authorId="0" shapeId="0">
      <text>
        <t>3절 스칼라 '지배주주비중' 참조 — 숫자로 덮어쓰면 이 분기만 바뀐다
당기순이익 × (1 − 비지배 비중 60.0%, 최근 8분기 실측)</t>
      </text>
    </comment>
    <comment ref="AK30" authorId="0" shapeId="0">
      <text>
        <t>3절 스칼라 '지배주주비중' 참조 — 숫자로 덮어쓰면 이 분기만 바뀐다
당기순이익 × (1 − 비지배 비중 60.0%, 최근 8분기 실측)</t>
      </text>
    </comment>
    <comment ref="AL30" authorId="0" shapeId="0">
      <text>
        <t>3절 스칼라 '지배주주비중' 참조 — 숫자로 덮어쓰면 이 분기만 바뀐다
당기순이익 × (1 − 비지배 비중 60.0%, 최근 8분기 실측)</t>
      </text>
    </comment>
    <comment ref="AM30" authorId="0" shapeId="0">
      <text>
        <t>3절 스칼라 '지배주주비중' 참조 — 숫자로 덮어쓰면 이 분기만 바뀐다
당기순이익 × (1 − 비지배 비중 60.0%, 최근 8분기 실측)</t>
      </text>
    </comment>
    <comment ref="AN30" authorId="0" shapeId="0">
      <text>
        <t>3절 스칼라 '지배주주비중' 참조 — 숫자로 덮어쓰면 이 분기만 바뀐다
당기순이익 × (1 − 비지배 비중 60.0%,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(1+8.7%) — g=최근 4분기 합 YoY 8.7% 클립(−30~+50%), 연차별 절반 감쇠(가정)
[yoy]</t>
      </text>
    </comment>
    <comment ref="AD5" authorId="0" shapeId="0">
      <text>
        <t>추정: 전년동기 × (1+8.7%) — g=최근 4분기 합 YoY 8.7% 클립(−30~+50%), 연차별 절반 감쇠(가정)
[yoy]</t>
      </text>
    </comment>
    <comment ref="AF5" authorId="0" shapeId="0">
      <text>
        <t>추정: 전년동기 × (1+8.7%) — g=최근 4분기 합 YoY 8.7% 클립(−30~+50%), 연차별 절반 감쇠(가정)
[yoy]</t>
      </text>
    </comment>
    <comment ref="AG5" authorId="0" shapeId="0">
      <text>
        <t>추정: 전년동기 × (1+8.7%) — g=최근 4분기 합 YoY 8.7% 클립(−30~+50%), 연차별 절반 감쇠(가정)
[yoy]</t>
      </text>
    </comment>
    <comment ref="AH5" authorId="0" shapeId="0">
      <text>
        <t>추정: 전년동기 × (1+4.4%) — g=최근 4분기 합 YoY 8.7% 클립(−30~+50%), 연차별 절반 감쇠(가정)
[yoy]</t>
      </text>
    </comment>
    <comment ref="AI5" authorId="0" shapeId="0">
      <text>
        <t>추정: 전년동기 × (1+4.4%) — g=최근 4분기 합 YoY 8.7% 클립(−30~+50%), 연차별 절반 감쇠(가정)
[yoy]</t>
      </text>
    </comment>
    <comment ref="AK5" authorId="0" shapeId="0">
      <text>
        <t>추정: 전년동기 × (1+4.4%) — g=최근 4분기 합 YoY 8.7% 클립(−30~+50%), 연차별 절반 감쇠(가정)
[yoy]</t>
      </text>
    </comment>
    <comment ref="AL5" authorId="0" shapeId="0">
      <text>
        <t>추정: 전년동기 × (1+4.4%) — g=최근 4분기 합 YoY 8.7% 클립(−30~+50%), 연차별 절반 감쇠(가정)
[yoy]</t>
      </text>
    </comment>
    <comment ref="AM5" authorId="0" shapeId="0">
      <text>
        <t>추정: 전년동기 × (1+2.2%) — g=최근 4분기 합 YoY 8.7% 클립(−30~+50%), 연차별 절반 감쇠(가정)
[yoy]</t>
      </text>
    </comment>
    <comment ref="AN5" authorId="0" shapeId="0">
      <text>
        <t>추정: 전년동기 × (1+2.2%) — g=최근 4분기 합 YoY 8.7%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12.02%(최근 4분기 중위)
[ratio]</t>
      </text>
    </comment>
    <comment ref="AD8" authorId="0" shapeId="0">
      <text>
        <t>추정: 매출액 × 판관비율 12.02%(최근 4분기 중위)
[ratio]</t>
      </text>
    </comment>
    <comment ref="AF8" authorId="0" shapeId="0">
      <text>
        <t>추정: 매출액 × 판관비율 12.02%(최근 4분기 중위)
[ratio]</t>
      </text>
    </comment>
    <comment ref="AG8" authorId="0" shapeId="0">
      <text>
        <t>추정: 매출액 × 판관비율 12.02%(최근 4분기 중위)
[ratio]</t>
      </text>
    </comment>
    <comment ref="AH8" authorId="0" shapeId="0">
      <text>
        <t>추정: 매출액 × 판관비율 12.02%(최근 4분기 중위)
[ratio]</t>
      </text>
    </comment>
    <comment ref="AI8" authorId="0" shapeId="0">
      <text>
        <t>추정: 매출액 × 판관비율 12.02%(최근 4분기 중위)
[ratio]</t>
      </text>
    </comment>
    <comment ref="AK8" authorId="0" shapeId="0">
      <text>
        <t>추정: 매출액 × 판관비율 12.02%(최근 4분기 중위)
[ratio]</t>
      </text>
    </comment>
    <comment ref="AL8" authorId="0" shapeId="0">
      <text>
        <t>추정: 매출액 × 판관비율 12.02%(최근 4분기 중위)
[ratio]</t>
      </text>
    </comment>
    <comment ref="AM8" authorId="0" shapeId="0">
      <text>
        <t>추정: 매출액 × 판관비율 12.02%(최근 4분기 중위)
[ratio]</t>
      </text>
    </comment>
    <comment ref="AN8" authorId="0" shapeId="0">
      <text>
        <t>추정: 매출액 × 판관비율 12.02%(최근 4분기 중위)
[ratio]</t>
      </text>
    </comment>
    <comment ref="AC9" authorId="0" shapeId="0">
      <text>
        <t>추정: 매출액 × OPM(최근 8분기 OPM 중위 4.7% 유지(클립 −20~40%))
[ratio]</t>
      </text>
    </comment>
    <comment ref="AD9" authorId="0" shapeId="0">
      <text>
        <t>추정: 매출액 × OPM(최근 8분기 OPM 중위 4.7% 유지(클립 −20~40%))
[ratio]</t>
      </text>
    </comment>
    <comment ref="AF9" authorId="0" shapeId="0">
      <text>
        <t>추정: 매출액 × OPM(최근 8분기 OPM 중위 4.7% 유지(클립 −20~40%))
[ratio]</t>
      </text>
    </comment>
    <comment ref="AG9" authorId="0" shapeId="0">
      <text>
        <t>추정: 매출액 × OPM(최근 8분기 OPM 중위 4.7% 유지(클립 −20~40%))
[ratio]</t>
      </text>
    </comment>
    <comment ref="AH9" authorId="0" shapeId="0">
      <text>
        <t>추정: 매출액 × OPM(최근 8분기 OPM 중위 4.7% 유지(클립 −20~40%))
[ratio]</t>
      </text>
    </comment>
    <comment ref="AI9" authorId="0" shapeId="0">
      <text>
        <t>추정: 매출액 × OPM(최근 8분기 OPM 중위 4.7% 유지(클립 −20~40%))
[ratio]</t>
      </text>
    </comment>
    <comment ref="AK9" authorId="0" shapeId="0">
      <text>
        <t>추정: 매출액 × OPM(최근 8분기 OPM 중위 4.7% 유지(클립 −20~40%))
[ratio]</t>
      </text>
    </comment>
    <comment ref="AL9" authorId="0" shapeId="0">
      <text>
        <t>추정: 매출액 × OPM(최근 8분기 OPM 중위 4.7% 유지(클립 −20~40%))
[ratio]</t>
      </text>
    </comment>
    <comment ref="AM9" authorId="0" shapeId="0">
      <text>
        <t>추정: 매출액 × OPM(최근 8분기 OPM 중위 4.7% 유지(클립 −20~40%))
[ratio]</t>
      </text>
    </comment>
    <comment ref="AN9" authorId="0" shapeId="0">
      <text>
        <t>추정: 매출액 × OPM(최근 8분기 OPM 중위 4.7% 유지(클립 −20~40%))
[ratio]</t>
      </text>
    </comment>
    <comment ref="AC10" authorId="0" shapeId="0">
      <text>
        <t>추정: 최근 8분기 OPM 중위 4.7% 유지(클립 −20~40%)
[divide]</t>
      </text>
    </comment>
    <comment ref="AD10" authorId="0" shapeId="0">
      <text>
        <t>추정: 최근 8분기 OPM 중위 4.7% 유지(클립 −20~40%)
[divide]</t>
      </text>
    </comment>
    <comment ref="AF10" authorId="0" shapeId="0">
      <text>
        <t>추정: 최근 8분기 OPM 중위 4.7% 유지(클립 −20~40%)
[divide]</t>
      </text>
    </comment>
    <comment ref="AG10" authorId="0" shapeId="0">
      <text>
        <t>추정: 최근 8분기 OPM 중위 4.7% 유지(클립 −20~40%)
[divide]</t>
      </text>
    </comment>
    <comment ref="AH10" authorId="0" shapeId="0">
      <text>
        <t>추정: 최근 8분기 OPM 중위 4.7% 유지(클립 −20~40%)
[divide]</t>
      </text>
    </comment>
    <comment ref="AI10" authorId="0" shapeId="0">
      <text>
        <t>추정: 최근 8분기 OPM 중위 4.7% 유지(클립 −20~40%)
[divide]</t>
      </text>
    </comment>
    <comment ref="AK10" authorId="0" shapeId="0">
      <text>
        <t>추정: 최근 8분기 OPM 중위 4.7% 유지(클립 −20~40%)
[divide]</t>
      </text>
    </comment>
    <comment ref="AL10" authorId="0" shapeId="0">
      <text>
        <t>추정: 최근 8분기 OPM 중위 4.7% 유지(클립 −20~40%)
[divide]</t>
      </text>
    </comment>
    <comment ref="AM10" authorId="0" shapeId="0">
      <text>
        <t>추정: 최근 8분기 OPM 중위 4.7% 유지(클립 −20~40%)
[divide]</t>
      </text>
    </comment>
    <comment ref="AN10" authorId="0" shapeId="0">
      <text>
        <t>추정: 최근 8분기 OPM 중위 4.7% 유지(클립 −20~40%)
[divide]</t>
      </text>
    </comment>
    <comment ref="AC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35386억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36526억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38066억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39372억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40871억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42105억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43755억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45163억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46771억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48068억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C12" authorId="0" shapeId="0">
      <text>
        <t>추정: 이자발생자산 35386억 × 2.38%(주석 이자수익 ÷ 평균 이자발생자산(2025Q3~2026Q2)) − 총차입금 68913억 × 5.18%(주석 이자비용 ÷ 평균 총차입금(2025Q3~2026Q2)) (연율) ÷ 4
[interest]</t>
      </text>
    </comment>
    <comment ref="AD12" authorId="0" shapeId="0">
      <text>
        <t>추정: 이자발생자산 36526억 × 2.38%(주석 이자수익 ÷ 평균 이자발생자산(2025Q3~2026Q2)) − 총차입금 68913억 × 5.18%(주석 이자비용 ÷ 평균 총차입금(2025Q3~2026Q2)) (연율) ÷ 4
[interest]</t>
      </text>
    </comment>
    <comment ref="AF12" authorId="0" shapeId="0">
      <text>
        <t>추정: 이자발생자산 38066억 × 2.38%(주석 이자수익 ÷ 평균 이자발생자산(2025Q3~2026Q2)) − 총차입금 68913억 × 5.18%(주석 이자비용 ÷ 평균 총차입금(2025Q3~2026Q2)) (연율) ÷ 4
[interest]</t>
      </text>
    </comment>
    <comment ref="AG12" authorId="0" shapeId="0">
      <text>
        <t>추정: 이자발생자산 39372억 × 2.38%(주석 이자수익 ÷ 평균 이자발생자산(2025Q3~2026Q2)) − 총차입금 68913억 × 5.18%(주석 이자비용 ÷ 평균 총차입금(2025Q3~2026Q2)) (연율) ÷ 4
[interest]</t>
      </text>
    </comment>
    <comment ref="AH12" authorId="0" shapeId="0">
      <text>
        <t>추정: 이자발생자산 40871억 × 2.38%(주석 이자수익 ÷ 평균 이자발생자산(2025Q3~2026Q2)) − 총차입금 68913억 × 5.18%(주석 이자비용 ÷ 평균 총차입금(2025Q3~2026Q2)) (연율) ÷ 4
[interest]</t>
      </text>
    </comment>
    <comment ref="AI12" authorId="0" shapeId="0">
      <text>
        <t>추정: 이자발생자산 42105억 × 2.38%(주석 이자수익 ÷ 평균 이자발생자산(2025Q3~2026Q2)) − 총차입금 68913억 × 5.18%(주석 이자비용 ÷ 평균 총차입금(2025Q3~2026Q2)) (연율) ÷ 4
[interest]</t>
      </text>
    </comment>
    <comment ref="AK12" authorId="0" shapeId="0">
      <text>
        <t>추정: 이자발생자산 43755억 × 2.38%(주석 이자수익 ÷ 평균 이자발생자산(2025Q3~2026Q2)) − 총차입금 68913억 × 5.18%(주석 이자비용 ÷ 평균 총차입금(2025Q3~2026Q2)) (연율) ÷ 4
[interest]</t>
      </text>
    </comment>
    <comment ref="AL12" authorId="0" shapeId="0">
      <text>
        <t>추정: 이자발생자산 45163억 × 2.38%(주석 이자수익 ÷ 평균 이자발생자산(2025Q3~2026Q2)) − 총차입금 68913억 × 5.18%(주석 이자비용 ÷ 평균 총차입금(2025Q3~2026Q2)) (연율) ÷ 4
[interest]</t>
      </text>
    </comment>
    <comment ref="AM12" authorId="0" shapeId="0">
      <text>
        <t>추정: 이자발생자산 46771억 × 2.38%(주석 이자수익 ÷ 평균 이자발생자산(2025Q3~2026Q2)) − 총차입금 68913억 × 5.18%(주석 이자비용 ÷ 평균 총차입금(2025Q3~2026Q2)) (연율) ÷ 4
[interest]</t>
      </text>
    </comment>
    <comment ref="AN12" authorId="0" shapeId="0">
      <text>
        <t>추정: 이자발생자산 48068억 × 2.38%(주석 이자수익 ÷ 평균 이자발생자산(2025Q3~2026Q2)) − 총차입금 68913억 × 5.18%(주석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+1372.76억이 이자손익 추정 -681.87억의 50% 초과 → 0(경고)
[abs]</t>
      </text>
    </comment>
    <comment ref="AD15" authorId="0" shapeId="0">
      <text>
        <t>추정: 최근 4분기 중위 +1372.76억이 이자손익 추정 -681.87억의 50% 초과 → 0(경고)
[abs]</t>
      </text>
    </comment>
    <comment ref="AF15" authorId="0" shapeId="0">
      <text>
        <t>추정: 최근 4분기 중위 +1372.76억이 이자손익 추정 -681.87억의 50% 초과 → 0(경고)
[abs]</t>
      </text>
    </comment>
    <comment ref="AG15" authorId="0" shapeId="0">
      <text>
        <t>추정: 최근 4분기 중위 +1372.76억이 이자손익 추정 -681.87억의 50% 초과 → 0(경고)
[abs]</t>
      </text>
    </comment>
    <comment ref="AH15" authorId="0" shapeId="0">
      <text>
        <t>추정: 최근 4분기 중위 +1372.76억이 이자손익 추정 -681.87억의 50% 초과 → 0(경고)
[abs]</t>
      </text>
    </comment>
    <comment ref="AI15" authorId="0" shapeId="0">
      <text>
        <t>추정: 최근 4분기 중위 +1372.76억이 이자손익 추정 -681.87억의 50% 초과 → 0(경고)
[abs]</t>
      </text>
    </comment>
    <comment ref="AK15" authorId="0" shapeId="0">
      <text>
        <t>추정: 최근 4분기 중위 +1372.76억이 이자손익 추정 -681.87억의 50% 초과 → 0(경고)
[abs]</t>
      </text>
    </comment>
    <comment ref="AL15" authorId="0" shapeId="0">
      <text>
        <t>추정: 최근 4분기 중위 +1372.76억이 이자손익 추정 -681.87억의 50% 초과 → 0(경고)
[abs]</t>
      </text>
    </comment>
    <comment ref="AM15" authorId="0" shapeId="0">
      <text>
        <t>추정: 최근 4분기 중위 +1372.76억이 이자손익 추정 -681.87억의 50% 초과 → 0(경고)
[abs]</t>
      </text>
    </comment>
    <comment ref="AN15" authorId="0" shapeId="0">
      <text>
        <t>추정: 최근 4분기 중위 +1372.76억이 이자손익 추정 -681.87억의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D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F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G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H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I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K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L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M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N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60.0%, 최근 8분기 실측)
[ratio]</t>
      </text>
    </comment>
    <comment ref="AD21" authorId="0" shapeId="0">
      <text>
        <t>추정: 당기순이익 × (1 − 비지배 비중 60.0%, 최근 8분기 실측)
[ratio]</t>
      </text>
    </comment>
    <comment ref="AF21" authorId="0" shapeId="0">
      <text>
        <t>추정: 당기순이익 × (1 − 비지배 비중 60.0%, 최근 8분기 실측)
[ratio]</t>
      </text>
    </comment>
    <comment ref="AG21" authorId="0" shapeId="0">
      <text>
        <t>추정: 당기순이익 × (1 − 비지배 비중 60.0%, 최근 8분기 실측)
[ratio]</t>
      </text>
    </comment>
    <comment ref="AH21" authorId="0" shapeId="0">
      <text>
        <t>추정: 당기순이익 × (1 − 비지배 비중 60.0%, 최근 8분기 실측)
[ratio]</t>
      </text>
    </comment>
    <comment ref="AI21" authorId="0" shapeId="0">
      <text>
        <t>추정: 당기순이익 × (1 − 비지배 비중 60.0%, 최근 8분기 실측)
[ratio]</t>
      </text>
    </comment>
    <comment ref="AK21" authorId="0" shapeId="0">
      <text>
        <t>추정: 당기순이익 × (1 − 비지배 비중 60.0%, 최근 8분기 실측)
[ratio]</t>
      </text>
    </comment>
    <comment ref="AL21" authorId="0" shapeId="0">
      <text>
        <t>추정: 당기순이익 × (1 − 비지배 비중 60.0%, 최근 8분기 실측)
[ratio]</t>
      </text>
    </comment>
    <comment ref="AM21" authorId="0" shapeId="0">
      <text>
        <t>추정: 당기순이익 × (1 − 비지배 비중 60.0%, 최근 8분기 실측)
[ratio]</t>
      </text>
    </comment>
    <comment ref="AN21" authorId="0" shapeId="0">
      <text>
        <t>추정: 당기순이익 × (1 − 비지배 비중 60.0%,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두산에너빌리티(034020)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34.8% 가 5~27% 밖; 세전 &gt; 0 분기 중위 42.9% 도 5~27% 밖 → 법정세율 근사 22% 가정</t>
        </is>
      </c>
    </row>
    <row r="23">
      <c r="A23" t="inlineStr">
        <is>
          <t>· 판관비율 12.02%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2.38% / 부채 5.18% — 이자손익 = (전분기 이자발생자산 × 자산이자율 − 전분기 총차입금 × 부채이자율)/4, 최소자승 역산(모델 assumptions [0.0238, 0.0518]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171.3배가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assets/models/034020.json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+1372.8억이 이자손익 추정 -681.9억의 50% 초과 → 추정 0 — 평가손익·재분류 여부는 주석 확인</t>
        </is>
      </c>
    </row>
    <row r="34">
      <c r="A34" t="inlineStr">
        <is>
          <t>백테스트: {"freeze": "2025Q2", "horizon": 4, "revenue_wape_pct": 13.1, "op_wape_pct": 20.0,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32075.61, "rev_act": 38803.5, "op_pred": 1931.83, "op_act": 1370.59}, {"q": "2025Q4", "rev_pred": 43350.38, "rev_act": 48599.31, "op_pred": 2610.89, "op_act": 2120.72}, {"q": "2026Q1", "rev_pred": 35410.21, "rev_act": 42611.3, "op_pred": 2132.67, "op_act": 2335.14}, {"q": "2026Q2", "rev_pred": 43160.41, "rev_act": 47248.08, "op_pred": 2599.44, "op_act": 3142.6}]}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20400</v>
      </c>
      <c r="F15" s="9" t="n"/>
      <c r="G15" s="18" t="n">
        <v>20450</v>
      </c>
      <c r="H15" s="18" t="n">
        <v>19400</v>
      </c>
      <c r="I15" s="18" t="n">
        <v>14250</v>
      </c>
      <c r="J15" s="18" t="n">
        <v>15400</v>
      </c>
      <c r="K15" s="9" t="n"/>
      <c r="L15" s="18" t="n">
        <v>17000</v>
      </c>
      <c r="M15" s="18" t="n">
        <v>18110</v>
      </c>
      <c r="N15" s="18" t="n">
        <v>16430</v>
      </c>
      <c r="O15" s="18" t="n">
        <v>15900</v>
      </c>
      <c r="P15" s="9" t="n"/>
      <c r="Q15" s="18" t="n">
        <v>17220</v>
      </c>
      <c r="R15" s="18" t="n">
        <v>20100</v>
      </c>
      <c r="S15" s="18" t="n">
        <v>17910</v>
      </c>
      <c r="T15" s="18" t="n">
        <v>17550</v>
      </c>
      <c r="U15" s="9" t="n"/>
      <c r="V15" s="18" t="n">
        <v>23450</v>
      </c>
      <c r="W15" s="18" t="n">
        <v>68400</v>
      </c>
      <c r="X15" s="18" t="n">
        <v>62700</v>
      </c>
      <c r="Y15" s="18" t="n">
        <v>75300</v>
      </c>
      <c r="Z15" s="9" t="n"/>
      <c r="AA15" s="18" t="n">
        <v>91800</v>
      </c>
      <c r="AB15" s="19" t="n">
        <v>86800</v>
      </c>
      <c r="AC15" s="20" t="n">
        <v>81900</v>
      </c>
      <c r="AD15" s="20" t="n">
        <v>76700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26687</v>
      </c>
      <c r="F16" s="9" t="n"/>
      <c r="G16" s="18" t="n">
        <v>23900</v>
      </c>
      <c r="H16" s="18" t="n">
        <v>22200</v>
      </c>
      <c r="I16" s="18" t="n">
        <v>23050</v>
      </c>
      <c r="J16" s="18" t="n">
        <v>17500</v>
      </c>
      <c r="K16" s="9" t="n"/>
      <c r="L16" s="18" t="n">
        <v>18370</v>
      </c>
      <c r="M16" s="18" t="n">
        <v>20200</v>
      </c>
      <c r="N16" s="18" t="n">
        <v>19180</v>
      </c>
      <c r="O16" s="18" t="n">
        <v>16380</v>
      </c>
      <c r="P16" s="9" t="n"/>
      <c r="Q16" s="18" t="n">
        <v>18920</v>
      </c>
      <c r="R16" s="18" t="n">
        <v>22000</v>
      </c>
      <c r="S16" s="18" t="n">
        <v>25000</v>
      </c>
      <c r="T16" s="18" t="n">
        <v>22800</v>
      </c>
      <c r="U16" s="9" t="n"/>
      <c r="V16" s="18" t="n">
        <v>30900</v>
      </c>
      <c r="W16" s="18" t="n">
        <v>72200</v>
      </c>
      <c r="X16" s="18" t="n">
        <v>70600</v>
      </c>
      <c r="Y16" s="18" t="n">
        <v>97400</v>
      </c>
      <c r="Z16" s="9" t="n"/>
      <c r="AA16" s="18" t="n">
        <v>112100</v>
      </c>
      <c r="AB16" s="19" t="n">
        <v>139200</v>
      </c>
      <c r="AC16" s="20" t="n">
        <v>94400</v>
      </c>
      <c r="AD16" s="20" t="n">
        <v>84300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17421</v>
      </c>
      <c r="F17" s="9" t="n"/>
      <c r="G17" s="18" t="n">
        <v>15200</v>
      </c>
      <c r="H17" s="18" t="n">
        <v>16000</v>
      </c>
      <c r="I17" s="18" t="n">
        <v>13950</v>
      </c>
      <c r="J17" s="18" t="n">
        <v>12450</v>
      </c>
      <c r="K17" s="9" t="n"/>
      <c r="L17" s="18" t="n">
        <v>14750</v>
      </c>
      <c r="M17" s="18" t="n">
        <v>15060</v>
      </c>
      <c r="N17" s="18" t="n">
        <v>15940</v>
      </c>
      <c r="O17" s="18" t="n">
        <v>13350</v>
      </c>
      <c r="P17" s="9" t="n"/>
      <c r="Q17" s="18" t="n">
        <v>14300</v>
      </c>
      <c r="R17" s="18" t="n">
        <v>14320</v>
      </c>
      <c r="S17" s="18" t="n">
        <v>15150</v>
      </c>
      <c r="T17" s="18" t="n">
        <v>16910</v>
      </c>
      <c r="U17" s="9" t="n"/>
      <c r="V17" s="18" t="n">
        <v>17600</v>
      </c>
      <c r="W17" s="18" t="n">
        <v>19960</v>
      </c>
      <c r="X17" s="18" t="n">
        <v>51100</v>
      </c>
      <c r="Y17" s="18" t="n">
        <v>62700</v>
      </c>
      <c r="Z17" s="9" t="n"/>
      <c r="AA17" s="18" t="n">
        <v>74600</v>
      </c>
      <c r="AB17" s="19" t="n">
        <v>79300</v>
      </c>
      <c r="AC17" s="20" t="n">
        <v>57000</v>
      </c>
      <c r="AD17" s="20" t="n">
        <v>75200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21812.5</v>
      </c>
      <c r="F18" s="9" t="n"/>
      <c r="G18" s="18" t="n">
        <v>19779.7</v>
      </c>
      <c r="H18" s="18" t="n">
        <v>19798.4</v>
      </c>
      <c r="I18" s="18" t="n">
        <v>18645.2</v>
      </c>
      <c r="J18" s="18" t="n">
        <v>15288.7</v>
      </c>
      <c r="K18" s="9" t="n"/>
      <c r="L18" s="18" t="n">
        <v>16365</v>
      </c>
      <c r="M18" s="18" t="n">
        <v>17236.7</v>
      </c>
      <c r="N18" s="18" t="n">
        <v>17161.6</v>
      </c>
      <c r="O18" s="18" t="n">
        <v>14864.7</v>
      </c>
      <c r="P18" s="9" t="n"/>
      <c r="Q18" s="18" t="n">
        <v>15996.9</v>
      </c>
      <c r="R18" s="18" t="n">
        <v>18054.8</v>
      </c>
      <c r="S18" s="18" t="n">
        <v>18635</v>
      </c>
      <c r="T18" s="18" t="n">
        <v>19717.7</v>
      </c>
      <c r="U18" s="9" t="n"/>
      <c r="V18" s="18" t="n">
        <v>24437.1</v>
      </c>
      <c r="W18" s="18" t="n">
        <v>38210</v>
      </c>
      <c r="X18" s="18" t="n">
        <v>63169.2</v>
      </c>
      <c r="Y18" s="18" t="n">
        <v>78511.89999999999</v>
      </c>
      <c r="Z18" s="9" t="n"/>
      <c r="AA18" s="18" t="n">
        <v>95247.5</v>
      </c>
      <c r="AB18" s="19" t="n">
        <v>106186.9</v>
      </c>
      <c r="AC18" s="20" t="n">
        <v>78645.2</v>
      </c>
      <c r="AD18" s="20" t="n">
        <v>80380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0.087344956</v>
      </c>
      <c r="AD21" s="24" t="n">
        <v>0.087344861</v>
      </c>
      <c r="AE21" s="25" t="n"/>
      <c r="AF21" s="24" t="n">
        <v>0.087344906</v>
      </c>
      <c r="AG21" s="24" t="n">
        <v>0.087344925</v>
      </c>
      <c r="AH21" s="24" t="n">
        <v>0.04367239</v>
      </c>
      <c r="AI21" s="24" t="n">
        <v>0.043672523</v>
      </c>
      <c r="AJ21" s="25" t="n"/>
      <c r="AK21" s="24" t="n">
        <v>0.043672591</v>
      </c>
      <c r="AL21" s="24" t="n">
        <v>0.043672443</v>
      </c>
      <c r="AM21" s="24" t="n">
        <v>0.021836271</v>
      </c>
      <c r="AN21" s="24" t="n">
        <v>0.021836178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0.047416869</v>
      </c>
      <c r="AD23" s="24" t="n">
        <v>0.047416926</v>
      </c>
      <c r="AE23" s="25">
        <f>IFERROR(subQ!AE9/subQ!AE5,"")</f>
        <v/>
      </c>
      <c r="AF23" s="24" t="n">
        <v>0.047416776</v>
      </c>
      <c r="AG23" s="24" t="n">
        <v>0.047416874</v>
      </c>
      <c r="AH23" s="24" t="n">
        <v>0.047416797</v>
      </c>
      <c r="AI23" s="24" t="n">
        <v>0.047416914</v>
      </c>
      <c r="AJ23" s="25">
        <f>IFERROR(subQ!AJ9/subQ!AJ5,"")</f>
        <v/>
      </c>
      <c r="AK23" s="24" t="n">
        <v>0.04741683</v>
      </c>
      <c r="AL23" s="24" t="n">
        <v>0.047416915</v>
      </c>
      <c r="AM23" s="24" t="n">
        <v>0.047416918</v>
      </c>
      <c r="AN23" s="24" t="n">
        <v>0.047416831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143.3</v>
      </c>
      <c r="AD28" s="30" t="n">
        <v>143.3</v>
      </c>
      <c r="AE28" s="31">
        <f>subQ!AE17</f>
        <v/>
      </c>
      <c r="AF28" s="30" t="n">
        <v>143.3</v>
      </c>
      <c r="AG28" s="30" t="n">
        <v>143.3</v>
      </c>
      <c r="AH28" s="30" t="n">
        <v>143.3</v>
      </c>
      <c r="AI28" s="30" t="n">
        <v>143.3</v>
      </c>
      <c r="AJ28" s="31">
        <f>subQ!AJ17</f>
        <v/>
      </c>
      <c r="AK28" s="30" t="n">
        <v>143.3</v>
      </c>
      <c r="AL28" s="30" t="n">
        <v>143.3</v>
      </c>
      <c r="AM28" s="30" t="n">
        <v>143.3</v>
      </c>
      <c r="AN28" s="30" t="n">
        <v>143.3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0.001784146</v>
      </c>
      <c r="AD33" s="30" t="n">
        <v>0.002733647</v>
      </c>
      <c r="AE33" s="31" t="n"/>
      <c r="AF33" s="30" t="n">
        <v>0.000334227</v>
      </c>
      <c r="AG33" s="30" t="n">
        <v>0.006426239</v>
      </c>
      <c r="AH33" s="30" t="n">
        <v>-0.005099701</v>
      </c>
      <c r="AI33" s="30" t="n">
        <v>0.006238169</v>
      </c>
      <c r="AJ33" s="31" t="n"/>
      <c r="AK33" s="30" t="n">
        <v>0.004711386</v>
      </c>
      <c r="AL33" s="30" t="n">
        <v>0.002967662</v>
      </c>
      <c r="AM33" s="30" t="n">
        <v>0.004180576</v>
      </c>
      <c r="AN33" s="30" t="n">
        <v>-0.003043825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2" t="n"/>
      <c r="AD34" s="32" t="n"/>
      <c r="AE34" s="31" t="n"/>
      <c r="AF34" s="32" t="n"/>
      <c r="AG34" s="32" t="n"/>
      <c r="AH34" s="32" t="n"/>
      <c r="AI34" s="32" t="n"/>
      <c r="AJ34" s="31" t="n"/>
      <c r="AK34" s="32" t="n"/>
      <c r="AL34" s="32" t="n"/>
      <c r="AM34" s="32" t="n"/>
      <c r="AN34" s="32" t="n"/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-0.029576887</v>
      </c>
      <c r="AD36" s="24" t="n">
        <v>-0.04114798</v>
      </c>
      <c r="AE36" s="25" t="n"/>
      <c r="AF36" s="24" t="n">
        <v>-0.036400565</v>
      </c>
      <c r="AG36" s="24" t="n">
        <v>-0.043344324</v>
      </c>
      <c r="AH36" s="24" t="n">
        <v>-0.037310784</v>
      </c>
      <c r="AI36" s="24" t="n">
        <v>-0.05184946</v>
      </c>
      <c r="AJ36" s="25" t="n"/>
      <c r="AK36" s="24" t="n">
        <v>-0.046612876</v>
      </c>
      <c r="AL36" s="24" t="n">
        <v>-0.055880439</v>
      </c>
      <c r="AM36" s="24" t="n">
        <v>-0.047727226</v>
      </c>
      <c r="AN36" s="24" t="n">
        <v>-0.066587778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0.032228</v>
      </c>
      <c r="AD37" s="24" t="n">
        <v>0.042151681</v>
      </c>
      <c r="AE37" s="25" t="n"/>
      <c r="AF37" s="24" t="n">
        <v>0.034307981</v>
      </c>
      <c r="AG37" s="24" t="n">
        <v>0.03805975</v>
      </c>
      <c r="AH37" s="24" t="n">
        <v>0.03019266</v>
      </c>
      <c r="AI37" s="24" t="n">
        <v>0.03920838</v>
      </c>
      <c r="AJ37" s="25" t="n"/>
      <c r="AK37" s="24" t="n">
        <v>0.032159938</v>
      </c>
      <c r="AL37" s="24" t="n">
        <v>0.035611593</v>
      </c>
      <c r="AM37" s="24" t="n">
        <v>0.027728596</v>
      </c>
      <c r="AN37" s="24" t="n">
        <v>0.035845871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-0.224096995</v>
      </c>
      <c r="AD39" s="24" t="n">
        <v>-0.050420653</v>
      </c>
      <c r="AE39" s="25" t="n"/>
      <c r="AF39" s="24" t="n">
        <v>0.056069206</v>
      </c>
      <c r="AG39" s="24" t="n">
        <v>0.743665065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76700</v>
      </c>
      <c r="E45" s="2" t="inlineStr">
        <is>
          <t>원 — 네이버 정규장 종가(aik 확정종가 대조 · aik 80,500원)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PER 중위 171.3배가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0.2200008014009354</v>
      </c>
      <c r="E52" s="2" t="inlineStr">
        <is>
          <t>연결 — 법인세 = MAX(세전,0) × 세율(역산, 재현 오차 ≤ 0.05억 · 모델 assumptions 0.22) · 최근 12분기 유효세율 34.8% 가 5~27% 밖; 세전 &gt; 0 분기 중위 42.9%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0.120164482055655</v>
      </c>
      <c r="E53" s="2" t="inlineStr">
        <is>
          <t>연결 — 판관비 = 매출액 × 판관비율(역산, 재현 오차 ≤ 0.05억 · 모델 assumptions 0.1202)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0.4000001388428973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0.02376345087880409</v>
      </c>
      <c r="E55" s="2" t="inlineStr">
        <is>
          <t>연결 — 이자손익 = (전분기 이자발생자산 × 자산이자율 − 전분기 총차입금 × 부채이자율)/4(역산, 재현 오차 ≤ 0.05억 · 모델 assumptions 0.0238)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0.05178054189736901</v>
      </c>
      <c r="E56" s="2" t="inlineStr">
        <is>
          <t>연결 — 같은 수식의 부채 쪽(총차입금 행이 없으면 0)(역산, 재현 오차 ≤ 0.05억 · 모델 assumptions 0.0518)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8417624.109999999</v>
      </c>
      <c r="F5" s="37" t="n">
        <v>8417624.109999999</v>
      </c>
      <c r="G5" s="18" t="n">
        <v>8671301.17</v>
      </c>
      <c r="H5" s="18" t="n">
        <v>8759163.85</v>
      </c>
      <c r="I5" s="18" t="n">
        <v>8917728.98</v>
      </c>
      <c r="J5" s="18" t="n">
        <v>8098893.73</v>
      </c>
      <c r="K5" s="37" t="n">
        <v>8098893.73</v>
      </c>
      <c r="L5" s="18" t="n">
        <v>8606257.300000001</v>
      </c>
      <c r="M5" s="18" t="n">
        <v>10004790.3</v>
      </c>
      <c r="N5" s="18" t="n">
        <v>9550625.130000001</v>
      </c>
      <c r="O5" s="18" t="n">
        <v>9641568.24</v>
      </c>
      <c r="P5" s="37" t="n">
        <v>9641568.24</v>
      </c>
      <c r="Q5" s="18" t="n">
        <v>10332147.91</v>
      </c>
      <c r="R5" s="18" t="n">
        <v>10355218.23</v>
      </c>
      <c r="S5" s="18" t="n">
        <v>9675109.970000001</v>
      </c>
      <c r="T5" s="18" t="n">
        <v>10049022</v>
      </c>
      <c r="U5" s="37" t="n">
        <v>10049022</v>
      </c>
      <c r="V5" s="18" t="n">
        <v>10508418</v>
      </c>
      <c r="W5" s="18" t="n">
        <v>9989814</v>
      </c>
      <c r="X5" s="18" t="n">
        <v>10510110</v>
      </c>
      <c r="Y5" s="18" t="n">
        <v>10771711</v>
      </c>
      <c r="Z5" s="37" t="n">
        <v>10771711</v>
      </c>
      <c r="AA5" s="18" t="n">
        <v>11598608</v>
      </c>
      <c r="AB5" s="19" t="n">
        <v>12466920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1908603.99</v>
      </c>
      <c r="F6" s="37" t="n">
        <v>1908603.99</v>
      </c>
      <c r="G6" s="18" t="n">
        <v>1588251.04</v>
      </c>
      <c r="H6" s="18" t="n">
        <v>1097413.5</v>
      </c>
      <c r="I6" s="18" t="n">
        <v>1467024.98</v>
      </c>
      <c r="J6" s="18" t="n">
        <v>1395837.6</v>
      </c>
      <c r="K6" s="37" t="n">
        <v>1395837.6</v>
      </c>
      <c r="L6" s="18" t="n">
        <v>1591895.43</v>
      </c>
      <c r="M6" s="18" t="n">
        <v>2724522.47</v>
      </c>
      <c r="N6" s="18" t="n">
        <v>2270177.26</v>
      </c>
      <c r="O6" s="18" t="n">
        <v>2620186.98</v>
      </c>
      <c r="P6" s="37" t="n">
        <v>2620186.98</v>
      </c>
      <c r="Q6" s="18" t="n">
        <v>2920099.79</v>
      </c>
      <c r="R6" s="18" t="n">
        <v>2585775.22</v>
      </c>
      <c r="S6" s="18" t="n">
        <v>2287606.91</v>
      </c>
      <c r="T6" s="18" t="n">
        <v>2898298</v>
      </c>
      <c r="U6" s="37" t="n">
        <v>2898298</v>
      </c>
      <c r="V6" s="18" t="n">
        <v>2609660</v>
      </c>
      <c r="W6" s="18" t="n">
        <v>2274305</v>
      </c>
      <c r="X6" s="18" t="n">
        <v>2404201</v>
      </c>
      <c r="Y6" s="18" t="n">
        <v>3080997</v>
      </c>
      <c r="Z6" s="37" t="n">
        <v>3080997</v>
      </c>
      <c r="AA6" s="18" t="n">
        <v>3090530</v>
      </c>
      <c r="AB6" s="19" t="n">
        <v>2541888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519150.03</v>
      </c>
      <c r="F7" s="37" t="n">
        <v>519150.03</v>
      </c>
      <c r="G7" s="18" t="n">
        <v>307771.09</v>
      </c>
      <c r="H7" s="18" t="n">
        <v>146932.43</v>
      </c>
      <c r="I7" s="18" t="n">
        <v>160221.94</v>
      </c>
      <c r="J7" s="18" t="n">
        <v>105780.37</v>
      </c>
      <c r="K7" s="37" t="n">
        <v>105780.37</v>
      </c>
      <c r="L7" s="18" t="n">
        <v>77697.17</v>
      </c>
      <c r="M7" s="18" t="n">
        <v>78595.5</v>
      </c>
      <c r="N7" s="18" t="n">
        <v>102386.09</v>
      </c>
      <c r="O7" s="18" t="n">
        <v>118271.68</v>
      </c>
      <c r="P7" s="37" t="n">
        <v>118271.68</v>
      </c>
      <c r="Q7" s="18" t="n">
        <v>135114.04</v>
      </c>
      <c r="R7" s="18" t="n">
        <v>101225.77</v>
      </c>
      <c r="S7" s="18" t="n">
        <v>100781.04</v>
      </c>
      <c r="T7" s="18" t="n">
        <v>143577</v>
      </c>
      <c r="U7" s="37" t="n">
        <v>143577</v>
      </c>
      <c r="V7" s="18" t="n">
        <v>151970</v>
      </c>
      <c r="W7" s="18" t="n">
        <v>120126</v>
      </c>
      <c r="X7" s="18" t="n">
        <v>111532</v>
      </c>
      <c r="Y7" s="18" t="n">
        <v>107870</v>
      </c>
      <c r="Z7" s="37" t="n">
        <v>107870</v>
      </c>
      <c r="AA7" s="18" t="n">
        <v>108861</v>
      </c>
      <c r="AB7" s="19" t="n">
        <v>276246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627154.23</v>
      </c>
      <c r="F8" s="37" t="n">
        <v>627154.23</v>
      </c>
      <c r="G8" s="18" t="n">
        <v>417385.52</v>
      </c>
      <c r="H8" s="18" t="n">
        <v>298653.58</v>
      </c>
      <c r="I8" s="18" t="n">
        <v>381714.59</v>
      </c>
      <c r="J8" s="18" t="n">
        <v>234608.48</v>
      </c>
      <c r="K8" s="37" t="n">
        <v>234608.48</v>
      </c>
      <c r="L8" s="18" t="n">
        <v>212411.69</v>
      </c>
      <c r="M8" s="18" t="n">
        <v>230469.24</v>
      </c>
      <c r="N8" s="18" t="n">
        <v>280614.4</v>
      </c>
      <c r="O8" s="18" t="n">
        <v>202997.84</v>
      </c>
      <c r="P8" s="37" t="n">
        <v>202997.84</v>
      </c>
      <c r="Q8" s="18" t="n">
        <v>252855.81</v>
      </c>
      <c r="R8" s="18" t="n">
        <v>254431.49</v>
      </c>
      <c r="S8" s="18" t="n">
        <v>173669.12</v>
      </c>
      <c r="T8" s="18" t="n">
        <v>285438</v>
      </c>
      <c r="U8" s="37" t="n">
        <v>285438</v>
      </c>
      <c r="V8" s="18" t="n">
        <v>289516</v>
      </c>
      <c r="W8" s="18" t="n">
        <v>170366</v>
      </c>
      <c r="X8" s="18" t="n">
        <v>178197</v>
      </c>
      <c r="Y8" s="18" t="n">
        <v>186426</v>
      </c>
      <c r="Z8" s="37" t="n">
        <v>186426</v>
      </c>
      <c r="AA8" s="18" t="n">
        <v>267810</v>
      </c>
      <c r="AB8" s="19" t="n">
        <v>493666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197197.2</v>
      </c>
      <c r="F9" s="37" t="n">
        <v>197197.2</v>
      </c>
      <c r="G9" s="18" t="n">
        <v>159405.42</v>
      </c>
      <c r="H9" s="18" t="n">
        <v>64795.04</v>
      </c>
      <c r="I9" s="18" t="n">
        <v>23717.09</v>
      </c>
      <c r="J9" s="18" t="n">
        <v>23775.91</v>
      </c>
      <c r="K9" s="37" t="n">
        <v>23775.91</v>
      </c>
      <c r="L9" s="18" t="n">
        <v>23140.21</v>
      </c>
      <c r="M9" s="18" t="n">
        <v>76853.67</v>
      </c>
      <c r="N9" s="18" t="n">
        <v>77122.42</v>
      </c>
      <c r="O9" s="18" t="n">
        <v>84976.78</v>
      </c>
      <c r="P9" s="37" t="n">
        <v>84976.78</v>
      </c>
      <c r="Q9" s="18" t="n">
        <v>80576.85000000001</v>
      </c>
      <c r="R9" s="18" t="n">
        <v>351.19</v>
      </c>
      <c r="S9" s="18" t="n">
        <v>353.11</v>
      </c>
      <c r="T9" s="18" t="n">
        <v>0</v>
      </c>
      <c r="U9" s="37" t="n">
        <v>0</v>
      </c>
      <c r="V9" s="18" t="n">
        <v>0</v>
      </c>
      <c r="Z9" s="9" t="n"/>
      <c r="AB9" s="19" t="n">
        <v>75014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1128705.61</v>
      </c>
      <c r="F10" s="37" t="n">
        <v>1128705.61</v>
      </c>
      <c r="G10" s="18" t="n">
        <v>1340359.65</v>
      </c>
      <c r="H10" s="18" t="n">
        <v>1669760.65</v>
      </c>
      <c r="I10" s="18" t="n">
        <v>1716473.64</v>
      </c>
      <c r="J10" s="18" t="n">
        <v>1827688.03</v>
      </c>
      <c r="K10" s="37" t="n">
        <v>1827688.03</v>
      </c>
      <c r="L10" s="18" t="n">
        <v>1965339</v>
      </c>
      <c r="M10" s="18" t="n">
        <v>2077400.52</v>
      </c>
      <c r="N10" s="18" t="n">
        <v>1973318.33</v>
      </c>
      <c r="O10" s="18" t="n">
        <v>1812811.04</v>
      </c>
      <c r="P10" s="37" t="n">
        <v>1812811.04</v>
      </c>
      <c r="Q10" s="18" t="n">
        <v>1982359.69</v>
      </c>
      <c r="R10" s="18" t="n">
        <v>1951259.96</v>
      </c>
      <c r="S10" s="18" t="n">
        <v>1815503.51</v>
      </c>
      <c r="T10" s="18" t="n">
        <v>1767747</v>
      </c>
      <c r="U10" s="37" t="n">
        <v>1767747</v>
      </c>
      <c r="V10" s="18" t="n">
        <v>1990236</v>
      </c>
      <c r="W10" s="18" t="n">
        <v>2080255</v>
      </c>
      <c r="X10" s="18" t="n">
        <v>2255515</v>
      </c>
      <c r="Y10" s="18" t="n">
        <v>2279608</v>
      </c>
      <c r="Z10" s="37" t="n">
        <v>2279608</v>
      </c>
      <c r="AA10" s="18" t="n">
        <v>2393923</v>
      </c>
      <c r="AB10" s="19" t="n">
        <v>2787121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1632887.64</v>
      </c>
      <c r="F11" s="37" t="n">
        <v>1632887.64</v>
      </c>
      <c r="G11" s="18" t="n">
        <v>1684090.41</v>
      </c>
      <c r="H11" s="18" t="n">
        <v>1470566.82</v>
      </c>
      <c r="I11" s="18" t="n">
        <v>1435796.94</v>
      </c>
      <c r="J11" s="18" t="n">
        <v>1156934.17</v>
      </c>
      <c r="K11" s="37" t="n">
        <v>1156934.17</v>
      </c>
      <c r="L11" s="18" t="n">
        <v>1126730.27</v>
      </c>
      <c r="M11" s="18" t="n">
        <v>1158383.44</v>
      </c>
      <c r="N11" s="18" t="n">
        <v>1307173.28</v>
      </c>
      <c r="O11" s="18" t="n">
        <v>1485570.36</v>
      </c>
      <c r="P11" s="37" t="n">
        <v>1485570.36</v>
      </c>
      <c r="Q11" s="18" t="n">
        <v>1456204.97</v>
      </c>
      <c r="R11" s="18" t="n">
        <v>1616743.11</v>
      </c>
      <c r="S11" s="18" t="n">
        <v>1586905.46</v>
      </c>
      <c r="T11" s="18" t="n">
        <v>1594506</v>
      </c>
      <c r="U11" s="37" t="n">
        <v>1594506</v>
      </c>
      <c r="V11" s="18" t="n">
        <v>1785013</v>
      </c>
      <c r="W11" s="18" t="n">
        <v>1890548</v>
      </c>
      <c r="X11" s="18" t="n">
        <v>1721431</v>
      </c>
      <c r="Y11" s="18" t="n">
        <v>1713692</v>
      </c>
      <c r="Z11" s="37" t="n">
        <v>1713692</v>
      </c>
      <c r="AA11" s="18" t="n">
        <v>1980736</v>
      </c>
      <c r="AB11" s="19" t="n">
        <v>2455840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</t>
        </is>
      </c>
      <c r="E12" s="18" t="n">
        <v>499609.56</v>
      </c>
      <c r="F12" s="37" t="n">
        <v>499609.56</v>
      </c>
      <c r="G12" s="18" t="n">
        <v>601993.48</v>
      </c>
      <c r="H12" s="18" t="n">
        <v>699551.83</v>
      </c>
      <c r="I12" s="18" t="n">
        <v>667630.39</v>
      </c>
      <c r="J12" s="18" t="n">
        <v>609869.21</v>
      </c>
      <c r="K12" s="37" t="n">
        <v>609869.21</v>
      </c>
      <c r="L12" s="18" t="n">
        <v>582950.49</v>
      </c>
      <c r="M12" s="18" t="n">
        <v>613369.11</v>
      </c>
      <c r="N12" s="18" t="n">
        <v>564148.4300000001</v>
      </c>
      <c r="O12" s="18" t="n">
        <v>508209.82</v>
      </c>
      <c r="P12" s="37" t="n">
        <v>508209.82</v>
      </c>
      <c r="Q12" s="18" t="n">
        <v>454596.04</v>
      </c>
      <c r="R12" s="18" t="n">
        <v>530718.51</v>
      </c>
      <c r="S12" s="18" t="n">
        <v>368887.7</v>
      </c>
      <c r="T12" s="18" t="n">
        <v>360750</v>
      </c>
      <c r="U12" s="37" t="n">
        <v>360750</v>
      </c>
      <c r="V12" s="18" t="n">
        <v>377116</v>
      </c>
      <c r="W12" s="18" t="n">
        <v>372830</v>
      </c>
      <c r="X12" s="18" t="n">
        <v>454337</v>
      </c>
      <c r="Y12" s="18" t="n">
        <v>510532</v>
      </c>
      <c r="Z12" s="37" t="n">
        <v>510532</v>
      </c>
      <c r="AA12" s="18" t="n">
        <v>469171</v>
      </c>
      <c r="AB12" s="19" t="n">
        <v>451081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선급금등</t>
        </is>
      </c>
      <c r="E13" s="18" t="n">
        <v>499609.56</v>
      </c>
      <c r="F13" s="37" t="n">
        <v>499609.56</v>
      </c>
      <c r="G13" s="18" t="n">
        <v>601993.48</v>
      </c>
      <c r="H13" s="18" t="n">
        <v>699551.83</v>
      </c>
      <c r="I13" s="18" t="n">
        <v>667630.39</v>
      </c>
      <c r="J13" s="18" t="n">
        <v>609869.21</v>
      </c>
      <c r="K13" s="37" t="n">
        <v>609869.21</v>
      </c>
      <c r="L13" s="18" t="n">
        <v>582950.49</v>
      </c>
      <c r="M13" s="18" t="n">
        <v>613369.11</v>
      </c>
      <c r="N13" s="18" t="n">
        <v>564148.4300000001</v>
      </c>
      <c r="O13" s="18" t="n">
        <v>508209.82</v>
      </c>
      <c r="P13" s="37" t="n">
        <v>508209.82</v>
      </c>
      <c r="Q13" s="18" t="n">
        <v>454596.04</v>
      </c>
      <c r="R13" s="18" t="n">
        <v>530718.51</v>
      </c>
      <c r="S13" s="18" t="n">
        <v>368887.7</v>
      </c>
      <c r="T13" s="18" t="n">
        <v>360750</v>
      </c>
      <c r="U13" s="37" t="n">
        <v>360750</v>
      </c>
      <c r="V13" s="18" t="n">
        <v>377116</v>
      </c>
      <c r="W13" s="18" t="n">
        <v>372830</v>
      </c>
      <c r="X13" s="18" t="n">
        <v>454337</v>
      </c>
      <c r="Y13" s="18" t="n">
        <v>510532</v>
      </c>
      <c r="Z13" s="37" t="n">
        <v>510532</v>
      </c>
      <c r="AA13" s="18" t="n">
        <v>469171</v>
      </c>
      <c r="AB13" s="19" t="n">
        <v>451081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784772.4399999999</v>
      </c>
      <c r="F14" s="37" t="n">
        <v>784772.4399999999</v>
      </c>
      <c r="G14" s="18" t="n">
        <v>915231.71</v>
      </c>
      <c r="H14" s="18" t="n">
        <v>1002515.84</v>
      </c>
      <c r="I14" s="18" t="n">
        <v>995620.14</v>
      </c>
      <c r="J14" s="18" t="n">
        <v>923853.7</v>
      </c>
      <c r="K14" s="37" t="n">
        <v>923853.7</v>
      </c>
      <c r="L14" s="18" t="n">
        <v>951495.08</v>
      </c>
      <c r="M14" s="18" t="n">
        <v>977095.05</v>
      </c>
      <c r="N14" s="18" t="n">
        <v>914075.95</v>
      </c>
      <c r="O14" s="18" t="n">
        <v>831622.46</v>
      </c>
      <c r="P14" s="37" t="n">
        <v>831622.46</v>
      </c>
      <c r="Q14" s="18" t="n">
        <v>790035.4399999999</v>
      </c>
      <c r="R14" s="18" t="n">
        <v>878485.5</v>
      </c>
      <c r="S14" s="18" t="n">
        <v>721963.24</v>
      </c>
      <c r="T14" s="18" t="n">
        <v>729689</v>
      </c>
      <c r="U14" s="37" t="n">
        <v>729689</v>
      </c>
      <c r="V14" s="18" t="n">
        <v>777171</v>
      </c>
      <c r="W14" s="18" t="n">
        <v>773824</v>
      </c>
      <c r="X14" s="18" t="n">
        <v>868614</v>
      </c>
      <c r="Y14" s="18" t="n">
        <v>936872</v>
      </c>
      <c r="Z14" s="37" t="n">
        <v>936872</v>
      </c>
      <c r="AA14" s="18" t="n">
        <v>915781</v>
      </c>
      <c r="AB14" s="19" t="n">
        <v>915499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단기대여금</t>
        </is>
      </c>
      <c r="E15" s="18" t="n">
        <v>62126.81</v>
      </c>
      <c r="F15" s="37" t="n">
        <v>62126.81</v>
      </c>
      <c r="G15" s="18" t="n">
        <v>57901.48</v>
      </c>
      <c r="H15" s="18" t="n">
        <v>61196.01</v>
      </c>
      <c r="I15" s="18" t="n">
        <v>59057.92</v>
      </c>
      <c r="J15" s="18" t="n">
        <v>73900.53</v>
      </c>
      <c r="K15" s="37" t="n">
        <v>73900.53</v>
      </c>
      <c r="L15" s="18" t="n">
        <v>69759.03999999999</v>
      </c>
      <c r="M15" s="18" t="n">
        <v>89995.92999999999</v>
      </c>
      <c r="N15" s="18" t="n">
        <v>102701.8</v>
      </c>
      <c r="O15" s="18" t="n">
        <v>47332.37</v>
      </c>
      <c r="P15" s="37" t="n">
        <v>47332.37</v>
      </c>
      <c r="Q15" s="18" t="n">
        <v>49839.12</v>
      </c>
      <c r="R15" s="18" t="n">
        <v>67987.83</v>
      </c>
      <c r="S15" s="18" t="n">
        <v>24364.08</v>
      </c>
      <c r="T15" s="18" t="n">
        <v>27611</v>
      </c>
      <c r="U15" s="37" t="n">
        <v>27611</v>
      </c>
      <c r="V15" s="18" t="n">
        <v>28796</v>
      </c>
      <c r="W15" s="18" t="n">
        <v>13192</v>
      </c>
      <c r="X15" s="18" t="n">
        <v>12937</v>
      </c>
      <c r="Y15" s="18" t="n">
        <v>12699</v>
      </c>
      <c r="Z15" s="37" t="n">
        <v>12699</v>
      </c>
      <c r="AA15" s="18" t="n">
        <v>28254</v>
      </c>
      <c r="AB15" s="19" t="n">
        <v>38866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유동확정계약자산</t>
        </is>
      </c>
      <c r="E16" s="18" t="n">
        <v>45877.39</v>
      </c>
      <c r="F16" s="37" t="n">
        <v>45877.39</v>
      </c>
      <c r="G16" s="18" t="n">
        <v>51712.95</v>
      </c>
      <c r="H16" s="18" t="n">
        <v>90525.14</v>
      </c>
      <c r="I16" s="18" t="n">
        <v>162434.73</v>
      </c>
      <c r="J16" s="18" t="n">
        <v>54927.58</v>
      </c>
      <c r="K16" s="37" t="n">
        <v>54927.58</v>
      </c>
      <c r="L16" s="18" t="n">
        <v>64955.48</v>
      </c>
      <c r="M16" s="18" t="n">
        <v>61877.81</v>
      </c>
      <c r="N16" s="18" t="n">
        <v>75526.50999999999</v>
      </c>
      <c r="O16" s="18" t="n">
        <v>37393.79</v>
      </c>
      <c r="P16" s="37" t="n">
        <v>37393.79</v>
      </c>
      <c r="Q16" s="18" t="n">
        <v>67902.64999999999</v>
      </c>
      <c r="R16" s="18" t="n">
        <v>85217.89</v>
      </c>
      <c r="S16" s="18" t="n">
        <v>48524</v>
      </c>
      <c r="T16" s="18" t="n">
        <v>114250</v>
      </c>
      <c r="U16" s="37" t="n">
        <v>114250</v>
      </c>
      <c r="V16" s="18" t="n">
        <v>108750</v>
      </c>
      <c r="W16" s="18" t="n">
        <v>37048</v>
      </c>
      <c r="X16" s="18" t="n">
        <v>53728</v>
      </c>
      <c r="Y16" s="18" t="n">
        <v>65857</v>
      </c>
      <c r="Z16" s="37" t="n">
        <v>65857</v>
      </c>
      <c r="AA16" s="18" t="n">
        <v>130695</v>
      </c>
      <c r="AB16" s="19" t="n">
        <v>178554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재고자산</t>
        </is>
      </c>
      <c r="E17" s="18" t="n">
        <v>1788420.16</v>
      </c>
      <c r="F17" s="37" t="n">
        <v>1788420.16</v>
      </c>
      <c r="G17" s="18" t="n">
        <v>2203137.05</v>
      </c>
      <c r="H17" s="18" t="n">
        <v>2327838.65</v>
      </c>
      <c r="I17" s="18" t="n">
        <v>2660766.04</v>
      </c>
      <c r="J17" s="18" t="n">
        <v>2459026</v>
      </c>
      <c r="K17" s="37" t="n">
        <v>2459026</v>
      </c>
      <c r="L17" s="18" t="n">
        <v>2653226.1</v>
      </c>
      <c r="M17" s="18" t="n">
        <v>2679270.28</v>
      </c>
      <c r="N17" s="18" t="n">
        <v>2691408.39</v>
      </c>
      <c r="O17" s="18" t="n">
        <v>2539004.35</v>
      </c>
      <c r="P17" s="37" t="n">
        <v>2539004.35</v>
      </c>
      <c r="Q17" s="18" t="n">
        <v>2790504.74</v>
      </c>
      <c r="R17" s="18" t="n">
        <v>3049889.23</v>
      </c>
      <c r="S17" s="18" t="n">
        <v>3071098.28</v>
      </c>
      <c r="T17" s="18" t="n">
        <v>2733933</v>
      </c>
      <c r="U17" s="37" t="n">
        <v>2733933</v>
      </c>
      <c r="V17" s="18" t="n">
        <v>3037819</v>
      </c>
      <c r="W17" s="18" t="n">
        <v>2719745</v>
      </c>
      <c r="X17" s="18" t="n">
        <v>2771060</v>
      </c>
      <c r="Y17" s="18" t="n">
        <v>2544025</v>
      </c>
      <c r="Z17" s="37" t="n">
        <v>2544025</v>
      </c>
      <c r="AA17" s="18" t="n">
        <v>2828194</v>
      </c>
      <c r="AB17" s="19" t="n">
        <v>3144625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매각예정비유동자산및처분자산</t>
        </is>
      </c>
      <c r="E18" s="18" t="n">
        <v>319607.73</v>
      </c>
      <c r="F18" s="37" t="n">
        <v>319607.73</v>
      </c>
      <c r="G18" s="18" t="n">
        <v>329114.59</v>
      </c>
      <c r="H18" s="18" t="n">
        <v>759705.53</v>
      </c>
      <c r="I18" s="18" t="n">
        <v>30644.74</v>
      </c>
      <c r="J18" s="18" t="n">
        <v>4684.77</v>
      </c>
      <c r="K18" s="37" t="n">
        <v>4684.77</v>
      </c>
      <c r="L18" s="18" t="n">
        <v>15238.93</v>
      </c>
      <c r="M18" s="18" t="n">
        <v>14265.03</v>
      </c>
      <c r="N18" s="18" t="n">
        <v>14265.03</v>
      </c>
      <c r="O18" s="18" t="n">
        <v>44183.59</v>
      </c>
      <c r="P18" s="37" t="n">
        <v>44183.59</v>
      </c>
      <c r="Q18" s="18" t="n">
        <v>44188.19</v>
      </c>
      <c r="R18" s="18" t="n">
        <v>1505.81</v>
      </c>
      <c r="S18" s="18" t="n">
        <v>1505.81</v>
      </c>
      <c r="T18" s="18" t="n">
        <v>1506</v>
      </c>
      <c r="U18" s="37" t="n">
        <v>1506</v>
      </c>
      <c r="V18" s="18" t="n">
        <v>1291</v>
      </c>
      <c r="W18" s="18" t="n">
        <v>0</v>
      </c>
      <c r="X18" s="18" t="n">
        <v>264654</v>
      </c>
      <c r="Y18" s="18" t="n">
        <v>0</v>
      </c>
      <c r="Z18" s="37" t="n">
        <v>0</v>
      </c>
      <c r="AA18" s="18" t="n">
        <v>84218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비유동자산</t>
        </is>
      </c>
      <c r="E19" s="18" t="n">
        <v>15302921.52</v>
      </c>
      <c r="F19" s="37" t="n">
        <v>15302921.52</v>
      </c>
      <c r="G19" s="18" t="n">
        <v>15474502.06</v>
      </c>
      <c r="H19" s="18" t="n">
        <v>15512187.1</v>
      </c>
      <c r="I19" s="18" t="n">
        <v>16253182.64</v>
      </c>
      <c r="J19" s="18" t="n">
        <v>14950888.07</v>
      </c>
      <c r="K19" s="37" t="n">
        <v>14950888.07</v>
      </c>
      <c r="L19" s="18" t="n">
        <v>15392071.78</v>
      </c>
      <c r="M19" s="18" t="n">
        <v>15302681.12</v>
      </c>
      <c r="N19" s="18" t="n">
        <v>15389293.71</v>
      </c>
      <c r="O19" s="18" t="n">
        <v>14999265.7</v>
      </c>
      <c r="P19" s="37" t="n">
        <v>14999265.7</v>
      </c>
      <c r="Q19" s="18" t="n">
        <v>15324972.87</v>
      </c>
      <c r="R19" s="18" t="n">
        <v>15758886.32</v>
      </c>
      <c r="S19" s="18" t="n">
        <v>15589486.75</v>
      </c>
      <c r="T19" s="18" t="n">
        <v>16265813</v>
      </c>
      <c r="U19" s="37" t="n">
        <v>16265813</v>
      </c>
      <c r="V19" s="18" t="n">
        <v>16388575</v>
      </c>
      <c r="W19" s="18" t="n">
        <v>16315382</v>
      </c>
      <c r="X19" s="18" t="n">
        <v>16517793</v>
      </c>
      <c r="Y19" s="18" t="n">
        <v>16741512</v>
      </c>
      <c r="Z19" s="37" t="n">
        <v>16741512</v>
      </c>
      <c r="AA19" s="18" t="n">
        <v>17096447</v>
      </c>
      <c r="AB19" s="19" t="n">
        <v>17480822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330981.78</v>
      </c>
      <c r="F20" s="37" t="n">
        <v>330981.78</v>
      </c>
      <c r="G20" s="18" t="n">
        <v>341610.11</v>
      </c>
      <c r="H20" s="18" t="n">
        <v>361434.62</v>
      </c>
      <c r="I20" s="18" t="n">
        <v>387940.7</v>
      </c>
      <c r="J20" s="18" t="n">
        <v>352607.3</v>
      </c>
      <c r="K20" s="37" t="n">
        <v>352607.3</v>
      </c>
      <c r="L20" s="18" t="n">
        <v>358710.15</v>
      </c>
      <c r="M20" s="18" t="n">
        <v>274444.31</v>
      </c>
      <c r="N20" s="18" t="n">
        <v>270458.36</v>
      </c>
      <c r="O20" s="18" t="n">
        <v>247214.42</v>
      </c>
      <c r="P20" s="37" t="n">
        <v>247214.42</v>
      </c>
      <c r="Q20" s="18" t="n">
        <v>262341.07</v>
      </c>
      <c r="R20" s="18" t="n">
        <v>381874.22</v>
      </c>
      <c r="S20" s="18" t="n">
        <v>367362.09</v>
      </c>
      <c r="T20" s="18" t="n">
        <v>461718</v>
      </c>
      <c r="U20" s="37" t="n">
        <v>461718</v>
      </c>
      <c r="V20" s="18" t="n">
        <v>479843</v>
      </c>
      <c r="W20" s="18" t="n">
        <v>600020</v>
      </c>
      <c r="X20" s="18" t="n">
        <v>628449</v>
      </c>
      <c r="Y20" s="18" t="n">
        <v>491644</v>
      </c>
      <c r="Z20" s="37" t="n">
        <v>491644</v>
      </c>
      <c r="AA20" s="18" t="n">
        <v>487980</v>
      </c>
      <c r="AB20" s="19" t="n">
        <v>503046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투자자산</t>
        </is>
      </c>
      <c r="E21" s="18" t="n">
        <v>978622.22</v>
      </c>
      <c r="F21" s="37" t="n">
        <v>978622.22</v>
      </c>
      <c r="G21" s="18" t="n">
        <v>1014080.63</v>
      </c>
      <c r="H21" s="18" t="n">
        <v>1088113.26</v>
      </c>
      <c r="I21" s="18" t="n">
        <v>1242709.46</v>
      </c>
      <c r="J21" s="18" t="n">
        <v>790337.3199999999</v>
      </c>
      <c r="K21" s="37" t="n">
        <v>790337.3199999999</v>
      </c>
      <c r="L21" s="18" t="n">
        <v>975412.05</v>
      </c>
      <c r="M21" s="18" t="n">
        <v>910037.28</v>
      </c>
      <c r="N21" s="18" t="n">
        <v>887378.2</v>
      </c>
      <c r="O21" s="18" t="n">
        <v>774812.0699999999</v>
      </c>
      <c r="P21" s="37" t="n">
        <v>774812.0699999999</v>
      </c>
      <c r="Q21" s="18" t="n">
        <v>854459.2</v>
      </c>
      <c r="R21" s="18" t="n">
        <v>1029267.98</v>
      </c>
      <c r="S21" s="18" t="n">
        <v>1054127.13</v>
      </c>
      <c r="T21" s="18" t="n">
        <v>994606</v>
      </c>
      <c r="U21" s="37" t="n">
        <v>994606</v>
      </c>
      <c r="V21" s="18" t="n">
        <v>987513</v>
      </c>
      <c r="W21" s="18" t="n">
        <v>1151603</v>
      </c>
      <c r="X21" s="18" t="n">
        <v>1190482</v>
      </c>
      <c r="Y21" s="18" t="n">
        <v>1025298</v>
      </c>
      <c r="Z21" s="37" t="n">
        <v>1025298</v>
      </c>
      <c r="AA21" s="18" t="n">
        <v>1056140</v>
      </c>
      <c r="AB21" s="19" t="n">
        <v>1238382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종속기업및관계기업투자</t>
        </is>
      </c>
      <c r="E22" s="18" t="n">
        <v>582045.11</v>
      </c>
      <c r="F22" s="37" t="n">
        <v>582045.11</v>
      </c>
      <c r="G22" s="18" t="n">
        <v>600360.64</v>
      </c>
      <c r="H22" s="18" t="n">
        <v>610282.45</v>
      </c>
      <c r="I22" s="18" t="n">
        <v>683056.03</v>
      </c>
      <c r="J22" s="18" t="n">
        <v>355954.92</v>
      </c>
      <c r="K22" s="37" t="n">
        <v>355954.92</v>
      </c>
      <c r="L22" s="18" t="n">
        <v>377073.95</v>
      </c>
      <c r="M22" s="18" t="n">
        <v>394718.45</v>
      </c>
      <c r="N22" s="18" t="n">
        <v>370318.2</v>
      </c>
      <c r="O22" s="18" t="n">
        <v>316869.59</v>
      </c>
      <c r="P22" s="37" t="n">
        <v>316869.59</v>
      </c>
      <c r="Q22" s="18" t="n">
        <v>362439.33</v>
      </c>
      <c r="R22" s="18" t="n">
        <v>403890.58</v>
      </c>
      <c r="S22" s="18" t="n">
        <v>416340.43</v>
      </c>
      <c r="T22" s="18" t="n">
        <v>347660</v>
      </c>
      <c r="U22" s="37" t="n">
        <v>347660</v>
      </c>
      <c r="V22" s="18" t="n">
        <v>348456</v>
      </c>
      <c r="W22" s="18" t="n">
        <v>358134</v>
      </c>
      <c r="X22" s="18" t="n">
        <v>382629</v>
      </c>
      <c r="Y22" s="18" t="n">
        <v>352647</v>
      </c>
      <c r="Z22" s="37" t="n">
        <v>352647</v>
      </c>
      <c r="AA22" s="18" t="n">
        <v>372988</v>
      </c>
      <c r="AB22" s="19" t="n">
        <v>394865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44703.08</v>
      </c>
      <c r="F23" s="37" t="n">
        <v>44703.08</v>
      </c>
      <c r="G23" s="18" t="n">
        <v>46690.4</v>
      </c>
      <c r="H23" s="18" t="n">
        <v>53226.25</v>
      </c>
      <c r="I23" s="18" t="n">
        <v>53326.31</v>
      </c>
      <c r="J23" s="18" t="n">
        <v>41235.87</v>
      </c>
      <c r="K23" s="37" t="n">
        <v>41235.87</v>
      </c>
      <c r="L23" s="18" t="n">
        <v>193743.84</v>
      </c>
      <c r="M23" s="18" t="n">
        <v>198198.25</v>
      </c>
      <c r="N23" s="18" t="n">
        <v>200100.13</v>
      </c>
      <c r="O23" s="18" t="n">
        <v>184879.26</v>
      </c>
      <c r="P23" s="37" t="n">
        <v>184879.26</v>
      </c>
      <c r="Q23" s="18" t="n">
        <v>209128.49</v>
      </c>
      <c r="R23" s="18" t="n">
        <v>216572.23</v>
      </c>
      <c r="S23" s="18" t="n">
        <v>260807.85</v>
      </c>
      <c r="T23" s="18" t="n">
        <v>171691</v>
      </c>
      <c r="U23" s="37" t="n">
        <v>171691</v>
      </c>
      <c r="V23" s="18" t="n">
        <v>148235</v>
      </c>
      <c r="W23" s="18" t="n">
        <v>164398</v>
      </c>
      <c r="X23" s="18" t="n">
        <v>134483</v>
      </c>
      <c r="Y23" s="18" t="n">
        <v>118354</v>
      </c>
      <c r="Z23" s="37" t="n">
        <v>118354</v>
      </c>
      <c r="AA23" s="18" t="n">
        <v>103326</v>
      </c>
      <c r="AB23" s="19" t="n">
        <v>102065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5436969.44</v>
      </c>
      <c r="F24" s="37" t="n">
        <v>5436969.44</v>
      </c>
      <c r="G24" s="18" t="n">
        <v>5442606.25</v>
      </c>
      <c r="H24" s="18" t="n">
        <v>5232674.76</v>
      </c>
      <c r="I24" s="18" t="n">
        <v>5342548.82</v>
      </c>
      <c r="J24" s="18" t="n">
        <v>5022147.62</v>
      </c>
      <c r="K24" s="37" t="n">
        <v>5022147.62</v>
      </c>
      <c r="L24" s="18" t="n">
        <v>5082049.53</v>
      </c>
      <c r="M24" s="18" t="n">
        <v>5070278.09</v>
      </c>
      <c r="N24" s="18" t="n">
        <v>5106593.62</v>
      </c>
      <c r="O24" s="18" t="n">
        <v>5225149.3</v>
      </c>
      <c r="P24" s="37" t="n">
        <v>5225149.3</v>
      </c>
      <c r="Q24" s="18" t="n">
        <v>5262427.68</v>
      </c>
      <c r="R24" s="18" t="n">
        <v>5359626.93</v>
      </c>
      <c r="S24" s="18" t="n">
        <v>5376205.82</v>
      </c>
      <c r="T24" s="18" t="n">
        <v>5703049</v>
      </c>
      <c r="U24" s="37" t="n">
        <v>5703049</v>
      </c>
      <c r="V24" s="18" t="n">
        <v>5716936</v>
      </c>
      <c r="W24" s="18" t="n">
        <v>5681822</v>
      </c>
      <c r="X24" s="18" t="n">
        <v>5658171</v>
      </c>
      <c r="Y24" s="18" t="n">
        <v>5776625</v>
      </c>
      <c r="Z24" s="37" t="n">
        <v>5776625</v>
      </c>
      <c r="AA24" s="18" t="n">
        <v>5822454</v>
      </c>
      <c r="AB24" s="19" t="n">
        <v>5916940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8015980.13</v>
      </c>
      <c r="F25" s="37" t="n">
        <v>8015980.13</v>
      </c>
      <c r="G25" s="18" t="n">
        <v>8112119.69</v>
      </c>
      <c r="H25" s="18" t="n">
        <v>8282884.81</v>
      </c>
      <c r="I25" s="18" t="n">
        <v>8732222.76</v>
      </c>
      <c r="J25" s="18" t="n">
        <v>7772723.58</v>
      </c>
      <c r="K25" s="37" t="n">
        <v>7772723.58</v>
      </c>
      <c r="L25" s="18" t="n">
        <v>8009455.98</v>
      </c>
      <c r="M25" s="18" t="n">
        <v>8063006.65</v>
      </c>
      <c r="N25" s="18" t="n">
        <v>8158771.48</v>
      </c>
      <c r="O25" s="18" t="n">
        <v>7892981.69</v>
      </c>
      <c r="P25" s="37" t="n">
        <v>7892981.69</v>
      </c>
      <c r="Q25" s="18" t="n">
        <v>8080508.77</v>
      </c>
      <c r="R25" s="18" t="n">
        <v>8268439.46</v>
      </c>
      <c r="S25" s="18" t="n">
        <v>8088419.89</v>
      </c>
      <c r="T25" s="18" t="n">
        <v>8397290</v>
      </c>
      <c r="U25" s="37" t="n">
        <v>8397290</v>
      </c>
      <c r="V25" s="18" t="n">
        <v>8515804</v>
      </c>
      <c r="W25" s="18" t="n">
        <v>8360155</v>
      </c>
      <c r="X25" s="18" t="n">
        <v>8574522</v>
      </c>
      <c r="Y25" s="18" t="n">
        <v>8723585</v>
      </c>
      <c r="Z25" s="37" t="n">
        <v>8723585</v>
      </c>
      <c r="AA25" s="18" t="n">
        <v>8986009</v>
      </c>
      <c r="AB25" s="19" t="n">
        <v>9102599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투자부동산</t>
        </is>
      </c>
      <c r="E26" s="18" t="n">
        <v>72920.33</v>
      </c>
      <c r="F26" s="37" t="n">
        <v>72920.33</v>
      </c>
      <c r="G26" s="18" t="n">
        <v>72447.44</v>
      </c>
      <c r="H26" s="18" t="n">
        <v>71430.67999999999</v>
      </c>
      <c r="I26" s="18" t="n">
        <v>79680.81</v>
      </c>
      <c r="J26" s="18" t="n">
        <v>274446.28</v>
      </c>
      <c r="K26" s="37" t="n">
        <v>274446.28</v>
      </c>
      <c r="L26" s="18" t="n">
        <v>251276.15</v>
      </c>
      <c r="M26" s="18" t="n">
        <v>282378.93</v>
      </c>
      <c r="N26" s="18" t="n">
        <v>280931.12</v>
      </c>
      <c r="O26" s="18" t="n">
        <v>208608.26</v>
      </c>
      <c r="P26" s="37" t="n">
        <v>208608.26</v>
      </c>
      <c r="Q26" s="18" t="n">
        <v>208380.54</v>
      </c>
      <c r="R26" s="18" t="n">
        <v>206782.51</v>
      </c>
      <c r="S26" s="18" t="n">
        <v>205891.8</v>
      </c>
      <c r="T26" s="18" t="n">
        <v>228288</v>
      </c>
      <c r="U26" s="37" t="n">
        <v>228288</v>
      </c>
      <c r="V26" s="18" t="n">
        <v>226689</v>
      </c>
      <c r="W26" s="18" t="n">
        <v>225138</v>
      </c>
      <c r="X26" s="18" t="n">
        <v>223511</v>
      </c>
      <c r="Y26" s="18" t="n">
        <v>219139</v>
      </c>
      <c r="Z26" s="37" t="n">
        <v>219139</v>
      </c>
      <c r="AA26" s="18" t="n">
        <v>217719</v>
      </c>
      <c r="AB26" s="19" t="n">
        <v>211745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비유동확정계약자산</t>
        </is>
      </c>
      <c r="E27" s="18" t="n">
        <v>20892.25</v>
      </c>
      <c r="F27" s="37" t="n">
        <v>20892.25</v>
      </c>
      <c r="G27" s="18" t="n">
        <v>25419.48</v>
      </c>
      <c r="H27" s="18" t="n">
        <v>63169.94</v>
      </c>
      <c r="I27" s="18" t="n">
        <v>118386.42</v>
      </c>
      <c r="J27" s="18" t="n">
        <v>40539.23</v>
      </c>
      <c r="K27" s="37" t="n">
        <v>40539.23</v>
      </c>
      <c r="L27" s="18" t="n">
        <v>45884.11</v>
      </c>
      <c r="M27" s="18" t="n">
        <v>42676.27</v>
      </c>
      <c r="N27" s="18" t="n">
        <v>46501.51</v>
      </c>
      <c r="O27" s="18" t="n">
        <v>25848.8</v>
      </c>
      <c r="P27" s="37" t="n">
        <v>25848.8</v>
      </c>
      <c r="Q27" s="18" t="n">
        <v>20550.31</v>
      </c>
      <c r="R27" s="18" t="n">
        <v>26930.95</v>
      </c>
      <c r="S27" s="18" t="n">
        <v>9616.76</v>
      </c>
      <c r="T27" s="18" t="n">
        <v>13537</v>
      </c>
      <c r="U27" s="37" t="n">
        <v>13537</v>
      </c>
      <c r="V27" s="18" t="n">
        <v>10979</v>
      </c>
      <c r="W27" s="18" t="n">
        <v>29051</v>
      </c>
      <c r="X27" s="18" t="n">
        <v>44921</v>
      </c>
      <c r="Y27" s="18" t="n">
        <v>62653</v>
      </c>
      <c r="Z27" s="37" t="n">
        <v>62653</v>
      </c>
      <c r="AA27" s="18" t="n">
        <v>91846</v>
      </c>
      <c r="AB27" s="19" t="n">
        <v>238406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454215.34</v>
      </c>
      <c r="F28" s="37" t="n">
        <v>454215.34</v>
      </c>
      <c r="G28" s="18" t="n">
        <v>483260.24</v>
      </c>
      <c r="H28" s="18" t="n">
        <v>452160.73</v>
      </c>
      <c r="I28" s="18" t="n">
        <v>486929.83</v>
      </c>
      <c r="J28" s="18" t="n">
        <v>553730.24</v>
      </c>
      <c r="K28" s="37" t="n">
        <v>553730.24</v>
      </c>
      <c r="L28" s="18" t="n">
        <v>558265.53</v>
      </c>
      <c r="M28" s="18" t="n">
        <v>555786.9</v>
      </c>
      <c r="N28" s="18" t="n">
        <v>517524.53</v>
      </c>
      <c r="O28" s="18" t="n">
        <v>377623.09</v>
      </c>
      <c r="P28" s="37" t="n">
        <v>377623.09</v>
      </c>
      <c r="Q28" s="18" t="n">
        <v>400187.15</v>
      </c>
      <c r="R28" s="18" t="n">
        <v>402710.11</v>
      </c>
      <c r="S28" s="18" t="n">
        <v>395090.56</v>
      </c>
      <c r="T28" s="18" t="n">
        <v>368647</v>
      </c>
      <c r="U28" s="37" t="n">
        <v>368647</v>
      </c>
      <c r="V28" s="18" t="n">
        <v>357835</v>
      </c>
      <c r="W28" s="18" t="n">
        <v>344944</v>
      </c>
      <c r="X28" s="18" t="n">
        <v>327561</v>
      </c>
      <c r="Y28" s="18" t="n">
        <v>317311</v>
      </c>
      <c r="Z28" s="37" t="n">
        <v>317311</v>
      </c>
      <c r="AA28" s="18" t="n">
        <v>351759</v>
      </c>
      <c r="AB28" s="19" t="n">
        <v>356551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232791.07</v>
      </c>
      <c r="F29" s="37" t="n">
        <v>232791.07</v>
      </c>
      <c r="G29" s="18" t="n">
        <v>234520.85</v>
      </c>
      <c r="H29" s="18" t="n">
        <v>241882.48</v>
      </c>
      <c r="I29" s="18" t="n">
        <v>241047.78</v>
      </c>
      <c r="J29" s="18" t="n">
        <v>416706.17</v>
      </c>
      <c r="K29" s="37" t="n">
        <v>416706.17</v>
      </c>
      <c r="L29" s="18" t="n">
        <v>402249.29</v>
      </c>
      <c r="M29" s="18" t="n">
        <v>406413.55</v>
      </c>
      <c r="N29" s="18" t="n">
        <v>412826.67</v>
      </c>
      <c r="O29" s="18" t="n">
        <v>502987.74</v>
      </c>
      <c r="P29" s="37" t="n">
        <v>502987.74</v>
      </c>
      <c r="Q29" s="18" t="n">
        <v>497080.61</v>
      </c>
      <c r="R29" s="18" t="n">
        <v>482406.48</v>
      </c>
      <c r="S29" s="18" t="n">
        <v>462161.1</v>
      </c>
      <c r="T29" s="18" t="n">
        <v>556161</v>
      </c>
      <c r="U29" s="37" t="n">
        <v>556161</v>
      </c>
      <c r="V29" s="18" t="n">
        <v>557815</v>
      </c>
      <c r="W29" s="18" t="n">
        <v>508774</v>
      </c>
      <c r="X29" s="18" t="n">
        <v>517775</v>
      </c>
      <c r="Y29" s="18" t="n">
        <v>628403</v>
      </c>
      <c r="Z29" s="37" t="n">
        <v>628403</v>
      </c>
      <c r="AA29" s="18" t="n">
        <v>616930</v>
      </c>
      <c r="AB29" s="19" t="n">
        <v>611231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23720545.63</v>
      </c>
      <c r="F30" s="37" t="n">
        <v>23720545.63</v>
      </c>
      <c r="G30" s="18" t="n">
        <v>24145803.23</v>
      </c>
      <c r="H30" s="18" t="n">
        <v>24271350.95</v>
      </c>
      <c r="I30" s="18" t="n">
        <v>25170911.62</v>
      </c>
      <c r="J30" s="18" t="n">
        <v>23049781.8</v>
      </c>
      <c r="K30" s="37" t="n">
        <v>23049781.8</v>
      </c>
      <c r="L30" s="18" t="n">
        <v>23998329.07</v>
      </c>
      <c r="M30" s="18" t="n">
        <v>25307471.42</v>
      </c>
      <c r="N30" s="18" t="n">
        <v>24939918.84</v>
      </c>
      <c r="O30" s="18" t="n">
        <v>24640833.95</v>
      </c>
      <c r="P30" s="37" t="n">
        <v>24640833.95</v>
      </c>
      <c r="Q30" s="18" t="n">
        <v>25657120.79</v>
      </c>
      <c r="R30" s="18" t="n">
        <v>26114104.55</v>
      </c>
      <c r="S30" s="18" t="n">
        <v>25264596.72</v>
      </c>
      <c r="T30" s="18" t="n">
        <v>26314835</v>
      </c>
      <c r="U30" s="37" t="n">
        <v>26314835</v>
      </c>
      <c r="V30" s="18" t="n">
        <v>26896993</v>
      </c>
      <c r="W30" s="18" t="n">
        <v>26305196</v>
      </c>
      <c r="X30" s="18" t="n">
        <v>27027903</v>
      </c>
      <c r="Y30" s="18" t="n">
        <v>27513223</v>
      </c>
      <c r="Z30" s="37" t="n">
        <v>27513223</v>
      </c>
      <c r="AA30" s="18" t="n">
        <v>28695055</v>
      </c>
      <c r="AB30" s="19" t="n">
        <v>29947742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10125765.54</v>
      </c>
      <c r="F31" s="37" t="n">
        <v>10125765.54</v>
      </c>
      <c r="G31" s="18" t="n">
        <v>8482555.189999999</v>
      </c>
      <c r="H31" s="18" t="n">
        <v>8627787.92</v>
      </c>
      <c r="I31" s="18" t="n">
        <v>9044828.189999999</v>
      </c>
      <c r="J31" s="18" t="n">
        <v>8059455.53</v>
      </c>
      <c r="K31" s="37" t="n">
        <v>8059455.53</v>
      </c>
      <c r="L31" s="18" t="n">
        <v>8731581.369999999</v>
      </c>
      <c r="M31" s="18" t="n">
        <v>9612664.960000001</v>
      </c>
      <c r="N31" s="18" t="n">
        <v>9197879.1</v>
      </c>
      <c r="O31" s="18" t="n">
        <v>9596749.58</v>
      </c>
      <c r="P31" s="37" t="n">
        <v>9596749.58</v>
      </c>
      <c r="Q31" s="18" t="n">
        <v>9623521.75</v>
      </c>
      <c r="R31" s="18" t="n">
        <v>9510999.01</v>
      </c>
      <c r="S31" s="18" t="n">
        <v>8903088.43</v>
      </c>
      <c r="T31" s="18" t="n">
        <v>8945820</v>
      </c>
      <c r="U31" s="37" t="n">
        <v>8945820</v>
      </c>
      <c r="V31" s="18" t="n">
        <v>9510646</v>
      </c>
      <c r="W31" s="18" t="n">
        <v>8833188</v>
      </c>
      <c r="X31" s="18" t="n">
        <v>9569932</v>
      </c>
      <c r="Y31" s="18" t="n">
        <v>10107067</v>
      </c>
      <c r="Z31" s="37" t="n">
        <v>10107067</v>
      </c>
      <c r="AA31" s="18" t="n">
        <v>11167318</v>
      </c>
      <c r="AB31" s="19" t="n">
        <v>12072032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2721970.05</v>
      </c>
      <c r="F32" s="37" t="n">
        <v>2721970.05</v>
      </c>
      <c r="G32" s="18" t="n">
        <v>2877627.45</v>
      </c>
      <c r="H32" s="18" t="n">
        <v>3041507.75</v>
      </c>
      <c r="I32" s="18" t="n">
        <v>3338557.43</v>
      </c>
      <c r="J32" s="18" t="n">
        <v>3397973.44</v>
      </c>
      <c r="K32" s="37" t="n">
        <v>3397973.44</v>
      </c>
      <c r="L32" s="18" t="n">
        <v>3485870.21</v>
      </c>
      <c r="M32" s="18" t="n">
        <v>3602401.79</v>
      </c>
      <c r="N32" s="18" t="n">
        <v>3478679.68</v>
      </c>
      <c r="O32" s="18" t="n">
        <v>3858116.28</v>
      </c>
      <c r="P32" s="37" t="n">
        <v>3858116.28</v>
      </c>
      <c r="Q32" s="18" t="n">
        <v>3842711.67</v>
      </c>
      <c r="R32" s="18" t="n">
        <v>3804858.48</v>
      </c>
      <c r="S32" s="18" t="n">
        <v>2929483.92</v>
      </c>
      <c r="T32" s="18" t="n">
        <v>3662570</v>
      </c>
      <c r="U32" s="37" t="n">
        <v>3662570</v>
      </c>
      <c r="V32" s="18" t="n">
        <v>3814679</v>
      </c>
      <c r="W32" s="18" t="n">
        <v>3948812</v>
      </c>
      <c r="X32" s="18" t="n">
        <v>3799024</v>
      </c>
      <c r="Y32" s="18" t="n">
        <v>4855802</v>
      </c>
      <c r="Z32" s="37" t="n">
        <v>4855802</v>
      </c>
      <c r="AA32" s="18" t="n">
        <v>4516389</v>
      </c>
      <c r="AB32" s="19" t="n">
        <v>4907467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3908482.95</v>
      </c>
      <c r="F33" s="37" t="n">
        <v>3908482.95</v>
      </c>
      <c r="G33" s="18" t="n">
        <v>1906705.08</v>
      </c>
      <c r="H33" s="18" t="n">
        <v>1642554.5</v>
      </c>
      <c r="I33" s="18" t="n">
        <v>1567453.29</v>
      </c>
      <c r="J33" s="18" t="n">
        <v>1433571.97</v>
      </c>
      <c r="K33" s="37" t="n">
        <v>1433571.97</v>
      </c>
      <c r="L33" s="18" t="n">
        <v>1425182.64</v>
      </c>
      <c r="M33" s="18" t="n">
        <v>1232476.17</v>
      </c>
      <c r="N33" s="18" t="n">
        <v>1237910.21</v>
      </c>
      <c r="O33" s="18" t="n">
        <v>1186577.31</v>
      </c>
      <c r="P33" s="37" t="n">
        <v>1186577.31</v>
      </c>
      <c r="Q33" s="18" t="n">
        <v>1424009.93</v>
      </c>
      <c r="R33" s="18" t="n">
        <v>1702482.21</v>
      </c>
      <c r="S33" s="18" t="n">
        <v>2233004.38</v>
      </c>
      <c r="T33" s="18" t="n">
        <v>2141257</v>
      </c>
      <c r="U33" s="37" t="n">
        <v>2141257</v>
      </c>
      <c r="V33" s="18" t="n">
        <v>2427445</v>
      </c>
      <c r="W33" s="18" t="n">
        <v>2182003</v>
      </c>
      <c r="X33" s="18" t="n">
        <v>2458953</v>
      </c>
      <c r="Y33" s="18" t="n">
        <v>1883572</v>
      </c>
      <c r="Z33" s="37" t="n">
        <v>1883572</v>
      </c>
      <c r="AA33" s="18" t="n">
        <v>2579259</v>
      </c>
      <c r="AB33" s="19" t="n">
        <v>2916241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64196.1</v>
      </c>
      <c r="F34" s="37" t="n">
        <v>64196.1</v>
      </c>
      <c r="G34" s="18" t="n">
        <v>91151.77</v>
      </c>
      <c r="H34" s="18" t="n">
        <v>66316.87</v>
      </c>
      <c r="I34" s="18" t="n">
        <v>63316.11</v>
      </c>
      <c r="J34" s="18" t="n">
        <v>49454.65</v>
      </c>
      <c r="K34" s="37" t="n">
        <v>49454.65</v>
      </c>
      <c r="L34" s="18" t="n">
        <v>55879.24</v>
      </c>
      <c r="M34" s="18" t="n">
        <v>56645.53</v>
      </c>
      <c r="N34" s="18" t="n">
        <v>84446.53</v>
      </c>
      <c r="O34" s="18" t="n">
        <v>46174.1</v>
      </c>
      <c r="P34" s="37" t="n">
        <v>46174.1</v>
      </c>
      <c r="Q34" s="18" t="n">
        <v>54945.49</v>
      </c>
      <c r="R34" s="18" t="n">
        <v>55232.48</v>
      </c>
      <c r="S34" s="18" t="n">
        <v>63403.92</v>
      </c>
      <c r="T34" s="18" t="n">
        <v>50165</v>
      </c>
      <c r="U34" s="37" t="n">
        <v>50165</v>
      </c>
      <c r="V34" s="18" t="n">
        <v>68153</v>
      </c>
      <c r="W34" s="18" t="n">
        <v>90837</v>
      </c>
      <c r="X34" s="18" t="n">
        <v>124140</v>
      </c>
      <c r="Y34" s="18" t="n">
        <v>30412</v>
      </c>
      <c r="Z34" s="37" t="n">
        <v>30412</v>
      </c>
      <c r="AA34" s="18" t="n">
        <v>41944</v>
      </c>
      <c r="AB34" s="19" t="n">
        <v>95795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183924.62</v>
      </c>
      <c r="F35" s="37" t="n">
        <v>183924.62</v>
      </c>
      <c r="G35" s="18" t="n">
        <v>230814.98</v>
      </c>
      <c r="H35" s="18" t="n">
        <v>166917.09</v>
      </c>
      <c r="I35" s="18" t="n">
        <v>178103.95</v>
      </c>
      <c r="J35" s="18" t="n">
        <v>145477.38</v>
      </c>
      <c r="K35" s="37" t="n">
        <v>145477.38</v>
      </c>
      <c r="L35" s="18" t="n">
        <v>154973.4</v>
      </c>
      <c r="M35" s="18" t="n">
        <v>159320.46</v>
      </c>
      <c r="N35" s="18" t="n">
        <v>199030.91</v>
      </c>
      <c r="O35" s="18" t="n">
        <v>212867.57</v>
      </c>
      <c r="P35" s="37" t="n">
        <v>212867.57</v>
      </c>
      <c r="Q35" s="18" t="n">
        <v>227835.69</v>
      </c>
      <c r="R35" s="18" t="n">
        <v>309407.38</v>
      </c>
      <c r="S35" s="18" t="n">
        <v>319222.11</v>
      </c>
      <c r="T35" s="18" t="n">
        <v>267106</v>
      </c>
      <c r="U35" s="37" t="n">
        <v>267106</v>
      </c>
      <c r="V35" s="18" t="n">
        <v>275641</v>
      </c>
      <c r="W35" s="18" t="n">
        <v>286733</v>
      </c>
      <c r="X35" s="18" t="n">
        <v>317197</v>
      </c>
      <c r="Y35" s="18" t="n">
        <v>247598</v>
      </c>
      <c r="Z35" s="37" t="n">
        <v>247598</v>
      </c>
      <c r="AA35" s="18" t="n">
        <v>265504</v>
      </c>
      <c r="AB35" s="19" t="n">
        <v>326066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1455693.42</v>
      </c>
      <c r="F36" s="37" t="n">
        <v>1455693.42</v>
      </c>
      <c r="G36" s="18" t="n">
        <v>1766579.36</v>
      </c>
      <c r="H36" s="18" t="n">
        <v>1859475.36</v>
      </c>
      <c r="I36" s="18" t="n">
        <v>2017784.11</v>
      </c>
      <c r="J36" s="18" t="n">
        <v>1734717.87</v>
      </c>
      <c r="K36" s="37" t="n">
        <v>1734717.87</v>
      </c>
      <c r="L36" s="18" t="n">
        <v>1831581.6</v>
      </c>
      <c r="M36" s="18" t="n">
        <v>2511356.77</v>
      </c>
      <c r="N36" s="18" t="n">
        <v>2420931.55</v>
      </c>
      <c r="O36" s="18" t="n">
        <v>2261264.8</v>
      </c>
      <c r="P36" s="37" t="n">
        <v>2261264.8</v>
      </c>
      <c r="Q36" s="18" t="n">
        <v>2613435.92</v>
      </c>
      <c r="R36" s="18" t="n">
        <v>2227097.61</v>
      </c>
      <c r="S36" s="18" t="n">
        <v>2039770.51</v>
      </c>
      <c r="T36" s="18" t="n">
        <v>1800050</v>
      </c>
      <c r="U36" s="37" t="n">
        <v>1800050</v>
      </c>
      <c r="V36" s="18" t="n">
        <v>1822657</v>
      </c>
      <c r="W36" s="18" t="n">
        <v>1515722</v>
      </c>
      <c r="X36" s="18" t="n">
        <v>1453940</v>
      </c>
      <c r="Y36" s="18" t="n">
        <v>1577878</v>
      </c>
      <c r="Z36" s="37" t="n">
        <v>1577878</v>
      </c>
      <c r="AA36" s="18" t="n">
        <v>1684557</v>
      </c>
      <c r="AB36" s="19" t="n">
        <v>1723781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36231.84</v>
      </c>
      <c r="F37" s="37" t="n">
        <v>36231.84</v>
      </c>
      <c r="G37" s="18" t="n">
        <v>61814.67</v>
      </c>
      <c r="H37" s="18" t="n">
        <v>43407.49</v>
      </c>
      <c r="I37" s="18" t="n">
        <v>52324.63</v>
      </c>
      <c r="J37" s="18" t="n">
        <v>62254.57</v>
      </c>
      <c r="K37" s="37" t="n">
        <v>62254.57</v>
      </c>
      <c r="L37" s="18" t="n">
        <v>86905.64</v>
      </c>
      <c r="M37" s="18" t="n">
        <v>88752.92999999999</v>
      </c>
      <c r="N37" s="18" t="n">
        <v>90854.50999999999</v>
      </c>
      <c r="O37" s="18" t="n">
        <v>78519.13</v>
      </c>
      <c r="P37" s="37" t="n">
        <v>78519.13</v>
      </c>
      <c r="Q37" s="18" t="n">
        <v>144503.19</v>
      </c>
      <c r="R37" s="18" t="n">
        <v>41681.34</v>
      </c>
      <c r="S37" s="18" t="n">
        <v>30343.73</v>
      </c>
      <c r="T37" s="18" t="n">
        <v>93490</v>
      </c>
      <c r="U37" s="37" t="n">
        <v>93490</v>
      </c>
      <c r="V37" s="18" t="n">
        <v>112208</v>
      </c>
      <c r="W37" s="18" t="n">
        <v>20883</v>
      </c>
      <c r="X37" s="18" t="n">
        <v>21722</v>
      </c>
      <c r="Y37" s="18" t="n">
        <v>32650</v>
      </c>
      <c r="Z37" s="37" t="n">
        <v>32650</v>
      </c>
      <c r="AA37" s="18" t="n">
        <v>53021</v>
      </c>
      <c r="AB37" s="19" t="n">
        <v>22860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유동성장기부채</t>
        </is>
      </c>
      <c r="E38" s="18" t="n">
        <v>938862.83</v>
      </c>
      <c r="F38" s="37" t="n">
        <v>938862.83</v>
      </c>
      <c r="G38" s="18" t="n">
        <v>705746.76</v>
      </c>
      <c r="H38" s="18" t="n">
        <v>598337.64</v>
      </c>
      <c r="I38" s="18" t="n">
        <v>1143655.23</v>
      </c>
      <c r="J38" s="18" t="n">
        <v>771005.5</v>
      </c>
      <c r="K38" s="37" t="n">
        <v>771005.5</v>
      </c>
      <c r="L38" s="18" t="n">
        <v>1243197.66</v>
      </c>
      <c r="M38" s="18" t="n">
        <v>1516483.86</v>
      </c>
      <c r="N38" s="18" t="n">
        <v>1275329.28</v>
      </c>
      <c r="O38" s="18" t="n">
        <v>1576371.48</v>
      </c>
      <c r="P38" s="37" t="n">
        <v>1576371.48</v>
      </c>
      <c r="Q38" s="18" t="n">
        <v>924674.4300000001</v>
      </c>
      <c r="R38" s="18" t="n">
        <v>961742.02</v>
      </c>
      <c r="S38" s="18" t="n">
        <v>958421.03</v>
      </c>
      <c r="T38" s="18" t="n">
        <v>398220</v>
      </c>
      <c r="U38" s="37" t="n">
        <v>398220</v>
      </c>
      <c r="V38" s="18" t="n">
        <v>568524</v>
      </c>
      <c r="W38" s="18" t="n">
        <v>461857</v>
      </c>
      <c r="X38" s="18" t="n">
        <v>1002795</v>
      </c>
      <c r="Y38" s="18" t="n">
        <v>1029847</v>
      </c>
      <c r="Z38" s="37" t="n">
        <v>1029847</v>
      </c>
      <c r="AA38" s="18" t="n">
        <v>1477032</v>
      </c>
      <c r="AB38" s="19" t="n">
        <v>1578345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10120.81</v>
      </c>
      <c r="F39" s="37" t="n">
        <v>10120.81</v>
      </c>
      <c r="G39" s="18" t="n">
        <v>7936.66</v>
      </c>
      <c r="H39" s="18" t="n">
        <v>8004.32</v>
      </c>
      <c r="I39" s="18" t="n">
        <v>6735.24</v>
      </c>
      <c r="J39" s="18" t="n">
        <v>16710.34</v>
      </c>
      <c r="K39" s="37" t="n">
        <v>16710.34</v>
      </c>
      <c r="L39" s="18" t="n">
        <v>10877.34</v>
      </c>
      <c r="M39" s="18" t="n">
        <v>12535.81</v>
      </c>
      <c r="N39" s="18" t="n">
        <v>6521.49</v>
      </c>
      <c r="O39" s="18" t="n">
        <v>11661.26</v>
      </c>
      <c r="P39" s="37" t="n">
        <v>11661.26</v>
      </c>
      <c r="Q39" s="18" t="n">
        <v>5596.63</v>
      </c>
      <c r="R39" s="18" t="n">
        <v>5830.67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75000.97</v>
      </c>
      <c r="F40" s="37" t="n">
        <v>75000.97</v>
      </c>
      <c r="G40" s="18" t="n">
        <v>74166.35000000001</v>
      </c>
      <c r="H40" s="18" t="n">
        <v>8004.32</v>
      </c>
      <c r="I40" s="18" t="n">
        <v>6735.24</v>
      </c>
      <c r="J40" s="18" t="n">
        <v>92903.48</v>
      </c>
      <c r="K40" s="37" t="n">
        <v>92903.48</v>
      </c>
      <c r="L40" s="18" t="n">
        <v>90541.36</v>
      </c>
      <c r="M40" s="18" t="n">
        <v>95289.32000000001</v>
      </c>
      <c r="N40" s="18" t="n">
        <v>6521.49</v>
      </c>
      <c r="O40" s="18" t="n">
        <v>90648.66</v>
      </c>
      <c r="P40" s="37" t="n">
        <v>90648.66</v>
      </c>
      <c r="Q40" s="18" t="n">
        <v>93996.59</v>
      </c>
      <c r="R40" s="18" t="n">
        <v>95891.41</v>
      </c>
      <c r="S40" s="18" t="n">
        <v>99446.14</v>
      </c>
      <c r="T40" s="18" t="n">
        <v>108746</v>
      </c>
      <c r="U40" s="37" t="n">
        <v>108746</v>
      </c>
      <c r="V40" s="18" t="n">
        <v>104275</v>
      </c>
      <c r="W40" s="18" t="n">
        <v>133107</v>
      </c>
      <c r="X40" s="18" t="n">
        <v>115030</v>
      </c>
      <c r="Y40" s="18" t="n">
        <v>117852</v>
      </c>
      <c r="Z40" s="37" t="n">
        <v>117852</v>
      </c>
      <c r="AA40" s="18" t="n">
        <v>106453</v>
      </c>
      <c r="AB40" s="19" t="n">
        <v>111487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320457.9</v>
      </c>
      <c r="F41" s="37" t="n">
        <v>320457.9</v>
      </c>
      <c r="G41" s="18" t="n">
        <v>313783.96</v>
      </c>
      <c r="H41" s="18" t="n">
        <v>300348.18</v>
      </c>
      <c r="I41" s="18" t="n">
        <v>318120.64</v>
      </c>
      <c r="J41" s="18" t="n">
        <v>319218.54</v>
      </c>
      <c r="K41" s="37" t="n">
        <v>319218.54</v>
      </c>
      <c r="L41" s="18" t="n">
        <v>323242.45</v>
      </c>
      <c r="M41" s="18" t="n">
        <v>300733.1</v>
      </c>
      <c r="N41" s="18" t="n">
        <v>283930.45</v>
      </c>
      <c r="O41" s="18" t="n">
        <v>257968.84</v>
      </c>
      <c r="P41" s="37" t="n">
        <v>257968.84</v>
      </c>
      <c r="Q41" s="18" t="n">
        <v>219131.3</v>
      </c>
      <c r="R41" s="18" t="n">
        <v>211200.26</v>
      </c>
      <c r="S41" s="18" t="n">
        <v>204355.35</v>
      </c>
      <c r="T41" s="18" t="n">
        <v>241923</v>
      </c>
      <c r="U41" s="37" t="n">
        <v>241923</v>
      </c>
      <c r="V41" s="18" t="n">
        <v>236405</v>
      </c>
      <c r="W41" s="18" t="n">
        <v>229223</v>
      </c>
      <c r="X41" s="18" t="n">
        <v>247369</v>
      </c>
      <c r="Y41" s="18" t="n">
        <v>270809</v>
      </c>
      <c r="Z41" s="37" t="n">
        <v>270809</v>
      </c>
      <c r="AA41" s="18" t="n">
        <v>272614</v>
      </c>
      <c r="AB41" s="19" t="n">
        <v>300035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64880.16</v>
      </c>
      <c r="F42" s="37" t="n">
        <v>64880.16</v>
      </c>
      <c r="G42" s="18" t="n">
        <v>66229.69</v>
      </c>
      <c r="J42" s="18" t="n">
        <v>76193.14</v>
      </c>
      <c r="K42" s="37" t="n">
        <v>76193.14</v>
      </c>
      <c r="L42" s="18" t="n">
        <v>79664.02</v>
      </c>
      <c r="M42" s="18" t="n">
        <v>82753.50999999999</v>
      </c>
      <c r="O42" s="18" t="n">
        <v>78987.39999999999</v>
      </c>
      <c r="P42" s="37" t="n">
        <v>78987.39999999999</v>
      </c>
      <c r="Q42" s="18" t="n">
        <v>88399.96000000001</v>
      </c>
      <c r="R42" s="18" t="n">
        <v>90060.74000000001</v>
      </c>
      <c r="S42" s="18" t="n">
        <v>92513.56</v>
      </c>
      <c r="T42" s="18" t="n">
        <v>102853</v>
      </c>
      <c r="U42" s="37" t="n">
        <v>102853</v>
      </c>
      <c r="V42" s="18" t="n">
        <v>101479</v>
      </c>
      <c r="W42" s="18" t="n">
        <v>97964</v>
      </c>
      <c r="X42" s="18" t="n">
        <v>100433</v>
      </c>
      <c r="Y42" s="18" t="n">
        <v>100745</v>
      </c>
      <c r="Z42" s="37" t="n">
        <v>100745</v>
      </c>
      <c r="AA42" s="18" t="n">
        <v>103703</v>
      </c>
      <c r="AB42" s="19" t="n">
        <v>108847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381187.32</v>
      </c>
      <c r="F43" s="37" t="n">
        <v>381187.32</v>
      </c>
      <c r="G43" s="18" t="n">
        <v>368071.26</v>
      </c>
      <c r="H43" s="18" t="n">
        <v>322162.05</v>
      </c>
      <c r="I43" s="18" t="n">
        <v>332673.62</v>
      </c>
      <c r="J43" s="18" t="n">
        <v>393893.74</v>
      </c>
      <c r="K43" s="37" t="n">
        <v>393893.74</v>
      </c>
      <c r="L43" s="18" t="n">
        <v>395706.2</v>
      </c>
      <c r="M43" s="18" t="n">
        <v>404843.26</v>
      </c>
      <c r="N43" s="18" t="n">
        <v>313951.82</v>
      </c>
      <c r="O43" s="18" t="n">
        <v>388067.78</v>
      </c>
      <c r="P43" s="37" t="n">
        <v>388067.78</v>
      </c>
      <c r="Q43" s="18" t="n">
        <v>390867.73</v>
      </c>
      <c r="R43" s="18" t="n">
        <v>383803.83</v>
      </c>
      <c r="S43" s="18" t="n">
        <v>379226.34</v>
      </c>
      <c r="T43" s="18" t="n">
        <v>404885</v>
      </c>
      <c r="U43" s="37" t="n">
        <v>404885</v>
      </c>
      <c r="V43" s="18" t="n">
        <v>389848</v>
      </c>
      <c r="W43" s="18" t="n">
        <v>374716</v>
      </c>
      <c r="X43" s="18" t="n">
        <v>373218</v>
      </c>
      <c r="Y43" s="18" t="n">
        <v>361872</v>
      </c>
      <c r="Z43" s="37" t="n">
        <v>361872</v>
      </c>
      <c r="AA43" s="18" t="n">
        <v>402794</v>
      </c>
      <c r="AB43" s="19" t="n">
        <v>405593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4787184.44</v>
      </c>
      <c r="F44" s="37" t="n">
        <v>4787184.44</v>
      </c>
      <c r="G44" s="18" t="n">
        <v>5355238.73</v>
      </c>
      <c r="H44" s="18" t="n">
        <v>5124973.64</v>
      </c>
      <c r="I44" s="18" t="n">
        <v>5089208.47</v>
      </c>
      <c r="J44" s="18" t="n">
        <v>4910035.98</v>
      </c>
      <c r="K44" s="37" t="n">
        <v>4910035.98</v>
      </c>
      <c r="L44" s="18" t="n">
        <v>4769842.51</v>
      </c>
      <c r="M44" s="18" t="n">
        <v>4667291.71</v>
      </c>
      <c r="N44" s="18" t="n">
        <v>4580739.37</v>
      </c>
      <c r="O44" s="18" t="n">
        <v>4202575.43</v>
      </c>
      <c r="P44" s="37" t="n">
        <v>4202575.43</v>
      </c>
      <c r="Q44" s="18" t="n">
        <v>4781204.59</v>
      </c>
      <c r="R44" s="18" t="n">
        <v>4945377.13</v>
      </c>
      <c r="S44" s="18" t="n">
        <v>4991623.15</v>
      </c>
      <c r="T44" s="18" t="n">
        <v>5707923</v>
      </c>
      <c r="U44" s="37" t="n">
        <v>5707923</v>
      </c>
      <c r="V44" s="18" t="n">
        <v>5643218</v>
      </c>
      <c r="W44" s="18" t="n">
        <v>5843723</v>
      </c>
      <c r="X44" s="18" t="n">
        <v>5591781</v>
      </c>
      <c r="Y44" s="18" t="n">
        <v>5396786</v>
      </c>
      <c r="Z44" s="37" t="n">
        <v>5396786</v>
      </c>
      <c r="AA44" s="18" t="n">
        <v>5084121</v>
      </c>
      <c r="AB44" s="19" t="n">
        <v>5209227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848257.26</v>
      </c>
      <c r="F45" s="37" t="n">
        <v>848257.26</v>
      </c>
      <c r="G45" s="18" t="n">
        <v>918636.53</v>
      </c>
      <c r="H45" s="18" t="n">
        <v>649547</v>
      </c>
      <c r="I45" s="18" t="n">
        <v>329192.22</v>
      </c>
      <c r="J45" s="18" t="n">
        <v>356347.78</v>
      </c>
      <c r="K45" s="37" t="n">
        <v>356347.78</v>
      </c>
      <c r="L45" s="18" t="n">
        <v>313840.25</v>
      </c>
      <c r="M45" s="18" t="n">
        <v>296303.17</v>
      </c>
      <c r="N45" s="18" t="n">
        <v>528632.16</v>
      </c>
      <c r="O45" s="18" t="n">
        <v>493916.91</v>
      </c>
      <c r="P45" s="37" t="n">
        <v>493916.91</v>
      </c>
      <c r="Q45" s="18" t="n">
        <v>646739.73</v>
      </c>
      <c r="R45" s="18" t="n">
        <v>667920.12</v>
      </c>
      <c r="S45" s="18" t="n">
        <v>863778.79</v>
      </c>
      <c r="T45" s="18" t="n">
        <v>906758</v>
      </c>
      <c r="U45" s="37" t="n">
        <v>906758</v>
      </c>
      <c r="V45" s="18" t="n">
        <v>818317</v>
      </c>
      <c r="W45" s="18" t="n">
        <v>908843</v>
      </c>
      <c r="X45" s="18" t="n">
        <v>456865</v>
      </c>
      <c r="Y45" s="18" t="n">
        <v>499127</v>
      </c>
      <c r="Z45" s="37" t="n">
        <v>499127</v>
      </c>
      <c r="AA45" s="18" t="n">
        <v>438536</v>
      </c>
      <c r="AB45" s="19" t="n">
        <v>328608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1516918.54</v>
      </c>
      <c r="F46" s="37" t="n">
        <v>1516918.54</v>
      </c>
      <c r="G46" s="18" t="n">
        <v>2024704.09</v>
      </c>
      <c r="H46" s="18" t="n">
        <v>2118759.44</v>
      </c>
      <c r="I46" s="18" t="n">
        <v>2154106.27</v>
      </c>
      <c r="J46" s="18" t="n">
        <v>2350867.61</v>
      </c>
      <c r="K46" s="37" t="n">
        <v>2350867.61</v>
      </c>
      <c r="L46" s="18" t="n">
        <v>2176489.54</v>
      </c>
      <c r="M46" s="18" t="n">
        <v>2041640.31</v>
      </c>
      <c r="N46" s="18" t="n">
        <v>1747865.3</v>
      </c>
      <c r="O46" s="18" t="n">
        <v>1457749.36</v>
      </c>
      <c r="P46" s="37" t="n">
        <v>1457749.36</v>
      </c>
      <c r="Q46" s="18" t="n">
        <v>1865275.8</v>
      </c>
      <c r="R46" s="18" t="n">
        <v>1947862.45</v>
      </c>
      <c r="S46" s="18" t="n">
        <v>1927284.58</v>
      </c>
      <c r="T46" s="18" t="n">
        <v>2434534</v>
      </c>
      <c r="U46" s="37" t="n">
        <v>2434534</v>
      </c>
      <c r="V46" s="18" t="n">
        <v>2513424</v>
      </c>
      <c r="W46" s="18" t="n">
        <v>2554775</v>
      </c>
      <c r="X46" s="18" t="n">
        <v>2721533</v>
      </c>
      <c r="Y46" s="18" t="n">
        <v>2336139</v>
      </c>
      <c r="Z46" s="37" t="n">
        <v>2336139</v>
      </c>
      <c r="AA46" s="18" t="n">
        <v>2060904</v>
      </c>
      <c r="AB46" s="19" t="n">
        <v>2068141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E47" s="18" t="n">
        <v>14522.4</v>
      </c>
      <c r="F47" s="37" t="n">
        <v>14522.4</v>
      </c>
      <c r="G47" s="18" t="n">
        <v>9276.700000000001</v>
      </c>
      <c r="H47" s="18" t="n">
        <v>9718.709999999999</v>
      </c>
      <c r="I47" s="18" t="n">
        <v>10424.75</v>
      </c>
      <c r="J47" s="18" t="n">
        <v>11278.27</v>
      </c>
      <c r="K47" s="37" t="n">
        <v>11278.27</v>
      </c>
      <c r="L47" s="18" t="n">
        <v>10687.17</v>
      </c>
      <c r="M47" s="18" t="n">
        <v>11238.29</v>
      </c>
      <c r="N47" s="18" t="n">
        <v>11254.27</v>
      </c>
      <c r="O47" s="18" t="n">
        <v>11673.97</v>
      </c>
      <c r="P47" s="37" t="n">
        <v>11673.97</v>
      </c>
      <c r="Q47" s="18" t="n">
        <v>11753.55</v>
      </c>
      <c r="R47" s="18" t="n">
        <v>11764.76</v>
      </c>
      <c r="S47" s="18" t="n">
        <v>11970.31</v>
      </c>
      <c r="T47" s="18" t="n">
        <v>11189</v>
      </c>
      <c r="U47" s="37" t="n">
        <v>11189</v>
      </c>
      <c r="V47" s="18" t="n">
        <v>12016</v>
      </c>
      <c r="W47" s="18" t="n">
        <v>13650</v>
      </c>
      <c r="X47" s="18" t="n">
        <v>14649</v>
      </c>
      <c r="Y47" s="18" t="n">
        <v>22940</v>
      </c>
      <c r="Z47" s="37" t="n">
        <v>22940</v>
      </c>
      <c r="AA47" s="18" t="n">
        <v>25389</v>
      </c>
      <c r="AB47" s="19" t="n">
        <v>29250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확정급여부채</t>
        </is>
      </c>
      <c r="E48" s="18" t="n">
        <v>540496.54</v>
      </c>
      <c r="F48" s="37" t="n">
        <v>540496.54</v>
      </c>
      <c r="G48" s="18" t="n">
        <v>586394.6</v>
      </c>
      <c r="H48" s="18" t="n">
        <v>590166.73</v>
      </c>
      <c r="I48" s="18" t="n">
        <v>643844.6899999999</v>
      </c>
      <c r="J48" s="18" t="n">
        <v>452352.77</v>
      </c>
      <c r="K48" s="37" t="n">
        <v>452352.77</v>
      </c>
      <c r="L48" s="18" t="n">
        <v>472131.68</v>
      </c>
      <c r="M48" s="18" t="n">
        <v>412889.2</v>
      </c>
      <c r="N48" s="18" t="n">
        <v>395807.59</v>
      </c>
      <c r="O48" s="18" t="n">
        <v>472216.38</v>
      </c>
      <c r="P48" s="37" t="n">
        <v>472216.38</v>
      </c>
      <c r="Q48" s="18" t="n">
        <v>498560.1</v>
      </c>
      <c r="R48" s="18" t="n">
        <v>509380.95</v>
      </c>
      <c r="S48" s="18" t="n">
        <v>499092.33</v>
      </c>
      <c r="T48" s="18" t="n">
        <v>570726</v>
      </c>
      <c r="U48" s="37" t="n">
        <v>570726</v>
      </c>
      <c r="V48" s="18" t="n">
        <v>573151</v>
      </c>
      <c r="W48" s="18" t="n">
        <v>566941</v>
      </c>
      <c r="X48" s="18" t="n">
        <v>574016</v>
      </c>
      <c r="Y48" s="18" t="n">
        <v>581488</v>
      </c>
      <c r="Z48" s="37" t="n">
        <v>581488</v>
      </c>
      <c r="AA48" s="18" t="n">
        <v>584972</v>
      </c>
      <c r="AB48" s="19" t="n">
        <v>594613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5651.86</v>
      </c>
      <c r="F49" s="37" t="n">
        <v>5651.86</v>
      </c>
      <c r="G49" s="18" t="n">
        <v>5537.29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321959.02</v>
      </c>
      <c r="F50" s="37" t="n">
        <v>321959.02</v>
      </c>
      <c r="G50" s="18" t="n">
        <v>307378.86</v>
      </c>
      <c r="H50" s="18" t="n">
        <v>326195.08</v>
      </c>
      <c r="I50" s="18" t="n">
        <v>336995.92</v>
      </c>
      <c r="J50" s="18" t="n">
        <v>324007.76</v>
      </c>
      <c r="K50" s="37" t="n">
        <v>324007.76</v>
      </c>
      <c r="L50" s="18" t="n">
        <v>322312.81</v>
      </c>
      <c r="M50" s="18" t="n">
        <v>333697.23</v>
      </c>
      <c r="N50" s="18" t="n">
        <v>317753.57</v>
      </c>
      <c r="O50" s="18" t="n">
        <v>322528.11</v>
      </c>
      <c r="P50" s="37" t="n">
        <v>322528.11</v>
      </c>
      <c r="Q50" s="18" t="n">
        <v>306113.94</v>
      </c>
      <c r="R50" s="18" t="n">
        <v>297255.06</v>
      </c>
      <c r="S50" s="18" t="n">
        <v>289882.43</v>
      </c>
      <c r="T50" s="18" t="n">
        <v>304489</v>
      </c>
      <c r="U50" s="37" t="n">
        <v>304489</v>
      </c>
      <c r="V50" s="18" t="n">
        <v>292542</v>
      </c>
      <c r="W50" s="18" t="n">
        <v>297586</v>
      </c>
      <c r="X50" s="18" t="n">
        <v>284130</v>
      </c>
      <c r="Y50" s="18" t="n">
        <v>296360</v>
      </c>
      <c r="Z50" s="37" t="n">
        <v>296360</v>
      </c>
      <c r="AA50" s="18" t="n">
        <v>302184</v>
      </c>
      <c r="AB50" s="19" t="n">
        <v>299339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E51" s="18" t="n">
        <v>462047.65</v>
      </c>
      <c r="F51" s="37" t="n">
        <v>462047.65</v>
      </c>
      <c r="G51" s="18" t="n">
        <v>476397.34</v>
      </c>
      <c r="H51" s="18" t="n">
        <v>515113.89</v>
      </c>
      <c r="I51" s="18" t="n">
        <v>590878.1899999999</v>
      </c>
      <c r="J51" s="18" t="n">
        <v>502157.75</v>
      </c>
      <c r="K51" s="37" t="n">
        <v>502157.75</v>
      </c>
      <c r="L51" s="18" t="n">
        <v>526525.98</v>
      </c>
      <c r="M51" s="18" t="n">
        <v>561848.51</v>
      </c>
      <c r="N51" s="18" t="n">
        <v>547841.99</v>
      </c>
      <c r="O51" s="18" t="n">
        <v>477395.35</v>
      </c>
      <c r="P51" s="37" t="n">
        <v>477395.35</v>
      </c>
      <c r="Q51" s="18" t="n">
        <v>503341.84</v>
      </c>
      <c r="R51" s="18" t="n">
        <v>524944.01</v>
      </c>
      <c r="S51" s="18" t="n">
        <v>472325.85</v>
      </c>
      <c r="T51" s="18" t="n">
        <v>510165</v>
      </c>
      <c r="U51" s="37" t="n">
        <v>510165</v>
      </c>
      <c r="V51" s="18" t="n">
        <v>494409</v>
      </c>
      <c r="W51" s="18" t="n">
        <v>477961</v>
      </c>
      <c r="X51" s="18" t="n">
        <v>547599</v>
      </c>
      <c r="Y51" s="18" t="n">
        <v>603328</v>
      </c>
      <c r="Z51" s="37" t="n">
        <v>603328</v>
      </c>
      <c r="AA51" s="18" t="n">
        <v>640984</v>
      </c>
      <c r="AB51" s="19" t="n">
        <v>714062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E52" s="18" t="n">
        <v>312515.74</v>
      </c>
      <c r="F52" s="37" t="n">
        <v>312515.74</v>
      </c>
      <c r="G52" s="18" t="n">
        <v>310908.19</v>
      </c>
      <c r="H52" s="18" t="n">
        <v>323822.51</v>
      </c>
      <c r="I52" s="18" t="n">
        <v>341062.18</v>
      </c>
      <c r="J52" s="18" t="n">
        <v>380357.59</v>
      </c>
      <c r="K52" s="37" t="n">
        <v>380357.59</v>
      </c>
      <c r="L52" s="18" t="n">
        <v>383686.76</v>
      </c>
      <c r="M52" s="18" t="n">
        <v>385467.71</v>
      </c>
      <c r="N52" s="18" t="n">
        <v>387590.65</v>
      </c>
      <c r="O52" s="18" t="n">
        <v>372326.69</v>
      </c>
      <c r="P52" s="37" t="n">
        <v>372326.69</v>
      </c>
      <c r="Q52" s="18" t="n">
        <v>377966.8</v>
      </c>
      <c r="R52" s="18" t="n">
        <v>390695</v>
      </c>
      <c r="S52" s="18" t="n">
        <v>380695.91</v>
      </c>
      <c r="T52" s="18" t="n">
        <v>364830</v>
      </c>
      <c r="U52" s="37" t="n">
        <v>364830</v>
      </c>
      <c r="V52" s="18" t="n">
        <v>365578</v>
      </c>
      <c r="W52" s="18" t="n">
        <v>360990</v>
      </c>
      <c r="X52" s="18" t="n">
        <v>350264</v>
      </c>
      <c r="Y52" s="18" t="n">
        <v>350178</v>
      </c>
      <c r="Z52" s="37" t="n">
        <v>350178</v>
      </c>
      <c r="AA52" s="18" t="n">
        <v>366161</v>
      </c>
      <c r="AB52" s="19" t="n">
        <v>382889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E53" s="18" t="n">
        <v>316307.16</v>
      </c>
      <c r="F53" s="37" t="n">
        <v>316307.16</v>
      </c>
      <c r="G53" s="18" t="n">
        <v>301841.57</v>
      </c>
      <c r="H53" s="18" t="n">
        <v>322162.05</v>
      </c>
      <c r="I53" s="18" t="n">
        <v>332673.62</v>
      </c>
      <c r="J53" s="18" t="n">
        <v>317700.6</v>
      </c>
      <c r="K53" s="37" t="n">
        <v>317700.6</v>
      </c>
      <c r="L53" s="18" t="n">
        <v>316042.18</v>
      </c>
      <c r="M53" s="18" t="n">
        <v>322089.75</v>
      </c>
      <c r="N53" s="18" t="n">
        <v>313951.82</v>
      </c>
      <c r="O53" s="18" t="n">
        <v>309080.38</v>
      </c>
      <c r="P53" s="37" t="n">
        <v>309080.38</v>
      </c>
      <c r="Q53" s="18" t="n">
        <v>302467.77</v>
      </c>
      <c r="R53" s="18" t="n">
        <v>293743.09</v>
      </c>
      <c r="S53" s="18" t="n">
        <v>286712.78</v>
      </c>
      <c r="T53" s="18" t="n">
        <v>302032</v>
      </c>
      <c r="U53" s="37" t="n">
        <v>302032</v>
      </c>
      <c r="V53" s="18" t="n">
        <v>288369</v>
      </c>
      <c r="W53" s="18" t="n">
        <v>276752</v>
      </c>
      <c r="X53" s="18" t="n">
        <v>272785</v>
      </c>
      <c r="Y53" s="18" t="n">
        <v>261127</v>
      </c>
      <c r="Z53" s="37" t="n">
        <v>261127</v>
      </c>
      <c r="AA53" s="18" t="n">
        <v>299091</v>
      </c>
      <c r="AB53" s="19" t="n">
        <v>296746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E54" s="18" t="n">
        <v>402221.52</v>
      </c>
      <c r="F54" s="37" t="n">
        <v>402221.52</v>
      </c>
      <c r="G54" s="18" t="n">
        <v>369365.03</v>
      </c>
      <c r="H54" s="18" t="n">
        <v>132020.05</v>
      </c>
      <c r="I54" s="18" t="n">
        <v>126915.19</v>
      </c>
      <c r="J54" s="18" t="n">
        <v>123709.67</v>
      </c>
      <c r="K54" s="37" t="n">
        <v>123709.67</v>
      </c>
      <c r="L54" s="18" t="n">
        <v>134038.73</v>
      </c>
      <c r="M54" s="18" t="n">
        <v>137810.03</v>
      </c>
      <c r="N54" s="18" t="n">
        <v>142447.48</v>
      </c>
      <c r="O54" s="18" t="n">
        <v>144420.11</v>
      </c>
      <c r="P54" s="37" t="n">
        <v>144420.11</v>
      </c>
      <c r="Q54" s="18" t="n">
        <v>154753.91</v>
      </c>
      <c r="R54" s="18" t="n">
        <v>178804.18</v>
      </c>
      <c r="S54" s="18" t="n">
        <v>174899.54</v>
      </c>
      <c r="T54" s="18" t="n">
        <v>229537</v>
      </c>
      <c r="U54" s="37" t="n">
        <v>229537</v>
      </c>
      <c r="V54" s="18" t="n">
        <v>246252</v>
      </c>
      <c r="W54" s="18" t="n">
        <v>254167</v>
      </c>
      <c r="X54" s="18" t="n">
        <v>259965</v>
      </c>
      <c r="Y54" s="18" t="n">
        <v>316298</v>
      </c>
      <c r="Z54" s="37" t="n">
        <v>316298</v>
      </c>
      <c r="AA54" s="18" t="n">
        <v>280640</v>
      </c>
      <c r="AB54" s="19" t="n">
        <v>274498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14912949.98</v>
      </c>
      <c r="F55" s="37" t="n">
        <v>14912949.98</v>
      </c>
      <c r="G55" s="18" t="n">
        <v>13837793.92</v>
      </c>
      <c r="H55" s="18" t="n">
        <v>13752761.56</v>
      </c>
      <c r="I55" s="18" t="n">
        <v>14134036.66</v>
      </c>
      <c r="J55" s="18" t="n">
        <v>12969491.52</v>
      </c>
      <c r="K55" s="37" t="n">
        <v>12969491.52</v>
      </c>
      <c r="L55" s="18" t="n">
        <v>13501423.88</v>
      </c>
      <c r="M55" s="18" t="n">
        <v>14279956.67</v>
      </c>
      <c r="N55" s="18" t="n">
        <v>13778618.47</v>
      </c>
      <c r="O55" s="18" t="n">
        <v>13799325.01</v>
      </c>
      <c r="P55" s="37" t="n">
        <v>13799325.01</v>
      </c>
      <c r="Q55" s="18" t="n">
        <v>14404726.34</v>
      </c>
      <c r="R55" s="18" t="n">
        <v>14456376.14</v>
      </c>
      <c r="S55" s="18" t="n">
        <v>13894711.57</v>
      </c>
      <c r="T55" s="18" t="n">
        <v>14653743</v>
      </c>
      <c r="U55" s="37" t="n">
        <v>14653743</v>
      </c>
      <c r="V55" s="18" t="n">
        <v>15153864</v>
      </c>
      <c r="W55" s="18" t="n">
        <v>14676911</v>
      </c>
      <c r="X55" s="18" t="n">
        <v>15161713</v>
      </c>
      <c r="Y55" s="18" t="n">
        <v>15503853</v>
      </c>
      <c r="Z55" s="37" t="n">
        <v>15503853</v>
      </c>
      <c r="AA55" s="18" t="n">
        <v>16251439</v>
      </c>
      <c r="AB55" s="19" t="n">
        <v>17281259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6091427.15</v>
      </c>
      <c r="F56" s="37" t="n">
        <v>6091427.15</v>
      </c>
      <c r="G56" s="18" t="n">
        <v>7566091.23</v>
      </c>
      <c r="H56" s="18" t="n">
        <v>7633483.71</v>
      </c>
      <c r="I56" s="18" t="n">
        <v>8037426.53</v>
      </c>
      <c r="J56" s="18" t="n">
        <v>7113272.67</v>
      </c>
      <c r="K56" s="37" t="n">
        <v>7113272.67</v>
      </c>
      <c r="L56" s="18" t="n">
        <v>7369090.64</v>
      </c>
      <c r="N56" s="18" t="n">
        <v>7474798.31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2675624.98</v>
      </c>
      <c r="F57" s="37" t="n">
        <v>2675624.98</v>
      </c>
      <c r="G57" s="18" t="n">
        <v>3193488.91</v>
      </c>
      <c r="H57" s="18" t="n">
        <v>3240986.3</v>
      </c>
      <c r="I57" s="18" t="n">
        <v>3256061.21</v>
      </c>
      <c r="J57" s="18" t="n">
        <v>3256061.21</v>
      </c>
      <c r="K57" s="37" t="n">
        <v>3256061.21</v>
      </c>
      <c r="L57" s="18" t="n">
        <v>3267326.78</v>
      </c>
      <c r="M57" s="18" t="n">
        <v>3267326.78</v>
      </c>
      <c r="N57" s="18" t="n">
        <v>3267326.78</v>
      </c>
      <c r="O57" s="18" t="n">
        <v>3267326.78</v>
      </c>
      <c r="P57" s="37" t="n">
        <v>3267326.78</v>
      </c>
      <c r="Q57" s="18" t="n">
        <v>3267326.78</v>
      </c>
      <c r="R57" s="18" t="n">
        <v>3267326.78</v>
      </c>
      <c r="S57" s="18" t="n">
        <v>3267326.78</v>
      </c>
      <c r="T57" s="18" t="n">
        <v>3267327</v>
      </c>
      <c r="U57" s="37" t="n">
        <v>3267327</v>
      </c>
      <c r="V57" s="18" t="n">
        <v>3267327</v>
      </c>
      <c r="W57" s="18" t="n">
        <v>3267327</v>
      </c>
      <c r="X57" s="18" t="n">
        <v>3267327</v>
      </c>
      <c r="Y57" s="18" t="n">
        <v>3267327</v>
      </c>
      <c r="Z57" s="37" t="n">
        <v>3267327</v>
      </c>
      <c r="AA57" s="18" t="n">
        <v>3267327</v>
      </c>
      <c r="AB57" s="19" t="n">
        <v>3267327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자본잉여금</t>
        </is>
      </c>
      <c r="E58" s="18" t="n">
        <v>1865083.19</v>
      </c>
      <c r="F58" s="37" t="n">
        <v>1865083.19</v>
      </c>
      <c r="G58" s="18" t="n">
        <v>2781514.4</v>
      </c>
      <c r="H58" s="18" t="n">
        <v>2853611</v>
      </c>
      <c r="I58" s="18" t="n">
        <v>2870037.81</v>
      </c>
      <c r="J58" s="18" t="n">
        <v>2870068.23</v>
      </c>
      <c r="K58" s="37" t="n">
        <v>2870068.23</v>
      </c>
      <c r="L58" s="18" t="n">
        <v>1732323.76</v>
      </c>
      <c r="M58" s="18" t="n">
        <v>1712672.68</v>
      </c>
      <c r="N58" s="18" t="n">
        <v>1712769.56</v>
      </c>
      <c r="O58" s="18" t="n">
        <v>1712764.12</v>
      </c>
      <c r="P58" s="37" t="n">
        <v>1712764.12</v>
      </c>
      <c r="Q58" s="18" t="n">
        <v>1563501.22</v>
      </c>
      <c r="R58" s="18" t="n">
        <v>1563777.98</v>
      </c>
      <c r="S58" s="18" t="n">
        <v>1563777.98</v>
      </c>
      <c r="T58" s="18" t="n">
        <v>1572095</v>
      </c>
      <c r="U58" s="37" t="n">
        <v>1572095</v>
      </c>
      <c r="V58" s="18" t="n">
        <v>1441555</v>
      </c>
      <c r="W58" s="18" t="n">
        <v>1440483</v>
      </c>
      <c r="X58" s="18" t="n">
        <v>1440483</v>
      </c>
      <c r="Y58" s="18" t="n">
        <v>1441574</v>
      </c>
      <c r="Z58" s="37" t="n">
        <v>1441574</v>
      </c>
      <c r="AA58" s="18" t="n">
        <v>1440992</v>
      </c>
      <c r="AB58" s="19" t="n">
        <v>1440992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기타자본</t>
        </is>
      </c>
      <c r="E59" s="18" t="n">
        <v>46159.35</v>
      </c>
      <c r="F59" s="37" t="n">
        <v>46159.35</v>
      </c>
      <c r="G59" s="18" t="n">
        <v>45570.94</v>
      </c>
      <c r="H59" s="18" t="n">
        <v>45662.45</v>
      </c>
      <c r="I59" s="18" t="n">
        <v>45618.81</v>
      </c>
      <c r="J59" s="18" t="n">
        <v>45676.12</v>
      </c>
      <c r="K59" s="37" t="n">
        <v>45676.12</v>
      </c>
      <c r="L59" s="18" t="n">
        <v>45676.57</v>
      </c>
      <c r="M59" s="18" t="n">
        <v>45767.3</v>
      </c>
      <c r="N59" s="18" t="n">
        <v>45914.72</v>
      </c>
      <c r="O59" s="18" t="n">
        <v>46056.9</v>
      </c>
      <c r="P59" s="37" t="n">
        <v>46056.9</v>
      </c>
      <c r="Q59" s="18" t="n">
        <v>46020.14</v>
      </c>
      <c r="R59" s="18" t="n">
        <v>46374.88</v>
      </c>
      <c r="S59" s="18" t="n">
        <v>46650.57</v>
      </c>
      <c r="T59" s="18" t="n">
        <v>46766</v>
      </c>
      <c r="U59" s="37" t="n">
        <v>46766</v>
      </c>
      <c r="V59" s="18" t="n">
        <v>45455</v>
      </c>
      <c r="W59" s="18" t="n">
        <v>45455</v>
      </c>
      <c r="X59" s="18" t="n">
        <v>45594</v>
      </c>
      <c r="Y59" s="18" t="n">
        <v>45529</v>
      </c>
      <c r="Z59" s="37" t="n">
        <v>45529</v>
      </c>
      <c r="AA59" s="18" t="n">
        <v>84725</v>
      </c>
      <c r="AB59" s="19" t="n">
        <v>-30058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731324.74</v>
      </c>
      <c r="F60" s="37" t="n">
        <v>731324.74</v>
      </c>
      <c r="G60" s="18" t="n">
        <v>806170.54</v>
      </c>
      <c r="H60" s="18" t="n">
        <v>919753</v>
      </c>
      <c r="I60" s="18" t="n">
        <v>1213524.6</v>
      </c>
      <c r="J60" s="18" t="n">
        <v>882653.39</v>
      </c>
      <c r="K60" s="37" t="n">
        <v>882653.39</v>
      </c>
      <c r="L60" s="18" t="n">
        <v>1044046.63</v>
      </c>
      <c r="M60" s="18" t="n">
        <v>1013967.63</v>
      </c>
      <c r="N60" s="18" t="n">
        <v>1041575.21</v>
      </c>
      <c r="O60" s="18" t="n">
        <v>906691.29</v>
      </c>
      <c r="P60" s="37" t="n">
        <v>906691.29</v>
      </c>
      <c r="Q60" s="18" t="n">
        <v>990981.42</v>
      </c>
      <c r="R60" s="18" t="n">
        <v>1089268.87</v>
      </c>
      <c r="S60" s="18" t="n">
        <v>973975.3</v>
      </c>
      <c r="T60" s="18" t="n">
        <v>1215926</v>
      </c>
      <c r="U60" s="37" t="n">
        <v>1215926</v>
      </c>
      <c r="V60" s="18" t="n">
        <v>1300764</v>
      </c>
      <c r="W60" s="18" t="n">
        <v>1145032</v>
      </c>
      <c r="X60" s="18" t="n">
        <v>1257763</v>
      </c>
      <c r="Y60" s="18" t="n">
        <v>1334986</v>
      </c>
      <c r="Z60" s="37" t="n">
        <v>1334986</v>
      </c>
      <c r="AA60" s="18" t="n">
        <v>1526330</v>
      </c>
      <c r="AB60" s="19" t="n">
        <v>1607242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이익잉여금</t>
        </is>
      </c>
      <c r="E61" s="18" t="n">
        <v>773234.89</v>
      </c>
      <c r="F61" s="37" t="n">
        <v>773234.89</v>
      </c>
      <c r="G61" s="18" t="n">
        <v>739346.4399999999</v>
      </c>
      <c r="H61" s="18" t="n">
        <v>567256.73</v>
      </c>
      <c r="I61" s="18" t="n">
        <v>652184.1</v>
      </c>
      <c r="J61" s="18" t="n">
        <v>58813.72</v>
      </c>
      <c r="K61" s="37" t="n">
        <v>58813.72</v>
      </c>
      <c r="L61" s="18" t="n">
        <v>1279716.9</v>
      </c>
      <c r="M61" s="18" t="n">
        <v>1389714</v>
      </c>
      <c r="N61" s="18" t="n">
        <v>1407212.04</v>
      </c>
      <c r="O61" s="18" t="n">
        <v>1184531.89</v>
      </c>
      <c r="P61" s="37" t="n">
        <v>1184531.89</v>
      </c>
      <c r="Q61" s="18" t="n">
        <v>1479859.01</v>
      </c>
      <c r="R61" s="18" t="n">
        <v>1623038.83</v>
      </c>
      <c r="S61" s="18" t="n">
        <v>1577068.91</v>
      </c>
      <c r="T61" s="18" t="n">
        <v>1394448</v>
      </c>
      <c r="U61" s="37" t="n">
        <v>1394448</v>
      </c>
      <c r="V61" s="18" t="n">
        <v>1548618</v>
      </c>
      <c r="W61" s="18" t="n">
        <v>1682687</v>
      </c>
      <c r="X61" s="18" t="n">
        <v>1634980</v>
      </c>
      <c r="Y61" s="18" t="n">
        <v>1696327</v>
      </c>
      <c r="Z61" s="37" t="n">
        <v>1696327</v>
      </c>
      <c r="AA61" s="18" t="n">
        <v>1713607</v>
      </c>
      <c r="AB61" s="19" t="n">
        <v>1874130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E62" s="18" t="n">
        <v>2716168.5</v>
      </c>
      <c r="F62" s="37" t="n">
        <v>2716168.5</v>
      </c>
      <c r="G62" s="18" t="n">
        <v>2741918.08</v>
      </c>
      <c r="H62" s="18" t="n">
        <v>2885105.68</v>
      </c>
      <c r="I62" s="18" t="n">
        <v>2999448.42</v>
      </c>
      <c r="J62" s="18" t="n">
        <v>2967017.61</v>
      </c>
      <c r="K62" s="37" t="n">
        <v>2967017.61</v>
      </c>
      <c r="L62" s="18" t="n">
        <v>3127814.56</v>
      </c>
      <c r="M62" s="18" t="n">
        <v>3598066.36</v>
      </c>
      <c r="N62" s="18" t="n">
        <v>3686502.06</v>
      </c>
      <c r="O62" s="18" t="n">
        <v>3724137.97</v>
      </c>
      <c r="P62" s="37" t="n">
        <v>3724137.97</v>
      </c>
      <c r="Q62" s="18" t="n">
        <v>3900653.43</v>
      </c>
      <c r="R62" s="18" t="n">
        <v>4067941.08</v>
      </c>
      <c r="S62" s="18" t="n">
        <v>3941085.61</v>
      </c>
      <c r="T62" s="18" t="n">
        <v>4164530</v>
      </c>
      <c r="U62" s="37" t="n">
        <v>4164530</v>
      </c>
      <c r="V62" s="18" t="n">
        <v>4139410</v>
      </c>
      <c r="W62" s="18" t="n">
        <v>4047301</v>
      </c>
      <c r="X62" s="18" t="n">
        <v>4161294</v>
      </c>
      <c r="Y62" s="18" t="n">
        <v>4223627</v>
      </c>
      <c r="Z62" s="37" t="n">
        <v>4223627</v>
      </c>
      <c r="AA62" s="18" t="n">
        <v>4410635</v>
      </c>
      <c r="AB62" s="19" t="n">
        <v>4506850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자본총계</t>
        </is>
      </c>
      <c r="E63" s="18" t="n">
        <v>8807595.640000001</v>
      </c>
      <c r="F63" s="37" t="n">
        <v>8807595.640000001</v>
      </c>
      <c r="G63" s="18" t="n">
        <v>10308009.31</v>
      </c>
      <c r="H63" s="18" t="n">
        <v>10518589.39</v>
      </c>
      <c r="I63" s="18" t="n">
        <v>11036874.95</v>
      </c>
      <c r="J63" s="18" t="n">
        <v>10080290.28</v>
      </c>
      <c r="K63" s="37" t="n">
        <v>10080290.28</v>
      </c>
      <c r="L63" s="18" t="n">
        <v>10496905.19</v>
      </c>
      <c r="M63" s="18" t="n">
        <v>11027514.75</v>
      </c>
      <c r="N63" s="18" t="n">
        <v>11161300.37</v>
      </c>
      <c r="O63" s="18" t="n">
        <v>10841508.94</v>
      </c>
      <c r="P63" s="37" t="n">
        <v>10841508.94</v>
      </c>
      <c r="Q63" s="18" t="n">
        <v>11252394.45</v>
      </c>
      <c r="R63" s="18" t="n">
        <v>11657728.42</v>
      </c>
      <c r="S63" s="18" t="n">
        <v>11369885.15</v>
      </c>
      <c r="T63" s="18" t="n">
        <v>11661092</v>
      </c>
      <c r="U63" s="37" t="n">
        <v>11661092</v>
      </c>
      <c r="V63" s="18" t="n">
        <v>11743129</v>
      </c>
      <c r="W63" s="18" t="n">
        <v>11628285</v>
      </c>
      <c r="X63" s="18" t="n">
        <v>11866190</v>
      </c>
      <c r="Y63" s="18" t="n">
        <v>12009370</v>
      </c>
      <c r="Z63" s="37" t="n">
        <v>12009370</v>
      </c>
      <c r="AA63" s="18" t="n">
        <v>12443616</v>
      </c>
      <c r="AB63" s="19" t="n">
        <v>12666483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부채와자본총계</t>
        </is>
      </c>
      <c r="E64" s="18" t="n">
        <v>23720545.63</v>
      </c>
      <c r="F64" s="37" t="n">
        <v>23720545.63</v>
      </c>
      <c r="G64" s="18" t="n">
        <v>24145803.23</v>
      </c>
      <c r="H64" s="18" t="n">
        <v>24271350.95</v>
      </c>
      <c r="I64" s="18" t="n">
        <v>25170911.62</v>
      </c>
      <c r="J64" s="18" t="n">
        <v>23049781.8</v>
      </c>
      <c r="K64" s="37" t="n">
        <v>23049781.8</v>
      </c>
      <c r="L64" s="18" t="n">
        <v>23998329.07</v>
      </c>
      <c r="M64" s="18" t="n">
        <v>25307471.42</v>
      </c>
      <c r="N64" s="18" t="n">
        <v>24939918.84</v>
      </c>
      <c r="O64" s="18" t="n">
        <v>24640833.95</v>
      </c>
      <c r="P64" s="37" t="n">
        <v>24640833.95</v>
      </c>
      <c r="Q64" s="18" t="n">
        <v>25657120.79</v>
      </c>
      <c r="R64" s="18" t="n">
        <v>26114104.55</v>
      </c>
      <c r="S64" s="18" t="n">
        <v>25264596.72</v>
      </c>
      <c r="T64" s="18" t="n">
        <v>26314835</v>
      </c>
      <c r="U64" s="37" t="n">
        <v>26314835</v>
      </c>
      <c r="V64" s="18" t="n">
        <v>26896993</v>
      </c>
      <c r="W64" s="18" t="n">
        <v>26305196</v>
      </c>
      <c r="X64" s="18" t="n">
        <v>27027903</v>
      </c>
      <c r="Y64" s="18" t="n">
        <v>27513223</v>
      </c>
      <c r="Z64" s="37" t="n">
        <v>27513223</v>
      </c>
      <c r="AA64" s="18" t="n">
        <v>28695055</v>
      </c>
      <c r="AB64" s="19" t="n">
        <v>29947742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총차입금</t>
        </is>
      </c>
      <c r="E65" s="18" t="n">
        <v>7212521.58</v>
      </c>
      <c r="F65" s="37" t="n">
        <v>7212521.58</v>
      </c>
      <c r="G65" s="18" t="n">
        <v>5555792.46</v>
      </c>
      <c r="H65" s="18" t="n">
        <v>5009198.58</v>
      </c>
      <c r="I65" s="18" t="n">
        <v>5194407.01</v>
      </c>
      <c r="J65" s="18" t="n">
        <v>4911792.86</v>
      </c>
      <c r="K65" s="37" t="n">
        <v>4911792.86</v>
      </c>
      <c r="L65" s="18" t="n">
        <v>5158710.09</v>
      </c>
      <c r="M65" s="18" t="n">
        <v>5086903.51</v>
      </c>
      <c r="N65" s="18" t="n">
        <v>4789736.95</v>
      </c>
      <c r="O65" s="18" t="n">
        <v>4714615.06</v>
      </c>
      <c r="P65" s="37" t="n">
        <v>4714615.06</v>
      </c>
      <c r="Q65" s="18" t="n">
        <v>4860699.89</v>
      </c>
      <c r="R65" s="18" t="n">
        <v>5280006.8</v>
      </c>
      <c r="S65" s="18" t="n">
        <v>5982488.78</v>
      </c>
      <c r="T65" s="18" t="n">
        <v>5880769</v>
      </c>
      <c r="U65" s="37" t="n">
        <v>5880769</v>
      </c>
      <c r="V65" s="18" t="n">
        <v>6327710</v>
      </c>
      <c r="W65" s="18" t="n">
        <v>6107478</v>
      </c>
      <c r="X65" s="18" t="n">
        <v>6640146</v>
      </c>
      <c r="Y65" s="18" t="n">
        <v>5748685</v>
      </c>
      <c r="Z65" s="37" t="n">
        <v>5748685</v>
      </c>
      <c r="AA65" s="18" t="n">
        <v>6555731</v>
      </c>
      <c r="AB65" s="19" t="n">
        <v>6891335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순차입금</t>
        </is>
      </c>
      <c r="E66" s="18" t="n">
        <v>4676763.36</v>
      </c>
      <c r="F66" s="37" t="n">
        <v>4676763.36</v>
      </c>
      <c r="G66" s="18" t="n">
        <v>3550155.9</v>
      </c>
      <c r="H66" s="18" t="n">
        <v>3613131.5</v>
      </c>
      <c r="I66" s="18" t="n">
        <v>3345667.44</v>
      </c>
      <c r="J66" s="18" t="n">
        <v>3281346.78</v>
      </c>
      <c r="K66" s="37" t="n">
        <v>3281346.78</v>
      </c>
      <c r="L66" s="18" t="n">
        <v>3354402.97</v>
      </c>
      <c r="M66" s="18" t="n">
        <v>2131911.8</v>
      </c>
      <c r="N66" s="18" t="n">
        <v>2238945.29</v>
      </c>
      <c r="O66" s="18" t="n">
        <v>1891430.24</v>
      </c>
      <c r="P66" s="37" t="n">
        <v>1891430.24</v>
      </c>
      <c r="Q66" s="18" t="n">
        <v>1687744.29</v>
      </c>
      <c r="R66" s="18" t="n">
        <v>2439800.09</v>
      </c>
      <c r="S66" s="18" t="n">
        <v>3521212.75</v>
      </c>
      <c r="T66" s="18" t="n">
        <v>2697033</v>
      </c>
      <c r="U66" s="37" t="n">
        <v>2697033</v>
      </c>
      <c r="V66" s="18" t="n">
        <v>3428534</v>
      </c>
      <c r="W66" s="18" t="n">
        <v>3662807</v>
      </c>
      <c r="X66" s="18" t="n">
        <v>4057748</v>
      </c>
      <c r="Y66" s="18" t="n">
        <v>2481262</v>
      </c>
      <c r="Z66" s="37" t="n">
        <v>2481262</v>
      </c>
      <c r="AA66" s="18" t="n">
        <v>3197391</v>
      </c>
      <c r="AB66" s="19" t="n">
        <v>3855781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이자발생자산</t>
        </is>
      </c>
      <c r="E67" s="18" t="n">
        <v>2866740</v>
      </c>
      <c r="F67" s="37" t="n">
        <v>2866740</v>
      </c>
      <c r="G67" s="18" t="n">
        <v>2347246.67</v>
      </c>
      <c r="H67" s="18" t="n">
        <v>1757501.7</v>
      </c>
      <c r="I67" s="18" t="n">
        <v>2236680.27</v>
      </c>
      <c r="J67" s="18" t="n">
        <v>1983053.38</v>
      </c>
      <c r="K67" s="37" t="n">
        <v>1983053.38</v>
      </c>
      <c r="L67" s="18" t="n">
        <v>2163017.27</v>
      </c>
      <c r="M67" s="18" t="n">
        <v>3229436.02</v>
      </c>
      <c r="N67" s="18" t="n">
        <v>2821250.02</v>
      </c>
      <c r="O67" s="18" t="n">
        <v>3070399.24</v>
      </c>
      <c r="P67" s="37" t="n">
        <v>3070399.24</v>
      </c>
      <c r="Q67" s="18" t="n">
        <v>3435296.67</v>
      </c>
      <c r="R67" s="18" t="n">
        <v>3222080.93</v>
      </c>
      <c r="S67" s="18" t="n">
        <v>2828638.12</v>
      </c>
      <c r="T67" s="18" t="n">
        <v>3645454</v>
      </c>
      <c r="U67" s="37" t="n">
        <v>3645454</v>
      </c>
      <c r="V67" s="18" t="n">
        <v>3379019</v>
      </c>
      <c r="W67" s="18" t="n">
        <v>3044691</v>
      </c>
      <c r="X67" s="18" t="n">
        <v>3210847</v>
      </c>
      <c r="Y67" s="18" t="n">
        <v>3759067</v>
      </c>
      <c r="Z67" s="37" t="n">
        <v>3759067</v>
      </c>
      <c r="AA67" s="18" t="n">
        <v>3846320</v>
      </c>
      <c r="AB67" s="19" t="n">
        <v>3538600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2170787.22</v>
      </c>
      <c r="F68" s="9" t="n"/>
      <c r="G68" s="18" t="n">
        <v>3071285.05</v>
      </c>
      <c r="H68" s="18" t="n">
        <v>3834655.75</v>
      </c>
      <c r="I68" s="18" t="n">
        <v>3960324.12</v>
      </c>
      <c r="J68" s="18" t="n">
        <v>4621768.35</v>
      </c>
      <c r="K68" s="37" t="n">
        <v>15488033.27</v>
      </c>
      <c r="L68" s="18" t="n">
        <v>4041041.77</v>
      </c>
      <c r="M68" s="18" t="n">
        <v>4539361.76</v>
      </c>
      <c r="N68" s="18" t="n">
        <v>4154979.83</v>
      </c>
      <c r="O68" s="18" t="n">
        <v>4854504.35</v>
      </c>
      <c r="P68" s="37" t="n">
        <v>17589887.71</v>
      </c>
      <c r="Q68" s="18" t="n">
        <v>4097866.7</v>
      </c>
      <c r="R68" s="18" t="n">
        <v>4150487.34</v>
      </c>
      <c r="S68" s="18" t="n">
        <v>3395568.93</v>
      </c>
      <c r="T68" s="18" t="n">
        <v>4589132.03</v>
      </c>
      <c r="U68" s="37" t="n">
        <v>16233055</v>
      </c>
      <c r="V68" s="18" t="n">
        <v>3748574</v>
      </c>
      <c r="W68" s="18" t="n">
        <v>4569021</v>
      </c>
      <c r="X68" s="18" t="n">
        <v>3880350</v>
      </c>
      <c r="Y68" s="18" t="n">
        <v>4859931</v>
      </c>
      <c r="Z68" s="37" t="n">
        <v>17057876</v>
      </c>
      <c r="AA68" s="18" t="n">
        <v>4261130</v>
      </c>
      <c r="AB68" s="19" t="n">
        <v>4724808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1828642.7</v>
      </c>
      <c r="F69" s="9" t="n"/>
      <c r="G69" s="18" t="n">
        <v>2551539.76</v>
      </c>
      <c r="H69" s="18" t="n">
        <v>3169295.47</v>
      </c>
      <c r="I69" s="18" t="n">
        <v>3289452.88</v>
      </c>
      <c r="J69" s="18" t="n">
        <v>3915683.13</v>
      </c>
      <c r="K69" s="37" t="n">
        <v>12925971.24</v>
      </c>
      <c r="L69" s="18" t="n">
        <v>3324948.15</v>
      </c>
      <c r="M69" s="18" t="n">
        <v>3723833.18</v>
      </c>
      <c r="N69" s="18" t="n">
        <v>3445958.6</v>
      </c>
      <c r="O69" s="18" t="n">
        <v>4078146.29</v>
      </c>
      <c r="P69" s="37" t="n">
        <v>14572886.22</v>
      </c>
      <c r="Q69" s="18" t="n">
        <v>3350758.52</v>
      </c>
      <c r="R69" s="18" t="n">
        <v>3421309.01</v>
      </c>
      <c r="S69" s="18" t="n">
        <v>2871437.67</v>
      </c>
      <c r="T69" s="18" t="n">
        <v>3859830.81</v>
      </c>
      <c r="U69" s="37" t="n">
        <v>13503336.01</v>
      </c>
      <c r="V69" s="18" t="n">
        <v>3150914</v>
      </c>
      <c r="W69" s="18" t="n">
        <v>3822574</v>
      </c>
      <c r="X69" s="18" t="n">
        <v>3276221</v>
      </c>
      <c r="Y69" s="18" t="n">
        <v>4064857</v>
      </c>
      <c r="Z69" s="37" t="n">
        <v>14314566</v>
      </c>
      <c r="AA69" s="18" t="n">
        <v>3516988</v>
      </c>
      <c r="AB69" s="19" t="n">
        <v>3838343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342144.51</v>
      </c>
      <c r="F70" s="9" t="n"/>
      <c r="G70" s="18" t="n">
        <v>519745.29</v>
      </c>
      <c r="H70" s="18" t="n">
        <v>665360.28</v>
      </c>
      <c r="I70" s="18" t="n">
        <v>670871.25</v>
      </c>
      <c r="J70" s="18" t="n">
        <v>706085.22</v>
      </c>
      <c r="K70" s="37" t="n">
        <v>2562062.04</v>
      </c>
      <c r="L70" s="18" t="n">
        <v>716093.62</v>
      </c>
      <c r="M70" s="18" t="n">
        <v>815528.58</v>
      </c>
      <c r="N70" s="18" t="n">
        <v>709021.23</v>
      </c>
      <c r="O70" s="18" t="n">
        <v>776358.0600000001</v>
      </c>
      <c r="P70" s="37" t="n">
        <v>3017001.49</v>
      </c>
      <c r="Q70" s="18" t="n">
        <v>747108.1800000001</v>
      </c>
      <c r="R70" s="18" t="n">
        <v>729178.33</v>
      </c>
      <c r="S70" s="18" t="n">
        <v>524131.26</v>
      </c>
      <c r="T70" s="18" t="n">
        <v>729301.22</v>
      </c>
      <c r="U70" s="37" t="n">
        <v>2729718.99</v>
      </c>
      <c r="V70" s="18" t="n">
        <v>597660</v>
      </c>
      <c r="W70" s="18" t="n">
        <v>746447</v>
      </c>
      <c r="X70" s="18" t="n">
        <v>604129</v>
      </c>
      <c r="Y70" s="18" t="n">
        <v>795074</v>
      </c>
      <c r="Z70" s="37" t="n">
        <v>2743310</v>
      </c>
      <c r="AA70" s="18" t="n">
        <v>744142</v>
      </c>
      <c r="AB70" s="19" t="n">
        <v>886465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215162.51</v>
      </c>
      <c r="F71" s="9" t="n"/>
      <c r="G71" s="18" t="n">
        <v>327605.36</v>
      </c>
      <c r="H71" s="18" t="n">
        <v>337023.73</v>
      </c>
      <c r="I71" s="18" t="n">
        <v>356302.15</v>
      </c>
      <c r="J71" s="18" t="n">
        <v>434378</v>
      </c>
      <c r="K71" s="37" t="n">
        <v>1455309.24</v>
      </c>
      <c r="L71" s="18" t="n">
        <v>351519.13</v>
      </c>
      <c r="M71" s="18" t="n">
        <v>320878.27</v>
      </c>
      <c r="N71" s="18" t="n">
        <v>397631.83</v>
      </c>
      <c r="O71" s="18" t="n">
        <v>479653.92</v>
      </c>
      <c r="P71" s="37" t="n">
        <v>1549683.15</v>
      </c>
      <c r="Q71" s="18" t="n">
        <v>389037.24</v>
      </c>
      <c r="R71" s="18" t="n">
        <v>419388.1</v>
      </c>
      <c r="S71" s="18" t="n">
        <v>409341.68</v>
      </c>
      <c r="T71" s="18" t="n">
        <v>494351.98</v>
      </c>
      <c r="U71" s="37" t="n">
        <v>1712119</v>
      </c>
      <c r="V71" s="18" t="n">
        <v>455185</v>
      </c>
      <c r="W71" s="18" t="n">
        <v>475341</v>
      </c>
      <c r="X71" s="18" t="n">
        <v>467070</v>
      </c>
      <c r="Y71" s="18" t="n">
        <v>583002</v>
      </c>
      <c r="Z71" s="37" t="n">
        <v>1980598</v>
      </c>
      <c r="AA71" s="18" t="n">
        <v>510628</v>
      </c>
      <c r="AB71" s="19" t="n">
        <v>572205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126982</v>
      </c>
      <c r="F72" s="9" t="n"/>
      <c r="G72" s="18" t="n">
        <v>192139.94</v>
      </c>
      <c r="H72" s="18" t="n">
        <v>328336.56</v>
      </c>
      <c r="I72" s="18" t="n">
        <v>314569.1</v>
      </c>
      <c r="J72" s="18" t="n">
        <v>271707.22</v>
      </c>
      <c r="K72" s="37" t="n">
        <v>1106752.82</v>
      </c>
      <c r="L72" s="18" t="n">
        <v>364574.49</v>
      </c>
      <c r="M72" s="18" t="n">
        <v>494650.31</v>
      </c>
      <c r="N72" s="18" t="n">
        <v>311389.4</v>
      </c>
      <c r="O72" s="18" t="n">
        <v>296704.14</v>
      </c>
      <c r="P72" s="37" t="n">
        <v>1467318.34</v>
      </c>
      <c r="Q72" s="18" t="n">
        <v>358070.95</v>
      </c>
      <c r="R72" s="18" t="n">
        <v>309790.23</v>
      </c>
      <c r="S72" s="18" t="n">
        <v>114789.58</v>
      </c>
      <c r="T72" s="18" t="n">
        <v>234949.24</v>
      </c>
      <c r="U72" s="37" t="n">
        <v>1017600</v>
      </c>
      <c r="V72" s="18" t="n">
        <v>142475</v>
      </c>
      <c r="W72" s="18" t="n">
        <v>271106</v>
      </c>
      <c r="X72" s="18" t="n">
        <v>137059</v>
      </c>
      <c r="Y72" s="18" t="n">
        <v>212072</v>
      </c>
      <c r="Z72" s="37" t="n">
        <v>762712</v>
      </c>
      <c r="AA72" s="18" t="n">
        <v>233514</v>
      </c>
      <c r="AB72" s="19" t="n">
        <v>314260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-72452.62</v>
      </c>
      <c r="F73" s="9" t="n"/>
      <c r="G73" s="18" t="n">
        <v>-128514.08</v>
      </c>
      <c r="H73" s="18" t="n">
        <v>-225785.51</v>
      </c>
      <c r="I73" s="18" t="n">
        <v>-143902.21</v>
      </c>
      <c r="J73" s="18" t="n">
        <v>15716.89</v>
      </c>
      <c r="K73" s="37" t="n">
        <v>-482484.91</v>
      </c>
      <c r="L73" s="18" t="n">
        <v>-58023.38</v>
      </c>
      <c r="M73" s="18" t="n">
        <v>-54070.41</v>
      </c>
      <c r="N73" s="18" t="n">
        <v>-76427.16</v>
      </c>
      <c r="O73" s="18" t="n">
        <v>-79430.34</v>
      </c>
      <c r="P73" s="37" t="n">
        <v>-267951.29</v>
      </c>
      <c r="Q73" s="18" t="n">
        <v>-14694.97</v>
      </c>
      <c r="R73" s="18" t="n">
        <v>-41622.22</v>
      </c>
      <c r="S73" s="18" t="n">
        <v>-70831.61</v>
      </c>
      <c r="T73" s="18" t="n">
        <v>-54103.21</v>
      </c>
      <c r="U73" s="37" t="n">
        <v>-181252.01</v>
      </c>
      <c r="V73" s="18" t="n">
        <v>-79445</v>
      </c>
      <c r="W73" s="18" t="n">
        <v>-73142</v>
      </c>
      <c r="X73" s="18" t="n">
        <v>-131221</v>
      </c>
      <c r="Y73" s="18" t="n">
        <v>-61261</v>
      </c>
      <c r="Z73" s="37" t="n">
        <v>-345069</v>
      </c>
      <c r="AA73" s="18" t="n">
        <v>-110583</v>
      </c>
      <c r="AB73" s="19" t="n">
        <v>21652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80622.67999999999</v>
      </c>
      <c r="F74" s="9" t="n"/>
      <c r="G74" s="18" t="n">
        <v>140669.96</v>
      </c>
      <c r="H74" s="18" t="n">
        <v>382664.15</v>
      </c>
      <c r="I74" s="18" t="n">
        <v>650758.59</v>
      </c>
      <c r="J74" s="18" t="n">
        <v>-425967.02</v>
      </c>
      <c r="K74" s="37" t="n">
        <v>748125.6800000001</v>
      </c>
      <c r="L74" s="18" t="n">
        <v>275199.55</v>
      </c>
      <c r="M74" s="18" t="n">
        <v>172215.56</v>
      </c>
      <c r="N74" s="18" t="n">
        <v>182182.16</v>
      </c>
      <c r="O74" s="18" t="n">
        <v>-34486.06</v>
      </c>
      <c r="P74" s="37" t="n">
        <v>595111.21</v>
      </c>
      <c r="Q74" s="18" t="n">
        <v>349957.8</v>
      </c>
      <c r="R74" s="18" t="n">
        <v>266122.19</v>
      </c>
      <c r="S74" s="18" t="n">
        <v>-72836.39999999999</v>
      </c>
      <c r="T74" s="18" t="n">
        <v>612560.41</v>
      </c>
      <c r="U74" s="37" t="n">
        <v>1155804</v>
      </c>
      <c r="V74" s="18" t="n">
        <v>269121</v>
      </c>
      <c r="W74" s="18" t="n">
        <v>394506</v>
      </c>
      <c r="X74" s="18" t="n">
        <v>-12083</v>
      </c>
      <c r="Y74" s="18" t="n">
        <v>223940</v>
      </c>
      <c r="Z74" s="37" t="n">
        <v>875484</v>
      </c>
      <c r="AA74" s="18" t="n">
        <v>536170</v>
      </c>
      <c r="AB74" s="19" t="n">
        <v>348911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153075.31</v>
      </c>
      <c r="F75" s="9" t="n"/>
      <c r="G75" s="18" t="n">
        <v>269184.04</v>
      </c>
      <c r="H75" s="18" t="n">
        <v>608449.65</v>
      </c>
      <c r="I75" s="18" t="n">
        <v>794660.8</v>
      </c>
      <c r="J75" s="18" t="n">
        <v>-441683.92</v>
      </c>
      <c r="K75" s="37" t="n">
        <v>1230610.57</v>
      </c>
      <c r="L75" s="18" t="n">
        <v>333222.93</v>
      </c>
      <c r="M75" s="18" t="n">
        <v>226285.97</v>
      </c>
      <c r="N75" s="18" t="n">
        <v>258609.32</v>
      </c>
      <c r="O75" s="18" t="n">
        <v>44944.28</v>
      </c>
      <c r="P75" s="37" t="n">
        <v>863062.5</v>
      </c>
      <c r="Q75" s="18" t="n">
        <v>364652.77</v>
      </c>
      <c r="R75" s="18" t="n">
        <v>307744.41</v>
      </c>
      <c r="S75" s="18" t="n">
        <v>-2004.79</v>
      </c>
      <c r="T75" s="18" t="n">
        <v>666663.62</v>
      </c>
      <c r="U75" s="37" t="n">
        <v>1337056.01</v>
      </c>
      <c r="V75" s="18" t="n">
        <v>348566</v>
      </c>
      <c r="W75" s="18" t="n">
        <v>467648</v>
      </c>
      <c r="X75" s="18" t="n">
        <v>119138</v>
      </c>
      <c r="Y75" s="18" t="n">
        <v>285201</v>
      </c>
      <c r="Z75" s="37" t="n">
        <v>1220553</v>
      </c>
      <c r="AA75" s="18" t="n">
        <v>646753</v>
      </c>
      <c r="AB75" s="19" t="n">
        <v>327259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5163.62</v>
      </c>
      <c r="F76" s="9" t="n"/>
      <c r="G76" s="18" t="n">
        <v>3792.58</v>
      </c>
      <c r="H76" s="18" t="n">
        <v>52438.98</v>
      </c>
      <c r="I76" s="18" t="n">
        <v>4599.96</v>
      </c>
      <c r="J76" s="18" t="n">
        <v>-640439.17</v>
      </c>
      <c r="K76" s="37" t="n">
        <v>-579607.65</v>
      </c>
      <c r="L76" s="18" t="n">
        <v>-40279.98</v>
      </c>
      <c r="M76" s="18" t="n">
        <v>-40772.25</v>
      </c>
      <c r="N76" s="18" t="n">
        <v>-14166.91</v>
      </c>
      <c r="O76" s="18" t="n">
        <v>-326978.55</v>
      </c>
      <c r="P76" s="37" t="n">
        <v>-422197.69</v>
      </c>
      <c r="Q76" s="18" t="n">
        <v>18931.68</v>
      </c>
      <c r="R76" s="18" t="n">
        <v>27602.66</v>
      </c>
      <c r="S76" s="18" t="n">
        <v>-8927.25</v>
      </c>
      <c r="T76" s="18" t="n">
        <v>-236660.09</v>
      </c>
      <c r="U76" s="37" t="n">
        <v>-199053</v>
      </c>
      <c r="V76" s="18" t="n">
        <v>-34702</v>
      </c>
      <c r="W76" s="18" t="n">
        <v>107222</v>
      </c>
      <c r="X76" s="18" t="n">
        <v>-40163</v>
      </c>
      <c r="Y76" s="18" t="n">
        <v>-145997</v>
      </c>
      <c r="Z76" s="37" t="n">
        <v>-113640</v>
      </c>
      <c r="AA76" s="18" t="n">
        <v>-17239</v>
      </c>
      <c r="AB76" s="19" t="n">
        <v>-2931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28567.56</v>
      </c>
      <c r="F77" s="9" t="n"/>
      <c r="G77" s="18" t="n">
        <v>36387.01</v>
      </c>
      <c r="H77" s="18" t="n">
        <v>61424.15</v>
      </c>
      <c r="I77" s="18" t="n">
        <v>25650.11</v>
      </c>
      <c r="J77" s="18" t="n">
        <v>37209.45</v>
      </c>
      <c r="K77" s="37" t="n">
        <v>160670.72</v>
      </c>
      <c r="L77" s="18" t="n">
        <v>4638.83</v>
      </c>
      <c r="M77" s="18" t="n">
        <v>4591.88</v>
      </c>
      <c r="N77" s="18" t="n">
        <v>3752.4</v>
      </c>
      <c r="O77" s="18" t="n">
        <v>36320.67</v>
      </c>
      <c r="P77" s="37" t="n">
        <v>49303.78</v>
      </c>
      <c r="Q77" s="18" t="n">
        <v>36345.69</v>
      </c>
      <c r="R77" s="18" t="n">
        <v>42917.39</v>
      </c>
      <c r="S77" s="18" t="n">
        <v>3156.83</v>
      </c>
      <c r="T77" s="18" t="n">
        <v>61348.09</v>
      </c>
      <c r="U77" s="37" t="n">
        <v>143768</v>
      </c>
      <c r="V77" s="18" t="n">
        <v>4624</v>
      </c>
      <c r="W77" s="18" t="n">
        <v>108912</v>
      </c>
      <c r="X77" s="18" t="n">
        <v>-5654</v>
      </c>
      <c r="Y77" s="18" t="n">
        <v>-5071</v>
      </c>
      <c r="Z77" s="37" t="n">
        <v>102811</v>
      </c>
      <c r="AA77" s="18" t="n">
        <v>6851</v>
      </c>
      <c r="AB77" s="19" t="n">
        <v>19536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23403.94</v>
      </c>
      <c r="F78" s="9" t="n"/>
      <c r="G78" s="18" t="n">
        <v>32594.43</v>
      </c>
      <c r="H78" s="18" t="n">
        <v>8985.17</v>
      </c>
      <c r="I78" s="18" t="n">
        <v>21050.15</v>
      </c>
      <c r="J78" s="18" t="n">
        <v>677648.63</v>
      </c>
      <c r="K78" s="37" t="n">
        <v>740278.38</v>
      </c>
      <c r="L78" s="18" t="n">
        <v>44918.8</v>
      </c>
      <c r="M78" s="18" t="n">
        <v>45364.13</v>
      </c>
      <c r="N78" s="18" t="n">
        <v>17919.31</v>
      </c>
      <c r="O78" s="18" t="n">
        <v>363299.21</v>
      </c>
      <c r="P78" s="37" t="n">
        <v>471501.45</v>
      </c>
      <c r="Q78" s="18" t="n">
        <v>17414.01</v>
      </c>
      <c r="R78" s="18" t="n">
        <v>15314.73</v>
      </c>
      <c r="S78" s="18" t="n">
        <v>12084.08</v>
      </c>
      <c r="T78" s="18" t="n">
        <v>298008.18</v>
      </c>
      <c r="U78" s="37" t="n">
        <v>342821</v>
      </c>
      <c r="V78" s="18" t="n">
        <v>39326</v>
      </c>
      <c r="W78" s="18" t="n">
        <v>1690</v>
      </c>
      <c r="X78" s="18" t="n">
        <v>34509</v>
      </c>
      <c r="Y78" s="18" t="n">
        <v>140926</v>
      </c>
      <c r="Z78" s="37" t="n">
        <v>216451</v>
      </c>
      <c r="AA78" s="18" t="n">
        <v>24090</v>
      </c>
      <c r="AB78" s="19" t="n">
        <v>22467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종속기업,공동지배기업및관계기업관련손익</t>
        </is>
      </c>
      <c r="E79" s="18" t="n">
        <v>1572.87</v>
      </c>
      <c r="F79" s="9" t="n"/>
      <c r="G79" s="18" t="n">
        <v>-6447.45</v>
      </c>
      <c r="H79" s="18" t="n">
        <v>-3900.61</v>
      </c>
      <c r="I79" s="18" t="n">
        <v>1602.24</v>
      </c>
      <c r="J79" s="18" t="n">
        <v>-221137.38</v>
      </c>
      <c r="K79" s="37" t="n">
        <v>-229883.2</v>
      </c>
      <c r="L79" s="18" t="n">
        <v>21305.04</v>
      </c>
      <c r="M79" s="18" t="n">
        <v>15316.26</v>
      </c>
      <c r="N79" s="18" t="n">
        <v>-23797.57</v>
      </c>
      <c r="O79" s="18" t="n">
        <v>-51511.36</v>
      </c>
      <c r="P79" s="37" t="n">
        <v>-38687.63</v>
      </c>
      <c r="Q79" s="18" t="n">
        <v>6529.85</v>
      </c>
      <c r="R79" s="18" t="n">
        <v>20927.35</v>
      </c>
      <c r="S79" s="18" t="n">
        <v>3542.18</v>
      </c>
      <c r="T79" s="18" t="n">
        <v>-10515.38</v>
      </c>
      <c r="U79" s="37" t="n">
        <v>20484</v>
      </c>
      <c r="V79" s="18" t="n">
        <v>1879</v>
      </c>
      <c r="W79" s="18" t="n">
        <v>5350</v>
      </c>
      <c r="X79" s="18" t="n">
        <v>16392</v>
      </c>
      <c r="Y79" s="18" t="n">
        <v>-817</v>
      </c>
      <c r="Z79" s="37" t="n">
        <v>22804</v>
      </c>
      <c r="AA79" s="18" t="n">
        <v>13762</v>
      </c>
      <c r="AB79" s="19" t="n">
        <v>14897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지분법관련손익</t>
        </is>
      </c>
      <c r="E80" s="18" t="n">
        <v>1572.87</v>
      </c>
      <c r="F80" s="9" t="n"/>
      <c r="G80" s="18" t="n">
        <v>-6447.45</v>
      </c>
      <c r="H80" s="18" t="n">
        <v>-3900.61</v>
      </c>
      <c r="I80" s="18" t="n">
        <v>1602.24</v>
      </c>
      <c r="J80" s="18" t="n">
        <v>-221137.38</v>
      </c>
      <c r="K80" s="37" t="n">
        <v>-229883.2</v>
      </c>
      <c r="L80" s="18" t="n">
        <v>21305.04</v>
      </c>
      <c r="M80" s="18" t="n">
        <v>15316.26</v>
      </c>
      <c r="N80" s="18" t="n">
        <v>-23797.57</v>
      </c>
      <c r="O80" s="18" t="n">
        <v>-51511.36</v>
      </c>
      <c r="P80" s="37" t="n">
        <v>-38687.63</v>
      </c>
      <c r="Q80" s="18" t="n">
        <v>6529.85</v>
      </c>
      <c r="R80" s="18" t="n">
        <v>20927.35</v>
      </c>
      <c r="S80" s="18" t="n">
        <v>3542.18</v>
      </c>
      <c r="T80" s="18" t="n">
        <v>-10515.38</v>
      </c>
      <c r="U80" s="37" t="n">
        <v>20484</v>
      </c>
      <c r="V80" s="18" t="n">
        <v>1879</v>
      </c>
      <c r="W80" s="18" t="n">
        <v>5350</v>
      </c>
      <c r="X80" s="18" t="n">
        <v>16392</v>
      </c>
      <c r="Y80" s="18" t="n">
        <v>-817</v>
      </c>
      <c r="Z80" s="37" t="n">
        <v>22804</v>
      </c>
      <c r="AA80" s="18" t="n">
        <v>13762</v>
      </c>
      <c r="AB80" s="19" t="n">
        <v>14897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법인세비용차감전계속사업이익</t>
        </is>
      </c>
      <c r="E81" s="18" t="n">
        <v>61265.87</v>
      </c>
      <c r="F81" s="9" t="n"/>
      <c r="G81" s="18" t="n">
        <v>60970.98</v>
      </c>
      <c r="H81" s="18" t="n">
        <v>151089.41</v>
      </c>
      <c r="I81" s="18" t="n">
        <v>176869.09</v>
      </c>
      <c r="J81" s="18" t="n">
        <v>-574152.46</v>
      </c>
      <c r="K81" s="37" t="n">
        <v>-185222.98</v>
      </c>
      <c r="L81" s="18" t="n">
        <v>287576.17</v>
      </c>
      <c r="M81" s="18" t="n">
        <v>415123.91</v>
      </c>
      <c r="N81" s="18" t="n">
        <v>196997.77</v>
      </c>
      <c r="O81" s="18" t="n">
        <v>-161216.09</v>
      </c>
      <c r="P81" s="37" t="n">
        <v>738481.76</v>
      </c>
      <c r="Q81" s="18" t="n">
        <v>368837.51</v>
      </c>
      <c r="R81" s="18" t="n">
        <v>316698.03</v>
      </c>
      <c r="S81" s="18" t="n">
        <v>38572.91</v>
      </c>
      <c r="T81" s="18" t="n">
        <v>-66329.45</v>
      </c>
      <c r="U81" s="37" t="n">
        <v>657779</v>
      </c>
      <c r="V81" s="18" t="n">
        <v>30207</v>
      </c>
      <c r="W81" s="18" t="n">
        <v>310536</v>
      </c>
      <c r="X81" s="18" t="n">
        <v>-17933</v>
      </c>
      <c r="Y81" s="18" t="n">
        <v>3997</v>
      </c>
      <c r="Z81" s="37" t="n">
        <v>326807</v>
      </c>
      <c r="AA81" s="18" t="n">
        <v>119454</v>
      </c>
      <c r="AB81" s="19" t="n">
        <v>347878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법인세비용</t>
        </is>
      </c>
      <c r="E82" s="18" t="n">
        <v>-62858.53</v>
      </c>
      <c r="F82" s="9" t="n"/>
      <c r="G82" s="18" t="n">
        <v>49450.8</v>
      </c>
      <c r="H82" s="18" t="n">
        <v>83701.22</v>
      </c>
      <c r="I82" s="18" t="n">
        <v>103967.18</v>
      </c>
      <c r="J82" s="18" t="n">
        <v>-90056.94</v>
      </c>
      <c r="K82" s="37" t="n">
        <v>147062.26</v>
      </c>
      <c r="L82" s="18" t="n">
        <v>116861.33</v>
      </c>
      <c r="M82" s="18" t="n">
        <v>152333.85</v>
      </c>
      <c r="N82" s="18" t="n">
        <v>76641.46000000001</v>
      </c>
      <c r="O82" s="18" t="n">
        <v>-124876.79</v>
      </c>
      <c r="P82" s="37" t="n">
        <v>220959.85</v>
      </c>
      <c r="Q82" s="18" t="n">
        <v>107785.19</v>
      </c>
      <c r="R82" s="18" t="n">
        <v>95931.39</v>
      </c>
      <c r="S82" s="18" t="n">
        <v>65047.32</v>
      </c>
      <c r="T82" s="18" t="n">
        <v>-5673.89</v>
      </c>
      <c r="U82" s="37" t="n">
        <v>263090.01</v>
      </c>
      <c r="V82" s="18" t="n">
        <v>51364</v>
      </c>
      <c r="W82" s="18" t="n">
        <v>112727</v>
      </c>
      <c r="X82" s="18" t="n">
        <v>6095</v>
      </c>
      <c r="Y82" s="18" t="n">
        <v>-48542</v>
      </c>
      <c r="Z82" s="37" t="n">
        <v>121644</v>
      </c>
      <c r="AA82" s="18" t="n">
        <v>59228</v>
      </c>
      <c r="AB82" s="19" t="n">
        <v>121510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E83" s="18" t="n">
        <v>124124.39</v>
      </c>
      <c r="F83" s="9" t="n"/>
      <c r="G83" s="18" t="n">
        <v>11520.19</v>
      </c>
      <c r="H83" s="18" t="n">
        <v>67388.2</v>
      </c>
      <c r="I83" s="18" t="n">
        <v>72901.89999999999</v>
      </c>
      <c r="J83" s="18" t="n">
        <v>-484095.51</v>
      </c>
      <c r="K83" s="37" t="n">
        <v>-332285.22</v>
      </c>
      <c r="L83" s="18" t="n">
        <v>170714.85</v>
      </c>
      <c r="M83" s="18" t="n">
        <v>262790.06</v>
      </c>
      <c r="N83" s="18" t="n">
        <v>120356.31</v>
      </c>
      <c r="O83" s="18" t="n">
        <v>-36339.31</v>
      </c>
      <c r="P83" s="37" t="n">
        <v>517521.91</v>
      </c>
      <c r="Q83" s="18" t="n">
        <v>261052.33</v>
      </c>
      <c r="R83" s="18" t="n">
        <v>220766.64</v>
      </c>
      <c r="S83" s="18" t="n">
        <v>-26474.41</v>
      </c>
      <c r="T83" s="18" t="n">
        <v>-60655.56</v>
      </c>
      <c r="U83" s="37" t="n">
        <v>394689</v>
      </c>
      <c r="V83" s="18" t="n">
        <v>-21157</v>
      </c>
      <c r="W83" s="18" t="n">
        <v>197809</v>
      </c>
      <c r="X83" s="18" t="n">
        <v>-24028</v>
      </c>
      <c r="Y83" s="18" t="n">
        <v>52539</v>
      </c>
      <c r="Z83" s="37" t="n">
        <v>205163</v>
      </c>
      <c r="AA83" s="18" t="n">
        <v>60226</v>
      </c>
      <c r="AB83" s="19" t="n">
        <v>226368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E84" s="18" t="n">
        <v>-40979.54</v>
      </c>
      <c r="F84" s="9" t="n"/>
      <c r="G84" s="18" t="n">
        <v>-512.54</v>
      </c>
      <c r="H84" s="18" t="n">
        <v>-191924.26</v>
      </c>
      <c r="I84" s="18" t="n">
        <v>71619.5</v>
      </c>
      <c r="J84" s="18" t="n">
        <v>-47.32</v>
      </c>
      <c r="K84" s="37" t="n">
        <v>-120864.62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당기순이익</t>
        </is>
      </c>
      <c r="E85" s="18" t="n">
        <v>83144.85000000001</v>
      </c>
      <c r="F85" s="9" t="n"/>
      <c r="G85" s="18" t="n">
        <v>11007.64</v>
      </c>
      <c r="H85" s="18" t="n">
        <v>-124536.07</v>
      </c>
      <c r="I85" s="18" t="n">
        <v>144521.4</v>
      </c>
      <c r="J85" s="18" t="n">
        <v>-484142.85</v>
      </c>
      <c r="K85" s="37" t="n">
        <v>-453149.88</v>
      </c>
      <c r="L85" s="18" t="n">
        <v>170714.85</v>
      </c>
      <c r="M85" s="18" t="n">
        <v>262790.06</v>
      </c>
      <c r="N85" s="18" t="n">
        <v>120356.31</v>
      </c>
      <c r="O85" s="18" t="n">
        <v>-36339.31</v>
      </c>
      <c r="P85" s="37" t="n">
        <v>517521.91</v>
      </c>
      <c r="Q85" s="18" t="n">
        <v>261052.33</v>
      </c>
      <c r="R85" s="18" t="n">
        <v>220766.64</v>
      </c>
      <c r="S85" s="18" t="n">
        <v>-26474.41</v>
      </c>
      <c r="T85" s="18" t="n">
        <v>-60655.56</v>
      </c>
      <c r="U85" s="37" t="n">
        <v>394689</v>
      </c>
      <c r="V85" s="18" t="n">
        <v>-21157</v>
      </c>
      <c r="W85" s="18" t="n">
        <v>197809</v>
      </c>
      <c r="X85" s="18" t="n">
        <v>-24028</v>
      </c>
      <c r="Y85" s="18" t="n">
        <v>52539</v>
      </c>
      <c r="Z85" s="37" t="n">
        <v>205163</v>
      </c>
      <c r="AA85" s="18" t="n">
        <v>60226</v>
      </c>
      <c r="AB85" s="19" t="n">
        <v>226368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(지배주주지분)당기순이익</t>
        </is>
      </c>
      <c r="E86" s="18" t="n">
        <v>175987.49</v>
      </c>
      <c r="F86" s="9" t="n"/>
      <c r="G86" s="18" t="n">
        <v>-38346.9</v>
      </c>
      <c r="H86" s="18" t="n">
        <v>-193696.1</v>
      </c>
      <c r="I86" s="18" t="n">
        <v>86149.59</v>
      </c>
      <c r="J86" s="18" t="n">
        <v>-626599.1899999999</v>
      </c>
      <c r="K86" s="37" t="n">
        <v>-772492.6</v>
      </c>
      <c r="L86" s="18" t="n">
        <v>69549.73</v>
      </c>
      <c r="M86" s="18" t="n">
        <v>107389.6</v>
      </c>
      <c r="N86" s="18" t="n">
        <v>21737.5</v>
      </c>
      <c r="O86" s="18" t="n">
        <v>-143078.87</v>
      </c>
      <c r="P86" s="37" t="n">
        <v>55597.96</v>
      </c>
      <c r="Q86" s="18" t="n">
        <v>144160.09</v>
      </c>
      <c r="R86" s="18" t="n">
        <v>136170.49</v>
      </c>
      <c r="S86" s="18" t="n">
        <v>-55024.91</v>
      </c>
      <c r="T86" s="18" t="n">
        <v>-113940.67</v>
      </c>
      <c r="U86" s="37" t="n">
        <v>111365</v>
      </c>
      <c r="V86" s="18" t="n">
        <v>-68860</v>
      </c>
      <c r="W86" s="18" t="n">
        <v>130927</v>
      </c>
      <c r="X86" s="18" t="n">
        <v>-50078</v>
      </c>
      <c r="Y86" s="18" t="n">
        <v>72773</v>
      </c>
      <c r="Z86" s="37" t="n">
        <v>84762</v>
      </c>
      <c r="AA86" s="18" t="n">
        <v>758</v>
      </c>
      <c r="AB86" s="19" t="n">
        <v>157619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(비지배주주지분)당기순이익</t>
        </is>
      </c>
      <c r="E87" s="18" t="n">
        <v>-92842.64999999999</v>
      </c>
      <c r="F87" s="9" t="n"/>
      <c r="G87" s="18" t="n">
        <v>49354.55</v>
      </c>
      <c r="H87" s="18" t="n">
        <v>69160.03</v>
      </c>
      <c r="I87" s="18" t="n">
        <v>58371.81</v>
      </c>
      <c r="J87" s="18" t="n">
        <v>142456.34</v>
      </c>
      <c r="K87" s="37" t="n">
        <v>319342.73</v>
      </c>
      <c r="L87" s="18" t="n">
        <v>101165.11</v>
      </c>
      <c r="M87" s="18" t="n">
        <v>155400.46</v>
      </c>
      <c r="N87" s="18" t="n">
        <v>98618.8</v>
      </c>
      <c r="O87" s="18" t="n">
        <v>106739.57</v>
      </c>
      <c r="P87" s="37" t="n">
        <v>461923.94</v>
      </c>
      <c r="Q87" s="18" t="n">
        <v>116892.23</v>
      </c>
      <c r="R87" s="18" t="n">
        <v>84596.16</v>
      </c>
      <c r="S87" s="18" t="n">
        <v>28550.5</v>
      </c>
      <c r="T87" s="18" t="n">
        <v>53285.11</v>
      </c>
      <c r="U87" s="37" t="n">
        <v>283324</v>
      </c>
      <c r="V87" s="18" t="n">
        <v>47703</v>
      </c>
      <c r="W87" s="18" t="n">
        <v>66882</v>
      </c>
      <c r="X87" s="18" t="n">
        <v>26050</v>
      </c>
      <c r="Y87" s="18" t="n">
        <v>-20234</v>
      </c>
      <c r="Z87" s="37" t="n">
        <v>120401</v>
      </c>
      <c r="AA87" s="18" t="n">
        <v>59468</v>
      </c>
      <c r="AB87" s="19" t="n">
        <v>68749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총포괄손익</t>
        </is>
      </c>
      <c r="E88" s="18" t="n">
        <v>284602.5</v>
      </c>
      <c r="F88" s="9" t="n"/>
      <c r="G88" s="18" t="n">
        <v>126852.8</v>
      </c>
      <c r="H88" s="18" t="n">
        <v>91102.36</v>
      </c>
      <c r="I88" s="18" t="n">
        <v>619941.39</v>
      </c>
      <c r="J88" s="18" t="n">
        <v>-956755.08</v>
      </c>
      <c r="K88" s="37" t="n">
        <v>-118858.53</v>
      </c>
      <c r="L88" s="18" t="n">
        <v>431033.8</v>
      </c>
      <c r="M88" s="18" t="n">
        <v>249783.37</v>
      </c>
      <c r="N88" s="18" t="n">
        <v>176542.08</v>
      </c>
      <c r="O88" s="18" t="n">
        <v>-320086.29</v>
      </c>
      <c r="P88" s="37" t="n">
        <v>537272.96</v>
      </c>
      <c r="Q88" s="18" t="n">
        <v>453762.59</v>
      </c>
      <c r="R88" s="18" t="n">
        <v>407894.96</v>
      </c>
      <c r="S88" s="18" t="n">
        <v>-245315.71</v>
      </c>
      <c r="T88" s="18" t="n">
        <v>356624.17</v>
      </c>
      <c r="U88" s="37" t="n">
        <v>972966.01</v>
      </c>
      <c r="V88" s="18" t="n">
        <v>115214</v>
      </c>
      <c r="W88" s="18" t="n">
        <v>-89214</v>
      </c>
      <c r="X88" s="18" t="n">
        <v>264028</v>
      </c>
      <c r="Y88" s="18" t="n">
        <v>237348</v>
      </c>
      <c r="Z88" s="37" t="n">
        <v>527376</v>
      </c>
      <c r="AA88" s="18" t="n">
        <v>419382</v>
      </c>
      <c r="AB88" s="19" t="n">
        <v>384149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G89" s="18" t="n">
        <v>1525</v>
      </c>
      <c r="H89" s="18" t="n">
        <v>11596</v>
      </c>
      <c r="I89" s="18" t="n">
        <v>5126</v>
      </c>
      <c r="J89" s="18" t="n">
        <v>6965</v>
      </c>
      <c r="K89" s="37" t="n">
        <v>25212</v>
      </c>
      <c r="L89" s="18" t="n">
        <v>10010</v>
      </c>
      <c r="M89" s="18" t="n">
        <v>18252</v>
      </c>
      <c r="N89" s="18" t="n">
        <v>26119</v>
      </c>
      <c r="O89" s="18" t="n">
        <v>25839</v>
      </c>
      <c r="P89" s="37" t="n">
        <v>80220</v>
      </c>
      <c r="Q89" s="18" t="n">
        <v>26415</v>
      </c>
      <c r="R89" s="18" t="n">
        <v>29655</v>
      </c>
      <c r="S89" s="18" t="n">
        <v>25366</v>
      </c>
      <c r="T89" s="18" t="n">
        <v>27766</v>
      </c>
      <c r="U89" s="37" t="n">
        <v>109202</v>
      </c>
      <c r="V89" s="18" t="n">
        <v>20212</v>
      </c>
      <c r="W89" s="18" t="n">
        <v>21739</v>
      </c>
      <c r="X89" s="18" t="n">
        <v>20075</v>
      </c>
      <c r="Y89" s="18" t="n">
        <v>24720</v>
      </c>
      <c r="Z89" s="37" t="n">
        <v>86746</v>
      </c>
      <c r="AA89" s="18" t="n">
        <v>18062</v>
      </c>
      <c r="AB89" s="19" t="n">
        <v>22427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G90" s="18" t="n">
        <v>696</v>
      </c>
      <c r="H90" s="18" t="n">
        <v>2659</v>
      </c>
      <c r="I90" s="18" t="n">
        <v>456</v>
      </c>
      <c r="J90" s="18" t="n">
        <v>0</v>
      </c>
      <c r="K90" s="37" t="n">
        <v>3811</v>
      </c>
      <c r="L90" s="18" t="n">
        <v>2092</v>
      </c>
      <c r="M90" s="18" t="n">
        <v>682</v>
      </c>
      <c r="N90" s="18" t="n">
        <v>67</v>
      </c>
      <c r="O90" s="18" t="n">
        <v>64</v>
      </c>
      <c r="P90" s="37" t="n">
        <v>2905</v>
      </c>
      <c r="Q90" s="18" t="n">
        <v>240</v>
      </c>
      <c r="R90" s="18" t="n">
        <v>743</v>
      </c>
      <c r="S90" s="18" t="n">
        <v>8</v>
      </c>
      <c r="T90" s="18" t="n">
        <v>1418</v>
      </c>
      <c r="U90" s="37" t="n">
        <v>2409</v>
      </c>
      <c r="V90" s="18" t="n">
        <v>698</v>
      </c>
      <c r="W90" s="18" t="n">
        <v>541</v>
      </c>
      <c r="X90" s="18" t="n">
        <v>26</v>
      </c>
      <c r="Y90" s="18" t="n">
        <v>2325</v>
      </c>
      <c r="Z90" s="37" t="n">
        <v>3590</v>
      </c>
      <c r="AA90" s="18" t="n">
        <v>1756</v>
      </c>
      <c r="AB90" s="19" t="n">
        <v>873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이자비용</t>
        </is>
      </c>
      <c r="F91" s="9" t="n"/>
      <c r="G91" s="18" t="n">
        <v>68842</v>
      </c>
      <c r="H91" s="18" t="n">
        <v>58608</v>
      </c>
      <c r="I91" s="18" t="n">
        <v>59942</v>
      </c>
      <c r="J91" s="18" t="n">
        <v>73141</v>
      </c>
      <c r="K91" s="37" t="n">
        <v>260533</v>
      </c>
      <c r="L91" s="18" t="n">
        <v>76045</v>
      </c>
      <c r="M91" s="18" t="n">
        <v>82880</v>
      </c>
      <c r="N91" s="18" t="n">
        <v>78689</v>
      </c>
      <c r="O91" s="18" t="n">
        <v>83277</v>
      </c>
      <c r="P91" s="37" t="n">
        <v>320891</v>
      </c>
      <c r="Q91" s="18" t="n">
        <v>78944</v>
      </c>
      <c r="R91" s="18" t="n">
        <v>80594</v>
      </c>
      <c r="S91" s="18" t="n">
        <v>79432</v>
      </c>
      <c r="T91" s="18" t="n">
        <v>90107</v>
      </c>
      <c r="U91" s="37" t="n">
        <v>329077</v>
      </c>
      <c r="V91" s="18" t="n">
        <v>79983</v>
      </c>
      <c r="W91" s="18" t="n">
        <v>78493</v>
      </c>
      <c r="X91" s="18" t="n">
        <v>84636</v>
      </c>
      <c r="Y91" s="18" t="n">
        <v>82836</v>
      </c>
      <c r="Z91" s="37" t="n">
        <v>325948</v>
      </c>
      <c r="AA91" s="18" t="n">
        <v>76908</v>
      </c>
      <c r="AB91" s="19" t="n">
        <v>90073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외환차익</t>
        </is>
      </c>
      <c r="F92" s="9" t="n"/>
      <c r="G92" s="18" t="n">
        <v>22925</v>
      </c>
      <c r="H92" s="18" t="n">
        <v>35552</v>
      </c>
      <c r="I92" s="18" t="n">
        <v>125132</v>
      </c>
      <c r="J92" s="18" t="n">
        <v>122180</v>
      </c>
      <c r="K92" s="37" t="n">
        <v>305789</v>
      </c>
      <c r="L92" s="18" t="n">
        <v>72124</v>
      </c>
      <c r="M92" s="18" t="n">
        <v>92654</v>
      </c>
      <c r="N92" s="18" t="n">
        <v>49267</v>
      </c>
      <c r="O92" s="18" t="n">
        <v>56116</v>
      </c>
      <c r="P92" s="37" t="n">
        <v>270161</v>
      </c>
      <c r="Q92" s="18" t="n">
        <v>52180</v>
      </c>
      <c r="R92" s="18" t="n">
        <v>77851</v>
      </c>
      <c r="S92" s="18" t="n">
        <v>45633</v>
      </c>
      <c r="T92" s="18" t="n">
        <v>84902</v>
      </c>
      <c r="U92" s="37" t="n">
        <v>260566</v>
      </c>
      <c r="V92" s="18" t="n">
        <v>44941</v>
      </c>
      <c r="W92" s="18" t="n">
        <v>65166</v>
      </c>
      <c r="X92" s="18" t="n">
        <v>111280</v>
      </c>
      <c r="Y92" s="18" t="n">
        <v>60040</v>
      </c>
      <c r="Z92" s="37" t="n">
        <v>281427</v>
      </c>
      <c r="AA92" s="18" t="n">
        <v>53166</v>
      </c>
      <c r="AB92" s="19" t="n">
        <v>69639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외환차손</t>
        </is>
      </c>
      <c r="F93" s="9" t="n"/>
      <c r="G93" s="18" t="n">
        <v>20603</v>
      </c>
      <c r="H93" s="18" t="n">
        <v>30936</v>
      </c>
      <c r="I93" s="18" t="n">
        <v>113128</v>
      </c>
      <c r="J93" s="18" t="n">
        <v>177528</v>
      </c>
      <c r="K93" s="37" t="n">
        <v>342195</v>
      </c>
      <c r="L93" s="18" t="n">
        <v>56705</v>
      </c>
      <c r="M93" s="18" t="n">
        <v>67068</v>
      </c>
      <c r="N93" s="18" t="n">
        <v>59850</v>
      </c>
      <c r="O93" s="18" t="n">
        <v>77522</v>
      </c>
      <c r="P93" s="37" t="n">
        <v>261145</v>
      </c>
      <c r="Q93" s="18" t="n">
        <v>47524</v>
      </c>
      <c r="R93" s="18" t="n">
        <v>66911</v>
      </c>
      <c r="S93" s="18" t="n">
        <v>44516</v>
      </c>
      <c r="T93" s="18" t="n">
        <v>100599</v>
      </c>
      <c r="U93" s="37" t="n">
        <v>259550</v>
      </c>
      <c r="V93" s="18" t="n">
        <v>44772</v>
      </c>
      <c r="W93" s="18" t="n">
        <v>111132</v>
      </c>
      <c r="X93" s="18" t="n">
        <v>81370</v>
      </c>
      <c r="Y93" s="18" t="n">
        <v>63078</v>
      </c>
      <c r="Z93" s="37" t="n">
        <v>300352</v>
      </c>
      <c r="AA93" s="18" t="n">
        <v>113198</v>
      </c>
      <c r="AB93" s="19" t="n">
        <v>2422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외화환산이익</t>
        </is>
      </c>
      <c r="F94" s="9" t="n"/>
      <c r="G94" s="18" t="n">
        <v>29117</v>
      </c>
      <c r="H94" s="18" t="n">
        <v>104836</v>
      </c>
      <c r="I94" s="18" t="n">
        <v>180252</v>
      </c>
      <c r="J94" s="18" t="n">
        <v>-196768</v>
      </c>
      <c r="K94" s="37" t="n">
        <v>117437</v>
      </c>
      <c r="L94" s="18" t="n">
        <v>70868</v>
      </c>
      <c r="M94" s="18" t="n">
        <v>7490</v>
      </c>
      <c r="N94" s="18" t="n">
        <v>25059</v>
      </c>
      <c r="O94" s="18" t="n">
        <v>-48517</v>
      </c>
      <c r="P94" s="37" t="n">
        <v>54900</v>
      </c>
      <c r="Q94" s="18" t="n">
        <v>93975</v>
      </c>
      <c r="R94" s="18" t="n">
        <v>52019</v>
      </c>
      <c r="S94" s="18" t="n">
        <v>-57284</v>
      </c>
      <c r="T94" s="18" t="n">
        <v>239243</v>
      </c>
      <c r="U94" s="37" t="n">
        <v>327953</v>
      </c>
      <c r="V94" s="18" t="n">
        <v>79447</v>
      </c>
      <c r="W94" s="18" t="n">
        <v>118348</v>
      </c>
      <c r="X94" s="18" t="n">
        <v>-71306</v>
      </c>
      <c r="Y94" s="18" t="n">
        <v>5144</v>
      </c>
      <c r="Z94" s="37" t="n">
        <v>131633</v>
      </c>
      <c r="AA94" s="18" t="n">
        <v>146237</v>
      </c>
      <c r="AB94" s="19" t="n">
        <v>40330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외화환산손실</t>
        </is>
      </c>
      <c r="F95" s="9" t="n"/>
      <c r="G95" s="18" t="n">
        <v>86992</v>
      </c>
      <c r="H95" s="18" t="n">
        <v>222274</v>
      </c>
      <c r="I95" s="18" t="n">
        <v>349052</v>
      </c>
      <c r="J95" s="18" t="n">
        <v>-364841</v>
      </c>
      <c r="K95" s="37" t="n">
        <v>293477</v>
      </c>
      <c r="L95" s="18" t="n">
        <v>81674</v>
      </c>
      <c r="M95" s="18" t="n">
        <v>18810</v>
      </c>
      <c r="N95" s="18" t="n">
        <v>39732</v>
      </c>
      <c r="O95" s="18" t="n">
        <v>-72568</v>
      </c>
      <c r="P95" s="37" t="n">
        <v>67648</v>
      </c>
      <c r="Q95" s="18" t="n">
        <v>75245</v>
      </c>
      <c r="R95" s="18" t="n">
        <v>52952</v>
      </c>
      <c r="S95" s="18" t="n">
        <v>-49871</v>
      </c>
      <c r="T95" s="18" t="n">
        <v>193313</v>
      </c>
      <c r="U95" s="37" t="n">
        <v>271639</v>
      </c>
      <c r="V95" s="18" t="n">
        <v>88297</v>
      </c>
      <c r="W95" s="18" t="n">
        <v>82989</v>
      </c>
      <c r="X95" s="18" t="n">
        <v>20103</v>
      </c>
      <c r="Y95" s="18" t="n">
        <v>9913</v>
      </c>
      <c r="Z95" s="37" t="n">
        <v>201302</v>
      </c>
      <c r="AA95" s="18" t="n">
        <v>127914</v>
      </c>
      <c r="AB95" s="19" t="n">
        <v>16407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파생상품이익</t>
        </is>
      </c>
      <c r="F96" s="9" t="n"/>
      <c r="G96" s="18" t="n">
        <v>52900</v>
      </c>
      <c r="H96" s="18" t="n">
        <v>99478</v>
      </c>
      <c r="I96" s="18" t="n">
        <v>133081</v>
      </c>
      <c r="J96" s="18" t="n">
        <v>-50817</v>
      </c>
      <c r="K96" s="37" t="n">
        <v>234642</v>
      </c>
      <c r="L96" s="18" t="n">
        <v>49521</v>
      </c>
      <c r="M96" s="18" t="n">
        <v>42124</v>
      </c>
      <c r="N96" s="18" t="n">
        <v>25241</v>
      </c>
      <c r="O96" s="18" t="n">
        <v>26081</v>
      </c>
      <c r="P96" s="37" t="n">
        <v>142967</v>
      </c>
      <c r="Q96" s="18" t="n">
        <v>77950</v>
      </c>
      <c r="R96" s="18" t="n">
        <v>53120</v>
      </c>
      <c r="S96" s="18" t="n">
        <v>11685</v>
      </c>
      <c r="T96" s="18" t="n">
        <v>78182</v>
      </c>
      <c r="U96" s="37" t="n">
        <v>220937</v>
      </c>
      <c r="V96" s="18" t="n">
        <v>108613</v>
      </c>
      <c r="W96" s="18" t="n">
        <v>184185</v>
      </c>
      <c r="X96" s="18" t="n">
        <v>-87178</v>
      </c>
      <c r="Y96" s="18" t="n">
        <v>74566</v>
      </c>
      <c r="Z96" s="37" t="n">
        <v>280186</v>
      </c>
      <c r="AA96" s="18" t="n">
        <v>73472</v>
      </c>
      <c r="AB96" s="19" t="n">
        <v>50788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파생상품손실</t>
        </is>
      </c>
      <c r="F97" s="9" t="n"/>
      <c r="G97" s="18" t="n">
        <v>69239</v>
      </c>
      <c r="H97" s="18" t="n">
        <v>255613</v>
      </c>
      <c r="I97" s="18" t="n">
        <v>242261</v>
      </c>
      <c r="J97" s="18" t="n">
        <v>-369668</v>
      </c>
      <c r="K97" s="37" t="n">
        <v>197445</v>
      </c>
      <c r="L97" s="18" t="n">
        <v>97929</v>
      </c>
      <c r="M97" s="18" t="n">
        <v>35665</v>
      </c>
      <c r="N97" s="18" t="n">
        <v>73516</v>
      </c>
      <c r="O97" s="18" t="n">
        <v>-55979</v>
      </c>
      <c r="P97" s="37" t="n">
        <v>151131</v>
      </c>
      <c r="Q97" s="18" t="n">
        <v>141624</v>
      </c>
      <c r="R97" s="18" t="n">
        <v>93354</v>
      </c>
      <c r="S97" s="18" t="n">
        <v>-81409</v>
      </c>
      <c r="T97" s="18" t="n">
        <v>236306</v>
      </c>
      <c r="U97" s="37" t="n">
        <v>389875</v>
      </c>
      <c r="V97" s="18" t="n">
        <v>123829</v>
      </c>
      <c r="W97" s="18" t="n">
        <v>32885</v>
      </c>
      <c r="X97" s="18" t="n">
        <v>40792</v>
      </c>
      <c r="Y97" s="18" t="n">
        <v>103249</v>
      </c>
      <c r="Z97" s="37" t="n">
        <v>300755</v>
      </c>
      <c r="AA97" s="18" t="n">
        <v>288806</v>
      </c>
      <c r="AB97" s="19" t="n">
        <v>204374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이자손익</t>
        </is>
      </c>
      <c r="F98" s="9" t="n"/>
      <c r="G98" s="18" t="n">
        <v>-67317</v>
      </c>
      <c r="H98" s="18" t="n">
        <v>-47012</v>
      </c>
      <c r="I98" s="18" t="n">
        <v>-54816</v>
      </c>
      <c r="J98" s="18" t="n">
        <v>-66176</v>
      </c>
      <c r="K98" s="37" t="n">
        <v>-235321</v>
      </c>
      <c r="L98" s="18" t="n">
        <v>-66035</v>
      </c>
      <c r="M98" s="18" t="n">
        <v>-64628</v>
      </c>
      <c r="N98" s="18" t="n">
        <v>-52570</v>
      </c>
      <c r="O98" s="18" t="n">
        <v>-57438</v>
      </c>
      <c r="P98" s="37" t="n">
        <v>-240671</v>
      </c>
      <c r="Q98" s="18" t="n">
        <v>-52529</v>
      </c>
      <c r="R98" s="18" t="n">
        <v>-50939</v>
      </c>
      <c r="S98" s="18" t="n">
        <v>-54066</v>
      </c>
      <c r="T98" s="18" t="n">
        <v>-62341</v>
      </c>
      <c r="U98" s="37" t="n">
        <v>-219875</v>
      </c>
      <c r="V98" s="18" t="n">
        <v>-59771</v>
      </c>
      <c r="W98" s="18" t="n">
        <v>-56754</v>
      </c>
      <c r="X98" s="18" t="n">
        <v>-64561</v>
      </c>
      <c r="Y98" s="18" t="n">
        <v>-58116</v>
      </c>
      <c r="Z98" s="37" t="n">
        <v>-239202</v>
      </c>
      <c r="AA98" s="18" t="n">
        <v>-58846</v>
      </c>
      <c r="AB98" s="19" t="n">
        <v>-67646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691487.4</v>
      </c>
      <c r="F99" s="9" t="n"/>
      <c r="G99" s="18" t="n">
        <v>-269827.27</v>
      </c>
      <c r="H99" s="18" t="n">
        <v>319975.05</v>
      </c>
      <c r="I99" s="18" t="n">
        <v>505198.46</v>
      </c>
      <c r="J99" s="18" t="n">
        <v>69731.48</v>
      </c>
      <c r="K99" s="37" t="n">
        <v>625077.72</v>
      </c>
      <c r="L99" s="18" t="n">
        <v>233046.24</v>
      </c>
      <c r="M99" s="18" t="n">
        <v>1025689.69</v>
      </c>
      <c r="N99" s="18" t="n">
        <v>153622.84</v>
      </c>
      <c r="O99" s="18" t="n">
        <v>658274.52</v>
      </c>
      <c r="P99" s="37" t="n">
        <v>2070633.29</v>
      </c>
      <c r="Q99" s="18" t="n">
        <v>344383.65</v>
      </c>
      <c r="R99" s="18" t="n">
        <v>-477065.35</v>
      </c>
      <c r="S99" s="18" t="n">
        <v>-815354.02</v>
      </c>
      <c r="T99" s="18" t="n">
        <v>1190239.72</v>
      </c>
      <c r="U99" s="37" t="n">
        <v>242204</v>
      </c>
      <c r="V99" s="18" t="n">
        <v>-572034</v>
      </c>
      <c r="W99" s="18" t="n">
        <v>-12808</v>
      </c>
      <c r="X99" s="18" t="n">
        <v>-60085</v>
      </c>
      <c r="Y99" s="18" t="n">
        <v>1396728</v>
      </c>
      <c r="Z99" s="37" t="n">
        <v>751801</v>
      </c>
      <c r="AA99" s="18" t="n">
        <v>-565522</v>
      </c>
      <c r="AB99" s="19" t="n">
        <v>-321130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E100" s="18" t="n">
        <v>5643.21</v>
      </c>
      <c r="F100" s="9" t="n"/>
      <c r="G100" s="18" t="n">
        <v>2457</v>
      </c>
      <c r="H100" s="18" t="n">
        <v>3476.25</v>
      </c>
      <c r="I100" s="18" t="n">
        <v>4392.67</v>
      </c>
      <c r="J100" s="18" t="n">
        <v>7686.58</v>
      </c>
      <c r="K100" s="37" t="n">
        <v>18012.5</v>
      </c>
      <c r="L100" s="18" t="n">
        <v>7085.48</v>
      </c>
      <c r="M100" s="18" t="n">
        <v>7617.81</v>
      </c>
      <c r="N100" s="18" t="n">
        <v>19064.14</v>
      </c>
      <c r="O100" s="18" t="n">
        <v>20440.44</v>
      </c>
      <c r="P100" s="37" t="n">
        <v>54207.87</v>
      </c>
      <c r="Q100" s="18" t="n">
        <v>26476.45</v>
      </c>
      <c r="R100" s="18" t="n">
        <v>28410.11</v>
      </c>
      <c r="S100" s="18" t="n">
        <v>15668.88</v>
      </c>
      <c r="T100" s="18" t="n">
        <v>20106.56</v>
      </c>
      <c r="U100" s="37" t="n">
        <v>90662</v>
      </c>
      <c r="V100" s="18" t="n">
        <v>17413</v>
      </c>
      <c r="W100" s="18" t="n">
        <v>20101</v>
      </c>
      <c r="X100" s="18" t="n">
        <v>27264</v>
      </c>
      <c r="Y100" s="18" t="n">
        <v>23078</v>
      </c>
      <c r="Z100" s="37" t="n">
        <v>87856</v>
      </c>
      <c r="AA100" s="18" t="n">
        <v>15388</v>
      </c>
      <c r="AB100" s="19" t="n">
        <v>16171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-90503.5</v>
      </c>
      <c r="F101" s="9" t="n"/>
      <c r="G101" s="18" t="n">
        <v>-63465.11</v>
      </c>
      <c r="H101" s="18" t="n">
        <v>-71102.49000000001</v>
      </c>
      <c r="I101" s="18" t="n">
        <v>-63050.56</v>
      </c>
      <c r="J101" s="18" t="n">
        <v>-82119.42999999999</v>
      </c>
      <c r="K101" s="37" t="n">
        <v>-279737.59</v>
      </c>
      <c r="L101" s="18" t="n">
        <v>-84161.85000000001</v>
      </c>
      <c r="M101" s="18" t="n">
        <v>-88532.25</v>
      </c>
      <c r="P101" s="9" t="n"/>
      <c r="Q101" s="18" t="n">
        <v>-90670.69</v>
      </c>
      <c r="R101" s="18" t="n">
        <v>-92267.66</v>
      </c>
      <c r="S101" s="18" t="n">
        <v>-95945.89999999999</v>
      </c>
      <c r="T101" s="18" t="n">
        <v>-104145.75</v>
      </c>
      <c r="U101" s="37" t="n">
        <v>-383030</v>
      </c>
      <c r="V101" s="18" t="n">
        <v>-104168</v>
      </c>
      <c r="W101" s="18" t="n">
        <v>-82034</v>
      </c>
      <c r="X101" s="18" t="n">
        <v>-98004</v>
      </c>
      <c r="Y101" s="18" t="n">
        <v>-88103</v>
      </c>
      <c r="Z101" s="37" t="n">
        <v>-372309</v>
      </c>
      <c r="AA101" s="18" t="n">
        <v>-81236</v>
      </c>
      <c r="AB101" s="19" t="n">
        <v>-88413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배당금수취(CF)</t>
        </is>
      </c>
      <c r="E102" s="18" t="n">
        <v>0</v>
      </c>
      <c r="F102" s="9" t="n"/>
      <c r="G102" s="18" t="n">
        <v>78</v>
      </c>
      <c r="H102" s="18" t="n">
        <v>3691.69</v>
      </c>
      <c r="I102" s="18" t="n">
        <v>567.53</v>
      </c>
      <c r="J102" s="18" t="n">
        <v>0</v>
      </c>
      <c r="K102" s="37" t="n">
        <v>4337.22</v>
      </c>
      <c r="L102" s="18" t="n">
        <v>2014.59</v>
      </c>
      <c r="M102" s="18" t="n">
        <v>2253.2</v>
      </c>
      <c r="N102" s="18" t="n">
        <v>1791.4</v>
      </c>
      <c r="O102" s="18" t="n">
        <v>64.13</v>
      </c>
      <c r="P102" s="37" t="n">
        <v>6123.32</v>
      </c>
      <c r="Q102" s="18" t="n">
        <v>2089.81</v>
      </c>
      <c r="R102" s="18" t="n">
        <v>1131.69</v>
      </c>
      <c r="S102" s="18" t="n">
        <v>395.76</v>
      </c>
      <c r="T102" s="18" t="n">
        <v>388.74</v>
      </c>
      <c r="U102" s="37" t="n">
        <v>4006</v>
      </c>
      <c r="V102" s="18" t="n">
        <v>850</v>
      </c>
      <c r="W102" s="18" t="n">
        <v>562</v>
      </c>
      <c r="X102" s="18" t="n">
        <v>998</v>
      </c>
      <c r="Y102" s="18" t="n">
        <v>101</v>
      </c>
      <c r="Z102" s="37" t="n">
        <v>2511</v>
      </c>
      <c r="AA102" s="18" t="n">
        <v>1280</v>
      </c>
      <c r="AB102" s="19" t="n">
        <v>217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-33710.82</v>
      </c>
      <c r="F103" s="9" t="n"/>
      <c r="G103" s="18" t="n">
        <v>-16652.38</v>
      </c>
      <c r="H103" s="18" t="n">
        <v>-91112.60000000001</v>
      </c>
      <c r="I103" s="18" t="n">
        <v>-84340.59</v>
      </c>
      <c r="J103" s="18" t="n">
        <v>-107600.73</v>
      </c>
      <c r="K103" s="37" t="n">
        <v>-299706.3</v>
      </c>
      <c r="L103" s="18" t="n">
        <v>-43821.27</v>
      </c>
      <c r="M103" s="18" t="n">
        <v>-144560.16</v>
      </c>
      <c r="N103" s="18" t="n">
        <v>-64151.35</v>
      </c>
      <c r="O103" s="18" t="n">
        <v>-96545.42</v>
      </c>
      <c r="P103" s="37" t="n">
        <v>-349078.2</v>
      </c>
      <c r="Q103" s="18" t="n">
        <v>-18834.99</v>
      </c>
      <c r="R103" s="18" t="n">
        <v>-191470.92</v>
      </c>
      <c r="S103" s="18" t="n">
        <v>-85138.63</v>
      </c>
      <c r="T103" s="18" t="n">
        <v>-21511.46</v>
      </c>
      <c r="U103" s="37" t="n">
        <v>-316956</v>
      </c>
      <c r="V103" s="18" t="n">
        <v>-53768</v>
      </c>
      <c r="W103" s="18" t="n">
        <v>-143996</v>
      </c>
      <c r="X103" s="18" t="n">
        <v>603</v>
      </c>
      <c r="Y103" s="18" t="n">
        <v>-16917</v>
      </c>
      <c r="Z103" s="37" t="n">
        <v>-214078</v>
      </c>
      <c r="AA103" s="18" t="n">
        <v>-33742</v>
      </c>
      <c r="AB103" s="19" t="n">
        <v>-101241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157755.36</v>
      </c>
      <c r="F104" s="9" t="n"/>
      <c r="G104" s="18" t="n">
        <v>185500.96</v>
      </c>
      <c r="H104" s="18" t="n">
        <v>-127940.49</v>
      </c>
      <c r="I104" s="18" t="n">
        <v>-46961.04</v>
      </c>
      <c r="J104" s="18" t="n">
        <v>-81729.98</v>
      </c>
      <c r="K104" s="37" t="n">
        <v>-71130.55</v>
      </c>
      <c r="L104" s="18" t="n">
        <v>-249734.64</v>
      </c>
      <c r="M104" s="18" t="n">
        <v>-109699.58</v>
      </c>
      <c r="N104" s="18" t="n">
        <v>-217970.98</v>
      </c>
      <c r="O104" s="18" t="n">
        <v>-239223.27</v>
      </c>
      <c r="P104" s="37" t="n">
        <v>-816628.47</v>
      </c>
      <c r="Q104" s="18" t="n">
        <v>-154250.07</v>
      </c>
      <c r="R104" s="18" t="n">
        <v>-186315.7</v>
      </c>
      <c r="S104" s="18" t="n">
        <v>-125953.82</v>
      </c>
      <c r="T104" s="18" t="n">
        <v>-354879.41</v>
      </c>
      <c r="U104" s="37" t="n">
        <v>-821399</v>
      </c>
      <c r="V104" s="18" t="n">
        <v>-150166</v>
      </c>
      <c r="W104" s="18" t="n">
        <v>-106593</v>
      </c>
      <c r="X104" s="18" t="n">
        <v>-205398</v>
      </c>
      <c r="Y104" s="18" t="n">
        <v>151586</v>
      </c>
      <c r="Z104" s="37" t="n">
        <v>-310571</v>
      </c>
      <c r="AA104" s="18" t="n">
        <v>-170805</v>
      </c>
      <c r="AB104" s="19" t="n">
        <v>-349054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13564.32</v>
      </c>
      <c r="F105" s="9" t="n"/>
      <c r="G105" s="18" t="n">
        <v>3311.65</v>
      </c>
      <c r="H105" s="18" t="n">
        <v>22505.98</v>
      </c>
      <c r="J105" s="18" t="n">
        <v>5274.6</v>
      </c>
      <c r="K105" s="9" t="n"/>
      <c r="L105" s="18" t="n">
        <v>411.03</v>
      </c>
      <c r="M105" s="18" t="n">
        <v>4545</v>
      </c>
      <c r="N105" s="18" t="n">
        <v>666.09</v>
      </c>
      <c r="O105" s="18" t="n">
        <v>3260.74</v>
      </c>
      <c r="P105" s="37" t="n">
        <v>8882.860000000001</v>
      </c>
      <c r="Q105" s="18" t="n">
        <v>1098.56</v>
      </c>
      <c r="R105" s="18" t="n">
        <v>4367.51</v>
      </c>
      <c r="S105" s="18" t="n">
        <v>1173.65</v>
      </c>
      <c r="T105" s="18" t="n">
        <v>2714.28</v>
      </c>
      <c r="U105" s="37" t="n">
        <v>9354</v>
      </c>
      <c r="V105" s="18" t="n">
        <v>4383</v>
      </c>
      <c r="X105" s="18" t="n">
        <v>1769</v>
      </c>
      <c r="Y105" s="18" t="n">
        <v>3253</v>
      </c>
      <c r="Z105" s="9" t="n"/>
      <c r="AA105" s="18" t="n">
        <v>1310</v>
      </c>
      <c r="AB105" s="19" t="n">
        <v>1022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80</v>
      </c>
      <c r="F106" s="9" t="n"/>
      <c r="J106" s="18" t="n">
        <v>73.38</v>
      </c>
      <c r="K106" s="9" t="n"/>
      <c r="N106" s="18" t="n">
        <v>1681.81</v>
      </c>
      <c r="O106" s="18" t="n">
        <v>26.57</v>
      </c>
      <c r="P106" s="9" t="n"/>
      <c r="S106" s="18" t="n">
        <v>0</v>
      </c>
      <c r="T106" s="18" t="n">
        <v>1399</v>
      </c>
      <c r="U106" s="9" t="n"/>
      <c r="V106" s="18" t="n">
        <v>302</v>
      </c>
      <c r="W106" s="18" t="n">
        <v>1090</v>
      </c>
      <c r="Y106" s="18" t="n">
        <v>55</v>
      </c>
      <c r="Z106" s="9" t="n"/>
      <c r="AA106" s="18" t="n">
        <v>60</v>
      </c>
      <c r="AB106" s="19" t="n">
        <v>435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111852.59</v>
      </c>
      <c r="F107" s="9" t="n"/>
      <c r="G107" s="18" t="n">
        <v>64044.24</v>
      </c>
      <c r="H107" s="18" t="n">
        <v>75168.59</v>
      </c>
      <c r="I107" s="18" t="n">
        <v>82299.78</v>
      </c>
      <c r="J107" s="18" t="n">
        <v>127191.49</v>
      </c>
      <c r="K107" s="37" t="n">
        <v>348704.1</v>
      </c>
      <c r="L107" s="18" t="n">
        <v>84735.36</v>
      </c>
      <c r="M107" s="18" t="n">
        <v>87812.61</v>
      </c>
      <c r="N107" s="18" t="n">
        <v>96794.49000000001</v>
      </c>
      <c r="O107" s="18" t="n">
        <v>126253.6</v>
      </c>
      <c r="P107" s="37" t="n">
        <v>395596.06</v>
      </c>
      <c r="Q107" s="18" t="n">
        <v>87641.41</v>
      </c>
      <c r="R107" s="18" t="n">
        <v>112202.88</v>
      </c>
      <c r="S107" s="18" t="n">
        <v>125837.54</v>
      </c>
      <c r="T107" s="18" t="n">
        <v>135815.17</v>
      </c>
      <c r="U107" s="37" t="n">
        <v>461497</v>
      </c>
      <c r="V107" s="18" t="n">
        <v>89838</v>
      </c>
      <c r="W107" s="18" t="n">
        <v>55944</v>
      </c>
      <c r="X107" s="18" t="n">
        <v>140259</v>
      </c>
      <c r="Y107" s="18" t="n">
        <v>117054</v>
      </c>
      <c r="Z107" s="37" t="n">
        <v>403095</v>
      </c>
      <c r="AA107" s="18" t="n">
        <v>115089</v>
      </c>
      <c r="AB107" s="19" t="n">
        <v>48651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183048.87</v>
      </c>
      <c r="F108" s="9" t="n"/>
      <c r="G108" s="18" t="n">
        <v>108015.16</v>
      </c>
      <c r="H108" s="18" t="n">
        <v>123777.78</v>
      </c>
      <c r="I108" s="18" t="n">
        <v>128281.83</v>
      </c>
      <c r="J108" s="18" t="n">
        <v>184636.06</v>
      </c>
      <c r="K108" s="37" t="n">
        <v>544710.83</v>
      </c>
      <c r="L108" s="18" t="n">
        <v>125145.94</v>
      </c>
      <c r="M108" s="18" t="n">
        <v>134067.78</v>
      </c>
      <c r="N108" s="18" t="n">
        <v>159386.51</v>
      </c>
      <c r="O108" s="18" t="n">
        <v>184593.07</v>
      </c>
      <c r="P108" s="37" t="n">
        <v>603193.3</v>
      </c>
      <c r="Q108" s="18" t="n">
        <v>128617.21</v>
      </c>
      <c r="R108" s="18" t="n">
        <v>161364.35</v>
      </c>
      <c r="S108" s="18" t="n">
        <v>159774.86</v>
      </c>
      <c r="T108" s="18" t="n">
        <v>203891.58</v>
      </c>
      <c r="U108" s="37" t="n">
        <v>653648</v>
      </c>
      <c r="V108" s="18" t="n">
        <v>131389</v>
      </c>
      <c r="W108" s="18" t="n">
        <v>142734</v>
      </c>
      <c r="X108" s="18" t="n">
        <v>233332</v>
      </c>
      <c r="Y108" s="18" t="n">
        <v>190656</v>
      </c>
      <c r="Z108" s="37" t="n">
        <v>698111</v>
      </c>
      <c r="AA108" s="18" t="n">
        <v>171431</v>
      </c>
      <c r="AB108" s="19" t="n">
        <v>103829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71196.28</v>
      </c>
      <c r="F109" s="9" t="n"/>
      <c r="G109" s="18" t="n">
        <v>43970.92</v>
      </c>
      <c r="H109" s="18" t="n">
        <v>48609.19</v>
      </c>
      <c r="I109" s="18" t="n">
        <v>45982.05</v>
      </c>
      <c r="J109" s="18" t="n">
        <v>57444.57</v>
      </c>
      <c r="K109" s="37" t="n">
        <v>196006.73</v>
      </c>
      <c r="L109" s="18" t="n">
        <v>40410.58</v>
      </c>
      <c r="M109" s="18" t="n">
        <v>46255.17</v>
      </c>
      <c r="N109" s="18" t="n">
        <v>62592.02</v>
      </c>
      <c r="O109" s="18" t="n">
        <v>58339.47</v>
      </c>
      <c r="P109" s="37" t="n">
        <v>207597.24</v>
      </c>
      <c r="Q109" s="18" t="n">
        <v>40975.8</v>
      </c>
      <c r="R109" s="18" t="n">
        <v>49161.47</v>
      </c>
      <c r="S109" s="18" t="n">
        <v>33937.32</v>
      </c>
      <c r="T109" s="18" t="n">
        <v>68076.41</v>
      </c>
      <c r="U109" s="37" t="n">
        <v>192151</v>
      </c>
      <c r="V109" s="18" t="n">
        <v>41551</v>
      </c>
      <c r="W109" s="18" t="n">
        <v>86790</v>
      </c>
      <c r="X109" s="18" t="n">
        <v>93073</v>
      </c>
      <c r="Y109" s="18" t="n">
        <v>73602</v>
      </c>
      <c r="Z109" s="37" t="n">
        <v>295016</v>
      </c>
      <c r="AA109" s="18" t="n">
        <v>56342</v>
      </c>
      <c r="AB109" s="19" t="n">
        <v>55178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-725298.89</v>
      </c>
      <c r="F110" s="9" t="n"/>
      <c r="G110" s="18" t="n">
        <v>-261633.54</v>
      </c>
      <c r="H110" s="18" t="n">
        <v>-700634.45</v>
      </c>
      <c r="I110" s="18" t="n">
        <v>-228278.38</v>
      </c>
      <c r="J110" s="18" t="n">
        <v>58093.74</v>
      </c>
      <c r="K110" s="37" t="n">
        <v>-1132452.63</v>
      </c>
      <c r="L110" s="18" t="n">
        <v>165390.92</v>
      </c>
      <c r="M110" s="18" t="n">
        <v>200327.56</v>
      </c>
      <c r="N110" s="18" t="n">
        <v>-410177.67</v>
      </c>
      <c r="O110" s="18" t="n">
        <v>-8477.290000000001</v>
      </c>
      <c r="P110" s="37" t="n">
        <v>-52936.48</v>
      </c>
      <c r="Q110" s="18" t="n">
        <v>38177.47</v>
      </c>
      <c r="R110" s="18" t="n">
        <v>278842.46</v>
      </c>
      <c r="S110" s="18" t="n">
        <v>718708.26</v>
      </c>
      <c r="T110" s="18" t="n">
        <v>-427306.19</v>
      </c>
      <c r="U110" s="37" t="n">
        <v>608422</v>
      </c>
      <c r="V110" s="18" t="n">
        <v>420526</v>
      </c>
      <c r="W110" s="18" t="n">
        <v>-107658</v>
      </c>
      <c r="X110" s="18" t="n">
        <v>401926</v>
      </c>
      <c r="Y110" s="18" t="n">
        <v>-1002739</v>
      </c>
      <c r="Z110" s="37" t="n">
        <v>-287945</v>
      </c>
      <c r="AA110" s="18" t="n">
        <v>666065</v>
      </c>
      <c r="AB110" s="19" t="n">
        <v>76716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사채의증가</t>
        </is>
      </c>
      <c r="E111" s="18" t="n">
        <v>14988.7</v>
      </c>
      <c r="F111" s="9" t="n"/>
      <c r="G111" s="18" t="n">
        <v>110000</v>
      </c>
      <c r="H111" s="18" t="n">
        <v>80000</v>
      </c>
      <c r="I111" s="18" t="n">
        <v>149740.03</v>
      </c>
      <c r="J111" s="18" t="n">
        <v>27417.07</v>
      </c>
      <c r="K111" s="37" t="n">
        <v>367157.1</v>
      </c>
      <c r="L111" s="18" t="n">
        <v>57000</v>
      </c>
      <c r="M111" s="18" t="n">
        <v>79671.25999999999</v>
      </c>
      <c r="N111" s="18" t="n">
        <v>372527</v>
      </c>
      <c r="O111" s="18" t="n">
        <v>0</v>
      </c>
      <c r="P111" s="37" t="n">
        <v>509198.26</v>
      </c>
      <c r="Q111" s="18" t="n">
        <v>177240.29</v>
      </c>
      <c r="R111" s="18" t="n">
        <v>66844.99000000001</v>
      </c>
      <c r="S111" s="18" t="n">
        <v>229285.71</v>
      </c>
      <c r="T111" s="18" t="n">
        <v>551.01</v>
      </c>
      <c r="U111" s="37" t="n">
        <v>473922</v>
      </c>
      <c r="V111" s="18" t="n">
        <v>55736</v>
      </c>
      <c r="W111" s="18" t="n">
        <v>128006</v>
      </c>
      <c r="X111" s="18" t="n">
        <v>61729</v>
      </c>
      <c r="Y111" s="18" t="n">
        <v>40763</v>
      </c>
      <c r="Z111" s="37" t="n">
        <v>286234</v>
      </c>
      <c r="AA111" s="18" t="n">
        <v>9980</v>
      </c>
      <c r="AB111" s="19" t="n">
        <v>9982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359225.3</v>
      </c>
      <c r="F112" s="9" t="n"/>
      <c r="G112" s="18" t="n">
        <v>500000</v>
      </c>
      <c r="H112" s="18" t="n">
        <v>1409482.17</v>
      </c>
      <c r="I112" s="18" t="n">
        <v>37025.79</v>
      </c>
      <c r="J112" s="18" t="n">
        <v>619867.6899999999</v>
      </c>
      <c r="K112" s="37" t="n">
        <v>2566375.65</v>
      </c>
      <c r="L112" s="18" t="n">
        <v>342331.24</v>
      </c>
      <c r="M112" s="18" t="n">
        <v>147539.3</v>
      </c>
      <c r="N112" s="18" t="n">
        <v>16043.05</v>
      </c>
      <c r="O112" s="18" t="n">
        <v>140152.34</v>
      </c>
      <c r="P112" s="37" t="n">
        <v>646065.9300000001</v>
      </c>
      <c r="Q112" s="18" t="n">
        <v>570000</v>
      </c>
      <c r="R112" s="18" t="n">
        <v>142067.5</v>
      </c>
      <c r="S112" s="18" t="n">
        <v>483477.21</v>
      </c>
      <c r="T112" s="18" t="n">
        <v>142964.29</v>
      </c>
      <c r="U112" s="37" t="n">
        <v>1338509</v>
      </c>
      <c r="V112" s="18" t="n">
        <v>619295</v>
      </c>
      <c r="X112" s="18" t="n">
        <v>70110</v>
      </c>
      <c r="Z112" s="9" t="n"/>
      <c r="AA112" s="18" t="n">
        <v>160000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287622.79</v>
      </c>
      <c r="F113" s="9" t="n"/>
      <c r="G113" s="18" t="n">
        <v>1935769.63</v>
      </c>
      <c r="H113" s="18" t="n">
        <v>241855.52</v>
      </c>
      <c r="I113" s="18" t="n">
        <v>190635.03</v>
      </c>
      <c r="J113" s="18" t="n">
        <v>28.29</v>
      </c>
      <c r="K113" s="37" t="n">
        <v>2368288.47</v>
      </c>
      <c r="L113" s="18" t="n">
        <v>22971.1</v>
      </c>
      <c r="M113" s="18" t="n">
        <v>188658.4</v>
      </c>
      <c r="N113" s="18" t="n">
        <v>17158.17</v>
      </c>
      <c r="O113" s="18" t="n">
        <v>13603.23</v>
      </c>
      <c r="P113" s="37" t="n">
        <v>242390.9</v>
      </c>
      <c r="Q113" s="18" t="n">
        <v>0</v>
      </c>
      <c r="R113" s="18" t="n">
        <v>0</v>
      </c>
      <c r="S113" s="18" t="n">
        <v>0</v>
      </c>
      <c r="T113" s="18" t="n">
        <v>0</v>
      </c>
      <c r="U113" s="37" t="n">
        <v>0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E114" s="18" t="n">
        <v>836013.09</v>
      </c>
      <c r="F114" s="9" t="n"/>
      <c r="G114" s="18" t="n">
        <v>346221.39</v>
      </c>
      <c r="H114" s="18" t="n">
        <v>127131.44</v>
      </c>
      <c r="I114" s="18" t="n">
        <v>12405.36</v>
      </c>
      <c r="J114" s="18" t="n">
        <v>432084.47</v>
      </c>
      <c r="K114" s="37" t="n">
        <v>917842.66</v>
      </c>
      <c r="L114" s="18" t="n">
        <v>113550.5</v>
      </c>
      <c r="M114" s="18" t="n">
        <v>15000</v>
      </c>
      <c r="N114" s="18" t="n">
        <v>504877.14</v>
      </c>
      <c r="O114" s="18" t="n">
        <v>102500</v>
      </c>
      <c r="P114" s="37" t="n">
        <v>735927.64</v>
      </c>
      <c r="Q114" s="18" t="n">
        <v>743000</v>
      </c>
      <c r="R114" s="18" t="n">
        <v>117500</v>
      </c>
      <c r="S114" s="18" t="n">
        <v>261063.36</v>
      </c>
      <c r="T114" s="18" t="n">
        <v>427399.64</v>
      </c>
      <c r="U114" s="37" t="n">
        <v>1548963</v>
      </c>
      <c r="V114" s="18" t="n">
        <v>52900</v>
      </c>
      <c r="W114" s="18" t="n">
        <v>177100</v>
      </c>
      <c r="Y114" s="18" t="n">
        <v>16250</v>
      </c>
      <c r="Z114" s="9" t="n"/>
      <c r="AA114" s="18" t="n">
        <v>153583</v>
      </c>
      <c r="AB114" s="19" t="n">
        <v>29584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23524.24</v>
      </c>
      <c r="F115" s="9" t="n"/>
      <c r="G115" s="18" t="n">
        <v>19001.42</v>
      </c>
      <c r="H115" s="18" t="n">
        <v>26700.82</v>
      </c>
      <c r="I115" s="18" t="n">
        <v>9748.52</v>
      </c>
      <c r="J115" s="18" t="n">
        <v>24055.71</v>
      </c>
      <c r="K115" s="37" t="n">
        <v>79506.47</v>
      </c>
      <c r="L115" s="18" t="n">
        <v>18610.11</v>
      </c>
      <c r="M115" s="18" t="n">
        <v>22363.11</v>
      </c>
      <c r="N115" s="18" t="n">
        <v>18010.72</v>
      </c>
      <c r="O115" s="18" t="n">
        <v>25169.71</v>
      </c>
      <c r="P115" s="37" t="n">
        <v>84153.64999999999</v>
      </c>
      <c r="Q115" s="18" t="n">
        <v>20373.78</v>
      </c>
      <c r="R115" s="18" t="n">
        <v>20760.88</v>
      </c>
      <c r="S115" s="18" t="n">
        <v>23131.57</v>
      </c>
      <c r="T115" s="18" t="n">
        <v>29800.77</v>
      </c>
      <c r="U115" s="37" t="n">
        <v>94067</v>
      </c>
      <c r="V115" s="18" t="n">
        <v>24723</v>
      </c>
      <c r="W115" s="18" t="n">
        <v>26626</v>
      </c>
      <c r="X115" s="18" t="n">
        <v>27173</v>
      </c>
      <c r="Y115" s="18" t="n">
        <v>30945</v>
      </c>
      <c r="Z115" s="37" t="n">
        <v>109467</v>
      </c>
      <c r="AA115" s="18" t="n">
        <v>25911</v>
      </c>
      <c r="AB115" s="19" t="n">
        <v>28465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E116" s="18" t="n">
        <v>0</v>
      </c>
      <c r="F116" s="9" t="n"/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현금및현금성자산의증감</t>
        </is>
      </c>
      <c r="E117" s="18" t="n">
        <v>103901.2</v>
      </c>
      <c r="F117" s="9" t="n"/>
      <c r="G117" s="18" t="n">
        <v>-320352.95</v>
      </c>
      <c r="H117" s="18" t="n">
        <v>-490837.54</v>
      </c>
      <c r="I117" s="18" t="n">
        <v>369611.48</v>
      </c>
      <c r="J117" s="18" t="n">
        <v>-71187.38</v>
      </c>
      <c r="K117" s="37" t="n">
        <v>-512766.39</v>
      </c>
      <c r="L117" s="18" t="n">
        <v>196057.84</v>
      </c>
      <c r="M117" s="18" t="n">
        <v>1132627.03</v>
      </c>
      <c r="N117" s="18" t="n">
        <v>-454345.21</v>
      </c>
      <c r="O117" s="18" t="n">
        <v>350009.73</v>
      </c>
      <c r="P117" s="37" t="n">
        <v>1224349.39</v>
      </c>
      <c r="Q117" s="18" t="n">
        <v>299912.81</v>
      </c>
      <c r="R117" s="18" t="n">
        <v>-334324.58</v>
      </c>
      <c r="S117" s="18" t="n">
        <v>-298168.3</v>
      </c>
      <c r="T117" s="18" t="n">
        <v>610691.0699999999</v>
      </c>
      <c r="U117" s="37" t="n">
        <v>278111</v>
      </c>
      <c r="V117" s="18" t="n">
        <v>-288638</v>
      </c>
      <c r="W117" s="18" t="n">
        <v>-335355</v>
      </c>
      <c r="X117" s="18" t="n">
        <v>129896</v>
      </c>
      <c r="Y117" s="18" t="n">
        <v>676796</v>
      </c>
      <c r="Z117" s="37" t="n">
        <v>182699</v>
      </c>
      <c r="AA117" s="18" t="n">
        <v>9533</v>
      </c>
      <c r="AB117" s="19" t="n">
        <v>-548642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기말현금및현금성자산</t>
        </is>
      </c>
      <c r="E118" s="18" t="n">
        <v>103901.2</v>
      </c>
      <c r="F118" s="9" t="n"/>
      <c r="G118" s="18" t="n">
        <v>1588251.04</v>
      </c>
      <c r="H118" s="18" t="n">
        <v>-490837.54</v>
      </c>
      <c r="I118" s="18" t="n">
        <v>369611.48</v>
      </c>
      <c r="J118" s="18" t="n">
        <v>-71187.38</v>
      </c>
      <c r="K118" s="37" t="n">
        <v>1395837.6</v>
      </c>
      <c r="L118" s="18" t="n">
        <v>1591895.43</v>
      </c>
      <c r="M118" s="18" t="n">
        <v>1132627.04</v>
      </c>
      <c r="N118" s="18" t="n">
        <v>-454345.21</v>
      </c>
      <c r="O118" s="18" t="n">
        <v>350009.72</v>
      </c>
      <c r="P118" s="37" t="n">
        <v>2620186.98</v>
      </c>
      <c r="Q118" s="18" t="n">
        <v>2920099.79</v>
      </c>
      <c r="R118" s="18" t="n">
        <v>-334324.57</v>
      </c>
      <c r="S118" s="18" t="n">
        <v>-298168.31</v>
      </c>
      <c r="T118" s="18" t="n">
        <v>610691.09</v>
      </c>
      <c r="U118" s="37" t="n">
        <v>2898298</v>
      </c>
      <c r="V118" s="18" t="n">
        <v>2609660</v>
      </c>
      <c r="W118" s="18" t="n">
        <v>-335355</v>
      </c>
      <c r="X118" s="18" t="n">
        <v>129896</v>
      </c>
      <c r="Y118" s="18" t="n">
        <v>676796</v>
      </c>
      <c r="Z118" s="37" t="n">
        <v>3080997</v>
      </c>
      <c r="AA118" s="18" t="n">
        <v>3090530</v>
      </c>
      <c r="AB118" s="19" t="n">
        <v>-548642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장기차입금의감소</t>
        </is>
      </c>
      <c r="F119" s="9" t="n"/>
      <c r="G119" s="18" t="n">
        <v>264.4</v>
      </c>
      <c r="H119" s="18" t="n">
        <v>1398398.16</v>
      </c>
      <c r="I119" s="18" t="n">
        <v>139746.7</v>
      </c>
      <c r="J119" s="18" t="n">
        <v>130625.53</v>
      </c>
      <c r="K119" s="37" t="n">
        <v>1669034.79</v>
      </c>
      <c r="L119" s="18" t="n">
        <v>68903.58</v>
      </c>
      <c r="M119" s="18" t="n">
        <v>104109.82</v>
      </c>
      <c r="N119" s="18" t="n">
        <v>213919.53</v>
      </c>
      <c r="O119" s="18" t="n">
        <v>3878.58</v>
      </c>
      <c r="P119" s="37" t="n">
        <v>390811.51</v>
      </c>
      <c r="Q119" s="18" t="n">
        <v>169156.77</v>
      </c>
      <c r="R119" s="18" t="n">
        <v>3223.79</v>
      </c>
      <c r="S119" s="18" t="n">
        <v>202808.55</v>
      </c>
      <c r="T119" s="18" t="n">
        <v>90043.89</v>
      </c>
      <c r="U119" s="37" t="n">
        <v>465233</v>
      </c>
      <c r="V119" s="18" t="n">
        <v>397326</v>
      </c>
      <c r="X119" s="18" t="n">
        <v>25737</v>
      </c>
      <c r="Y119" s="18" t="n">
        <v>382368</v>
      </c>
      <c r="Z119" s="9" t="n"/>
      <c r="AA119" s="18" t="n">
        <v>6154</v>
      </c>
      <c r="AB119" s="19" t="n">
        <v>26321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사채의감소</t>
        </is>
      </c>
      <c r="F120" s="9" t="n"/>
      <c r="I120" s="18" t="n">
        <v>11104.95</v>
      </c>
      <c r="J120" s="18" t="n">
        <v>7118.17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배당금지급</t>
        </is>
      </c>
      <c r="F121" s="9" t="n"/>
      <c r="I121" s="18" t="n">
        <v>32052.63</v>
      </c>
      <c r="K121" s="9" t="n"/>
      <c r="P121" s="9" t="n"/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단기차입금의증가</t>
        </is>
      </c>
      <c r="F122" s="9" t="n"/>
      <c r="K122" s="9" t="n"/>
      <c r="P122" s="9" t="n"/>
      <c r="Q122" s="18" t="n">
        <v>228125</v>
      </c>
      <c r="R122" s="18" t="n">
        <v>259807.97</v>
      </c>
      <c r="S122" s="18" t="n">
        <v>536197.23</v>
      </c>
      <c r="T122" s="18" t="n">
        <v>38738.8</v>
      </c>
      <c r="U122" s="37" t="n">
        <v>1062869</v>
      </c>
      <c r="V122" s="18" t="n">
        <v>209464</v>
      </c>
      <c r="X122" s="18" t="n">
        <v>291757</v>
      </c>
      <c r="Z122" s="9" t="n"/>
      <c r="AA122" s="18" t="n">
        <v>685152</v>
      </c>
      <c r="AB122" s="19" t="n">
        <v>331908</v>
      </c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3683979.65</v>
      </c>
      <c r="F5" s="37" t="n">
        <v>3683979.65</v>
      </c>
      <c r="G5" s="18" t="n">
        <v>3731421.48</v>
      </c>
      <c r="H5" s="18" t="n">
        <v>4024955.19</v>
      </c>
      <c r="I5" s="18" t="n">
        <v>4155125.57</v>
      </c>
      <c r="J5" s="18" t="n">
        <v>3537609.67</v>
      </c>
      <c r="K5" s="37" t="n">
        <v>3537609.67</v>
      </c>
      <c r="L5" s="18" t="n">
        <v>3623666.69</v>
      </c>
      <c r="M5" s="18" t="n">
        <v>4377781.43</v>
      </c>
      <c r="N5" s="18" t="n">
        <v>4034350.53</v>
      </c>
      <c r="O5" s="18" t="n">
        <v>4051761.9</v>
      </c>
      <c r="P5" s="37" t="n">
        <v>4051761.9</v>
      </c>
      <c r="Q5" s="18" t="n">
        <v>4186297.71</v>
      </c>
      <c r="R5" s="18" t="n">
        <v>4024291.88</v>
      </c>
      <c r="S5" s="18" t="n">
        <v>3961773.5</v>
      </c>
      <c r="T5" s="18" t="n">
        <v>4048371</v>
      </c>
      <c r="U5" s="37" t="n">
        <v>4048371</v>
      </c>
      <c r="V5" s="18" t="n">
        <v>4306084</v>
      </c>
      <c r="W5" s="18" t="n">
        <v>4154258</v>
      </c>
      <c r="X5" s="18" t="n">
        <v>4582507</v>
      </c>
      <c r="Y5" s="18" t="n">
        <v>4910318</v>
      </c>
      <c r="Z5" s="37" t="n">
        <v>4910318</v>
      </c>
      <c r="AA5" s="18" t="n">
        <v>5146742</v>
      </c>
      <c r="AB5" s="19" t="n">
        <v>5543025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423695.21</v>
      </c>
      <c r="F6" s="37" t="n">
        <v>423695.21</v>
      </c>
      <c r="G6" s="18" t="n">
        <v>193962.04</v>
      </c>
      <c r="H6" s="18" t="n">
        <v>270131.74</v>
      </c>
      <c r="I6" s="18" t="n">
        <v>458471.13</v>
      </c>
      <c r="J6" s="18" t="n">
        <v>307351.16</v>
      </c>
      <c r="K6" s="37" t="n">
        <v>307351.16</v>
      </c>
      <c r="L6" s="18" t="n">
        <v>251008.89</v>
      </c>
      <c r="M6" s="18" t="n">
        <v>1079473.67</v>
      </c>
      <c r="N6" s="18" t="n">
        <v>472850.36</v>
      </c>
      <c r="O6" s="18" t="n">
        <v>733013.6899999999</v>
      </c>
      <c r="P6" s="37" t="n">
        <v>733013.6899999999</v>
      </c>
      <c r="Q6" s="18" t="n">
        <v>666934.5600000001</v>
      </c>
      <c r="R6" s="18" t="n">
        <v>434503.47</v>
      </c>
      <c r="S6" s="18" t="n">
        <v>260735.4</v>
      </c>
      <c r="T6" s="18" t="n">
        <v>645087</v>
      </c>
      <c r="U6" s="37" t="n">
        <v>645087</v>
      </c>
      <c r="V6" s="18" t="n">
        <v>306065</v>
      </c>
      <c r="W6" s="18" t="n">
        <v>127071</v>
      </c>
      <c r="X6" s="18" t="n">
        <v>184653</v>
      </c>
      <c r="Y6" s="18" t="n">
        <v>760602</v>
      </c>
      <c r="Z6" s="37" t="n">
        <v>760602</v>
      </c>
      <c r="AA6" s="18" t="n">
        <v>543226</v>
      </c>
      <c r="AB6" s="19" t="n">
        <v>319656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446816.82</v>
      </c>
      <c r="F7" s="37" t="n">
        <v>446816.82</v>
      </c>
      <c r="G7" s="18" t="n">
        <v>236859.26</v>
      </c>
      <c r="H7" s="18" t="n">
        <v>119564.84</v>
      </c>
      <c r="I7" s="18" t="n">
        <v>124044.9</v>
      </c>
      <c r="J7" s="18" t="n">
        <v>84578.98</v>
      </c>
      <c r="K7" s="37" t="n">
        <v>84578.98</v>
      </c>
      <c r="L7" s="18" t="n">
        <v>55589.3</v>
      </c>
      <c r="M7" s="18" t="n">
        <v>57458.24</v>
      </c>
      <c r="N7" s="18" t="n">
        <v>75108.84</v>
      </c>
      <c r="O7" s="18" t="n">
        <v>72594.87</v>
      </c>
      <c r="P7" s="37" t="n">
        <v>72594.87</v>
      </c>
      <c r="Q7" s="18" t="n">
        <v>73710.74000000001</v>
      </c>
      <c r="R7" s="18" t="n">
        <v>48997.39</v>
      </c>
      <c r="S7" s="18" t="n">
        <v>49558.82</v>
      </c>
      <c r="T7" s="18" t="n">
        <v>49400</v>
      </c>
      <c r="U7" s="37" t="n">
        <v>49400</v>
      </c>
      <c r="V7" s="18" t="n">
        <v>44316</v>
      </c>
      <c r="W7" s="18" t="n">
        <v>46256</v>
      </c>
      <c r="X7" s="18" t="n">
        <v>45954</v>
      </c>
      <c r="Y7" s="18" t="n">
        <v>41745</v>
      </c>
      <c r="Z7" s="37" t="n">
        <v>41745</v>
      </c>
      <c r="AA7" s="18" t="n">
        <v>42782</v>
      </c>
      <c r="AB7" s="19" t="n">
        <v>43006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637724.61</v>
      </c>
      <c r="F8" s="37" t="n">
        <v>637724.61</v>
      </c>
      <c r="G8" s="18" t="n">
        <v>635193.27</v>
      </c>
      <c r="H8" s="18" t="n">
        <v>564747.9</v>
      </c>
      <c r="I8" s="18" t="n">
        <v>655686.54</v>
      </c>
      <c r="J8" s="18" t="n">
        <v>516617.55</v>
      </c>
      <c r="K8" s="37" t="n">
        <v>516617.55</v>
      </c>
      <c r="L8" s="18" t="n">
        <v>513929.88</v>
      </c>
      <c r="M8" s="18" t="n">
        <v>273077.84</v>
      </c>
      <c r="N8" s="18" t="n">
        <v>363369</v>
      </c>
      <c r="O8" s="18" t="n">
        <v>204461.71</v>
      </c>
      <c r="P8" s="37" t="n">
        <v>204461.71</v>
      </c>
      <c r="Q8" s="18" t="n">
        <v>282374.36</v>
      </c>
      <c r="R8" s="18" t="n">
        <v>349494.83</v>
      </c>
      <c r="S8" s="18" t="n">
        <v>325140.31</v>
      </c>
      <c r="T8" s="18" t="n">
        <v>248012</v>
      </c>
      <c r="U8" s="37" t="n">
        <v>248012</v>
      </c>
      <c r="V8" s="18" t="n">
        <v>230313</v>
      </c>
      <c r="W8" s="18" t="n">
        <v>147838</v>
      </c>
      <c r="X8" s="18" t="n">
        <v>171246</v>
      </c>
      <c r="Y8" s="18" t="n">
        <v>119634</v>
      </c>
      <c r="Z8" s="37" t="n">
        <v>119634</v>
      </c>
      <c r="AA8" s="18" t="n">
        <v>204269</v>
      </c>
      <c r="AB8" s="19" t="n">
        <v>259233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418825.89</v>
      </c>
      <c r="F9" s="37" t="n">
        <v>418825.89</v>
      </c>
      <c r="G9" s="18" t="n">
        <v>615432.65</v>
      </c>
      <c r="H9" s="18" t="n">
        <v>740555.6899999999</v>
      </c>
      <c r="I9" s="18" t="n">
        <v>677392.46</v>
      </c>
      <c r="J9" s="18" t="n">
        <v>757107.42</v>
      </c>
      <c r="K9" s="37" t="n">
        <v>757107.42</v>
      </c>
      <c r="L9" s="18" t="n">
        <v>931859.2</v>
      </c>
      <c r="M9" s="18" t="n">
        <v>1035261.7</v>
      </c>
      <c r="N9" s="18" t="n">
        <v>1184692.51</v>
      </c>
      <c r="O9" s="18" t="n">
        <v>978610.8100000001</v>
      </c>
      <c r="P9" s="37" t="n">
        <v>978610.8100000001</v>
      </c>
      <c r="Q9" s="18" t="n">
        <v>1143138.02</v>
      </c>
      <c r="R9" s="18" t="n">
        <v>923528.95</v>
      </c>
      <c r="S9" s="18" t="n">
        <v>1127886.29</v>
      </c>
      <c r="T9" s="18" t="n">
        <v>990147</v>
      </c>
      <c r="U9" s="37" t="n">
        <v>990147</v>
      </c>
      <c r="V9" s="18" t="n">
        <v>1072607</v>
      </c>
      <c r="W9" s="18" t="n">
        <v>1216499</v>
      </c>
      <c r="X9" s="18" t="n">
        <v>1383541</v>
      </c>
      <c r="Y9" s="18" t="n">
        <v>1452042</v>
      </c>
      <c r="Z9" s="37" t="n">
        <v>1452042</v>
      </c>
      <c r="AA9" s="18" t="n">
        <v>1507459</v>
      </c>
      <c r="AB9" s="19" t="n">
        <v>1612515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1297216.36</v>
      </c>
      <c r="F10" s="37" t="n">
        <v>1297216.36</v>
      </c>
      <c r="G10" s="18" t="n">
        <v>1347622.81</v>
      </c>
      <c r="H10" s="18" t="n">
        <v>1290134.41</v>
      </c>
      <c r="I10" s="18" t="n">
        <v>1222346.41</v>
      </c>
      <c r="J10" s="18" t="n">
        <v>970226.75</v>
      </c>
      <c r="K10" s="37" t="n">
        <v>970226.75</v>
      </c>
      <c r="L10" s="18" t="n">
        <v>938454.1800000001</v>
      </c>
      <c r="M10" s="18" t="n">
        <v>963461.1899999999</v>
      </c>
      <c r="N10" s="18" t="n">
        <v>1079691.63</v>
      </c>
      <c r="O10" s="18" t="n">
        <v>1259649.77</v>
      </c>
      <c r="P10" s="37" t="n">
        <v>1259649.77</v>
      </c>
      <c r="Q10" s="18" t="n">
        <v>1241807.11</v>
      </c>
      <c r="R10" s="18" t="n">
        <v>1387780.93</v>
      </c>
      <c r="S10" s="18" t="n">
        <v>1355902.44</v>
      </c>
      <c r="T10" s="18" t="n">
        <v>1345091</v>
      </c>
      <c r="U10" s="37" t="n">
        <v>1345091</v>
      </c>
      <c r="V10" s="18" t="n">
        <v>1539245</v>
      </c>
      <c r="W10" s="18" t="n">
        <v>1662052</v>
      </c>
      <c r="X10" s="18" t="n">
        <v>1552255</v>
      </c>
      <c r="Y10" s="18" t="n">
        <v>1524720</v>
      </c>
      <c r="Z10" s="37" t="n">
        <v>1524720</v>
      </c>
      <c r="AA10" s="18" t="n">
        <v>1762128</v>
      </c>
      <c r="AB10" s="19" t="n">
        <v>2221080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373337.56</v>
      </c>
      <c r="F11" s="37" t="n">
        <v>373337.56</v>
      </c>
      <c r="G11" s="18" t="n">
        <v>460509.05</v>
      </c>
      <c r="H11" s="18" t="n">
        <v>580780.91</v>
      </c>
      <c r="I11" s="18" t="n">
        <v>532117.26</v>
      </c>
      <c r="J11" s="18" t="n">
        <v>501387.14</v>
      </c>
      <c r="K11" s="37" t="n">
        <v>501387.14</v>
      </c>
      <c r="L11" s="18" t="n">
        <v>476453.35</v>
      </c>
      <c r="M11" s="18" t="n">
        <v>506059.44</v>
      </c>
      <c r="N11" s="18" t="n">
        <v>472044.98</v>
      </c>
      <c r="O11" s="18" t="n">
        <v>429084.44</v>
      </c>
      <c r="P11" s="37" t="n">
        <v>429084.44</v>
      </c>
      <c r="Q11" s="18" t="n">
        <v>381822.07</v>
      </c>
      <c r="R11" s="18" t="n">
        <v>430762.23</v>
      </c>
      <c r="S11" s="18" t="n">
        <v>383172.01</v>
      </c>
      <c r="T11" s="18" t="n">
        <v>328694</v>
      </c>
      <c r="U11" s="37" t="n">
        <v>328694</v>
      </c>
      <c r="V11" s="18" t="n">
        <v>338158</v>
      </c>
      <c r="W11" s="18" t="n">
        <v>335549</v>
      </c>
      <c r="X11" s="18" t="n">
        <v>425905</v>
      </c>
      <c r="Y11" s="18" t="n">
        <v>485334</v>
      </c>
      <c r="Z11" s="37" t="n">
        <v>485334</v>
      </c>
      <c r="AA11" s="18" t="n">
        <v>447490</v>
      </c>
      <c r="AB11" s="19" t="n">
        <v>429122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373337.56</v>
      </c>
      <c r="F12" s="37" t="n">
        <v>373337.56</v>
      </c>
      <c r="G12" s="18" t="n">
        <v>460509.05</v>
      </c>
      <c r="H12" s="18" t="n">
        <v>580780.91</v>
      </c>
      <c r="I12" s="18" t="n">
        <v>532117.26</v>
      </c>
      <c r="J12" s="18" t="n">
        <v>501387.14</v>
      </c>
      <c r="K12" s="37" t="n">
        <v>501387.14</v>
      </c>
      <c r="L12" s="18" t="n">
        <v>476453.35</v>
      </c>
      <c r="M12" s="18" t="n">
        <v>506059.44</v>
      </c>
      <c r="N12" s="18" t="n">
        <v>472044.98</v>
      </c>
      <c r="O12" s="18" t="n">
        <v>429084.44</v>
      </c>
      <c r="P12" s="37" t="n">
        <v>429084.44</v>
      </c>
      <c r="Q12" s="18" t="n">
        <v>381822.07</v>
      </c>
      <c r="R12" s="18" t="n">
        <v>430762.23</v>
      </c>
      <c r="S12" s="18" t="n">
        <v>383172.01</v>
      </c>
      <c r="T12" s="18" t="n">
        <v>328694</v>
      </c>
      <c r="U12" s="37" t="n">
        <v>328694</v>
      </c>
      <c r="V12" s="18" t="n">
        <v>338158</v>
      </c>
      <c r="W12" s="18" t="n">
        <v>335549</v>
      </c>
      <c r="X12" s="18" t="n">
        <v>425905</v>
      </c>
      <c r="Y12" s="18" t="n">
        <v>485334</v>
      </c>
      <c r="Z12" s="37" t="n">
        <v>485334</v>
      </c>
      <c r="AA12" s="18" t="n">
        <v>447490</v>
      </c>
      <c r="AB12" s="19" t="n">
        <v>429122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482562.41</v>
      </c>
      <c r="F13" s="37" t="n">
        <v>482562.41</v>
      </c>
      <c r="G13" s="18" t="n">
        <v>565702.37</v>
      </c>
      <c r="H13" s="18" t="n">
        <v>691902.47</v>
      </c>
      <c r="I13" s="18" t="n">
        <v>640899.52</v>
      </c>
      <c r="J13" s="18" t="n">
        <v>596080.05</v>
      </c>
      <c r="K13" s="37" t="n">
        <v>596080.05</v>
      </c>
      <c r="L13" s="18" t="n">
        <v>587745.5600000001</v>
      </c>
      <c r="M13" s="18" t="n">
        <v>624744.3100000001</v>
      </c>
      <c r="N13" s="18" t="n">
        <v>585743.75</v>
      </c>
      <c r="O13" s="18" t="n">
        <v>533538.6899999999</v>
      </c>
      <c r="P13" s="37" t="n">
        <v>533538.6899999999</v>
      </c>
      <c r="Q13" s="18" t="n">
        <v>498249.17</v>
      </c>
      <c r="R13" s="18" t="n">
        <v>548427.23</v>
      </c>
      <c r="S13" s="18" t="n">
        <v>505566.08</v>
      </c>
      <c r="T13" s="18" t="n">
        <v>446076</v>
      </c>
      <c r="U13" s="37" t="n">
        <v>446076</v>
      </c>
      <c r="V13" s="18" t="n">
        <v>480267</v>
      </c>
      <c r="W13" s="18" t="n">
        <v>470065</v>
      </c>
      <c r="X13" s="18" t="n">
        <v>557517</v>
      </c>
      <c r="Y13" s="18" t="n">
        <v>601669</v>
      </c>
      <c r="Z13" s="37" t="n">
        <v>601669</v>
      </c>
      <c r="AA13" s="18" t="n">
        <v>583747</v>
      </c>
      <c r="AB13" s="19" t="n">
        <v>560660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단기대여금</t>
        </is>
      </c>
      <c r="E14" s="18" t="n">
        <v>146163.47</v>
      </c>
      <c r="F14" s="37" t="n">
        <v>146163.47</v>
      </c>
      <c r="G14" s="18" t="n">
        <v>348292.85</v>
      </c>
      <c r="H14" s="18" t="n">
        <v>354657.92</v>
      </c>
      <c r="I14" s="18" t="n">
        <v>369206.91</v>
      </c>
      <c r="J14" s="18" t="n">
        <v>377110.99</v>
      </c>
      <c r="K14" s="37" t="n">
        <v>377110.99</v>
      </c>
      <c r="L14" s="18" t="n">
        <v>393385.1</v>
      </c>
      <c r="M14" s="18" t="n">
        <v>153741.79</v>
      </c>
      <c r="N14" s="18" t="n">
        <v>212733.65</v>
      </c>
      <c r="O14" s="18" t="n">
        <v>94473.05</v>
      </c>
      <c r="P14" s="37" t="n">
        <v>94473.05</v>
      </c>
      <c r="Q14" s="18" t="n">
        <v>140760.97</v>
      </c>
      <c r="R14" s="18" t="n">
        <v>215279.55</v>
      </c>
      <c r="S14" s="18" t="n">
        <v>227057.49</v>
      </c>
      <c r="T14" s="18" t="n">
        <v>84362</v>
      </c>
      <c r="U14" s="37" t="n">
        <v>84362</v>
      </c>
      <c r="V14" s="18" t="n">
        <v>77247</v>
      </c>
      <c r="W14" s="18" t="n">
        <v>64534</v>
      </c>
      <c r="X14" s="18" t="n">
        <v>71564</v>
      </c>
      <c r="Y14" s="18" t="n">
        <v>12032</v>
      </c>
      <c r="Z14" s="37" t="n">
        <v>12032</v>
      </c>
      <c r="AA14" s="18" t="n">
        <v>30792</v>
      </c>
      <c r="AB14" s="19" t="n">
        <v>37673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44744.32</v>
      </c>
      <c r="F15" s="37" t="n">
        <v>44744.32</v>
      </c>
      <c r="G15" s="18" t="n">
        <v>50041.16</v>
      </c>
      <c r="H15" s="18" t="n">
        <v>90525.14</v>
      </c>
      <c r="I15" s="18" t="n">
        <v>162434.73</v>
      </c>
      <c r="J15" s="18" t="n">
        <v>54927.58</v>
      </c>
      <c r="K15" s="37" t="n">
        <v>54927.58</v>
      </c>
      <c r="L15" s="18" t="n">
        <v>64955.48</v>
      </c>
      <c r="M15" s="18" t="n">
        <v>61877.81</v>
      </c>
      <c r="N15" s="18" t="n">
        <v>75526.50999999999</v>
      </c>
      <c r="O15" s="18" t="n">
        <v>37393.79</v>
      </c>
      <c r="P15" s="37" t="n">
        <v>37393.79</v>
      </c>
      <c r="Q15" s="18" t="n">
        <v>67902.64999999999</v>
      </c>
      <c r="R15" s="18" t="n">
        <v>85217.89</v>
      </c>
      <c r="S15" s="18" t="n">
        <v>48524</v>
      </c>
      <c r="T15" s="18" t="n">
        <v>114250</v>
      </c>
      <c r="U15" s="37" t="n">
        <v>114250</v>
      </c>
      <c r="V15" s="18" t="n">
        <v>108750</v>
      </c>
      <c r="W15" s="18" t="n">
        <v>37048</v>
      </c>
      <c r="X15" s="18" t="n">
        <v>53728</v>
      </c>
      <c r="Y15" s="18" t="n">
        <v>65857</v>
      </c>
      <c r="Z15" s="37" t="n">
        <v>65857</v>
      </c>
      <c r="AA15" s="18" t="n">
        <v>130695</v>
      </c>
      <c r="AB15" s="19" t="n">
        <v>178554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361059.87</v>
      </c>
      <c r="F16" s="37" t="n">
        <v>361059.87</v>
      </c>
      <c r="G16" s="18" t="n">
        <v>336326.98</v>
      </c>
      <c r="H16" s="18" t="n">
        <v>278501.23</v>
      </c>
      <c r="I16" s="18" t="n">
        <v>298286.37</v>
      </c>
      <c r="J16" s="18" t="n">
        <v>326311.36</v>
      </c>
      <c r="K16" s="37" t="n">
        <v>326311.36</v>
      </c>
      <c r="L16" s="18" t="n">
        <v>327472.95</v>
      </c>
      <c r="M16" s="18" t="n">
        <v>325100.34</v>
      </c>
      <c r="N16" s="18" t="n">
        <v>303856.78</v>
      </c>
      <c r="O16" s="18" t="n">
        <v>290947.64</v>
      </c>
      <c r="P16" s="37" t="n">
        <v>290947.64</v>
      </c>
      <c r="Q16" s="18" t="n">
        <v>331144.94</v>
      </c>
      <c r="R16" s="18" t="n">
        <v>364262.25</v>
      </c>
      <c r="S16" s="18" t="n">
        <v>370871.45</v>
      </c>
      <c r="T16" s="18" t="n">
        <v>335840</v>
      </c>
      <c r="U16" s="37" t="n">
        <v>335840</v>
      </c>
      <c r="V16" s="18" t="n">
        <v>660725</v>
      </c>
      <c r="W16" s="18" t="n">
        <v>457186</v>
      </c>
      <c r="X16" s="18" t="n">
        <v>493306</v>
      </c>
      <c r="Y16" s="18" t="n">
        <v>429105</v>
      </c>
      <c r="Z16" s="37" t="n">
        <v>429105</v>
      </c>
      <c r="AA16" s="18" t="n">
        <v>514031</v>
      </c>
      <c r="AB16" s="19" t="n">
        <v>529928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매각예정비유동자산및처분자산</t>
        </is>
      </c>
      <c r="E17" s="18" t="n">
        <v>42569.44</v>
      </c>
      <c r="F17" s="37" t="n">
        <v>42569.44</v>
      </c>
      <c r="G17" s="18" t="n">
        <v>12169.44</v>
      </c>
      <c r="H17" s="18" t="n">
        <v>127245.5</v>
      </c>
      <c r="I17" s="18" t="n">
        <v>11545.16</v>
      </c>
      <c r="J17" s="18" t="n">
        <v>1967.25</v>
      </c>
      <c r="K17" s="37" t="n">
        <v>1967.25</v>
      </c>
      <c r="L17" s="18" t="n">
        <v>23642.86</v>
      </c>
      <c r="M17" s="18" t="n">
        <v>23642.86</v>
      </c>
      <c r="N17" s="18" t="n">
        <v>23642.86</v>
      </c>
      <c r="O17" s="18" t="n">
        <v>33587.41</v>
      </c>
      <c r="P17" s="37" t="n">
        <v>33587.41</v>
      </c>
      <c r="Q17" s="18" t="n">
        <v>8456.049999999999</v>
      </c>
      <c r="R17" s="18" t="n">
        <v>1505.81</v>
      </c>
      <c r="S17" s="18" t="n">
        <v>1505.81</v>
      </c>
      <c r="T17" s="18" t="n">
        <v>1506</v>
      </c>
      <c r="U17" s="37" t="n">
        <v>1506</v>
      </c>
      <c r="V17" s="18" t="n">
        <v>1291</v>
      </c>
      <c r="W17" s="18" t="n">
        <v>0</v>
      </c>
      <c r="X17" s="18" t="n">
        <v>203038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비유동자산</t>
        </is>
      </c>
      <c r="E18" s="18" t="n">
        <v>10347891.47</v>
      </c>
      <c r="F18" s="37" t="n">
        <v>10347891.47</v>
      </c>
      <c r="G18" s="18" t="n">
        <v>10393593.52</v>
      </c>
      <c r="H18" s="18" t="n">
        <v>10192248.61</v>
      </c>
      <c r="I18" s="18" t="n">
        <v>10493475.59</v>
      </c>
      <c r="J18" s="18" t="n">
        <v>9651930.779999999</v>
      </c>
      <c r="K18" s="37" t="n">
        <v>9651930.779999999</v>
      </c>
      <c r="L18" s="18" t="n">
        <v>9838058.800000001</v>
      </c>
      <c r="M18" s="18" t="n">
        <v>9768162.68</v>
      </c>
      <c r="N18" s="18" t="n">
        <v>9766515.779999999</v>
      </c>
      <c r="O18" s="18" t="n">
        <v>9632747.09</v>
      </c>
      <c r="P18" s="37" t="n">
        <v>9632747.09</v>
      </c>
      <c r="Q18" s="18" t="n">
        <v>9711131.390000001</v>
      </c>
      <c r="R18" s="18" t="n">
        <v>9770506.52</v>
      </c>
      <c r="S18" s="18" t="n">
        <v>9777250.16</v>
      </c>
      <c r="T18" s="18" t="n">
        <v>9708503</v>
      </c>
      <c r="U18" s="37" t="n">
        <v>9708503</v>
      </c>
      <c r="V18" s="18" t="n">
        <v>9624371</v>
      </c>
      <c r="W18" s="18" t="n">
        <v>9799013</v>
      </c>
      <c r="X18" s="18" t="n">
        <v>9643867</v>
      </c>
      <c r="Y18" s="18" t="n">
        <v>9956057</v>
      </c>
      <c r="Z18" s="37" t="n">
        <v>9956057</v>
      </c>
      <c r="AA18" s="18" t="n">
        <v>9989650</v>
      </c>
      <c r="AB18" s="19" t="n">
        <v>10227684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199368.29</v>
      </c>
      <c r="F19" s="37" t="n">
        <v>199368.29</v>
      </c>
      <c r="G19" s="18" t="n">
        <v>205019.86</v>
      </c>
      <c r="H19" s="18" t="n">
        <v>219017.65</v>
      </c>
      <c r="I19" s="18" t="n">
        <v>238082.12</v>
      </c>
      <c r="J19" s="18" t="n">
        <v>209318.25</v>
      </c>
      <c r="K19" s="37" t="n">
        <v>209318.25</v>
      </c>
      <c r="L19" s="18" t="n">
        <v>212123.57</v>
      </c>
      <c r="M19" s="18" t="n">
        <v>201299.88</v>
      </c>
      <c r="N19" s="18" t="n">
        <v>193491.94</v>
      </c>
      <c r="O19" s="18" t="n">
        <v>176082.93</v>
      </c>
      <c r="P19" s="37" t="n">
        <v>176082.93</v>
      </c>
      <c r="Q19" s="18" t="n">
        <v>188575.48</v>
      </c>
      <c r="R19" s="18" t="n">
        <v>227775.77</v>
      </c>
      <c r="S19" s="18" t="n">
        <v>218576.27</v>
      </c>
      <c r="T19" s="18" t="n">
        <v>301918</v>
      </c>
      <c r="U19" s="37" t="n">
        <v>301918</v>
      </c>
      <c r="V19" s="18" t="n">
        <v>321554</v>
      </c>
      <c r="W19" s="18" t="n">
        <v>447841</v>
      </c>
      <c r="X19" s="18" t="n">
        <v>474434</v>
      </c>
      <c r="Y19" s="18" t="n">
        <v>346555</v>
      </c>
      <c r="Z19" s="37" t="n">
        <v>346555</v>
      </c>
      <c r="AA19" s="18" t="n">
        <v>339668</v>
      </c>
      <c r="AB19" s="19" t="n">
        <v>354175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5614808.3</v>
      </c>
      <c r="F20" s="37" t="n">
        <v>5614808.3</v>
      </c>
      <c r="G20" s="18" t="n">
        <v>5650814.13</v>
      </c>
      <c r="H20" s="18" t="n">
        <v>5460625.41</v>
      </c>
      <c r="I20" s="18" t="n">
        <v>5752141.49</v>
      </c>
      <c r="J20" s="18" t="n">
        <v>4788334.19</v>
      </c>
      <c r="K20" s="37" t="n">
        <v>4788334.19</v>
      </c>
      <c r="L20" s="18" t="n">
        <v>4994808.25</v>
      </c>
      <c r="M20" s="18" t="n">
        <v>5001156.88</v>
      </c>
      <c r="N20" s="18" t="n">
        <v>4963556.44</v>
      </c>
      <c r="O20" s="18" t="n">
        <v>4772350.28</v>
      </c>
      <c r="P20" s="37" t="n">
        <v>4772350.28</v>
      </c>
      <c r="Q20" s="18" t="n">
        <v>4843861.37</v>
      </c>
      <c r="R20" s="18" t="n">
        <v>4910078.79</v>
      </c>
      <c r="S20" s="18" t="n">
        <v>4923755.65</v>
      </c>
      <c r="T20" s="18" t="n">
        <v>4708227</v>
      </c>
      <c r="U20" s="37" t="n">
        <v>4708227</v>
      </c>
      <c r="V20" s="18" t="n">
        <v>4617892</v>
      </c>
      <c r="W20" s="18" t="n">
        <v>4791270</v>
      </c>
      <c r="X20" s="18" t="n">
        <v>4614472</v>
      </c>
      <c r="Y20" s="18" t="n">
        <v>4747740</v>
      </c>
      <c r="Z20" s="37" t="n">
        <v>4747740</v>
      </c>
      <c r="AA20" s="18" t="n">
        <v>4755685</v>
      </c>
      <c r="AB20" s="19" t="n">
        <v>4972683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5349988.2</v>
      </c>
      <c r="F21" s="37" t="n">
        <v>5349988.2</v>
      </c>
      <c r="G21" s="18" t="n">
        <v>5374338.8</v>
      </c>
      <c r="H21" s="18" t="n">
        <v>5126704.28</v>
      </c>
      <c r="I21" s="18" t="n">
        <v>5343994.62</v>
      </c>
      <c r="J21" s="18" t="n">
        <v>4499041.75</v>
      </c>
      <c r="K21" s="37" t="n">
        <v>4499041.75</v>
      </c>
      <c r="L21" s="18" t="n">
        <v>4545014.92</v>
      </c>
      <c r="M21" s="18" t="n">
        <v>4561072.97</v>
      </c>
      <c r="N21" s="18" t="n">
        <v>4525296.42</v>
      </c>
      <c r="O21" s="18" t="n">
        <v>4302259.36</v>
      </c>
      <c r="P21" s="37" t="n">
        <v>4302259.36</v>
      </c>
      <c r="Q21" s="18" t="n">
        <v>4335337.61</v>
      </c>
      <c r="R21" s="18" t="n">
        <v>4346737.61</v>
      </c>
      <c r="S21" s="18" t="n">
        <v>4347997.61</v>
      </c>
      <c r="T21" s="18" t="n">
        <v>4071935</v>
      </c>
      <c r="U21" s="37" t="n">
        <v>4071935</v>
      </c>
      <c r="V21" s="18" t="n">
        <v>4072795</v>
      </c>
      <c r="W21" s="18" t="n">
        <v>4074435</v>
      </c>
      <c r="X21" s="18" t="n">
        <v>3869105</v>
      </c>
      <c r="Y21" s="18" t="n">
        <v>4216247</v>
      </c>
      <c r="Z21" s="37" t="n">
        <v>4216247</v>
      </c>
      <c r="AA21" s="18" t="n">
        <v>4218027</v>
      </c>
      <c r="AB21" s="19" t="n">
        <v>4221287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44758.9</v>
      </c>
      <c r="F22" s="37" t="n">
        <v>44758.9</v>
      </c>
      <c r="G22" s="18" t="n">
        <v>46249.15</v>
      </c>
      <c r="H22" s="18" t="n">
        <v>51733.54</v>
      </c>
      <c r="I22" s="18" t="n">
        <v>51678.33</v>
      </c>
      <c r="J22" s="18" t="n">
        <v>39434.96</v>
      </c>
      <c r="K22" s="37" t="n">
        <v>39434.96</v>
      </c>
      <c r="L22" s="18" t="n">
        <v>191785.65</v>
      </c>
      <c r="M22" s="18" t="n">
        <v>196107.76</v>
      </c>
      <c r="N22" s="18" t="n">
        <v>198266.57</v>
      </c>
      <c r="O22" s="18" t="n">
        <v>268159.19</v>
      </c>
      <c r="P22" s="37" t="n">
        <v>268159.19</v>
      </c>
      <c r="Q22" s="18" t="n">
        <v>299397.97</v>
      </c>
      <c r="R22" s="18" t="n">
        <v>308634.46</v>
      </c>
      <c r="S22" s="18" t="n">
        <v>347565.01</v>
      </c>
      <c r="T22" s="18" t="n">
        <v>320837</v>
      </c>
      <c r="U22" s="37" t="n">
        <v>320837</v>
      </c>
      <c r="V22" s="18" t="n">
        <v>212564</v>
      </c>
      <c r="W22" s="18" t="n">
        <v>239943</v>
      </c>
      <c r="X22" s="18" t="n">
        <v>226012</v>
      </c>
      <c r="Y22" s="18" t="n">
        <v>122285</v>
      </c>
      <c r="Z22" s="37" t="n">
        <v>122285</v>
      </c>
      <c r="AA22" s="18" t="n">
        <v>106144</v>
      </c>
      <c r="AB22" s="19" t="n">
        <v>158815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3309494.89</v>
      </c>
      <c r="F23" s="37" t="n">
        <v>3309494.89</v>
      </c>
      <c r="G23" s="18" t="n">
        <v>3287673.22</v>
      </c>
      <c r="H23" s="18" t="n">
        <v>3272493.02</v>
      </c>
      <c r="I23" s="18" t="n">
        <v>3258987.24</v>
      </c>
      <c r="J23" s="18" t="n">
        <v>3152146.63</v>
      </c>
      <c r="K23" s="37" t="n">
        <v>3152146.63</v>
      </c>
      <c r="L23" s="18" t="n">
        <v>3148703.86</v>
      </c>
      <c r="M23" s="18" t="n">
        <v>3141078.21</v>
      </c>
      <c r="N23" s="18" t="n">
        <v>3131315.65</v>
      </c>
      <c r="O23" s="18" t="n">
        <v>3151464.89</v>
      </c>
      <c r="P23" s="37" t="n">
        <v>3151464.89</v>
      </c>
      <c r="Q23" s="18" t="n">
        <v>3140276.48</v>
      </c>
      <c r="R23" s="18" t="n">
        <v>3135273.94</v>
      </c>
      <c r="S23" s="18" t="n">
        <v>3139029.84</v>
      </c>
      <c r="T23" s="18" t="n">
        <v>3152671</v>
      </c>
      <c r="U23" s="37" t="n">
        <v>3152671</v>
      </c>
      <c r="V23" s="18" t="n">
        <v>3138421</v>
      </c>
      <c r="W23" s="18" t="n">
        <v>3135148</v>
      </c>
      <c r="X23" s="18" t="n">
        <v>3145939</v>
      </c>
      <c r="Y23" s="18" t="n">
        <v>3171422</v>
      </c>
      <c r="Z23" s="37" t="n">
        <v>3171422</v>
      </c>
      <c r="AA23" s="18" t="n">
        <v>3211132</v>
      </c>
      <c r="AB23" s="19" t="n">
        <v>3226375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974589.54</v>
      </c>
      <c r="F24" s="37" t="n">
        <v>974589.54</v>
      </c>
      <c r="G24" s="18" t="n">
        <v>992294.4300000001</v>
      </c>
      <c r="H24" s="18" t="n">
        <v>1013556.26</v>
      </c>
      <c r="I24" s="18" t="n">
        <v>1029539.21</v>
      </c>
      <c r="J24" s="18" t="n">
        <v>1002660.78</v>
      </c>
      <c r="K24" s="37" t="n">
        <v>1002660.78</v>
      </c>
      <c r="L24" s="18" t="n">
        <v>1024189.83</v>
      </c>
      <c r="M24" s="18" t="n">
        <v>1055101.69</v>
      </c>
      <c r="N24" s="18" t="n">
        <v>1086660.03</v>
      </c>
      <c r="O24" s="18" t="n">
        <v>1113633.69</v>
      </c>
      <c r="P24" s="37" t="n">
        <v>1113633.69</v>
      </c>
      <c r="Q24" s="18" t="n">
        <v>1135970.51</v>
      </c>
      <c r="R24" s="18" t="n">
        <v>1158327.31</v>
      </c>
      <c r="S24" s="18" t="n">
        <v>1169356.72</v>
      </c>
      <c r="T24" s="18" t="n">
        <v>1214831</v>
      </c>
      <c r="U24" s="37" t="n">
        <v>1214831</v>
      </c>
      <c r="V24" s="18" t="n">
        <v>1235632</v>
      </c>
      <c r="W24" s="18" t="n">
        <v>1262229</v>
      </c>
      <c r="X24" s="18" t="n">
        <v>1275193</v>
      </c>
      <c r="Y24" s="18" t="n">
        <v>1287875</v>
      </c>
      <c r="Z24" s="37" t="n">
        <v>1287875</v>
      </c>
      <c r="AA24" s="18" t="n">
        <v>1292723</v>
      </c>
      <c r="AB24" s="19" t="n">
        <v>1302982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79533.75999999999</v>
      </c>
      <c r="F25" s="37" t="n">
        <v>79533.75999999999</v>
      </c>
      <c r="G25" s="18" t="n">
        <v>79113.72</v>
      </c>
      <c r="H25" s="18" t="n">
        <v>78150.69</v>
      </c>
      <c r="I25" s="18" t="n">
        <v>86455.41</v>
      </c>
      <c r="J25" s="18" t="n">
        <v>159698.02</v>
      </c>
      <c r="K25" s="37" t="n">
        <v>159698.02</v>
      </c>
      <c r="L25" s="18" t="n">
        <v>136652.59</v>
      </c>
      <c r="M25" s="18" t="n">
        <v>135289.01</v>
      </c>
      <c r="N25" s="18" t="n">
        <v>133894.23</v>
      </c>
      <c r="O25" s="18" t="n">
        <v>93373.2</v>
      </c>
      <c r="P25" s="37" t="n">
        <v>93373.2</v>
      </c>
      <c r="Q25" s="18" t="n">
        <v>94091.78</v>
      </c>
      <c r="R25" s="18" t="n">
        <v>92634.99000000001</v>
      </c>
      <c r="S25" s="18" t="n">
        <v>91162.37</v>
      </c>
      <c r="T25" s="18" t="n">
        <v>113710</v>
      </c>
      <c r="U25" s="37" t="n">
        <v>113710</v>
      </c>
      <c r="V25" s="18" t="n">
        <v>112269</v>
      </c>
      <c r="W25" s="18" t="n">
        <v>110812</v>
      </c>
      <c r="X25" s="18" t="n">
        <v>109340</v>
      </c>
      <c r="Y25" s="18" t="n">
        <v>104282</v>
      </c>
      <c r="Z25" s="37" t="n">
        <v>104282</v>
      </c>
      <c r="AA25" s="18" t="n">
        <v>103017</v>
      </c>
      <c r="AB25" s="19" t="n">
        <v>97230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비유동확정계약자산</t>
        </is>
      </c>
      <c r="E26" s="18" t="n">
        <v>20692.91</v>
      </c>
      <c r="F26" s="37" t="n">
        <v>20692.91</v>
      </c>
      <c r="G26" s="18" t="n">
        <v>25206.32</v>
      </c>
      <c r="H26" s="18" t="n">
        <v>63169.94</v>
      </c>
      <c r="I26" s="18" t="n">
        <v>118386.42</v>
      </c>
      <c r="J26" s="18" t="n">
        <v>40539.23</v>
      </c>
      <c r="K26" s="37" t="n">
        <v>40539.23</v>
      </c>
      <c r="L26" s="18" t="n">
        <v>45884.11</v>
      </c>
      <c r="M26" s="18" t="n">
        <v>42676.27</v>
      </c>
      <c r="N26" s="18" t="n">
        <v>46501.51</v>
      </c>
      <c r="O26" s="18" t="n">
        <v>25848.8</v>
      </c>
      <c r="P26" s="37" t="n">
        <v>25848.8</v>
      </c>
      <c r="Q26" s="18" t="n">
        <v>20550.31</v>
      </c>
      <c r="R26" s="18" t="n">
        <v>26930.95</v>
      </c>
      <c r="S26" s="18" t="n">
        <v>9616.76</v>
      </c>
      <c r="T26" s="18" t="n">
        <v>13537</v>
      </c>
      <c r="U26" s="37" t="n">
        <v>13537</v>
      </c>
      <c r="V26" s="18" t="n">
        <v>10979</v>
      </c>
      <c r="W26" s="18" t="n">
        <v>29051</v>
      </c>
      <c r="X26" s="18" t="n">
        <v>44921</v>
      </c>
      <c r="Y26" s="18" t="n">
        <v>62653</v>
      </c>
      <c r="Z26" s="37" t="n">
        <v>62653</v>
      </c>
      <c r="AA26" s="18" t="n">
        <v>91846</v>
      </c>
      <c r="AB26" s="19" t="n">
        <v>238406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이연법인세자산</t>
        </is>
      </c>
      <c r="E27" s="18" t="n">
        <v>180001.25</v>
      </c>
      <c r="F27" s="37" t="n">
        <v>180001.25</v>
      </c>
      <c r="G27" s="18" t="n">
        <v>180001.25</v>
      </c>
      <c r="H27" s="18" t="n">
        <v>180001.25</v>
      </c>
      <c r="I27" s="18" t="n">
        <v>180001.25</v>
      </c>
      <c r="J27" s="18" t="n">
        <v>345731.25</v>
      </c>
      <c r="K27" s="37" t="n">
        <v>345731.25</v>
      </c>
      <c r="L27" s="18" t="n">
        <v>345731.25</v>
      </c>
      <c r="M27" s="18" t="n">
        <v>345731.25</v>
      </c>
      <c r="N27" s="18" t="n">
        <v>345731.25</v>
      </c>
      <c r="O27" s="18" t="n">
        <v>427399.45</v>
      </c>
      <c r="P27" s="37" t="n">
        <v>427399.45</v>
      </c>
      <c r="Q27" s="18" t="n">
        <v>416544.7</v>
      </c>
      <c r="R27" s="18" t="n">
        <v>405715.93</v>
      </c>
      <c r="S27" s="18" t="n">
        <v>385598.09</v>
      </c>
      <c r="T27" s="18" t="n">
        <v>448269</v>
      </c>
      <c r="U27" s="37" t="n">
        <v>448269</v>
      </c>
      <c r="V27" s="18" t="n">
        <v>448269</v>
      </c>
      <c r="W27" s="18" t="n">
        <v>408192</v>
      </c>
      <c r="X27" s="18" t="n">
        <v>424011</v>
      </c>
      <c r="Y27" s="18" t="n">
        <v>547449</v>
      </c>
      <c r="Z27" s="37" t="n">
        <v>547449</v>
      </c>
      <c r="AA27" s="18" t="n">
        <v>533814</v>
      </c>
      <c r="AB27" s="19" t="n">
        <v>514926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78983.60000000001</v>
      </c>
      <c r="F28" s="37" t="n">
        <v>78983.60000000001</v>
      </c>
      <c r="G28" s="18" t="n">
        <v>88828.19</v>
      </c>
      <c r="H28" s="18" t="n">
        <v>39441.36</v>
      </c>
      <c r="I28" s="18" t="n">
        <v>43547.84</v>
      </c>
      <c r="J28" s="18" t="n">
        <v>36690.65</v>
      </c>
      <c r="K28" s="37" t="n">
        <v>36690.65</v>
      </c>
      <c r="L28" s="18" t="n">
        <v>34045.87</v>
      </c>
      <c r="M28" s="18" t="n">
        <v>39404.31</v>
      </c>
      <c r="N28" s="18" t="n">
        <v>43824.72</v>
      </c>
      <c r="O28" s="18" t="n">
        <v>47239.1</v>
      </c>
      <c r="P28" s="37" t="n">
        <v>47239.1</v>
      </c>
      <c r="Q28" s="18" t="n">
        <v>48490.68</v>
      </c>
      <c r="R28" s="18" t="n">
        <v>54105.63</v>
      </c>
      <c r="S28" s="18" t="n">
        <v>53132.36</v>
      </c>
      <c r="T28" s="18" t="n">
        <v>45985</v>
      </c>
      <c r="U28" s="37" t="n">
        <v>45985</v>
      </c>
      <c r="V28" s="18" t="n">
        <v>39617</v>
      </c>
      <c r="W28" s="18" t="n">
        <v>40712</v>
      </c>
      <c r="X28" s="18" t="n">
        <v>41625</v>
      </c>
      <c r="Y28" s="18" t="n">
        <v>40014</v>
      </c>
      <c r="Z28" s="37" t="n">
        <v>40014</v>
      </c>
      <c r="AA28" s="18" t="n">
        <v>46227</v>
      </c>
      <c r="AB28" s="19" t="n">
        <v>63064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자산총계</t>
        </is>
      </c>
      <c r="E29" s="18" t="n">
        <v>14031871.12</v>
      </c>
      <c r="F29" s="37" t="n">
        <v>14031871.12</v>
      </c>
      <c r="G29" s="18" t="n">
        <v>14125015</v>
      </c>
      <c r="H29" s="18" t="n">
        <v>14217203.81</v>
      </c>
      <c r="I29" s="18" t="n">
        <v>14648601.16</v>
      </c>
      <c r="J29" s="18" t="n">
        <v>13189540.46</v>
      </c>
      <c r="K29" s="37" t="n">
        <v>13189540.46</v>
      </c>
      <c r="L29" s="18" t="n">
        <v>13461725.49</v>
      </c>
      <c r="M29" s="18" t="n">
        <v>14145944.11</v>
      </c>
      <c r="N29" s="18" t="n">
        <v>13800866.3</v>
      </c>
      <c r="O29" s="18" t="n">
        <v>13684508.99</v>
      </c>
      <c r="P29" s="37" t="n">
        <v>13684508.99</v>
      </c>
      <c r="Q29" s="18" t="n">
        <v>13897429.1</v>
      </c>
      <c r="R29" s="18" t="n">
        <v>13794798.39</v>
      </c>
      <c r="S29" s="18" t="n">
        <v>13739023.66</v>
      </c>
      <c r="T29" s="18" t="n">
        <v>13756874</v>
      </c>
      <c r="U29" s="37" t="n">
        <v>13756874</v>
      </c>
      <c r="V29" s="18" t="n">
        <v>13930455</v>
      </c>
      <c r="W29" s="18" t="n">
        <v>13953271</v>
      </c>
      <c r="X29" s="18" t="n">
        <v>14226374</v>
      </c>
      <c r="Y29" s="18" t="n">
        <v>14866375</v>
      </c>
      <c r="Z29" s="37" t="n">
        <v>14866375</v>
      </c>
      <c r="AA29" s="18" t="n">
        <v>15136392</v>
      </c>
      <c r="AB29" s="19" t="n">
        <v>15770709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유동부채</t>
        </is>
      </c>
      <c r="E30" s="18" t="n">
        <v>7143995.57</v>
      </c>
      <c r="F30" s="37" t="n">
        <v>7143995.57</v>
      </c>
      <c r="G30" s="18" t="n">
        <v>5316506.01</v>
      </c>
      <c r="H30" s="18" t="n">
        <v>5251515.1</v>
      </c>
      <c r="I30" s="18" t="n">
        <v>5924784.8</v>
      </c>
      <c r="J30" s="18" t="n">
        <v>5059304.93</v>
      </c>
      <c r="K30" s="37" t="n">
        <v>5059304.93</v>
      </c>
      <c r="L30" s="18" t="n">
        <v>5508610.71</v>
      </c>
      <c r="M30" s="18" t="n">
        <v>6336493.85</v>
      </c>
      <c r="N30" s="18" t="n">
        <v>5855819.37</v>
      </c>
      <c r="O30" s="18" t="n">
        <v>6317892.58</v>
      </c>
      <c r="P30" s="37" t="n">
        <v>6317892.58</v>
      </c>
      <c r="Q30" s="18" t="n">
        <v>5999839.4</v>
      </c>
      <c r="R30" s="18" t="n">
        <v>5798918.86</v>
      </c>
      <c r="S30" s="18" t="n">
        <v>5586639.95</v>
      </c>
      <c r="T30" s="18" t="n">
        <v>5687590</v>
      </c>
      <c r="U30" s="37" t="n">
        <v>5687590</v>
      </c>
      <c r="V30" s="18" t="n">
        <v>5817113</v>
      </c>
      <c r="W30" s="18" t="n">
        <v>5303394</v>
      </c>
      <c r="X30" s="18" t="n">
        <v>5924505</v>
      </c>
      <c r="Y30" s="18" t="n">
        <v>6393638</v>
      </c>
      <c r="Z30" s="37" t="n">
        <v>6393638</v>
      </c>
      <c r="AA30" s="18" t="n">
        <v>6967862</v>
      </c>
      <c r="AB30" s="19" t="n">
        <v>7566321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18" t="n">
        <v>1351223.17</v>
      </c>
      <c r="F31" s="37" t="n">
        <v>1351223.17</v>
      </c>
      <c r="G31" s="18" t="n">
        <v>1315615.27</v>
      </c>
      <c r="H31" s="18" t="n">
        <v>1272952.58</v>
      </c>
      <c r="I31" s="18" t="n">
        <v>1242694.98</v>
      </c>
      <c r="J31" s="18" t="n">
        <v>1382629.15</v>
      </c>
      <c r="K31" s="37" t="n">
        <v>1382629.15</v>
      </c>
      <c r="L31" s="18" t="n">
        <v>1334218.4</v>
      </c>
      <c r="M31" s="18" t="n">
        <v>1335747.07</v>
      </c>
      <c r="N31" s="18" t="n">
        <v>1334910.93</v>
      </c>
      <c r="O31" s="18" t="n">
        <v>1789505.24</v>
      </c>
      <c r="P31" s="37" t="n">
        <v>1789505.24</v>
      </c>
      <c r="Q31" s="18" t="n">
        <v>1606666.82</v>
      </c>
      <c r="R31" s="18" t="n">
        <v>1507015.64</v>
      </c>
      <c r="S31" s="18" t="n">
        <v>1212942.3</v>
      </c>
      <c r="T31" s="18" t="n">
        <v>1682722</v>
      </c>
      <c r="U31" s="37" t="n">
        <v>1682722</v>
      </c>
      <c r="V31" s="18" t="n">
        <v>1596253</v>
      </c>
      <c r="W31" s="18" t="n">
        <v>1670062</v>
      </c>
      <c r="X31" s="18" t="n">
        <v>1569123</v>
      </c>
      <c r="Y31" s="18" t="n">
        <v>2317741</v>
      </c>
      <c r="Z31" s="37" t="n">
        <v>2317741</v>
      </c>
      <c r="AA31" s="18" t="n">
        <v>1809211</v>
      </c>
      <c r="AB31" s="19" t="n">
        <v>2022196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3279422.51</v>
      </c>
      <c r="F32" s="37" t="n">
        <v>3279422.51</v>
      </c>
      <c r="G32" s="18" t="n">
        <v>1502490.44</v>
      </c>
      <c r="H32" s="18" t="n">
        <v>1447789.59</v>
      </c>
      <c r="I32" s="18" t="n">
        <v>1401804.02</v>
      </c>
      <c r="J32" s="18" t="n">
        <v>1249782.17</v>
      </c>
      <c r="K32" s="37" t="n">
        <v>1249782.17</v>
      </c>
      <c r="L32" s="18" t="n">
        <v>1164408.24</v>
      </c>
      <c r="M32" s="18" t="n">
        <v>1022481.88</v>
      </c>
      <c r="N32" s="18" t="n">
        <v>997904.08</v>
      </c>
      <c r="O32" s="18" t="n">
        <v>967833.84</v>
      </c>
      <c r="P32" s="37" t="n">
        <v>967833.84</v>
      </c>
      <c r="Q32" s="18" t="n">
        <v>1237967.14</v>
      </c>
      <c r="R32" s="18" t="n">
        <v>1447536.56</v>
      </c>
      <c r="S32" s="18" t="n">
        <v>1918667.56</v>
      </c>
      <c r="T32" s="18" t="n">
        <v>1809642</v>
      </c>
      <c r="U32" s="37" t="n">
        <v>1809642</v>
      </c>
      <c r="V32" s="18" t="n">
        <v>2139414</v>
      </c>
      <c r="W32" s="18" t="n">
        <v>1952123</v>
      </c>
      <c r="X32" s="18" t="n">
        <v>2187388</v>
      </c>
      <c r="Y32" s="18" t="n">
        <v>1612053</v>
      </c>
      <c r="Z32" s="37" t="n">
        <v>1612053</v>
      </c>
      <c r="AA32" s="18" t="n">
        <v>2082366</v>
      </c>
      <c r="AB32" s="19" t="n">
        <v>2395004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37311.94</v>
      </c>
      <c r="F33" s="37" t="n">
        <v>37311.94</v>
      </c>
      <c r="G33" s="18" t="n">
        <v>58614.54</v>
      </c>
      <c r="H33" s="18" t="n">
        <v>30309.38</v>
      </c>
      <c r="I33" s="18" t="n">
        <v>26527.64</v>
      </c>
      <c r="J33" s="18" t="n">
        <v>24949.33</v>
      </c>
      <c r="K33" s="37" t="n">
        <v>24949.33</v>
      </c>
      <c r="L33" s="18" t="n">
        <v>25792.36</v>
      </c>
      <c r="M33" s="18" t="n">
        <v>28028.41</v>
      </c>
      <c r="N33" s="18" t="n">
        <v>28591.18</v>
      </c>
      <c r="O33" s="18" t="n">
        <v>24462.43</v>
      </c>
      <c r="P33" s="37" t="n">
        <v>24462.43</v>
      </c>
      <c r="Q33" s="18" t="n">
        <v>21855.5</v>
      </c>
      <c r="R33" s="18" t="n">
        <v>18845.75</v>
      </c>
      <c r="S33" s="18" t="n">
        <v>6809.62</v>
      </c>
      <c r="T33" s="18" t="n">
        <v>6025</v>
      </c>
      <c r="U33" s="37" t="n">
        <v>6025</v>
      </c>
      <c r="V33" s="18" t="n">
        <v>9169</v>
      </c>
      <c r="W33" s="18" t="n">
        <v>12702</v>
      </c>
      <c r="X33" s="18" t="n">
        <v>40300</v>
      </c>
      <c r="Y33" s="18" t="n">
        <v>6071</v>
      </c>
      <c r="Z33" s="37" t="n">
        <v>6071</v>
      </c>
      <c r="AA33" s="18" t="n">
        <v>8190</v>
      </c>
      <c r="AB33" s="19" t="n">
        <v>14290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42286.07</v>
      </c>
      <c r="F34" s="37" t="n">
        <v>42286.07</v>
      </c>
      <c r="G34" s="18" t="n">
        <v>60075.86</v>
      </c>
      <c r="H34" s="18" t="n">
        <v>31382.44</v>
      </c>
      <c r="I34" s="18" t="n">
        <v>26985.03</v>
      </c>
      <c r="J34" s="18" t="n">
        <v>25129.82</v>
      </c>
      <c r="K34" s="37" t="n">
        <v>25129.82</v>
      </c>
      <c r="L34" s="18" t="n">
        <v>26358.91</v>
      </c>
      <c r="M34" s="18" t="n">
        <v>28659.15</v>
      </c>
      <c r="N34" s="18" t="n">
        <v>28756.31</v>
      </c>
      <c r="O34" s="18" t="n">
        <v>25582.8</v>
      </c>
      <c r="P34" s="37" t="n">
        <v>25582.8</v>
      </c>
      <c r="Q34" s="18" t="n">
        <v>22074.73</v>
      </c>
      <c r="R34" s="18" t="n">
        <v>19101.89</v>
      </c>
      <c r="S34" s="18" t="n">
        <v>7626.25</v>
      </c>
      <c r="T34" s="18" t="n">
        <v>44373</v>
      </c>
      <c r="U34" s="37" t="n">
        <v>44373</v>
      </c>
      <c r="V34" s="18" t="n">
        <v>13704</v>
      </c>
      <c r="W34" s="18" t="n">
        <v>16620</v>
      </c>
      <c r="X34" s="18" t="n">
        <v>44737</v>
      </c>
      <c r="Y34" s="18" t="n">
        <v>21695</v>
      </c>
      <c r="Z34" s="37" t="n">
        <v>21695</v>
      </c>
      <c r="AA34" s="18" t="n">
        <v>23475</v>
      </c>
      <c r="AB34" s="19" t="n">
        <v>33189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계약부채</t>
        </is>
      </c>
      <c r="E35" s="18" t="n">
        <v>1155525.09</v>
      </c>
      <c r="F35" s="37" t="n">
        <v>1155525.09</v>
      </c>
      <c r="G35" s="18" t="n">
        <v>1353129.11</v>
      </c>
      <c r="H35" s="18" t="n">
        <v>1501367.45</v>
      </c>
      <c r="I35" s="18" t="n">
        <v>1674446.99</v>
      </c>
      <c r="J35" s="18" t="n">
        <v>1461400.38</v>
      </c>
      <c r="K35" s="37" t="n">
        <v>1461400.38</v>
      </c>
      <c r="L35" s="18" t="n">
        <v>1589997.35</v>
      </c>
      <c r="M35" s="18" t="n">
        <v>2301967.63</v>
      </c>
      <c r="N35" s="18" t="n">
        <v>2103563.37</v>
      </c>
      <c r="O35" s="18" t="n">
        <v>1916938.87</v>
      </c>
      <c r="P35" s="37" t="n">
        <v>1916938.87</v>
      </c>
      <c r="Q35" s="18" t="n">
        <v>2213884</v>
      </c>
      <c r="R35" s="18" t="n">
        <v>1903318.28</v>
      </c>
      <c r="S35" s="18" t="n">
        <v>1761956.99</v>
      </c>
      <c r="T35" s="18" t="n">
        <v>1605684</v>
      </c>
      <c r="U35" s="37" t="n">
        <v>1605684</v>
      </c>
      <c r="V35" s="18" t="n">
        <v>1613565</v>
      </c>
      <c r="W35" s="18" t="n">
        <v>1347601</v>
      </c>
      <c r="X35" s="18" t="n">
        <v>1308791</v>
      </c>
      <c r="Y35" s="18" t="n">
        <v>1430251</v>
      </c>
      <c r="Z35" s="37" t="n">
        <v>1430251</v>
      </c>
      <c r="AA35" s="18" t="n">
        <v>1552371</v>
      </c>
      <c r="AB35" s="19" t="n">
        <v>1568837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유동성장기부채</t>
        </is>
      </c>
      <c r="E36" s="18" t="n">
        <v>899500.41</v>
      </c>
      <c r="F36" s="37" t="n">
        <v>899500.41</v>
      </c>
      <c r="G36" s="18" t="n">
        <v>672291.5600000001</v>
      </c>
      <c r="H36" s="18" t="n">
        <v>586147.99</v>
      </c>
      <c r="I36" s="18" t="n">
        <v>1055267.02</v>
      </c>
      <c r="J36" s="18" t="n">
        <v>641666.91</v>
      </c>
      <c r="K36" s="37" t="n">
        <v>641666.91</v>
      </c>
      <c r="L36" s="18" t="n">
        <v>1113477.87</v>
      </c>
      <c r="M36" s="18" t="n">
        <v>1369171.14</v>
      </c>
      <c r="N36" s="18" t="n">
        <v>1104494.65</v>
      </c>
      <c r="O36" s="18" t="n">
        <v>1403847.4</v>
      </c>
      <c r="P36" s="37" t="n">
        <v>1403847.4</v>
      </c>
      <c r="Q36" s="18" t="n">
        <v>703673.73</v>
      </c>
      <c r="R36" s="18" t="n">
        <v>684076.67</v>
      </c>
      <c r="S36" s="18" t="n">
        <v>521799.68</v>
      </c>
      <c r="T36" s="18" t="n">
        <v>222000</v>
      </c>
      <c r="U36" s="37" t="n">
        <v>222000</v>
      </c>
      <c r="V36" s="18" t="n">
        <v>223000</v>
      </c>
      <c r="W36" s="18" t="n">
        <v>158000</v>
      </c>
      <c r="X36" s="18" t="n">
        <v>661660</v>
      </c>
      <c r="Y36" s="18" t="n">
        <v>721470</v>
      </c>
      <c r="Z36" s="37" t="n">
        <v>721470</v>
      </c>
      <c r="AA36" s="18" t="n">
        <v>1239020</v>
      </c>
      <c r="AB36" s="19" t="n">
        <v>1273450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유동리스부채</t>
        </is>
      </c>
      <c r="E37" s="18" t="n">
        <v>26140.81</v>
      </c>
      <c r="F37" s="37" t="n">
        <v>26140.81</v>
      </c>
      <c r="G37" s="18" t="n">
        <v>26949.05</v>
      </c>
      <c r="J37" s="18" t="n">
        <v>29843.9</v>
      </c>
      <c r="K37" s="37" t="n">
        <v>29843.9</v>
      </c>
      <c r="L37" s="18" t="n">
        <v>29268.62</v>
      </c>
      <c r="M37" s="18" t="n">
        <v>27258.28</v>
      </c>
      <c r="O37" s="18" t="n">
        <v>26198.91</v>
      </c>
      <c r="P37" s="37" t="n">
        <v>26198.91</v>
      </c>
      <c r="Q37" s="18" t="n">
        <v>33867.26</v>
      </c>
      <c r="R37" s="18" t="n">
        <v>34046.18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183629.45</v>
      </c>
      <c r="F38" s="37" t="n">
        <v>183629.45</v>
      </c>
      <c r="G38" s="18" t="n">
        <v>180297.89</v>
      </c>
      <c r="H38" s="18" t="n">
        <v>152199.19</v>
      </c>
      <c r="I38" s="18" t="n">
        <v>147410.71</v>
      </c>
      <c r="J38" s="18" t="n">
        <v>172304.34</v>
      </c>
      <c r="K38" s="37" t="n">
        <v>172304.34</v>
      </c>
      <c r="L38" s="18" t="n">
        <v>168751.41</v>
      </c>
      <c r="M38" s="18" t="n">
        <v>162200.93</v>
      </c>
      <c r="N38" s="18" t="n">
        <v>130592.16</v>
      </c>
      <c r="O38" s="18" t="n">
        <v>155411.79</v>
      </c>
      <c r="P38" s="37" t="n">
        <v>155411.79</v>
      </c>
      <c r="Q38" s="18" t="n">
        <v>157127.98</v>
      </c>
      <c r="R38" s="18" t="n">
        <v>153580.31</v>
      </c>
      <c r="S38" s="18" t="n">
        <v>114815.78</v>
      </c>
      <c r="T38" s="18" t="n">
        <v>116086</v>
      </c>
      <c r="U38" s="37" t="n">
        <v>116086</v>
      </c>
      <c r="V38" s="18" t="n">
        <v>110908</v>
      </c>
      <c r="W38" s="18" t="n">
        <v>107323</v>
      </c>
      <c r="X38" s="18" t="n">
        <v>105084</v>
      </c>
      <c r="Y38" s="18" t="n">
        <v>94869</v>
      </c>
      <c r="Z38" s="37" t="n">
        <v>94869</v>
      </c>
      <c r="AA38" s="18" t="n">
        <v>124718</v>
      </c>
      <c r="AB38" s="19" t="n">
        <v>123839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35276.16</v>
      </c>
      <c r="F39" s="37" t="n">
        <v>35276.16</v>
      </c>
      <c r="G39" s="18" t="n">
        <v>34101.89</v>
      </c>
      <c r="H39" s="18" t="n">
        <v>7777.93</v>
      </c>
      <c r="I39" s="18" t="n">
        <v>6516.6</v>
      </c>
      <c r="J39" s="18" t="n">
        <v>46379.59</v>
      </c>
      <c r="K39" s="37" t="n">
        <v>46379.59</v>
      </c>
      <c r="L39" s="18" t="n">
        <v>40145.96</v>
      </c>
      <c r="M39" s="18" t="n">
        <v>39794.09</v>
      </c>
      <c r="N39" s="18" t="n">
        <v>6521.49</v>
      </c>
      <c r="O39" s="18" t="n">
        <v>37860.17</v>
      </c>
      <c r="P39" s="37" t="n">
        <v>37860.17</v>
      </c>
      <c r="Q39" s="18" t="n">
        <v>39463.89</v>
      </c>
      <c r="R39" s="18" t="n">
        <v>39876.85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9135.35</v>
      </c>
      <c r="F40" s="37" t="n">
        <v>9135.35</v>
      </c>
      <c r="G40" s="18" t="n">
        <v>7152.84</v>
      </c>
      <c r="H40" s="18" t="n">
        <v>7777.93</v>
      </c>
      <c r="I40" s="18" t="n">
        <v>6516.6</v>
      </c>
      <c r="J40" s="18" t="n">
        <v>16535.69</v>
      </c>
      <c r="K40" s="37" t="n">
        <v>16535.69</v>
      </c>
      <c r="L40" s="18" t="n">
        <v>10877.34</v>
      </c>
      <c r="M40" s="18" t="n">
        <v>12535.81</v>
      </c>
      <c r="N40" s="18" t="n">
        <v>6521.49</v>
      </c>
      <c r="O40" s="18" t="n">
        <v>11661.26</v>
      </c>
      <c r="P40" s="37" t="n">
        <v>11661.26</v>
      </c>
      <c r="Q40" s="18" t="n">
        <v>5596.63</v>
      </c>
      <c r="R40" s="18" t="n">
        <v>5830.67</v>
      </c>
      <c r="S40" s="18" t="n">
        <v>6932.58</v>
      </c>
      <c r="T40" s="18" t="n">
        <v>5893</v>
      </c>
      <c r="U40" s="37" t="n">
        <v>5893</v>
      </c>
      <c r="V40" s="18" t="n">
        <v>2796</v>
      </c>
      <c r="W40" s="18" t="n">
        <v>35143</v>
      </c>
      <c r="X40" s="18" t="n">
        <v>14597</v>
      </c>
      <c r="Y40" s="18" t="n">
        <v>17107</v>
      </c>
      <c r="Z40" s="37" t="n">
        <v>17107</v>
      </c>
      <c r="AA40" s="18" t="n">
        <v>2750</v>
      </c>
      <c r="AB40" s="19" t="n">
        <v>2640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196415.92</v>
      </c>
      <c r="F41" s="37" t="n">
        <v>196415.92</v>
      </c>
      <c r="G41" s="18" t="n">
        <v>189121.64</v>
      </c>
      <c r="H41" s="18" t="n">
        <v>175199.44</v>
      </c>
      <c r="I41" s="18" t="n">
        <v>185611.17</v>
      </c>
      <c r="J41" s="18" t="n">
        <v>182202.92</v>
      </c>
      <c r="K41" s="37" t="n">
        <v>182202.92</v>
      </c>
      <c r="L41" s="18" t="n">
        <v>176357.54</v>
      </c>
      <c r="M41" s="18" t="n">
        <v>158405.05</v>
      </c>
      <c r="N41" s="18" t="n">
        <v>147174.01</v>
      </c>
      <c r="O41" s="18" t="n">
        <v>122643.67</v>
      </c>
      <c r="P41" s="37" t="n">
        <v>122643.67</v>
      </c>
      <c r="Q41" s="18" t="n">
        <v>71551.42</v>
      </c>
      <c r="R41" s="18" t="n">
        <v>64678.15</v>
      </c>
      <c r="S41" s="18" t="n">
        <v>55535.43</v>
      </c>
      <c r="T41" s="18" t="n">
        <v>72200</v>
      </c>
      <c r="U41" s="37" t="n">
        <v>72200</v>
      </c>
      <c r="V41" s="18" t="n">
        <v>58553</v>
      </c>
      <c r="W41" s="18" t="n">
        <v>49079</v>
      </c>
      <c r="X41" s="18" t="n">
        <v>50997</v>
      </c>
      <c r="Y41" s="18" t="n">
        <v>151935</v>
      </c>
      <c r="Z41" s="37" t="n">
        <v>151935</v>
      </c>
      <c r="AA41" s="18" t="n">
        <v>63637</v>
      </c>
      <c r="AB41" s="19" t="n">
        <v>68269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비유동부채</t>
        </is>
      </c>
      <c r="E42" s="18" t="n">
        <v>1186291.21</v>
      </c>
      <c r="F42" s="37" t="n">
        <v>1186291.21</v>
      </c>
      <c r="G42" s="18" t="n">
        <v>1683175.73</v>
      </c>
      <c r="H42" s="18" t="n">
        <v>1934363.49</v>
      </c>
      <c r="I42" s="18" t="n">
        <v>1709006.41</v>
      </c>
      <c r="J42" s="18" t="n">
        <v>2016603.62</v>
      </c>
      <c r="K42" s="37" t="n">
        <v>2016603.62</v>
      </c>
      <c r="L42" s="18" t="n">
        <v>1768978.74</v>
      </c>
      <c r="M42" s="18" t="n">
        <v>1560075.59</v>
      </c>
      <c r="N42" s="18" t="n">
        <v>1722730.51</v>
      </c>
      <c r="O42" s="18" t="n">
        <v>1441867.61</v>
      </c>
      <c r="P42" s="37" t="n">
        <v>1441867.61</v>
      </c>
      <c r="Q42" s="18" t="n">
        <v>1913283.63</v>
      </c>
      <c r="R42" s="18" t="n">
        <v>1891792.96</v>
      </c>
      <c r="S42" s="18" t="n">
        <v>2042534.22</v>
      </c>
      <c r="T42" s="18" t="n">
        <v>2332951</v>
      </c>
      <c r="U42" s="37" t="n">
        <v>2332951</v>
      </c>
      <c r="V42" s="18" t="n">
        <v>2387149</v>
      </c>
      <c r="W42" s="18" t="n">
        <v>2743709</v>
      </c>
      <c r="X42" s="18" t="n">
        <v>2402318</v>
      </c>
      <c r="Y42" s="18" t="n">
        <v>2272402</v>
      </c>
      <c r="Z42" s="37" t="n">
        <v>2272402</v>
      </c>
      <c r="AA42" s="18" t="n">
        <v>1894927</v>
      </c>
      <c r="AB42" s="19" t="n">
        <v>1970710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422363.43</v>
      </c>
      <c r="F43" s="37" t="n">
        <v>422363.43</v>
      </c>
      <c r="G43" s="18" t="n">
        <v>484881.46</v>
      </c>
      <c r="H43" s="18" t="n">
        <v>574722.91</v>
      </c>
      <c r="I43" s="18" t="n">
        <v>259433.67</v>
      </c>
      <c r="J43" s="18" t="n">
        <v>259132.25</v>
      </c>
      <c r="K43" s="37" t="n">
        <v>259132.25</v>
      </c>
      <c r="L43" s="18" t="n">
        <v>216581.52</v>
      </c>
      <c r="M43" s="18" t="n">
        <v>136799.07</v>
      </c>
      <c r="N43" s="18" t="n">
        <v>438935.51</v>
      </c>
      <c r="O43" s="18" t="n">
        <v>423103.27</v>
      </c>
      <c r="P43" s="37" t="n">
        <v>423103.27</v>
      </c>
      <c r="Q43" s="18" t="n">
        <v>498191.63</v>
      </c>
      <c r="R43" s="18" t="n">
        <v>511361.75</v>
      </c>
      <c r="S43" s="18" t="n">
        <v>640768.9300000001</v>
      </c>
      <c r="T43" s="18" t="n">
        <v>686148</v>
      </c>
      <c r="U43" s="37" t="n">
        <v>686148</v>
      </c>
      <c r="V43" s="18" t="n">
        <v>642843</v>
      </c>
      <c r="W43" s="18" t="n">
        <v>738737</v>
      </c>
      <c r="X43" s="18" t="n">
        <v>269574</v>
      </c>
      <c r="Y43" s="18" t="n">
        <v>270349</v>
      </c>
      <c r="Z43" s="37" t="n">
        <v>270349</v>
      </c>
      <c r="AA43" s="18" t="n">
        <v>214044</v>
      </c>
      <c r="AB43" s="19" t="n">
        <v>168873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122492.71</v>
      </c>
      <c r="F44" s="37" t="n">
        <v>122492.71</v>
      </c>
      <c r="G44" s="18" t="n">
        <v>567663.36</v>
      </c>
      <c r="H44" s="18" t="n">
        <v>667663.36</v>
      </c>
      <c r="I44" s="18" t="n">
        <v>667663.36</v>
      </c>
      <c r="J44" s="18" t="n">
        <v>1113279.5</v>
      </c>
      <c r="K44" s="37" t="n">
        <v>1113279.5</v>
      </c>
      <c r="L44" s="18" t="n">
        <v>893331.12</v>
      </c>
      <c r="M44" s="18" t="n">
        <v>751806.76</v>
      </c>
      <c r="N44" s="18" t="n">
        <v>592331.9399999999</v>
      </c>
      <c r="O44" s="18" t="n">
        <v>287188.57</v>
      </c>
      <c r="P44" s="37" t="n">
        <v>287188.57</v>
      </c>
      <c r="Q44" s="18" t="n">
        <v>700000</v>
      </c>
      <c r="R44" s="18" t="n">
        <v>639351.45</v>
      </c>
      <c r="S44" s="18" t="n">
        <v>679593.85</v>
      </c>
      <c r="T44" s="18" t="n">
        <v>819840</v>
      </c>
      <c r="U44" s="37" t="n">
        <v>819840</v>
      </c>
      <c r="V44" s="18" t="n">
        <v>950000</v>
      </c>
      <c r="W44" s="18" t="n">
        <v>1145000</v>
      </c>
      <c r="X44" s="18" t="n">
        <v>1271250</v>
      </c>
      <c r="Y44" s="18" t="n">
        <v>1057500</v>
      </c>
      <c r="Z44" s="37" t="n">
        <v>1057500</v>
      </c>
      <c r="AA44" s="18" t="n">
        <v>733750</v>
      </c>
      <c r="AB44" s="19" t="n">
        <v>730000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E45" s="18" t="n">
        <v>13601.34</v>
      </c>
      <c r="F45" s="37" t="n">
        <v>13601.34</v>
      </c>
      <c r="G45" s="18" t="n">
        <v>8184.91</v>
      </c>
      <c r="H45" s="18" t="n">
        <v>8647.52</v>
      </c>
      <c r="I45" s="18" t="n">
        <v>9147.450000000001</v>
      </c>
      <c r="J45" s="18" t="n">
        <v>9509.9</v>
      </c>
      <c r="K45" s="37" t="n">
        <v>9509.9</v>
      </c>
      <c r="L45" s="18" t="n">
        <v>9472.1</v>
      </c>
      <c r="M45" s="18" t="n">
        <v>9809.379999999999</v>
      </c>
      <c r="N45" s="18" t="n">
        <v>9894.42</v>
      </c>
      <c r="O45" s="18" t="n">
        <v>10016.33</v>
      </c>
      <c r="P45" s="37" t="n">
        <v>10016.33</v>
      </c>
      <c r="Q45" s="18" t="n">
        <v>10052.26</v>
      </c>
      <c r="R45" s="18" t="n">
        <v>10052.16</v>
      </c>
      <c r="S45" s="18" t="n">
        <v>10133.04</v>
      </c>
      <c r="T45" s="18" t="n">
        <v>9451</v>
      </c>
      <c r="U45" s="37" t="n">
        <v>9451</v>
      </c>
      <c r="V45" s="18" t="n">
        <v>10169</v>
      </c>
      <c r="W45" s="18" t="n">
        <v>11694</v>
      </c>
      <c r="X45" s="18" t="n">
        <v>12798</v>
      </c>
      <c r="Y45" s="18" t="n">
        <v>20951</v>
      </c>
      <c r="Z45" s="37" t="n">
        <v>20951</v>
      </c>
      <c r="AA45" s="18" t="n">
        <v>22900</v>
      </c>
      <c r="AB45" s="19" t="n">
        <v>24896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확정급여부채</t>
        </is>
      </c>
      <c r="E46" s="18" t="n">
        <v>105513.44</v>
      </c>
      <c r="F46" s="37" t="n">
        <v>105513.44</v>
      </c>
      <c r="G46" s="18" t="n">
        <v>137883.95</v>
      </c>
      <c r="H46" s="18" t="n">
        <v>136960.01</v>
      </c>
      <c r="I46" s="18" t="n">
        <v>143514.13</v>
      </c>
      <c r="J46" s="18" t="n">
        <v>113117.1</v>
      </c>
      <c r="K46" s="37" t="n">
        <v>113117.1</v>
      </c>
      <c r="L46" s="18" t="n">
        <v>121330.02</v>
      </c>
      <c r="M46" s="18" t="n">
        <v>127198.83</v>
      </c>
      <c r="N46" s="18" t="n">
        <v>134108.87</v>
      </c>
      <c r="O46" s="18" t="n">
        <v>192863.55</v>
      </c>
      <c r="P46" s="37" t="n">
        <v>192863.55</v>
      </c>
      <c r="Q46" s="18" t="n">
        <v>204259.37</v>
      </c>
      <c r="R46" s="18" t="n">
        <v>213065.26</v>
      </c>
      <c r="S46" s="18" t="n">
        <v>220903.31</v>
      </c>
      <c r="T46" s="18" t="n">
        <v>298291</v>
      </c>
      <c r="U46" s="37" t="n">
        <v>298291</v>
      </c>
      <c r="V46" s="18" t="n">
        <v>304253</v>
      </c>
      <c r="W46" s="18" t="n">
        <v>314071</v>
      </c>
      <c r="X46" s="18" t="n">
        <v>322670</v>
      </c>
      <c r="Y46" s="18" t="n">
        <v>341458</v>
      </c>
      <c r="Z46" s="37" t="n">
        <v>341458</v>
      </c>
      <c r="AA46" s="18" t="n">
        <v>354804</v>
      </c>
      <c r="AB46" s="19" t="n">
        <v>366938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157488.64</v>
      </c>
      <c r="F47" s="37" t="n">
        <v>157488.64</v>
      </c>
      <c r="G47" s="18" t="n">
        <v>153348.84</v>
      </c>
      <c r="H47" s="18" t="n">
        <v>152199.19</v>
      </c>
      <c r="I47" s="18" t="n">
        <v>147410.71</v>
      </c>
      <c r="J47" s="18" t="n">
        <v>142460.44</v>
      </c>
      <c r="K47" s="37" t="n">
        <v>142460.44</v>
      </c>
      <c r="L47" s="18" t="n">
        <v>139482.79</v>
      </c>
      <c r="M47" s="18" t="n">
        <v>134942.65</v>
      </c>
      <c r="N47" s="18" t="n">
        <v>130592.16</v>
      </c>
      <c r="O47" s="18" t="n">
        <v>129212.88</v>
      </c>
      <c r="P47" s="37" t="n">
        <v>129212.88</v>
      </c>
      <c r="Q47" s="18" t="n">
        <v>123260.72</v>
      </c>
      <c r="R47" s="18" t="n">
        <v>119534.13</v>
      </c>
      <c r="S47" s="18" t="n">
        <v>114815.78</v>
      </c>
      <c r="T47" s="18" t="n">
        <v>116086</v>
      </c>
      <c r="U47" s="37" t="n">
        <v>116086</v>
      </c>
      <c r="V47" s="18" t="n">
        <v>110908</v>
      </c>
      <c r="W47" s="18" t="n">
        <v>107323</v>
      </c>
      <c r="X47" s="18" t="n">
        <v>105084</v>
      </c>
      <c r="Y47" s="18" t="n">
        <v>94869</v>
      </c>
      <c r="Z47" s="37" t="n">
        <v>94869</v>
      </c>
      <c r="AA47" s="18" t="n">
        <v>124718</v>
      </c>
      <c r="AB47" s="19" t="n">
        <v>123839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162706.22</v>
      </c>
      <c r="F48" s="37" t="n">
        <v>162706.22</v>
      </c>
      <c r="G48" s="18" t="n">
        <v>158775.76</v>
      </c>
      <c r="H48" s="18" t="n">
        <v>156232.22</v>
      </c>
      <c r="I48" s="18" t="n">
        <v>151733.01</v>
      </c>
      <c r="J48" s="18" t="n">
        <v>148767.6</v>
      </c>
      <c r="K48" s="37" t="n">
        <v>148767.6</v>
      </c>
      <c r="L48" s="18" t="n">
        <v>145753.42</v>
      </c>
      <c r="M48" s="18" t="n">
        <v>146550.13</v>
      </c>
      <c r="N48" s="18" t="n">
        <v>134393.91</v>
      </c>
      <c r="O48" s="18" t="n">
        <v>142660.61</v>
      </c>
      <c r="P48" s="37" t="n">
        <v>142660.61</v>
      </c>
      <c r="Q48" s="18" t="n">
        <v>126906.89</v>
      </c>
      <c r="R48" s="18" t="n">
        <v>123046.1</v>
      </c>
      <c r="S48" s="18" t="n">
        <v>117985.43</v>
      </c>
      <c r="T48" s="18" t="n">
        <v>118543</v>
      </c>
      <c r="U48" s="37" t="n">
        <v>118543</v>
      </c>
      <c r="V48" s="18" t="n">
        <v>115081</v>
      </c>
      <c r="W48" s="18" t="n">
        <v>128157</v>
      </c>
      <c r="X48" s="18" t="n">
        <v>116429</v>
      </c>
      <c r="Y48" s="18" t="n">
        <v>130102</v>
      </c>
      <c r="Z48" s="37" t="n">
        <v>130102</v>
      </c>
      <c r="AA48" s="18" t="n">
        <v>127811</v>
      </c>
      <c r="AB48" s="19" t="n">
        <v>126432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5217.58</v>
      </c>
      <c r="F49" s="37" t="n">
        <v>5217.58</v>
      </c>
      <c r="G49" s="18" t="n">
        <v>5426.92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88336.12</v>
      </c>
      <c r="F50" s="37" t="n">
        <v>88336.12</v>
      </c>
      <c r="G50" s="18" t="n">
        <v>88697.97</v>
      </c>
      <c r="H50" s="18" t="n">
        <v>90710.02</v>
      </c>
      <c r="I50" s="18" t="n">
        <v>95049</v>
      </c>
      <c r="J50" s="18" t="n">
        <v>111506.25</v>
      </c>
      <c r="K50" s="37" t="n">
        <v>111506.25</v>
      </c>
      <c r="L50" s="18" t="n">
        <v>114320.48</v>
      </c>
      <c r="M50" s="18" t="n">
        <v>112301.08</v>
      </c>
      <c r="N50" s="18" t="n">
        <v>117042.97</v>
      </c>
      <c r="O50" s="18" t="n">
        <v>121081.95</v>
      </c>
      <c r="P50" s="37" t="n">
        <v>121081.95</v>
      </c>
      <c r="Q50" s="18" t="n">
        <v>124538</v>
      </c>
      <c r="R50" s="18" t="n">
        <v>124979.65</v>
      </c>
      <c r="S50" s="18" t="n">
        <v>124004.9</v>
      </c>
      <c r="T50" s="18" t="n">
        <v>122860</v>
      </c>
      <c r="U50" s="37" t="n">
        <v>122860</v>
      </c>
      <c r="V50" s="18" t="n">
        <v>124936</v>
      </c>
      <c r="W50" s="18" t="n">
        <v>131674</v>
      </c>
      <c r="X50" s="18" t="n">
        <v>134455</v>
      </c>
      <c r="Y50" s="18" t="n">
        <v>128324</v>
      </c>
      <c r="Z50" s="37" t="n">
        <v>128324</v>
      </c>
      <c r="AA50" s="18" t="n">
        <v>126080</v>
      </c>
      <c r="AB50" s="19" t="n">
        <v>128735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E51" s="18" t="n">
        <v>59536.9</v>
      </c>
      <c r="F51" s="37" t="n">
        <v>59536.9</v>
      </c>
      <c r="G51" s="18" t="n">
        <v>39449.33</v>
      </c>
      <c r="H51" s="18" t="n">
        <v>40920.82</v>
      </c>
      <c r="I51" s="18" t="n">
        <v>38310.45</v>
      </c>
      <c r="J51" s="18" t="n">
        <v>41167.3</v>
      </c>
      <c r="K51" s="37" t="n">
        <v>41167.3</v>
      </c>
      <c r="L51" s="18" t="n">
        <v>41694.51</v>
      </c>
      <c r="M51" s="18" t="n">
        <v>42908.35</v>
      </c>
      <c r="N51" s="18" t="n">
        <v>42231.55</v>
      </c>
      <c r="O51" s="18" t="n">
        <v>43014.78</v>
      </c>
      <c r="P51" s="37" t="n">
        <v>43014.78</v>
      </c>
      <c r="Q51" s="18" t="n">
        <v>41775.24</v>
      </c>
      <c r="R51" s="18" t="n">
        <v>55317.53</v>
      </c>
      <c r="S51" s="18" t="n">
        <v>58264.6</v>
      </c>
      <c r="T51" s="18" t="n">
        <v>63158</v>
      </c>
      <c r="U51" s="37" t="n">
        <v>63158</v>
      </c>
      <c r="V51" s="18" t="n">
        <v>64560</v>
      </c>
      <c r="W51" s="18" t="n">
        <v>84585</v>
      </c>
      <c r="X51" s="18" t="n">
        <v>82123</v>
      </c>
      <c r="Y51" s="18" t="n">
        <v>116223</v>
      </c>
      <c r="Z51" s="37" t="n">
        <v>116223</v>
      </c>
      <c r="AA51" s="18" t="n">
        <v>73779</v>
      </c>
      <c r="AB51" s="19" t="n">
        <v>63366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8330286.78</v>
      </c>
      <c r="F52" s="37" t="n">
        <v>8330286.78</v>
      </c>
      <c r="G52" s="18" t="n">
        <v>6999681.74</v>
      </c>
      <c r="H52" s="18" t="n">
        <v>7185878.59</v>
      </c>
      <c r="I52" s="18" t="n">
        <v>7633791.21</v>
      </c>
      <c r="J52" s="18" t="n">
        <v>7075908.55</v>
      </c>
      <c r="K52" s="37" t="n">
        <v>7075908.55</v>
      </c>
      <c r="L52" s="18" t="n">
        <v>7277589.45</v>
      </c>
      <c r="M52" s="18" t="n">
        <v>7896569.44</v>
      </c>
      <c r="N52" s="18" t="n">
        <v>7578549.89</v>
      </c>
      <c r="O52" s="18" t="n">
        <v>7759760.19</v>
      </c>
      <c r="P52" s="37" t="n">
        <v>7759760.19</v>
      </c>
      <c r="Q52" s="18" t="n">
        <v>7913123.03</v>
      </c>
      <c r="R52" s="18" t="n">
        <v>7690711.82</v>
      </c>
      <c r="S52" s="18" t="n">
        <v>7629174.17</v>
      </c>
      <c r="T52" s="18" t="n">
        <v>8020541</v>
      </c>
      <c r="U52" s="37" t="n">
        <v>8020541</v>
      </c>
      <c r="V52" s="18" t="n">
        <v>8204262</v>
      </c>
      <c r="W52" s="18" t="n">
        <v>8047103</v>
      </c>
      <c r="X52" s="18" t="n">
        <v>8326823</v>
      </c>
      <c r="Y52" s="18" t="n">
        <v>8666040</v>
      </c>
      <c r="Z52" s="37" t="n">
        <v>8666040</v>
      </c>
      <c r="AA52" s="18" t="n">
        <v>8862789</v>
      </c>
      <c r="AB52" s="19" t="n">
        <v>9537031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2675624.98</v>
      </c>
      <c r="F53" s="37" t="n">
        <v>2675624.98</v>
      </c>
      <c r="G53" s="18" t="n">
        <v>3193488.91</v>
      </c>
      <c r="H53" s="18" t="n">
        <v>3240986.3</v>
      </c>
      <c r="I53" s="18" t="n">
        <v>3256061.21</v>
      </c>
      <c r="J53" s="18" t="n">
        <v>3256061.21</v>
      </c>
      <c r="K53" s="37" t="n">
        <v>3256061.21</v>
      </c>
      <c r="L53" s="18" t="n">
        <v>3267326.78</v>
      </c>
      <c r="M53" s="18" t="n">
        <v>3267326.78</v>
      </c>
      <c r="N53" s="18" t="n">
        <v>3267326.78</v>
      </c>
      <c r="O53" s="18" t="n">
        <v>3267326.78</v>
      </c>
      <c r="P53" s="37" t="n">
        <v>3267326.78</v>
      </c>
      <c r="Q53" s="18" t="n">
        <v>3267326.78</v>
      </c>
      <c r="R53" s="18" t="n">
        <v>3267326.78</v>
      </c>
      <c r="S53" s="18" t="n">
        <v>3267326.78</v>
      </c>
      <c r="T53" s="18" t="n">
        <v>3267327</v>
      </c>
      <c r="U53" s="37" t="n">
        <v>3267327</v>
      </c>
      <c r="V53" s="18" t="n">
        <v>3267327</v>
      </c>
      <c r="W53" s="18" t="n">
        <v>3267327</v>
      </c>
      <c r="X53" s="18" t="n">
        <v>3267327</v>
      </c>
      <c r="Y53" s="18" t="n">
        <v>3267327</v>
      </c>
      <c r="Z53" s="37" t="n">
        <v>3267327</v>
      </c>
      <c r="AA53" s="18" t="n">
        <v>3267327</v>
      </c>
      <c r="AB53" s="19" t="n">
        <v>3267327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자본잉여금</t>
        </is>
      </c>
      <c r="E54" s="18" t="n">
        <v>1811241.86</v>
      </c>
      <c r="F54" s="37" t="n">
        <v>1811241.86</v>
      </c>
      <c r="G54" s="18" t="n">
        <v>2727602.54</v>
      </c>
      <c r="H54" s="18" t="n">
        <v>2799762.89</v>
      </c>
      <c r="I54" s="18" t="n">
        <v>2812121.66</v>
      </c>
      <c r="J54" s="18" t="n">
        <v>2812160.29</v>
      </c>
      <c r="K54" s="37" t="n">
        <v>2812160.29</v>
      </c>
      <c r="L54" s="18" t="n">
        <v>1675058.77</v>
      </c>
      <c r="M54" s="18" t="n">
        <v>1675105.72</v>
      </c>
      <c r="N54" s="18" t="n">
        <v>1675105.72</v>
      </c>
      <c r="O54" s="18" t="n">
        <v>1675105.72</v>
      </c>
      <c r="P54" s="37" t="n">
        <v>1675105.72</v>
      </c>
      <c r="Q54" s="18" t="n">
        <v>1525842.81</v>
      </c>
      <c r="R54" s="18" t="n">
        <v>1525842.81</v>
      </c>
      <c r="S54" s="18" t="n">
        <v>1525842.81</v>
      </c>
      <c r="T54" s="18" t="n">
        <v>1525844</v>
      </c>
      <c r="U54" s="37" t="n">
        <v>1525844</v>
      </c>
      <c r="V54" s="18" t="n">
        <v>1302468</v>
      </c>
      <c r="W54" s="18" t="n">
        <v>1302468</v>
      </c>
      <c r="X54" s="18" t="n">
        <v>1302468</v>
      </c>
      <c r="Y54" s="18" t="n">
        <v>1302468</v>
      </c>
      <c r="Z54" s="37" t="n">
        <v>1302468</v>
      </c>
      <c r="AA54" s="18" t="n">
        <v>1302468</v>
      </c>
      <c r="AB54" s="19" t="n">
        <v>1302468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기타자본</t>
        </is>
      </c>
      <c r="E55" s="18" t="n">
        <v>-1031.83</v>
      </c>
      <c r="F55" s="37" t="n">
        <v>-1031.83</v>
      </c>
      <c r="G55" s="18" t="n">
        <v>-1620.24</v>
      </c>
      <c r="H55" s="18" t="n">
        <v>-1620.24</v>
      </c>
      <c r="I55" s="18" t="n">
        <v>-1710.03</v>
      </c>
      <c r="J55" s="18" t="n">
        <v>-1748.66</v>
      </c>
      <c r="K55" s="37" t="n">
        <v>-1748.66</v>
      </c>
      <c r="L55" s="18" t="n">
        <v>-1914.09</v>
      </c>
      <c r="M55" s="18" t="n">
        <v>-1960.99</v>
      </c>
      <c r="N55" s="18" t="n">
        <v>-1960.99</v>
      </c>
      <c r="O55" s="18" t="n">
        <v>-1960.99</v>
      </c>
      <c r="P55" s="37" t="n">
        <v>-1960.99</v>
      </c>
      <c r="Q55" s="18" t="n">
        <v>-2134.42</v>
      </c>
      <c r="R55" s="18" t="n">
        <v>-2134.42</v>
      </c>
      <c r="S55" s="18" t="n">
        <v>-2134.42</v>
      </c>
      <c r="T55" s="18" t="n">
        <v>-2135</v>
      </c>
      <c r="U55" s="37" t="n">
        <v>-2135</v>
      </c>
      <c r="V55" s="18" t="n">
        <v>-2135</v>
      </c>
      <c r="W55" s="18" t="n">
        <v>-2135</v>
      </c>
      <c r="X55" s="18" t="n">
        <v>-2135</v>
      </c>
      <c r="Y55" s="18" t="n">
        <v>-2135</v>
      </c>
      <c r="Z55" s="37" t="n">
        <v>-2135</v>
      </c>
      <c r="AA55" s="18" t="n">
        <v>37882</v>
      </c>
      <c r="AB55" s="19" t="n">
        <v>-77082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1054965.43</v>
      </c>
      <c r="F56" s="37" t="n">
        <v>1054965.43</v>
      </c>
      <c r="G56" s="18" t="n">
        <v>1058453.04</v>
      </c>
      <c r="H56" s="18" t="n">
        <v>1071375.15</v>
      </c>
      <c r="I56" s="18" t="n">
        <v>1112887.49</v>
      </c>
      <c r="J56" s="18" t="n">
        <v>1071927.84</v>
      </c>
      <c r="K56" s="37" t="n">
        <v>1071927.84</v>
      </c>
      <c r="L56" s="18" t="n">
        <v>1088512.25</v>
      </c>
      <c r="M56" s="18" t="n">
        <v>1069755.81</v>
      </c>
      <c r="N56" s="18" t="n">
        <v>1077859.11</v>
      </c>
      <c r="O56" s="18" t="n">
        <v>1007940.6</v>
      </c>
      <c r="P56" s="37" t="n">
        <v>1007940.6</v>
      </c>
      <c r="Q56" s="18" t="n">
        <v>1018226.43</v>
      </c>
      <c r="R56" s="18" t="n">
        <v>1026532.44</v>
      </c>
      <c r="S56" s="18" t="n">
        <v>1018035.62</v>
      </c>
      <c r="T56" s="18" t="n">
        <v>1042900</v>
      </c>
      <c r="U56" s="37" t="n">
        <v>1042900</v>
      </c>
      <c r="V56" s="18" t="n">
        <v>1057971</v>
      </c>
      <c r="W56" s="18" t="n">
        <v>1013062</v>
      </c>
      <c r="X56" s="18" t="n">
        <v>1038490</v>
      </c>
      <c r="Y56" s="18" t="n">
        <v>1014329</v>
      </c>
      <c r="Z56" s="37" t="n">
        <v>1014329</v>
      </c>
      <c r="AA56" s="18" t="n">
        <v>1073339</v>
      </c>
      <c r="AB56" s="19" t="n">
        <v>1087153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이익잉여금</t>
        </is>
      </c>
      <c r="E57" s="18" t="n">
        <v>160783.9</v>
      </c>
      <c r="F57" s="37" t="n">
        <v>160783.9</v>
      </c>
      <c r="G57" s="18" t="n">
        <v>147409.01</v>
      </c>
      <c r="H57" s="18" t="n">
        <v>-79178.88</v>
      </c>
      <c r="I57" s="18" t="n">
        <v>-164550.39</v>
      </c>
      <c r="J57" s="18" t="n">
        <v>-1024768.78</v>
      </c>
      <c r="K57" s="37" t="n">
        <v>-1024768.78</v>
      </c>
      <c r="L57" s="18" t="n">
        <v>155152.35</v>
      </c>
      <c r="M57" s="18" t="n">
        <v>239147.35</v>
      </c>
      <c r="N57" s="18" t="n">
        <v>203985.79</v>
      </c>
      <c r="O57" s="18" t="n">
        <v>-23663.31</v>
      </c>
      <c r="P57" s="37" t="n">
        <v>-23663.31</v>
      </c>
      <c r="Q57" s="18" t="n">
        <v>175044.47</v>
      </c>
      <c r="R57" s="18" t="n">
        <v>286518.96</v>
      </c>
      <c r="S57" s="18" t="n">
        <v>300778.71</v>
      </c>
      <c r="T57" s="18" t="n">
        <v>-97603</v>
      </c>
      <c r="U57" s="37" t="n">
        <v>-97603</v>
      </c>
      <c r="V57" s="18" t="n">
        <v>100562</v>
      </c>
      <c r="W57" s="18" t="n">
        <v>325446</v>
      </c>
      <c r="X57" s="18" t="n">
        <v>293401</v>
      </c>
      <c r="Y57" s="18" t="n">
        <v>618346</v>
      </c>
      <c r="Z57" s="37" t="n">
        <v>618346</v>
      </c>
      <c r="AA57" s="18" t="n">
        <v>592587</v>
      </c>
      <c r="AB57" s="19" t="n">
        <v>653812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자본총계</t>
        </is>
      </c>
      <c r="E58" s="18" t="n">
        <v>5701584.33</v>
      </c>
      <c r="F58" s="37" t="n">
        <v>5701584.33</v>
      </c>
      <c r="G58" s="18" t="n">
        <v>7125333.26</v>
      </c>
      <c r="H58" s="18" t="n">
        <v>7031325.22</v>
      </c>
      <c r="I58" s="18" t="n">
        <v>7014809.95</v>
      </c>
      <c r="J58" s="18" t="n">
        <v>6113631.9</v>
      </c>
      <c r="K58" s="37" t="n">
        <v>6113631.9</v>
      </c>
      <c r="L58" s="18" t="n">
        <v>6184136.04</v>
      </c>
      <c r="M58" s="18" t="n">
        <v>6249374.67</v>
      </c>
      <c r="N58" s="18" t="n">
        <v>6222316.41</v>
      </c>
      <c r="O58" s="18" t="n">
        <v>5924748.8</v>
      </c>
      <c r="P58" s="37" t="n">
        <v>5924748.8</v>
      </c>
      <c r="Q58" s="18" t="n">
        <v>5984306.07</v>
      </c>
      <c r="R58" s="18" t="n">
        <v>6104086.58</v>
      </c>
      <c r="S58" s="18" t="n">
        <v>6109849.5</v>
      </c>
      <c r="T58" s="18" t="n">
        <v>5736333</v>
      </c>
      <c r="U58" s="37" t="n">
        <v>5736333</v>
      </c>
      <c r="V58" s="18" t="n">
        <v>5726193</v>
      </c>
      <c r="W58" s="18" t="n">
        <v>5906168</v>
      </c>
      <c r="X58" s="18" t="n">
        <v>5899551</v>
      </c>
      <c r="Y58" s="18" t="n">
        <v>6200335</v>
      </c>
      <c r="Z58" s="37" t="n">
        <v>6200335</v>
      </c>
      <c r="AA58" s="18" t="n">
        <v>6273603</v>
      </c>
      <c r="AB58" s="19" t="n">
        <v>6233678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부채와자본총계</t>
        </is>
      </c>
      <c r="E59" s="18" t="n">
        <v>14031871.12</v>
      </c>
      <c r="F59" s="37" t="n">
        <v>14031871.12</v>
      </c>
      <c r="G59" s="18" t="n">
        <v>14125015</v>
      </c>
      <c r="H59" s="18" t="n">
        <v>14217203.81</v>
      </c>
      <c r="I59" s="18" t="n">
        <v>14648601.16</v>
      </c>
      <c r="J59" s="18" t="n">
        <v>13189540.46</v>
      </c>
      <c r="K59" s="37" t="n">
        <v>13189540.46</v>
      </c>
      <c r="L59" s="18" t="n">
        <v>13461725.49</v>
      </c>
      <c r="M59" s="18" t="n">
        <v>14145944.11</v>
      </c>
      <c r="N59" s="18" t="n">
        <v>13800866.3</v>
      </c>
      <c r="O59" s="18" t="n">
        <v>13684508.99</v>
      </c>
      <c r="P59" s="37" t="n">
        <v>13684508.99</v>
      </c>
      <c r="Q59" s="18" t="n">
        <v>13897429.1</v>
      </c>
      <c r="R59" s="18" t="n">
        <v>13794798.39</v>
      </c>
      <c r="S59" s="18" t="n">
        <v>13739023.66</v>
      </c>
      <c r="T59" s="18" t="n">
        <v>13756874</v>
      </c>
      <c r="U59" s="37" t="n">
        <v>13756874</v>
      </c>
      <c r="V59" s="18" t="n">
        <v>13930455</v>
      </c>
      <c r="W59" s="18" t="n">
        <v>13953271</v>
      </c>
      <c r="X59" s="18" t="n">
        <v>14226374</v>
      </c>
      <c r="Y59" s="18" t="n">
        <v>14866375</v>
      </c>
      <c r="Z59" s="37" t="n">
        <v>14866375</v>
      </c>
      <c r="AA59" s="18" t="n">
        <v>15136392</v>
      </c>
      <c r="AB59" s="19" t="n">
        <v>15770709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지배주주지분</t>
        </is>
      </c>
      <c r="E60" s="18" t="n">
        <v>5701584.33</v>
      </c>
      <c r="F60" s="37" t="n">
        <v>5701584.33</v>
      </c>
      <c r="G60" s="18" t="n">
        <v>7125333.26</v>
      </c>
      <c r="H60" s="18" t="n">
        <v>7031325.22</v>
      </c>
      <c r="I60" s="18" t="n">
        <v>7014809.95</v>
      </c>
      <c r="J60" s="18" t="n">
        <v>6113631.9</v>
      </c>
      <c r="K60" s="37" t="n">
        <v>6113631.9</v>
      </c>
      <c r="L60" s="18" t="n">
        <v>6184136.04</v>
      </c>
      <c r="M60" s="18" t="n">
        <v>6249374.67</v>
      </c>
      <c r="N60" s="18" t="n">
        <v>6222316.41</v>
      </c>
      <c r="O60" s="18" t="n">
        <v>5924748.8</v>
      </c>
      <c r="P60" s="37" t="n">
        <v>5924748.8</v>
      </c>
      <c r="Q60" s="18" t="n">
        <v>5984306.07</v>
      </c>
      <c r="R60" s="18" t="n">
        <v>6104086.58</v>
      </c>
      <c r="S60" s="18" t="n">
        <v>6109849.5</v>
      </c>
      <c r="T60" s="18" t="n">
        <v>5736333</v>
      </c>
      <c r="U60" s="37" t="n">
        <v>5736333</v>
      </c>
      <c r="V60" s="18" t="n">
        <v>5726193</v>
      </c>
      <c r="W60" s="18" t="n">
        <v>5906168</v>
      </c>
      <c r="X60" s="18" t="n">
        <v>5899551</v>
      </c>
      <c r="Y60" s="18" t="n">
        <v>6200335</v>
      </c>
      <c r="Z60" s="37" t="n">
        <v>6200335</v>
      </c>
      <c r="AA60" s="18" t="n">
        <v>6273603</v>
      </c>
      <c r="AB60" s="19" t="n">
        <v>6233678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총차입금</t>
        </is>
      </c>
      <c r="E61" s="18" t="n">
        <v>4723779.06</v>
      </c>
      <c r="F61" s="37" t="n">
        <v>4723779.06</v>
      </c>
      <c r="G61" s="18" t="n">
        <v>3227326.82</v>
      </c>
      <c r="H61" s="18" t="n">
        <v>3276323.85</v>
      </c>
      <c r="I61" s="18" t="n">
        <v>3384168.07</v>
      </c>
      <c r="J61" s="18" t="n">
        <v>3263860.83</v>
      </c>
      <c r="K61" s="37" t="n">
        <v>3263860.83</v>
      </c>
      <c r="L61" s="18" t="n">
        <v>3387798.75</v>
      </c>
      <c r="M61" s="18" t="n">
        <v>3280258.85</v>
      </c>
      <c r="N61" s="18" t="n">
        <v>3133666.18</v>
      </c>
      <c r="O61" s="18" t="n">
        <v>3081973.08</v>
      </c>
      <c r="P61" s="37" t="n">
        <v>3081973.08</v>
      </c>
      <c r="Q61" s="18" t="n">
        <v>3139832.5</v>
      </c>
      <c r="R61" s="18" t="n">
        <v>3282326.43</v>
      </c>
      <c r="S61" s="18" t="n">
        <v>3760830.02</v>
      </c>
      <c r="T61" s="18" t="n">
        <v>3537630</v>
      </c>
      <c r="U61" s="37" t="n">
        <v>3537630</v>
      </c>
      <c r="V61" s="18" t="n">
        <v>3955257</v>
      </c>
      <c r="W61" s="18" t="n">
        <v>3993860</v>
      </c>
      <c r="X61" s="18" t="n">
        <v>4389872</v>
      </c>
      <c r="Y61" s="18" t="n">
        <v>3661372</v>
      </c>
      <c r="Z61" s="37" t="n">
        <v>3661372</v>
      </c>
      <c r="AA61" s="18" t="n">
        <v>4269180</v>
      </c>
      <c r="AB61" s="19" t="n">
        <v>4567327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순차입금</t>
        </is>
      </c>
      <c r="E62" s="18" t="n">
        <v>3662359.24</v>
      </c>
      <c r="F62" s="37" t="n">
        <v>3662359.24</v>
      </c>
      <c r="G62" s="18" t="n">
        <v>2398171.51</v>
      </c>
      <c r="H62" s="18" t="n">
        <v>2441444.21</v>
      </c>
      <c r="I62" s="18" t="n">
        <v>2270010.4</v>
      </c>
      <c r="J62" s="18" t="n">
        <v>2439892.12</v>
      </c>
      <c r="K62" s="37" t="n">
        <v>2439892.12</v>
      </c>
      <c r="L62" s="18" t="n">
        <v>2622859.98</v>
      </c>
      <c r="M62" s="18" t="n">
        <v>1927707.34</v>
      </c>
      <c r="N62" s="18" t="n">
        <v>2297446.82</v>
      </c>
      <c r="O62" s="18" t="n">
        <v>2144497.68</v>
      </c>
      <c r="P62" s="37" t="n">
        <v>2144497.68</v>
      </c>
      <c r="Q62" s="18" t="n">
        <v>2190523.58</v>
      </c>
      <c r="R62" s="18" t="n">
        <v>2498328.13</v>
      </c>
      <c r="S62" s="18" t="n">
        <v>3174954.31</v>
      </c>
      <c r="T62" s="18" t="n">
        <v>2644531</v>
      </c>
      <c r="U62" s="37" t="n">
        <v>2644531</v>
      </c>
      <c r="V62" s="18" t="n">
        <v>3418879</v>
      </c>
      <c r="W62" s="18" t="n">
        <v>3718951</v>
      </c>
      <c r="X62" s="18" t="n">
        <v>4033973</v>
      </c>
      <c r="Y62" s="18" t="n">
        <v>2781136</v>
      </c>
      <c r="Z62" s="37" t="n">
        <v>2781136</v>
      </c>
      <c r="AA62" s="18" t="n">
        <v>3521685</v>
      </c>
      <c r="AB62" s="19" t="n">
        <v>3988438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이자발생자산</t>
        </is>
      </c>
      <c r="E63" s="18" t="n">
        <v>1260788.11</v>
      </c>
      <c r="F63" s="37" t="n">
        <v>1260788.11</v>
      </c>
      <c r="G63" s="18" t="n">
        <v>1034175.17</v>
      </c>
      <c r="H63" s="18" t="n">
        <v>1053897.29</v>
      </c>
      <c r="I63" s="18" t="n">
        <v>1352239.79</v>
      </c>
      <c r="J63" s="18" t="n">
        <v>1033286.96</v>
      </c>
      <c r="K63" s="37" t="n">
        <v>1033286.96</v>
      </c>
      <c r="L63" s="18" t="n">
        <v>977062.34</v>
      </c>
      <c r="M63" s="18" t="n">
        <v>1553851.39</v>
      </c>
      <c r="N63" s="18" t="n">
        <v>1029711.3</v>
      </c>
      <c r="O63" s="18" t="n">
        <v>1113558.33</v>
      </c>
      <c r="P63" s="37" t="n">
        <v>1113558.33</v>
      </c>
      <c r="Q63" s="18" t="n">
        <v>1137884.4</v>
      </c>
      <c r="R63" s="18" t="n">
        <v>1011774.07</v>
      </c>
      <c r="S63" s="18" t="n">
        <v>804451.98</v>
      </c>
      <c r="T63" s="18" t="n">
        <v>1195017</v>
      </c>
      <c r="U63" s="37" t="n">
        <v>1195017</v>
      </c>
      <c r="V63" s="18" t="n">
        <v>857932</v>
      </c>
      <c r="W63" s="18" t="n">
        <v>722750</v>
      </c>
      <c r="X63" s="18" t="n">
        <v>830333</v>
      </c>
      <c r="Y63" s="18" t="n">
        <v>1226791</v>
      </c>
      <c r="Z63" s="37" t="n">
        <v>1226791</v>
      </c>
      <c r="AA63" s="18" t="n">
        <v>1087163</v>
      </c>
      <c r="AB63" s="19" t="n">
        <v>933064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장기매출채권및기타채권</t>
        </is>
      </c>
      <c r="F64" s="9" t="n"/>
      <c r="H64" s="18" t="n">
        <v>5000</v>
      </c>
      <c r="I64" s="18" t="n">
        <v>15000</v>
      </c>
      <c r="J64" s="18" t="n">
        <v>48236</v>
      </c>
      <c r="K64" s="37" t="n">
        <v>48236</v>
      </c>
      <c r="L64" s="18" t="n">
        <v>42428.83</v>
      </c>
      <c r="M64" s="18" t="n">
        <v>37428.83</v>
      </c>
      <c r="N64" s="18" t="n">
        <v>37428.83</v>
      </c>
      <c r="O64" s="18" t="n">
        <v>10916</v>
      </c>
      <c r="P64" s="37" t="n">
        <v>10916</v>
      </c>
      <c r="Q64" s="18" t="n">
        <v>10416</v>
      </c>
      <c r="R64" s="18" t="n">
        <v>5416</v>
      </c>
      <c r="S64" s="18" t="n">
        <v>8738.41</v>
      </c>
      <c r="T64" s="18" t="n">
        <v>9542</v>
      </c>
      <c r="U64" s="37" t="n">
        <v>9542</v>
      </c>
      <c r="V64" s="18" t="n">
        <v>9036</v>
      </c>
      <c r="W64" s="18" t="n">
        <v>8926</v>
      </c>
      <c r="X64" s="18" t="n">
        <v>9488</v>
      </c>
      <c r="Y64" s="18" t="n">
        <v>10342</v>
      </c>
      <c r="Z64" s="37" t="n">
        <v>10342</v>
      </c>
      <c r="AA64" s="18" t="n">
        <v>9720</v>
      </c>
      <c r="AB64" s="19" t="n">
        <v>9748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당기법인세부채(미지급법인세)</t>
        </is>
      </c>
      <c r="F65" s="9" t="n"/>
      <c r="K65" s="9" t="n"/>
      <c r="N65" s="18" t="n">
        <v>187.07</v>
      </c>
      <c r="O65" s="18" t="n">
        <v>1090.37</v>
      </c>
      <c r="P65" s="37" t="n">
        <v>1090.37</v>
      </c>
      <c r="Q65" s="18" t="n">
        <v>2828.72</v>
      </c>
      <c r="R65" s="18" t="n">
        <v>1415.19</v>
      </c>
      <c r="S65" s="18" t="n">
        <v>0</v>
      </c>
      <c r="T65" s="18" t="n">
        <v>1039</v>
      </c>
      <c r="U65" s="37" t="n">
        <v>1039</v>
      </c>
      <c r="V65" s="18" t="n">
        <v>1299</v>
      </c>
      <c r="W65" s="18" t="n">
        <v>1559</v>
      </c>
      <c r="X65" s="18" t="n">
        <v>1818</v>
      </c>
      <c r="Y65" s="18" t="n">
        <v>10665</v>
      </c>
      <c r="Z65" s="37" t="n">
        <v>10665</v>
      </c>
      <c r="AA65" s="18" t="n">
        <v>6453</v>
      </c>
      <c r="AB65" s="19" t="n">
        <v>105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1053714.24</v>
      </c>
      <c r="F66" s="9" t="n"/>
      <c r="G66" s="18" t="n">
        <v>1126263.85</v>
      </c>
      <c r="H66" s="18" t="n">
        <v>1320100.8</v>
      </c>
      <c r="I66" s="18" t="n">
        <v>1233930.61</v>
      </c>
      <c r="J66" s="18" t="n">
        <v>1604144.15</v>
      </c>
      <c r="K66" s="37" t="n">
        <v>5284439.41</v>
      </c>
      <c r="L66" s="18" t="n">
        <v>1390656.12</v>
      </c>
      <c r="M66" s="18" t="n">
        <v>1615492.62</v>
      </c>
      <c r="N66" s="18" t="n">
        <v>1513033.39</v>
      </c>
      <c r="O66" s="18" t="n">
        <v>2132680.33</v>
      </c>
      <c r="P66" s="37" t="n">
        <v>6651862.46</v>
      </c>
      <c r="Q66" s="18" t="n">
        <v>1429821.7</v>
      </c>
      <c r="R66" s="18" t="n">
        <v>1555700.16</v>
      </c>
      <c r="S66" s="18" t="n">
        <v>1349497.97</v>
      </c>
      <c r="T66" s="18" t="n">
        <v>1985284.17</v>
      </c>
      <c r="U66" s="37" t="n">
        <v>6320304</v>
      </c>
      <c r="V66" s="18" t="n">
        <v>1441969</v>
      </c>
      <c r="W66" s="18" t="n">
        <v>2076059</v>
      </c>
      <c r="X66" s="18" t="n">
        <v>1507134</v>
      </c>
      <c r="Y66" s="18" t="n">
        <v>2091861</v>
      </c>
      <c r="Z66" s="37" t="n">
        <v>7117023</v>
      </c>
      <c r="AA66" s="18" t="n">
        <v>1714038</v>
      </c>
      <c r="AB66" s="19" t="n">
        <v>2046572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979283.05</v>
      </c>
      <c r="F67" s="9" t="n"/>
      <c r="G67" s="18" t="n">
        <v>967523.6800000001</v>
      </c>
      <c r="H67" s="18" t="n">
        <v>1192687.64</v>
      </c>
      <c r="I67" s="18" t="n">
        <v>1110082.66</v>
      </c>
      <c r="J67" s="18" t="n">
        <v>1510864.37</v>
      </c>
      <c r="K67" s="37" t="n">
        <v>4781158.35</v>
      </c>
      <c r="L67" s="18" t="n">
        <v>1216255.77</v>
      </c>
      <c r="M67" s="18" t="n">
        <v>1412117.92</v>
      </c>
      <c r="N67" s="18" t="n">
        <v>1362484.05</v>
      </c>
      <c r="O67" s="18" t="n">
        <v>1811758.89</v>
      </c>
      <c r="P67" s="37" t="n">
        <v>5802616.63</v>
      </c>
      <c r="Q67" s="18" t="n">
        <v>1285172.17</v>
      </c>
      <c r="R67" s="18" t="n">
        <v>1345120.39</v>
      </c>
      <c r="S67" s="18" t="n">
        <v>1179224.9</v>
      </c>
      <c r="T67" s="18" t="n">
        <v>1669877.54</v>
      </c>
      <c r="U67" s="37" t="n">
        <v>5479395</v>
      </c>
      <c r="V67" s="18" t="n">
        <v>1287590</v>
      </c>
      <c r="W67" s="18" t="n">
        <v>1807089</v>
      </c>
      <c r="X67" s="18" t="n">
        <v>1308855</v>
      </c>
      <c r="Y67" s="18" t="n">
        <v>1700519</v>
      </c>
      <c r="Z67" s="37" t="n">
        <v>6104053</v>
      </c>
      <c r="AA67" s="18" t="n">
        <v>1492548</v>
      </c>
      <c r="AB67" s="19" t="n">
        <v>1755943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74431.2</v>
      </c>
      <c r="F68" s="9" t="n"/>
      <c r="G68" s="18" t="n">
        <v>158740.18</v>
      </c>
      <c r="H68" s="18" t="n">
        <v>127413.16</v>
      </c>
      <c r="I68" s="18" t="n">
        <v>123847.95</v>
      </c>
      <c r="J68" s="18" t="n">
        <v>93279.78</v>
      </c>
      <c r="K68" s="37" t="n">
        <v>503281.07</v>
      </c>
      <c r="L68" s="18" t="n">
        <v>174400.34</v>
      </c>
      <c r="M68" s="18" t="n">
        <v>203374.7</v>
      </c>
      <c r="N68" s="18" t="n">
        <v>150549.35</v>
      </c>
      <c r="O68" s="18" t="n">
        <v>320921.44</v>
      </c>
      <c r="P68" s="37" t="n">
        <v>849245.83</v>
      </c>
      <c r="Q68" s="18" t="n">
        <v>144649.54</v>
      </c>
      <c r="R68" s="18" t="n">
        <v>210579.77</v>
      </c>
      <c r="S68" s="18" t="n">
        <v>170273.07</v>
      </c>
      <c r="T68" s="18" t="n">
        <v>315406.63</v>
      </c>
      <c r="U68" s="37" t="n">
        <v>840909.01</v>
      </c>
      <c r="V68" s="18" t="n">
        <v>154379</v>
      </c>
      <c r="W68" s="18" t="n">
        <v>268970</v>
      </c>
      <c r="X68" s="18" t="n">
        <v>198279</v>
      </c>
      <c r="Y68" s="18" t="n">
        <v>391342</v>
      </c>
      <c r="Z68" s="37" t="n">
        <v>1012970</v>
      </c>
      <c r="AA68" s="18" t="n">
        <v>221490</v>
      </c>
      <c r="AB68" s="19" t="n">
        <v>290629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104029.56</v>
      </c>
      <c r="F69" s="9" t="n"/>
      <c r="G69" s="18" t="n">
        <v>103383.48</v>
      </c>
      <c r="H69" s="18" t="n">
        <v>106705.65</v>
      </c>
      <c r="I69" s="18" t="n">
        <v>80431.3</v>
      </c>
      <c r="J69" s="18" t="n">
        <v>127455.24</v>
      </c>
      <c r="K69" s="37" t="n">
        <v>417975.67</v>
      </c>
      <c r="L69" s="18" t="n">
        <v>81435.13</v>
      </c>
      <c r="M69" s="18" t="n">
        <v>99980.89</v>
      </c>
      <c r="N69" s="18" t="n">
        <v>94846.13</v>
      </c>
      <c r="O69" s="18" t="n">
        <v>118125.4</v>
      </c>
      <c r="P69" s="37" t="n">
        <v>394387.55</v>
      </c>
      <c r="Q69" s="18" t="n">
        <v>81881.45</v>
      </c>
      <c r="R69" s="18" t="n">
        <v>93097.53999999999</v>
      </c>
      <c r="S69" s="18" t="n">
        <v>94428.78999999999</v>
      </c>
      <c r="T69" s="18" t="n">
        <v>178074.22</v>
      </c>
      <c r="U69" s="37" t="n">
        <v>447482</v>
      </c>
      <c r="V69" s="18" t="n">
        <v>108341</v>
      </c>
      <c r="W69" s="18" t="n">
        <v>123335</v>
      </c>
      <c r="X69" s="18" t="n">
        <v>118213</v>
      </c>
      <c r="Y69" s="18" t="n">
        <v>167075</v>
      </c>
      <c r="Z69" s="37" t="n">
        <v>516964</v>
      </c>
      <c r="AA69" s="18" t="n">
        <v>134966</v>
      </c>
      <c r="AB69" s="19" t="n">
        <v>177513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-29598.36</v>
      </c>
      <c r="F70" s="9" t="n"/>
      <c r="G70" s="18" t="n">
        <v>55356.7</v>
      </c>
      <c r="H70" s="18" t="n">
        <v>20707.51</v>
      </c>
      <c r="I70" s="18" t="n">
        <v>43416.64</v>
      </c>
      <c r="J70" s="18" t="n">
        <v>-34175.46</v>
      </c>
      <c r="K70" s="37" t="n">
        <v>85305.39</v>
      </c>
      <c r="L70" s="18" t="n">
        <v>92965.22</v>
      </c>
      <c r="M70" s="18" t="n">
        <v>103393.81</v>
      </c>
      <c r="N70" s="18" t="n">
        <v>55703.21</v>
      </c>
      <c r="O70" s="18" t="n">
        <v>202796.04</v>
      </c>
      <c r="P70" s="37" t="n">
        <v>454858.28</v>
      </c>
      <c r="Q70" s="18" t="n">
        <v>62768.08</v>
      </c>
      <c r="R70" s="18" t="n">
        <v>117482.22</v>
      </c>
      <c r="S70" s="18" t="n">
        <v>75844.28</v>
      </c>
      <c r="T70" s="18" t="n">
        <v>137332.41</v>
      </c>
      <c r="U70" s="37" t="n">
        <v>393426.99</v>
      </c>
      <c r="V70" s="18" t="n">
        <v>46038</v>
      </c>
      <c r="W70" s="18" t="n">
        <v>145635</v>
      </c>
      <c r="X70" s="18" t="n">
        <v>80066</v>
      </c>
      <c r="Y70" s="18" t="n">
        <v>224267</v>
      </c>
      <c r="Z70" s="37" t="n">
        <v>496006</v>
      </c>
      <c r="AA70" s="18" t="n">
        <v>86524</v>
      </c>
      <c r="AB70" s="19" t="n">
        <v>113116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-50598.66</v>
      </c>
      <c r="F71" s="9" t="n"/>
      <c r="G71" s="18" t="n">
        <v>-70937.00999999999</v>
      </c>
      <c r="H71" s="18" t="n">
        <v>-123038.31</v>
      </c>
      <c r="I71" s="18" t="n">
        <v>-62833.09</v>
      </c>
      <c r="J71" s="18" t="n">
        <v>24898.46</v>
      </c>
      <c r="K71" s="37" t="n">
        <v>-231909.95</v>
      </c>
      <c r="L71" s="18" t="n">
        <v>-34254.83</v>
      </c>
      <c r="M71" s="18" t="n">
        <v>-27537.68</v>
      </c>
      <c r="N71" s="18" t="n">
        <v>-42130.32</v>
      </c>
      <c r="O71" s="18" t="n">
        <v>-33284</v>
      </c>
      <c r="P71" s="37" t="n">
        <v>-137206.83</v>
      </c>
      <c r="Q71" s="18" t="n">
        <v>-14854.07</v>
      </c>
      <c r="R71" s="18" t="n">
        <v>-39342.66</v>
      </c>
      <c r="S71" s="18" t="n">
        <v>-25275.08</v>
      </c>
      <c r="T71" s="18" t="n">
        <v>-69582.19</v>
      </c>
      <c r="U71" s="37" t="n">
        <v>-149054</v>
      </c>
      <c r="V71" s="18" t="n">
        <v>-38997</v>
      </c>
      <c r="W71" s="18" t="n">
        <v>22019</v>
      </c>
      <c r="X71" s="18" t="n">
        <v>-90824</v>
      </c>
      <c r="Y71" s="18" t="n">
        <v>-24834</v>
      </c>
      <c r="Z71" s="37" t="n">
        <v>-132636</v>
      </c>
      <c r="AA71" s="18" t="n">
        <v>-101583</v>
      </c>
      <c r="AB71" s="19" t="n">
        <v>26922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28515.04</v>
      </c>
      <c r="F72" s="9" t="n"/>
      <c r="G72" s="18" t="n">
        <v>108586.21</v>
      </c>
      <c r="H72" s="18" t="n">
        <v>319193.52</v>
      </c>
      <c r="I72" s="18" t="n">
        <v>533885.34</v>
      </c>
      <c r="J72" s="18" t="n">
        <v>-388869.17</v>
      </c>
      <c r="K72" s="37" t="n">
        <v>572795.9</v>
      </c>
      <c r="L72" s="18" t="n">
        <v>220348.24</v>
      </c>
      <c r="M72" s="18" t="n">
        <v>139885.25</v>
      </c>
      <c r="N72" s="18" t="n">
        <v>155422.13</v>
      </c>
      <c r="O72" s="18" t="n">
        <v>-57330.46</v>
      </c>
      <c r="P72" s="37" t="n">
        <v>458325.16</v>
      </c>
      <c r="Q72" s="18" t="n">
        <v>288620.9</v>
      </c>
      <c r="R72" s="18" t="n">
        <v>206253.4</v>
      </c>
      <c r="S72" s="18" t="n">
        <v>-103250.06</v>
      </c>
      <c r="T72" s="18" t="n">
        <v>521591.75</v>
      </c>
      <c r="U72" s="37" t="n">
        <v>913215.99</v>
      </c>
      <c r="V72" s="18" t="n">
        <v>177241</v>
      </c>
      <c r="W72" s="18" t="n">
        <v>342746</v>
      </c>
      <c r="X72" s="18" t="n">
        <v>-26611</v>
      </c>
      <c r="Y72" s="18" t="n">
        <v>207502</v>
      </c>
      <c r="Z72" s="37" t="n">
        <v>700878</v>
      </c>
      <c r="AA72" s="18" t="n">
        <v>473603</v>
      </c>
      <c r="AB72" s="19" t="n">
        <v>313250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79113.7</v>
      </c>
      <c r="F73" s="9" t="n"/>
      <c r="G73" s="18" t="n">
        <v>179523.22</v>
      </c>
      <c r="H73" s="18" t="n">
        <v>442231.83</v>
      </c>
      <c r="I73" s="18" t="n">
        <v>596718.4300000001</v>
      </c>
      <c r="J73" s="18" t="n">
        <v>-413767.63</v>
      </c>
      <c r="K73" s="37" t="n">
        <v>804705.85</v>
      </c>
      <c r="L73" s="18" t="n">
        <v>254603.08</v>
      </c>
      <c r="M73" s="18" t="n">
        <v>167422.93</v>
      </c>
      <c r="N73" s="18" t="n">
        <v>197552.45</v>
      </c>
      <c r="O73" s="18" t="n">
        <v>-24046.45</v>
      </c>
      <c r="P73" s="37" t="n">
        <v>595532.01</v>
      </c>
      <c r="Q73" s="18" t="n">
        <v>303474.97</v>
      </c>
      <c r="R73" s="18" t="n">
        <v>245596.05</v>
      </c>
      <c r="S73" s="18" t="n">
        <v>-77974.97</v>
      </c>
      <c r="T73" s="18" t="n">
        <v>591173.95</v>
      </c>
      <c r="U73" s="37" t="n">
        <v>1062270</v>
      </c>
      <c r="V73" s="18" t="n">
        <v>216238</v>
      </c>
      <c r="W73" s="18" t="n">
        <v>320727</v>
      </c>
      <c r="X73" s="18" t="n">
        <v>64213</v>
      </c>
      <c r="Y73" s="18" t="n">
        <v>232336</v>
      </c>
      <c r="Z73" s="37" t="n">
        <v>833514</v>
      </c>
      <c r="AA73" s="18" t="n">
        <v>575186</v>
      </c>
      <c r="AB73" s="19" t="n">
        <v>286328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-230996.58</v>
      </c>
      <c r="F74" s="9" t="n"/>
      <c r="G74" s="18" t="n">
        <v>3037.67</v>
      </c>
      <c r="H74" s="18" t="n">
        <v>-131526.99</v>
      </c>
      <c r="I74" s="18" t="n">
        <v>-71102.52</v>
      </c>
      <c r="J74" s="18" t="n">
        <v>-974294.05</v>
      </c>
      <c r="K74" s="37" t="n">
        <v>-1173885.89</v>
      </c>
      <c r="L74" s="18" t="n">
        <v>-29832.17</v>
      </c>
      <c r="M74" s="18" t="n">
        <v>15541.98</v>
      </c>
      <c r="N74" s="18" t="n">
        <v>-49042.48</v>
      </c>
      <c r="O74" s="18" t="n">
        <v>-489016.98</v>
      </c>
      <c r="P74" s="37" t="n">
        <v>-552349.65</v>
      </c>
      <c r="Q74" s="18" t="n">
        <v>15684.99</v>
      </c>
      <c r="R74" s="18" t="n">
        <v>45750.24</v>
      </c>
      <c r="S74" s="18" t="n">
        <v>-8925.5</v>
      </c>
      <c r="T74" s="18" t="n">
        <v>-469968.73</v>
      </c>
      <c r="U74" s="37" t="n">
        <v>-417459</v>
      </c>
      <c r="V74" s="18" t="n">
        <v>-31009</v>
      </c>
      <c r="W74" s="18" t="n">
        <v>107611</v>
      </c>
      <c r="X74" s="18" t="n">
        <v>-39983</v>
      </c>
      <c r="Y74" s="18" t="n">
        <v>17235</v>
      </c>
      <c r="Z74" s="37" t="n">
        <v>53854</v>
      </c>
      <c r="AA74" s="18" t="n">
        <v>-13851</v>
      </c>
      <c r="AB74" s="19" t="n">
        <v>-59470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11616.93</v>
      </c>
      <c r="F75" s="9" t="n"/>
      <c r="G75" s="18" t="n">
        <v>25395.81</v>
      </c>
      <c r="H75" s="18" t="n">
        <v>65777.24000000001</v>
      </c>
      <c r="I75" s="18" t="n">
        <v>23104.76</v>
      </c>
      <c r="J75" s="18" t="n">
        <v>272.85</v>
      </c>
      <c r="K75" s="37" t="n">
        <v>114550.66</v>
      </c>
      <c r="L75" s="18" t="n">
        <v>3427.7</v>
      </c>
      <c r="M75" s="18" t="n">
        <v>39756.35</v>
      </c>
      <c r="N75" s="18" t="n">
        <v>3072.79</v>
      </c>
      <c r="O75" s="18" t="n">
        <v>23982.05</v>
      </c>
      <c r="P75" s="37" t="n">
        <v>70238.89</v>
      </c>
      <c r="Q75" s="18" t="n">
        <v>43238.63</v>
      </c>
      <c r="R75" s="18" t="n">
        <v>56086.19</v>
      </c>
      <c r="S75" s="18" t="n">
        <v>1361.75</v>
      </c>
      <c r="T75" s="18" t="n">
        <v>56128.43</v>
      </c>
      <c r="U75" s="37" t="n">
        <v>156815</v>
      </c>
      <c r="V75" s="18" t="n">
        <v>3984</v>
      </c>
      <c r="W75" s="18" t="n">
        <v>109754</v>
      </c>
      <c r="X75" s="18" t="n">
        <v>-9915</v>
      </c>
      <c r="Y75" s="18" t="n">
        <v>447459</v>
      </c>
      <c r="Z75" s="37" t="n">
        <v>551282</v>
      </c>
      <c r="AA75" s="18" t="n">
        <v>4253</v>
      </c>
      <c r="AB75" s="19" t="n">
        <v>19746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242613.51</v>
      </c>
      <c r="F76" s="9" t="n"/>
      <c r="G76" s="18" t="n">
        <v>22358.15</v>
      </c>
      <c r="H76" s="18" t="n">
        <v>197304.24</v>
      </c>
      <c r="I76" s="18" t="n">
        <v>94207.28</v>
      </c>
      <c r="J76" s="18" t="n">
        <v>974566.89</v>
      </c>
      <c r="K76" s="37" t="n">
        <v>1288436.56</v>
      </c>
      <c r="L76" s="18" t="n">
        <v>33259.87</v>
      </c>
      <c r="M76" s="18" t="n">
        <v>24214.37</v>
      </c>
      <c r="N76" s="18" t="n">
        <v>52115.28</v>
      </c>
      <c r="O76" s="18" t="n">
        <v>512999.03</v>
      </c>
      <c r="P76" s="37" t="n">
        <v>622588.55</v>
      </c>
      <c r="Q76" s="18" t="n">
        <v>27553.64</v>
      </c>
      <c r="R76" s="18" t="n">
        <v>10335.96</v>
      </c>
      <c r="S76" s="18" t="n">
        <v>10287.24</v>
      </c>
      <c r="T76" s="18" t="n">
        <v>526097.16</v>
      </c>
      <c r="U76" s="37" t="n">
        <v>574274</v>
      </c>
      <c r="V76" s="18" t="n">
        <v>34993</v>
      </c>
      <c r="W76" s="18" t="n">
        <v>2143</v>
      </c>
      <c r="X76" s="18" t="n">
        <v>30068</v>
      </c>
      <c r="Y76" s="18" t="n">
        <v>430224</v>
      </c>
      <c r="Z76" s="37" t="n">
        <v>497428</v>
      </c>
      <c r="AA76" s="18" t="n">
        <v>18104</v>
      </c>
      <c r="AB76" s="19" t="n">
        <v>79216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E77" s="18" t="n">
        <v>-311193.61</v>
      </c>
      <c r="F77" s="9" t="n"/>
      <c r="G77" s="18" t="n">
        <v>-12542.65</v>
      </c>
      <c r="H77" s="18" t="n">
        <v>-233857.79</v>
      </c>
      <c r="I77" s="18" t="n">
        <v>-90518.97</v>
      </c>
      <c r="J77" s="18" t="n">
        <v>-983571.04</v>
      </c>
      <c r="K77" s="37" t="n">
        <v>-1320490.45</v>
      </c>
      <c r="L77" s="18" t="n">
        <v>28878.22</v>
      </c>
      <c r="M77" s="18" t="n">
        <v>91398.11</v>
      </c>
      <c r="N77" s="18" t="n">
        <v>-35469.59</v>
      </c>
      <c r="O77" s="18" t="n">
        <v>-319504.95</v>
      </c>
      <c r="P77" s="37" t="n">
        <v>-234698.21</v>
      </c>
      <c r="Q77" s="18" t="n">
        <v>63599</v>
      </c>
      <c r="R77" s="18" t="n">
        <v>123889.81</v>
      </c>
      <c r="S77" s="18" t="n">
        <v>41643.7</v>
      </c>
      <c r="T77" s="18" t="n">
        <v>-402218.51</v>
      </c>
      <c r="U77" s="37" t="n">
        <v>-173086</v>
      </c>
      <c r="V77" s="18" t="n">
        <v>-23968</v>
      </c>
      <c r="W77" s="18" t="n">
        <v>275265</v>
      </c>
      <c r="X77" s="18" t="n">
        <v>-50741</v>
      </c>
      <c r="Y77" s="18" t="n">
        <v>216668</v>
      </c>
      <c r="Z77" s="37" t="n">
        <v>417224</v>
      </c>
      <c r="AA77" s="18" t="n">
        <v>-28910</v>
      </c>
      <c r="AB77" s="19" t="n">
        <v>80568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E78" s="18" t="n">
        <v>-210112.42</v>
      </c>
      <c r="F78" s="9" t="n"/>
      <c r="G78" s="18" t="n">
        <v>832.24</v>
      </c>
      <c r="H78" s="18" t="n">
        <v>-2796</v>
      </c>
      <c r="I78" s="18" t="n">
        <v>-5147.45</v>
      </c>
      <c r="J78" s="18" t="n">
        <v>-101535.86</v>
      </c>
      <c r="K78" s="37" t="n">
        <v>-108647.07</v>
      </c>
      <c r="L78" s="18" t="n">
        <v>-501.1</v>
      </c>
      <c r="M78" s="18" t="n">
        <v>8130.17</v>
      </c>
      <c r="N78" s="18" t="n">
        <v>-308.03</v>
      </c>
      <c r="O78" s="18" t="n">
        <v>-137839.93</v>
      </c>
      <c r="P78" s="37" t="n">
        <v>-130518.89</v>
      </c>
      <c r="Q78" s="18" t="n">
        <v>14327.68</v>
      </c>
      <c r="R78" s="18" t="n">
        <v>12415.31</v>
      </c>
      <c r="S78" s="18" t="n">
        <v>27383.96</v>
      </c>
      <c r="T78" s="18" t="n">
        <v>-56907.95</v>
      </c>
      <c r="U78" s="37" t="n">
        <v>-2781</v>
      </c>
      <c r="V78" s="18" t="n">
        <v>1243</v>
      </c>
      <c r="W78" s="18" t="n">
        <v>50385</v>
      </c>
      <c r="X78" s="18" t="n">
        <v>-18696</v>
      </c>
      <c r="Y78" s="18" t="n">
        <v>-123374</v>
      </c>
      <c r="Z78" s="37" t="n">
        <v>-90442</v>
      </c>
      <c r="AA78" s="18" t="n">
        <v>-3151</v>
      </c>
      <c r="AB78" s="19" t="n">
        <v>19343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당기순이익</t>
        </is>
      </c>
      <c r="E79" s="18" t="n">
        <v>-101081.18</v>
      </c>
      <c r="F79" s="9" t="n"/>
      <c r="G79" s="18" t="n">
        <v>-13374.89</v>
      </c>
      <c r="H79" s="18" t="n">
        <v>-231061.79</v>
      </c>
      <c r="I79" s="18" t="n">
        <v>-85371.52</v>
      </c>
      <c r="J79" s="18" t="n">
        <v>-882035.17</v>
      </c>
      <c r="K79" s="37" t="n">
        <v>-1211843.37</v>
      </c>
      <c r="L79" s="18" t="n">
        <v>29379.32</v>
      </c>
      <c r="M79" s="18" t="n">
        <v>83267.95</v>
      </c>
      <c r="N79" s="18" t="n">
        <v>-35161.56</v>
      </c>
      <c r="O79" s="18" t="n">
        <v>-181665.01</v>
      </c>
      <c r="P79" s="37" t="n">
        <v>-104179.3</v>
      </c>
      <c r="Q79" s="18" t="n">
        <v>49271.32</v>
      </c>
      <c r="R79" s="18" t="n">
        <v>111474.5</v>
      </c>
      <c r="S79" s="18" t="n">
        <v>14259.74</v>
      </c>
      <c r="T79" s="18" t="n">
        <v>-345310.56</v>
      </c>
      <c r="U79" s="37" t="n">
        <v>-170305</v>
      </c>
      <c r="V79" s="18" t="n">
        <v>-25211</v>
      </c>
      <c r="W79" s="18" t="n">
        <v>224880</v>
      </c>
      <c r="X79" s="18" t="n">
        <v>-32045</v>
      </c>
      <c r="Y79" s="18" t="n">
        <v>340042</v>
      </c>
      <c r="Z79" s="37" t="n">
        <v>507666</v>
      </c>
      <c r="AB79" s="19" t="n">
        <v>61225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-101081.18</v>
      </c>
      <c r="F80" s="9" t="n"/>
      <c r="G80" s="18" t="n">
        <v>-13374.89</v>
      </c>
      <c r="H80" s="18" t="n">
        <v>-231061.79</v>
      </c>
      <c r="I80" s="18" t="n">
        <v>-85371.52</v>
      </c>
      <c r="J80" s="18" t="n">
        <v>-882035.17</v>
      </c>
      <c r="K80" s="37" t="n">
        <v>-1211843.37</v>
      </c>
      <c r="L80" s="18" t="n">
        <v>29379.32</v>
      </c>
      <c r="M80" s="18" t="n">
        <v>83267.95</v>
      </c>
      <c r="N80" s="18" t="n">
        <v>-35161.56</v>
      </c>
      <c r="O80" s="18" t="n">
        <v>-181665.01</v>
      </c>
      <c r="P80" s="37" t="n">
        <v>-104179.3</v>
      </c>
      <c r="Q80" s="18" t="n">
        <v>49271.32</v>
      </c>
      <c r="R80" s="18" t="n">
        <v>111474.5</v>
      </c>
      <c r="S80" s="18" t="n">
        <v>14259.74</v>
      </c>
      <c r="T80" s="18" t="n">
        <v>-345310.56</v>
      </c>
      <c r="U80" s="37" t="n">
        <v>-170305</v>
      </c>
      <c r="V80" s="18" t="n">
        <v>-25211</v>
      </c>
      <c r="W80" s="18" t="n">
        <v>224880</v>
      </c>
      <c r="X80" s="18" t="n">
        <v>-32045</v>
      </c>
      <c r="Y80" s="18" t="n">
        <v>340042</v>
      </c>
      <c r="Z80" s="37" t="n">
        <v>507666</v>
      </c>
      <c r="AB80" s="19" t="n">
        <v>61225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-101081.18</v>
      </c>
      <c r="F81" s="9" t="n"/>
      <c r="G81" s="18" t="n">
        <v>-13374.89</v>
      </c>
      <c r="H81" s="18" t="n">
        <v>-231061.79</v>
      </c>
      <c r="I81" s="18" t="n">
        <v>-85371.52</v>
      </c>
      <c r="J81" s="18" t="n">
        <v>-882035.17</v>
      </c>
      <c r="K81" s="37" t="n">
        <v>-1211843.37</v>
      </c>
      <c r="L81" s="18" t="n">
        <v>29379.32</v>
      </c>
      <c r="M81" s="18" t="n">
        <v>83267.95</v>
      </c>
      <c r="N81" s="18" t="n">
        <v>-35161.56</v>
      </c>
      <c r="O81" s="18" t="n">
        <v>-181665.01</v>
      </c>
      <c r="P81" s="37" t="n">
        <v>-104179.3</v>
      </c>
      <c r="Q81" s="18" t="n">
        <v>49271.32</v>
      </c>
      <c r="R81" s="18" t="n">
        <v>111474.5</v>
      </c>
      <c r="S81" s="18" t="n">
        <v>14259.74</v>
      </c>
      <c r="T81" s="18" t="n">
        <v>-345310.56</v>
      </c>
      <c r="U81" s="37" t="n">
        <v>-170305</v>
      </c>
      <c r="V81" s="18" t="n">
        <v>-25211</v>
      </c>
      <c r="W81" s="18" t="n">
        <v>224880</v>
      </c>
      <c r="X81" s="18" t="n">
        <v>-32045</v>
      </c>
      <c r="Y81" s="18" t="n">
        <v>340042</v>
      </c>
      <c r="Z81" s="37" t="n">
        <v>507666</v>
      </c>
      <c r="AB81" s="19" t="n">
        <v>61225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44866.64</v>
      </c>
      <c r="F82" s="9" t="n"/>
      <c r="G82" s="18" t="n">
        <v>-9887.280000000001</v>
      </c>
      <c r="H82" s="18" t="n">
        <v>-213665.78</v>
      </c>
      <c r="I82" s="18" t="n">
        <v>-43859.17</v>
      </c>
      <c r="J82" s="18" t="n">
        <v>-901178.04</v>
      </c>
      <c r="K82" s="37" t="n">
        <v>-1168590.27</v>
      </c>
      <c r="L82" s="18" t="n">
        <v>45963.73</v>
      </c>
      <c r="M82" s="18" t="n">
        <v>65238.58</v>
      </c>
      <c r="N82" s="18" t="n">
        <v>-27058.26</v>
      </c>
      <c r="O82" s="18" t="n">
        <v>-297567.61</v>
      </c>
      <c r="P82" s="37" t="n">
        <v>-213423.56</v>
      </c>
      <c r="Q82" s="18" t="n">
        <v>59557.27</v>
      </c>
      <c r="R82" s="18" t="n">
        <v>119780.5</v>
      </c>
      <c r="S82" s="18" t="n">
        <v>5762.92</v>
      </c>
      <c r="T82" s="18" t="n">
        <v>-373516.69</v>
      </c>
      <c r="U82" s="37" t="n">
        <v>-188416</v>
      </c>
      <c r="V82" s="18" t="n">
        <v>-10140</v>
      </c>
      <c r="W82" s="18" t="n">
        <v>179975</v>
      </c>
      <c r="X82" s="18" t="n">
        <v>-6617</v>
      </c>
      <c r="Y82" s="18" t="n">
        <v>300784</v>
      </c>
      <c r="Z82" s="37" t="n">
        <v>464002</v>
      </c>
      <c r="AA82" s="18" t="n">
        <v>33251</v>
      </c>
      <c r="AB82" s="19" t="n">
        <v>75039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563731.61</v>
      </c>
      <c r="F83" s="9" t="n"/>
      <c r="G83" s="18" t="n">
        <v>-138219.47</v>
      </c>
      <c r="H83" s="18" t="n">
        <v>208242.93</v>
      </c>
      <c r="I83" s="18" t="n">
        <v>246845.32</v>
      </c>
      <c r="J83" s="18" t="n">
        <v>-45125.18</v>
      </c>
      <c r="K83" s="37" t="n">
        <v>271743.6</v>
      </c>
      <c r="L83" s="18" t="n">
        <v>6966.18</v>
      </c>
      <c r="M83" s="18" t="n">
        <v>714295.2</v>
      </c>
      <c r="N83" s="18" t="n">
        <v>-315316.79</v>
      </c>
      <c r="O83" s="18" t="n">
        <v>460033.4</v>
      </c>
      <c r="P83" s="37" t="n">
        <v>865977.99</v>
      </c>
      <c r="Q83" s="18" t="n">
        <v>32708.38</v>
      </c>
      <c r="R83" s="18" t="n">
        <v>-257345.17</v>
      </c>
      <c r="S83" s="18" t="n">
        <v>-593915.13</v>
      </c>
      <c r="T83" s="18" t="n">
        <v>704831.92</v>
      </c>
      <c r="U83" s="37" t="n">
        <v>-113720</v>
      </c>
      <c r="V83" s="18" t="n">
        <v>-759580</v>
      </c>
      <c r="W83" s="18" t="n">
        <v>-187923</v>
      </c>
      <c r="X83" s="18" t="n">
        <v>-215790</v>
      </c>
      <c r="Y83" s="18" t="n">
        <v>1011602</v>
      </c>
      <c r="Z83" s="37" t="n">
        <v>-151691</v>
      </c>
      <c r="AA83" s="18" t="n">
        <v>-628342</v>
      </c>
      <c r="AB83" s="19" t="n">
        <v>-199377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1499.19</v>
      </c>
      <c r="F84" s="9" t="n"/>
      <c r="G84" s="18" t="n">
        <v>1144.67</v>
      </c>
      <c r="H84" s="18" t="n">
        <v>1350.09</v>
      </c>
      <c r="I84" s="18" t="n">
        <v>1395.22</v>
      </c>
      <c r="J84" s="18" t="n">
        <v>2986.31</v>
      </c>
      <c r="K84" s="37" t="n">
        <v>6876.29</v>
      </c>
      <c r="L84" s="18" t="n">
        <v>1550.14</v>
      </c>
      <c r="M84" s="18" t="n">
        <v>1104.94</v>
      </c>
      <c r="N84" s="18" t="n">
        <v>1637.79</v>
      </c>
      <c r="O84" s="18" t="n">
        <v>4301.58</v>
      </c>
      <c r="P84" s="37" t="n">
        <v>8594.450000000001</v>
      </c>
      <c r="Q84" s="18" t="n">
        <v>2092.76</v>
      </c>
      <c r="R84" s="18" t="n">
        <v>3451.28</v>
      </c>
      <c r="S84" s="18" t="n">
        <v>2685.54</v>
      </c>
      <c r="T84" s="18" t="n">
        <v>4780.42</v>
      </c>
      <c r="U84" s="37" t="n">
        <v>13010</v>
      </c>
      <c r="V84" s="18" t="n">
        <v>1957</v>
      </c>
      <c r="W84" s="18" t="n">
        <v>1893</v>
      </c>
      <c r="X84" s="18" t="n">
        <v>7593</v>
      </c>
      <c r="Y84" s="18" t="n">
        <v>3766</v>
      </c>
      <c r="Z84" s="37" t="n">
        <v>15209</v>
      </c>
      <c r="AA84" s="18" t="n">
        <v>1572</v>
      </c>
      <c r="AB84" s="19" t="n">
        <v>1305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-45625.06</v>
      </c>
      <c r="F85" s="9" t="n"/>
      <c r="G85" s="18" t="n">
        <v>-36246.65</v>
      </c>
      <c r="H85" s="18" t="n">
        <v>-31137.49</v>
      </c>
      <c r="I85" s="18" t="n">
        <v>-34607.93</v>
      </c>
      <c r="J85" s="18" t="n">
        <v>-42792.76</v>
      </c>
      <c r="K85" s="37" t="n">
        <v>-144784.83</v>
      </c>
      <c r="L85" s="18" t="n">
        <v>-47698.86</v>
      </c>
      <c r="M85" s="18" t="n">
        <v>-48543.35</v>
      </c>
      <c r="P85" s="9" t="n"/>
      <c r="Q85" s="18" t="n">
        <v>-50325.21</v>
      </c>
      <c r="R85" s="18" t="n">
        <v>-48947.27</v>
      </c>
      <c r="S85" s="18" t="n">
        <v>-50779.61</v>
      </c>
      <c r="T85" s="18" t="n">
        <v>-51573.91</v>
      </c>
      <c r="U85" s="37" t="n">
        <v>-201626</v>
      </c>
      <c r="V85" s="18" t="n">
        <v>-50817</v>
      </c>
      <c r="W85" s="18" t="n">
        <v>-50136</v>
      </c>
      <c r="X85" s="18" t="n">
        <v>-52600</v>
      </c>
      <c r="Y85" s="18" t="n">
        <v>-50572</v>
      </c>
      <c r="Z85" s="37" t="n">
        <v>-204125</v>
      </c>
      <c r="AA85" s="18" t="n">
        <v>-46483</v>
      </c>
      <c r="AB85" s="19" t="n">
        <v>-53445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0</v>
      </c>
      <c r="F86" s="9" t="n"/>
      <c r="G86" s="18" t="n">
        <v>78</v>
      </c>
      <c r="H86" s="18" t="n">
        <v>83459.35000000001</v>
      </c>
      <c r="I86" s="18" t="n">
        <v>30825.75</v>
      </c>
      <c r="J86" s="18" t="n">
        <v>0</v>
      </c>
      <c r="K86" s="37" t="n">
        <v>114363.1</v>
      </c>
      <c r="L86" s="18" t="n">
        <v>831.5</v>
      </c>
      <c r="M86" s="18" t="n">
        <v>105866.56</v>
      </c>
      <c r="N86" s="18" t="n">
        <v>38665.27</v>
      </c>
      <c r="O86" s="18" t="n">
        <v>64782</v>
      </c>
      <c r="P86" s="37" t="n">
        <v>210145.33</v>
      </c>
      <c r="Q86" s="18" t="n">
        <v>2497.81</v>
      </c>
      <c r="R86" s="18" t="n">
        <v>107256.32</v>
      </c>
      <c r="S86" s="18" t="n">
        <v>37329.37</v>
      </c>
      <c r="T86" s="18" t="n">
        <v>4520.5</v>
      </c>
      <c r="U86" s="37" t="n">
        <v>151604</v>
      </c>
      <c r="V86" s="18" t="n">
        <v>1503</v>
      </c>
      <c r="W86" s="18" t="n">
        <v>95585</v>
      </c>
      <c r="X86" s="18" t="n">
        <v>21365</v>
      </c>
      <c r="Y86" s="18" t="n">
        <v>18470</v>
      </c>
      <c r="Z86" s="37" t="n">
        <v>136923</v>
      </c>
      <c r="AA86" s="18" t="n">
        <v>909</v>
      </c>
      <c r="AB86" s="19" t="n">
        <v>41647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-2509.04</v>
      </c>
      <c r="F87" s="9" t="n"/>
      <c r="G87" s="18" t="n">
        <v>-2142.94</v>
      </c>
      <c r="H87" s="18" t="n">
        <v>-2451.04</v>
      </c>
      <c r="I87" s="18" t="n">
        <v>-8528.549999999999</v>
      </c>
      <c r="J87" s="18" t="n">
        <v>-29299.67</v>
      </c>
      <c r="K87" s="37" t="n">
        <v>-42422.2</v>
      </c>
      <c r="L87" s="18" t="n">
        <v>-1905.68</v>
      </c>
      <c r="M87" s="18" t="n">
        <v>-1525.36</v>
      </c>
      <c r="N87" s="18" t="n">
        <v>-1076.08</v>
      </c>
      <c r="O87" s="18" t="n">
        <v>-157.4</v>
      </c>
      <c r="P87" s="37" t="n">
        <v>-4664.52</v>
      </c>
      <c r="Q87" s="18" t="n">
        <v>-8114.96</v>
      </c>
      <c r="R87" s="18" t="n">
        <v>-5534.51</v>
      </c>
      <c r="S87" s="18" t="n">
        <v>-5196.18</v>
      </c>
      <c r="T87" s="18" t="n">
        <v>7512.65</v>
      </c>
      <c r="U87" s="37" t="n">
        <v>-11333</v>
      </c>
      <c r="V87" s="18" t="n">
        <v>-3965</v>
      </c>
      <c r="W87" s="18" t="n">
        <v>-5332</v>
      </c>
      <c r="X87" s="18" t="n">
        <v>5238</v>
      </c>
      <c r="Y87" s="18" t="n">
        <v>-3823</v>
      </c>
      <c r="Z87" s="37" t="n">
        <v>-7882</v>
      </c>
      <c r="AA87" s="18" t="n">
        <v>-6921</v>
      </c>
      <c r="AB87" s="19" t="n">
        <v>-9743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-72016.14</v>
      </c>
      <c r="F88" s="9" t="n"/>
      <c r="G88" s="18" t="n">
        <v>-6582.96</v>
      </c>
      <c r="H88" s="18" t="n">
        <v>-254191.29</v>
      </c>
      <c r="I88" s="18" t="n">
        <v>-132056.24</v>
      </c>
      <c r="J88" s="18" t="n">
        <v>-37780.04</v>
      </c>
      <c r="K88" s="37" t="n">
        <v>-430610.53</v>
      </c>
      <c r="L88" s="18" t="n">
        <v>-174297.76</v>
      </c>
      <c r="M88" s="18" t="n">
        <v>228585.53</v>
      </c>
      <c r="N88" s="18" t="n">
        <v>-120561.78</v>
      </c>
      <c r="O88" s="18" t="n">
        <v>-165306.73</v>
      </c>
      <c r="P88" s="37" t="n">
        <v>-231580.74</v>
      </c>
      <c r="Q88" s="18" t="n">
        <v>-133299.25</v>
      </c>
      <c r="R88" s="18" t="n">
        <v>-98484.61</v>
      </c>
      <c r="S88" s="18" t="n">
        <v>-64969.63</v>
      </c>
      <c r="T88" s="18" t="n">
        <v>-94484.50999999999</v>
      </c>
      <c r="U88" s="37" t="n">
        <v>-391238</v>
      </c>
      <c r="V88" s="18" t="n">
        <v>16664</v>
      </c>
      <c r="W88" s="18" t="n">
        <v>-52716</v>
      </c>
      <c r="X88" s="18" t="n">
        <v>-92071</v>
      </c>
      <c r="Y88" s="18" t="n">
        <v>319757</v>
      </c>
      <c r="Z88" s="37" t="n">
        <v>191634</v>
      </c>
      <c r="AA88" s="18" t="n">
        <v>-169872</v>
      </c>
      <c r="AB88" s="19" t="n">
        <v>-172687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166.7</v>
      </c>
      <c r="F89" s="9" t="n"/>
      <c r="G89" s="18" t="n">
        <v>116</v>
      </c>
      <c r="H89" s="18" t="n">
        <v>1558.73</v>
      </c>
      <c r="I89" s="18" t="n">
        <v>468.88</v>
      </c>
      <c r="J89" s="18" t="n">
        <v>1736.65</v>
      </c>
      <c r="K89" s="37" t="n">
        <v>3880.26</v>
      </c>
      <c r="L89" s="18" t="n">
        <v>351.6</v>
      </c>
      <c r="M89" s="18" t="n">
        <v>2771.77</v>
      </c>
      <c r="N89" s="18" t="n">
        <v>2.25</v>
      </c>
      <c r="O89" s="18" t="n">
        <v>832.3099999999999</v>
      </c>
      <c r="P89" s="37" t="n">
        <v>3957.93</v>
      </c>
      <c r="Q89" s="18" t="n">
        <v>255.95</v>
      </c>
      <c r="R89" s="18" t="n">
        <v>1783.82</v>
      </c>
      <c r="S89" s="18" t="n">
        <v>1174.11</v>
      </c>
      <c r="T89" s="18" t="n">
        <v>619.12</v>
      </c>
      <c r="U89" s="37" t="n">
        <v>3833</v>
      </c>
      <c r="V89" s="18" t="n">
        <v>175</v>
      </c>
      <c r="X89" s="18" t="n">
        <v>129</v>
      </c>
      <c r="Y89" s="18" t="n">
        <v>3291</v>
      </c>
      <c r="Z89" s="9" t="n"/>
      <c r="AA89" s="18" t="n">
        <v>0</v>
      </c>
      <c r="AB89" s="19" t="n">
        <v>829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24839.8</v>
      </c>
      <c r="F90" s="9" t="n"/>
      <c r="G90" s="18" t="n">
        <v>5571.08</v>
      </c>
      <c r="H90" s="18" t="n">
        <v>4805.9</v>
      </c>
      <c r="I90" s="18" t="n">
        <v>18017.55</v>
      </c>
      <c r="J90" s="18" t="n">
        <v>26260.14</v>
      </c>
      <c r="K90" s="37" t="n">
        <v>54654.67</v>
      </c>
      <c r="L90" s="18" t="n">
        <v>13913.83</v>
      </c>
      <c r="M90" s="18" t="n">
        <v>19531.67</v>
      </c>
      <c r="N90" s="18" t="n">
        <v>23111.46</v>
      </c>
      <c r="O90" s="18" t="n">
        <v>36684.98</v>
      </c>
      <c r="P90" s="37" t="n">
        <v>93241.94</v>
      </c>
      <c r="Q90" s="18" t="n">
        <v>10093.49</v>
      </c>
      <c r="R90" s="18" t="n">
        <v>17932.67</v>
      </c>
      <c r="S90" s="18" t="n">
        <v>24348.47</v>
      </c>
      <c r="T90" s="18" t="n">
        <v>50064.37</v>
      </c>
      <c r="U90" s="37" t="n">
        <v>102439</v>
      </c>
      <c r="V90" s="18" t="n">
        <v>11582</v>
      </c>
      <c r="X90" s="18" t="n">
        <v>63804</v>
      </c>
      <c r="Y90" s="18" t="n">
        <v>36200</v>
      </c>
      <c r="Z90" s="9" t="n"/>
      <c r="AA90" s="18" t="n">
        <v>40424</v>
      </c>
      <c r="AB90" s="19" t="n">
        <v>27837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71139.75999999999</v>
      </c>
      <c r="F91" s="9" t="n"/>
      <c r="G91" s="18" t="n">
        <v>32660.85</v>
      </c>
      <c r="H91" s="18" t="n">
        <v>35792.28</v>
      </c>
      <c r="I91" s="18" t="n">
        <v>42672.85</v>
      </c>
      <c r="J91" s="18" t="n">
        <v>61879.3</v>
      </c>
      <c r="K91" s="37" t="n">
        <v>173005.28</v>
      </c>
      <c r="L91" s="18" t="n">
        <v>38017.46</v>
      </c>
      <c r="M91" s="18" t="n">
        <v>48934.85</v>
      </c>
      <c r="N91" s="18" t="n">
        <v>44518.35</v>
      </c>
      <c r="O91" s="18" t="n">
        <v>59694.03</v>
      </c>
      <c r="P91" s="37" t="n">
        <v>191164.69</v>
      </c>
      <c r="Q91" s="18" t="n">
        <v>26900.45</v>
      </c>
      <c r="R91" s="18" t="n">
        <v>42850.24</v>
      </c>
      <c r="S91" s="18" t="n">
        <v>35604.83</v>
      </c>
      <c r="T91" s="18" t="n">
        <v>82230.48</v>
      </c>
      <c r="U91" s="37" t="n">
        <v>187586</v>
      </c>
      <c r="V91" s="18" t="n">
        <v>29320</v>
      </c>
      <c r="W91" s="18" t="n">
        <v>19705</v>
      </c>
      <c r="X91" s="18" t="n">
        <v>95344</v>
      </c>
      <c r="Y91" s="18" t="n">
        <v>74127</v>
      </c>
      <c r="Z91" s="37" t="n">
        <v>218496</v>
      </c>
      <c r="AA91" s="18" t="n">
        <v>74431</v>
      </c>
      <c r="AB91" s="19" t="n">
        <v>56149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46299.96</v>
      </c>
      <c r="F92" s="9" t="n"/>
      <c r="G92" s="18" t="n">
        <v>27089.77</v>
      </c>
      <c r="H92" s="18" t="n">
        <v>30986.38</v>
      </c>
      <c r="I92" s="18" t="n">
        <v>24655.3</v>
      </c>
      <c r="J92" s="18" t="n">
        <v>35619.16</v>
      </c>
      <c r="K92" s="37" t="n">
        <v>118350.61</v>
      </c>
      <c r="L92" s="18" t="n">
        <v>24103.63</v>
      </c>
      <c r="M92" s="18" t="n">
        <v>29403.18</v>
      </c>
      <c r="N92" s="18" t="n">
        <v>21406.89</v>
      </c>
      <c r="O92" s="18" t="n">
        <v>23009.05</v>
      </c>
      <c r="P92" s="37" t="n">
        <v>97922.75</v>
      </c>
      <c r="Q92" s="18" t="n">
        <v>16806.96</v>
      </c>
      <c r="R92" s="18" t="n">
        <v>24917.57</v>
      </c>
      <c r="S92" s="18" t="n">
        <v>11256.36</v>
      </c>
      <c r="T92" s="18" t="n">
        <v>32166.11</v>
      </c>
      <c r="U92" s="37" t="n">
        <v>85147</v>
      </c>
      <c r="V92" s="18" t="n">
        <v>17738</v>
      </c>
      <c r="W92" s="18" t="n">
        <v>21632</v>
      </c>
      <c r="X92" s="18" t="n">
        <v>31540</v>
      </c>
      <c r="Y92" s="18" t="n">
        <v>37927</v>
      </c>
      <c r="Z92" s="37" t="n">
        <v>108837</v>
      </c>
      <c r="AA92" s="18" t="n">
        <v>34007</v>
      </c>
      <c r="AB92" s="19" t="n">
        <v>28312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-543842.97</v>
      </c>
      <c r="F93" s="9" t="n"/>
      <c r="G93" s="18" t="n">
        <v>-86988.82000000001</v>
      </c>
      <c r="H93" s="18" t="n">
        <v>110714.37</v>
      </c>
      <c r="I93" s="18" t="n">
        <v>29958.26</v>
      </c>
      <c r="J93" s="18" t="n">
        <v>-21307.26</v>
      </c>
      <c r="K93" s="37" t="n">
        <v>32376.55</v>
      </c>
      <c r="L93" s="18" t="n">
        <v>102849.3</v>
      </c>
      <c r="M93" s="18" t="n">
        <v>-115741.63</v>
      </c>
      <c r="N93" s="18" t="n">
        <v>-167272.88</v>
      </c>
      <c r="O93" s="18" t="n">
        <v>-32098.89</v>
      </c>
      <c r="P93" s="37" t="n">
        <v>-212264.1</v>
      </c>
      <c r="Q93" s="18" t="n">
        <v>22076.8</v>
      </c>
      <c r="R93" s="18" t="n">
        <v>117235.14</v>
      </c>
      <c r="S93" s="18" t="n">
        <v>499915.35</v>
      </c>
      <c r="T93" s="18" t="n">
        <v>-294678.29</v>
      </c>
      <c r="U93" s="37" t="n">
        <v>344549</v>
      </c>
      <c r="V93" s="18" t="n">
        <v>404393</v>
      </c>
      <c r="W93" s="18" t="n">
        <v>67641</v>
      </c>
      <c r="X93" s="18" t="n">
        <v>367389</v>
      </c>
      <c r="Y93" s="18" t="n">
        <v>-753929</v>
      </c>
      <c r="Z93" s="37" t="n">
        <v>85494</v>
      </c>
      <c r="AA93" s="18" t="n">
        <v>568932</v>
      </c>
      <c r="AB93" s="19" t="n">
        <v>148260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300000</v>
      </c>
      <c r="F94" s="9" t="n"/>
      <c r="G94" s="18" t="n">
        <v>500000</v>
      </c>
      <c r="H94" s="18" t="n">
        <v>100000</v>
      </c>
      <c r="I94" s="18" t="n">
        <v>0</v>
      </c>
      <c r="J94" s="18" t="n">
        <v>544345</v>
      </c>
      <c r="K94" s="37" t="n">
        <v>1144345</v>
      </c>
      <c r="N94" s="18" t="n">
        <v>0</v>
      </c>
      <c r="O94" s="18" t="n">
        <v>100000</v>
      </c>
      <c r="P94" s="9" t="n"/>
      <c r="Q94" s="18" t="n">
        <v>570000</v>
      </c>
      <c r="R94" s="18" t="n">
        <v>19100</v>
      </c>
      <c r="S94" s="18" t="n">
        <v>240000</v>
      </c>
      <c r="T94" s="18" t="n">
        <v>310000</v>
      </c>
      <c r="U94" s="37" t="n">
        <v>1139100</v>
      </c>
      <c r="V94" s="18" t="n">
        <v>630000</v>
      </c>
      <c r="X94" s="18" t="n">
        <v>70000</v>
      </c>
      <c r="Y94" s="18" t="n">
        <v>0</v>
      </c>
      <c r="Z94" s="9" t="n"/>
      <c r="AA94" s="18" t="n">
        <v>160000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E95" s="18" t="n">
        <v>15000</v>
      </c>
      <c r="F95" s="9" t="n"/>
      <c r="G95" s="18" t="n">
        <v>110000</v>
      </c>
      <c r="H95" s="18" t="n">
        <v>80000</v>
      </c>
      <c r="I95" s="18" t="n">
        <v>80000</v>
      </c>
      <c r="J95" s="18" t="n">
        <v>0</v>
      </c>
      <c r="K95" s="37" t="n">
        <v>270000</v>
      </c>
      <c r="L95" s="18" t="n">
        <v>57000</v>
      </c>
      <c r="M95" s="18" t="n">
        <v>0</v>
      </c>
      <c r="N95" s="18" t="n">
        <v>372527</v>
      </c>
      <c r="O95" s="18" t="n">
        <v>0</v>
      </c>
      <c r="P95" s="37" t="n">
        <v>429527</v>
      </c>
      <c r="Q95" s="18" t="n">
        <v>99562.14</v>
      </c>
      <c r="R95" s="18" t="n">
        <v>0</v>
      </c>
      <c r="S95" s="18" t="n">
        <v>149413.97</v>
      </c>
      <c r="T95" s="18" t="n">
        <v>-0.11</v>
      </c>
      <c r="U95" s="37" t="n">
        <v>248976</v>
      </c>
      <c r="V95" s="18" t="n">
        <v>0</v>
      </c>
      <c r="W95" s="18" t="n">
        <v>128000</v>
      </c>
      <c r="X95" s="18" t="n">
        <v>0</v>
      </c>
      <c r="Y95" s="18" t="n">
        <v>0</v>
      </c>
      <c r="Z95" s="37" t="n">
        <v>128000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497300.64</v>
      </c>
      <c r="F96" s="9" t="n"/>
      <c r="G96" s="18" t="n">
        <v>1778859.38</v>
      </c>
      <c r="H96" s="18" t="n">
        <v>56808.15</v>
      </c>
      <c r="I96" s="18" t="n">
        <v>60038.08</v>
      </c>
      <c r="J96" s="18" t="n">
        <v>128642.7</v>
      </c>
      <c r="K96" s="37" t="n">
        <v>2024348.31</v>
      </c>
      <c r="L96" s="18" t="n">
        <v>97678.39</v>
      </c>
      <c r="M96" s="18" t="n">
        <v>136944.13</v>
      </c>
      <c r="N96" s="18" t="n">
        <v>22923.67</v>
      </c>
      <c r="O96" s="18" t="n">
        <v>24731.88</v>
      </c>
      <c r="P96" s="37" t="n">
        <v>282278.07</v>
      </c>
      <c r="Q96" s="18" t="n">
        <v>0</v>
      </c>
      <c r="R96" s="18" t="n">
        <v>0</v>
      </c>
      <c r="S96" s="18" t="n">
        <v>0</v>
      </c>
      <c r="T96" s="18" t="n">
        <v>0</v>
      </c>
      <c r="U96" s="37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유동성장기부채의감소</t>
        </is>
      </c>
      <c r="E97" s="18" t="n">
        <v>378575.51</v>
      </c>
      <c r="F97" s="9" t="n"/>
      <c r="G97" s="18" t="n">
        <v>333821.39</v>
      </c>
      <c r="H97" s="18" t="n">
        <v>114731.44</v>
      </c>
      <c r="I97" s="18" t="n">
        <v>5.36</v>
      </c>
      <c r="J97" s="18" t="n">
        <v>419684.47</v>
      </c>
      <c r="K97" s="37" t="n">
        <v>868242.66</v>
      </c>
      <c r="L97" s="18" t="n">
        <v>113550.5</v>
      </c>
      <c r="M97" s="18" t="n">
        <v>15000</v>
      </c>
      <c r="N97" s="18" t="n">
        <v>429877.14</v>
      </c>
      <c r="O97" s="18" t="n">
        <v>100000</v>
      </c>
      <c r="P97" s="37" t="n">
        <v>658427.64</v>
      </c>
      <c r="Q97" s="18" t="n">
        <v>743000</v>
      </c>
      <c r="R97" s="18" t="n">
        <v>100000</v>
      </c>
      <c r="S97" s="18" t="n">
        <v>162663.36</v>
      </c>
      <c r="T97" s="18" t="n">
        <v>399999.64</v>
      </c>
      <c r="U97" s="37" t="n">
        <v>1405663</v>
      </c>
      <c r="V97" s="18" t="n">
        <v>42000</v>
      </c>
      <c r="W97" s="18" t="n">
        <v>80000</v>
      </c>
      <c r="Y97" s="18" t="n">
        <v>3750</v>
      </c>
      <c r="Z97" s="9" t="n"/>
      <c r="AA97" s="18" t="n">
        <v>46750</v>
      </c>
      <c r="AB97" s="19" t="n">
        <v>23750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6468.53</v>
      </c>
      <c r="F98" s="9" t="n"/>
      <c r="G98" s="18" t="n">
        <v>5002.73</v>
      </c>
      <c r="H98" s="18" t="n">
        <v>4909.18</v>
      </c>
      <c r="I98" s="18" t="n">
        <v>4942.22</v>
      </c>
      <c r="J98" s="18" t="n">
        <v>4925.08</v>
      </c>
      <c r="K98" s="37" t="n">
        <v>19779.21</v>
      </c>
      <c r="L98" s="18" t="n">
        <v>6779.82</v>
      </c>
      <c r="M98" s="18" t="n">
        <v>6737.72</v>
      </c>
      <c r="N98" s="18" t="n">
        <v>6484.78</v>
      </c>
      <c r="O98" s="18" t="n">
        <v>7367</v>
      </c>
      <c r="P98" s="37" t="n">
        <v>27369.32</v>
      </c>
      <c r="Q98" s="18" t="n">
        <v>6158.72</v>
      </c>
      <c r="R98" s="18" t="n">
        <v>6116.74</v>
      </c>
      <c r="S98" s="18" t="n">
        <v>6265</v>
      </c>
      <c r="T98" s="18" t="n">
        <v>14128.54</v>
      </c>
      <c r="U98" s="37" t="n">
        <v>32669</v>
      </c>
      <c r="V98" s="18" t="n">
        <v>8362</v>
      </c>
      <c r="W98" s="18" t="n">
        <v>8588</v>
      </c>
      <c r="X98" s="18" t="n">
        <v>9415</v>
      </c>
      <c r="Y98" s="18" t="n">
        <v>11053</v>
      </c>
      <c r="Z98" s="37" t="n">
        <v>37418</v>
      </c>
      <c r="AA98" s="18" t="n">
        <v>7973</v>
      </c>
      <c r="AB98" s="19" t="n">
        <v>8416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-46832.73</v>
      </c>
      <c r="F100" s="9" t="n"/>
      <c r="G100" s="18" t="n">
        <v>-229733.17</v>
      </c>
      <c r="H100" s="18" t="n">
        <v>76169.71000000001</v>
      </c>
      <c r="I100" s="18" t="n">
        <v>188339.38</v>
      </c>
      <c r="J100" s="18" t="n">
        <v>-151119.97</v>
      </c>
      <c r="K100" s="37" t="n">
        <v>-116344.05</v>
      </c>
      <c r="L100" s="18" t="n">
        <v>-56342.26</v>
      </c>
      <c r="M100" s="18" t="n">
        <v>828464.78</v>
      </c>
      <c r="N100" s="18" t="n">
        <v>-606623.3100000001</v>
      </c>
      <c r="O100" s="18" t="n">
        <v>260163.32</v>
      </c>
      <c r="P100" s="37" t="n">
        <v>425662.53</v>
      </c>
      <c r="Q100" s="18" t="n">
        <v>-66079.13</v>
      </c>
      <c r="R100" s="18" t="n">
        <v>-232431.09</v>
      </c>
      <c r="S100" s="18" t="n">
        <v>-173768.07</v>
      </c>
      <c r="T100" s="18" t="n">
        <v>384351.29</v>
      </c>
      <c r="U100" s="37" t="n">
        <v>-87927</v>
      </c>
      <c r="V100" s="18" t="n">
        <v>-339022</v>
      </c>
      <c r="W100" s="18" t="n">
        <v>-178994</v>
      </c>
      <c r="X100" s="18" t="n">
        <v>57582</v>
      </c>
      <c r="Y100" s="18" t="n">
        <v>575949</v>
      </c>
      <c r="Z100" s="37" t="n">
        <v>115515</v>
      </c>
      <c r="AA100" s="18" t="n">
        <v>-217376</v>
      </c>
      <c r="AB100" s="19" t="n">
        <v>-223570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-46832.73</v>
      </c>
      <c r="F101" s="9" t="n"/>
      <c r="G101" s="18" t="n">
        <v>193962.04</v>
      </c>
      <c r="H101" s="18" t="n">
        <v>76169.7</v>
      </c>
      <c r="I101" s="18" t="n">
        <v>188339.39</v>
      </c>
      <c r="J101" s="18" t="n">
        <v>-151119.97</v>
      </c>
      <c r="K101" s="37" t="n">
        <v>307351.16</v>
      </c>
      <c r="L101" s="18" t="n">
        <v>251008.89</v>
      </c>
      <c r="M101" s="18" t="n">
        <v>828464.78</v>
      </c>
      <c r="N101" s="18" t="n">
        <v>-606623.3100000001</v>
      </c>
      <c r="O101" s="18" t="n">
        <v>260163.33</v>
      </c>
      <c r="P101" s="37" t="n">
        <v>733013.6899999999</v>
      </c>
      <c r="Q101" s="18" t="n">
        <v>666934.5600000001</v>
      </c>
      <c r="R101" s="18" t="n">
        <v>-232431.09</v>
      </c>
      <c r="S101" s="18" t="n">
        <v>-173768.07</v>
      </c>
      <c r="T101" s="18" t="n">
        <v>384351.6</v>
      </c>
      <c r="U101" s="37" t="n">
        <v>645087</v>
      </c>
      <c r="V101" s="18" t="n">
        <v>306065</v>
      </c>
      <c r="W101" s="18" t="n">
        <v>-178994</v>
      </c>
      <c r="X101" s="18" t="n">
        <v>57582</v>
      </c>
      <c r="Y101" s="18" t="n">
        <v>575949</v>
      </c>
      <c r="Z101" s="37" t="n">
        <v>760602</v>
      </c>
      <c r="AA101" s="18" t="n">
        <v>543226</v>
      </c>
      <c r="AB101" s="19" t="n">
        <v>-223570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J102" s="18" t="n">
        <v>0</v>
      </c>
      <c r="K102" s="9" t="n"/>
      <c r="N102" s="18" t="n">
        <v>1681.81</v>
      </c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100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F103" s="9" t="n"/>
      <c r="K103" s="9" t="n"/>
      <c r="L103" s="18" t="n">
        <v>263858</v>
      </c>
      <c r="N103" s="18" t="n">
        <v>80514.28999999999</v>
      </c>
      <c r="O103" s="18" t="n">
        <v>0</v>
      </c>
      <c r="P103" s="9" t="n"/>
      <c r="Q103" s="18" t="n">
        <v>164032</v>
      </c>
      <c r="R103" s="18" t="n">
        <v>0</v>
      </c>
      <c r="S103" s="18" t="n">
        <v>200000</v>
      </c>
      <c r="T103" s="18" t="n">
        <v>70000</v>
      </c>
      <c r="U103" s="37" t="n">
        <v>434032</v>
      </c>
      <c r="V103" s="18" t="n">
        <v>500000</v>
      </c>
      <c r="X103" s="18" t="n">
        <v>0</v>
      </c>
      <c r="Y103" s="18" t="n">
        <v>160000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F104" s="9" t="n"/>
      <c r="K104" s="9" t="n"/>
      <c r="P104" s="9" t="n"/>
      <c r="Q104" s="18" t="n">
        <v>265705.38</v>
      </c>
      <c r="R104" s="18" t="n">
        <v>204251.89</v>
      </c>
      <c r="S104" s="18" t="n">
        <v>479429.74</v>
      </c>
      <c r="U104" s="9" t="n"/>
      <c r="V104" s="18" t="n">
        <v>324755</v>
      </c>
      <c r="X104" s="18" t="n">
        <v>230554</v>
      </c>
      <c r="Z104" s="9" t="n"/>
      <c r="AA104" s="18" t="n">
        <v>463655</v>
      </c>
      <c r="AB104" s="19" t="n">
        <v>310834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 t="n"/>
      <c r="N26" s="18">
        <f>IFERROR(VLOOKUP($D26,BS연결,MATCH(N$1,BS연결H,0),0)/100,"")</f>
        <v/>
      </c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522.125</v>
      </c>
      <c r="F33" s="28">
        <f>E33</f>
        <v/>
      </c>
      <c r="G33" s="27" t="n">
        <v>625.698</v>
      </c>
      <c r="H33" s="27" t="n">
        <v>635.197</v>
      </c>
      <c r="I33" s="27" t="n">
        <v>635.197</v>
      </c>
      <c r="J33" s="27" t="n">
        <v>638.212</v>
      </c>
      <c r="K33" s="28">
        <f>J33</f>
        <v/>
      </c>
      <c r="L33" s="27" t="n">
        <v>640.465</v>
      </c>
      <c r="M33" s="27" t="n">
        <v>640.465</v>
      </c>
      <c r="N33" s="27" t="n">
        <v>640.465</v>
      </c>
      <c r="O33" s="27" t="n">
        <v>640.465</v>
      </c>
      <c r="P33" s="28">
        <f>O33</f>
        <v/>
      </c>
      <c r="Q33" s="27" t="n">
        <v>640.465</v>
      </c>
      <c r="R33" s="27" t="n">
        <v>640.465</v>
      </c>
      <c r="S33" s="27" t="n">
        <v>640.465</v>
      </c>
      <c r="T33" s="27" t="n">
        <v>640.465</v>
      </c>
      <c r="U33" s="28">
        <f>T33</f>
        <v/>
      </c>
      <c r="V33" s="27" t="n">
        <v>640.465</v>
      </c>
      <c r="W33" s="27" t="n">
        <v>640.465</v>
      </c>
      <c r="X33" s="27" t="n">
        <v>640.465</v>
      </c>
      <c r="Y33" s="27" t="n">
        <v>640.465</v>
      </c>
      <c r="Z33" s="28">
        <f>Y33</f>
        <v/>
      </c>
      <c r="AA33" s="27" t="n">
        <v>640.465</v>
      </c>
      <c r="AB33" s="29" t="n">
        <v>639.133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 t="n"/>
      <c r="N35" s="18">
        <f>IFERROR(N26*100/N33,"")</f>
        <v/>
      </c>
      <c r="O35" s="18" t="n"/>
      <c r="P35" s="37">
        <f>O35</f>
        <v/>
      </c>
      <c r="Q35" s="18" t="n"/>
      <c r="R35" s="18" t="n"/>
      <c r="S35" s="18" t="n"/>
      <c r="T35" s="18" t="n"/>
      <c r="U35" s="37">
        <f>T35</f>
        <v/>
      </c>
      <c r="V35" s="18" t="n"/>
      <c r="W35" s="18" t="n"/>
      <c r="X35" s="18" t="n"/>
      <c r="Y35" s="18" t="n"/>
      <c r="Z35" s="37">
        <f>Y35</f>
        <v/>
      </c>
      <c r="AA35" s="18" t="n"/>
      <c r="AB35" s="19" t="n"/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 t="n"/>
      <c r="X37" s="13" t="n"/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 t="n"/>
      <c r="N38" s="13">
        <f>IFERROR(변수!N18/N35,"")</f>
        <v/>
      </c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21707.87</v>
      </c>
      <c r="F39" s="37" t="n"/>
      <c r="G39" s="18" t="n">
        <v>30712.85</v>
      </c>
      <c r="H39" s="18" t="n">
        <v>38346.56</v>
      </c>
      <c r="I39" s="18" t="n">
        <v>39603.24</v>
      </c>
      <c r="J39" s="18" t="n">
        <v>46217.68</v>
      </c>
      <c r="K39" s="37">
        <f>SUM(G39:J39)</f>
        <v/>
      </c>
      <c r="L39" s="18" t="n">
        <v>40410.42</v>
      </c>
      <c r="M39" s="18" t="n">
        <v>45393.62</v>
      </c>
      <c r="N39" s="18" t="n">
        <v>41549.8</v>
      </c>
      <c r="O39" s="18" t="n">
        <v>48545.04</v>
      </c>
      <c r="P39" s="37">
        <f>SUM(L39:O39)</f>
        <v/>
      </c>
      <c r="Q39" s="18" t="n">
        <v>40978.67</v>
      </c>
      <c r="R39" s="18" t="n">
        <v>41504.87</v>
      </c>
      <c r="S39" s="18" t="n">
        <v>33955.69</v>
      </c>
      <c r="T39" s="18" t="n">
        <v>45891.32</v>
      </c>
      <c r="U39" s="37">
        <f>SUM(Q39:T39)</f>
        <v/>
      </c>
      <c r="V39" s="18" t="n">
        <v>37485.74</v>
      </c>
      <c r="W39" s="18" t="n">
        <v>45690.21</v>
      </c>
      <c r="X39" s="18" t="n">
        <v>38803.5</v>
      </c>
      <c r="Y39" s="18" t="n">
        <v>48599.31</v>
      </c>
      <c r="Z39" s="37">
        <f>SUM(V39:Y39)</f>
        <v/>
      </c>
      <c r="AA39" s="18" t="n">
        <v>42611.3</v>
      </c>
      <c r="AB39" s="19" t="n">
        <v>47248.08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1269.82</v>
      </c>
      <c r="F40" s="37" t="n"/>
      <c r="G40" s="18" t="n">
        <v>1921.4</v>
      </c>
      <c r="H40" s="18" t="n">
        <v>3283.37</v>
      </c>
      <c r="I40" s="18" t="n">
        <v>3145.69</v>
      </c>
      <c r="J40" s="18" t="n">
        <v>2717.07</v>
      </c>
      <c r="K40" s="37">
        <f>SUM(G40:J40)</f>
        <v/>
      </c>
      <c r="L40" s="18" t="n">
        <v>3645.74</v>
      </c>
      <c r="M40" s="18" t="n">
        <v>4946.5</v>
      </c>
      <c r="N40" s="18" t="n">
        <v>3113.89</v>
      </c>
      <c r="O40" s="18" t="n">
        <v>2967.04</v>
      </c>
      <c r="P40" s="37">
        <f>SUM(L40:O40)</f>
        <v/>
      </c>
      <c r="Q40" s="18" t="n">
        <v>3580.71</v>
      </c>
      <c r="R40" s="18" t="n">
        <v>3097.9</v>
      </c>
      <c r="S40" s="18" t="n">
        <v>1147.9</v>
      </c>
      <c r="T40" s="18" t="n">
        <v>2349.49</v>
      </c>
      <c r="U40" s="37">
        <f>SUM(Q40:T40)</f>
        <v/>
      </c>
      <c r="V40" s="18" t="n">
        <v>1424.75</v>
      </c>
      <c r="W40" s="18" t="n">
        <v>2711.06</v>
      </c>
      <c r="X40" s="18" t="n">
        <v>1370.59</v>
      </c>
      <c r="Y40" s="18" t="n">
        <v>2120.72</v>
      </c>
      <c r="Z40" s="37">
        <f>SUM(V40:Y40)</f>
        <v/>
      </c>
      <c r="AA40" s="18" t="n">
        <v>2335.14</v>
      </c>
      <c r="AB40" s="19" t="n">
        <v>3142.6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343.3</v>
      </c>
    </row>
    <row r="30">
      <c r="C30" s="2" t="inlineStr">
        <is>
          <t>bps_latest</t>
        </is>
      </c>
    </row>
    <row r="31">
      <c r="C31" s="2" t="inlineStr">
        <is>
          <t>per_now</t>
        </is>
      </c>
      <c r="D31" t="n">
        <v>223.42</v>
      </c>
    </row>
    <row r="32">
      <c r="C32" s="2" t="inlineStr">
        <is>
          <t>pbr_now</t>
        </is>
      </c>
    </row>
    <row r="33">
      <c r="C33" s="2" t="inlineStr">
        <is>
          <t>roe_fwd</t>
        </is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