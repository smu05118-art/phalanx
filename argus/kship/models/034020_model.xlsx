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모델값 역산(implied): v / 매출액
매출액 × 판관비율 12.02%(최근 4분기 중위)</t>
      </text>
    </comment>
    <comment ref="AD22" authorId="0" shapeId="0">
      <text>
        <t>모델값 역산(implied): v / 매출액
매출액 × 판관비율 12.02%(최근 4분기 중위)</t>
      </text>
    </comment>
    <comment ref="AF22" authorId="0" shapeId="0">
      <text>
        <t>모델값 역산(implied): v / 매출액
매출액 × 판관비율 12.02%(최근 4분기 중위)</t>
      </text>
    </comment>
    <comment ref="AG22" authorId="0" shapeId="0">
      <text>
        <t>모델값 역산(implied): v / 매출액
매출액 × 판관비율 12.02%(최근 4분기 중위)</t>
      </text>
    </comment>
    <comment ref="AH22" authorId="0" shapeId="0">
      <text>
        <t>모델값 역산(implied): v / 매출액
매출액 × 판관비율 12.02%(최근 4분기 중위)</t>
      </text>
    </comment>
    <comment ref="AI22" authorId="0" shapeId="0">
      <text>
        <t>모델값 역산(implied): v / 매출액
매출액 × 판관비율 12.02%(최근 4분기 중위)</t>
      </text>
    </comment>
    <comment ref="AK22" authorId="0" shapeId="0">
      <text>
        <t>모델값 역산(implied): v / 매출액
매출액 × 판관비율 12.02%(최근 4분기 중위)</t>
      </text>
    </comment>
    <comment ref="AL22" authorId="0" shapeId="0">
      <text>
        <t>모델값 역산(implied): v / 매출액
매출액 × 판관비율 12.02%(최근 4분기 중위)</t>
      </text>
    </comment>
    <comment ref="AM22" authorId="0" shapeId="0">
      <text>
        <t>모델값 역산(implied): v / 매출액
매출액 × 판관비율 12.02%(최근 4분기 중위)</t>
      </text>
    </comment>
    <comment ref="AN22" authorId="0" shapeId="0">
      <text>
        <t>모델값 역산(implied): v / 매출액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v / 전년동기 − 1
최근 8분기 OPM 중위 4.7% 유지(클립 −20~40%)</t>
      </text>
    </comment>
    <comment ref="AD24" authorId="0" shapeId="0">
      <text>
        <t>모델값 역산(implied): v / 전년동기 − 1
최근 8분기 OPM 중위 4.7% 유지(클립 −20~40%)</t>
      </text>
    </comment>
    <comment ref="AF24" authorId="0" shapeId="0">
      <text>
        <t>모델값 역산(implied): v / 전년동기 − 1
최근 8분기 OPM 중위 4.7% 유지(클립 −20~40%)</t>
      </text>
    </comment>
    <comment ref="AG24" authorId="0" shapeId="0">
      <text>
        <t>모델값 역산(implied): v / 전년동기 − 1
최근 8분기 OPM 중위 4.7% 유지(클립 −20~40%)</t>
      </text>
    </comment>
    <comment ref="AH24" authorId="0" shapeId="0">
      <text>
        <t>모델값 역산(implied): v / 전년동기 − 1
최근 8분기 OPM 중위 4.7% 유지(클립 −20~40%)</t>
      </text>
    </comment>
    <comment ref="AI24" authorId="0" shapeId="0">
      <text>
        <t>모델값 역산(implied): v / 전년동기 − 1
최근 8분기 OPM 중위 4.7% 유지(클립 −20~40%)</t>
      </text>
    </comment>
    <comment ref="AK24" authorId="0" shapeId="0">
      <text>
        <t>모델값 역산(implied): v / 전년동기 − 1
최근 8분기 OPM 중위 4.7% 유지(클립 −20~40%)</t>
      </text>
    </comment>
    <comment ref="AL24" authorId="0" shapeId="0">
      <text>
        <t>모델값 역산(implied): v / 전년동기 − 1
최근 8분기 OPM 중위 4.7% 유지(클립 −20~40%)</t>
      </text>
    </comment>
    <comment ref="AM24" authorId="0" shapeId="0">
      <text>
        <t>모델값 역산(implied): v / 전년동기 − 1
최근 8분기 OPM 중위 4.7% 유지(클립 −20~40%)</t>
      </text>
    </comment>
    <comment ref="AN24" authorId="0" shapeId="0">
      <text>
        <t>모델값 역산(implied): v / 전년동기 − 1
최근 8분기 OPM 중위 4.7% 유지(클립 −20~40%)</t>
      </text>
    </comment>
    <comment ref="AC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35386억 × 2.38%(주석 이자수익 ÷ 평균 이자발생자산(2025Q3~2026Q2)) − 총차입금 68913억 × 5.18%(주석 이자비용 ÷ 평균 총차입금(2025Q3~2026Q2)) (연율) ÷ 4</t>
      </text>
    </comment>
    <comment ref="AD26" authorId="0" shapeId="0">
      <text>
        <t>모델값 역산(implied): 모델 v 그대로
이자발생자산 36526억 × 2.38%(주석 이자수익 ÷ 평균 이자발생자산(2025Q3~2026Q2)) − 총차입금 68913억 × 5.18%(주석 이자비용 ÷ 평균 총차입금(2025Q3~2026Q2)) (연율) ÷ 4</t>
      </text>
    </comment>
    <comment ref="AF26" authorId="0" shapeId="0">
      <text>
        <t>모델값 역산(implied): 모델 v 그대로
이자발생자산 38066억 × 2.38%(주석 이자수익 ÷ 평균 이자발생자산(2025Q3~2026Q2)) − 총차입금 68913억 × 5.18%(주석 이자비용 ÷ 평균 총차입금(2025Q3~2026Q2)) (연율) ÷ 4</t>
      </text>
    </comment>
    <comment ref="AG26" authorId="0" shapeId="0">
      <text>
        <t>모델값 역산(implied): 모델 v 그대로
이자발생자산 39372억 × 2.38%(주석 이자수익 ÷ 평균 이자발생자산(2025Q3~2026Q2)) − 총차입금 68913억 × 5.18%(주석 이자비용 ÷ 평균 총차입금(2025Q3~2026Q2)) (연율) ÷ 4</t>
      </text>
    </comment>
    <comment ref="AH26" authorId="0" shapeId="0">
      <text>
        <t>모델값 역산(implied): 모델 v 그대로
이자발생자산 40871억 × 2.38%(주석 이자수익 ÷ 평균 이자발생자산(2025Q3~2026Q2)) − 총차입금 68913억 × 5.18%(주석 이자비용 ÷ 평균 총차입금(2025Q3~2026Q2)) (연율) ÷ 4</t>
      </text>
    </comment>
    <comment ref="AI26" authorId="0" shapeId="0">
      <text>
        <t>모델값 역산(implied): 모델 v 그대로
이자발생자산 42105억 × 2.38%(주석 이자수익 ÷ 평균 이자발생자산(2025Q3~2026Q2)) − 총차입금 68913억 × 5.18%(주석 이자비용 ÷ 평균 총차입금(2025Q3~2026Q2)) (연율) ÷ 4</t>
      </text>
    </comment>
    <comment ref="AK26" authorId="0" shapeId="0">
      <text>
        <t>모델값 역산(implied): 모델 v 그대로
이자발생자산 43755억 × 2.38%(주석 이자수익 ÷ 평균 이자발생자산(2025Q3~2026Q2)) − 총차입금 68913억 × 5.18%(주석 이자비용 ÷ 평균 총차입금(2025Q3~2026Q2)) (연율) ÷ 4</t>
      </text>
    </comment>
    <comment ref="AL26" authorId="0" shapeId="0">
      <text>
        <t>모델값 역산(implied): 모델 v 그대로
이자발생자산 45163억 × 2.38%(주석 이자수익 ÷ 평균 이자발생자산(2025Q3~2026Q2)) − 총차입금 68913억 × 5.18%(주석 이자비용 ÷ 평균 총차입금(2025Q3~2026Q2)) (연율) ÷ 4</t>
      </text>
    </comment>
    <comment ref="AM26" authorId="0" shapeId="0">
      <text>
        <t>모델값 역산(implied): 모델 v 그대로
이자발생자산 46771억 × 2.38%(주석 이자수익 ÷ 평균 이자발생자산(2025Q3~2026Q2)) − 총차입금 68913억 × 5.18%(주석 이자비용 ÷ 평균 총차입금(2025Q3~2026Q2)) (연율) ÷ 4</t>
      </text>
    </comment>
    <comment ref="AN26" authorId="0" shapeId="0">
      <text>
        <t>모델값 역산(implied): 모델 v 그대로
이자발생자산 48068억 × 2.38%(주석 이자수익 ÷ 평균 이자발생자산(2025Q3~2026Q2)) − 총차입금 68913억 × 5.18%(주석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 중위 +1372.76억이 이자손익 추정 -681.87억의 50% 초과 → 0(경고)</t>
      </text>
    </comment>
    <comment ref="AD29" authorId="0" shapeId="0">
      <text>
        <t>모델값 역산(implied): v / 전년동기 − 1
최근 4분기 중위 +1372.76억이 이자손익 추정 -681.87억의 50% 초과 → 0(경고)</t>
      </text>
    </comment>
    <comment ref="AF29" authorId="0" shapeId="0">
      <text>
        <t>모델값 역산(implied): v / 전년동기 − 1
최근 4분기 중위 +1372.76억이 이자손익 추정 -681.87억의 50% 초과 → 0(경고)</t>
      </text>
    </comment>
    <comment ref="AG29" authorId="0" shapeId="0">
      <text>
        <t>모델값 역산(implied): v / 전년동기 − 1
최근 4분기 중위 +1372.76억이 이자손익 추정 -681.87억의 50% 초과 → 0(경고)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D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F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G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H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I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K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L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M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N32" authorId="0" shapeId="0">
      <text>
        <t>모델값 역산(implied): v / 세전이익
max(세전, 0) × 세율 22.0%(최근 12분기 유효세율 34.8% 가 5~27% 밖; 세전 &gt; 0 분기 중위 42.9% 도 5~27% 밖 → 법정세율 근사 22% 가정)</t>
      </text>
    </comment>
    <comment ref="AC33" authorId="0" shapeId="0">
      <text>
        <t>모델값 역산(implied): v / 당기순이익
당기순이익 × (1 − 비지배 비중 60.0%, 최근 8분기 실측)</t>
      </text>
    </comment>
    <comment ref="AD33" authorId="0" shapeId="0">
      <text>
        <t>모델값 역산(implied): v / 당기순이익
당기순이익 × (1 − 비지배 비중 60.0%, 최근 8분기 실측)</t>
      </text>
    </comment>
    <comment ref="AF33" authorId="0" shapeId="0">
      <text>
        <t>모델값 역산(implied): v / 당기순이익
당기순이익 × (1 − 비지배 비중 60.0%, 최근 8분기 실측)</t>
      </text>
    </comment>
    <comment ref="AG33" authorId="0" shapeId="0">
      <text>
        <t>모델값 역산(implied): v / 당기순이익
당기순이익 × (1 − 비지배 비중 60.0%, 최근 8분기 실측)</t>
      </text>
    </comment>
    <comment ref="AH33" authorId="0" shapeId="0">
      <text>
        <t>모델값 역산(implied): v / 당기순이익
당기순이익 × (1 − 비지배 비중 60.0%, 최근 8분기 실측)</t>
      </text>
    </comment>
    <comment ref="AI33" authorId="0" shapeId="0">
      <text>
        <t>모델값 역산(implied): v / 당기순이익
당기순이익 × (1 − 비지배 비중 60.0%, 최근 8분기 실측)</t>
      </text>
    </comment>
    <comment ref="AK33" authorId="0" shapeId="0">
      <text>
        <t>모델값 역산(implied): v / 당기순이익
당기순이익 × (1 − 비지배 비중 60.0%, 최근 8분기 실측)</t>
      </text>
    </comment>
    <comment ref="AL33" authorId="0" shapeId="0">
      <text>
        <t>모델값 역산(implied): v / 당기순이익
당기순이익 × (1 − 비지배 비중 60.0%, 최근 8분기 실측)</t>
      </text>
    </comment>
    <comment ref="AM33" authorId="0" shapeId="0">
      <text>
        <t>모델값 역산(implied): v / 당기순이익
당기순이익 × (1 − 비지배 비중 60.0%, 최근 8분기 실측)</t>
      </text>
    </comment>
    <comment ref="AN33" authorId="0" shapeId="0">
      <text>
        <t>모델값 역산(implied): v / 당기순이익
당기순이익 × (1 − 비지배 비중 60.0%, 최근 8분기 실측)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AF36" authorId="0" shapeId="0">
      <text>
        <t>모델값 역산(implied): 전분기 + 당기순이익 − v
전분기 + 당기순이익 − 배당(Q2 지급 가정)</t>
      </text>
    </comment>
    <comment ref="AG36" authorId="0" shapeId="0">
      <text>
        <t>모델값 역산(implied): 전분기 + 당기순이익 − v
전분기 + 당기순이익 − 배당(Q2 지급 가정)</t>
      </text>
    </comment>
    <comment ref="AH36" authorId="0" shapeId="0">
      <text>
        <t>모델값 역산(implied): 전분기 + 당기순이익 − v
전분기 + 당기순이익 − 배당(Q2 지급 가정)</t>
      </text>
    </comment>
    <comment ref="AI36" authorId="0" shapeId="0">
      <text>
        <t>모델값 역산(implied): 전분기 + 당기순이익 − v
전분기 + 당기순이익 − 배당(Q2 지급 가정)</t>
      </text>
    </comment>
    <comment ref="AK36" authorId="0" shapeId="0">
      <text>
        <t>모델값 역산(implied): 전분기 + 당기순이익 − v
전분기 + 당기순이익 − 배당(Q2 지급 가정)</t>
      </text>
    </comment>
    <comment ref="AL36" authorId="0" shapeId="0">
      <text>
        <t>모델값 역산(implied): 전분기 + 당기순이익 − v
전분기 + 당기순이익 − 배당(Q2 지급 가정)</t>
      </text>
    </comment>
    <comment ref="AM36" authorId="0" shapeId="0">
      <text>
        <t>모델값 역산(implied): 전분기 + 당기순이익 − v
전분기 + 당기순이익 − 배당(Q2 지급 가정)</t>
      </text>
    </comment>
    <comment ref="AN36" authorId="0" shapeId="0">
      <text>
        <t>모델값 역산(implied): 전분기 + 당기순이익 − v
전분기 + 당기순이익 − 배당(Q2 지급 가정)</t>
      </text>
    </comment>
    <comment ref="AC38" authorId="0" shapeId="0">
      <text>
        <t>모델값 역산(implied): v / 전분기 − 1
마지막 실적 유지(가정)</t>
      </text>
    </comment>
    <comment ref="AD38" authorId="0" shapeId="0">
      <text>
        <t>모델값 역산(implied): v / 전분기 − 1
마지막 실적 유지(가정)</t>
      </text>
    </comment>
    <comment ref="AF38" authorId="0" shapeId="0">
      <text>
        <t>모델값 역산(implied): v / 전분기 − 1
마지막 실적 유지(가정)</t>
      </text>
    </comment>
    <comment ref="AG38" authorId="0" shapeId="0">
      <text>
        <t>모델값 역산(implied): v / 전분기 − 1
마지막 실적 유지(가정)</t>
      </text>
    </comment>
    <comment ref="AH38" authorId="0" shapeId="0">
      <text>
        <t>모델값 역산(implied): v / 전분기 − 1
마지막 실적 유지(가정)</t>
      </text>
    </comment>
    <comment ref="AI38" authorId="0" shapeId="0">
      <text>
        <t>모델값 역산(implied): v / 전분기 − 1
마지막 실적 유지(가정)</t>
      </text>
    </comment>
    <comment ref="AK38" authorId="0" shapeId="0">
      <text>
        <t>모델값 역산(implied): v / 전분기 − 1
마지막 실적 유지(가정)</t>
      </text>
    </comment>
    <comment ref="AL38" authorId="0" shapeId="0">
      <text>
        <t>모델값 역산(implied): v / 전분기 − 1
마지막 실적 유지(가정)</t>
      </text>
    </comment>
    <comment ref="AM38" authorId="0" shapeId="0">
      <text>
        <t>모델값 역산(implied): v / 전분기 − 1
마지막 실적 유지(가정)</t>
      </text>
    </comment>
    <comment ref="AN38" authorId="0" shapeId="0">
      <text>
        <t>모델값 역산(implied): v / 전분기 − 1
마지막 실적 유지(가정)</t>
      </text>
    </comment>
    <comment ref="AC39" authorId="0" shapeId="0">
      <text>
        <t>모델값 역산(implied): v / 전분기 − 1
전분기 − (순이익 − 배당): 순이익 = 순현금 증가 가정(CAPEX≈감가, 운전자본 불변)</t>
      </text>
    </comment>
    <comment ref="AD39" authorId="0" shapeId="0">
      <text>
        <t>모델값 역산(implied): v / 전분기 − 1
전분기 − (순이익 − 배당): 순이익 = 순현금 증가 가정(CAPEX≈감가, 운전자본 불변)</t>
      </text>
    </comment>
    <comment ref="AF39" authorId="0" shapeId="0">
      <text>
        <t>모델값 역산(implied): v / 전분기 − 1
전분기 − (순이익 − 배당): 순이익 = 순현금 증가 가정(CAPEX≈감가, 운전자본 불변)</t>
      </text>
    </comment>
    <comment ref="AG39" authorId="0" shapeId="0">
      <text>
        <t>모델값 역산(implied): v / 전분기 − 1
전분기 − (순이익 − 배당): 순이익 = 순현금 증가 가정(CAPEX≈감가, 운전자본 불변)</t>
      </text>
    </comment>
    <comment ref="AH39" authorId="0" shapeId="0">
      <text>
        <t>모델값 역산(implied): v / 전분기 − 1
전분기 − (순이익 − 배당): 순이익 = 순현금 증가 가정(CAPEX≈감가, 운전자본 불변)</t>
      </text>
    </comment>
    <comment ref="AI39" authorId="0" shapeId="0">
      <text>
        <t>모델값 역산(implied): v / 전분기 − 1
전분기 − (순이익 − 배당): 순이익 = 순현금 증가 가정(CAPEX≈감가, 운전자본 불변)</t>
      </text>
    </comment>
    <comment ref="AK39" authorId="0" shapeId="0">
      <text>
        <t>모델값 역산(implied): v / 전분기 − 1
전분기 − (순이익 − 배당): 순이익 = 순현금 증가 가정(CAPEX≈감가, 운전자본 불변)</t>
      </text>
    </comment>
    <comment ref="AL39" authorId="0" shapeId="0">
      <text>
        <t>모델값 역산(implied): v / 전분기 − 1
전분기 − (순이익 − 배당): 순이익 = 순현금 증가 가정(CAPEX≈감가, 운전자본 불변)</t>
      </text>
    </comment>
    <comment ref="AM39" authorId="0" shapeId="0">
      <text>
        <t>모델값 역산(implied): v / 전분기 − 1
전분기 − (순이익 − 배당): 순이익 = 순현금 증가 가정(CAPEX≈감가, 운전자본 불변)</t>
      </text>
    </comment>
    <comment ref="AN39" authorId="0" shapeId="0">
      <text>
        <t>모델값 역산(implied): v / 전분기 − 1
전분기 − (순이익 − 배당): 순이익 = 순현금 증가 가정(CAPEX≈감가, 운전자본 불변)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AF40" authorId="0" shapeId="0">
      <text>
        <t>모델값 역산(implied): v / 전분기 − 1
전분기 + (순이익 − 배당) — 순차입금 롤과 같은 가정</t>
      </text>
    </comment>
    <comment ref="AG40" authorId="0" shapeId="0">
      <text>
        <t>모델값 역산(implied): v / 전분기 − 1
전분기 + (순이익 − 배당) — 순차입금 롤과 같은 가정</t>
      </text>
    </comment>
    <comment ref="AH40" authorId="0" shapeId="0">
      <text>
        <t>모델값 역산(implied): v / 전분기 − 1
전분기 + (순이익 − 배당) — 순차입금 롤과 같은 가정</t>
      </text>
    </comment>
    <comment ref="AI40" authorId="0" shapeId="0">
      <text>
        <t>모델값 역산(implied): v / 전분기 − 1
전분기 + (순이익 − 배당) — 순차입금 롤과 같은 가정</t>
      </text>
    </comment>
    <comment ref="AK40" authorId="0" shapeId="0">
      <text>
        <t>모델값 역산(implied): v / 전분기 − 1
전분기 + (순이익 − 배당) — 순차입금 롤과 같은 가정</t>
      </text>
    </comment>
    <comment ref="AL40" authorId="0" shapeId="0">
      <text>
        <t>모델값 역산(implied): v / 전분기 − 1
전분기 + (순이익 − 배당) — 순차입금 롤과 같은 가정</t>
      </text>
    </comment>
    <comment ref="AM40" authorId="0" shapeId="0">
      <text>
        <t>모델값 역산(implied): v / 전분기 − 1
전분기 + (순이익 − 배당) — 순차입금 롤과 같은 가정</t>
      </text>
    </comment>
    <comment ref="AN40" authorId="0" shapeId="0">
      <text>
        <t>모델값 역산(implied): v / 전분기 − 1
전분기 + (순이익 − 배당) — 순차입금 롤과 같은 가정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전분기 − 1
유통주식수 유지 — fin.shares.common_outstanding(2026Q2)</t>
      </text>
    </comment>
    <comment ref="AG44" authorId="0" shapeId="0">
      <text>
        <t>모델값 역산(implied): v / 전분기 − 1
유통주식수 유지 — fin.shares.common_outstanding(2026Q2)</t>
      </text>
    </comment>
    <comment ref="AH44" authorId="0" shapeId="0">
      <text>
        <t>모델값 역산(implied): v / 전분기 − 1
유통주식수 유지 — fin.shares.common_outstanding(2026Q2)</t>
      </text>
    </comment>
    <comment ref="AI44" authorId="0" shapeId="0">
      <text>
        <t>모델값 역산(implied): v / 전분기 − 1
유통주식수 유지 — fin.shares.common_outstanding(2026Q2)</t>
      </text>
    </comment>
    <comment ref="AK44" authorId="0" shapeId="0">
      <text>
        <t>모델값 역산(implied): v / 전분기 − 1
유통주식수 유지 — fin.shares.common_outstanding(2026Q2)</t>
      </text>
    </comment>
    <comment ref="AL44" authorId="0" shapeId="0">
      <text>
        <t>모델값 역산(implied): v / 전분기 − 1
유통주식수 유지 — fin.shares.common_outstanding(2026Q2)</t>
      </text>
    </comment>
    <comment ref="AM44" authorId="0" shapeId="0">
      <text>
        <t>모델값 역산(implied): v / 전분기 − 1
유통주식수 유지 — fin.shares.common_outstanding(2026Q2)</t>
      </text>
    </comment>
    <comment ref="AN44" authorId="0" shapeId="0">
      <text>
        <t>모델값 역산(implied): v / 전분기 − 1
유통주식수 유지 — fin.shares.common_outstanding(2026Q2)</t>
      </text>
    </comment>
    <comment ref="AD46" authorId="0" shapeId="0">
      <text>
        <t>모델값 역산(implied): v / 전년동기 − 1
현재 종가 ÷ TTM EPS(추정 포함)</t>
      </text>
    </comment>
    <comment ref="AF46" authorId="0" shapeId="0">
      <text>
        <t>모델값 역산(implied): v / 전년동기 − 1
현재 종가 ÷ TTM EPS(추정 포함)</t>
      </text>
    </comment>
    <comment ref="AG46" authorId="0" shapeId="0">
      <text>
        <t>모델값 역산(implied): v / 전년동기 − 1
현재 종가 ÷ TTM EPS(추정 포함)</t>
      </text>
    </comment>
    <comment ref="AH46" authorId="0" shapeId="0">
      <text>
        <t>모델값 역산(implied): v / 전년동기 − 1
현재 종가 ÷ TTM EPS(추정 포함)</t>
      </text>
    </comment>
    <comment ref="AI46" authorId="0" shapeId="0">
      <text>
        <t>모델값 역산(implied): v / 전년동기 − 1
현재 종가 ÷ TTM EPS(추정 포함)</t>
      </text>
    </comment>
    <comment ref="AK46" authorId="0" shapeId="0">
      <text>
        <t>모델값 역산(implied): v / 전년동기 − 1
현재 종가 ÷ TTM EPS(추정 포함)</t>
      </text>
    </comment>
    <comment ref="AL46" authorId="0" shapeId="0">
      <text>
        <t>모델값 역산(implied): v / 전년동기 − 1
현재 종가 ÷ TTM EPS(추정 포함)</t>
      </text>
    </comment>
    <comment ref="AM46" authorId="0" shapeId="0">
      <text>
        <t>모델값 역산(implied): v / 전년동기 − 1
현재 종가 ÷ TTM EPS(추정 포함)</t>
      </text>
    </comment>
    <comment ref="AN46" authorId="0" shapeId="0">
      <text>
        <t>모델값 역산(implied): v / 전년동기 − 1
현재 종가 ÷ TTM EPS(추정 포함)</t>
      </text>
    </comment>
    <comment ref="AC48" authorId="0" shapeId="0">
      <text>
        <t>모델값 역산(implied): v / 매출액
= 매출액 추정(부문 미분리)</t>
      </text>
    </comment>
    <comment ref="AD48" authorId="0" shapeId="0">
      <text>
        <t>모델값 역산(implied): v / 매출액
= 매출액 추정(부문 미분리)</t>
      </text>
    </comment>
    <comment ref="AF48" authorId="0" shapeId="0">
      <text>
        <t>모델값 역산(implied): v / 매출액
= 매출액 추정(부문 미분리)</t>
      </text>
    </comment>
    <comment ref="AG48" authorId="0" shapeId="0">
      <text>
        <t>모델값 역산(implied): v / 매출액
= 매출액 추정(부문 미분리)</t>
      </text>
    </comment>
    <comment ref="AH48" authorId="0" shapeId="0">
      <text>
        <t>모델값 역산(implied): v / 매출액
= 매출액 추정(부문 미분리)</t>
      </text>
    </comment>
    <comment ref="AI48" authorId="0" shapeId="0">
      <text>
        <t>모델값 역산(implied): v / 매출액
= 매출액 추정(부문 미분리)</t>
      </text>
    </comment>
    <comment ref="AK48" authorId="0" shapeId="0">
      <text>
        <t>모델값 역산(implied): v / 매출액
= 매출액 추정(부문 미분리)</t>
      </text>
    </comment>
    <comment ref="AL48" authorId="0" shapeId="0">
      <text>
        <t>모델값 역산(implied): v / 매출액
= 매출액 추정(부문 미분리)</t>
      </text>
    </comment>
    <comment ref="AM48" authorId="0" shapeId="0">
      <text>
        <t>모델값 역산(implied): v / 매출액
= 매출액 추정(부문 미분리)</t>
      </text>
    </comment>
    <comment ref="AN48" authorId="0" shapeId="0">
      <text>
        <t>모델값 역산(implied): v / 매출액
= 매출액 추정(부문 미분리)</t>
      </text>
    </comment>
    <comment ref="AC49" authorId="0" shapeId="0">
      <text>
        <t>모델값 역산(implied): v / 매출전사
= 매출액 × OPM(부문 미분리)</t>
      </text>
    </comment>
    <comment ref="AD49" authorId="0" shapeId="0">
      <text>
        <t>모델값 역산(implied): v / 매출전사
= 매출액 × OPM(부문 미분리)</t>
      </text>
    </comment>
    <comment ref="AF49" authorId="0" shapeId="0">
      <text>
        <t>모델값 역산(implied): v / 매출전사
= 매출액 × OPM(부문 미분리)</t>
      </text>
    </comment>
    <comment ref="AG49" authorId="0" shapeId="0">
      <text>
        <t>모델값 역산(implied): v / 매출전사
= 매출액 × OPM(부문 미분리)</t>
      </text>
    </comment>
    <comment ref="AH49" authorId="0" shapeId="0">
      <text>
        <t>모델값 역산(implied): v / 매출전사
= 매출액 × OPM(부문 미분리)</t>
      </text>
    </comment>
    <comment ref="AI49" authorId="0" shapeId="0">
      <text>
        <t>모델값 역산(implied): v / 매출전사
= 매출액 × OPM(부문 미분리)</t>
      </text>
    </comment>
    <comment ref="AK49" authorId="0" shapeId="0">
      <text>
        <t>모델값 역산(implied): v / 매출전사
= 매출액 × OPM(부문 미분리)</t>
      </text>
    </comment>
    <comment ref="AL49" authorId="0" shapeId="0">
      <text>
        <t>모델값 역산(implied): v / 매출전사
= 매출액 × OPM(부문 미분리)</t>
      </text>
    </comment>
    <comment ref="AM49" authorId="0" shapeId="0">
      <text>
        <t>모델값 역산(implied): v / 매출전사
= 매출액 × OPM(부문 미분리)</t>
      </text>
    </comment>
    <comment ref="AN49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4.7% 유지(클립 −20~40%)
[yoy]</t>
      </text>
    </comment>
    <comment ref="AD10" authorId="0" shapeId="0">
      <text>
        <t>추정: 최근 8분기 OPM 중위 4.7% 유지(클립 −20~40%)
[yoy]</t>
      </text>
    </comment>
    <comment ref="AF10" authorId="0" shapeId="0">
      <text>
        <t>추정: 최근 8분기 OPM 중위 4.7% 유지(클립 −20~40%)
[yoy]</t>
      </text>
    </comment>
    <comment ref="AG10" authorId="0" shapeId="0">
      <text>
        <t>추정: 최근 8분기 OPM 중위 4.7% 유지(클립 −20~40%)
[yoy]</t>
      </text>
    </comment>
    <comment ref="AH10" authorId="0" shapeId="0">
      <text>
        <t>추정: 최근 8분기 OPM 중위 4.7% 유지(클립 −20~40%)
[yoy]</t>
      </text>
    </comment>
    <comment ref="AI10" authorId="0" shapeId="0">
      <text>
        <t>추정: 최근 8분기 OPM 중위 4.7% 유지(클립 −20~40%)
[yoy]</t>
      </text>
    </comment>
    <comment ref="AK10" authorId="0" shapeId="0">
      <text>
        <t>추정: 최근 8분기 OPM 중위 4.7% 유지(클립 −20~40%)
[yoy]</t>
      </text>
    </comment>
    <comment ref="AL10" authorId="0" shapeId="0">
      <text>
        <t>추정: 최근 8분기 OPM 중위 4.7% 유지(클립 −20~40%)
[yoy]</t>
      </text>
    </comment>
    <comment ref="AM10" authorId="0" shapeId="0">
      <text>
        <t>추정: 최근 8분기 OPM 중위 4.7% 유지(클립 −20~40%)
[yoy]</t>
      </text>
    </comment>
    <comment ref="AN10" authorId="0" shapeId="0">
      <text>
        <t>추정: 최근 8분기 OPM 중위 4.7% 유지(클립 −20~40%)
[yoy]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[abs]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[abs]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[abs]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[abs]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[abs]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[abs]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[abs]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[abs]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[abs]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[abs]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</t>
      </text>
    </comment>
    <comment ref="H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Q14" authorId="0" shapeId="0">
      <text>
        <t>실측(계정 매핑 없음 — 모델값 직접) — fin.cons.is.파생상품이익 − fin.cons.is.파생상품손실</t>
      </text>
    </comment>
    <comment ref="R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H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Q15" authorId="0" shapeId="0">
      <text>
        <t>실측(계정 매핑 없음 — 모델값 직접) — fin.cons.is.금융손익 − 이자손익 − 외환손익 − 파생상품손익(잔차)</t>
      </text>
    </comment>
    <comment ref="R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T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 중위 +1372.76억이 이자손익 추정 -681.87억의 50% 초과 → 0(경고)
[yoy]</t>
      </text>
    </comment>
    <comment ref="AD15" authorId="0" shapeId="0">
      <text>
        <t>추정: 최근 4분기 중위 +1372.76억이 이자손익 추정 -681.87억의 50% 초과 → 0(경고)
[yoy]</t>
      </text>
    </comment>
    <comment ref="AF15" authorId="0" shapeId="0">
      <text>
        <t>추정: 최근 4분기 중위 +1372.76억이 이자손익 추정 -681.87억의 50% 초과 → 0(경고)
[yoy]</t>
      </text>
    </comment>
    <comment ref="AG15" authorId="0" shapeId="0">
      <text>
        <t>추정: 최근 4분기 중위 +1372.76억이 이자손익 추정 -681.87억의 50% 초과 → 0(경고)
[yoy]</t>
      </text>
    </comment>
    <comment ref="AH15" authorId="0" shapeId="0">
      <text>
        <t>추정(가정 셀 참조 불가 — 기준값 없음, 모델값 직접): 최근 4분기 중위 +1372.76억이 이자손익 추정 -681.87억의 50% 초과 → 0(경고)</t>
      </text>
    </comment>
    <comment ref="AI15" authorId="0" shapeId="0">
      <text>
        <t>추정(가정 셀 참조 불가 — 기준값 없음, 모델값 직접): 최근 4분기 중위 +1372.76억이 이자손익 추정 -681.87억의 50% 초과 → 0(경고)</t>
      </text>
    </comment>
    <comment ref="AK15" authorId="0" shapeId="0">
      <text>
        <t>추정(가정 셀 참조 불가 — 기준값 없음, 모델값 직접): 최근 4분기 중위 +1372.76억이 이자손익 추정 -681.87억의 50% 초과 → 0(경고)</t>
      </text>
    </comment>
    <comment ref="AL15" authorId="0" shapeId="0">
      <text>
        <t>추정(가정 셀 참조 불가 — 기준값 없음, 모델값 직접): 최근 4분기 중위 +1372.76억이 이자손익 추정 -681.87억의 50% 초과 → 0(경고)</t>
      </text>
    </comment>
    <comment ref="AM15" authorId="0" shapeId="0">
      <text>
        <t>추정(가정 셀 참조 불가 — 기준값 없음, 모델값 직접): 최근 4분기 중위 +1372.76억이 이자손익 추정 -681.87억의 50% 초과 → 0(경고)</t>
      </text>
    </comment>
    <comment ref="AN15" authorId="0" shapeId="0">
      <text>
        <t>추정(가정 셀 참조 불가 — 기준값 없음, 모델값 직접): 최근 4분기 중위 +1372.76억이 이자손익 추정 -681.87억의 50% 초과 → 0(경고)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E22" authorId="0" shapeId="0">
      <text>
        <t>실측(계정 매핑 없음 — 모델값 직접) — fin.cons.is.중단사업이익</t>
      </text>
    </comment>
    <comment ref="G22" authorId="0" shapeId="0">
      <text>
        <t>실측(계정 매핑 없음 — 모델값 직접) — fin.cons.is.중단사업이익</t>
      </text>
    </comment>
    <comment ref="H22" authorId="0" shapeId="0">
      <text>
        <t>실측(계정 매핑 없음 — 모델값 직접) — fin.cons.is.중단사업이익</t>
      </text>
    </comment>
    <comment ref="I22" authorId="0" shapeId="0">
      <text>
        <t>실측(계정 매핑 없음 — 모델값 직접) — fin.cons.is.중단사업이익</t>
      </text>
    </comment>
    <comment ref="J22" authorId="0" shapeId="0">
      <text>
        <t>실측(계정 매핑 없음 — 모델값 직접) — fin.cons.is.중단사업이익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(순이익 − 배당): 순이익 = 순현금 증가 가정(CAPEX≈감가, 운전자본 불변)
[qoq]</t>
      </text>
    </comment>
    <comment ref="AD28" authorId="0" shapeId="0">
      <text>
        <t>추정: 전분기 − (순이익 − 배당): 순이익 = 순현금 증가 가정(CAPEX≈감가, 운전자본 불변)
[qoq]</t>
      </text>
    </comment>
    <comment ref="AF28" authorId="0" shapeId="0">
      <text>
        <t>추정: 전분기 − (순이익 − 배당): 순이익 = 순현금 증가 가정(CAPEX≈감가, 운전자본 불변)
[qoq]</t>
      </text>
    </comment>
    <comment ref="AG28" authorId="0" shapeId="0">
      <text>
        <t>추정: 전분기 − (순이익 − 배당): 순이익 = 순현금 증가 가정(CAPEX≈감가, 운전자본 불변)
[qoq]</t>
      </text>
    </comment>
    <comment ref="AH28" authorId="0" shapeId="0">
      <text>
        <t>추정: 전분기 − (순이익 − 배당): 순이익 = 순현금 증가 가정(CAPEX≈감가, 운전자본 불변)
[qoq]</t>
      </text>
    </comment>
    <comment ref="AI28" authorId="0" shapeId="0">
      <text>
        <t>추정: 전분기 − (순이익 − 배당): 순이익 = 순현금 증가 가정(CAPEX≈감가, 운전자본 불변)
[qoq]</t>
      </text>
    </comment>
    <comment ref="AK28" authorId="0" shapeId="0">
      <text>
        <t>추정: 전분기 − (순이익 − 배당): 순이익 = 순현금 증가 가정(CAPEX≈감가, 운전자본 불변)
[qoq]</t>
      </text>
    </comment>
    <comment ref="AL28" authorId="0" shapeId="0">
      <text>
        <t>추정: 전분기 − (순이익 − 배당): 순이익 = 순현금 증가 가정(CAPEX≈감가, 운전자본 불변)
[qoq]</t>
      </text>
    </comment>
    <comment ref="AM28" authorId="0" shapeId="0">
      <text>
        <t>추정: 전분기 − (순이익 − 배당): 순이익 = 순현금 증가 가정(CAPEX≈감가, 운전자본 불변)
[qoq]</t>
      </text>
    </comment>
    <comment ref="AN28" authorId="0" shapeId="0">
      <text>
        <t>추정: 전분기 − (순이익 − 배당): 순이익 = 순현금 증가 가정(CAPEX≈감가, 운전자본 불변)
[qoq]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AF29" authorId="0" shapeId="0">
      <text>
        <t>추정: 전분기 + (순이익 − 배당) — 순차입금 롤과 같은 가정
[qoq]</t>
      </text>
    </comment>
    <comment ref="AG29" authorId="0" shapeId="0">
      <text>
        <t>추정: 전분기 + (순이익 − 배당) — 순차입금 롤과 같은 가정
[qoq]</t>
      </text>
    </comment>
    <comment ref="AH29" authorId="0" shapeId="0">
      <text>
        <t>추정: 전분기 + (순이익 − 배당) — 순차입금 롤과 같은 가정
[qoq]</t>
      </text>
    </comment>
    <comment ref="AI29" authorId="0" shapeId="0">
      <text>
        <t>추정: 전분기 + (순이익 − 배당) — 순차입금 롤과 같은 가정
[qoq]</t>
      </text>
    </comment>
    <comment ref="AK29" authorId="0" shapeId="0">
      <text>
        <t>추정: 전분기 + (순이익 − 배당) — 순차입금 롤과 같은 가정
[qoq]</t>
      </text>
    </comment>
    <comment ref="AL29" authorId="0" shapeId="0">
      <text>
        <t>추정: 전분기 + (순이익 − 배당) — 순차입금 롤과 같은 가정
[qoq]</t>
      </text>
    </comment>
    <comment ref="AM29" authorId="0" shapeId="0">
      <text>
        <t>추정: 전분기 + (순이익 − 배당) — 순차입금 롤과 같은 가정
[qoq]</t>
      </text>
    </comment>
    <comment ref="AN29" authorId="0" shapeId="0">
      <text>
        <t>추정: 전분기 + (순이익 − 배당) — 순차입금 롤과 같은 가정
[qoq]</t>
      </text>
    </comment>
    <comment ref="E32" authorId="0" shapeId="0">
      <text>
        <t>실측(계정 매핑 없음 — 모델값 직접) — fin.cons.cf.영업활동으로인한현금흐름</t>
      </text>
    </comment>
    <comment ref="G32" authorId="0" shapeId="0">
      <text>
        <t>실측(계정 매핑 없음 — 모델값 직접) — fin.cons.cf.영업활동으로인한현금흐름</t>
      </text>
    </comment>
    <comment ref="H32" authorId="0" shapeId="0">
      <text>
        <t>실측(계정 매핑 없음 — 모델값 직접) — fin.cons.cf.영업활동으로인한현금흐름</t>
      </text>
    </comment>
    <comment ref="I32" authorId="0" shapeId="0">
      <text>
        <t>실측(계정 매핑 없음 — 모델값 직접) — fin.cons.cf.영업활동으로인한현금흐름</t>
      </text>
    </comment>
    <comment ref="J32" authorId="0" shapeId="0">
      <text>
        <t>실측(계정 매핑 없음 — 모델값 직접) — fin.cons.cf.영업활동으로인한현금흐름</t>
      </text>
    </comment>
    <comment ref="L32" authorId="0" shapeId="0">
      <text>
        <t>실측(계정 매핑 없음 — 모델값 직접) — fin.cons.cf.영업활동으로인한현금흐름</t>
      </text>
    </comment>
    <comment ref="M32" authorId="0" shapeId="0">
      <text>
        <t>실측(계정 매핑 없음 — 모델값 직접) — fin.cons.cf.영업활동으로인한현금흐름</t>
      </text>
    </comment>
    <comment ref="N32" authorId="0" shapeId="0">
      <text>
        <t>실측(계정 매핑 없음 — 모델값 직접) — fin.cons.cf.영업활동으로인한현금흐름</t>
      </text>
    </comment>
    <comment ref="O32" authorId="0" shapeId="0">
      <text>
        <t>실측(계정 매핑 없음 — 모델값 직접) — fin.cons.cf.영업활동으로인한현금흐름</t>
      </text>
    </comment>
    <comment ref="Q32" authorId="0" shapeId="0">
      <text>
        <t>실측(계정 매핑 없음 — 모델값 직접) — fin.cons.cf.영업활동으로인한현금흐름</t>
      </text>
    </comment>
    <comment ref="R32" authorId="0" shapeId="0">
      <text>
        <t>실측(계정 매핑 없음 — 모델값 직접) — fin.cons.cf.영업활동으로인한현금흐름</t>
      </text>
    </comment>
    <comment ref="S32" authorId="0" shapeId="0">
      <text>
        <t>실측(계정 매핑 없음 — 모델값 직접) — fin.cons.cf.영업활동으로인한현금흐름</t>
      </text>
    </comment>
    <comment ref="T32" authorId="0" shapeId="0">
      <text>
        <t>실측(계정 매핑 없음 — 모델값 직접) — fin.cons.cf.영업활동으로인한현금흐름</t>
      </text>
    </comment>
    <comment ref="V32" authorId="0" shapeId="0">
      <text>
        <t>실측(계정 매핑 없음 — 모델값 직접) — fin.cons.cf.영업활동으로인한현금흐름</t>
      </text>
    </comment>
    <comment ref="W32" authorId="0" shapeId="0">
      <text>
        <t>실측(계정 매핑 없음 — 모델값 직접) — fin.cons.cf.영업활동으로인한현금흐름</t>
      </text>
    </comment>
    <comment ref="X32" authorId="0" shapeId="0">
      <text>
        <t>실측(계정 매핑 없음 — 모델값 직접) — fin.cons.cf.영업활동으로인한현금흐름</t>
      </text>
    </comment>
    <comment ref="Y32" authorId="0" shapeId="0">
      <text>
        <t>실측(계정 매핑 없음 — 모델값 직접) — fin.cons.cf.영업활동으로인한현금흐름</t>
      </text>
    </comment>
    <comment ref="AA32" authorId="0" shapeId="0">
      <text>
        <t>실측(계정 매핑 없음 — 모델값 직접) — fin.cons.cf.영업활동으로인한현금흐름</t>
      </text>
    </comment>
    <comment ref="AB32" authorId="0" shapeId="0">
      <text>
        <t>실측(계정 매핑 없음 — 모델값 직접) — fin.cons.cf.영업활동으로인한현금흐름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실측(계정 매핑 없음 — 모델값 직접) — fin.shares.common_outstanding</t>
      </text>
    </comment>
    <comment ref="T33" authorId="0" shapeId="0">
      <text>
        <t>실측(계정 매핑 없음 — 모델값 직접) — fin.shares.common_outstanding</t>
      </text>
    </comment>
    <comment ref="V33" authorId="0" shapeId="0">
      <text>
        <t>실측(계정 매핑 없음 — 모델값 직접) — fin.shares.common_outstanding</t>
      </text>
    </comment>
    <comment ref="W33" authorId="0" shapeId="0">
      <text>
        <t>실측(계정 매핑 없음 — 모델값 직접) — fin.shares.common_outstanding</t>
      </text>
    </comment>
    <comment ref="X33" authorId="0" shapeId="0">
      <text>
        <t>실측(계정 매핑 없음 — 모델값 직접) — fin.shares.common_outstanding</t>
      </text>
    </comment>
    <comment ref="Y33" authorId="0" shapeId="0">
      <text>
        <t>실측(계정 매핑 없음 — 모델값 직접) — fin.shares.common_outstanding</t>
      </text>
    </comment>
    <comment ref="AA33" authorId="0" shapeId="0">
      <text>
        <t>실측(계정 매핑 없음 — 모델값 직접) — fin.shares.common_outstanding</t>
      </text>
    </comment>
    <comment ref="AB33" authorId="0" shapeId="0">
      <text>
        <t>실측(계정 매핑 없음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실측(계정 매핑 없음 — 모델값 직접) — fin.dividend.dps_common(연간, Q4 에 표기)</t>
      </text>
    </comment>
    <comment ref="Y36" authorId="0" shapeId="0">
      <text>
        <t>실측(계정 매핑 없음 — 모델값 직접) — fin.dividend.dps_common(연간, Q4 에 표기)</t>
      </text>
    </comment>
    <comment ref="AD36" authorId="0" shapeId="0">
      <text>
        <t>추정(가정 셀 참조 불가 — 기준값 없음, 모델값 직접): 직전 결산 DPS 0원 유지</t>
      </text>
    </comment>
    <comment ref="AI36" authorId="0" shapeId="0">
      <text>
        <t>추정(가정 셀 참조 불가 — 기준값 없음, 모델값 직접): 직전 결산 DPS 0원 유지</t>
      </text>
    </comment>
    <comment ref="AN36" authorId="0" shapeId="0">
      <text>
        <t>추정(가정 셀 참조 불가 — 기준값 없음, 모델값 직접): 직전 결산 DPS 0원 유지</t>
      </text>
    </comment>
    <comment ref="I37" authorId="0" shapeId="0">
      <text>
        <t>실측(계정 매핑 없음 — 모델값 직접) — 토스 일봉 분기 평균 ÷ TTM EPS</t>
      </text>
    </comment>
    <comment ref="O37" authorId="0" shapeId="0">
      <text>
        <t>실측(계정 매핑 없음 — 모델값 직접) — 토스 일봉 분기 평균 ÷ TTM EPS</t>
      </text>
    </comment>
    <comment ref="Q37" authorId="0" shapeId="0">
      <text>
        <t>실측(계정 매핑 없음 — 모델값 직접) — 토스 일봉 분기 평균 ÷ TTM EPS</t>
      </text>
    </comment>
    <comment ref="R37" authorId="0" shapeId="0">
      <text>
        <t>실측(계정 매핑 없음 — 모델값 직접) — 토스 일봉 분기 평균 ÷ TTM EPS</t>
      </text>
    </comment>
    <comment ref="S37" authorId="0" shapeId="0">
      <text>
        <t>실측(계정 매핑 없음 — 모델값 직접) — 토스 일봉 분기 평균 ÷ TTM EPS</t>
      </text>
    </comment>
    <comment ref="T37" authorId="0" shapeId="0">
      <text>
        <t>실측(계정 매핑 없음 — 모델값 직접) — 토스 일봉 분기 평균 ÷ TTM EPS</t>
      </text>
    </comment>
    <comment ref="Y37" authorId="0" shapeId="0">
      <text>
        <t>실측(계정 매핑 없음 — 모델값 직접) — 토스 일봉 분기 평균 ÷ TTM EPS</t>
      </text>
    </comment>
    <comment ref="AA37" authorId="0" shapeId="0">
      <text>
        <t>실측(계정 매핑 없음 — 모델값 직접) — 토스 일봉 분기 평균 ÷ TTM EPS</t>
      </text>
    </comment>
    <comment ref="AB37" authorId="0" shapeId="0">
      <text>
        <t>실측(계정 매핑 없음 — 모델값 직접) — 토스 일봉 분기 평균 ÷ TTM EPS</t>
      </text>
    </comment>
    <comment ref="AC37" authorId="0" shapeId="0">
      <text>
        <t>추정(가정 셀 참조 불가 — 기준값 없음, 모델값 직접): 현재 종가 ÷ TTM EPS(추정 포함)</t>
      </text>
    </comment>
    <comment ref="AD37" authorId="0" shapeId="0">
      <text>
        <t>추정: 현재 종가 ÷ TTM EPS(추정 포함)
[yoy]</t>
      </text>
    </comment>
    <comment ref="AF37" authorId="0" shapeId="0">
      <text>
        <t>추정: 현재 종가 ÷ TTM EPS(추정 포함)
[yoy]</t>
      </text>
    </comment>
    <comment ref="AG37" authorId="0" shapeId="0">
      <text>
        <t>추정: 현재 종가 ÷ TTM EPS(추정 포함)
[yoy]</t>
      </text>
    </comment>
    <comment ref="AH37" authorId="0" shapeId="0">
      <text>
        <t>추정: 현재 종가 ÷ TTM EPS(추정 포함)
[yoy]</t>
      </text>
    </comment>
    <comment ref="AI37" authorId="0" shapeId="0">
      <text>
        <t>추정: 현재 종가 ÷ TTM EPS(추정 포함)
[yoy]</t>
      </text>
    </comment>
    <comment ref="AK37" authorId="0" shapeId="0">
      <text>
        <t>추정: 현재 종가 ÷ TTM EPS(추정 포함)
[yoy]</t>
      </text>
    </comment>
    <comment ref="AL37" authorId="0" shapeId="0">
      <text>
        <t>추정: 현재 종가 ÷ TTM EPS(추정 포함)
[yoy]</t>
      </text>
    </comment>
    <comment ref="AM37" authorId="0" shapeId="0">
      <text>
        <t>추정: 현재 종가 ÷ TTM EPS(추정 포함)
[yoy]</t>
      </text>
    </comment>
    <comment ref="AN37" authorId="0" shapeId="0">
      <text>
        <t>추정: 현재 종가 ÷ TTM EPS(추정 포함)
[yoy]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E39" authorId="0" shapeId="0">
      <text>
        <t>실측(계정 매핑 없음 — 모델값 직접) — = 매출액(부문 미분리)</t>
      </text>
    </comment>
    <comment ref="G39" authorId="0" shapeId="0">
      <text>
        <t>실측(계정 매핑 없음 — 모델값 직접) — = 매출액(부문 미분리)</t>
      </text>
    </comment>
    <comment ref="H39" authorId="0" shapeId="0">
      <text>
        <t>실측(계정 매핑 없음 — 모델값 직접) — = 매출액(부문 미분리)</t>
      </text>
    </comment>
    <comment ref="I39" authorId="0" shapeId="0">
      <text>
        <t>실측(계정 매핑 없음 — 모델값 직접) — = 매출액(부문 미분리)</t>
      </text>
    </comment>
    <comment ref="J39" authorId="0" shapeId="0">
      <text>
        <t>실측(계정 매핑 없음 — 모델값 직접) — = 매출액(부문 미분리)</t>
      </text>
    </comment>
    <comment ref="L39" authorId="0" shapeId="0">
      <text>
        <t>실측(계정 매핑 없음 — 모델값 직접) — = 매출액(부문 미분리)</t>
      </text>
    </comment>
    <comment ref="M39" authorId="0" shapeId="0">
      <text>
        <t>실측(계정 매핑 없음 — 모델값 직접) — = 매출액(부문 미분리)</t>
      </text>
    </comment>
    <comment ref="N39" authorId="0" shapeId="0">
      <text>
        <t>실측(계정 매핑 없음 — 모델값 직접) — = 매출액(부문 미분리)</t>
      </text>
    </comment>
    <comment ref="O39" authorId="0" shapeId="0">
      <text>
        <t>실측(계정 매핑 없음 — 모델값 직접) — = 매출액(부문 미분리)</t>
      </text>
    </comment>
    <comment ref="Q39" authorId="0" shapeId="0">
      <text>
        <t>실측(계정 매핑 없음 — 모델값 직접) — = 매출액(부문 미분리)</t>
      </text>
    </comment>
    <comment ref="R39" authorId="0" shapeId="0">
      <text>
        <t>실측(계정 매핑 없음 — 모델값 직접) — = 매출액(부문 미분리)</t>
      </text>
    </comment>
    <comment ref="S39" authorId="0" shapeId="0">
      <text>
        <t>실측(계정 매핑 없음 — 모델값 직접) — = 매출액(부문 미분리)</t>
      </text>
    </comment>
    <comment ref="T39" authorId="0" shapeId="0">
      <text>
        <t>실측(계정 매핑 없음 — 모델값 직접) — = 매출액(부문 미분리)</t>
      </text>
    </comment>
    <comment ref="V39" authorId="0" shapeId="0">
      <text>
        <t>실측(계정 매핑 없음 — 모델값 직접) — = 매출액(부문 미분리)</t>
      </text>
    </comment>
    <comment ref="W39" authorId="0" shapeId="0">
      <text>
        <t>실측(계정 매핑 없음 — 모델값 직접) — = 매출액(부문 미분리)</t>
      </text>
    </comment>
    <comment ref="X39" authorId="0" shapeId="0">
      <text>
        <t>실측(계정 매핑 없음 — 모델값 직접) — = 매출액(부문 미분리)</t>
      </text>
    </comment>
    <comment ref="Y39" authorId="0" shapeId="0">
      <text>
        <t>실측(계정 매핑 없음 — 모델값 직접) — = 매출액(부문 미분리)</t>
      </text>
    </comment>
    <comment ref="AA39" authorId="0" shapeId="0">
      <text>
        <t>실측(계정 매핑 없음 — 모델값 직접) — = 매출액(부문 미분리)</t>
      </text>
    </comment>
    <comment ref="AB39" authorId="0" shapeId="0">
      <text>
        <t>실측(계정 매핑 없음 — 모델값 직접) — = 매출액(부문 미분리)</t>
      </text>
    </comment>
    <comment ref="AC39" authorId="0" shapeId="0">
      <text>
        <t>추정: = 매출액 추정(부문 미분리)
[ratio]</t>
      </text>
    </comment>
    <comment ref="AD39" authorId="0" shapeId="0">
      <text>
        <t>추정: = 매출액 추정(부문 미분리)
[ratio]</t>
      </text>
    </comment>
    <comment ref="AF39" authorId="0" shapeId="0">
      <text>
        <t>추정: = 매출액 추정(부문 미분리)
[ratio]</t>
      </text>
    </comment>
    <comment ref="AG39" authorId="0" shapeId="0">
      <text>
        <t>추정: = 매출액 추정(부문 미분리)
[ratio]</t>
      </text>
    </comment>
    <comment ref="AH39" authorId="0" shapeId="0">
      <text>
        <t>추정: = 매출액 추정(부문 미분리)
[ratio]</t>
      </text>
    </comment>
    <comment ref="AI39" authorId="0" shapeId="0">
      <text>
        <t>추정: = 매출액 추정(부문 미분리)
[ratio]</t>
      </text>
    </comment>
    <comment ref="AK39" authorId="0" shapeId="0">
      <text>
        <t>추정: = 매출액 추정(부문 미분리)
[ratio]</t>
      </text>
    </comment>
    <comment ref="AL39" authorId="0" shapeId="0">
      <text>
        <t>추정: = 매출액 추정(부문 미분리)
[ratio]</t>
      </text>
    </comment>
    <comment ref="AM39" authorId="0" shapeId="0">
      <text>
        <t>추정: = 매출액 추정(부문 미분리)
[ratio]</t>
      </text>
    </comment>
    <comment ref="AN39" authorId="0" shapeId="0">
      <text>
        <t>추정: = 매출액 추정(부문 미분리)
[ratio]</t>
      </text>
    </comment>
    <comment ref="E40" authorId="0" shapeId="0">
      <text>
        <t>실측(계정 매핑 없음 — 모델값 직접) — = 영업이익(부문 미분리)</t>
      </text>
    </comment>
    <comment ref="G40" authorId="0" shapeId="0">
      <text>
        <t>실측(계정 매핑 없음 — 모델값 직접) — = 영업이익(부문 미분리)</t>
      </text>
    </comment>
    <comment ref="H40" authorId="0" shapeId="0">
      <text>
        <t>실측(계정 매핑 없음 — 모델값 직접) — = 영업이익(부문 미분리)</t>
      </text>
    </comment>
    <comment ref="I40" authorId="0" shapeId="0">
      <text>
        <t>실측(계정 매핑 없음 — 모델값 직접) — = 영업이익(부문 미분리)</t>
      </text>
    </comment>
    <comment ref="J40" authorId="0" shapeId="0">
      <text>
        <t>실측(계정 매핑 없음 — 모델값 직접) — = 영업이익(부문 미분리)</t>
      </text>
    </comment>
    <comment ref="L40" authorId="0" shapeId="0">
      <text>
        <t>실측(계정 매핑 없음 — 모델값 직접) — = 영업이익(부문 미분리)</t>
      </text>
    </comment>
    <comment ref="M40" authorId="0" shapeId="0">
      <text>
        <t>실측(계정 매핑 없음 — 모델값 직접) — = 영업이익(부문 미분리)</t>
      </text>
    </comment>
    <comment ref="N40" authorId="0" shapeId="0">
      <text>
        <t>실측(계정 매핑 없음 — 모델값 직접) — = 영업이익(부문 미분리)</t>
      </text>
    </comment>
    <comment ref="O40" authorId="0" shapeId="0">
      <text>
        <t>실측(계정 매핑 없음 — 모델값 직접) — = 영업이익(부문 미분리)</t>
      </text>
    </comment>
    <comment ref="Q40" authorId="0" shapeId="0">
      <text>
        <t>실측(계정 매핑 없음 — 모델값 직접) — = 영업이익(부문 미분리)</t>
      </text>
    </comment>
    <comment ref="R40" authorId="0" shapeId="0">
      <text>
        <t>실측(계정 매핑 없음 — 모델값 직접) — = 영업이익(부문 미분리)</t>
      </text>
    </comment>
    <comment ref="S40" authorId="0" shapeId="0">
      <text>
        <t>실측(계정 매핑 없음 — 모델값 직접) — = 영업이익(부문 미분리)</t>
      </text>
    </comment>
    <comment ref="T40" authorId="0" shapeId="0">
      <text>
        <t>실측(계정 매핑 없음 — 모델값 직접) — = 영업이익(부문 미분리)</t>
      </text>
    </comment>
    <comment ref="V40" authorId="0" shapeId="0">
      <text>
        <t>실측(계정 매핑 없음 — 모델값 직접) — = 영업이익(부문 미분리)</t>
      </text>
    </comment>
    <comment ref="W40" authorId="0" shapeId="0">
      <text>
        <t>실측(계정 매핑 없음 — 모델값 직접) — = 영업이익(부문 미분리)</t>
      </text>
    </comment>
    <comment ref="X40" authorId="0" shapeId="0">
      <text>
        <t>실측(계정 매핑 없음 — 모델값 직접) — = 영업이익(부문 미분리)</t>
      </text>
    </comment>
    <comment ref="Y40" authorId="0" shapeId="0">
      <text>
        <t>실측(계정 매핑 없음 — 모델값 직접) — = 영업이익(부문 미분리)</t>
      </text>
    </comment>
    <comment ref="AA40" authorId="0" shapeId="0">
      <text>
        <t>실측(계정 매핑 없음 — 모델값 직접) — = 영업이익(부문 미분리)</t>
      </text>
    </comment>
    <comment ref="AB40" authorId="0" shapeId="0">
      <text>
        <t>실측(계정 매핑 없음 — 모델값 직접) — = 영업이익(부문 미분리)</t>
      </text>
    </comment>
    <comment ref="AC40" authorId="0" shapeId="0">
      <text>
        <t>추정: = 매출액 × OPM(부문 미분리)
[ratio]</t>
      </text>
    </comment>
    <comment ref="AD40" authorId="0" shapeId="0">
      <text>
        <t>추정: = 매출액 × OPM(부문 미분리)
[ratio]</t>
      </text>
    </comment>
    <comment ref="AF40" authorId="0" shapeId="0">
      <text>
        <t>추정: = 매출액 × OPM(부문 미분리)
[ratio]</t>
      </text>
    </comment>
    <comment ref="AG40" authorId="0" shapeId="0">
      <text>
        <t>추정: = 매출액 × OPM(부문 미분리)
[ratio]</t>
      </text>
    </comment>
    <comment ref="AH40" authorId="0" shapeId="0">
      <text>
        <t>추정: = 매출액 × OPM(부문 미분리)
[ratio]</t>
      </text>
    </comment>
    <comment ref="AI40" authorId="0" shapeId="0">
      <text>
        <t>추정: = 매출액 × OPM(부문 미분리)
[ratio]</t>
      </text>
    </comment>
    <comment ref="AK40" authorId="0" shapeId="0">
      <text>
        <t>추정: = 매출액 × OPM(부문 미분리)
[ratio]</t>
      </text>
    </comment>
    <comment ref="AL40" authorId="0" shapeId="0">
      <text>
        <t>추정: = 매출액 × OPM(부문 미분리)
[ratio]</t>
      </text>
    </comment>
    <comment ref="AM40" authorId="0" shapeId="0">
      <text>
        <t>추정: = 매출액 × OPM(부문 미분리)
[ratio]</t>
      </text>
    </comment>
    <comment ref="AN40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assets/models/034020.json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22">
      <c r="A22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23250</v>
      </c>
      <c r="W15" s="18" t="n">
        <v>67700</v>
      </c>
      <c r="X15" s="18" t="n">
        <v>62200</v>
      </c>
      <c r="Y15" s="18" t="n">
        <v>75800</v>
      </c>
      <c r="Z15" s="9" t="n"/>
      <c r="AA15" s="18" t="n">
        <v>91200</v>
      </c>
      <c r="AB15" s="19" t="n">
        <v>86600</v>
      </c>
      <c r="AC15" s="20" t="n">
        <v>81900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26688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74100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17422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58100</v>
      </c>
      <c r="Z17" s="9" t="n"/>
      <c r="AA17" s="18" t="n">
        <v>63500</v>
      </c>
      <c r="AB17" s="19" t="n">
        <v>79300</v>
      </c>
      <c r="AC17" s="20" t="n">
        <v>57000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24436.2</v>
      </c>
      <c r="W18" s="18" t="n">
        <v>38210</v>
      </c>
      <c r="X18" s="18" t="n">
        <v>63166.2</v>
      </c>
      <c r="Y18" s="18" t="n">
        <v>78569.5</v>
      </c>
      <c r="Z18" s="9" t="n"/>
      <c r="AA18" s="18" t="n">
        <v>95296.60000000001</v>
      </c>
      <c r="AB18" s="19" t="n">
        <v>106573.8</v>
      </c>
      <c r="AC18" s="20" t="n">
        <v>78733.89999999999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0.08734500000000001</v>
      </c>
      <c r="AD21" s="24" t="n">
        <v>0.08734500000000001</v>
      </c>
      <c r="AE21" s="25" t="n"/>
      <c r="AF21" s="24" t="n">
        <v>0.08734500000000001</v>
      </c>
      <c r="AG21" s="24" t="n">
        <v>0.08734500000000001</v>
      </c>
      <c r="AH21" s="24" t="n">
        <v>0.043672</v>
      </c>
      <c r="AI21" s="24" t="n">
        <v>0.043673</v>
      </c>
      <c r="AJ21" s="25" t="n"/>
      <c r="AK21" s="24" t="n">
        <v>0.043673</v>
      </c>
      <c r="AL21" s="24" t="n">
        <v>0.043672</v>
      </c>
      <c r="AM21" s="24" t="n">
        <v>0.021836</v>
      </c>
      <c r="AN21" s="24" t="n">
        <v>0.021836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0.120164</v>
      </c>
      <c r="AD22" s="24" t="n">
        <v>0.120165</v>
      </c>
      <c r="AE22" s="25">
        <f>IFERROR(subQ!AE8/subQ!AE5,"")</f>
        <v/>
      </c>
      <c r="AF22" s="24" t="n">
        <v>0.120164</v>
      </c>
      <c r="AG22" s="24" t="n">
        <v>0.120165</v>
      </c>
      <c r="AH22" s="24" t="n">
        <v>0.120165</v>
      </c>
      <c r="AI22" s="24" t="n">
        <v>0.120165</v>
      </c>
      <c r="AJ22" s="25">
        <f>IFERROR(subQ!AJ8/subQ!AJ5,"")</f>
        <v/>
      </c>
      <c r="AK22" s="24" t="n">
        <v>0.120164</v>
      </c>
      <c r="AL22" s="24" t="n">
        <v>0.120165</v>
      </c>
      <c r="AM22" s="24" t="n">
        <v>0.120164</v>
      </c>
      <c r="AN22" s="24" t="n">
        <v>0.120164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0.047417</v>
      </c>
      <c r="AD23" s="24" t="n">
        <v>0.047417</v>
      </c>
      <c r="AE23" s="25">
        <f>IFERROR(subQ!AE9/subQ!AE5,"")</f>
        <v/>
      </c>
      <c r="AF23" s="24" t="n">
        <v>0.047417</v>
      </c>
      <c r="AG23" s="24" t="n">
        <v>0.047417</v>
      </c>
      <c r="AH23" s="24" t="n">
        <v>0.047417</v>
      </c>
      <c r="AI23" s="24" t="n">
        <v>0.047417</v>
      </c>
      <c r="AJ23" s="25">
        <f>IFERROR(subQ!AJ9/subQ!AJ5,"")</f>
        <v/>
      </c>
      <c r="AK23" s="24" t="n">
        <v>0.047417</v>
      </c>
      <c r="AL23" s="24" t="n">
        <v>0.047417</v>
      </c>
      <c r="AM23" s="24" t="n">
        <v>0.047417</v>
      </c>
      <c r="AN23" s="24" t="n">
        <v>0.047417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0.342776</v>
      </c>
      <c r="AD24" s="24" t="n">
        <v>0.087156</v>
      </c>
      <c r="AE24" s="25" t="n"/>
      <c r="AF24" s="24" t="n">
        <v>-0.135036</v>
      </c>
      <c r="AG24" s="24" t="n">
        <v>-0.287218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-681.87</v>
      </c>
      <c r="AD25" s="29" t="n">
        <v>-675.09</v>
      </c>
      <c r="AE25" s="30">
        <f>subQ!AE11</f>
        <v/>
      </c>
      <c r="AF25" s="29" t="n">
        <v>-665.95</v>
      </c>
      <c r="AG25" s="29" t="n">
        <v>-658.1900000000001</v>
      </c>
      <c r="AH25" s="29" t="n">
        <v>-649.29</v>
      </c>
      <c r="AI25" s="29" t="n">
        <v>-641.95</v>
      </c>
      <c r="AJ25" s="30">
        <f>subQ!AJ11</f>
        <v/>
      </c>
      <c r="AK25" s="29" t="n">
        <v>-632.15</v>
      </c>
      <c r="AL25" s="29" t="n">
        <v>-623.79</v>
      </c>
      <c r="AM25" s="29" t="n">
        <v>-614.23</v>
      </c>
      <c r="AN25" s="29" t="n">
        <v>-606.53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-681.87</v>
      </c>
      <c r="AD26" s="29" t="n">
        <v>-675.09</v>
      </c>
      <c r="AE26" s="30">
        <f>subQ!AE12</f>
        <v/>
      </c>
      <c r="AF26" s="29" t="n">
        <v>-665.95</v>
      </c>
      <c r="AG26" s="29" t="n">
        <v>-658.1900000000001</v>
      </c>
      <c r="AH26" s="29" t="n">
        <v>-649.29</v>
      </c>
      <c r="AI26" s="29" t="n">
        <v>-641.95</v>
      </c>
      <c r="AJ26" s="30">
        <f>subQ!AJ12</f>
        <v/>
      </c>
      <c r="AK26" s="29" t="n">
        <v>-632.15</v>
      </c>
      <c r="AL26" s="29" t="n">
        <v>-623.79</v>
      </c>
      <c r="AM26" s="29" t="n">
        <v>-614.23</v>
      </c>
      <c r="AN26" s="29" t="n">
        <v>-606.53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24" t="n">
        <v>-1</v>
      </c>
      <c r="AE29" s="25" t="n"/>
      <c r="AF29" s="24" t="n">
        <v>-1</v>
      </c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143.3</v>
      </c>
      <c r="AD31" s="29" t="n">
        <v>143.3</v>
      </c>
      <c r="AE31" s="30">
        <f>subQ!AE17</f>
        <v/>
      </c>
      <c r="AF31" s="29" t="n">
        <v>143.3</v>
      </c>
      <c r="AG31" s="29" t="n">
        <v>143.3</v>
      </c>
      <c r="AH31" s="29" t="n">
        <v>143.3</v>
      </c>
      <c r="AI31" s="29" t="n">
        <v>143.3</v>
      </c>
      <c r="AJ31" s="30">
        <f>subQ!AJ17</f>
        <v/>
      </c>
      <c r="AK31" s="29" t="n">
        <v>143.3</v>
      </c>
      <c r="AL31" s="29" t="n">
        <v>143.3</v>
      </c>
      <c r="AM31" s="29" t="n">
        <v>143.3</v>
      </c>
      <c r="AN31" s="29" t="n">
        <v>143.3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0.220003</v>
      </c>
      <c r="AD32" s="24" t="n">
        <v>0.22</v>
      </c>
      <c r="AE32" s="25">
        <f>IFERROR(subQ!AE19/subQ!AE18,"")</f>
        <v/>
      </c>
      <c r="AF32" s="24" t="n">
        <v>0.22</v>
      </c>
      <c r="AG32" s="24" t="n">
        <v>0.219998</v>
      </c>
      <c r="AH32" s="24" t="n">
        <v>0.220002</v>
      </c>
      <c r="AI32" s="24" t="n">
        <v>0.220002</v>
      </c>
      <c r="AJ32" s="25">
        <f>IFERROR(subQ!AJ19/subQ!AJ18,"")</f>
        <v/>
      </c>
      <c r="AK32" s="24" t="n">
        <v>0.220003</v>
      </c>
      <c r="AL32" s="24" t="n">
        <v>0.220002</v>
      </c>
      <c r="AM32" s="24" t="n">
        <v>0.22</v>
      </c>
      <c r="AN32" s="24" t="n">
        <v>0.219999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0.400002</v>
      </c>
      <c r="AD33" s="24" t="n">
        <v>0.4</v>
      </c>
      <c r="AE33" s="25">
        <f>IFERROR(subQ!AE21/subQ!AE20,"")</f>
        <v/>
      </c>
      <c r="AF33" s="24" t="n">
        <v>0.400002</v>
      </c>
      <c r="AG33" s="24" t="n">
        <v>0.400003</v>
      </c>
      <c r="AH33" s="24" t="n">
        <v>0.399995</v>
      </c>
      <c r="AI33" s="24" t="n">
        <v>0.4</v>
      </c>
      <c r="AJ33" s="25">
        <f>IFERROR(subQ!AJ21/subQ!AJ20,"")</f>
        <v/>
      </c>
      <c r="AK33" s="24" t="n">
        <v>0.400001</v>
      </c>
      <c r="AL33" s="24" t="n">
        <v>0.399998</v>
      </c>
      <c r="AM33" s="24" t="n">
        <v>0.400003</v>
      </c>
      <c r="AN33" s="24" t="n">
        <v>0.399999</v>
      </c>
      <c r="AO33" s="25">
        <f>IFERROR(subQ!AO21/subQ!AO20,"")</f>
        <v/>
      </c>
    </row>
    <row r="34">
      <c r="A34" s="12" t="inlineStr">
        <is>
          <t>drv:중단사업이익</t>
        </is>
      </c>
      <c r="B34" s="2" t="inlineStr">
        <is>
          <t>yoy</t>
        </is>
      </c>
      <c r="C34" t="inlineStr">
        <is>
          <t>중단사업이익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1">
        <f>IFERROR(subQ!R22/subQ!M22-1,"")</f>
        <v/>
      </c>
      <c r="S34" s="21">
        <f>IFERROR(subQ!S22/subQ!N22-1,"")</f>
        <v/>
      </c>
      <c r="T34" s="21">
        <f>IFERROR(subQ!T22/subQ!O22-1,"")</f>
        <v/>
      </c>
      <c r="U34" s="22" t="n"/>
      <c r="V34" s="21">
        <f>IFERROR(subQ!V22/subQ!Q22-1,"")</f>
        <v/>
      </c>
      <c r="W34" s="21">
        <f>IFERROR(subQ!W22/subQ!R22-1,"")</f>
        <v/>
      </c>
      <c r="X34" s="21">
        <f>IFERROR(subQ!X22/subQ!S22-1,"")</f>
        <v/>
      </c>
      <c r="Y34" s="21">
        <f>IFERROR(subQ!Y22/subQ!T22-1,"")</f>
        <v/>
      </c>
      <c r="Z34" s="22" t="n"/>
      <c r="AA34" s="21">
        <f>IFERROR(subQ!AA22/subQ!V22-1,"")</f>
        <v/>
      </c>
      <c r="AB34" s="23">
        <f>IFERROR(subQ!AB22/subQ!W22-1,"")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IFERROR(subQ!E25+subQ!G20-subQ!G25,"")</f>
        <v/>
      </c>
      <c r="H36" s="26">
        <f>IFERROR(subQ!G25+subQ!H20-subQ!H25,"")</f>
        <v/>
      </c>
      <c r="I36" s="26">
        <f>IFERROR(subQ!H25+subQ!I20-subQ!I25,"")</f>
        <v/>
      </c>
      <c r="J36" s="26">
        <f>IFERROR(subQ!I25+subQ!J20-subQ!J25,"")</f>
        <v/>
      </c>
      <c r="K36" s="27" t="n"/>
      <c r="L36" s="26">
        <f>IFERROR(subQ!J25+subQ!L20-subQ!L25,"")</f>
        <v/>
      </c>
      <c r="M36" s="26">
        <f>IFERROR(subQ!L25+subQ!M20-subQ!M25,"")</f>
        <v/>
      </c>
      <c r="N36" s="26">
        <f>IFERROR(subQ!M25+subQ!N20-subQ!N25,"")</f>
        <v/>
      </c>
      <c r="O36" s="26">
        <f>IFERROR(subQ!N25+subQ!O20-subQ!O25,"")</f>
        <v/>
      </c>
      <c r="P36" s="27" t="n"/>
      <c r="Q36" s="26">
        <f>IFERROR(subQ!O25+subQ!Q20-subQ!Q25,"")</f>
        <v/>
      </c>
      <c r="R36" s="26">
        <f>IFERROR(subQ!Q25+subQ!R20-subQ!R25,"")</f>
        <v/>
      </c>
      <c r="S36" s="26">
        <f>IFERROR(subQ!R25+subQ!S20-subQ!S25,"")</f>
        <v/>
      </c>
      <c r="T36" s="26">
        <f>IFERROR(subQ!S25+subQ!T20-subQ!T25,"")</f>
        <v/>
      </c>
      <c r="U36" s="27" t="n"/>
      <c r="V36" s="26">
        <f>IFERROR(subQ!T25+subQ!V20-subQ!V25,"")</f>
        <v/>
      </c>
      <c r="W36" s="26">
        <f>IFERROR(subQ!V25+subQ!W20-subQ!W25,"")</f>
        <v/>
      </c>
      <c r="X36" s="26">
        <f>IFERROR(subQ!W25+subQ!X20-subQ!X25,"")</f>
        <v/>
      </c>
      <c r="Y36" s="26">
        <f>IFERROR(subQ!X25+subQ!Y20-subQ!Y25,"")</f>
        <v/>
      </c>
      <c r="Z36" s="27" t="n"/>
      <c r="AA36" s="26">
        <f>IFERROR(subQ!Y25+subQ!AA20-subQ!AA25,"")</f>
        <v/>
      </c>
      <c r="AB36" s="28">
        <f>IFERROR(subQ!AA25+subQ!AB20-subQ!AB25,"")</f>
        <v/>
      </c>
      <c r="AC36" s="29" t="n">
        <v>0</v>
      </c>
      <c r="AD36" s="29" t="n">
        <v>0</v>
      </c>
      <c r="AE36" s="30" t="n"/>
      <c r="AF36" s="29" t="n">
        <v>0</v>
      </c>
      <c r="AG36" s="29" t="n">
        <v>0</v>
      </c>
      <c r="AH36" s="29" t="n">
        <v>-0</v>
      </c>
      <c r="AI36" s="29" t="n">
        <v>0</v>
      </c>
      <c r="AJ36" s="30" t="n"/>
      <c r="AK36" s="29" t="n">
        <v>0</v>
      </c>
      <c r="AL36" s="29" t="n">
        <v>0</v>
      </c>
      <c r="AM36" s="29" t="n">
        <v>0</v>
      </c>
      <c r="AN36" s="29" t="n">
        <v>0</v>
      </c>
      <c r="AO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IFERROR(subQ!E26+subQ!G21-subQ!G26,"")</f>
        <v/>
      </c>
      <c r="H37" s="26">
        <f>IFERROR(subQ!G26+subQ!H21-subQ!H26,"")</f>
        <v/>
      </c>
      <c r="I37" s="26">
        <f>IFERROR(subQ!H26+subQ!I21-subQ!I26,"")</f>
        <v/>
      </c>
      <c r="J37" s="26">
        <f>IFERROR(subQ!I26+subQ!J21-subQ!J26,"")</f>
        <v/>
      </c>
      <c r="K37" s="27" t="n"/>
      <c r="L37" s="26">
        <f>IFERROR(subQ!J26+subQ!L21-subQ!L26,"")</f>
        <v/>
      </c>
      <c r="M37" s="26">
        <f>IFERROR(subQ!L26+subQ!M21-subQ!M26,"")</f>
        <v/>
      </c>
      <c r="N37" s="26">
        <f>IFERROR(subQ!M26+subQ!N21-subQ!N26,"")</f>
        <v/>
      </c>
      <c r="O37" s="26">
        <f>IFERROR(subQ!N26+subQ!O21-subQ!O26,"")</f>
        <v/>
      </c>
      <c r="P37" s="27" t="n"/>
      <c r="Q37" s="26">
        <f>IFERROR(subQ!O26+subQ!Q21-subQ!Q26,"")</f>
        <v/>
      </c>
      <c r="R37" s="26">
        <f>IFERROR(subQ!Q26+subQ!R21-subQ!R26,"")</f>
        <v/>
      </c>
      <c r="S37" s="26">
        <f>IFERROR(subQ!R26+subQ!S21-subQ!S26,"")</f>
        <v/>
      </c>
      <c r="T37" s="26">
        <f>IFERROR(subQ!S26+subQ!T21-subQ!T26,"")</f>
        <v/>
      </c>
      <c r="U37" s="27" t="n"/>
      <c r="V37" s="26">
        <f>IFERROR(subQ!T26+subQ!V21-subQ!V26,"")</f>
        <v/>
      </c>
      <c r="W37" s="26">
        <f>IFERROR(subQ!V26+subQ!W21-subQ!W26,"")</f>
        <v/>
      </c>
      <c r="X37" s="26">
        <f>IFERROR(subQ!W26+subQ!X21-subQ!X26,"")</f>
        <v/>
      </c>
      <c r="Y37" s="26">
        <f>IFERROR(subQ!X26+subQ!Y21-subQ!Y26,"")</f>
        <v/>
      </c>
      <c r="Z37" s="27" t="n"/>
      <c r="AA37" s="26">
        <f>IFERROR(subQ!Y26+subQ!AA21-subQ!AA26,"")</f>
        <v/>
      </c>
      <c r="AB37" s="28">
        <f>IFERROR(subQ!AA26+subQ!AB21-subQ!AB26,"")</f>
        <v/>
      </c>
      <c r="AC37" s="32" t="n"/>
      <c r="AD37" s="32" t="n"/>
      <c r="AE37" s="30" t="n"/>
      <c r="AF37" s="32" t="n"/>
      <c r="AG37" s="32" t="n"/>
      <c r="AH37" s="32" t="n"/>
      <c r="AI37" s="32" t="n"/>
      <c r="AJ37" s="30" t="n"/>
      <c r="AK37" s="32" t="n"/>
      <c r="AL37" s="32" t="n"/>
      <c r="AM37" s="32" t="n"/>
      <c r="AN37" s="32" t="n"/>
      <c r="AO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-0.029577</v>
      </c>
      <c r="AD39" s="24" t="n">
        <v>-0.041148</v>
      </c>
      <c r="AE39" s="25" t="n"/>
      <c r="AF39" s="24" t="n">
        <v>-0.036401</v>
      </c>
      <c r="AG39" s="24" t="n">
        <v>-0.043344</v>
      </c>
      <c r="AH39" s="24" t="n">
        <v>-0.037311</v>
      </c>
      <c r="AI39" s="24" t="n">
        <v>-0.051849</v>
      </c>
      <c r="AJ39" s="25" t="n"/>
      <c r="AK39" s="24" t="n">
        <v>-0.046613</v>
      </c>
      <c r="AL39" s="24" t="n">
        <v>-0.05588</v>
      </c>
      <c r="AM39" s="24" t="n">
        <v>-0.047727</v>
      </c>
      <c r="AN39" s="24" t="n">
        <v>-0.06658799999999999</v>
      </c>
      <c r="AO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0.032228</v>
      </c>
      <c r="AD40" s="24" t="n">
        <v>0.042152</v>
      </c>
      <c r="AE40" s="25" t="n"/>
      <c r="AF40" s="24" t="n">
        <v>0.034308</v>
      </c>
      <c r="AG40" s="24" t="n">
        <v>0.03806</v>
      </c>
      <c r="AH40" s="24" t="n">
        <v>0.030193</v>
      </c>
      <c r="AI40" s="24" t="n">
        <v>0.039208</v>
      </c>
      <c r="AJ40" s="25" t="n"/>
      <c r="AK40" s="24" t="n">
        <v>0.03216</v>
      </c>
      <c r="AL40" s="24" t="n">
        <v>0.035612</v>
      </c>
      <c r="AM40" s="24" t="n">
        <v>0.027729</v>
      </c>
      <c r="AN40" s="24" t="n">
        <v>0.035846</v>
      </c>
      <c r="AO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1">
        <f>IFERROR(subQ!R32/subQ!M32-1,"")</f>
        <v/>
      </c>
      <c r="S43" s="21">
        <f>IFERROR(subQ!S32/subQ!N32-1,"")</f>
        <v/>
      </c>
      <c r="T43" s="21">
        <f>IFERROR(subQ!T32/subQ!O32-1,"")</f>
        <v/>
      </c>
      <c r="U43" s="22" t="n"/>
      <c r="V43" s="21">
        <f>IFERROR(subQ!V32/subQ!Q32-1,"")</f>
        <v/>
      </c>
      <c r="W43" s="21">
        <f>IFERROR(subQ!W32/subQ!R32-1,"")</f>
        <v/>
      </c>
      <c r="X43" s="21">
        <f>IFERROR(subQ!X32/subQ!S32-1,"")</f>
        <v/>
      </c>
      <c r="Y43" s="21">
        <f>IFERROR(subQ!Y32/subQ!T32-1,"")</f>
        <v/>
      </c>
      <c r="Z43" s="22" t="n"/>
      <c r="AA43" s="21">
        <f>IFERROR(subQ!AA32/subQ!V32-1,"")</f>
        <v/>
      </c>
      <c r="AB43" s="23">
        <f>IFERROR(subQ!AB32/subQ!W32-1,"")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1">
        <f>IFERROR(subQ!R33/subQ!Q33-1,"")</f>
        <v/>
      </c>
      <c r="S44" s="21">
        <f>IFERROR(subQ!S33/subQ!R33-1,"")</f>
        <v/>
      </c>
      <c r="T44" s="21">
        <f>IFERROR(subQ!T33/subQ!S33-1,"")</f>
        <v/>
      </c>
      <c r="U44" s="22" t="n"/>
      <c r="V44" s="21">
        <f>IFERROR(subQ!V33/subQ!T33-1,"")</f>
        <v/>
      </c>
      <c r="W44" s="21">
        <f>IFERROR(subQ!W33/subQ!V33-1,"")</f>
        <v/>
      </c>
      <c r="X44" s="21">
        <f>IFERROR(subQ!X33/subQ!W33-1,"")</f>
        <v/>
      </c>
      <c r="Y44" s="21">
        <f>IFERROR(subQ!Y33/subQ!X33-1,"")</f>
        <v/>
      </c>
      <c r="Z44" s="22" t="n"/>
      <c r="AA44" s="21">
        <f>IFERROR(subQ!AA33/subQ!Y33-1,"")</f>
        <v/>
      </c>
      <c r="AB44" s="23">
        <f>IFERROR(subQ!AB33/subQ!AA33-1,"")</f>
        <v/>
      </c>
      <c r="AC44" s="24" t="n">
        <v>0</v>
      </c>
      <c r="AD44" s="24" t="n">
        <v>0</v>
      </c>
      <c r="AE44" s="25" t="n"/>
      <c r="AF44" s="24" t="n">
        <v>0</v>
      </c>
      <c r="AG44" s="24" t="n">
        <v>0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31" t="n"/>
      <c r="AE45" s="25" t="n"/>
      <c r="AF45" s="31" t="n"/>
      <c r="AG45" s="31" t="n"/>
      <c r="AH45" s="31" t="n"/>
      <c r="AI45" s="31" t="n"/>
      <c r="AJ45" s="25" t="n"/>
      <c r="AK45" s="31" t="n"/>
      <c r="AL45" s="31" t="n"/>
      <c r="AM45" s="31" t="n"/>
      <c r="AN45" s="31" t="n"/>
      <c r="AO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31" t="n"/>
      <c r="AD46" s="24" t="n">
        <v>-0.673834</v>
      </c>
      <c r="AE46" s="25" t="n"/>
      <c r="AF46" s="24" t="n">
        <v>-0.589626</v>
      </c>
      <c r="AG46" s="24" t="n">
        <v>-0.376887</v>
      </c>
      <c r="AH46" s="24" t="n">
        <v>0.239731</v>
      </c>
      <c r="AI46" s="24" t="n">
        <v>0.167372</v>
      </c>
      <c r="AJ46" s="25" t="n"/>
      <c r="AK46" s="24" t="n">
        <v>0.368891</v>
      </c>
      <c r="AL46" s="24" t="n">
        <v>-0.070408</v>
      </c>
      <c r="AM46" s="24" t="n">
        <v>-0.064834</v>
      </c>
      <c r="AN46" s="24" t="n">
        <v>-0.057668</v>
      </c>
      <c r="AO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31" t="n"/>
      <c r="AD47" s="31" t="n"/>
      <c r="AE47" s="25" t="n"/>
      <c r="AF47" s="31" t="n"/>
      <c r="AG47" s="31" t="n"/>
      <c r="AH47" s="31" t="n"/>
      <c r="AI47" s="31" t="n"/>
      <c r="AJ47" s="25" t="n"/>
      <c r="AK47" s="31" t="n"/>
      <c r="AL47" s="31" t="n"/>
      <c r="AM47" s="31" t="n"/>
      <c r="AN47" s="31" t="n"/>
      <c r="AO47" s="25" t="n"/>
    </row>
    <row r="48">
      <c r="A48" s="12" t="inlineStr">
        <is>
          <t>drv:매출전사</t>
        </is>
      </c>
      <c r="B48" s="2" t="inlineStr">
        <is>
          <t>ratio</t>
        </is>
      </c>
      <c r="C48" t="inlineStr">
        <is>
          <t>매출전사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1</v>
      </c>
      <c r="AD48" s="24" t="n">
        <v>1</v>
      </c>
      <c r="AE48" s="25">
        <f>IFERROR(subQ!AE39/subQ!AE5,"")</f>
        <v/>
      </c>
      <c r="AF48" s="24" t="n">
        <v>1</v>
      </c>
      <c r="AG48" s="24" t="n">
        <v>1</v>
      </c>
      <c r="AH48" s="24" t="n">
        <v>1</v>
      </c>
      <c r="AI48" s="24" t="n">
        <v>1</v>
      </c>
      <c r="AJ48" s="25">
        <f>IFERROR(subQ!AJ39/subQ!AJ5,"")</f>
        <v/>
      </c>
      <c r="AK48" s="24" t="n">
        <v>1</v>
      </c>
      <c r="AL48" s="24" t="n">
        <v>1</v>
      </c>
      <c r="AM48" s="24" t="n">
        <v>1</v>
      </c>
      <c r="AN48" s="24" t="n">
        <v>1</v>
      </c>
      <c r="AO48" s="25">
        <f>IFERROR(subQ!AO39/subQ!AO5,"")</f>
        <v/>
      </c>
    </row>
    <row r="49">
      <c r="A49" s="12" t="inlineStr">
        <is>
          <t>drv:OP전사</t>
        </is>
      </c>
      <c r="B49" s="2" t="inlineStr">
        <is>
          <t>ratio</t>
        </is>
      </c>
      <c r="C49" t="inlineStr">
        <is>
          <t>OP전사 마진(/매출전사)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0.047417</v>
      </c>
      <c r="AD49" s="24" t="n">
        <v>0.047417</v>
      </c>
      <c r="AE49" s="25">
        <f>IFERROR(subQ!AE40/subQ!AE39,"")</f>
        <v/>
      </c>
      <c r="AF49" s="24" t="n">
        <v>0.047417</v>
      </c>
      <c r="AG49" s="24" t="n">
        <v>0.047417</v>
      </c>
      <c r="AH49" s="24" t="n">
        <v>0.047417</v>
      </c>
      <c r="AI49" s="24" t="n">
        <v>0.047417</v>
      </c>
      <c r="AJ49" s="25">
        <f>IFERROR(subQ!AJ40/subQ!AJ39,"")</f>
        <v/>
      </c>
      <c r="AK49" s="24" t="n">
        <v>0.047417</v>
      </c>
      <c r="AL49" s="24" t="n">
        <v>0.047417</v>
      </c>
      <c r="AM49" s="24" t="n">
        <v>0.047417</v>
      </c>
      <c r="AN49" s="24" t="n">
        <v>0.047417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3" t="n">
        <v>80500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4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10</v>
      </c>
      <c r="E55" s="2" t="inlineStr">
        <is>
          <t>PER 밴드 하단(배) — sector_default(레퍼런스 TP_PE PB 예시 10/15/20배; 과거 PER 중위 171.3배가 3~40 밖(턴어라운드 왜곡))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15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20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0.22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0.1202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0</v>
      </c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5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5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5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5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5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5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5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5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5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5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5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5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5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5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5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5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5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5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5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5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5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5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5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5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5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5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5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5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5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5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5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5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5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5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5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5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5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5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5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5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5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5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5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5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5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5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5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5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5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5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5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5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5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5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5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5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5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5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5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5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5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5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5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5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5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5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5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5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5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5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5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5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5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5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5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5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5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5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5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5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5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5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5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5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5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5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5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5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5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5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5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5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5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5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5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5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5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5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5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5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5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5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5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5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5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5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5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5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5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5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5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5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5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5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5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5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5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5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5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5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5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5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5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5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5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5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5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5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5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5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5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5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5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5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5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5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5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5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5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5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5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5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5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5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5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5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5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5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5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5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5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5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5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5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5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5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5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5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5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5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5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5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5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5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5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5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5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5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5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5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5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5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5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5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5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5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5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5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5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5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5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5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5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5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5" t="n">
        <v>64880.16</v>
      </c>
      <c r="G42" s="18" t="n">
        <v>66229.69</v>
      </c>
      <c r="J42" s="18" t="n">
        <v>76193.14</v>
      </c>
      <c r="K42" s="35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5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5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5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5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5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5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5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5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5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5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5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5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5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5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5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5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5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5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5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5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5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5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5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5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5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5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5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5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5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5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5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5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5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5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5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5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5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5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5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5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5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5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5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5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5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5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5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5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5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5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5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5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5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5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5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5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5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5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5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5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5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5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5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5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5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5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5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5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5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5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5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5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5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5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5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5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5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5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5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5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5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5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5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5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5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5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5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5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5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5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5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5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5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5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5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5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5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5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5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5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5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5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5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5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5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5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5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5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5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5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5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5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5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5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5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5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5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5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5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5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5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5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5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5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5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5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5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5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5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5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5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5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5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5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5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5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5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5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5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5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5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5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5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5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5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5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5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5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5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5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5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5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5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5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5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5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5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5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5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5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5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5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5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5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5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5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5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5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5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5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5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5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5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5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5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5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5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5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5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5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5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5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5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5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5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5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5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5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5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5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5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5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5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5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5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5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5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5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5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5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5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5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5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5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5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5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5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5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5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5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5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5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5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5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5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5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5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5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5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5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5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5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5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5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5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5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5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5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5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5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5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5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5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5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5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5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5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5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5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5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5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5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5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5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5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5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5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5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5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5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5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5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5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5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5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5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5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5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5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5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5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5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5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5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5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5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5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5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5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5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5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5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5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5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5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5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5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5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5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5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5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5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5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5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5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5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5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5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5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5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5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5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5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5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5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5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5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5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5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5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5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5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5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5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5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5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5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5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5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5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5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5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5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5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5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5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5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5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5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5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5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5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5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5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5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5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5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5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5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5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5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5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5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5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5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5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5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5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5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5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5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5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5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5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5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5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5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5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5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5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5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5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5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5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5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5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5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5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5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5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5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5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5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5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5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5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5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5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5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5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5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5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5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5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5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5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5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5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5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5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5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5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5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5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5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5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5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5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5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5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5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5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5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5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5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5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5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5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5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5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5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5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5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5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5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5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5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5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5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5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5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5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5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5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5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5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5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5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5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5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5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5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5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5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5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5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5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5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5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5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5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5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5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5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5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5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5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5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5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5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5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5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5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5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5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5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5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5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5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5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5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5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5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5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5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5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5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5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5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5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5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5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5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5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5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5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5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5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5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5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5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5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5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5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5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5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5" t="n">
        <v>26140.81</v>
      </c>
      <c r="G37" s="18" t="n">
        <v>26949.05</v>
      </c>
      <c r="J37" s="18" t="n">
        <v>29843.9</v>
      </c>
      <c r="K37" s="35" t="n">
        <v>29843.9</v>
      </c>
      <c r="L37" s="18" t="n">
        <v>29268.62</v>
      </c>
      <c r="M37" s="18" t="n">
        <v>27258.28</v>
      </c>
      <c r="O37" s="18" t="n">
        <v>26198.91</v>
      </c>
      <c r="P37" s="35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5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5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5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5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5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5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5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5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5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5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5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5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5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5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5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5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5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5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5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5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5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5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5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5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5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5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5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5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5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5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5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5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5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5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5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5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5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5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5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5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5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5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5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5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5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5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5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5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5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5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5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5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5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5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5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5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5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5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5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5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5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5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5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5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5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5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5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5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5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5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5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5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5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5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5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5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5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5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5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5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5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5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5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5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5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5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5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5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5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5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5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5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5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5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5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5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5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5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5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5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5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5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5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5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5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5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5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5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5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5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5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5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5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5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5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5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5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5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5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5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5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5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5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5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5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5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5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5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5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5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5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5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5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5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5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5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5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5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5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5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5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5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5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5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5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5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5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5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5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5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5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5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5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5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5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5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5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5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5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5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5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5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5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5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5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5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5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5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5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5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5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5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5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5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5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5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5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5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5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5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5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5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5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5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5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5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5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5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5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5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5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5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5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5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5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5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5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5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5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5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5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5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5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5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5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5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5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5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5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5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5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5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5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5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5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5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5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5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5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5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5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5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5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5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5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5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5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5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5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5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5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5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5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5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5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5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5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5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5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5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5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5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5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5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5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5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5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5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5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5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5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5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5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5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5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5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5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5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5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5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5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5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5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5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5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5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5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5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5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5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5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6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6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6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6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6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6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6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6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6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6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6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6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6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6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6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0.0585</v>
      </c>
      <c r="F10" s="35" t="n"/>
      <c r="G10" s="18" t="n">
        <v>0.0626</v>
      </c>
      <c r="H10" s="18" t="n">
        <v>0.0856</v>
      </c>
      <c r="I10" s="18" t="n">
        <v>0.0794</v>
      </c>
      <c r="J10" s="18" t="n">
        <v>0.0588</v>
      </c>
      <c r="K10" s="35">
        <f>SUM(G10:J10)</f>
        <v/>
      </c>
      <c r="L10" s="18" t="n">
        <v>0.0902</v>
      </c>
      <c r="M10" s="18" t="n">
        <v>0.109</v>
      </c>
      <c r="N10" s="18" t="n">
        <v>0.07489999999999999</v>
      </c>
      <c r="O10" s="18" t="n">
        <v>0.0611</v>
      </c>
      <c r="P10" s="35">
        <f>SUM(L10:O10)</f>
        <v/>
      </c>
      <c r="Q10" s="18" t="n">
        <v>0.08740000000000001</v>
      </c>
      <c r="R10" s="18" t="n">
        <v>0.0746</v>
      </c>
      <c r="S10" s="18" t="n">
        <v>0.0338</v>
      </c>
      <c r="T10" s="18" t="n">
        <v>0.0512</v>
      </c>
      <c r="U10" s="35">
        <f>SUM(Q10:T10)</f>
        <v/>
      </c>
      <c r="V10" s="18" t="n">
        <v>0.038</v>
      </c>
      <c r="W10" s="18" t="n">
        <v>0.0593</v>
      </c>
      <c r="X10" s="18" t="n">
        <v>0.0353</v>
      </c>
      <c r="Y10" s="18" t="n">
        <v>0.0436</v>
      </c>
      <c r="Z10" s="35">
        <f>SUM(V10:Y10)</f>
        <v/>
      </c>
      <c r="AA10" s="18" t="n">
        <v>0.0548</v>
      </c>
      <c r="AB10" s="19" t="n">
        <v>0.0665</v>
      </c>
      <c r="AC10" s="20">
        <f>IFERROR(X10*(1+변수!AC24),"")</f>
        <v/>
      </c>
      <c r="AD10" s="20">
        <f>IFERROR(Y10*(1+변수!AD24),"")</f>
        <v/>
      </c>
      <c r="AE10" s="36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6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6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6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6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6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6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6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6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>
        <v>-555.53</v>
      </c>
      <c r="H13" s="18" t="n">
        <v>-1128.22</v>
      </c>
      <c r="I13" s="18" t="n">
        <v>-1567.96</v>
      </c>
      <c r="J13" s="18" t="n">
        <v>1127.25</v>
      </c>
      <c r="K13" s="35">
        <f>SUM(G13:J13)</f>
        <v/>
      </c>
      <c r="L13" s="18" t="n">
        <v>46.13</v>
      </c>
      <c r="M13" s="18" t="n">
        <v>142.66</v>
      </c>
      <c r="N13" s="18" t="n">
        <v>-252.56</v>
      </c>
      <c r="O13" s="18" t="n">
        <v>26.45</v>
      </c>
      <c r="P13" s="35">
        <f>SUM(L13:O13)</f>
        <v/>
      </c>
      <c r="Q13" s="18" t="n">
        <v>233.86</v>
      </c>
      <c r="R13" s="18" t="n">
        <v>100.07</v>
      </c>
      <c r="S13" s="18" t="n">
        <v>-62.96</v>
      </c>
      <c r="T13" s="18" t="n">
        <v>302.33</v>
      </c>
      <c r="U13" s="35">
        <f>SUM(Q13:T13)</f>
        <v/>
      </c>
      <c r="V13" s="18" t="n">
        <v>-86.81</v>
      </c>
      <c r="W13" s="18" t="n">
        <v>-106.07</v>
      </c>
      <c r="X13" s="18" t="n">
        <v>-614.99</v>
      </c>
      <c r="Y13" s="18" t="n">
        <v>-78.06999999999999</v>
      </c>
      <c r="Z13" s="35">
        <f>SUM(V13:Y13)</f>
        <v/>
      </c>
      <c r="AA13" s="18" t="n">
        <v>-417.09</v>
      </c>
      <c r="AB13" s="19" t="n">
        <v>911.4</v>
      </c>
      <c r="AC13" s="20">
        <f>IFERROR(X13*(1+변수!AC27),"")</f>
        <v/>
      </c>
      <c r="AD13" s="20">
        <f>IFERROR(Y13*(1+변수!AD27),"")</f>
        <v/>
      </c>
      <c r="AE13" s="36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6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6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>
        <v>-163.39</v>
      </c>
      <c r="H14" s="18" t="n">
        <v>-1561.35</v>
      </c>
      <c r="I14" s="18" t="n">
        <v>-1091.8</v>
      </c>
      <c r="J14" s="18" t="n">
        <v>3188.51</v>
      </c>
      <c r="K14" s="35">
        <f>SUM(G14:J14)</f>
        <v/>
      </c>
      <c r="L14" s="18" t="n">
        <v>-484.08</v>
      </c>
      <c r="M14" s="18" t="n">
        <v>64.59</v>
      </c>
      <c r="N14" s="18" t="n">
        <v>-482.75</v>
      </c>
      <c r="O14" s="18" t="n">
        <v>820.6</v>
      </c>
      <c r="P14" s="35">
        <f>SUM(L14:O14)</f>
        <v/>
      </c>
      <c r="Q14" s="18" t="n">
        <v>-636.74</v>
      </c>
      <c r="R14" s="18" t="n">
        <v>-402.34</v>
      </c>
      <c r="S14" s="18" t="n">
        <v>930.9400000000001</v>
      </c>
      <c r="T14" s="18" t="n">
        <v>-1581.24</v>
      </c>
      <c r="U14" s="35">
        <f>SUM(Q14:T14)</f>
        <v/>
      </c>
      <c r="V14" s="18" t="n">
        <v>-152.16</v>
      </c>
      <c r="W14" s="18" t="n">
        <v>1513</v>
      </c>
      <c r="X14" s="18" t="n">
        <v>-1279.7</v>
      </c>
      <c r="Y14" s="18" t="n">
        <v>-286.83</v>
      </c>
      <c r="Z14" s="35">
        <f>SUM(V14:Y14)</f>
        <v/>
      </c>
      <c r="AA14" s="18" t="n">
        <v>-2153.34</v>
      </c>
      <c r="AB14" s="19" t="n">
        <v>-1535.86</v>
      </c>
      <c r="AC14" s="20">
        <f>변수!AC28</f>
        <v/>
      </c>
      <c r="AD14" s="20">
        <f>변수!AD28</f>
        <v/>
      </c>
      <c r="AE14" s="36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6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6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>
        <v>106.95</v>
      </c>
      <c r="H15" s="18" t="n">
        <v>901.83</v>
      </c>
      <c r="I15" s="18" t="n">
        <v>1768.9</v>
      </c>
      <c r="J15" s="18" t="n">
        <v>-3496.83</v>
      </c>
      <c r="K15" s="35">
        <f>SUM(G15:J15)</f>
        <v/>
      </c>
      <c r="L15" s="18" t="n">
        <v>518.0700000000001</v>
      </c>
      <c r="M15" s="18" t="n">
        <v>-101.67</v>
      </c>
      <c r="N15" s="18" t="n">
        <v>496.74</v>
      </c>
      <c r="O15" s="18" t="n">
        <v>-1066.97</v>
      </c>
      <c r="P15" s="35">
        <f>SUM(L15:O15)</f>
        <v/>
      </c>
      <c r="Q15" s="18" t="n">
        <v>781.22</v>
      </c>
      <c r="R15" s="18" t="n">
        <v>395.44</v>
      </c>
      <c r="S15" s="18" t="n">
        <v>-1035.64</v>
      </c>
      <c r="T15" s="18" t="n">
        <v>1361.29</v>
      </c>
      <c r="U15" s="35">
        <f>SUM(Q15:T15)</f>
        <v/>
      </c>
      <c r="V15" s="18" t="n">
        <v>42.23</v>
      </c>
      <c r="W15" s="18" t="n">
        <v>-1570.81</v>
      </c>
      <c r="X15" s="18" t="n">
        <v>1228.09</v>
      </c>
      <c r="Y15" s="18" t="n">
        <v>333.45</v>
      </c>
      <c r="Z15" s="35">
        <f>SUM(V15:Y15)</f>
        <v/>
      </c>
      <c r="AA15" s="18" t="n">
        <v>2053.06</v>
      </c>
      <c r="AB15" s="19" t="n">
        <v>1517.44</v>
      </c>
      <c r="AC15" s="20">
        <f>IFERROR(X15*(1+변수!AC29),"")</f>
        <v/>
      </c>
      <c r="AD15" s="20">
        <f>IFERROR(Y15*(1+변수!AD29),"")</f>
        <v/>
      </c>
      <c r="AE15" s="36">
        <f>SUM(AA15:AD15)</f>
        <v/>
      </c>
      <c r="AF15" s="20">
        <f>IFERROR(AA15*(1+변수!AF29),"")</f>
        <v/>
      </c>
      <c r="AG15" s="20">
        <f>IFERROR(AB15*(1+변수!AG29),"")</f>
        <v/>
      </c>
      <c r="AH15" s="20" t="n">
        <v>0</v>
      </c>
      <c r="AI15" s="20" t="n">
        <v>0</v>
      </c>
      <c r="AJ15" s="36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6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6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6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6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5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5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5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5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5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6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6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6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6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6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6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6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6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6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5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5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5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5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5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6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6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6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5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6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6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6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중단사업이익(실적만)</t>
        </is>
      </c>
      <c r="E22" s="18" t="n">
        <v>-409.8</v>
      </c>
      <c r="F22" s="35" t="n"/>
      <c r="G22" s="18" t="n">
        <v>-5.13</v>
      </c>
      <c r="H22" s="18" t="n">
        <v>-1919.24</v>
      </c>
      <c r="I22" s="18" t="n">
        <v>716.2</v>
      </c>
      <c r="J22" s="18" t="n">
        <v>-0.47</v>
      </c>
      <c r="K22" s="35">
        <f>SUM(G22:J22)</f>
        <v/>
      </c>
      <c r="L22" s="18" t="n"/>
      <c r="M22" s="18" t="n"/>
      <c r="N22" s="18" t="n"/>
      <c r="O22" s="18" t="n"/>
      <c r="P22" s="35">
        <f>SUM(L22:O22)</f>
        <v/>
      </c>
      <c r="Q22" s="18" t="n"/>
      <c r="R22" s="18" t="n"/>
      <c r="S22" s="18" t="n"/>
      <c r="T22" s="18" t="n"/>
      <c r="U22" s="35">
        <f>SUM(Q22:T22)</f>
        <v/>
      </c>
      <c r="V22" s="18" t="n"/>
      <c r="W22" s="18" t="n"/>
      <c r="X22" s="18" t="n"/>
      <c r="Y22" s="18" t="n"/>
      <c r="Z22" s="35">
        <f>SUM(V22:Y22)</f>
        <v/>
      </c>
      <c r="AA22" s="18" t="n"/>
      <c r="AB22" s="19" t="n"/>
      <c r="AC22" s="20" t="n"/>
      <c r="AD22" s="20" t="n"/>
      <c r="AE22" s="36">
        <f>SUM(AA22:AD22)</f>
        <v/>
      </c>
      <c r="AF22" s="20" t="n"/>
      <c r="AG22" s="20" t="n"/>
      <c r="AH22" s="20" t="n"/>
      <c r="AI22" s="20" t="n"/>
      <c r="AJ22" s="36">
        <f>SUM(AF22:AI22)</f>
        <v/>
      </c>
      <c r="AK22" s="20" t="n"/>
      <c r="AL22" s="20" t="n"/>
      <c r="AM22" s="20" t="n"/>
      <c r="AN22" s="20" t="n"/>
      <c r="AO22" s="36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6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6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6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6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6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6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IFERROR(AB25+AC20-변수!AC36,"")</f>
        <v/>
      </c>
      <c r="AD25" s="20">
        <f>IFERROR(AC25+AD20-변수!AD36,"")</f>
        <v/>
      </c>
      <c r="AE25" s="36">
        <f>AD25</f>
        <v/>
      </c>
      <c r="AF25" s="20">
        <f>IFERROR(AD25+AF20-변수!AF36,"")</f>
        <v/>
      </c>
      <c r="AG25" s="20">
        <f>IFERROR(AF25+AG20-변수!AG36,"")</f>
        <v/>
      </c>
      <c r="AH25" s="20">
        <f>IFERROR(AG25+AH20-변수!AH36,"")</f>
        <v/>
      </c>
      <c r="AI25" s="20">
        <f>IFERROR(AH25+AI20-변수!AI36,"")</f>
        <v/>
      </c>
      <c r="AJ25" s="36">
        <f>AI25</f>
        <v/>
      </c>
      <c r="AK25" s="20">
        <f>IFERROR(AI25+AK20-변수!AK36,"")</f>
        <v/>
      </c>
      <c r="AL25" s="20">
        <f>IFERROR(AK25+AL20-변수!AL36,"")</f>
        <v/>
      </c>
      <c r="AM25" s="20">
        <f>IFERROR(AL25+AM20-변수!AM36,"")</f>
        <v/>
      </c>
      <c r="AN25" s="20">
        <f>IFERROR(AM25+AN20-변수!AN36,"")</f>
        <v/>
      </c>
      <c r="AO25" s="36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5">
        <f>O26</f>
        <v/>
      </c>
      <c r="Q26" s="18" t="n"/>
      <c r="R26" s="18" t="n"/>
      <c r="S26" s="18" t="n"/>
      <c r="T26" s="18" t="n"/>
      <c r="U26" s="35">
        <f>T26</f>
        <v/>
      </c>
      <c r="V26" s="18" t="n"/>
      <c r="W26" s="18" t="n"/>
      <c r="X26" s="18" t="n"/>
      <c r="Y26" s="18" t="n"/>
      <c r="Z26" s="35">
        <f>Y26</f>
        <v/>
      </c>
      <c r="AA26" s="18" t="n"/>
      <c r="AB26" s="19" t="n"/>
      <c r="AC26" s="20" t="n"/>
      <c r="AD26" s="20" t="n"/>
      <c r="AE26" s="36">
        <f>AD26</f>
        <v/>
      </c>
      <c r="AF26" s="20" t="n"/>
      <c r="AG26" s="20" t="n"/>
      <c r="AH26" s="20" t="n"/>
      <c r="AI26" s="20" t="n"/>
      <c r="AJ26" s="36">
        <f>AI26</f>
        <v/>
      </c>
      <c r="AK26" s="20" t="n"/>
      <c r="AL26" s="20" t="n"/>
      <c r="AM26" s="20" t="n"/>
      <c r="AN26" s="20" t="n"/>
      <c r="AO26" s="36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6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6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6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6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6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6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5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6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6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6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5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6">
        <f>AD30</f>
        <v/>
      </c>
      <c r="AF30" s="20" t="n"/>
      <c r="AG30" s="20" t="n"/>
      <c r="AH30" s="20" t="n"/>
      <c r="AI30" s="20" t="n"/>
      <c r="AJ30" s="36">
        <f>AI30</f>
        <v/>
      </c>
      <c r="AK30" s="20" t="n"/>
      <c r="AL30" s="20" t="n"/>
      <c r="AM30" s="20" t="n"/>
      <c r="AN30" s="20" t="n"/>
      <c r="AO30" s="36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5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5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5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5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5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6">
        <f>SUM(AA31:AD31)</f>
        <v/>
      </c>
      <c r="AF31" s="20" t="n"/>
      <c r="AG31" s="20" t="n"/>
      <c r="AH31" s="20" t="n"/>
      <c r="AI31" s="20" t="n"/>
      <c r="AJ31" s="36">
        <f>SUM(AF31:AI31)</f>
        <v/>
      </c>
      <c r="AK31" s="20" t="n"/>
      <c r="AL31" s="20" t="n"/>
      <c r="AM31" s="20" t="n"/>
      <c r="AN31" s="20" t="n"/>
      <c r="AO31" s="36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6914.87</v>
      </c>
      <c r="F32" s="35" t="n"/>
      <c r="G32" s="18" t="n">
        <v>-2698.27</v>
      </c>
      <c r="H32" s="18" t="n">
        <v>3199.75</v>
      </c>
      <c r="I32" s="18" t="n">
        <v>5051.98</v>
      </c>
      <c r="J32" s="18" t="n">
        <v>697.3099999999999</v>
      </c>
      <c r="K32" s="35">
        <f>SUM(G32:J32)</f>
        <v/>
      </c>
      <c r="L32" s="18" t="n">
        <v>2330.46</v>
      </c>
      <c r="M32" s="18" t="n">
        <v>10256.9</v>
      </c>
      <c r="N32" s="18" t="n">
        <v>1536.23</v>
      </c>
      <c r="O32" s="18" t="n">
        <v>6582.75</v>
      </c>
      <c r="P32" s="35">
        <f>SUM(L32:O32)</f>
        <v/>
      </c>
      <c r="Q32" s="18" t="n">
        <v>3443.84</v>
      </c>
      <c r="R32" s="18" t="n">
        <v>-4770.65</v>
      </c>
      <c r="S32" s="18" t="n">
        <v>-8153.54</v>
      </c>
      <c r="T32" s="18" t="n">
        <v>11902.4</v>
      </c>
      <c r="U32" s="35">
        <f>SUM(Q32:T32)</f>
        <v/>
      </c>
      <c r="V32" s="18" t="n">
        <v>-5720.34</v>
      </c>
      <c r="W32" s="18" t="n">
        <v>-128.08</v>
      </c>
      <c r="X32" s="18" t="n">
        <v>-600.85</v>
      </c>
      <c r="Y32" s="18" t="n">
        <v>13967.28</v>
      </c>
      <c r="Z32" s="35">
        <f>SUM(V32:Y32)</f>
        <v/>
      </c>
      <c r="AA32" s="18" t="n">
        <v>-5655.22</v>
      </c>
      <c r="AB32" s="19" t="n">
        <v>-3211.3</v>
      </c>
      <c r="AC32" s="20" t="n"/>
      <c r="AD32" s="20" t="n"/>
      <c r="AE32" s="36">
        <f>SUM(AA32:AD32)</f>
        <v/>
      </c>
      <c r="AF32" s="20" t="n"/>
      <c r="AG32" s="20" t="n"/>
      <c r="AH32" s="20" t="n"/>
      <c r="AI32" s="20" t="n"/>
      <c r="AJ32" s="36">
        <f>SUM(AF32:AI32)</f>
        <v/>
      </c>
      <c r="AK32" s="20" t="n"/>
      <c r="AL32" s="20" t="n"/>
      <c r="AM32" s="20" t="n"/>
      <c r="AN32" s="20" t="n"/>
      <c r="AO32" s="36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522.125</v>
      </c>
      <c r="F33" s="27">
        <f>E33</f>
        <v/>
      </c>
      <c r="G33" s="26" t="n">
        <v>625.698</v>
      </c>
      <c r="H33" s="26" t="n">
        <v>635.197</v>
      </c>
      <c r="I33" s="26" t="n">
        <v>635.197</v>
      </c>
      <c r="J33" s="26" t="n">
        <v>638.212</v>
      </c>
      <c r="K33" s="27">
        <f>J33</f>
        <v/>
      </c>
      <c r="L33" s="26" t="n">
        <v>640.465</v>
      </c>
      <c r="M33" s="26" t="n">
        <v>640.465</v>
      </c>
      <c r="N33" s="26" t="n">
        <v>640.465</v>
      </c>
      <c r="O33" s="26" t="n">
        <v>640.465</v>
      </c>
      <c r="P33" s="27">
        <f>O33</f>
        <v/>
      </c>
      <c r="Q33" s="26" t="n">
        <v>640.465</v>
      </c>
      <c r="R33" s="26" t="n">
        <v>640.465</v>
      </c>
      <c r="S33" s="26" t="n">
        <v>640.465</v>
      </c>
      <c r="T33" s="26" t="n">
        <v>640.465</v>
      </c>
      <c r="U33" s="27">
        <f>T33</f>
        <v/>
      </c>
      <c r="V33" s="26" t="n">
        <v>640.465</v>
      </c>
      <c r="W33" s="26" t="n">
        <v>640.465</v>
      </c>
      <c r="X33" s="26" t="n">
        <v>640.465</v>
      </c>
      <c r="Y33" s="26" t="n">
        <v>640.465</v>
      </c>
      <c r="Z33" s="27">
        <f>Y33</f>
        <v/>
      </c>
      <c r="AA33" s="26" t="n">
        <v>640.465</v>
      </c>
      <c r="AB33" s="28" t="n">
        <v>639.133</v>
      </c>
      <c r="AC33" s="32">
        <f>IFERROR(AB33*(1+변수!AC44),"")</f>
        <v/>
      </c>
      <c r="AD33" s="32">
        <f>IFERROR(AC33*(1+변수!AD44),"")</f>
        <v/>
      </c>
      <c r="AE33" s="30">
        <f>AD33</f>
        <v/>
      </c>
      <c r="AF33" s="32">
        <f>IFERROR(AD33*(1+변수!AF44),"")</f>
        <v/>
      </c>
      <c r="AG33" s="32">
        <f>IFERROR(AF33*(1+변수!AG44),"")</f>
        <v/>
      </c>
      <c r="AH33" s="32">
        <f>IFERROR(AG33*(1+변수!AH44),"")</f>
        <v/>
      </c>
      <c r="AI33" s="32">
        <f>IFERROR(AH33*(1+변수!AI44),"")</f>
        <v/>
      </c>
      <c r="AJ33" s="30">
        <f>AI33</f>
        <v/>
      </c>
      <c r="AK33" s="32">
        <f>IFERROR(AI33*(1+변수!AK44),"")</f>
        <v/>
      </c>
      <c r="AL33" s="32">
        <f>IFERROR(AK33*(1+변수!AL44),"")</f>
        <v/>
      </c>
      <c r="AM33" s="32">
        <f>IFERROR(AL33*(1+변수!AM44),"")</f>
        <v/>
      </c>
      <c r="AN33" s="32">
        <f>IFERROR(AM33*(1+변수!AN44),"")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5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5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5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5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5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6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6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6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5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5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5">
        <f>O35</f>
        <v/>
      </c>
      <c r="Q35" s="18" t="n"/>
      <c r="R35" s="18" t="n"/>
      <c r="S35" s="18" t="n"/>
      <c r="T35" s="18" t="n"/>
      <c r="U35" s="35">
        <f>T35</f>
        <v/>
      </c>
      <c r="V35" s="18" t="n"/>
      <c r="W35" s="18" t="n"/>
      <c r="X35" s="18" t="n"/>
      <c r="Y35" s="18" t="n"/>
      <c r="Z35" s="35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6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6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6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5" t="n">
        <v>0</v>
      </c>
      <c r="G36" s="18" t="n"/>
      <c r="H36" s="18" t="n"/>
      <c r="I36" s="18" t="n"/>
      <c r="J36" s="18" t="n">
        <v>0</v>
      </c>
      <c r="K36" s="35">
        <f>SUM(G36:J36)</f>
        <v/>
      </c>
      <c r="L36" s="18" t="n"/>
      <c r="M36" s="18" t="n"/>
      <c r="N36" s="18" t="n"/>
      <c r="O36" s="18" t="n">
        <v>0</v>
      </c>
      <c r="P36" s="35">
        <f>SUM(L36:O36)</f>
        <v/>
      </c>
      <c r="Q36" s="18" t="n"/>
      <c r="R36" s="18" t="n"/>
      <c r="S36" s="18" t="n"/>
      <c r="T36" s="18" t="n">
        <v>0</v>
      </c>
      <c r="U36" s="35">
        <f>SUM(Q36:T36)</f>
        <v/>
      </c>
      <c r="V36" s="18" t="n"/>
      <c r="W36" s="18" t="n"/>
      <c r="X36" s="18" t="n"/>
      <c r="Y36" s="18" t="n">
        <v>0</v>
      </c>
      <c r="Z36" s="35">
        <f>SUM(V36:Y36)</f>
        <v/>
      </c>
      <c r="AA36" s="18" t="n"/>
      <c r="AB36" s="19" t="n"/>
      <c r="AC36" s="20" t="n"/>
      <c r="AD36" s="20" t="n">
        <v>0</v>
      </c>
      <c r="AE36" s="36">
        <f>SUM(AA36:AD36)</f>
        <v/>
      </c>
      <c r="AF36" s="20" t="n"/>
      <c r="AG36" s="20" t="n"/>
      <c r="AH36" s="20" t="n"/>
      <c r="AI36" s="20" t="n">
        <v>0</v>
      </c>
      <c r="AJ36" s="36">
        <f>SUM(AF36:AI36)</f>
        <v/>
      </c>
      <c r="AK36" s="20" t="n"/>
      <c r="AL36" s="20" t="n"/>
      <c r="AM36" s="20" t="n"/>
      <c r="AN36" s="20" t="n">
        <v>0</v>
      </c>
      <c r="AO36" s="36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5" t="n"/>
      <c r="G37" s="18" t="n"/>
      <c r="H37" s="18" t="n"/>
      <c r="I37" s="18" t="n">
        <v>175.07</v>
      </c>
      <c r="J37" s="18" t="n"/>
      <c r="K37" s="35">
        <f>SUM(G37:J37)</f>
        <v/>
      </c>
      <c r="L37" s="18" t="n"/>
      <c r="M37" s="18" t="n"/>
      <c r="N37" s="18" t="n"/>
      <c r="O37" s="18" t="n">
        <v>171.25</v>
      </c>
      <c r="P37" s="35">
        <f>SUM(L37:O37)</f>
        <v/>
      </c>
      <c r="Q37" s="18" t="n">
        <v>78.69</v>
      </c>
      <c r="R37" s="18" t="n">
        <v>72.73999999999999</v>
      </c>
      <c r="S37" s="18" t="n">
        <v>145.13</v>
      </c>
      <c r="T37" s="18" t="n">
        <v>113.39</v>
      </c>
      <c r="U37" s="35">
        <f>SUM(Q37:T37)</f>
        <v/>
      </c>
      <c r="V37" s="18" t="n"/>
      <c r="W37" s="18" t="n"/>
      <c r="X37" s="18" t="n"/>
      <c r="Y37" s="18" t="n">
        <v>593.87</v>
      </c>
      <c r="Z37" s="35">
        <f>SUM(V37:Y37)</f>
        <v/>
      </c>
      <c r="AA37" s="18" t="n">
        <v>395.42</v>
      </c>
      <c r="AB37" s="19" t="n">
        <v>376.32</v>
      </c>
      <c r="AC37" s="20" t="n">
        <v>186</v>
      </c>
      <c r="AD37" s="20">
        <f>IFERROR(Y37*(1+변수!AD46),"")</f>
        <v/>
      </c>
      <c r="AE37" s="36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6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6">
        <f>SUM(AK37:AN37)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1.87</v>
      </c>
      <c r="F38" s="35" t="n">
        <v>1.75</v>
      </c>
      <c r="G38" s="18" t="n">
        <v>1.64</v>
      </c>
      <c r="H38" s="18" t="n">
        <v>1.65</v>
      </c>
      <c r="I38" s="18" t="n">
        <v>1.47</v>
      </c>
      <c r="J38" s="18" t="n">
        <v>1.37</v>
      </c>
      <c r="K38" s="35">
        <f>SUM(G38:J38)</f>
        <v/>
      </c>
      <c r="L38" s="18" t="n">
        <v>1.42</v>
      </c>
      <c r="M38" s="18" t="n"/>
      <c r="N38" s="18" t="n">
        <v>1.47</v>
      </c>
      <c r="O38" s="18" t="n"/>
      <c r="P38" s="35">
        <f>SUM(L38:O38)</f>
        <v/>
      </c>
      <c r="Q38" s="18" t="n"/>
      <c r="R38" s="18" t="n"/>
      <c r="S38" s="18" t="n"/>
      <c r="T38" s="18" t="n"/>
      <c r="U38" s="35">
        <f>SUM(Q38:T38)</f>
        <v/>
      </c>
      <c r="V38" s="18" t="n"/>
      <c r="W38" s="18" t="n"/>
      <c r="X38" s="18" t="n"/>
      <c r="Y38" s="18" t="n"/>
      <c r="Z38" s="35">
        <f>SUM(V38:Y38)</f>
        <v/>
      </c>
      <c r="AA38" s="18" t="n"/>
      <c r="AB38" s="19" t="n"/>
      <c r="AC38" s="20" t="n"/>
      <c r="AD38" s="20" t="n"/>
      <c r="AE38" s="36">
        <f>SUM(AA38:AD38)</f>
        <v/>
      </c>
      <c r="AF38" s="20" t="n"/>
      <c r="AG38" s="20" t="n"/>
      <c r="AH38" s="20" t="n"/>
      <c r="AI38" s="20" t="n"/>
      <c r="AJ38" s="36">
        <f>SUM(AF38:AI38)</f>
        <v/>
      </c>
      <c r="AK38" s="20" t="n"/>
      <c r="AL38" s="20" t="n"/>
      <c r="AM38" s="20" t="n"/>
      <c r="AN38" s="20" t="n"/>
      <c r="AO38" s="36">
        <f>SUM(AK38:AN38)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5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5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5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5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5">
        <f>SUM(V39:Y39)</f>
        <v/>
      </c>
      <c r="AA39" s="18" t="n">
        <v>42611.3</v>
      </c>
      <c r="AB39" s="19" t="n">
        <v>47248.08</v>
      </c>
      <c r="AC39" s="20">
        <f>IFERROR(AC5*변수!AC48,"")</f>
        <v/>
      </c>
      <c r="AD39" s="20">
        <f>IFERROR(AD5*변수!AD48,"")</f>
        <v/>
      </c>
      <c r="AE39" s="36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6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6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5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5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5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5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5">
        <f>SUM(V40:Y40)</f>
        <v/>
      </c>
      <c r="AA40" s="18" t="n">
        <v>2335.14</v>
      </c>
      <c r="AB40" s="19" t="n">
        <v>3142.6</v>
      </c>
      <c r="AC40" s="20">
        <f>IFERROR(AC39*변수!AC49,"")</f>
        <v/>
      </c>
      <c r="AD40" s="20">
        <f>IFERROR(AD39*변수!AD49,"")</f>
        <v/>
      </c>
      <c r="AE40" s="36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6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6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1">
        <f>IFERROR(AC21/AC5,"")</f>
        <v/>
      </c>
      <c r="AD43" s="31">
        <f>IFERROR(AD21/AD5,"")</f>
        <v/>
      </c>
      <c r="AE43" s="25">
        <f>IFERROR(AE21/AE5,"")</f>
        <v/>
      </c>
      <c r="AF43" s="31">
        <f>IFERROR(AF21/AF5,"")</f>
        <v/>
      </c>
      <c r="AG43" s="31">
        <f>IFERROR(AG21/AG5,"")</f>
        <v/>
      </c>
      <c r="AH43" s="31">
        <f>IFERROR(AH21/AH5,"")</f>
        <v/>
      </c>
      <c r="AI43" s="31">
        <f>IFERROR(AI21/AI5,"")</f>
        <v/>
      </c>
      <c r="AJ43" s="25">
        <f>IFERROR(AJ21/AJ5,"")</f>
        <v/>
      </c>
      <c r="AK43" s="31">
        <f>IFERROR(AK21/AK5,"")</f>
        <v/>
      </c>
      <c r="AL43" s="31">
        <f>IFERROR(AL21/AL5,"")</f>
        <v/>
      </c>
      <c r="AM43" s="31">
        <f>IFERROR(AM21/AM5,"")</f>
        <v/>
      </c>
      <c r="AN43" s="31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43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2">
        <f>IFERROR(W21/S21-1,"")</f>
        <v/>
      </c>
      <c r="X45" s="31">
        <f>IFERROR(X21/T21-1,"")</f>
        <v/>
      </c>
      <c r="Y45" s="31">
        <f>IFERROR(Y21/U21-1,"")</f>
        <v/>
      </c>
      <c r="Z45" s="31">
        <f>IFERROR(Z21/V21-1,"")</f>
        <v/>
      </c>
      <c r="AA45" s="31">
        <f>IFERROR(AA21/W21-1,"")</f>
        <v/>
      </c>
      <c r="AB45" s="31">
        <f>IFERROR(AB21/X21-1,"")</f>
        <v/>
      </c>
      <c r="AC45" s="31">
        <f>IFERROR(AC21/Y21-1,"")</f>
        <v/>
      </c>
      <c r="AD45" s="31">
        <f>IFERROR(AD21/Z21-1,"")</f>
        <v/>
      </c>
      <c r="AE45" s="31">
        <f>IFERROR(AE21/AA21-1,"")</f>
        <v/>
      </c>
      <c r="AF45" s="31">
        <f>IFERROR(AF21/AB21-1,"")</f>
        <v/>
      </c>
      <c r="AG45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43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2">
        <f>IFERROR(I21/H21-1,"")</f>
        <v/>
      </c>
      <c r="J45" s="31">
        <f>IFERROR(J21/I21-1,"")</f>
        <v/>
      </c>
      <c r="K45" s="31">
        <f>IFERROR(K21/J21-1,"")</f>
        <v/>
      </c>
      <c r="L45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234.49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