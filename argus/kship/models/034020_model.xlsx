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3절 스칼라 '판관비율' 참조 — 숫자로 덮어쓰면 이 분기만 바뀐다
매출액 × 판관비율 12.02%(최근 4분기 중위)</t>
      </text>
    </comment>
    <comment ref="AD22" authorId="0" shapeId="0">
      <text>
        <t>3절 스칼라 '판관비율' 참조 — 숫자로 덮어쓰면 이 분기만 바뀐다
매출액 × 판관비율 12.02%(최근 4분기 중위)</t>
      </text>
    </comment>
    <comment ref="AF22" authorId="0" shapeId="0">
      <text>
        <t>3절 스칼라 '판관비율' 참조 — 숫자로 덮어쓰면 이 분기만 바뀐다
매출액 × 판관비율 12.02%(최근 4분기 중위)</t>
      </text>
    </comment>
    <comment ref="AG22" authorId="0" shapeId="0">
      <text>
        <t>3절 스칼라 '판관비율' 참조 — 숫자로 덮어쓰면 이 분기만 바뀐다
매출액 × 판관비율 12.02%(최근 4분기 중위)</t>
      </text>
    </comment>
    <comment ref="AH22" authorId="0" shapeId="0">
      <text>
        <t>3절 스칼라 '판관비율' 참조 — 숫자로 덮어쓰면 이 분기만 바뀐다
매출액 × 판관비율 12.02%(최근 4분기 중위)</t>
      </text>
    </comment>
    <comment ref="AI22" authorId="0" shapeId="0">
      <text>
        <t>3절 스칼라 '판관비율' 참조 — 숫자로 덮어쓰면 이 분기만 바뀐다
매출액 × 판관비율 12.02%(최근 4분기 중위)</t>
      </text>
    </comment>
    <comment ref="AK22" authorId="0" shapeId="0">
      <text>
        <t>3절 스칼라 '판관비율' 참조 — 숫자로 덮어쓰면 이 분기만 바뀐다
매출액 × 판관비율 12.02%(최근 4분기 중위)</t>
      </text>
    </comment>
    <comment ref="AL22" authorId="0" shapeId="0">
      <text>
        <t>3절 스칼라 '판관비율' 참조 — 숫자로 덮어쓰면 이 분기만 바뀐다
매출액 × 판관비율 12.02%(최근 4분기 중위)</t>
      </text>
    </comment>
    <comment ref="AM22" authorId="0" shapeId="0">
      <text>
        <t>3절 스칼라 '판관비율' 참조 — 숫자로 덮어쓰면 이 분기만 바뀐다
매출액 × 판관비율 12.02%(최근 4분기 중위)</t>
      </text>
    </comment>
    <comment ref="AN22" authorId="0" shapeId="0">
      <text>
        <t>3절 스칼라 '판관비율' 참조 — 숫자로 덮어쓰면 이 분기만 바뀐다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+1372.76억이 이자손익 추정 -681.87억의 50% 초과 → 0(경고)</t>
      </text>
    </comment>
    <comment ref="AD26" authorId="0" shapeId="0">
      <text>
        <t>모델값 역산(implied): 모델 v 그대로
최근 4분기 중위 +1372.76억이 이자손익 추정 -681.87억의 50% 초과 → 0(경고)</t>
      </text>
    </comment>
    <comment ref="AF26" authorId="0" shapeId="0">
      <text>
        <t>모델값 역산(implied): 모델 v 그대로
최근 4분기 중위 +1372.76억이 이자손익 추정 -681.87억의 50% 초과 → 0(경고)</t>
      </text>
    </comment>
    <comment ref="AG26" authorId="0" shapeId="0">
      <text>
        <t>모델값 역산(implied): 모델 v 그대로
최근 4분기 중위 +1372.76억이 이자손익 추정 -681.87억의 50% 초과 → 0(경고)</t>
      </text>
    </comment>
    <comment ref="AH26" authorId="0" shapeId="0">
      <text>
        <t>모델값 역산(implied): 모델 v 그대로
최근 4분기 중위 +1372.76억이 이자손익 추정 -681.87억의 50% 초과 → 0(경고)</t>
      </text>
    </comment>
    <comment ref="AI26" authorId="0" shapeId="0">
      <text>
        <t>모델값 역산(implied): 모델 v 그대로
최근 4분기 중위 +1372.76억이 이자손익 추정 -681.87억의 50% 초과 → 0(경고)</t>
      </text>
    </comment>
    <comment ref="AK26" authorId="0" shapeId="0">
      <text>
        <t>모델값 역산(implied): 모델 v 그대로
최근 4분기 중위 +1372.76억이 이자손익 추정 -681.87억의 50% 초과 → 0(경고)</t>
      </text>
    </comment>
    <comment ref="AL26" authorId="0" shapeId="0">
      <text>
        <t>모델값 역산(implied): 모델 v 그대로
최근 4분기 중위 +1372.76억이 이자손익 추정 -681.87억의 50% 초과 → 0(경고)</t>
      </text>
    </comment>
    <comment ref="AM26" authorId="0" shapeId="0">
      <text>
        <t>모델값 역산(implied): 모델 v 그대로
최근 4분기 중위 +1372.76억이 이자손익 추정 -681.87억의 50% 초과 → 0(경고)</t>
      </text>
    </comment>
    <comment ref="AN26" authorId="0" shapeId="0">
      <text>
        <t>모델값 역산(implied): 모델 v 그대로
최근 4분기 중위 +1372.76억이 이자손익 추정 -681.87억의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60.0%, 최근 8분기 실측)</t>
      </text>
    </comment>
    <comment ref="AD30" authorId="0" shapeId="0">
      <text>
        <t>3절 스칼라 '지배주주비중' 참조 — 숫자로 덮어쓰면 이 분기만 바뀐다
당기순이익 × (1 − 비지배 비중 60.0%, 최근 8분기 실측)</t>
      </text>
    </comment>
    <comment ref="AF30" authorId="0" shapeId="0">
      <text>
        <t>3절 스칼라 '지배주주비중' 참조 — 숫자로 덮어쓰면 이 분기만 바뀐다
당기순이익 × (1 − 비지배 비중 60.0%, 최근 8분기 실측)</t>
      </text>
    </comment>
    <comment ref="AG30" authorId="0" shapeId="0">
      <text>
        <t>3절 스칼라 '지배주주비중' 참조 — 숫자로 덮어쓰면 이 분기만 바뀐다
당기순이익 × (1 − 비지배 비중 60.0%, 최근 8분기 실측)</t>
      </text>
    </comment>
    <comment ref="AH30" authorId="0" shapeId="0">
      <text>
        <t>3절 스칼라 '지배주주비중' 참조 — 숫자로 덮어쓰면 이 분기만 바뀐다
당기순이익 × (1 − 비지배 비중 60.0%, 최근 8분기 실측)</t>
      </text>
    </comment>
    <comment ref="AI30" authorId="0" shapeId="0">
      <text>
        <t>3절 스칼라 '지배주주비중' 참조 — 숫자로 덮어쓰면 이 분기만 바뀐다
당기순이익 × (1 − 비지배 비중 60.0%, 최근 8분기 실측)</t>
      </text>
    </comment>
    <comment ref="AK30" authorId="0" shapeId="0">
      <text>
        <t>3절 스칼라 '지배주주비중' 참조 — 숫자로 덮어쓰면 이 분기만 바뀐다
당기순이익 × (1 − 비지배 비중 60.0%, 최근 8분기 실측)</t>
      </text>
    </comment>
    <comment ref="AL30" authorId="0" shapeId="0">
      <text>
        <t>3절 스칼라 '지배주주비중' 참조 — 숫자로 덮어쓰면 이 분기만 바뀐다
당기순이익 × (1 − 비지배 비중 60.0%, 최근 8분기 실측)</t>
      </text>
    </comment>
    <comment ref="AM30" authorId="0" shapeId="0">
      <text>
        <t>3절 스칼라 '지배주주비중' 참조 — 숫자로 덮어쓰면 이 분기만 바뀐다
당기순이익 × (1 − 비지배 비중 60.0%, 최근 8분기 실측)</t>
      </text>
    </comment>
    <comment ref="AN30" authorId="0" shapeId="0">
      <text>
        <t>3절 스칼라 '지배주주비중' 참조 — 숫자로 덮어쓰면 이 분기만 바뀐다
당기순이익 × (1 − 비지배 비중 60.0%,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AC10" authorId="0" shapeId="0">
      <text>
        <t>추정: 최근 8분기 OPM 중위 4.7% 유지(클립 −20~40%)
[divide]</t>
      </text>
    </comment>
    <comment ref="AD10" authorId="0" shapeId="0">
      <text>
        <t>추정: 최근 8분기 OPM 중위 4.7% 유지(클립 −20~40%)
[divide]</t>
      </text>
    </comment>
    <comment ref="AF10" authorId="0" shapeId="0">
      <text>
        <t>추정: 최근 8분기 OPM 중위 4.7% 유지(클립 −20~40%)
[divide]</t>
      </text>
    </comment>
    <comment ref="AG10" authorId="0" shapeId="0">
      <text>
        <t>추정: 최근 8분기 OPM 중위 4.7% 유지(클립 −20~40%)
[divide]</t>
      </text>
    </comment>
    <comment ref="AH10" authorId="0" shapeId="0">
      <text>
        <t>추정: 최근 8분기 OPM 중위 4.7% 유지(클립 −20~40%)
[divide]</t>
      </text>
    </comment>
    <comment ref="AI10" authorId="0" shapeId="0">
      <text>
        <t>추정: 최근 8분기 OPM 중위 4.7% 유지(클립 −20~40%)
[divide]</t>
      </text>
    </comment>
    <comment ref="AK10" authorId="0" shapeId="0">
      <text>
        <t>추정: 최근 8분기 OPM 중위 4.7% 유지(클립 −20~40%)
[divide]</t>
      </text>
    </comment>
    <comment ref="AL10" authorId="0" shapeId="0">
      <text>
        <t>추정: 최근 8분기 OPM 중위 4.7% 유지(클립 −20~40%)
[divide]</t>
      </text>
    </comment>
    <comment ref="AM10" authorId="0" shapeId="0">
      <text>
        <t>추정: 최근 8분기 OPM 중위 4.7% 유지(클립 −20~40%)
[divide]</t>
      </text>
    </comment>
    <comment ref="AN10" authorId="0" shapeId="0">
      <text>
        <t>추정: 최근 8분기 OPM 중위 4.7% 유지(클립 −20~40%)
[divide]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[interest]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[interest]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[interest]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[interest]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[interest]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[interest]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[interest]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[interest]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[interest]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+1372.76억이 이자손익 추정 -681.87억의 50% 초과 → 0(경고)
[abs]</t>
      </text>
    </comment>
    <comment ref="AD15" authorId="0" shapeId="0">
      <text>
        <t>추정: 최근 4분기 중위 +1372.76억이 이자손익 추정 -681.87억의 50% 초과 → 0(경고)
[abs]</t>
      </text>
    </comment>
    <comment ref="AF15" authorId="0" shapeId="0">
      <text>
        <t>추정: 최근 4분기 중위 +1372.76억이 이자손익 추정 -681.87억의 50% 초과 → 0(경고)
[abs]</t>
      </text>
    </comment>
    <comment ref="AG15" authorId="0" shapeId="0">
      <text>
        <t>추정: 최근 4분기 중위 +1372.76억이 이자손익 추정 -681.87억의 50% 초과 → 0(경고)
[abs]</t>
      </text>
    </comment>
    <comment ref="AH15" authorId="0" shapeId="0">
      <text>
        <t>추정: 최근 4분기 중위 +1372.76억이 이자손익 추정 -681.87억의 50% 초과 → 0(경고)
[abs]</t>
      </text>
    </comment>
    <comment ref="AI15" authorId="0" shapeId="0">
      <text>
        <t>추정: 최근 4분기 중위 +1372.76억이 이자손익 추정 -681.87억의 50% 초과 → 0(경고)
[abs]</t>
      </text>
    </comment>
    <comment ref="AK15" authorId="0" shapeId="0">
      <text>
        <t>추정: 최근 4분기 중위 +1372.76억이 이자손익 추정 -681.87억의 50% 초과 → 0(경고)
[abs]</t>
      </text>
    </comment>
    <comment ref="AL15" authorId="0" shapeId="0">
      <text>
        <t>추정: 최근 4분기 중위 +1372.76억이 이자손익 추정 -681.87억의 50% 초과 → 0(경고)
[abs]</t>
      </text>
    </comment>
    <comment ref="AM15" authorId="0" shapeId="0">
      <text>
        <t>추정: 최근 4분기 중위 +1372.76억이 이자손익 추정 -681.87억의 50% 초과 → 0(경고)
[abs]</t>
      </text>
    </comment>
    <comment ref="AN15" authorId="0" shapeId="0">
      <text>
        <t>추정: 최근 4분기 중위 +1372.76억이 이자손익 추정 -681.87억의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34.8% 가 5~27% 밖; 세전 &gt; 0 분기 중위 42.9% 도 5~27% 밖 → 법정세율 근사 22% 가정</t>
        </is>
      </c>
    </row>
    <row r="23">
      <c r="A23" t="inlineStr">
        <is>
          <t>· 판관비율 12.02%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2.38% / 부채 5.18% — 이자손익 = (전분기 이자발생자산 × 자산이자율 − 전분기 총차입금 × 부채이자율)/4, 최소자승 역산(모델 assumptions [0.0238, 0.0518]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171.3배가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assets/models/034020.json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34">
      <c r="A34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23450</v>
      </c>
      <c r="W15" s="18" t="n">
        <v>68400</v>
      </c>
      <c r="X15" s="18" t="n">
        <v>62700</v>
      </c>
      <c r="Y15" s="18" t="n">
        <v>75300</v>
      </c>
      <c r="Z15" s="9" t="n"/>
      <c r="AA15" s="18" t="n">
        <v>91800</v>
      </c>
      <c r="AB15" s="19" t="n">
        <v>86800</v>
      </c>
      <c r="AC15" s="20" t="n">
        <v>81900</v>
      </c>
      <c r="AD15" s="20" t="n">
        <v>76700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26687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72200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20" t="n">
        <v>84300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17421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62700</v>
      </c>
      <c r="Z17" s="9" t="n"/>
      <c r="AA17" s="18" t="n">
        <v>74600</v>
      </c>
      <c r="AB17" s="19" t="n">
        <v>79300</v>
      </c>
      <c r="AC17" s="20" t="n">
        <v>57000</v>
      </c>
      <c r="AD17" s="20" t="n">
        <v>75200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24437.1</v>
      </c>
      <c r="W18" s="18" t="n">
        <v>38210</v>
      </c>
      <c r="X18" s="18" t="n">
        <v>63169.2</v>
      </c>
      <c r="Y18" s="18" t="n">
        <v>78511.89999999999</v>
      </c>
      <c r="Z18" s="9" t="n"/>
      <c r="AA18" s="18" t="n">
        <v>95247.5</v>
      </c>
      <c r="AB18" s="19" t="n">
        <v>106186.9</v>
      </c>
      <c r="AC18" s="20" t="n">
        <v>78645.2</v>
      </c>
      <c r="AD18" s="20" t="n">
        <v>80380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0.087344956</v>
      </c>
      <c r="AD21" s="24" t="n">
        <v>0.087344861</v>
      </c>
      <c r="AE21" s="25" t="n"/>
      <c r="AF21" s="24" t="n">
        <v>0.087344906</v>
      </c>
      <c r="AG21" s="24" t="n">
        <v>0.087344925</v>
      </c>
      <c r="AH21" s="24" t="n">
        <v>0.04367239</v>
      </c>
      <c r="AI21" s="24" t="n">
        <v>0.043672523</v>
      </c>
      <c r="AJ21" s="25" t="n"/>
      <c r="AK21" s="24" t="n">
        <v>0.043672591</v>
      </c>
      <c r="AL21" s="24" t="n">
        <v>0.043672443</v>
      </c>
      <c r="AM21" s="24" t="n">
        <v>0.021836271</v>
      </c>
      <c r="AN21" s="24" t="n">
        <v>0.021836178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0.047416869</v>
      </c>
      <c r="AD23" s="24" t="n">
        <v>0.047416926</v>
      </c>
      <c r="AE23" s="25">
        <f>IFERROR(subQ!AE9/subQ!AE5,"")</f>
        <v/>
      </c>
      <c r="AF23" s="24" t="n">
        <v>0.047416776</v>
      </c>
      <c r="AG23" s="24" t="n">
        <v>0.047416874</v>
      </c>
      <c r="AH23" s="24" t="n">
        <v>0.047416797</v>
      </c>
      <c r="AI23" s="24" t="n">
        <v>0.047416914</v>
      </c>
      <c r="AJ23" s="25">
        <f>IFERROR(subQ!AJ9/subQ!AJ5,"")</f>
        <v/>
      </c>
      <c r="AK23" s="24" t="n">
        <v>0.04741683</v>
      </c>
      <c r="AL23" s="24" t="n">
        <v>0.047416915</v>
      </c>
      <c r="AM23" s="24" t="n">
        <v>0.047416918</v>
      </c>
      <c r="AN23" s="24" t="n">
        <v>0.047416831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143.3</v>
      </c>
      <c r="AD28" s="30" t="n">
        <v>143.3</v>
      </c>
      <c r="AE28" s="31">
        <f>subQ!AE17</f>
        <v/>
      </c>
      <c r="AF28" s="30" t="n">
        <v>143.3</v>
      </c>
      <c r="AG28" s="30" t="n">
        <v>143.3</v>
      </c>
      <c r="AH28" s="30" t="n">
        <v>143.3</v>
      </c>
      <c r="AI28" s="30" t="n">
        <v>143.3</v>
      </c>
      <c r="AJ28" s="31">
        <f>subQ!AJ17</f>
        <v/>
      </c>
      <c r="AK28" s="30" t="n">
        <v>143.3</v>
      </c>
      <c r="AL28" s="30" t="n">
        <v>143.3</v>
      </c>
      <c r="AM28" s="30" t="n">
        <v>143.3</v>
      </c>
      <c r="AN28" s="30" t="n">
        <v>143.3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0.001784146</v>
      </c>
      <c r="AD33" s="30" t="n">
        <v>0.002733647</v>
      </c>
      <c r="AE33" s="31" t="n"/>
      <c r="AF33" s="30" t="n">
        <v>0.000334227</v>
      </c>
      <c r="AG33" s="30" t="n">
        <v>0.006426239</v>
      </c>
      <c r="AH33" s="30" t="n">
        <v>-0.005099701</v>
      </c>
      <c r="AI33" s="30" t="n">
        <v>0.006238169</v>
      </c>
      <c r="AJ33" s="31" t="n"/>
      <c r="AK33" s="30" t="n">
        <v>0.004711386</v>
      </c>
      <c r="AL33" s="30" t="n">
        <v>0.002967662</v>
      </c>
      <c r="AM33" s="30" t="n">
        <v>0.004180576</v>
      </c>
      <c r="AN33" s="30" t="n">
        <v>-0.003043825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2" t="n"/>
      <c r="AD34" s="32" t="n"/>
      <c r="AE34" s="31" t="n"/>
      <c r="AF34" s="32" t="n"/>
      <c r="AG34" s="32" t="n"/>
      <c r="AH34" s="32" t="n"/>
      <c r="AI34" s="32" t="n"/>
      <c r="AJ34" s="31" t="n"/>
      <c r="AK34" s="32" t="n"/>
      <c r="AL34" s="32" t="n"/>
      <c r="AM34" s="32" t="n"/>
      <c r="AN34" s="32" t="n"/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-0.029576887</v>
      </c>
      <c r="AD36" s="24" t="n">
        <v>-0.04114798</v>
      </c>
      <c r="AE36" s="25" t="n"/>
      <c r="AF36" s="24" t="n">
        <v>-0.036400565</v>
      </c>
      <c r="AG36" s="24" t="n">
        <v>-0.043344324</v>
      </c>
      <c r="AH36" s="24" t="n">
        <v>-0.037310784</v>
      </c>
      <c r="AI36" s="24" t="n">
        <v>-0.05184946</v>
      </c>
      <c r="AJ36" s="25" t="n"/>
      <c r="AK36" s="24" t="n">
        <v>-0.046612876</v>
      </c>
      <c r="AL36" s="24" t="n">
        <v>-0.055880439</v>
      </c>
      <c r="AM36" s="24" t="n">
        <v>-0.047727226</v>
      </c>
      <c r="AN36" s="24" t="n">
        <v>-0.066587778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0.032228</v>
      </c>
      <c r="AD37" s="24" t="n">
        <v>0.042151681</v>
      </c>
      <c r="AE37" s="25" t="n"/>
      <c r="AF37" s="24" t="n">
        <v>0.034307981</v>
      </c>
      <c r="AG37" s="24" t="n">
        <v>0.03805975</v>
      </c>
      <c r="AH37" s="24" t="n">
        <v>0.03019266</v>
      </c>
      <c r="AI37" s="24" t="n">
        <v>0.03920838</v>
      </c>
      <c r="AJ37" s="25" t="n"/>
      <c r="AK37" s="24" t="n">
        <v>0.032159938</v>
      </c>
      <c r="AL37" s="24" t="n">
        <v>0.035611593</v>
      </c>
      <c r="AM37" s="24" t="n">
        <v>0.027728596</v>
      </c>
      <c r="AN37" s="24" t="n">
        <v>0.035845871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-0.224096995</v>
      </c>
      <c r="AD39" s="24" t="n">
        <v>-0.050420653</v>
      </c>
      <c r="AE39" s="25" t="n"/>
      <c r="AF39" s="24" t="n">
        <v>0.056069206</v>
      </c>
      <c r="AG39" s="24" t="n">
        <v>0.743665065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76700</v>
      </c>
      <c r="E45" s="2" t="inlineStr">
        <is>
          <t>원 — 네이버 정규장 종가(aik 확정종가 대조 · aik 81,500원)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PER 중위 171.3배가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0.2200008014009355</v>
      </c>
      <c r="E52" s="2" t="inlineStr">
        <is>
          <t>연결 — 법인세 = MAX(세전,0) × 세율(역산, 재현 오차 ≤ 0.05억 · 모델 assumptions 0.22) · 최근 12분기 유효세율 34.8% 가 5~27% 밖; 세전 &gt; 0 분기 중위 42.9%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0.120164482055655</v>
      </c>
      <c r="E53" s="2" t="inlineStr">
        <is>
          <t>연결 — 판관비 = 매출액 × 판관비율(역산, 재현 오차 ≤ 0.05억 · 모델 assumptions 0.1202)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0.4000001388428971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0.02376345087880756</v>
      </c>
      <c r="E55" s="2" t="inlineStr">
        <is>
          <t>연결 — 이자손익 = (전분기 이자발생자산 × 자산이자율 − 전분기 총차입금 × 부채이자율)/4(역산, 재현 오차 ≤ 0.05억 · 모델 assumptions 0.0238)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0.05178054189737089</v>
      </c>
      <c r="E56" s="2" t="inlineStr">
        <is>
          <t>연결 — 같은 수식의 부채 쪽(총차입금 행이 없으면 0)(역산, 재현 오차 ≤ 0.05억 · 모델 assumptions 0.0518)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7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7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7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7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7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7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7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7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7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7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7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7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7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7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7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7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7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7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7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7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7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7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7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7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7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7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7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7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7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7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7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7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7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7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7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7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7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7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7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7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7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7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7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7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7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7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7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7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7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7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7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7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7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7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7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7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7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7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7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7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7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7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7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7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7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7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7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7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7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7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7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7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7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7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7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7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7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7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7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7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7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7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7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7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7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7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7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7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7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7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7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7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7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7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7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7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7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7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7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7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7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7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7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7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7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7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7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7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7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7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7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7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7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7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7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7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7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7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7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7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7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7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7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7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7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7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7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7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7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7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7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7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7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7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7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7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7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7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7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7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7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7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7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7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7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7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7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7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7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7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7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7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7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7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7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7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7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7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7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7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7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7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7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7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7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7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7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7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7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7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7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7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7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7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7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7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7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7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7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7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7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7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7" t="n">
        <v>64880.16</v>
      </c>
      <c r="G42" s="18" t="n">
        <v>66229.69</v>
      </c>
      <c r="J42" s="18" t="n">
        <v>76193.14</v>
      </c>
      <c r="K42" s="37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7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7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7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7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7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7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7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7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7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7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7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7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7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7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7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7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7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7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7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7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7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7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7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7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7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7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7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7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7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7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7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7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7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7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7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7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7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7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7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7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7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7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7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7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7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7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7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7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7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7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7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7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7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7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7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7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7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7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7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7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7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7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7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7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7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7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7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7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7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7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7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7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7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7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7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7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7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7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7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7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7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7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7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7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7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7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7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7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7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7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7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7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7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7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7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7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7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7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7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7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7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7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7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7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7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7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7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7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7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7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7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7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7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7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7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7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7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7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7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7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7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7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7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7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7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7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7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7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7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7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7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7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7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7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7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7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7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7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7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7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7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7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7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7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7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7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7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7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7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7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7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7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7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7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7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7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7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7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7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7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7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7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7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7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7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7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7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7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7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7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7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7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7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7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7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7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7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7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7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7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7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7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7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7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7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7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7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7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7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7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7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7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7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7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7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7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7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7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7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7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7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7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7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7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7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7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7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7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7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7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7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7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7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7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7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7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7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7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7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7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7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7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7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7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7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7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7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7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7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7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7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7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7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7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7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7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7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7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7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7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7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7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7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7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7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7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7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7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7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7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7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7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7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7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7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7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7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7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7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7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7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7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7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7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7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7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7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7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7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7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7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7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7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7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7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7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7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7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7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7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7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7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7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7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7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7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7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7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7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7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7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7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7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7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7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7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7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7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7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7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7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7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7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7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7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7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7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7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7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7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7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7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7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7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7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7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7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7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7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7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7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7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7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7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7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7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7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7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7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7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7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7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7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7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7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7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7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7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7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7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7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7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7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7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7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7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7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7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7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7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7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7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7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7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7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7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7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7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7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7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7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7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7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7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7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7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7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7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7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7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7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7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7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7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7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7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7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7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7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7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7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7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7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7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7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7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7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7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7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7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7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7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7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7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7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7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7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7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7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7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7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7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7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7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7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7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7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7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7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7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7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7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7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7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7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7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7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7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7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7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7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7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7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7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7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7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7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7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7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7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7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7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7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7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7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7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7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7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7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7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7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7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7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7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7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7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7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7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7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7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7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7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7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7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7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7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7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7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7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7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7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7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7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7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7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7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7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7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7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7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7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7" t="n">
        <v>26140.81</v>
      </c>
      <c r="G37" s="18" t="n">
        <v>26949.05</v>
      </c>
      <c r="J37" s="18" t="n">
        <v>29843.9</v>
      </c>
      <c r="K37" s="37" t="n">
        <v>29843.9</v>
      </c>
      <c r="L37" s="18" t="n">
        <v>29268.62</v>
      </c>
      <c r="M37" s="18" t="n">
        <v>27258.28</v>
      </c>
      <c r="O37" s="18" t="n">
        <v>26198.91</v>
      </c>
      <c r="P37" s="37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7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7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7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7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7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7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7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7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7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7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7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7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7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7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7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7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7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7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7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7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7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7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7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7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7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7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7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7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7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7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7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7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7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7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7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7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7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7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7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7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7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7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7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7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7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7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7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7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7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7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7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7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7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7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7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7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7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7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7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7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7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7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7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7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7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7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7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7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7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7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7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7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7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7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7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7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7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7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7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7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7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7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7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7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7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7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7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7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7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7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7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7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7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7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7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7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7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7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7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7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7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7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7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7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7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7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7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7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7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7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7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7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7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7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7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7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7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7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7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7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7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7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7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7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7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7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7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7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7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7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7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7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7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7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7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7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7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7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7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7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7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7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7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7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7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7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7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7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7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7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7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7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7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7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7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7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7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7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7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7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7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7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7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7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7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7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7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7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7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7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7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7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7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7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7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7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7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7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7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7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7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7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7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7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7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7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7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7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7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7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7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7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7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7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7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7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7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7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7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7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7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7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7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7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7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7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7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7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7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7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7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7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7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7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7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7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7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7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7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7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7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7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7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7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7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7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7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7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7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7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7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7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7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7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7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7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7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7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7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7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7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7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7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7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7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7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7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7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7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7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7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7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7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7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7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7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7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7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7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7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7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7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7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7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7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522.125</v>
      </c>
      <c r="F33" s="28">
        <f>E33</f>
        <v/>
      </c>
      <c r="G33" s="27" t="n">
        <v>625.698</v>
      </c>
      <c r="H33" s="27" t="n">
        <v>635.197</v>
      </c>
      <c r="I33" s="27" t="n">
        <v>635.197</v>
      </c>
      <c r="J33" s="27" t="n">
        <v>638.212</v>
      </c>
      <c r="K33" s="28">
        <f>J33</f>
        <v/>
      </c>
      <c r="L33" s="27" t="n">
        <v>640.465</v>
      </c>
      <c r="M33" s="27" t="n">
        <v>640.465</v>
      </c>
      <c r="N33" s="27" t="n">
        <v>640.465</v>
      </c>
      <c r="O33" s="27" t="n">
        <v>640.465</v>
      </c>
      <c r="P33" s="28">
        <f>O33</f>
        <v/>
      </c>
      <c r="Q33" s="27" t="n">
        <v>640.465</v>
      </c>
      <c r="R33" s="27" t="n">
        <v>640.465</v>
      </c>
      <c r="S33" s="27" t="n">
        <v>640.465</v>
      </c>
      <c r="T33" s="27" t="n">
        <v>640.465</v>
      </c>
      <c r="U33" s="28">
        <f>T33</f>
        <v/>
      </c>
      <c r="V33" s="27" t="n">
        <v>640.465</v>
      </c>
      <c r="W33" s="27" t="n">
        <v>640.465</v>
      </c>
      <c r="X33" s="27" t="n">
        <v>640.465</v>
      </c>
      <c r="Y33" s="27" t="n">
        <v>640.465</v>
      </c>
      <c r="Z33" s="28">
        <f>Y33</f>
        <v/>
      </c>
      <c r="AA33" s="27" t="n">
        <v>640.465</v>
      </c>
      <c r="AB33" s="29" t="n">
        <v>639.133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7">
        <f>O35</f>
        <v/>
      </c>
      <c r="Q35" s="18" t="n"/>
      <c r="R35" s="18" t="n"/>
      <c r="S35" s="18" t="n"/>
      <c r="T35" s="18" t="n"/>
      <c r="U35" s="37">
        <f>T35</f>
        <v/>
      </c>
      <c r="V35" s="18" t="n"/>
      <c r="W35" s="18" t="n"/>
      <c r="X35" s="18" t="n"/>
      <c r="Y35" s="18" t="n"/>
      <c r="Z35" s="37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 t="n"/>
      <c r="X37" s="13" t="n"/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 t="n"/>
      <c r="N38" s="13">
        <f>IFERROR(변수!N18/N35,"")</f>
        <v/>
      </c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7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7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7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7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7">
        <f>SUM(V39:Y39)</f>
        <v/>
      </c>
      <c r="AA39" s="18" t="n">
        <v>42611.3</v>
      </c>
      <c r="AB39" s="19" t="n">
        <v>47248.08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7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7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7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7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7">
        <f>SUM(V40:Y40)</f>
        <v/>
      </c>
      <c r="AA40" s="18" t="n">
        <v>2335.14</v>
      </c>
      <c r="AB40" s="19" t="n">
        <v>3142.6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223.42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