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모델값 역산(implied): v / 매출액
매출액 × 판관비율 12.02%(최근 4분기 중위)</t>
      </text>
    </comment>
    <comment ref="AD22" authorId="0" shapeId="0">
      <text>
        <t>모델값 역산(implied): v / 매출액
매출액 × 판관비율 12.02%(최근 4분기 중위)</t>
      </text>
    </comment>
    <comment ref="AF22" authorId="0" shapeId="0">
      <text>
        <t>모델값 역산(implied): v / 매출액
매출액 × 판관비율 12.02%(최근 4분기 중위)</t>
      </text>
    </comment>
    <comment ref="AG22" authorId="0" shapeId="0">
      <text>
        <t>모델값 역산(implied): v / 매출액
매출액 × 판관비율 12.02%(최근 4분기 중위)</t>
      </text>
    </comment>
    <comment ref="AH22" authorId="0" shapeId="0">
      <text>
        <t>모델값 역산(implied): v / 매출액
매출액 × 판관비율 12.02%(최근 4분기 중위)</t>
      </text>
    </comment>
    <comment ref="AI22" authorId="0" shapeId="0">
      <text>
        <t>모델값 역산(implied): v / 매출액
매출액 × 판관비율 12.02%(최근 4분기 중위)</t>
      </text>
    </comment>
    <comment ref="AK22" authorId="0" shapeId="0">
      <text>
        <t>모델값 역산(implied): v / 매출액
매출액 × 판관비율 12.02%(최근 4분기 중위)</t>
      </text>
    </comment>
    <comment ref="AL22" authorId="0" shapeId="0">
      <text>
        <t>모델값 역산(implied): v / 매출액
매출액 × 판관비율 12.02%(최근 4분기 중위)</t>
      </text>
    </comment>
    <comment ref="AM22" authorId="0" shapeId="0">
      <text>
        <t>모델값 역산(implied): v / 매출액
매출액 × 판관비율 12.02%(최근 4분기 중위)</t>
      </text>
    </comment>
    <comment ref="AN22" authorId="0" shapeId="0">
      <text>
        <t>모델값 역산(implied): v / 매출액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v / 전년동기 − 1
최근 8분기 OPM 중위 4.7% 유지(클립 −20~40%)</t>
      </text>
    </comment>
    <comment ref="AD24" authorId="0" shapeId="0">
      <text>
        <t>모델값 역산(implied): v / 전년동기 − 1
최근 8분기 OPM 중위 4.7% 유지(클립 −20~40%)</t>
      </text>
    </comment>
    <comment ref="AF24" authorId="0" shapeId="0">
      <text>
        <t>모델값 역산(implied): v / 전년동기 − 1
최근 8분기 OPM 중위 4.7% 유지(클립 −20~40%)</t>
      </text>
    </comment>
    <comment ref="AG24" authorId="0" shapeId="0">
      <text>
        <t>모델값 역산(implied): v / 전년동기 − 1
최근 8분기 OPM 중위 4.7% 유지(클립 −20~40%)</t>
      </text>
    </comment>
    <comment ref="AH24" authorId="0" shapeId="0">
      <text>
        <t>모델값 역산(implied): v / 전년동기 − 1
최근 8분기 OPM 중위 4.7% 유지(클립 −20~40%)</t>
      </text>
    </comment>
    <comment ref="AI24" authorId="0" shapeId="0">
      <text>
        <t>모델값 역산(implied): v / 전년동기 − 1
최근 8분기 OPM 중위 4.7% 유지(클립 −20~40%)</t>
      </text>
    </comment>
    <comment ref="AK24" authorId="0" shapeId="0">
      <text>
        <t>모델값 역산(implied): v / 전년동기 − 1
최근 8분기 OPM 중위 4.7% 유지(클립 −20~40%)</t>
      </text>
    </comment>
    <comment ref="AL24" authorId="0" shapeId="0">
      <text>
        <t>모델값 역산(implied): v / 전년동기 − 1
최근 8분기 OPM 중위 4.7% 유지(클립 −20~40%)</t>
      </text>
    </comment>
    <comment ref="AM24" authorId="0" shapeId="0">
      <text>
        <t>모델값 역산(implied): v / 전년동기 − 1
최근 8분기 OPM 중위 4.7% 유지(클립 −20~40%)</t>
      </text>
    </comment>
    <comment ref="AN24" authorId="0" shapeId="0">
      <text>
        <t>모델값 역산(implied): v / 전년동기 − 1
최근 8분기 OPM 중위 4.7% 유지(클립 −20~40%)</t>
      </text>
    </comment>
    <comment ref="AC25" authorId="0" shapeId="0">
      <text>
        <t>모델값 역산(implied): 모델 v 그대로
이자손익 = 이자발생자산 35386억 × 2.28% − 총차입금 68913억 × 5.51% (연율, CF 실측) ÷ 4; 환·평가손익 0 가정</t>
      </text>
    </comment>
    <comment ref="AD25" authorId="0" shapeId="0">
      <text>
        <t>모델값 역산(implied): 모델 v 그대로
이자손익 = 이자발생자산 36406억 × 2.28% − 총차입금 68913억 × 5.51% (연율, CF 실측) ÷ 4; 환·평가손익 0 가정</t>
      </text>
    </comment>
    <comment ref="AF25" authorId="0" shapeId="0">
      <text>
        <t>모델값 역산(implied): 모델 v 그대로
이자손익 = 이자발생자산 37798억 × 2.28% − 총차입금 68913억 × 5.51% (연율, CF 실측) ÷ 4; 환·평가손익 0 가정</t>
      </text>
    </comment>
    <comment ref="AG25" authorId="0" shapeId="0">
      <text>
        <t>모델값 역산(implied): 모델 v 그대로
이자손익 = 이자발생자산 38972억 × 2.28% − 총차입금 68913억 × 5.51% (연율, CF 실측) ÷ 4; 환·평가손익 0 가정</t>
      </text>
    </comment>
    <comment ref="AH25" authorId="0" shapeId="0">
      <text>
        <t>모델값 역산(implied): 모델 v 그대로
이자손익 = 이자발생자산 40324억 × 2.28% − 총차입금 68913억 × 5.51% (연율, CF 실측) ÷ 4; 환·평가손익 0 가정</t>
      </text>
    </comment>
    <comment ref="AI25" authorId="0" shapeId="0">
      <text>
        <t>모델값 역산(implied): 모델 v 그대로
이자손익 = 이자발생자산 41428억 × 2.28% − 총차입금 68913억 × 5.51% (연율, CF 실측) ÷ 4; 환·평가손익 0 가정</t>
      </text>
    </comment>
    <comment ref="AK25" authorId="0" shapeId="0">
      <text>
        <t>모델값 역산(implied): 모델 v 그대로
이자손익 = 이자발생자산 42922억 × 2.28% − 총차입금 68913억 × 5.51% (연율, CF 실측) ÷ 4; 환·평가손익 0 가정</t>
      </text>
    </comment>
    <comment ref="AL25" authorId="0" shapeId="0">
      <text>
        <t>모델값 역산(implied): 모델 v 그대로
이자손익 = 이자발생자산 44186억 × 2.28% − 총차입금 68913억 × 5.51% (연율, CF 실측) ÷ 4; 환·평가손익 0 가정</t>
      </text>
    </comment>
    <comment ref="AM25" authorId="0" shapeId="0">
      <text>
        <t>모델값 역산(implied): 모델 v 그대로
이자손익 = 이자발생자산 45638억 × 2.28% − 총차입금 68913억 × 5.51% (연율, CF 실측) ÷ 4; 환·평가손익 0 가정</t>
      </text>
    </comment>
    <comment ref="AN25" authorId="0" shapeId="0">
      <text>
        <t>모델값 역산(implied): 모델 v 그대로
이자손익 = 이자발생자산 46798억 × 2.28% − 총차입금 68913억 × 5.51%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34.8% → 5~27% 클립)</t>
      </text>
    </comment>
    <comment ref="AD28" authorId="0" shapeId="0">
      <text>
        <t>모델값 역산(implied): v / 세전이익
max(세전, 0) × 세율 27.0%(최근 12분기 유효세율 34.8% → 5~27% 클립)</t>
      </text>
    </comment>
    <comment ref="AF28" authorId="0" shapeId="0">
      <text>
        <t>모델값 역산(implied): v / 세전이익
max(세전, 0) × 세율 27.0%(최근 12분기 유효세율 34.8% → 5~27% 클립)</t>
      </text>
    </comment>
    <comment ref="AG28" authorId="0" shapeId="0">
      <text>
        <t>모델값 역산(implied): v / 세전이익
max(세전, 0) × 세율 27.0%(최근 12분기 유효세율 34.8% → 5~27% 클립)</t>
      </text>
    </comment>
    <comment ref="AH28" authorId="0" shapeId="0">
      <text>
        <t>모델값 역산(implied): v / 세전이익
max(세전, 0) × 세율 27.0%(최근 12분기 유효세율 34.8% → 5~27% 클립)</t>
      </text>
    </comment>
    <comment ref="AI28" authorId="0" shapeId="0">
      <text>
        <t>모델값 역산(implied): v / 세전이익
max(세전, 0) × 세율 27.0%(최근 12분기 유효세율 34.8% → 5~27% 클립)</t>
      </text>
    </comment>
    <comment ref="AK28" authorId="0" shapeId="0">
      <text>
        <t>모델값 역산(implied): v / 세전이익
max(세전, 0) × 세율 27.0%(최근 12분기 유효세율 34.8% → 5~27% 클립)</t>
      </text>
    </comment>
    <comment ref="AL28" authorId="0" shapeId="0">
      <text>
        <t>모델값 역산(implied): v / 세전이익
max(세전, 0) × 세율 27.0%(최근 12분기 유효세율 34.8% → 5~27% 클립)</t>
      </text>
    </comment>
    <comment ref="AM28" authorId="0" shapeId="0">
      <text>
        <t>모델값 역산(implied): v / 세전이익
max(세전, 0) × 세율 27.0%(최근 12분기 유효세율 34.8% → 5~27% 클립)</t>
      </text>
    </comment>
    <comment ref="AN28" authorId="0" shapeId="0">
      <text>
        <t>모델값 역산(implied): v / 세전이익
max(세전, 0) × 세율 27.0%(최근 12분기 유효세율 34.8% → 5~27% 클립)</t>
      </text>
    </comment>
    <comment ref="AC29" authorId="0" shapeId="0">
      <text>
        <t>모델값 역산(implied): v / 당기순이익
당기순이익 × (1 − 비지배 비중 60.0%, 최근 8분기 실측)</t>
      </text>
    </comment>
    <comment ref="AD29" authorId="0" shapeId="0">
      <text>
        <t>모델값 역산(implied): v / 당기순이익
당기순이익 × (1 − 비지배 비중 60.0%, 최근 8분기 실측)</t>
      </text>
    </comment>
    <comment ref="AF29" authorId="0" shapeId="0">
      <text>
        <t>모델값 역산(implied): v / 당기순이익
당기순이익 × (1 − 비지배 비중 60.0%, 최근 8분기 실측)</t>
      </text>
    </comment>
    <comment ref="AG29" authorId="0" shapeId="0">
      <text>
        <t>모델값 역산(implied): v / 당기순이익
당기순이익 × (1 − 비지배 비중 60.0%, 최근 8분기 실측)</t>
      </text>
    </comment>
    <comment ref="AH29" authorId="0" shapeId="0">
      <text>
        <t>모델값 역산(implied): v / 당기순이익
당기순이익 × (1 − 비지배 비중 60.0%, 최근 8분기 실측)</t>
      </text>
    </comment>
    <comment ref="AI29" authorId="0" shapeId="0">
      <text>
        <t>모델값 역산(implied): v / 당기순이익
당기순이익 × (1 − 비지배 비중 60.0%, 최근 8분기 실측)</t>
      </text>
    </comment>
    <comment ref="AK29" authorId="0" shapeId="0">
      <text>
        <t>모델값 역산(implied): v / 당기순이익
당기순이익 × (1 − 비지배 비중 60.0%, 최근 8분기 실측)</t>
      </text>
    </comment>
    <comment ref="AL29" authorId="0" shapeId="0">
      <text>
        <t>모델값 역산(implied): v / 당기순이익
당기순이익 × (1 − 비지배 비중 60.0%, 최근 8분기 실측)</t>
      </text>
    </comment>
    <comment ref="AM29" authorId="0" shapeId="0">
      <text>
        <t>모델값 역산(implied): v / 당기순이익
당기순이익 × (1 − 비지배 비중 60.0%, 최근 8분기 실측)</t>
      </text>
    </comment>
    <comment ref="AN29" authorId="0" shapeId="0">
      <text>
        <t>모델값 역산(implied): v / 당기순이익
당기순이익 × (1 − 비지배 비중 60.0%,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현재 종가 ÷ TTM EPS(추정 포함)</t>
      </text>
    </comment>
    <comment ref="AF42" authorId="0" shapeId="0">
      <text>
        <t>모델값 역산(implied): v / 전년동기 − 1
현재 종가 ÷ TTM EPS(추정 포함)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4.7% 유지(클립 −20~40%)
[yoy]</t>
      </text>
    </comment>
    <comment ref="AD10" authorId="0" shapeId="0">
      <text>
        <t>추정: 최근 8분기 OPM 중위 4.7% 유지(클립 −20~40%)
[yoy]</t>
      </text>
    </comment>
    <comment ref="AF10" authorId="0" shapeId="0">
      <text>
        <t>추정: 최근 8분기 OPM 중위 4.7% 유지(클립 −20~40%)
[yoy]</t>
      </text>
    </comment>
    <comment ref="AG10" authorId="0" shapeId="0">
      <text>
        <t>추정: 최근 8분기 OPM 중위 4.7% 유지(클립 −20~40%)
[yoy]</t>
      </text>
    </comment>
    <comment ref="AH10" authorId="0" shapeId="0">
      <text>
        <t>추정: 최근 8분기 OPM 중위 4.7% 유지(클립 −20~40%)
[yoy]</t>
      </text>
    </comment>
    <comment ref="AI10" authorId="0" shapeId="0">
      <text>
        <t>추정: 최근 8분기 OPM 중위 4.7% 유지(클립 −20~40%)
[yoy]</t>
      </text>
    </comment>
    <comment ref="AK10" authorId="0" shapeId="0">
      <text>
        <t>추정: 최근 8분기 OPM 중위 4.7% 유지(클립 −20~40%)
[yoy]</t>
      </text>
    </comment>
    <comment ref="AL10" authorId="0" shapeId="0">
      <text>
        <t>추정: 최근 8분기 OPM 중위 4.7% 유지(클립 −20~40%)
[yoy]</t>
      </text>
    </comment>
    <comment ref="AM10" authorId="0" shapeId="0">
      <text>
        <t>추정: 최근 8분기 OPM 중위 4.7% 유지(클립 −20~40%)
[yoy]</t>
      </text>
    </comment>
    <comment ref="AN10" authorId="0" shapeId="0">
      <text>
        <t>추정: 최근 8분기 OPM 중위 4.7% 유지(클립 −20~40%)
[yoy]</t>
      </text>
    </comment>
    <comment ref="AC11" authorId="0" shapeId="0">
      <text>
        <t>추정: 이자손익 = 이자발생자산 35386억 × 2.28% − 총차입금 68913억 × 5.51% (연율, CF 실측) ÷ 4; 환·평가손익 0 가정
[abs]</t>
      </text>
    </comment>
    <comment ref="AD11" authorId="0" shapeId="0">
      <text>
        <t>추정: 이자손익 = 이자발생자산 36406억 × 2.28% − 총차입금 68913억 × 5.51% (연율, CF 실측) ÷ 4; 환·평가손익 0 가정
[abs]</t>
      </text>
    </comment>
    <comment ref="AF11" authorId="0" shapeId="0">
      <text>
        <t>추정: 이자손익 = 이자발생자산 37798억 × 2.28% − 총차입금 68913억 × 5.51% (연율, CF 실측) ÷ 4; 환·평가손익 0 가정
[abs]</t>
      </text>
    </comment>
    <comment ref="AG11" authorId="0" shapeId="0">
      <text>
        <t>추정: 이자손익 = 이자발생자산 38972억 × 2.28% − 총차입금 68913억 × 5.51% (연율, CF 실측) ÷ 4; 환·평가손익 0 가정
[abs]</t>
      </text>
    </comment>
    <comment ref="AH11" authorId="0" shapeId="0">
      <text>
        <t>추정: 이자손익 = 이자발생자산 40324억 × 2.28% − 총차입금 68913억 × 5.51% (연율, CF 실측) ÷ 4; 환·평가손익 0 가정
[abs]</t>
      </text>
    </comment>
    <comment ref="AI11" authorId="0" shapeId="0">
      <text>
        <t>추정: 이자손익 = 이자발생자산 41428억 × 2.28% − 총차입금 68913억 × 5.51% (연율, CF 실측) ÷ 4; 환·평가손익 0 가정
[abs]</t>
      </text>
    </comment>
    <comment ref="AK11" authorId="0" shapeId="0">
      <text>
        <t>추정: 이자손익 = 이자발생자산 42922억 × 2.28% − 총차입금 68913억 × 5.51% (연율, CF 실측) ÷ 4; 환·평가손익 0 가정
[abs]</t>
      </text>
    </comment>
    <comment ref="AL11" authorId="0" shapeId="0">
      <text>
        <t>추정: 이자손익 = 이자발생자산 44186억 × 2.28% − 총차입금 68913억 × 5.51% (연율, CF 실측) ÷ 4; 환·평가손익 0 가정
[abs]</t>
      </text>
    </comment>
    <comment ref="AM11" authorId="0" shapeId="0">
      <text>
        <t>추정: 이자손익 = 이자발생자산 45638억 × 2.28% − 총차입금 68913억 × 5.51% (연율, CF 실측) ÷ 4; 환·평가손익 0 가정
[abs]</t>
      </text>
    </comment>
    <comment ref="AN11" authorId="0" shapeId="0">
      <text>
        <t>추정: 이자손익 = 이자발생자산 46798억 × 2.28% − 총차입금 68913억 × 5.51%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34.8% → 5~27% 클립)
[ratio]</t>
      </text>
    </comment>
    <comment ref="AD15" authorId="0" shapeId="0">
      <text>
        <t>추정: max(세전, 0) × 세율 27.0%(최근 12분기 유효세율 34.8% → 5~27% 클립)
[ratio]</t>
      </text>
    </comment>
    <comment ref="AF15" authorId="0" shapeId="0">
      <text>
        <t>추정: max(세전, 0) × 세율 27.0%(최근 12분기 유효세율 34.8% → 5~27% 클립)
[ratio]</t>
      </text>
    </comment>
    <comment ref="AG15" authorId="0" shapeId="0">
      <text>
        <t>추정: max(세전, 0) × 세율 27.0%(최근 12분기 유효세율 34.8% → 5~27% 클립)
[ratio]</t>
      </text>
    </comment>
    <comment ref="AH15" authorId="0" shapeId="0">
      <text>
        <t>추정: max(세전, 0) × 세율 27.0%(최근 12분기 유효세율 34.8% → 5~27% 클립)
[ratio]</t>
      </text>
    </comment>
    <comment ref="AI15" authorId="0" shapeId="0">
      <text>
        <t>추정: max(세전, 0) × 세율 27.0%(최근 12분기 유효세율 34.8% → 5~27% 클립)
[ratio]</t>
      </text>
    </comment>
    <comment ref="AK15" authorId="0" shapeId="0">
      <text>
        <t>추정: max(세전, 0) × 세율 27.0%(최근 12분기 유효세율 34.8% → 5~27% 클립)
[ratio]</t>
      </text>
    </comment>
    <comment ref="AL15" authorId="0" shapeId="0">
      <text>
        <t>추정: max(세전, 0) × 세율 27.0%(최근 12분기 유효세율 34.8% → 5~27% 클립)
[ratio]</t>
      </text>
    </comment>
    <comment ref="AM15" authorId="0" shapeId="0">
      <text>
        <t>추정: max(세전, 0) × 세율 27.0%(최근 12분기 유효세율 34.8% → 5~27% 클립)
[ratio]</t>
      </text>
    </comment>
    <comment ref="AN15" authorId="0" shapeId="0">
      <text>
        <t>추정: max(세전, 0) × 세율 27.0%(최근 12분기 유효세율 34.8%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60.0%, 최근 8분기 실측)
[ratio]</t>
      </text>
    </comment>
    <comment ref="AD17" authorId="0" shapeId="0">
      <text>
        <t>추정: 당기순이익 × (1 − 비지배 비중 60.0%, 최근 8분기 실측)
[ratio]</t>
      </text>
    </comment>
    <comment ref="AF17" authorId="0" shapeId="0">
      <text>
        <t>추정: 당기순이익 × (1 − 비지배 비중 60.0%, 최근 8분기 실측)
[ratio]</t>
      </text>
    </comment>
    <comment ref="AG17" authorId="0" shapeId="0">
      <text>
        <t>추정: 당기순이익 × (1 − 비지배 비중 60.0%, 최근 8분기 실측)
[ratio]</t>
      </text>
    </comment>
    <comment ref="AH17" authorId="0" shapeId="0">
      <text>
        <t>추정: 당기순이익 × (1 − 비지배 비중 60.0%, 최근 8분기 실측)
[ratio]</t>
      </text>
    </comment>
    <comment ref="AI17" authorId="0" shapeId="0">
      <text>
        <t>추정: 당기순이익 × (1 − 비지배 비중 60.0%, 최근 8분기 실측)
[ratio]</t>
      </text>
    </comment>
    <comment ref="AK17" authorId="0" shapeId="0">
      <text>
        <t>추정: 당기순이익 × (1 − 비지배 비중 60.0%, 최근 8분기 실측)
[ratio]</t>
      </text>
    </comment>
    <comment ref="AL17" authorId="0" shapeId="0">
      <text>
        <t>추정: 당기순이익 × (1 − 비지배 비중 60.0%, 최근 8분기 실측)
[ratio]</t>
      </text>
    </comment>
    <comment ref="AM17" authorId="0" shapeId="0">
      <text>
        <t>추정: 당기순이익 × (1 − 비지배 비중 60.0%, 최근 8분기 실측)
[ratio]</t>
      </text>
    </comment>
    <comment ref="AN17" authorId="0" shapeId="0">
      <text>
        <t>추정: 당기순이익 × (1 − 비지배 비중 60.0%,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T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A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추정: 현재 종가 ÷ TTM EPS(추정 포함)
[yoy]</t>
      </text>
    </comment>
    <comment ref="AF33" authorId="0" shapeId="0">
      <text>
        <t>추정: 현재 종가 ÷ TTM EPS(추정 포함)
[yoy]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assets/models/034020.json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23250</v>
      </c>
      <c r="W15" s="18" t="n">
        <v>67700</v>
      </c>
      <c r="X15" s="18" t="n">
        <v>62200</v>
      </c>
      <c r="Y15" s="18" t="n">
        <v>75800</v>
      </c>
      <c r="Z15" s="9" t="n"/>
      <c r="AA15" s="18" t="n">
        <v>91200</v>
      </c>
      <c r="AB15" s="19" t="n">
        <v>86600</v>
      </c>
      <c r="AC15" s="20" t="n">
        <v>81900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26688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74100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17422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58100</v>
      </c>
      <c r="Z17" s="9" t="n"/>
      <c r="AA17" s="18" t="n">
        <v>63500</v>
      </c>
      <c r="AB17" s="19" t="n">
        <v>79300</v>
      </c>
      <c r="AC17" s="20" t="n">
        <v>57000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24436.2</v>
      </c>
      <c r="W18" s="18" t="n">
        <v>38210</v>
      </c>
      <c r="X18" s="18" t="n">
        <v>63166.2</v>
      </c>
      <c r="Y18" s="18" t="n">
        <v>78569.5</v>
      </c>
      <c r="Z18" s="9" t="n"/>
      <c r="AA18" s="18" t="n">
        <v>95296.60000000001</v>
      </c>
      <c r="AB18" s="19" t="n">
        <v>106573.8</v>
      </c>
      <c r="AC18" s="20" t="n">
        <v>78733.89999999999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0.08734500000000001</v>
      </c>
      <c r="AD21" s="24" t="n">
        <v>0.08734500000000001</v>
      </c>
      <c r="AE21" s="25" t="n"/>
      <c r="AF21" s="24" t="n">
        <v>0.08734500000000001</v>
      </c>
      <c r="AG21" s="24" t="n">
        <v>0.08734500000000001</v>
      </c>
      <c r="AH21" s="24" t="n">
        <v>0.043672</v>
      </c>
      <c r="AI21" s="24" t="n">
        <v>0.043673</v>
      </c>
      <c r="AJ21" s="25" t="n"/>
      <c r="AK21" s="24" t="n">
        <v>0.043673</v>
      </c>
      <c r="AL21" s="24" t="n">
        <v>0.043672</v>
      </c>
      <c r="AM21" s="24" t="n">
        <v>0.021836</v>
      </c>
      <c r="AN21" s="24" t="n">
        <v>0.021836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0.120164</v>
      </c>
      <c r="AD22" s="24" t="n">
        <v>0.120165</v>
      </c>
      <c r="AE22" s="25">
        <f>IFERROR(subQ!AE8/subQ!AE5,"")</f>
        <v/>
      </c>
      <c r="AF22" s="24" t="n">
        <v>0.120164</v>
      </c>
      <c r="AG22" s="24" t="n">
        <v>0.120165</v>
      </c>
      <c r="AH22" s="24" t="n">
        <v>0.120165</v>
      </c>
      <c r="AI22" s="24" t="n">
        <v>0.120165</v>
      </c>
      <c r="AJ22" s="25">
        <f>IFERROR(subQ!AJ8/subQ!AJ5,"")</f>
        <v/>
      </c>
      <c r="AK22" s="24" t="n">
        <v>0.120164</v>
      </c>
      <c r="AL22" s="24" t="n">
        <v>0.120165</v>
      </c>
      <c r="AM22" s="24" t="n">
        <v>0.120164</v>
      </c>
      <c r="AN22" s="24" t="n">
        <v>0.120164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0.047417</v>
      </c>
      <c r="AD23" s="24" t="n">
        <v>0.047417</v>
      </c>
      <c r="AE23" s="25">
        <f>IFERROR(subQ!AE9/subQ!AE5,"")</f>
        <v/>
      </c>
      <c r="AF23" s="24" t="n">
        <v>0.047417</v>
      </c>
      <c r="AG23" s="24" t="n">
        <v>0.047417</v>
      </c>
      <c r="AH23" s="24" t="n">
        <v>0.047417</v>
      </c>
      <c r="AI23" s="24" t="n">
        <v>0.047417</v>
      </c>
      <c r="AJ23" s="25">
        <f>IFERROR(subQ!AJ9/subQ!AJ5,"")</f>
        <v/>
      </c>
      <c r="AK23" s="24" t="n">
        <v>0.047417</v>
      </c>
      <c r="AL23" s="24" t="n">
        <v>0.047417</v>
      </c>
      <c r="AM23" s="24" t="n">
        <v>0.047417</v>
      </c>
      <c r="AN23" s="24" t="n">
        <v>0.047417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0.342776</v>
      </c>
      <c r="AD24" s="24" t="n">
        <v>0.087156</v>
      </c>
      <c r="AE24" s="25" t="n"/>
      <c r="AF24" s="24" t="n">
        <v>-0.135036</v>
      </c>
      <c r="AG24" s="24" t="n">
        <v>-0.287218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-747.03</v>
      </c>
      <c r="AD25" s="29" t="n">
        <v>-741.21</v>
      </c>
      <c r="AE25" s="30">
        <f>subQ!AE11</f>
        <v/>
      </c>
      <c r="AF25" s="29" t="n">
        <v>-733.27</v>
      </c>
      <c r="AG25" s="29" t="n">
        <v>-726.5700000000001</v>
      </c>
      <c r="AH25" s="29" t="n">
        <v>-718.86</v>
      </c>
      <c r="AI25" s="29" t="n">
        <v>-712.5599999999999</v>
      </c>
      <c r="AJ25" s="30">
        <f>subQ!AJ11</f>
        <v/>
      </c>
      <c r="AK25" s="29" t="n">
        <v>-704.04</v>
      </c>
      <c r="AL25" s="29" t="n">
        <v>-696.8200000000001</v>
      </c>
      <c r="AM25" s="29" t="n">
        <v>-688.54</v>
      </c>
      <c r="AN25" s="29" t="n">
        <v>-681.92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143.3</v>
      </c>
      <c r="AD27" s="29" t="n">
        <v>143.3</v>
      </c>
      <c r="AE27" s="30">
        <f>subQ!AE13</f>
        <v/>
      </c>
      <c r="AF27" s="29" t="n">
        <v>143.3</v>
      </c>
      <c r="AG27" s="29" t="n">
        <v>143.3</v>
      </c>
      <c r="AH27" s="29" t="n">
        <v>143.3</v>
      </c>
      <c r="AI27" s="29" t="n">
        <v>143.3</v>
      </c>
      <c r="AJ27" s="30">
        <f>subQ!AJ13</f>
        <v/>
      </c>
      <c r="AK27" s="29" t="n">
        <v>143.3</v>
      </c>
      <c r="AL27" s="29" t="n">
        <v>143.3</v>
      </c>
      <c r="AM27" s="29" t="n">
        <v>143.3</v>
      </c>
      <c r="AN27" s="29" t="n">
        <v>143.3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0.270003</v>
      </c>
      <c r="AD28" s="24" t="n">
        <v>0.269998</v>
      </c>
      <c r="AE28" s="25">
        <f>IFERROR(subQ!AE15/subQ!AE14,"")</f>
        <v/>
      </c>
      <c r="AF28" s="24" t="n">
        <v>0.27</v>
      </c>
      <c r="AG28" s="24" t="n">
        <v>0.270003</v>
      </c>
      <c r="AH28" s="24" t="n">
        <v>0.269997</v>
      </c>
      <c r="AI28" s="24" t="n">
        <v>0.270002</v>
      </c>
      <c r="AJ28" s="25">
        <f>IFERROR(subQ!AJ15/subQ!AJ14,"")</f>
        <v/>
      </c>
      <c r="AK28" s="24" t="n">
        <v>0.270001</v>
      </c>
      <c r="AL28" s="24" t="n">
        <v>0.269998</v>
      </c>
      <c r="AM28" s="24" t="n">
        <v>0.27</v>
      </c>
      <c r="AN28" s="24" t="n">
        <v>0.270002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0.4</v>
      </c>
      <c r="AD29" s="24" t="n">
        <v>0.399996</v>
      </c>
      <c r="AE29" s="25">
        <f>IFERROR(subQ!AE17/subQ!AE16,"")</f>
        <v/>
      </c>
      <c r="AF29" s="24" t="n">
        <v>0.399997</v>
      </c>
      <c r="AG29" s="24" t="n">
        <v>0.400004</v>
      </c>
      <c r="AH29" s="24" t="n">
        <v>0.4</v>
      </c>
      <c r="AI29" s="24" t="n">
        <v>0.400003</v>
      </c>
      <c r="AJ29" s="25">
        <f>IFERROR(subQ!AJ17/subQ!AJ16,"")</f>
        <v/>
      </c>
      <c r="AK29" s="24" t="n">
        <v>0.400003</v>
      </c>
      <c r="AL29" s="24" t="n">
        <v>0.4</v>
      </c>
      <c r="AM29" s="24" t="n">
        <v>0.399997</v>
      </c>
      <c r="AN29" s="24" t="n">
        <v>0.399996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0</v>
      </c>
      <c r="AD32" s="29" t="n">
        <v>0.01</v>
      </c>
      <c r="AE32" s="30" t="n"/>
      <c r="AF32" s="29" t="n">
        <v>0</v>
      </c>
      <c r="AG32" s="29" t="n">
        <v>-0.01</v>
      </c>
      <c r="AH32" s="29" t="n">
        <v>0.01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32" t="n"/>
      <c r="AD33" s="32" t="n"/>
      <c r="AE33" s="30" t="n"/>
      <c r="AF33" s="32" t="n"/>
      <c r="AG33" s="32" t="n"/>
      <c r="AH33" s="32" t="n"/>
      <c r="AI33" s="32" t="n"/>
      <c r="AJ33" s="30" t="n"/>
      <c r="AK33" s="32" t="n"/>
      <c r="AL33" s="32" t="n"/>
      <c r="AM33" s="32" t="n"/>
      <c r="AN33" s="32" t="n"/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-0.026447</v>
      </c>
      <c r="AD35" s="24" t="n">
        <v>-0.0371</v>
      </c>
      <c r="AE35" s="25" t="n"/>
      <c r="AF35" s="24" t="n">
        <v>-0.032455</v>
      </c>
      <c r="AG35" s="24" t="n">
        <v>-0.038674</v>
      </c>
      <c r="AH35" s="24" t="n">
        <v>-0.032841</v>
      </c>
      <c r="AI35" s="24" t="n">
        <v>-0.045931</v>
      </c>
      <c r="AJ35" s="25" t="n"/>
      <c r="AK35" s="24" t="n">
        <v>-0.040761</v>
      </c>
      <c r="AL35" s="24" t="n">
        <v>-0.048791</v>
      </c>
      <c r="AM35" s="24" t="n">
        <v>-0.040964</v>
      </c>
      <c r="AN35" s="24" t="n">
        <v>-0.057376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0.028818</v>
      </c>
      <c r="AD36" s="24" t="n">
        <v>0.038254</v>
      </c>
      <c r="AE36" s="25" t="n"/>
      <c r="AF36" s="24" t="n">
        <v>0.031036</v>
      </c>
      <c r="AG36" s="24" t="n">
        <v>0.034705</v>
      </c>
      <c r="AH36" s="24" t="n">
        <v>0.02738</v>
      </c>
      <c r="AI36" s="24" t="n">
        <v>0.03605</v>
      </c>
      <c r="AJ36" s="25" t="n"/>
      <c r="AK36" s="24" t="n">
        <v>0.02946</v>
      </c>
      <c r="AL36" s="24" t="n">
        <v>0.032859</v>
      </c>
      <c r="AM36" s="24" t="n">
        <v>0.025407</v>
      </c>
      <c r="AN36" s="24" t="n">
        <v>0.033283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-0.660094</v>
      </c>
      <c r="AE42" s="25" t="n"/>
      <c r="AF42" s="24" t="n">
        <v>-0.5677759999999999</v>
      </c>
      <c r="AG42" s="24" t="n">
        <v>-0.307717</v>
      </c>
      <c r="AH42" s="24" t="n">
        <v>0.352842</v>
      </c>
      <c r="AI42" s="24" t="n">
        <v>0.243882</v>
      </c>
      <c r="AJ42" s="25" t="n"/>
      <c r="AK42" s="24" t="n">
        <v>0.443508</v>
      </c>
      <c r="AL42" s="24" t="n">
        <v>-0.07097299999999999</v>
      </c>
      <c r="AM42" s="24" t="n">
        <v>-0.06485200000000001</v>
      </c>
      <c r="AN42" s="24" t="n">
        <v>-0.05731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0.047417</v>
      </c>
      <c r="AD45" s="24" t="n">
        <v>0.047417</v>
      </c>
      <c r="AE45" s="25">
        <f>IFERROR(subQ!AE36/subQ!AE35,"")</f>
        <v/>
      </c>
      <c r="AF45" s="24" t="n">
        <v>0.047417</v>
      </c>
      <c r="AG45" s="24" t="n">
        <v>0.047417</v>
      </c>
      <c r="AH45" s="24" t="n">
        <v>0.047417</v>
      </c>
      <c r="AI45" s="24" t="n">
        <v>0.047417</v>
      </c>
      <c r="AJ45" s="25">
        <f>IFERROR(subQ!AJ36/subQ!AJ35,"")</f>
        <v/>
      </c>
      <c r="AK45" s="24" t="n">
        <v>0.047417</v>
      </c>
      <c r="AL45" s="24" t="n">
        <v>0.047417</v>
      </c>
      <c r="AM45" s="24" t="n">
        <v>0.047417</v>
      </c>
      <c r="AN45" s="24" t="n">
        <v>0.047417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3" t="n">
        <v>80500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4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171.3배가 3~40 밖(턴어라운드 왜곡))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0.1202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5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5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5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5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5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5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5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5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5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5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5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5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5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5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5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5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5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5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5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5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5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5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5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5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5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5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5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5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5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5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5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5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5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5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5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5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5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5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5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5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5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5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5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5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5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5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5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5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5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5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5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5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5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5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5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5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5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5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5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5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5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5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5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5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5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5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5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5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5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5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5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5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5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5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5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5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5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5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5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5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5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5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5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5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5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5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5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5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5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5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5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5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5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5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5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5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5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5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5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5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5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5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5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5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5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5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5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5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5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5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5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5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5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5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5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5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5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5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5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5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5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5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5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5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5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5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5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5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5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5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5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5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5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5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5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5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5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5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5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5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5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5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5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5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5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5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5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5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5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5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5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5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5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5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5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5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5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5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5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5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5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5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5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5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5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5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5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5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5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5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5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5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5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5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5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5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5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5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5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5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5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5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5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5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5" t="n">
        <v>64880.16</v>
      </c>
      <c r="G42" s="18" t="n">
        <v>66229.69</v>
      </c>
      <c r="J42" s="18" t="n">
        <v>76193.14</v>
      </c>
      <c r="K42" s="35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5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5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5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5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5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5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5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5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5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5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5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5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5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5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5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5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5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5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5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5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5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5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5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5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5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5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5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5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5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5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5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5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5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5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5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5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5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5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5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5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5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5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5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5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5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5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5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5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5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5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5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5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5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5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5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5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5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5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5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5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5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5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5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5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5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5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5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5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5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5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5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5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5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5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5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5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5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5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5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5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5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5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5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5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5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5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5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5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5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5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5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5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5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5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5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5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5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5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5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5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5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5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5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5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5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5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5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5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5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5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5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5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5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5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5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5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5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5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5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5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5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5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5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5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5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5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5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5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5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5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5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5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5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5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5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5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5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5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5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5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5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5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5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5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5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5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5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5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5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5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5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5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5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5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5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5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5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5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5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5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5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5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5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5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5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5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5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5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5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5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5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5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5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5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5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5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5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5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5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5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5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5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5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5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5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5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5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5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5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5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5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5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5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5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5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5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5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5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5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5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5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5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5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5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5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5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K89" s="9" t="n"/>
      <c r="P89" s="9" t="n"/>
      <c r="Q89" s="18" t="n">
        <v>26415</v>
      </c>
      <c r="R89" s="18" t="n">
        <v>29655</v>
      </c>
      <c r="S89" s="18" t="n">
        <v>25366</v>
      </c>
      <c r="T89" s="18" t="n">
        <v>27766</v>
      </c>
      <c r="U89" s="35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5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Q90" s="18" t="n">
        <v>240</v>
      </c>
      <c r="R90" s="18" t="n">
        <v>743</v>
      </c>
      <c r="S90" s="18" t="n">
        <v>8</v>
      </c>
      <c r="T90" s="18" t="n">
        <v>1418</v>
      </c>
      <c r="U90" s="35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5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K91" s="9" t="n"/>
      <c r="P91" s="9" t="n"/>
      <c r="Q91" s="18" t="n">
        <v>78944</v>
      </c>
      <c r="R91" s="18" t="n">
        <v>80594</v>
      </c>
      <c r="S91" s="18" t="n">
        <v>79432</v>
      </c>
      <c r="T91" s="18" t="n">
        <v>90107</v>
      </c>
      <c r="U91" s="35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5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K92" s="9" t="n"/>
      <c r="P92" s="9" t="n"/>
      <c r="Q92" s="18" t="n">
        <v>52180</v>
      </c>
      <c r="R92" s="18" t="n">
        <v>77851</v>
      </c>
      <c r="S92" s="18" t="n">
        <v>45633</v>
      </c>
      <c r="T92" s="18" t="n">
        <v>84902</v>
      </c>
      <c r="U92" s="35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5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K93" s="9" t="n"/>
      <c r="P93" s="9" t="n"/>
      <c r="Q93" s="18" t="n">
        <v>47524</v>
      </c>
      <c r="R93" s="18" t="n">
        <v>66911</v>
      </c>
      <c r="S93" s="18" t="n">
        <v>44516</v>
      </c>
      <c r="T93" s="18" t="n">
        <v>100599</v>
      </c>
      <c r="U93" s="35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5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K94" s="9" t="n"/>
      <c r="P94" s="9" t="n"/>
      <c r="Q94" s="18" t="n">
        <v>93975</v>
      </c>
      <c r="R94" s="18" t="n">
        <v>52019</v>
      </c>
      <c r="S94" s="18" t="n">
        <v>-57284</v>
      </c>
      <c r="T94" s="18" t="n">
        <v>239243</v>
      </c>
      <c r="U94" s="35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5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K95" s="9" t="n"/>
      <c r="P95" s="9" t="n"/>
      <c r="Q95" s="18" t="n">
        <v>75245</v>
      </c>
      <c r="R95" s="18" t="n">
        <v>52952</v>
      </c>
      <c r="S95" s="18" t="n">
        <v>-49871</v>
      </c>
      <c r="T95" s="18" t="n">
        <v>193313</v>
      </c>
      <c r="U95" s="35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5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K96" s="9" t="n"/>
      <c r="P96" s="9" t="n"/>
      <c r="Q96" s="18" t="n">
        <v>77950</v>
      </c>
      <c r="R96" s="18" t="n">
        <v>53120</v>
      </c>
      <c r="S96" s="18" t="n">
        <v>11685</v>
      </c>
      <c r="T96" s="18" t="n">
        <v>78182</v>
      </c>
      <c r="U96" s="35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5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K97" s="9" t="n"/>
      <c r="P97" s="9" t="n"/>
      <c r="Q97" s="18" t="n">
        <v>141624</v>
      </c>
      <c r="R97" s="18" t="n">
        <v>93354</v>
      </c>
      <c r="S97" s="18" t="n">
        <v>-81409</v>
      </c>
      <c r="T97" s="18" t="n">
        <v>236306</v>
      </c>
      <c r="U97" s="35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5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K98" s="9" t="n"/>
      <c r="P98" s="9" t="n"/>
      <c r="Q98" s="18" t="n">
        <v>-52529</v>
      </c>
      <c r="R98" s="18" t="n">
        <v>-50939</v>
      </c>
      <c r="S98" s="18" t="n">
        <v>-54066</v>
      </c>
      <c r="T98" s="18" t="n">
        <v>-62341</v>
      </c>
      <c r="U98" s="35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5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5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5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5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5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5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5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5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5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5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5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5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5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5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5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5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5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5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5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5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5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5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5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5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5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5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5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5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5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5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5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5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5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5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5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5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5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5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5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5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5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5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5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5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5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5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5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5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5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5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5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5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5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5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5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5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5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5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5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5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5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5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5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5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5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5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5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5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5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5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5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5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5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5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5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5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5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5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5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5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5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5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5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5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5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5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5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5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5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5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5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5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5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5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5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5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5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5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5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5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5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5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5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5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5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5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5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5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5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5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5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5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5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5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5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5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5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5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5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5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5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5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5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5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5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5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5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5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5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5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5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5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5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5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5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5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5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5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5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5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5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5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5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5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5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5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5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5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5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5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5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5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5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5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5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5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5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5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5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5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5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5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5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5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5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5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5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5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5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5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5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5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5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5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5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5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5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5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5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5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5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5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5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5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5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5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5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5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5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5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5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5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5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5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5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5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5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5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5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5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5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5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5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5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5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5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5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5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5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5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5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5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5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5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5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5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5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5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5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5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5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5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5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5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5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5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5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5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5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5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5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5" t="n">
        <v>26140.81</v>
      </c>
      <c r="G37" s="18" t="n">
        <v>26949.05</v>
      </c>
      <c r="J37" s="18" t="n">
        <v>29843.9</v>
      </c>
      <c r="K37" s="35" t="n">
        <v>29843.9</v>
      </c>
      <c r="L37" s="18" t="n">
        <v>29268.62</v>
      </c>
      <c r="M37" s="18" t="n">
        <v>27258.28</v>
      </c>
      <c r="O37" s="18" t="n">
        <v>26198.91</v>
      </c>
      <c r="P37" s="35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5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5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5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5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5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5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5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5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5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5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5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5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5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5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5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5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5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5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5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5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5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5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5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5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5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5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5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5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5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5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5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5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5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5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5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5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5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5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5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5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5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5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5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5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5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5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5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5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5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5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5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5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5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5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5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5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5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5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5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5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5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5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5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5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5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5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5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5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5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5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5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5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5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5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5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5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5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5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5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5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5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5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5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5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5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5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5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5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5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5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5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5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5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5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5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5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5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5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5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5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5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5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5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5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5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5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5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5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5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5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5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5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5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5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5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5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5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5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5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5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5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5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5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5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5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5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5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5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5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5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5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5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5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5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5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5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5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5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5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5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5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5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5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5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5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5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5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5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5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5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5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5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5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5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5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5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5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5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5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5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5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5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5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5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5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5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5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5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5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5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5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5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5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5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5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5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5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5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5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5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5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5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5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5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5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5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5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5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5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5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5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5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5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5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5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5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5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5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5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5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5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5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5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5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5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5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5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5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5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5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5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5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5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5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5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5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5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5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5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5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5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5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5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5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5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5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5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5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5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5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5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5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5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5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5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5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5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5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5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5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5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5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5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5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5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5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5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5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5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5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5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5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5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5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5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5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5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5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5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5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5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5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5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5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5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5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5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5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5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5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5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6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6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6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6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6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6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6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6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6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6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6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6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6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6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6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0.0585</v>
      </c>
      <c r="F10" s="35" t="n"/>
      <c r="G10" s="18" t="n">
        <v>0.0626</v>
      </c>
      <c r="H10" s="18" t="n">
        <v>0.0856</v>
      </c>
      <c r="I10" s="18" t="n">
        <v>0.0794</v>
      </c>
      <c r="J10" s="18" t="n">
        <v>0.0588</v>
      </c>
      <c r="K10" s="35">
        <f>SUM(G10:J10)</f>
        <v/>
      </c>
      <c r="L10" s="18" t="n">
        <v>0.0902</v>
      </c>
      <c r="M10" s="18" t="n">
        <v>0.109</v>
      </c>
      <c r="N10" s="18" t="n">
        <v>0.07489999999999999</v>
      </c>
      <c r="O10" s="18" t="n">
        <v>0.0611</v>
      </c>
      <c r="P10" s="35">
        <f>SUM(L10:O10)</f>
        <v/>
      </c>
      <c r="Q10" s="18" t="n">
        <v>0.08740000000000001</v>
      </c>
      <c r="R10" s="18" t="n">
        <v>0.0746</v>
      </c>
      <c r="S10" s="18" t="n">
        <v>0.0338</v>
      </c>
      <c r="T10" s="18" t="n">
        <v>0.0512</v>
      </c>
      <c r="U10" s="35">
        <f>SUM(Q10:T10)</f>
        <v/>
      </c>
      <c r="V10" s="18" t="n">
        <v>0.038</v>
      </c>
      <c r="W10" s="18" t="n">
        <v>0.0593</v>
      </c>
      <c r="X10" s="18" t="n">
        <v>0.0353</v>
      </c>
      <c r="Y10" s="18" t="n">
        <v>0.0436</v>
      </c>
      <c r="Z10" s="35">
        <f>SUM(V10:Y10)</f>
        <v/>
      </c>
      <c r="AA10" s="18" t="n">
        <v>0.0548</v>
      </c>
      <c r="AB10" s="19" t="n">
        <v>0.0665</v>
      </c>
      <c r="AC10" s="20">
        <f>IFERROR(X10*(1+변수!AC24),"")</f>
        <v/>
      </c>
      <c r="AD10" s="20">
        <f>IFERROR(Y10*(1+변수!AD24),"")</f>
        <v/>
      </c>
      <c r="AE10" s="36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6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6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6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6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6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6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6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6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5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5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5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5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5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6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6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6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6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6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6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5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6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6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6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6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6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6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5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5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5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5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5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6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6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6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-409.8</v>
      </c>
      <c r="F18" s="35" t="n"/>
      <c r="G18" s="18" t="n">
        <v>-5.13</v>
      </c>
      <c r="H18" s="18" t="n">
        <v>-1919.24</v>
      </c>
      <c r="I18" s="18" t="n">
        <v>716.2</v>
      </c>
      <c r="J18" s="18" t="n">
        <v>-0.47</v>
      </c>
      <c r="K18" s="35">
        <f>SUM(G18:J18)</f>
        <v/>
      </c>
      <c r="L18" s="18" t="n"/>
      <c r="M18" s="18" t="n"/>
      <c r="N18" s="18" t="n"/>
      <c r="O18" s="18" t="n"/>
      <c r="P18" s="35">
        <f>SUM(L18:O18)</f>
        <v/>
      </c>
      <c r="Q18" s="18" t="n"/>
      <c r="R18" s="18" t="n"/>
      <c r="S18" s="18" t="n"/>
      <c r="T18" s="18" t="n"/>
      <c r="U18" s="35">
        <f>SUM(Q18:T18)</f>
        <v/>
      </c>
      <c r="V18" s="18" t="n"/>
      <c r="W18" s="18" t="n"/>
      <c r="X18" s="18" t="n"/>
      <c r="Y18" s="18" t="n"/>
      <c r="Z18" s="35">
        <f>SUM(V18:Y18)</f>
        <v/>
      </c>
      <c r="AA18" s="18" t="n"/>
      <c r="AB18" s="19" t="n"/>
      <c r="AC18" s="20" t="n"/>
      <c r="AD18" s="20" t="n"/>
      <c r="AE18" s="36">
        <f>SUM(AA18:AD18)</f>
        <v/>
      </c>
      <c r="AF18" s="20" t="n"/>
      <c r="AG18" s="20" t="n"/>
      <c r="AH18" s="20" t="n"/>
      <c r="AI18" s="20" t="n"/>
      <c r="AJ18" s="36">
        <f>SUM(AF18:AI18)</f>
        <v/>
      </c>
      <c r="AK18" s="20" t="n"/>
      <c r="AL18" s="20" t="n"/>
      <c r="AM18" s="20" t="n"/>
      <c r="AN18" s="20" t="n"/>
      <c r="AO18" s="36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5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6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6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6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5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5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5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5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5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6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6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6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6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6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6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 t="n"/>
      <c r="N22" s="18">
        <f>IFERROR(VLOOKUP($D22,BS연결,MATCH(N$1,BS연결H,0),0)/100,"")</f>
        <v/>
      </c>
      <c r="O22" s="18" t="n"/>
      <c r="P22" s="35">
        <f>O22</f>
        <v/>
      </c>
      <c r="Q22" s="18" t="n"/>
      <c r="R22" s="18" t="n"/>
      <c r="S22" s="18" t="n"/>
      <c r="T22" s="18" t="n"/>
      <c r="U22" s="35">
        <f>T22</f>
        <v/>
      </c>
      <c r="V22" s="18" t="n"/>
      <c r="W22" s="18" t="n"/>
      <c r="X22" s="18" t="n"/>
      <c r="Y22" s="18" t="n"/>
      <c r="Z22" s="35">
        <f>Y22</f>
        <v/>
      </c>
      <c r="AA22" s="18" t="n"/>
      <c r="AB22" s="19" t="n"/>
      <c r="AC22" s="20" t="n"/>
      <c r="AD22" s="20" t="n"/>
      <c r="AE22" s="36">
        <f>AD22</f>
        <v/>
      </c>
      <c r="AF22" s="20" t="n"/>
      <c r="AG22" s="20" t="n"/>
      <c r="AH22" s="20" t="n"/>
      <c r="AI22" s="20" t="n"/>
      <c r="AJ22" s="36">
        <f>AI22</f>
        <v/>
      </c>
      <c r="AK22" s="20" t="n"/>
      <c r="AL22" s="20" t="n"/>
      <c r="AM22" s="20" t="n"/>
      <c r="AN22" s="20" t="n"/>
      <c r="AO22" s="36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6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6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6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6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6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6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6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6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6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6">
        <f>AD26</f>
        <v/>
      </c>
      <c r="AF26" s="20" t="n"/>
      <c r="AG26" s="20" t="n"/>
      <c r="AH26" s="20" t="n"/>
      <c r="AI26" s="20" t="n"/>
      <c r="AJ26" s="36">
        <f>AI26</f>
        <v/>
      </c>
      <c r="AK26" s="20" t="n"/>
      <c r="AL26" s="20" t="n"/>
      <c r="AM26" s="20" t="n"/>
      <c r="AN26" s="20" t="n"/>
      <c r="AO26" s="36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5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6">
        <f>SUM(AA27:AD27)</f>
        <v/>
      </c>
      <c r="AF27" s="20" t="n"/>
      <c r="AG27" s="20" t="n"/>
      <c r="AH27" s="20" t="n"/>
      <c r="AI27" s="20" t="n"/>
      <c r="AJ27" s="36">
        <f>SUM(AF27:AI27)</f>
        <v/>
      </c>
      <c r="AK27" s="20" t="n"/>
      <c r="AL27" s="20" t="n"/>
      <c r="AM27" s="20" t="n"/>
      <c r="AN27" s="20" t="n"/>
      <c r="AO27" s="36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6914.87</v>
      </c>
      <c r="F28" s="35" t="n"/>
      <c r="G28" s="18" t="n">
        <v>-2698.27</v>
      </c>
      <c r="H28" s="18" t="n">
        <v>3199.75</v>
      </c>
      <c r="I28" s="18" t="n">
        <v>5051.98</v>
      </c>
      <c r="J28" s="18" t="n">
        <v>697.3099999999999</v>
      </c>
      <c r="K28" s="35">
        <f>SUM(G28:J28)</f>
        <v/>
      </c>
      <c r="L28" s="18" t="n">
        <v>2330.46</v>
      </c>
      <c r="M28" s="18" t="n">
        <v>10256.9</v>
      </c>
      <c r="N28" s="18" t="n">
        <v>1536.23</v>
      </c>
      <c r="O28" s="18" t="n">
        <v>6582.75</v>
      </c>
      <c r="P28" s="35">
        <f>SUM(L28:O28)</f>
        <v/>
      </c>
      <c r="Q28" s="18" t="n">
        <v>3443.84</v>
      </c>
      <c r="R28" s="18" t="n">
        <v>-4770.65</v>
      </c>
      <c r="S28" s="18" t="n">
        <v>-8153.54</v>
      </c>
      <c r="T28" s="18" t="n">
        <v>11902.4</v>
      </c>
      <c r="U28" s="35">
        <f>SUM(Q28:T28)</f>
        <v/>
      </c>
      <c r="V28" s="18" t="n">
        <v>-5720.34</v>
      </c>
      <c r="W28" s="18" t="n">
        <v>-128.08</v>
      </c>
      <c r="X28" s="18" t="n">
        <v>-600.85</v>
      </c>
      <c r="Y28" s="18" t="n">
        <v>13967.28</v>
      </c>
      <c r="Z28" s="35">
        <f>SUM(V28:Y28)</f>
        <v/>
      </c>
      <c r="AA28" s="18" t="n">
        <v>-5655.22</v>
      </c>
      <c r="AB28" s="19" t="n">
        <v>-3211.3</v>
      </c>
      <c r="AC28" s="20" t="n"/>
      <c r="AD28" s="20" t="n"/>
      <c r="AE28" s="36">
        <f>SUM(AA28:AD28)</f>
        <v/>
      </c>
      <c r="AF28" s="20" t="n"/>
      <c r="AG28" s="20" t="n"/>
      <c r="AH28" s="20" t="n"/>
      <c r="AI28" s="20" t="n"/>
      <c r="AJ28" s="36">
        <f>SUM(AF28:AI28)</f>
        <v/>
      </c>
      <c r="AK28" s="20" t="n"/>
      <c r="AL28" s="20" t="n"/>
      <c r="AM28" s="20" t="n"/>
      <c r="AN28" s="20" t="n"/>
      <c r="AO28" s="36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522.125</v>
      </c>
      <c r="F29" s="27">
        <f>E29</f>
        <v/>
      </c>
      <c r="G29" s="26" t="n">
        <v>625.698</v>
      </c>
      <c r="H29" s="26" t="n">
        <v>635.197</v>
      </c>
      <c r="I29" s="26" t="n">
        <v>635.197</v>
      </c>
      <c r="J29" s="26" t="n">
        <v>638.212</v>
      </c>
      <c r="K29" s="27">
        <f>J29</f>
        <v/>
      </c>
      <c r="L29" s="26" t="n">
        <v>640.465</v>
      </c>
      <c r="M29" s="26" t="n">
        <v>640.465</v>
      </c>
      <c r="N29" s="26" t="n">
        <v>640.465</v>
      </c>
      <c r="O29" s="26" t="n">
        <v>640.465</v>
      </c>
      <c r="P29" s="27">
        <f>O29</f>
        <v/>
      </c>
      <c r="Q29" s="26" t="n">
        <v>640.465</v>
      </c>
      <c r="R29" s="26" t="n">
        <v>640.465</v>
      </c>
      <c r="S29" s="26" t="n">
        <v>640.465</v>
      </c>
      <c r="T29" s="26" t="n">
        <v>640.465</v>
      </c>
      <c r="U29" s="27">
        <f>T29</f>
        <v/>
      </c>
      <c r="V29" s="26" t="n">
        <v>640.465</v>
      </c>
      <c r="W29" s="26" t="n">
        <v>640.465</v>
      </c>
      <c r="X29" s="26" t="n">
        <v>640.465</v>
      </c>
      <c r="Y29" s="26" t="n">
        <v>640.465</v>
      </c>
      <c r="Z29" s="27">
        <f>Y29</f>
        <v/>
      </c>
      <c r="AA29" s="26" t="n">
        <v>640.465</v>
      </c>
      <c r="AB29" s="28" t="n">
        <v>639.133</v>
      </c>
      <c r="AC29" s="32">
        <f>IFERROR(AB29*(1+변수!AC40),"")</f>
        <v/>
      </c>
      <c r="AD29" s="32">
        <f>IFERROR(AC29*(1+변수!AD40),"")</f>
        <v/>
      </c>
      <c r="AE29" s="30">
        <f>AD29</f>
        <v/>
      </c>
      <c r="AF29" s="32">
        <f>IFERROR(AD29*(1+변수!AF40),"")</f>
        <v/>
      </c>
      <c r="AG29" s="32">
        <f>IFERROR(AF29*(1+변수!AG40),"")</f>
        <v/>
      </c>
      <c r="AH29" s="32">
        <f>IFERROR(AG29*(1+변수!AH40),"")</f>
        <v/>
      </c>
      <c r="AI29" s="32">
        <f>IFERROR(AH29*(1+변수!AI40),"")</f>
        <v/>
      </c>
      <c r="AJ29" s="30">
        <f>AI29</f>
        <v/>
      </c>
      <c r="AK29" s="32">
        <f>IFERROR(AI29*(1+변수!AK40),"")</f>
        <v/>
      </c>
      <c r="AL29" s="32">
        <f>IFERROR(AK29*(1+변수!AL40),"")</f>
        <v/>
      </c>
      <c r="AM29" s="32">
        <f>IFERROR(AL29*(1+변수!AM40),"")</f>
        <v/>
      </c>
      <c r="AN29" s="32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5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5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5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5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5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6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6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6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5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5">
        <f>J31</f>
        <v/>
      </c>
      <c r="L31" s="18">
        <f>IFERROR(L22*100/L29,"")</f>
        <v/>
      </c>
      <c r="M31" s="18" t="n"/>
      <c r="N31" s="18">
        <f>IFERROR(N22*100/N29,"")</f>
        <v/>
      </c>
      <c r="O31" s="18" t="n"/>
      <c r="P31" s="35">
        <f>O31</f>
        <v/>
      </c>
      <c r="Q31" s="18" t="n"/>
      <c r="R31" s="18" t="n"/>
      <c r="S31" s="18" t="n"/>
      <c r="T31" s="18" t="n"/>
      <c r="U31" s="35">
        <f>T31</f>
        <v/>
      </c>
      <c r="V31" s="18" t="n"/>
      <c r="W31" s="18" t="n"/>
      <c r="X31" s="18" t="n"/>
      <c r="Y31" s="18" t="n"/>
      <c r="Z31" s="35">
        <f>Y31</f>
        <v/>
      </c>
      <c r="AA31" s="18" t="n"/>
      <c r="AB31" s="19" t="n"/>
      <c r="AC31" s="20">
        <f>IFERROR(AC22*100/AC29,"")</f>
        <v/>
      </c>
      <c r="AD31" s="20">
        <f>IFERROR(AD22*100/AD29,"")</f>
        <v/>
      </c>
      <c r="AE31" s="36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6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6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5" t="n">
        <v>0</v>
      </c>
      <c r="G32" s="18" t="n"/>
      <c r="H32" s="18" t="n"/>
      <c r="I32" s="18" t="n"/>
      <c r="J32" s="18" t="n">
        <v>0</v>
      </c>
      <c r="K32" s="35">
        <f>SUM(G32:J32)</f>
        <v/>
      </c>
      <c r="L32" s="18" t="n"/>
      <c r="M32" s="18" t="n"/>
      <c r="N32" s="18" t="n"/>
      <c r="O32" s="18" t="n">
        <v>0</v>
      </c>
      <c r="P32" s="35">
        <f>SUM(L32:O32)</f>
        <v/>
      </c>
      <c r="Q32" s="18" t="n"/>
      <c r="R32" s="18" t="n"/>
      <c r="S32" s="18" t="n"/>
      <c r="T32" s="18" t="n">
        <v>0</v>
      </c>
      <c r="U32" s="35">
        <f>SUM(Q32:T32)</f>
        <v/>
      </c>
      <c r="V32" s="18" t="n"/>
      <c r="W32" s="18" t="n"/>
      <c r="X32" s="18" t="n"/>
      <c r="Y32" s="18" t="n">
        <v>0</v>
      </c>
      <c r="Z32" s="35">
        <f>SUM(V32:Y32)</f>
        <v/>
      </c>
      <c r="AA32" s="18" t="n"/>
      <c r="AB32" s="19" t="n"/>
      <c r="AC32" s="20" t="n"/>
      <c r="AD32" s="20" t="n">
        <v>0</v>
      </c>
      <c r="AE32" s="36">
        <f>SUM(AA32:AD32)</f>
        <v/>
      </c>
      <c r="AF32" s="20" t="n"/>
      <c r="AG32" s="20" t="n"/>
      <c r="AH32" s="20" t="n"/>
      <c r="AI32" s="20" t="n">
        <v>0</v>
      </c>
      <c r="AJ32" s="36">
        <f>SUM(AF32:AI32)</f>
        <v/>
      </c>
      <c r="AK32" s="20" t="n"/>
      <c r="AL32" s="20" t="n"/>
      <c r="AM32" s="20" t="n"/>
      <c r="AN32" s="20" t="n">
        <v>0</v>
      </c>
      <c r="AO32" s="36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5" t="n"/>
      <c r="G33" s="18" t="n"/>
      <c r="H33" s="18" t="n"/>
      <c r="I33" s="18" t="n">
        <v>175.07</v>
      </c>
      <c r="J33" s="18" t="n"/>
      <c r="K33" s="35">
        <f>SUM(G33:J33)</f>
        <v/>
      </c>
      <c r="L33" s="18" t="n"/>
      <c r="M33" s="18" t="n"/>
      <c r="N33" s="18" t="n"/>
      <c r="O33" s="18" t="n">
        <v>171.25</v>
      </c>
      <c r="P33" s="35">
        <f>SUM(L33:O33)</f>
        <v/>
      </c>
      <c r="Q33" s="18" t="n">
        <v>78.69</v>
      </c>
      <c r="R33" s="18" t="n">
        <v>72.73999999999999</v>
      </c>
      <c r="S33" s="18" t="n">
        <v>145.13</v>
      </c>
      <c r="T33" s="18" t="n">
        <v>113.39</v>
      </c>
      <c r="U33" s="35">
        <f>SUM(Q33:T33)</f>
        <v/>
      </c>
      <c r="V33" s="18" t="n"/>
      <c r="W33" s="18" t="n"/>
      <c r="X33" s="18" t="n"/>
      <c r="Y33" s="18" t="n">
        <v>593.87</v>
      </c>
      <c r="Z33" s="35">
        <f>SUM(V33:Y33)</f>
        <v/>
      </c>
      <c r="AA33" s="18" t="n">
        <v>395.42</v>
      </c>
      <c r="AB33" s="19" t="n">
        <v>376.32</v>
      </c>
      <c r="AC33" s="20" t="n">
        <v>189.32</v>
      </c>
      <c r="AD33" s="20">
        <f>IFERROR(Y33*(1+변수!AD42),"")</f>
        <v/>
      </c>
      <c r="AE33" s="36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6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6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1.87</v>
      </c>
      <c r="F34" s="35" t="n">
        <v>1.75</v>
      </c>
      <c r="G34" s="18" t="n">
        <v>1.64</v>
      </c>
      <c r="H34" s="18" t="n">
        <v>1.65</v>
      </c>
      <c r="I34" s="18" t="n">
        <v>1.47</v>
      </c>
      <c r="J34" s="18" t="n">
        <v>1.37</v>
      </c>
      <c r="K34" s="35">
        <f>SUM(G34:J34)</f>
        <v/>
      </c>
      <c r="L34" s="18" t="n">
        <v>1.42</v>
      </c>
      <c r="M34" s="18" t="n"/>
      <c r="N34" s="18" t="n">
        <v>1.47</v>
      </c>
      <c r="O34" s="18" t="n"/>
      <c r="P34" s="35">
        <f>SUM(L34:O34)</f>
        <v/>
      </c>
      <c r="Q34" s="18" t="n"/>
      <c r="R34" s="18" t="n"/>
      <c r="S34" s="18" t="n"/>
      <c r="T34" s="18" t="n"/>
      <c r="U34" s="35">
        <f>SUM(Q34:T34)</f>
        <v/>
      </c>
      <c r="V34" s="18" t="n"/>
      <c r="W34" s="18" t="n"/>
      <c r="X34" s="18" t="n"/>
      <c r="Y34" s="18" t="n"/>
      <c r="Z34" s="35">
        <f>SUM(V34:Y34)</f>
        <v/>
      </c>
      <c r="AA34" s="18" t="n"/>
      <c r="AB34" s="19" t="n"/>
      <c r="AC34" s="20" t="n"/>
      <c r="AD34" s="20" t="n"/>
      <c r="AE34" s="36">
        <f>SUM(AA34:AD34)</f>
        <v/>
      </c>
      <c r="AF34" s="20" t="n"/>
      <c r="AG34" s="20" t="n"/>
      <c r="AH34" s="20" t="n"/>
      <c r="AI34" s="20" t="n"/>
      <c r="AJ34" s="36">
        <f>SUM(AF34:AI34)</f>
        <v/>
      </c>
      <c r="AK34" s="20" t="n"/>
      <c r="AL34" s="20" t="n"/>
      <c r="AM34" s="20" t="n"/>
      <c r="AN34" s="20" t="n"/>
      <c r="AO34" s="36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21707.87</v>
      </c>
      <c r="F35" s="35" t="n"/>
      <c r="G35" s="18" t="n">
        <v>30712.85</v>
      </c>
      <c r="H35" s="18" t="n">
        <v>38346.56</v>
      </c>
      <c r="I35" s="18" t="n">
        <v>39603.24</v>
      </c>
      <c r="J35" s="18" t="n">
        <v>46217.68</v>
      </c>
      <c r="K35" s="35">
        <f>SUM(G35:J35)</f>
        <v/>
      </c>
      <c r="L35" s="18" t="n">
        <v>40410.42</v>
      </c>
      <c r="M35" s="18" t="n">
        <v>45393.62</v>
      </c>
      <c r="N35" s="18" t="n">
        <v>41549.8</v>
      </c>
      <c r="O35" s="18" t="n">
        <v>48545.04</v>
      </c>
      <c r="P35" s="35">
        <f>SUM(L35:O35)</f>
        <v/>
      </c>
      <c r="Q35" s="18" t="n">
        <v>40978.67</v>
      </c>
      <c r="R35" s="18" t="n">
        <v>41504.87</v>
      </c>
      <c r="S35" s="18" t="n">
        <v>33955.69</v>
      </c>
      <c r="T35" s="18" t="n">
        <v>45891.32</v>
      </c>
      <c r="U35" s="35">
        <f>SUM(Q35:T35)</f>
        <v/>
      </c>
      <c r="V35" s="18" t="n">
        <v>37485.74</v>
      </c>
      <c r="W35" s="18" t="n">
        <v>45690.21</v>
      </c>
      <c r="X35" s="18" t="n">
        <v>38803.5</v>
      </c>
      <c r="Y35" s="18" t="n">
        <v>48599.31</v>
      </c>
      <c r="Z35" s="35">
        <f>SUM(V35:Y35)</f>
        <v/>
      </c>
      <c r="AA35" s="18" t="n">
        <v>42611.3</v>
      </c>
      <c r="AB35" s="19" t="n">
        <v>47248.08</v>
      </c>
      <c r="AC35" s="20">
        <f>IFERROR(AC5*변수!AC44,"")</f>
        <v/>
      </c>
      <c r="AD35" s="20">
        <f>IFERROR(AD5*변수!AD44,"")</f>
        <v/>
      </c>
      <c r="AE35" s="36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6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6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1269.82</v>
      </c>
      <c r="F36" s="35" t="n"/>
      <c r="G36" s="18" t="n">
        <v>1921.4</v>
      </c>
      <c r="H36" s="18" t="n">
        <v>3283.37</v>
      </c>
      <c r="I36" s="18" t="n">
        <v>3145.69</v>
      </c>
      <c r="J36" s="18" t="n">
        <v>2717.07</v>
      </c>
      <c r="K36" s="35">
        <f>SUM(G36:J36)</f>
        <v/>
      </c>
      <c r="L36" s="18" t="n">
        <v>3645.74</v>
      </c>
      <c r="M36" s="18" t="n">
        <v>4946.5</v>
      </c>
      <c r="N36" s="18" t="n">
        <v>3113.89</v>
      </c>
      <c r="O36" s="18" t="n">
        <v>2967.04</v>
      </c>
      <c r="P36" s="35">
        <f>SUM(L36:O36)</f>
        <v/>
      </c>
      <c r="Q36" s="18" t="n">
        <v>3580.71</v>
      </c>
      <c r="R36" s="18" t="n">
        <v>3097.9</v>
      </c>
      <c r="S36" s="18" t="n">
        <v>1147.9</v>
      </c>
      <c r="T36" s="18" t="n">
        <v>2349.49</v>
      </c>
      <c r="U36" s="35">
        <f>SUM(Q36:T36)</f>
        <v/>
      </c>
      <c r="V36" s="18" t="n">
        <v>1424.75</v>
      </c>
      <c r="W36" s="18" t="n">
        <v>2711.06</v>
      </c>
      <c r="X36" s="18" t="n">
        <v>1370.59</v>
      </c>
      <c r="Y36" s="18" t="n">
        <v>2120.72</v>
      </c>
      <c r="Z36" s="35">
        <f>SUM(V36:Y36)</f>
        <v/>
      </c>
      <c r="AA36" s="18" t="n">
        <v>2335.14</v>
      </c>
      <c r="AB36" s="19" t="n">
        <v>3142.6</v>
      </c>
      <c r="AC36" s="20">
        <f>IFERROR(AC35*변수!AC45,"")</f>
        <v/>
      </c>
      <c r="AD36" s="20">
        <f>IFERROR(AD35*변수!AD45,"")</f>
        <v/>
      </c>
      <c r="AE36" s="36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6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6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2">
        <f>IFERROR(VLOOKUP($A29,subQ,MATCH(X$1,SUBQH,0),0),"")</f>
        <v/>
      </c>
      <c r="Y29" s="32">
        <f>IFERROR(VLOOKUP($A29,subQ,MATCH(Y$1,SUBQH,0),0),"")</f>
        <v/>
      </c>
      <c r="Z29" s="32">
        <f>IFERROR(VLOOKUP($A29,subQ,MATCH(Z$1,SUBQH,0),0),"")</f>
        <v/>
      </c>
      <c r="AA29" s="32">
        <f>IFERROR(VLOOKUP($A29,subQ,MATCH(AA$1,SUBQH,0),0),"")</f>
        <v/>
      </c>
      <c r="AB29" s="32">
        <f>IFERROR(VLOOKUP($A29,subQ,MATCH(AB$1,SUBQH,0),0),"")</f>
        <v/>
      </c>
      <c r="AC29" s="32">
        <f>IFERROR(VLOOKUP($A29,subQ,MATCH(AC$1,SUBQH,0),0),"")</f>
        <v/>
      </c>
      <c r="AD29" s="32">
        <f>IFERROR(VLOOKUP($A29,subQ,MATCH(AD$1,SUBQH,0),0),"")</f>
        <v/>
      </c>
      <c r="AE29" s="32">
        <f>IFERROR(VLOOKUP($A29,subQ,MATCH(AE$1,SUBQH,0),0),"")</f>
        <v/>
      </c>
      <c r="AF29" s="32">
        <f>IFERROR(VLOOKUP($A29,subQ,MATCH(AF$1,SUBQH,0),0),"")</f>
        <v/>
      </c>
      <c r="AG29" s="32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2">
        <f>IFERROR(VLOOKUP($A29,subQ,MATCH(J$1,SUBQH,0),0),"")</f>
        <v/>
      </c>
      <c r="K29" s="32">
        <f>IFERROR(VLOOKUP($A29,subQ,MATCH(K$1,SUBQH,0),0),"")</f>
        <v/>
      </c>
      <c r="L29" s="32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309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260.52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