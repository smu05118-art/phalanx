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BS연결!$C$5:$AO$122</definedName>
    <definedName name="BS별도H">BS별도!$C$1:$AO$1</definedName>
    <definedName name="BS별도">BS별도!$C$5:$AO$104</definedName>
    <definedName name="SUBQH">subQ!$A$1:$AO$1</definedName>
    <definedName name="subQ">subQ!$A$5:$AO$44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전년동기 × (1+8.7%) — g=최근 4분기 합 YoY 8.7% 클립(−30~+50%), 연차별 절반 감쇠(가정)</t>
      </text>
    </comment>
    <comment ref="AD21" authorId="0" shapeId="0">
      <text>
        <t>모델값 역산(implied): v / 전년동기 − 1
전년동기 × (1+8.7%) — g=최근 4분기 합 YoY 8.7% 클립(−30~+50%), 연차별 절반 감쇠(가정)</t>
      </text>
    </comment>
    <comment ref="AF21" authorId="0" shapeId="0">
      <text>
        <t>모델값 역산(implied): v / 전년동기 − 1
전년동기 × (1+8.7%) — g=최근 4분기 합 YoY 8.7% 클립(−30~+50%), 연차별 절반 감쇠(가정)</t>
      </text>
    </comment>
    <comment ref="AG21" authorId="0" shapeId="0">
      <text>
        <t>모델값 역산(implied): v / 전년동기 − 1
전년동기 × (1+8.7%) — g=최근 4분기 합 YoY 8.7% 클립(−30~+50%), 연차별 절반 감쇠(가정)</t>
      </text>
    </comment>
    <comment ref="AH21" authorId="0" shapeId="0">
      <text>
        <t>모델값 역산(implied): v / 전년동기 − 1
전년동기 × (1+4.4%) — g=최근 4분기 합 YoY 8.7% 클립(−30~+50%), 연차별 절반 감쇠(가정)</t>
      </text>
    </comment>
    <comment ref="AI21" authorId="0" shapeId="0">
      <text>
        <t>모델값 역산(implied): v / 전년동기 − 1
전년동기 × (1+4.4%) — g=최근 4분기 합 YoY 8.7% 클립(−30~+50%), 연차별 절반 감쇠(가정)</t>
      </text>
    </comment>
    <comment ref="AK21" authorId="0" shapeId="0">
      <text>
        <t>모델값 역산(implied): v / 전년동기 − 1
전년동기 × (1+4.4%) — g=최근 4분기 합 YoY 8.7% 클립(−30~+50%), 연차별 절반 감쇠(가정)</t>
      </text>
    </comment>
    <comment ref="AL21" authorId="0" shapeId="0">
      <text>
        <t>모델값 역산(implied): v / 전년동기 − 1
전년동기 × (1+4.4%) — g=최근 4분기 합 YoY 8.7% 클립(−30~+50%), 연차별 절반 감쇠(가정)</t>
      </text>
    </comment>
    <comment ref="AM21" authorId="0" shapeId="0">
      <text>
        <t>모델값 역산(implied): v / 전년동기 − 1
전년동기 × (1+2.2%) — g=최근 4분기 합 YoY 8.7% 클립(−30~+50%), 연차별 절반 감쇠(가정)</t>
      </text>
    </comment>
    <comment ref="AN21" authorId="0" shapeId="0">
      <text>
        <t>모델값 역산(implied): v / 전년동기 − 1
전년동기 × (1+2.2%) — g=최근 4분기 합 YoY 8.7% 클립(−30~+50%), 연차별 절반 감쇠(가정)</t>
      </text>
    </comment>
    <comment ref="AC22" authorId="0" shapeId="0">
      <text>
        <t>3절 스칼라 '판관비율' 참조 — 숫자로 덮어쓰면 이 분기만 바뀐다
매출액 × 판관비율 12.02%(최근 4분기 중위)</t>
      </text>
    </comment>
    <comment ref="AD22" authorId="0" shapeId="0">
      <text>
        <t>3절 스칼라 '판관비율' 참조 — 숫자로 덮어쓰면 이 분기만 바뀐다
매출액 × 판관비율 12.02%(최근 4분기 중위)</t>
      </text>
    </comment>
    <comment ref="AF22" authorId="0" shapeId="0">
      <text>
        <t>3절 스칼라 '판관비율' 참조 — 숫자로 덮어쓰면 이 분기만 바뀐다
매출액 × 판관비율 12.02%(최근 4분기 중위)</t>
      </text>
    </comment>
    <comment ref="AG22" authorId="0" shapeId="0">
      <text>
        <t>3절 스칼라 '판관비율' 참조 — 숫자로 덮어쓰면 이 분기만 바뀐다
매출액 × 판관비율 12.02%(최근 4분기 중위)</t>
      </text>
    </comment>
    <comment ref="AH22" authorId="0" shapeId="0">
      <text>
        <t>3절 스칼라 '판관비율' 참조 — 숫자로 덮어쓰면 이 분기만 바뀐다
매출액 × 판관비율 12.02%(최근 4분기 중위)</t>
      </text>
    </comment>
    <comment ref="AI22" authorId="0" shapeId="0">
      <text>
        <t>3절 스칼라 '판관비율' 참조 — 숫자로 덮어쓰면 이 분기만 바뀐다
매출액 × 판관비율 12.02%(최근 4분기 중위)</t>
      </text>
    </comment>
    <comment ref="AK22" authorId="0" shapeId="0">
      <text>
        <t>3절 스칼라 '판관비율' 참조 — 숫자로 덮어쓰면 이 분기만 바뀐다
매출액 × 판관비율 12.02%(최근 4분기 중위)</t>
      </text>
    </comment>
    <comment ref="AL22" authorId="0" shapeId="0">
      <text>
        <t>3절 스칼라 '판관비율' 참조 — 숫자로 덮어쓰면 이 분기만 바뀐다
매출액 × 판관비율 12.02%(최근 4분기 중위)</t>
      </text>
    </comment>
    <comment ref="AM22" authorId="0" shapeId="0">
      <text>
        <t>3절 스칼라 '판관비율' 참조 — 숫자로 덮어쓰면 이 분기만 바뀐다
매출액 × 판관비율 12.02%(최근 4분기 중위)</t>
      </text>
    </comment>
    <comment ref="AN22" authorId="0" shapeId="0">
      <text>
        <t>3절 스칼라 '판관비율' 참조 — 숫자로 덮어쓰면 이 분기만 바뀐다
매출액 × 판관비율 12.02%(최근 4분기 중위)</t>
      </text>
    </comment>
    <comment ref="AC23" authorId="0" shapeId="0">
      <text>
        <t>모델값 역산(implied): v / 매출액
매출액 × OPM(최근 8분기 OPM 중위 4.7% 유지(클립 −20~40%))</t>
      </text>
    </comment>
    <comment ref="AD23" authorId="0" shapeId="0">
      <text>
        <t>모델값 역산(implied): v / 매출액
매출액 × OPM(최근 8분기 OPM 중위 4.7% 유지(클립 −20~40%))</t>
      </text>
    </comment>
    <comment ref="AF23" authorId="0" shapeId="0">
      <text>
        <t>모델값 역산(implied): v / 매출액
매출액 × OPM(최근 8분기 OPM 중위 4.7% 유지(클립 −20~40%))</t>
      </text>
    </comment>
    <comment ref="AG23" authorId="0" shapeId="0">
      <text>
        <t>모델값 역산(implied): v / 매출액
매출액 × OPM(최근 8분기 OPM 중위 4.7% 유지(클립 −20~40%))</t>
      </text>
    </comment>
    <comment ref="AH23" authorId="0" shapeId="0">
      <text>
        <t>모델값 역산(implied): v / 매출액
매출액 × OPM(최근 8분기 OPM 중위 4.7% 유지(클립 −20~40%))</t>
      </text>
    </comment>
    <comment ref="AI23" authorId="0" shapeId="0">
      <text>
        <t>모델값 역산(implied): v / 매출액
매출액 × OPM(최근 8분기 OPM 중위 4.7% 유지(클립 −20~40%))</t>
      </text>
    </comment>
    <comment ref="AK23" authorId="0" shapeId="0">
      <text>
        <t>모델값 역산(implied): v / 매출액
매출액 × OPM(최근 8분기 OPM 중위 4.7% 유지(클립 −20~40%))</t>
      </text>
    </comment>
    <comment ref="AL23" authorId="0" shapeId="0">
      <text>
        <t>모델값 역산(implied): v / 매출액
매출액 × OPM(최근 8분기 OPM 중위 4.7% 유지(클립 −20~40%))</t>
      </text>
    </comment>
    <comment ref="AM23" authorId="0" shapeId="0">
      <text>
        <t>모델값 역산(implied): v / 매출액
매출액 × OPM(최근 8분기 OPM 중위 4.7% 유지(클립 −20~40%))</t>
      </text>
    </comment>
    <comment ref="AN23" authorId="0" shapeId="0">
      <text>
        <t>모델값 역산(implied): v / 매출액
매출액 × OPM(최근 8분기 OPM 중위 4.7% 유지(클립 −20~40%))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파생상품 평가·거래손익 0 가정</t>
      </text>
    </comment>
    <comment ref="AD25" authorId="0" shapeId="0">
      <text>
        <t>모델값 역산(implied): 모델 v 그대로
파생상품 평가·거래손익 0 가정</t>
      </text>
    </comment>
    <comment ref="AF25" authorId="0" shapeId="0">
      <text>
        <t>모델값 역산(implied): 모델 v 그대로
파생상품 평가·거래손익 0 가정</t>
      </text>
    </comment>
    <comment ref="AG25" authorId="0" shapeId="0">
      <text>
        <t>모델값 역산(implied): 모델 v 그대로
파생상품 평가·거래손익 0 가정</t>
      </text>
    </comment>
    <comment ref="AH25" authorId="0" shapeId="0">
      <text>
        <t>모델값 역산(implied): 모델 v 그대로
파생상품 평가·거래손익 0 가정</t>
      </text>
    </comment>
    <comment ref="AI25" authorId="0" shapeId="0">
      <text>
        <t>모델값 역산(implied): 모델 v 그대로
파생상품 평가·거래손익 0 가정</t>
      </text>
    </comment>
    <comment ref="AK25" authorId="0" shapeId="0">
      <text>
        <t>모델값 역산(implied): 모델 v 그대로
파생상품 평가·거래손익 0 가정</t>
      </text>
    </comment>
    <comment ref="AL25" authorId="0" shapeId="0">
      <text>
        <t>모델값 역산(implied): 모델 v 그대로
파생상품 평가·거래손익 0 가정</t>
      </text>
    </comment>
    <comment ref="AM25" authorId="0" shapeId="0">
      <text>
        <t>모델값 역산(implied): 모델 v 그대로
파생상품 평가·거래손익 0 가정</t>
      </text>
    </comment>
    <comment ref="AN25" authorId="0" shapeId="0">
      <text>
        <t>모델값 역산(implied): 모델 v 그대로
파생상품 평가·거래손익 0 가정</t>
      </text>
    </comment>
    <comment ref="AC26" authorId="0" shapeId="0">
      <text>
        <t>모델값 역산(implied): 모델 v 그대로
최근 4분기 중위 +1372.76억이 이자손익 추정 -681.87억의 50% 초과 → 0(경고)</t>
      </text>
    </comment>
    <comment ref="AD26" authorId="0" shapeId="0">
      <text>
        <t>모델값 역산(implied): 모델 v 그대로
최근 4분기 중위 +1372.76억이 이자손익 추정 -681.87억의 50% 초과 → 0(경고)</t>
      </text>
    </comment>
    <comment ref="AF26" authorId="0" shapeId="0">
      <text>
        <t>모델값 역산(implied): 모델 v 그대로
최근 4분기 중위 +1372.76억이 이자손익 추정 -681.87억의 50% 초과 → 0(경고)</t>
      </text>
    </comment>
    <comment ref="AG26" authorId="0" shapeId="0">
      <text>
        <t>모델값 역산(implied): 모델 v 그대로
최근 4분기 중위 +1372.76억이 이자손익 추정 -681.87억의 50% 초과 → 0(경고)</t>
      </text>
    </comment>
    <comment ref="AH26" authorId="0" shapeId="0">
      <text>
        <t>모델값 역산(implied): 모델 v 그대로
최근 4분기 중위 +1372.76억이 이자손익 추정 -681.87억의 50% 초과 → 0(경고)</t>
      </text>
    </comment>
    <comment ref="AI26" authorId="0" shapeId="0">
      <text>
        <t>모델값 역산(implied): 모델 v 그대로
최근 4분기 중위 +1372.76억이 이자손익 추정 -681.87억의 50% 초과 → 0(경고)</t>
      </text>
    </comment>
    <comment ref="AK26" authorId="0" shapeId="0">
      <text>
        <t>모델값 역산(implied): 모델 v 그대로
최근 4분기 중위 +1372.76억이 이자손익 추정 -681.87억의 50% 초과 → 0(경고)</t>
      </text>
    </comment>
    <comment ref="AL26" authorId="0" shapeId="0">
      <text>
        <t>모델값 역산(implied): 모델 v 그대로
최근 4분기 중위 +1372.76억이 이자손익 추정 -681.87억의 50% 초과 → 0(경고)</t>
      </text>
    </comment>
    <comment ref="AM26" authorId="0" shapeId="0">
      <text>
        <t>모델값 역산(implied): 모델 v 그대로
최근 4분기 중위 +1372.76억이 이자손익 추정 -681.87억의 50% 초과 → 0(경고)</t>
      </text>
    </comment>
    <comment ref="AN26" authorId="0" shapeId="0">
      <text>
        <t>모델값 역산(implied): 모델 v 그대로
최근 4분기 중위 +1372.76억이 이자손익 추정 -681.87억의 50% 초과 → 0(경고)</t>
      </text>
    </comment>
    <comment ref="AC27" authorId="0" shapeId="0">
      <text>
        <t>모델값 역산(implied): 모델 v 그대로
일회성 미가정 → 0</t>
      </text>
    </comment>
    <comment ref="AD27" authorId="0" shapeId="0">
      <text>
        <t>모델값 역산(implied): 모델 v 그대로
일회성 미가정 → 0</t>
      </text>
    </comment>
    <comment ref="AF27" authorId="0" shapeId="0">
      <text>
        <t>모델값 역산(implied): 모델 v 그대로
일회성 미가정 → 0</t>
      </text>
    </comment>
    <comment ref="AG27" authorId="0" shapeId="0">
      <text>
        <t>모델값 역산(implied): 모델 v 그대로
일회성 미가정 → 0</t>
      </text>
    </comment>
    <comment ref="AH27" authorId="0" shapeId="0">
      <text>
        <t>모델값 역산(implied): 모델 v 그대로
일회성 미가정 → 0</t>
      </text>
    </comment>
    <comment ref="AI27" authorId="0" shapeId="0">
      <text>
        <t>모델값 역산(implied): 모델 v 그대로
일회성 미가정 → 0</t>
      </text>
    </comment>
    <comment ref="AK27" authorId="0" shapeId="0">
      <text>
        <t>모델값 역산(implied): 모델 v 그대로
일회성 미가정 → 0</t>
      </text>
    </comment>
    <comment ref="AL27" authorId="0" shapeId="0">
      <text>
        <t>모델값 역산(implied): 모델 v 그대로
일회성 미가정 → 0</t>
      </text>
    </comment>
    <comment ref="AM27" authorId="0" shapeId="0">
      <text>
        <t>모델값 역산(implied): 모델 v 그대로
일회성 미가정 → 0</t>
      </text>
    </comment>
    <comment ref="AN27" authorId="0" shapeId="0">
      <text>
        <t>모델값 역산(implied): 모델 v 그대로
일회성 미가정 → 0</t>
      </text>
    </comment>
    <comment ref="AC28" authorId="0" shapeId="0">
      <text>
        <t>모델값 역산(implied): 모델 v 그대로
최근 4분기 중위</t>
      </text>
    </comment>
    <comment ref="AD28" authorId="0" shapeId="0">
      <text>
        <t>모델값 역산(implied): 모델 v 그대로
최근 4분기 중위</t>
      </text>
    </comment>
    <comment ref="AF28" authorId="0" shapeId="0">
      <text>
        <t>모델값 역산(implied): 모델 v 그대로
최근 4분기 중위</t>
      </text>
    </comment>
    <comment ref="AG28" authorId="0" shapeId="0">
      <text>
        <t>모델값 역산(implied): 모델 v 그대로
최근 4분기 중위</t>
      </text>
    </comment>
    <comment ref="AH28" authorId="0" shapeId="0">
      <text>
        <t>모델값 역산(implied): 모델 v 그대로
최근 4분기 중위</t>
      </text>
    </comment>
    <comment ref="AI28" authorId="0" shapeId="0">
      <text>
        <t>모델값 역산(implied): 모델 v 그대로
최근 4분기 중위</t>
      </text>
    </comment>
    <comment ref="AK28" authorId="0" shapeId="0">
      <text>
        <t>모델값 역산(implied): 모델 v 그대로
최근 4분기 중위</t>
      </text>
    </comment>
    <comment ref="AL28" authorId="0" shapeId="0">
      <text>
        <t>모델값 역산(implied): 모델 v 그대로
최근 4분기 중위</t>
      </text>
    </comment>
    <comment ref="AM28" authorId="0" shapeId="0">
      <text>
        <t>모델값 역산(implied): 모델 v 그대로
최근 4분기 중위</t>
      </text>
    </comment>
    <comment ref="AN28" authorId="0" shapeId="0">
      <text>
        <t>모델값 역산(implied): 모델 v 그대로
최근 4분기 중위</t>
      </text>
    </comment>
    <comment ref="AC29" authorId="0" shapeId="0">
      <text>
        <t>3절 스칼라 '세율' 참조 — 숫자로 덮어쓰면 이 분기만 바뀐다
max(세전, 0) × 세율 22.0%(최근 12분기 유효세율 34.8% 가 5~27% 밖; 세전 &gt; 0 분기 중위 42.9% 도 5~27% 밖 → 법정세율 근사 22% 가정)</t>
      </text>
    </comment>
    <comment ref="AD29" authorId="0" shapeId="0">
      <text>
        <t>3절 스칼라 '세율' 참조 — 숫자로 덮어쓰면 이 분기만 바뀐다
max(세전, 0) × 세율 22.0%(최근 12분기 유효세율 34.8% 가 5~27% 밖; 세전 &gt; 0 분기 중위 42.9% 도 5~27% 밖 → 법정세율 근사 22% 가정)</t>
      </text>
    </comment>
    <comment ref="AF29" authorId="0" shapeId="0">
      <text>
        <t>3절 스칼라 '세율' 참조 — 숫자로 덮어쓰면 이 분기만 바뀐다
max(세전, 0) × 세율 22.0%(최근 12분기 유효세율 34.8% 가 5~27% 밖; 세전 &gt; 0 분기 중위 42.9% 도 5~27% 밖 → 법정세율 근사 22% 가정)</t>
      </text>
    </comment>
    <comment ref="AG29" authorId="0" shapeId="0">
      <text>
        <t>3절 스칼라 '세율' 참조 — 숫자로 덮어쓰면 이 분기만 바뀐다
max(세전, 0) × 세율 22.0%(최근 12분기 유효세율 34.8% 가 5~27% 밖; 세전 &gt; 0 분기 중위 42.9% 도 5~27% 밖 → 법정세율 근사 22% 가정)</t>
      </text>
    </comment>
    <comment ref="AH29" authorId="0" shapeId="0">
      <text>
        <t>3절 스칼라 '세율' 참조 — 숫자로 덮어쓰면 이 분기만 바뀐다
max(세전, 0) × 세율 22.0%(최근 12분기 유효세율 34.8% 가 5~27% 밖; 세전 &gt; 0 분기 중위 42.9% 도 5~27% 밖 → 법정세율 근사 22% 가정)</t>
      </text>
    </comment>
    <comment ref="AI29" authorId="0" shapeId="0">
      <text>
        <t>3절 스칼라 '세율' 참조 — 숫자로 덮어쓰면 이 분기만 바뀐다
max(세전, 0) × 세율 22.0%(최근 12분기 유효세율 34.8% 가 5~27% 밖; 세전 &gt; 0 분기 중위 42.9% 도 5~27% 밖 → 법정세율 근사 22% 가정)</t>
      </text>
    </comment>
    <comment ref="AK29" authorId="0" shapeId="0">
      <text>
        <t>3절 스칼라 '세율' 참조 — 숫자로 덮어쓰면 이 분기만 바뀐다
max(세전, 0) × 세율 22.0%(최근 12분기 유효세율 34.8% 가 5~27% 밖; 세전 &gt; 0 분기 중위 42.9% 도 5~27% 밖 → 법정세율 근사 22% 가정)</t>
      </text>
    </comment>
    <comment ref="AL29" authorId="0" shapeId="0">
      <text>
        <t>3절 스칼라 '세율' 참조 — 숫자로 덮어쓰면 이 분기만 바뀐다
max(세전, 0) × 세율 22.0%(최근 12분기 유효세율 34.8% 가 5~27% 밖; 세전 &gt; 0 분기 중위 42.9% 도 5~27% 밖 → 법정세율 근사 22% 가정)</t>
      </text>
    </comment>
    <comment ref="AM29" authorId="0" shapeId="0">
      <text>
        <t>3절 스칼라 '세율' 참조 — 숫자로 덮어쓰면 이 분기만 바뀐다
max(세전, 0) × 세율 22.0%(최근 12분기 유효세율 34.8% 가 5~27% 밖; 세전 &gt; 0 분기 중위 42.9% 도 5~27% 밖 → 법정세율 근사 22% 가정)</t>
      </text>
    </comment>
    <comment ref="AN29" authorId="0" shapeId="0">
      <text>
        <t>3절 스칼라 '세율' 참조 — 숫자로 덮어쓰면 이 분기만 바뀐다
max(세전, 0) × 세율 22.0%(최근 12분기 유효세율 34.8% 가 5~27% 밖; 세전 &gt; 0 분기 중위 42.9% 도 5~27% 밖 → 법정세율 근사 22% 가정)</t>
      </text>
    </comment>
    <comment ref="AC30" authorId="0" shapeId="0">
      <text>
        <t>3절 스칼라 '지배주주비중' 참조 — 숫자로 덮어쓰면 이 분기만 바뀐다
당기순이익 × (1 − 비지배 비중 60.0%, 최근 8분기 실측)</t>
      </text>
    </comment>
    <comment ref="AD30" authorId="0" shapeId="0">
      <text>
        <t>3절 스칼라 '지배주주비중' 참조 — 숫자로 덮어쓰면 이 분기만 바뀐다
당기순이익 × (1 − 비지배 비중 60.0%, 최근 8분기 실측)</t>
      </text>
    </comment>
    <comment ref="AF30" authorId="0" shapeId="0">
      <text>
        <t>3절 스칼라 '지배주주비중' 참조 — 숫자로 덮어쓰면 이 분기만 바뀐다
당기순이익 × (1 − 비지배 비중 60.0%, 최근 8분기 실측)</t>
      </text>
    </comment>
    <comment ref="AG30" authorId="0" shapeId="0">
      <text>
        <t>3절 스칼라 '지배주주비중' 참조 — 숫자로 덮어쓰면 이 분기만 바뀐다
당기순이익 × (1 − 비지배 비중 60.0%, 최근 8분기 실측)</t>
      </text>
    </comment>
    <comment ref="AH30" authorId="0" shapeId="0">
      <text>
        <t>3절 스칼라 '지배주주비중' 참조 — 숫자로 덮어쓰면 이 분기만 바뀐다
당기순이익 × (1 − 비지배 비중 60.0%, 최근 8분기 실측)</t>
      </text>
    </comment>
    <comment ref="AI30" authorId="0" shapeId="0">
      <text>
        <t>3절 스칼라 '지배주주비중' 참조 — 숫자로 덮어쓰면 이 분기만 바뀐다
당기순이익 × (1 − 비지배 비중 60.0%, 최근 8분기 실측)</t>
      </text>
    </comment>
    <comment ref="AK30" authorId="0" shapeId="0">
      <text>
        <t>3절 스칼라 '지배주주비중' 참조 — 숫자로 덮어쓰면 이 분기만 바뀐다
당기순이익 × (1 − 비지배 비중 60.0%, 최근 8분기 실측)</t>
      </text>
    </comment>
    <comment ref="AL30" authorId="0" shapeId="0">
      <text>
        <t>3절 스칼라 '지배주주비중' 참조 — 숫자로 덮어쓰면 이 분기만 바뀐다
당기순이익 × (1 − 비지배 비중 60.0%, 최근 8분기 실측)</t>
      </text>
    </comment>
    <comment ref="AM30" authorId="0" shapeId="0">
      <text>
        <t>3절 스칼라 '지배주주비중' 참조 — 숫자로 덮어쓰면 이 분기만 바뀐다
당기순이익 × (1 − 비지배 비중 60.0%, 최근 8분기 실측)</t>
      </text>
    </comment>
    <comment ref="AN30" authorId="0" shapeId="0">
      <text>
        <t>3절 스칼라 '지배주주비중' 참조 — 숫자로 덮어쓰면 이 분기만 바뀐다
당기순이익 × (1 − 비지배 비중 60.0%, 최근 8분기 실측)</t>
      </text>
    </comment>
    <comment ref="AC32" authorId="0" shapeId="0">
      <text>
        <t>모델값 역산(implied): v / 전분기 − 1
마지막 실적 유지(가정)</t>
      </text>
    </comment>
    <comment ref="AD32" authorId="0" shapeId="0">
      <text>
        <t>모델값 역산(implied): v / 전분기 − 1
마지막 실적 유지(가정)</t>
      </text>
    </comment>
    <comment ref="AF32" authorId="0" shapeId="0">
      <text>
        <t>모델값 역산(implied): v / 전분기 − 1
마지막 실적 유지(가정)</t>
      </text>
    </comment>
    <comment ref="AG32" authorId="0" shapeId="0">
      <text>
        <t>모델값 역산(implied): v / 전분기 − 1
마지막 실적 유지(가정)</t>
      </text>
    </comment>
    <comment ref="AH32" authorId="0" shapeId="0">
      <text>
        <t>모델값 역산(implied): v / 전분기 − 1
마지막 실적 유지(가정)</t>
      </text>
    </comment>
    <comment ref="AI32" authorId="0" shapeId="0">
      <text>
        <t>모델값 역산(implied): v / 전분기 − 1
마지막 실적 유지(가정)</t>
      </text>
    </comment>
    <comment ref="AK32" authorId="0" shapeId="0">
      <text>
        <t>모델값 역산(implied): v / 전분기 − 1
마지막 실적 유지(가정)</t>
      </text>
    </comment>
    <comment ref="AL32" authorId="0" shapeId="0">
      <text>
        <t>모델값 역산(implied): v / 전분기 − 1
마지막 실적 유지(가정)</t>
      </text>
    </comment>
    <comment ref="AM32" authorId="0" shapeId="0">
      <text>
        <t>모델값 역산(implied): v / 전분기 − 1
마지막 실적 유지(가정)</t>
      </text>
    </comment>
    <comment ref="AN32" authorId="0" shapeId="0">
      <text>
        <t>모델값 역산(implied): v / 전분기 − 1
마지막 실적 유지(가정)</t>
      </text>
    </comment>
    <comment ref="AC33" authorId="0" shapeId="0">
      <text>
        <t>모델값 역산(implied): 전분기(시트값) + 당기순이익(시트 수식값) − v
전분기 + 당기순이익 − 배당(Q2 지급 가정)</t>
      </text>
    </comment>
    <comment ref="AD33" authorId="0" shapeId="0">
      <text>
        <t>모델값 역산(implied): 전분기(시트값) + 당기순이익(시트 수식값) − v
전분기 + 당기순이익 − 배당(Q2 지급 가정)</t>
      </text>
    </comment>
    <comment ref="AF33" authorId="0" shapeId="0">
      <text>
        <t>모델값 역산(implied): 전분기(시트값) + 당기순이익(시트 수식값) − v
전분기 + 당기순이익 − 배당(Q2 지급 가정)</t>
      </text>
    </comment>
    <comment ref="AG33" authorId="0" shapeId="0">
      <text>
        <t>모델값 역산(implied): 전분기(시트값) + 당기순이익(시트 수식값) − v
전분기 + 당기순이익 − 배당(Q2 지급 가정)</t>
      </text>
    </comment>
    <comment ref="AH33" authorId="0" shapeId="0">
      <text>
        <t>모델값 역산(implied): 전분기(시트값) + 당기순이익(시트 수식값) − v
전분기 + 당기순이익 − 배당(Q2 지급 가정)</t>
      </text>
    </comment>
    <comment ref="AI33" authorId="0" shapeId="0">
      <text>
        <t>모델값 역산(implied): 전분기(시트값) + 당기순이익(시트 수식값) − v
전분기 + 당기순이익 − 배당(Q2 지급 가정)</t>
      </text>
    </comment>
    <comment ref="AK33" authorId="0" shapeId="0">
      <text>
        <t>모델값 역산(implied): 전분기(시트값) + 당기순이익(시트 수식값) − v
전분기 + 당기순이익 − 배당(Q2 지급 가정)</t>
      </text>
    </comment>
    <comment ref="AL33" authorId="0" shapeId="0">
      <text>
        <t>모델값 역산(implied): 전분기(시트값) + 당기순이익(시트 수식값) − v
전분기 + 당기순이익 − 배당(Q2 지급 가정)</t>
      </text>
    </comment>
    <comment ref="AM33" authorId="0" shapeId="0">
      <text>
        <t>모델값 역산(implied): 전분기(시트값) + 당기순이익(시트 수식값) − v
전분기 + 당기순이익 − 배당(Q2 지급 가정)</t>
      </text>
    </comment>
    <comment ref="AN33" authorId="0" shapeId="0">
      <text>
        <t>모델값 역산(implied): 전분기(시트값) + 당기순이익(시트 수식값) − v
전분기 + 당기순이익 − 배당(Q2 지급 가정)</t>
      </text>
    </comment>
    <comment ref="AC35" authorId="0" shapeId="0">
      <text>
        <t>모델값 역산(implied): v / 전분기 − 1
마지막 실적 유지(가정)</t>
      </text>
    </comment>
    <comment ref="AD35" authorId="0" shapeId="0">
      <text>
        <t>모델값 역산(implied): v / 전분기 − 1
마지막 실적 유지(가정)</t>
      </text>
    </comment>
    <comment ref="AF35" authorId="0" shapeId="0">
      <text>
        <t>모델값 역산(implied): v / 전분기 − 1
마지막 실적 유지(가정)</t>
      </text>
    </comment>
    <comment ref="AG35" authorId="0" shapeId="0">
      <text>
        <t>모델값 역산(implied): v / 전분기 − 1
마지막 실적 유지(가정)</t>
      </text>
    </comment>
    <comment ref="AH35" authorId="0" shapeId="0">
      <text>
        <t>모델값 역산(implied): v / 전분기 − 1
마지막 실적 유지(가정)</t>
      </text>
    </comment>
    <comment ref="AI35" authorId="0" shapeId="0">
      <text>
        <t>모델값 역산(implied): v / 전분기 − 1
마지막 실적 유지(가정)</t>
      </text>
    </comment>
    <comment ref="AK35" authorId="0" shapeId="0">
      <text>
        <t>모델값 역산(implied): v / 전분기 − 1
마지막 실적 유지(가정)</t>
      </text>
    </comment>
    <comment ref="AL35" authorId="0" shapeId="0">
      <text>
        <t>모델값 역산(implied): v / 전분기 − 1
마지막 실적 유지(가정)</t>
      </text>
    </comment>
    <comment ref="AM35" authorId="0" shapeId="0">
      <text>
        <t>모델값 역산(implied): v / 전분기 − 1
마지막 실적 유지(가정)</t>
      </text>
    </comment>
    <comment ref="AN35" authorId="0" shapeId="0">
      <text>
        <t>모델값 역산(implied): v / 전분기 − 1
마지막 실적 유지(가정)</t>
      </text>
    </comment>
    <comment ref="AC36" authorId="0" shapeId="0">
      <text>
        <t>모델값 역산(implied): v / 전분기 − 1
전분기 − FCF 근사[순이익 − 배당(감가상각비 없음 → CAPEX≈감가 가정, CAPEX 중위 1810억은 행에만)] (운전자본 불변·총차입금 유지 가정 → 변동은 전부 현금)</t>
      </text>
    </comment>
    <comment ref="AD36" authorId="0" shapeId="0">
      <text>
        <t>모델값 역산(implied): v / 전분기 − 1
전분기 − FCF 근사[순이익 − 배당(감가상각비 없음 → CAPEX≈감가 가정, CAPEX 중위 1810억은 행에만)] (운전자본 불변·총차입금 유지 가정 → 변동은 전부 현금)</t>
      </text>
    </comment>
    <comment ref="AF36" authorId="0" shapeId="0">
      <text>
        <t>모델값 역산(implied): v / 전분기 − 1
전분기 − FCF 근사[순이익 − 배당(감가상각비 없음 → CAPEX≈감가 가정, CAPEX 중위 1810억은 행에만)] (운전자본 불변·총차입금 유지 가정 → 변동은 전부 현금)</t>
      </text>
    </comment>
    <comment ref="AG36" authorId="0" shapeId="0">
      <text>
        <t>모델값 역산(implied): v / 전분기 − 1
전분기 − FCF 근사[순이익 − 배당(감가상각비 없음 → CAPEX≈감가 가정, CAPEX 중위 1810억은 행에만)] (운전자본 불변·총차입금 유지 가정 → 변동은 전부 현금)</t>
      </text>
    </comment>
    <comment ref="AH36" authorId="0" shapeId="0">
      <text>
        <t>모델값 역산(implied): v / 전분기 − 1
전분기 − FCF 근사[순이익 − 배당(감가상각비 없음 → CAPEX≈감가 가정, CAPEX 중위 1810억은 행에만)] (운전자본 불변·총차입금 유지 가정 → 변동은 전부 현금)</t>
      </text>
    </comment>
    <comment ref="AI36" authorId="0" shapeId="0">
      <text>
        <t>모델값 역산(implied): v / 전분기 − 1
전분기 − FCF 근사[순이익 − 배당(감가상각비 없음 → CAPEX≈감가 가정, CAPEX 중위 1810억은 행에만)] (운전자본 불변·총차입금 유지 가정 → 변동은 전부 현금)</t>
      </text>
    </comment>
    <comment ref="AK36" authorId="0" shapeId="0">
      <text>
        <t>모델값 역산(implied): v / 전분기 − 1
전분기 − FCF 근사[순이익 − 배당(감가상각비 없음 → CAPEX≈감가 가정, CAPEX 중위 1810억은 행에만)] (운전자본 불변·총차입금 유지 가정 → 변동은 전부 현금)</t>
      </text>
    </comment>
    <comment ref="AL36" authorId="0" shapeId="0">
      <text>
        <t>모델값 역산(implied): v / 전분기 − 1
전분기 − FCF 근사[순이익 − 배당(감가상각비 없음 → CAPEX≈감가 가정, CAPEX 중위 1810억은 행에만)] (운전자본 불변·총차입금 유지 가정 → 변동은 전부 현금)</t>
      </text>
    </comment>
    <comment ref="AM36" authorId="0" shapeId="0">
      <text>
        <t>모델값 역산(implied): v / 전분기 − 1
전분기 − FCF 근사[순이익 − 배당(감가상각비 없음 → CAPEX≈감가 가정, CAPEX 중위 1810억은 행에만)] (운전자본 불변·총차입금 유지 가정 → 변동은 전부 현금)</t>
      </text>
    </comment>
    <comment ref="AN36" authorId="0" shapeId="0">
      <text>
        <t>모델값 역산(implied): v / 전분기 − 1
전분기 − FCF 근사[순이익 − 배당(감가상각비 없음 → CAPEX≈감가 가정, CAPEX 중위 1810억은 행에만)] (운전자본 불변·총차입금 유지 가정 → 변동은 전부 현금)</t>
      </text>
    </comment>
    <comment ref="AC37" authorId="0" shapeId="0">
      <text>
        <t>모델값 역산(implied): v / 전분기 − 1
전분기 + FCF 근사 — 순차입금 롤과 같은 가정</t>
      </text>
    </comment>
    <comment ref="AD37" authorId="0" shapeId="0">
      <text>
        <t>모델값 역산(implied): v / 전분기 − 1
전분기 + FCF 근사 — 순차입금 롤과 같은 가정</t>
      </text>
    </comment>
    <comment ref="AF37" authorId="0" shapeId="0">
      <text>
        <t>모델값 역산(implied): v / 전분기 − 1
전분기 + FCF 근사 — 순차입금 롤과 같은 가정</t>
      </text>
    </comment>
    <comment ref="AG37" authorId="0" shapeId="0">
      <text>
        <t>모델값 역산(implied): v / 전분기 − 1
전분기 + FCF 근사 — 순차입금 롤과 같은 가정</t>
      </text>
    </comment>
    <comment ref="AH37" authorId="0" shapeId="0">
      <text>
        <t>모델값 역산(implied): v / 전분기 − 1
전분기 + FCF 근사 — 순차입금 롤과 같은 가정</t>
      </text>
    </comment>
    <comment ref="AI37" authorId="0" shapeId="0">
      <text>
        <t>모델값 역산(implied): v / 전분기 − 1
전분기 + FCF 근사 — 순차입금 롤과 같은 가정</t>
      </text>
    </comment>
    <comment ref="AK37" authorId="0" shapeId="0">
      <text>
        <t>모델값 역산(implied): v / 전분기 − 1
전분기 + FCF 근사 — 순차입금 롤과 같은 가정</t>
      </text>
    </comment>
    <comment ref="AL37" authorId="0" shapeId="0">
      <text>
        <t>모델값 역산(implied): v / 전분기 − 1
전분기 + FCF 근사 — 순차입금 롤과 같은 가정</t>
      </text>
    </comment>
    <comment ref="AM37" authorId="0" shapeId="0">
      <text>
        <t>모델값 역산(implied): v / 전분기 − 1
전분기 + FCF 근사 — 순차입금 롤과 같은 가정</t>
      </text>
    </comment>
    <comment ref="AN37" authorId="0" shapeId="0">
      <text>
        <t>모델값 역산(implied): v / 전분기 − 1
전분기 + FCF 근사 — 순차입금 롤과 같은 가정</t>
      </text>
    </comment>
    <comment ref="AC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41" authorId="0" shapeId="0">
      <text>
        <t>모델값 역산(implied): v / 전분기 − 1
유통주식수 유지 — fin.shares.common_outstanding(2026Q2)</t>
      </text>
    </comment>
    <comment ref="AD41" authorId="0" shapeId="0">
      <text>
        <t>모델값 역산(implied): v / 전분기 − 1
유통주식수 유지 — fin.shares.common_outstanding(2026Q2)</t>
      </text>
    </comment>
    <comment ref="AF41" authorId="0" shapeId="0">
      <text>
        <t>모델값 역산(implied): v / 전분기 − 1
유통주식수 유지 — fin.shares.common_outstanding(2026Q2)</t>
      </text>
    </comment>
    <comment ref="AG41" authorId="0" shapeId="0">
      <text>
        <t>모델값 역산(implied): v / 전분기 − 1
유통주식수 유지 — fin.shares.common_outstanding(2026Q2)</t>
      </text>
    </comment>
    <comment ref="AH41" authorId="0" shapeId="0">
      <text>
        <t>모델값 역산(implied): v / 전분기 − 1
유통주식수 유지 — fin.shares.common_outstanding(2026Q2)</t>
      </text>
    </comment>
    <comment ref="AI41" authorId="0" shapeId="0">
      <text>
        <t>모델값 역산(implied): v / 전분기 − 1
유통주식수 유지 — fin.shares.common_outstanding(2026Q2)</t>
      </text>
    </comment>
    <comment ref="AK41" authorId="0" shapeId="0">
      <text>
        <t>모델값 역산(implied): v / 전분기 − 1
유통주식수 유지 — fin.shares.common_outstanding(2026Q2)</t>
      </text>
    </comment>
    <comment ref="AL41" authorId="0" shapeId="0">
      <text>
        <t>모델값 역산(implied): v / 전분기 − 1
유통주식수 유지 — fin.shares.common_outstanding(2026Q2)</t>
      </text>
    </comment>
    <comment ref="AM41" authorId="0" shapeId="0">
      <text>
        <t>모델값 역산(implied): v / 전분기 − 1
유통주식수 유지 — fin.shares.common_outstanding(2026Q2)</t>
      </text>
    </comment>
    <comment ref="AN41" authorId="0" shapeId="0">
      <text>
        <t>모델값 역산(implied): v / 전분기 − 1
유통주식수 유지 — fin.shares.common_outstanding(2026Q2)</t>
      </text>
    </comment>
    <comment ref="AD42" authorId="0" shapeId="0">
      <text>
        <t>모델값 역산(implied): 모델 v 그대로
직전 결산 DPS 0원 유지</t>
      </text>
    </comment>
    <comment ref="AI42" authorId="0" shapeId="0">
      <text>
        <t>모델값 역산(implied): 모델 v 그대로
직전 결산 DPS 0원 유지</t>
      </text>
    </comment>
    <comment ref="AN42" authorId="0" shapeId="0">
      <text>
        <t>모델값 역산(implied): 모델 v 그대로
직전 결산 DPS 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전년동기 × (1+8.7%) — g=최근 4분기 합 YoY 8.7% 클립(−30~+50%), 연차별 절반 감쇠(가정)
[yoy]</t>
      </text>
    </comment>
    <comment ref="AD5" authorId="0" shapeId="0">
      <text>
        <t>추정: 전년동기 × (1+8.7%) — g=최근 4분기 합 YoY 8.7% 클립(−30~+50%), 연차별 절반 감쇠(가정)
[yoy]</t>
      </text>
    </comment>
    <comment ref="AF5" authorId="0" shapeId="0">
      <text>
        <t>추정: 전년동기 × (1+8.7%) — g=최근 4분기 합 YoY 8.7% 클립(−30~+50%), 연차별 절반 감쇠(가정)
[yoy]</t>
      </text>
    </comment>
    <comment ref="AG5" authorId="0" shapeId="0">
      <text>
        <t>추정: 전년동기 × (1+8.7%) — g=최근 4분기 합 YoY 8.7% 클립(−30~+50%), 연차별 절반 감쇠(가정)
[yoy]</t>
      </text>
    </comment>
    <comment ref="AH5" authorId="0" shapeId="0">
      <text>
        <t>추정: 전년동기 × (1+4.4%) — g=최근 4분기 합 YoY 8.7% 클립(−30~+50%), 연차별 절반 감쇠(가정)
[yoy]</t>
      </text>
    </comment>
    <comment ref="AI5" authorId="0" shapeId="0">
      <text>
        <t>추정: 전년동기 × (1+4.4%) — g=최근 4분기 합 YoY 8.7% 클립(−30~+50%), 연차별 절반 감쇠(가정)
[yoy]</t>
      </text>
    </comment>
    <comment ref="AK5" authorId="0" shapeId="0">
      <text>
        <t>추정: 전년동기 × (1+4.4%) — g=최근 4분기 합 YoY 8.7% 클립(−30~+50%), 연차별 절반 감쇠(가정)
[yoy]</t>
      </text>
    </comment>
    <comment ref="AL5" authorId="0" shapeId="0">
      <text>
        <t>추정: 전년동기 × (1+4.4%) — g=최근 4분기 합 YoY 8.7% 클립(−30~+50%), 연차별 절반 감쇠(가정)
[yoy]</t>
      </text>
    </comment>
    <comment ref="AM5" authorId="0" shapeId="0">
      <text>
        <t>추정: 전년동기 × (1+2.2%) — g=최근 4분기 합 YoY 8.7% 클립(−30~+50%), 연차별 절반 감쇠(가정)
[yoy]</t>
      </text>
    </comment>
    <comment ref="AN5" authorId="0" shapeId="0">
      <text>
        <t>추정: 전년동기 × (1+2.2%) — g=최근 4분기 합 YoY 8.7% 클립(−30~+50%), 연차별 절반 감쇠(가정)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12.02%(최근 4분기 중위)
[ratio]</t>
      </text>
    </comment>
    <comment ref="AD8" authorId="0" shapeId="0">
      <text>
        <t>추정: 매출액 × 판관비율 12.02%(최근 4분기 중위)
[ratio]</t>
      </text>
    </comment>
    <comment ref="AF8" authorId="0" shapeId="0">
      <text>
        <t>추정: 매출액 × 판관비율 12.02%(최근 4분기 중위)
[ratio]</t>
      </text>
    </comment>
    <comment ref="AG8" authorId="0" shapeId="0">
      <text>
        <t>추정: 매출액 × 판관비율 12.02%(최근 4분기 중위)
[ratio]</t>
      </text>
    </comment>
    <comment ref="AH8" authorId="0" shapeId="0">
      <text>
        <t>추정: 매출액 × 판관비율 12.02%(최근 4분기 중위)
[ratio]</t>
      </text>
    </comment>
    <comment ref="AI8" authorId="0" shapeId="0">
      <text>
        <t>추정: 매출액 × 판관비율 12.02%(최근 4분기 중위)
[ratio]</t>
      </text>
    </comment>
    <comment ref="AK8" authorId="0" shapeId="0">
      <text>
        <t>추정: 매출액 × 판관비율 12.02%(최근 4분기 중위)
[ratio]</t>
      </text>
    </comment>
    <comment ref="AL8" authorId="0" shapeId="0">
      <text>
        <t>추정: 매출액 × 판관비율 12.02%(최근 4분기 중위)
[ratio]</t>
      </text>
    </comment>
    <comment ref="AM8" authorId="0" shapeId="0">
      <text>
        <t>추정: 매출액 × 판관비율 12.02%(최근 4분기 중위)
[ratio]</t>
      </text>
    </comment>
    <comment ref="AN8" authorId="0" shapeId="0">
      <text>
        <t>추정: 매출액 × 판관비율 12.02%(최근 4분기 중위)
[ratio]</t>
      </text>
    </comment>
    <comment ref="AC9" authorId="0" shapeId="0">
      <text>
        <t>추정: 매출액 × OPM(최근 8분기 OPM 중위 4.7% 유지(클립 −20~40%))
[ratio]</t>
      </text>
    </comment>
    <comment ref="AD9" authorId="0" shapeId="0">
      <text>
        <t>추정: 매출액 × OPM(최근 8분기 OPM 중위 4.7% 유지(클립 −20~40%))
[ratio]</t>
      </text>
    </comment>
    <comment ref="AF9" authorId="0" shapeId="0">
      <text>
        <t>추정: 매출액 × OPM(최근 8분기 OPM 중위 4.7% 유지(클립 −20~40%))
[ratio]</t>
      </text>
    </comment>
    <comment ref="AG9" authorId="0" shapeId="0">
      <text>
        <t>추정: 매출액 × OPM(최근 8분기 OPM 중위 4.7% 유지(클립 −20~40%))
[ratio]</t>
      </text>
    </comment>
    <comment ref="AH9" authorId="0" shapeId="0">
      <text>
        <t>추정: 매출액 × OPM(최근 8분기 OPM 중위 4.7% 유지(클립 −20~40%))
[ratio]</t>
      </text>
    </comment>
    <comment ref="AI9" authorId="0" shapeId="0">
      <text>
        <t>추정: 매출액 × OPM(최근 8분기 OPM 중위 4.7% 유지(클립 −20~40%))
[ratio]</t>
      </text>
    </comment>
    <comment ref="AK9" authorId="0" shapeId="0">
      <text>
        <t>추정: 매출액 × OPM(최근 8분기 OPM 중위 4.7% 유지(클립 −20~40%))
[ratio]</t>
      </text>
    </comment>
    <comment ref="AL9" authorId="0" shapeId="0">
      <text>
        <t>추정: 매출액 × OPM(최근 8분기 OPM 중위 4.7% 유지(클립 −20~40%))
[ratio]</t>
      </text>
    </comment>
    <comment ref="AM9" authorId="0" shapeId="0">
      <text>
        <t>추정: 매출액 × OPM(최근 8분기 OPM 중위 4.7% 유지(클립 −20~40%))
[ratio]</t>
      </text>
    </comment>
    <comment ref="AN9" authorId="0" shapeId="0">
      <text>
        <t>추정: 매출액 × OPM(최근 8분기 OPM 중위 4.7% 유지(클립 −20~40%))
[ratio]</t>
      </text>
    </comment>
    <comment ref="AC10" authorId="0" shapeId="0">
      <text>
        <t>추정: 최근 8분기 OPM 중위 4.7% 유지(클립 −20~40%)
[divide]</t>
      </text>
    </comment>
    <comment ref="AD10" authorId="0" shapeId="0">
      <text>
        <t>추정: 최근 8분기 OPM 중위 4.7% 유지(클립 −20~40%)
[divide]</t>
      </text>
    </comment>
    <comment ref="AF10" authorId="0" shapeId="0">
      <text>
        <t>추정: 최근 8분기 OPM 중위 4.7% 유지(클립 −20~40%)
[divide]</t>
      </text>
    </comment>
    <comment ref="AG10" authorId="0" shapeId="0">
      <text>
        <t>추정: 최근 8분기 OPM 중위 4.7% 유지(클립 −20~40%)
[divide]</t>
      </text>
    </comment>
    <comment ref="AH10" authorId="0" shapeId="0">
      <text>
        <t>추정: 최근 8분기 OPM 중위 4.7% 유지(클립 −20~40%)
[divide]</t>
      </text>
    </comment>
    <comment ref="AI10" authorId="0" shapeId="0">
      <text>
        <t>추정: 최근 8분기 OPM 중위 4.7% 유지(클립 −20~40%)
[divide]</t>
      </text>
    </comment>
    <comment ref="AK10" authorId="0" shapeId="0">
      <text>
        <t>추정: 최근 8분기 OPM 중위 4.7% 유지(클립 −20~40%)
[divide]</t>
      </text>
    </comment>
    <comment ref="AL10" authorId="0" shapeId="0">
      <text>
        <t>추정: 최근 8분기 OPM 중위 4.7% 유지(클립 −20~40%)
[divide]</t>
      </text>
    </comment>
    <comment ref="AM10" authorId="0" shapeId="0">
      <text>
        <t>추정: 최근 8분기 OPM 중위 4.7% 유지(클립 −20~40%)
[divide]</t>
      </text>
    </comment>
    <comment ref="AN10" authorId="0" shapeId="0">
      <text>
        <t>추정: 최근 8분기 OPM 중위 4.7% 유지(클립 −20~40%)
[divide]</t>
      </text>
    </comment>
    <comment ref="AC11" authorId="0" shapeId="0">
      <text>
        <t>추정: 이자손익 + 외환손익 0 + 파생상품손익 0 + 기타금융손익 +0.00억(최근 4분기 중위 +1372.76억이 이자손익 추정 -681.87억의 50% 초과 → 0(경고)) (항등식); 이자손익 = 이자발생자산 35386억 × 2.38%(주석 이자수익 ÷ 평균 이자발생자산(2025Q3~2026Q2)) − 총차입금 68913억 × 5.18%(주석 이자비용 ÷ 평균 총차입금(2025Q3~2026Q2)) (연율) ÷ 4; 환율 효과는 환관련손익 행 별도
[identity]</t>
      </text>
    </comment>
    <comment ref="AD11" authorId="0" shapeId="0">
      <text>
        <t>추정: 이자손익 + 외환손익 0 + 파생상품손익 0 + 기타금융손익 +0.00억(최근 4분기 중위 +1372.76억이 이자손익 추정 -681.87억의 50% 초과 → 0(경고)) (항등식); 이자손익 = 이자발생자산 36526억 × 2.38%(주석 이자수익 ÷ 평균 이자발생자산(2025Q3~2026Q2)) − 총차입금 68913억 × 5.18%(주석 이자비용 ÷ 평균 총차입금(2025Q3~2026Q2)) (연율) ÷ 4; 환율 효과는 환관련손익 행 별도
[identity]</t>
      </text>
    </comment>
    <comment ref="AF11" authorId="0" shapeId="0">
      <text>
        <t>추정: 이자손익 + 외환손익 0 + 파생상품손익 0 + 기타금융손익 +0.00억(최근 4분기 중위 +1372.76억이 이자손익 추정 -681.87억의 50% 초과 → 0(경고)) (항등식); 이자손익 = 이자발생자산 38066억 × 2.38%(주석 이자수익 ÷ 평균 이자발생자산(2025Q3~2026Q2)) − 총차입금 68913억 × 5.18%(주석 이자비용 ÷ 평균 총차입금(2025Q3~2026Q2)) (연율) ÷ 4; 환율 효과는 환관련손익 행 별도
[identity]</t>
      </text>
    </comment>
    <comment ref="AG11" authorId="0" shapeId="0">
      <text>
        <t>추정: 이자손익 + 외환손익 0 + 파생상품손익 0 + 기타금융손익 +0.00억(최근 4분기 중위 +1372.76억이 이자손익 추정 -681.87억의 50% 초과 → 0(경고)) (항등식); 이자손익 = 이자발생자산 39372억 × 2.38%(주석 이자수익 ÷ 평균 이자발생자산(2025Q3~2026Q2)) − 총차입금 68913억 × 5.18%(주석 이자비용 ÷ 평균 총차입금(2025Q3~2026Q2)) (연율) ÷ 4; 환율 효과는 환관련손익 행 별도
[identity]</t>
      </text>
    </comment>
    <comment ref="AH11" authorId="0" shapeId="0">
      <text>
        <t>추정: 이자손익 + 외환손익 0 + 파생상품손익 0 + 기타금융손익 +0.00억(최근 4분기 중위 +1372.76억이 이자손익 추정 -681.87억의 50% 초과 → 0(경고)) (항등식); 이자손익 = 이자발생자산 40871억 × 2.38%(주석 이자수익 ÷ 평균 이자발생자산(2025Q3~2026Q2)) − 총차입금 68913억 × 5.18%(주석 이자비용 ÷ 평균 총차입금(2025Q3~2026Q2)) (연율) ÷ 4; 환율 효과는 환관련손익 행 별도
[identity]</t>
      </text>
    </comment>
    <comment ref="AI11" authorId="0" shapeId="0">
      <text>
        <t>추정: 이자손익 + 외환손익 0 + 파생상품손익 0 + 기타금융손익 +0.00억(최근 4분기 중위 +1372.76억이 이자손익 추정 -681.87억의 50% 초과 → 0(경고)) (항등식); 이자손익 = 이자발생자산 42105억 × 2.38%(주석 이자수익 ÷ 평균 이자발생자산(2025Q3~2026Q2)) − 총차입금 68913억 × 5.18%(주석 이자비용 ÷ 평균 총차입금(2025Q3~2026Q2)) (연율) ÷ 4; 환율 효과는 환관련손익 행 별도
[identity]</t>
      </text>
    </comment>
    <comment ref="AK11" authorId="0" shapeId="0">
      <text>
        <t>추정: 이자손익 + 외환손익 0 + 파생상품손익 0 + 기타금융손익 +0.00억(최근 4분기 중위 +1372.76억이 이자손익 추정 -681.87억의 50% 초과 → 0(경고)) (항등식); 이자손익 = 이자발생자산 43755억 × 2.38%(주석 이자수익 ÷ 평균 이자발생자산(2025Q3~2026Q2)) − 총차입금 68913억 × 5.18%(주석 이자비용 ÷ 평균 총차입금(2025Q3~2026Q2)) (연율) ÷ 4; 환율 효과는 환관련손익 행 별도
[identity]</t>
      </text>
    </comment>
    <comment ref="AL11" authorId="0" shapeId="0">
      <text>
        <t>추정: 이자손익 + 외환손익 0 + 파생상품손익 0 + 기타금융손익 +0.00억(최근 4분기 중위 +1372.76억이 이자손익 추정 -681.87억의 50% 초과 → 0(경고)) (항등식); 이자손익 = 이자발생자산 45163억 × 2.38%(주석 이자수익 ÷ 평균 이자발생자산(2025Q3~2026Q2)) − 총차입금 68913억 × 5.18%(주석 이자비용 ÷ 평균 총차입금(2025Q3~2026Q2)) (연율) ÷ 4; 환율 효과는 환관련손익 행 별도
[identity]</t>
      </text>
    </comment>
    <comment ref="AM11" authorId="0" shapeId="0">
      <text>
        <t>추정: 이자손익 + 외환손익 0 + 파생상품손익 0 + 기타금융손익 +0.00억(최근 4분기 중위 +1372.76억이 이자손익 추정 -681.87억의 50% 초과 → 0(경고)) (항등식); 이자손익 = 이자발생자산 46771억 × 2.38%(주석 이자수익 ÷ 평균 이자발생자산(2025Q3~2026Q2)) − 총차입금 68913억 × 5.18%(주석 이자비용 ÷ 평균 총차입금(2025Q3~2026Q2)) (연율) ÷ 4; 환율 효과는 환관련손익 행 별도
[identity]</t>
      </text>
    </comment>
    <comment ref="AN11" authorId="0" shapeId="0">
      <text>
        <t>추정: 이자손익 + 외환손익 0 + 파생상품손익 0 + 기타금융손익 +0.00억(최근 4분기 중위 +1372.76억이 이자손익 추정 -681.87억의 50% 초과 → 0(경고)) (항등식); 이자손익 = 이자발생자산 48068억 × 2.38%(주석 이자수익 ÷ 평균 이자발생자산(2025Q3~2026Q2)) − 총차입금 68913억 × 5.18%(주석 이자비용 ÷ 평균 총차입금(2025Q3~2026Q2)) (연율) ÷ 4; 환율 효과는 환관련손익 행 별도
[identity]</t>
      </text>
    </comment>
    <comment ref="AC12" authorId="0" shapeId="0">
      <text>
        <t>추정: 이자발생자산 35386억 × 2.38%(주석 이자수익 ÷ 평균 이자발생자산(2025Q3~2026Q2)) − 총차입금 68913억 × 5.18%(주석 이자비용 ÷ 평균 총차입금(2025Q3~2026Q2)) (연율) ÷ 4
[interest]</t>
      </text>
    </comment>
    <comment ref="AD12" authorId="0" shapeId="0">
      <text>
        <t>추정: 이자발생자산 36526억 × 2.38%(주석 이자수익 ÷ 평균 이자발생자산(2025Q3~2026Q2)) − 총차입금 68913억 × 5.18%(주석 이자비용 ÷ 평균 총차입금(2025Q3~2026Q2)) (연율) ÷ 4
[interest]</t>
      </text>
    </comment>
    <comment ref="AF12" authorId="0" shapeId="0">
      <text>
        <t>추정: 이자발생자산 38066억 × 2.38%(주석 이자수익 ÷ 평균 이자발생자산(2025Q3~2026Q2)) − 총차입금 68913억 × 5.18%(주석 이자비용 ÷ 평균 총차입금(2025Q3~2026Q2)) (연율) ÷ 4
[interest]</t>
      </text>
    </comment>
    <comment ref="AG12" authorId="0" shapeId="0">
      <text>
        <t>추정: 이자발생자산 39372억 × 2.38%(주석 이자수익 ÷ 평균 이자발생자산(2025Q3~2026Q2)) − 총차입금 68913억 × 5.18%(주석 이자비용 ÷ 평균 총차입금(2025Q3~2026Q2)) (연율) ÷ 4
[interest]</t>
      </text>
    </comment>
    <comment ref="AH12" authorId="0" shapeId="0">
      <text>
        <t>추정: 이자발생자산 40871억 × 2.38%(주석 이자수익 ÷ 평균 이자발생자산(2025Q3~2026Q2)) − 총차입금 68913억 × 5.18%(주석 이자비용 ÷ 평균 총차입금(2025Q3~2026Q2)) (연율) ÷ 4
[interest]</t>
      </text>
    </comment>
    <comment ref="AI12" authorId="0" shapeId="0">
      <text>
        <t>추정: 이자발생자산 42105억 × 2.38%(주석 이자수익 ÷ 평균 이자발생자산(2025Q3~2026Q2)) − 총차입금 68913억 × 5.18%(주석 이자비용 ÷ 평균 총차입금(2025Q3~2026Q2)) (연율) ÷ 4
[interest]</t>
      </text>
    </comment>
    <comment ref="AK12" authorId="0" shapeId="0">
      <text>
        <t>추정: 이자발생자산 43755억 × 2.38%(주석 이자수익 ÷ 평균 이자발생자산(2025Q3~2026Q2)) − 총차입금 68913억 × 5.18%(주석 이자비용 ÷ 평균 총차입금(2025Q3~2026Q2)) (연율) ÷ 4
[interest]</t>
      </text>
    </comment>
    <comment ref="AL12" authorId="0" shapeId="0">
      <text>
        <t>추정: 이자발생자산 45163억 × 2.38%(주석 이자수익 ÷ 평균 이자발생자산(2025Q3~2026Q2)) − 총차입금 68913억 × 5.18%(주석 이자비용 ÷ 평균 총차입금(2025Q3~2026Q2)) (연율) ÷ 4
[interest]</t>
      </text>
    </comment>
    <comment ref="AM12" authorId="0" shapeId="0">
      <text>
        <t>추정: 이자발생자산 46771억 × 2.38%(주석 이자수익 ÷ 평균 이자발생자산(2025Q3~2026Q2)) − 총차입금 68913억 × 5.18%(주석 이자비용 ÷ 평균 총차입금(2025Q3~2026Q2)) (연율) ÷ 4
[interest]</t>
      </text>
    </comment>
    <comment ref="AN12" authorId="0" shapeId="0">
      <text>
        <t>추정: 이자발생자산 48068억 × 2.38%(주석 이자수익 ÷ 평균 이자발생자산(2025Q3~2026Q2)) − 총차입금 68913억 × 5.18%(주석 이자비용 ÷ 평균 총차입금(2025Q3~2026Q2)) (연율) ÷ 4
[interest]</t>
      </text>
    </comment>
    <comment ref="G13" authorId="0" shapeId="0">
      <text>
        <t>BS 계정 합·차: +외환차익 -외환차손 +외화환산이익 -외화환산손실</t>
      </text>
    </comment>
    <comment ref="H13" authorId="0" shapeId="0">
      <text>
        <t>BS 계정 합·차: +외환차익 -외환차손 +외화환산이익 -외화환산손실</t>
      </text>
    </comment>
    <comment ref="I13" authorId="0" shapeId="0">
      <text>
        <t>BS 계정 합·차: +외환차익 -외환차손 +외화환산이익 -외화환산손실</t>
      </text>
    </comment>
    <comment ref="J13" authorId="0" shapeId="0">
      <text>
        <t>BS 계정 합·차: +외환차익 -외환차손 +외화환산이익 -외화환산손실</t>
      </text>
    </comment>
    <comment ref="L13" authorId="0" shapeId="0">
      <text>
        <t>BS 계정 합·차: +외환차익 -외환차손 +외화환산이익 -외화환산손실</t>
      </text>
    </comment>
    <comment ref="M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O13" authorId="0" shapeId="0">
      <text>
        <t>BS 계정 합·차: +외환차익 -외환차손 +외화환산이익 -외화환산손실</t>
      </text>
    </comment>
    <comment ref="Q13" authorId="0" shapeId="0">
      <text>
        <t>BS 계정 합·차: +외환차익 -외환차손 +외화환산이익 -외화환산손실</t>
      </text>
    </comment>
    <comment ref="R13" authorId="0" shapeId="0">
      <text>
        <t>BS 계정 합·차: +외환차익 -외환차손 +외화환산이익 -외화환산손실</t>
      </text>
    </comment>
    <comment ref="S13" authorId="0" shapeId="0">
      <text>
        <t>BS 계정 합·차: +외환차익 -외환차손 +외화환산이익 -외화환산손실</t>
      </text>
    </comment>
    <comment ref="T13" authorId="0" shapeId="0">
      <text>
        <t>BS 계정 합·차: +외환차익 -외환차손 +외화환산이익 -외화환산손실</t>
      </text>
    </comment>
    <comment ref="V13" authorId="0" shapeId="0">
      <text>
        <t>BS 계정 합·차: +외환차익 -외환차손 +외화환산이익 -외화환산손실</t>
      </text>
    </comment>
    <comment ref="W13" authorId="0" shapeId="0">
      <text>
        <t>BS 계정 합·차: +외환차익 -외환차손 +외화환산이익 -외화환산손실</t>
      </text>
    </comment>
    <comment ref="X13" authorId="0" shapeId="0">
      <text>
        <t>BS 계정 합·차: +외환차익 -외환차손 +외화환산이익 -외화환산손실</t>
      </text>
    </comment>
    <comment ref="Y13" authorId="0" shapeId="0">
      <text>
        <t>BS 계정 합·차: +외환차익 -외환차손 +외화환산이익 -외화환산손실</t>
      </text>
    </comment>
    <comment ref="AA13" authorId="0" shapeId="0">
      <text>
        <t>BS 계정 합·차: +외환차익 -외환차손 +외화환산이익 -외화환산손실</t>
      </text>
    </comment>
    <comment ref="AB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G14" authorId="0" shapeId="0">
      <text>
        <t>BS 계정 합·차: +파생상품이익 -파생상품손실</t>
      </text>
    </comment>
    <comment ref="H14" authorId="0" shapeId="0">
      <text>
        <t>BS 계정 합·차: +파생상품이익 -파생상품손실</t>
      </text>
    </comment>
    <comment ref="I14" authorId="0" shapeId="0">
      <text>
        <t>BS 계정 합·차: +파생상품이익 -파생상품손실</t>
      </text>
    </comment>
    <comment ref="J14" authorId="0" shapeId="0">
      <text>
        <t>BS 계정 합·차: +파생상품이익 -파생상품손실</t>
      </text>
    </comment>
    <comment ref="L14" authorId="0" shapeId="0">
      <text>
        <t>BS 계정 합·차: +파생상품이익 -파생상품손실</t>
      </text>
    </comment>
    <comment ref="M14" authorId="0" shapeId="0">
      <text>
        <t>BS 계정 합·차: +파생상품이익 -파생상품손실</t>
      </text>
    </comment>
    <comment ref="N14" authorId="0" shapeId="0">
      <text>
        <t>BS 계정 합·차: +파생상품이익 -파생상품손실</t>
      </text>
    </comment>
    <comment ref="O14" authorId="0" shapeId="0">
      <text>
        <t>BS 계정 합·차: +파생상품이익 -파생상품손실</t>
      </text>
    </comment>
    <comment ref="Q14" authorId="0" shapeId="0">
      <text>
        <t>BS 계정 합·차: +파생상품이익 -파생상품손실</t>
      </text>
    </comment>
    <comment ref="R14" authorId="0" shapeId="0">
      <text>
        <t>BS 계정 합·차: +파생상품이익 -파생상품손실</t>
      </text>
    </comment>
    <comment ref="S14" authorId="0" shapeId="0">
      <text>
        <t>BS 계정 합·차: +파생상품이익 -파생상품손실</t>
      </text>
    </comment>
    <comment ref="T14" authorId="0" shapeId="0">
      <text>
        <t>BS 계정 합·차: +파생상품이익 -파생상품손실</t>
      </text>
    </comment>
    <comment ref="V14" authorId="0" shapeId="0">
      <text>
        <t>BS 계정 합·차: +파생상품이익 -파생상품손실</t>
      </text>
    </comment>
    <comment ref="W14" authorId="0" shapeId="0">
      <text>
        <t>BS 계정 합·차: +파생상품이익 -파생상품손실</t>
      </text>
    </comment>
    <comment ref="X14" authorId="0" shapeId="0">
      <text>
        <t>BS 계정 합·차: +파생상품이익 -파생상품손실</t>
      </text>
    </comment>
    <comment ref="Y14" authorId="0" shapeId="0">
      <text>
        <t>BS 계정 합·차: +파생상품이익 -파생상품손실</t>
      </text>
    </comment>
    <comment ref="AA14" authorId="0" shapeId="0">
      <text>
        <t>BS 계정 합·차: +파생상품이익 -파생상품손실</t>
      </text>
    </comment>
    <comment ref="AB14" authorId="0" shapeId="0">
      <text>
        <t>BS 계정 합·차: +파생상품이익 -파생상품손실</t>
      </text>
    </comment>
    <comment ref="AC14" authorId="0" shapeId="0">
      <text>
        <t>추정: 파생상품 평가·거래손익 0 가정
[abs]</t>
      </text>
    </comment>
    <comment ref="AD14" authorId="0" shapeId="0">
      <text>
        <t>추정: 파생상품 평가·거래손익 0 가정
[abs]</t>
      </text>
    </comment>
    <comment ref="AF14" authorId="0" shapeId="0">
      <text>
        <t>추정: 파생상품 평가·거래손익 0 가정
[abs]</t>
      </text>
    </comment>
    <comment ref="AG14" authorId="0" shapeId="0">
      <text>
        <t>추정: 파생상품 평가·거래손익 0 가정
[abs]</t>
      </text>
    </comment>
    <comment ref="AH14" authorId="0" shapeId="0">
      <text>
        <t>추정: 파생상품 평가·거래손익 0 가정
[abs]</t>
      </text>
    </comment>
    <comment ref="AI14" authorId="0" shapeId="0">
      <text>
        <t>추정: 파생상품 평가·거래손익 0 가정
[abs]</t>
      </text>
    </comment>
    <comment ref="AK14" authorId="0" shapeId="0">
      <text>
        <t>추정: 파생상품 평가·거래손익 0 가정
[abs]</t>
      </text>
    </comment>
    <comment ref="AL14" authorId="0" shapeId="0">
      <text>
        <t>추정: 파생상품 평가·거래손익 0 가정
[abs]</t>
      </text>
    </comment>
    <comment ref="AM14" authorId="0" shapeId="0">
      <text>
        <t>추정: 파생상품 평가·거래손익 0 가정
[abs]</t>
      </text>
    </comment>
    <comment ref="AN14" authorId="0" shapeId="0">
      <text>
        <t>추정: 파생상품 평가·거래손익 0 가정
[abs]</t>
      </text>
    </comment>
    <comment ref="AC15" authorId="0" shapeId="0">
      <text>
        <t>추정: 최근 4분기 중위 +1372.76억이 이자손익 추정 -681.87억의 50% 초과 → 0(경고)
[abs]</t>
      </text>
    </comment>
    <comment ref="AD15" authorId="0" shapeId="0">
      <text>
        <t>추정: 최근 4분기 중위 +1372.76억이 이자손익 추정 -681.87억의 50% 초과 → 0(경고)
[abs]</t>
      </text>
    </comment>
    <comment ref="AF15" authorId="0" shapeId="0">
      <text>
        <t>추정: 최근 4분기 중위 +1372.76억이 이자손익 추정 -681.87억의 50% 초과 → 0(경고)
[abs]</t>
      </text>
    </comment>
    <comment ref="AG15" authorId="0" shapeId="0">
      <text>
        <t>추정: 최근 4분기 중위 +1372.76억이 이자손익 추정 -681.87억의 50% 초과 → 0(경고)
[abs]</t>
      </text>
    </comment>
    <comment ref="AH15" authorId="0" shapeId="0">
      <text>
        <t>추정: 최근 4분기 중위 +1372.76억이 이자손익 추정 -681.87억의 50% 초과 → 0(경고)
[abs]</t>
      </text>
    </comment>
    <comment ref="AI15" authorId="0" shapeId="0">
      <text>
        <t>추정: 최근 4분기 중위 +1372.76억이 이자손익 추정 -681.87억의 50% 초과 → 0(경고)
[abs]</t>
      </text>
    </comment>
    <comment ref="AK15" authorId="0" shapeId="0">
      <text>
        <t>추정: 최근 4분기 중위 +1372.76억이 이자손익 추정 -681.87억의 50% 초과 → 0(경고)
[abs]</t>
      </text>
    </comment>
    <comment ref="AL15" authorId="0" shapeId="0">
      <text>
        <t>추정: 최근 4분기 중위 +1372.76억이 이자손익 추정 -681.87억의 50% 초과 → 0(경고)
[abs]</t>
      </text>
    </comment>
    <comment ref="AM15" authorId="0" shapeId="0">
      <text>
        <t>추정: 최근 4분기 중위 +1372.76억이 이자손익 추정 -681.87억의 50% 초과 → 0(경고)
[abs]</t>
      </text>
    </comment>
    <comment ref="AN15" authorId="0" shapeId="0">
      <text>
        <t>추정: 최근 4분기 중위 +1372.76억이 이자손익 추정 -681.87억의 50% 초과 → 0(경고)
[abs]</t>
      </text>
    </comment>
    <comment ref="AC16" authorId="0" shapeId="0">
      <text>
        <t>추정: 일회성 미가정 → 0
[abs]</t>
      </text>
    </comment>
    <comment ref="AD16" authorId="0" shapeId="0">
      <text>
        <t>추정: 일회성 미가정 → 0
[abs]</t>
      </text>
    </comment>
    <comment ref="AF16" authorId="0" shapeId="0">
      <text>
        <t>추정: 일회성 미가정 → 0
[abs]</t>
      </text>
    </comment>
    <comment ref="AG16" authorId="0" shapeId="0">
      <text>
        <t>추정: 일회성 미가정 → 0
[abs]</t>
      </text>
    </comment>
    <comment ref="AH16" authorId="0" shapeId="0">
      <text>
        <t>추정: 일회성 미가정 → 0
[abs]</t>
      </text>
    </comment>
    <comment ref="AI16" authorId="0" shapeId="0">
      <text>
        <t>추정: 일회성 미가정 → 0
[abs]</t>
      </text>
    </comment>
    <comment ref="AK16" authorId="0" shapeId="0">
      <text>
        <t>추정: 일회성 미가정 → 0
[abs]</t>
      </text>
    </comment>
    <comment ref="AL16" authorId="0" shapeId="0">
      <text>
        <t>추정: 일회성 미가정 → 0
[abs]</t>
      </text>
    </comment>
    <comment ref="AM16" authorId="0" shapeId="0">
      <text>
        <t>추정: 일회성 미가정 → 0
[abs]</t>
      </text>
    </comment>
    <comment ref="AN16" authorId="0" shapeId="0">
      <text>
        <t>추정: 일회성 미가정 → 0
[abs]</t>
      </text>
    </comment>
    <comment ref="AC17" authorId="0" shapeId="0">
      <text>
        <t>추정: 최근 4분기 중위
[abs]</t>
      </text>
    </comment>
    <comment ref="AD17" authorId="0" shapeId="0">
      <text>
        <t>추정: 최근 4분기 중위
[abs]</t>
      </text>
    </comment>
    <comment ref="AF17" authorId="0" shapeId="0">
      <text>
        <t>추정: 최근 4분기 중위
[abs]</t>
      </text>
    </comment>
    <comment ref="AG17" authorId="0" shapeId="0">
      <text>
        <t>추정: 최근 4분기 중위
[abs]</t>
      </text>
    </comment>
    <comment ref="AH17" authorId="0" shapeId="0">
      <text>
        <t>추정: 최근 4분기 중위
[abs]</t>
      </text>
    </comment>
    <comment ref="AI17" authorId="0" shapeId="0">
      <text>
        <t>추정: 최근 4분기 중위
[abs]</t>
      </text>
    </comment>
    <comment ref="AK17" authorId="0" shapeId="0">
      <text>
        <t>추정: 최근 4분기 중위
[abs]</t>
      </text>
    </comment>
    <comment ref="AL17" authorId="0" shapeId="0">
      <text>
        <t>추정: 최근 4분기 중위
[abs]</t>
      </text>
    </comment>
    <comment ref="AM17" authorId="0" shapeId="0">
      <text>
        <t>추정: 최근 4분기 중위
[abs]</t>
      </text>
    </comment>
    <comment ref="AN17" authorId="0" shapeId="0">
      <text>
        <t>추정: 최근 4분기 중위
[abs]</t>
      </text>
    </comment>
    <comment ref="AC18" authorId="0" shapeId="0">
      <text>
        <t>추정: 영업이익 + 금융손익 + 기타영업외 + 지분법 + 환관련(항등식)
[identity]</t>
      </text>
    </comment>
    <comment ref="AD18" authorId="0" shapeId="0">
      <text>
        <t>추정: 영업이익 + 금융손익 + 기타영업외 + 지분법 + 환관련(항등식)
[identity]</t>
      </text>
    </comment>
    <comment ref="AF18" authorId="0" shapeId="0">
      <text>
        <t>추정: 영업이익 + 금융손익 + 기타영업외 + 지분법 + 환관련(항등식)
[identity]</t>
      </text>
    </comment>
    <comment ref="AG18" authorId="0" shapeId="0">
      <text>
        <t>추정: 영업이익 + 금융손익 + 기타영업외 + 지분법 + 환관련(항등식)
[identity]</t>
      </text>
    </comment>
    <comment ref="AH18" authorId="0" shapeId="0">
      <text>
        <t>추정: 영업이익 + 금융손익 + 기타영업외 + 지분법 + 환관련(항등식)
[identity]</t>
      </text>
    </comment>
    <comment ref="AI18" authorId="0" shapeId="0">
      <text>
        <t>추정: 영업이익 + 금융손익 + 기타영업외 + 지분법 + 환관련(항등식)
[identity]</t>
      </text>
    </comment>
    <comment ref="AK18" authorId="0" shapeId="0">
      <text>
        <t>추정: 영업이익 + 금융손익 + 기타영업외 + 지분법 + 환관련(항등식)
[identity]</t>
      </text>
    </comment>
    <comment ref="AL18" authorId="0" shapeId="0">
      <text>
        <t>추정: 영업이익 + 금융손익 + 기타영업외 + 지분법 + 환관련(항등식)
[identity]</t>
      </text>
    </comment>
    <comment ref="AM18" authorId="0" shapeId="0">
      <text>
        <t>추정: 영업이익 + 금융손익 + 기타영업외 + 지분법 + 환관련(항등식)
[identity]</t>
      </text>
    </comment>
    <comment ref="AN18" authorId="0" shapeId="0">
      <text>
        <t>추정: 영업이익 + 금융손익 + 기타영업외 + 지분법 + 환관련(항등식)
[identity]</t>
      </text>
    </comment>
    <comment ref="AC19" authorId="0" shapeId="0">
      <text>
        <t>추정: max(세전, 0) × 세율 22.0%(최근 12분기 유효세율 34.8% 가 5~27% 밖; 세전 &gt; 0 분기 중위 42.9% 도 5~27% 밖 → 법정세율 근사 22% 가정)
[tax]</t>
      </text>
    </comment>
    <comment ref="AD19" authorId="0" shapeId="0">
      <text>
        <t>추정: max(세전, 0) × 세율 22.0%(최근 12분기 유효세율 34.8% 가 5~27% 밖; 세전 &gt; 0 분기 중위 42.9% 도 5~27% 밖 → 법정세율 근사 22% 가정)
[tax]</t>
      </text>
    </comment>
    <comment ref="AF19" authorId="0" shapeId="0">
      <text>
        <t>추정: max(세전, 0) × 세율 22.0%(최근 12분기 유효세율 34.8% 가 5~27% 밖; 세전 &gt; 0 분기 중위 42.9% 도 5~27% 밖 → 법정세율 근사 22% 가정)
[tax]</t>
      </text>
    </comment>
    <comment ref="AG19" authorId="0" shapeId="0">
      <text>
        <t>추정: max(세전, 0) × 세율 22.0%(최근 12분기 유효세율 34.8% 가 5~27% 밖; 세전 &gt; 0 분기 중위 42.9% 도 5~27% 밖 → 법정세율 근사 22% 가정)
[tax]</t>
      </text>
    </comment>
    <comment ref="AH19" authorId="0" shapeId="0">
      <text>
        <t>추정: max(세전, 0) × 세율 22.0%(최근 12분기 유효세율 34.8% 가 5~27% 밖; 세전 &gt; 0 분기 중위 42.9% 도 5~27% 밖 → 법정세율 근사 22% 가정)
[tax]</t>
      </text>
    </comment>
    <comment ref="AI19" authorId="0" shapeId="0">
      <text>
        <t>추정: max(세전, 0) × 세율 22.0%(최근 12분기 유효세율 34.8% 가 5~27% 밖; 세전 &gt; 0 분기 중위 42.9% 도 5~27% 밖 → 법정세율 근사 22% 가정)
[tax]</t>
      </text>
    </comment>
    <comment ref="AK19" authorId="0" shapeId="0">
      <text>
        <t>추정: max(세전, 0) × 세율 22.0%(최근 12분기 유효세율 34.8% 가 5~27% 밖; 세전 &gt; 0 분기 중위 42.9% 도 5~27% 밖 → 법정세율 근사 22% 가정)
[tax]</t>
      </text>
    </comment>
    <comment ref="AL19" authorId="0" shapeId="0">
      <text>
        <t>추정: max(세전, 0) × 세율 22.0%(최근 12분기 유효세율 34.8% 가 5~27% 밖; 세전 &gt; 0 분기 중위 42.9% 도 5~27% 밖 → 법정세율 근사 22% 가정)
[tax]</t>
      </text>
    </comment>
    <comment ref="AM19" authorId="0" shapeId="0">
      <text>
        <t>추정: max(세전, 0) × 세율 22.0%(최근 12분기 유효세율 34.8% 가 5~27% 밖; 세전 &gt; 0 분기 중위 42.9% 도 5~27% 밖 → 법정세율 근사 22% 가정)
[tax]</t>
      </text>
    </comment>
    <comment ref="AN19" authorId="0" shapeId="0">
      <text>
        <t>추정: max(세전, 0) × 세율 22.0%(최근 12분기 유효세율 34.8% 가 5~27% 밖; 세전 &gt; 0 분기 중위 42.9% 도 5~27% 밖 → 법정세율 근사 22% 가정)
[tax]</t>
      </text>
    </comment>
    <comment ref="AC20" authorId="0" shapeId="0">
      <text>
        <t>추정: 세전이익 − 법인세비용(항등식)
[identity]</t>
      </text>
    </comment>
    <comment ref="AD20" authorId="0" shapeId="0">
      <text>
        <t>추정: 세전이익 − 법인세비용(항등식)
[identity]</t>
      </text>
    </comment>
    <comment ref="AF20" authorId="0" shapeId="0">
      <text>
        <t>추정: 세전이익 − 법인세비용(항등식)
[identity]</t>
      </text>
    </comment>
    <comment ref="AG20" authorId="0" shapeId="0">
      <text>
        <t>추정: 세전이익 − 법인세비용(항등식)
[identity]</t>
      </text>
    </comment>
    <comment ref="AH20" authorId="0" shapeId="0">
      <text>
        <t>추정: 세전이익 − 법인세비용(항등식)
[identity]</t>
      </text>
    </comment>
    <comment ref="AI20" authorId="0" shapeId="0">
      <text>
        <t>추정: 세전이익 − 법인세비용(항등식)
[identity]</t>
      </text>
    </comment>
    <comment ref="AK20" authorId="0" shapeId="0">
      <text>
        <t>추정: 세전이익 − 법인세비용(항등식)
[identity]</t>
      </text>
    </comment>
    <comment ref="AL20" authorId="0" shapeId="0">
      <text>
        <t>추정: 세전이익 − 법인세비용(항등식)
[identity]</t>
      </text>
    </comment>
    <comment ref="AM20" authorId="0" shapeId="0">
      <text>
        <t>추정: 세전이익 − 법인세비용(항등식)
[identity]</t>
      </text>
    </comment>
    <comment ref="AN20" authorId="0" shapeId="0">
      <text>
        <t>추정: 세전이익 − 법인세비용(항등식)
[identity]</t>
      </text>
    </comment>
    <comment ref="AC21" authorId="0" shapeId="0">
      <text>
        <t>추정: 당기순이익 × (1 − 비지배 비중 60.0%, 최근 8분기 실측)
[ratio]</t>
      </text>
    </comment>
    <comment ref="AD21" authorId="0" shapeId="0">
      <text>
        <t>추정: 당기순이익 × (1 − 비지배 비중 60.0%, 최근 8분기 실측)
[ratio]</t>
      </text>
    </comment>
    <comment ref="AF21" authorId="0" shapeId="0">
      <text>
        <t>추정: 당기순이익 × (1 − 비지배 비중 60.0%, 최근 8분기 실측)
[ratio]</t>
      </text>
    </comment>
    <comment ref="AG21" authorId="0" shapeId="0">
      <text>
        <t>추정: 당기순이익 × (1 − 비지배 비중 60.0%, 최근 8분기 실측)
[ratio]</t>
      </text>
    </comment>
    <comment ref="AH21" authorId="0" shapeId="0">
      <text>
        <t>추정: 당기순이익 × (1 − 비지배 비중 60.0%, 최근 8분기 실측)
[ratio]</t>
      </text>
    </comment>
    <comment ref="AI21" authorId="0" shapeId="0">
      <text>
        <t>추정: 당기순이익 × (1 − 비지배 비중 60.0%, 최근 8분기 실측)
[ratio]</t>
      </text>
    </comment>
    <comment ref="AK21" authorId="0" shapeId="0">
      <text>
        <t>추정: 당기순이익 × (1 − 비지배 비중 60.0%, 최근 8분기 실측)
[ratio]</t>
      </text>
    </comment>
    <comment ref="AL21" authorId="0" shapeId="0">
      <text>
        <t>추정: 당기순이익 × (1 − 비지배 비중 60.0%, 최근 8분기 실측)
[ratio]</t>
      </text>
    </comment>
    <comment ref="AM21" authorId="0" shapeId="0">
      <text>
        <t>추정: 당기순이익 × (1 − 비지배 비중 60.0%, 최근 8분기 실측)
[ratio]</t>
      </text>
    </comment>
    <comment ref="AN21" authorId="0" shapeId="0">
      <text>
        <t>추정: 당기순이익 × (1 − 비지배 비중 60.0%, 최근 8분기 실측)
[ratio]</t>
      </text>
    </comment>
    <comment ref="AC23" authorId="0" shapeId="0">
      <text>
        <t>추정: 부채총계 + 자본총계(항등식)
[identity]</t>
      </text>
    </comment>
    <comment ref="AD23" authorId="0" shapeId="0">
      <text>
        <t>추정: 부채총계 + 자본총계(항등식)
[identity]</t>
      </text>
    </comment>
    <comment ref="AF23" authorId="0" shapeId="0">
      <text>
        <t>추정: 부채총계 + 자본총계(항등식)
[identity]</t>
      </text>
    </comment>
    <comment ref="AG23" authorId="0" shapeId="0">
      <text>
        <t>추정: 부채총계 + 자본총계(항등식)
[identity]</t>
      </text>
    </comment>
    <comment ref="AH23" authorId="0" shapeId="0">
      <text>
        <t>추정: 부채총계 + 자본총계(항등식)
[identity]</t>
      </text>
    </comment>
    <comment ref="AI23" authorId="0" shapeId="0">
      <text>
        <t>추정: 부채총계 + 자본총계(항등식)
[identity]</t>
      </text>
    </comment>
    <comment ref="AK23" authorId="0" shapeId="0">
      <text>
        <t>추정: 부채총계 + 자본총계(항등식)
[identity]</t>
      </text>
    </comment>
    <comment ref="AL23" authorId="0" shapeId="0">
      <text>
        <t>추정: 부채총계 + 자본총계(항등식)
[identity]</t>
      </text>
    </comment>
    <comment ref="AM23" authorId="0" shapeId="0">
      <text>
        <t>추정: 부채총계 + 자본총계(항등식)
[identity]</t>
      </text>
    </comment>
    <comment ref="AN23" authorId="0" shapeId="0">
      <text>
        <t>추정: 부채총계 + 자본총계(항등식)
[identity]</t>
      </text>
    </comment>
    <comment ref="AC24" authorId="0" shapeId="0">
      <text>
        <t>추정: 마지막 실적 유지(가정)
[qoq]</t>
      </text>
    </comment>
    <comment ref="AD24" authorId="0" shapeId="0">
      <text>
        <t>추정: 마지막 실적 유지(가정)
[qoq]</t>
      </text>
    </comment>
    <comment ref="AF24" authorId="0" shapeId="0">
      <text>
        <t>추정: 마지막 실적 유지(가정)
[qoq]</t>
      </text>
    </comment>
    <comment ref="AG24" authorId="0" shapeId="0">
      <text>
        <t>추정: 마지막 실적 유지(가정)
[qoq]</t>
      </text>
    </comment>
    <comment ref="AH24" authorId="0" shapeId="0">
      <text>
        <t>추정: 마지막 실적 유지(가정)
[qoq]</t>
      </text>
    </comment>
    <comment ref="AI24" authorId="0" shapeId="0">
      <text>
        <t>추정: 마지막 실적 유지(가정)
[qoq]</t>
      </text>
    </comment>
    <comment ref="AK24" authorId="0" shapeId="0">
      <text>
        <t>추정: 마지막 실적 유지(가정)
[qoq]</t>
      </text>
    </comment>
    <comment ref="AL24" authorId="0" shapeId="0">
      <text>
        <t>추정: 마지막 실적 유지(가정)
[qoq]</t>
      </text>
    </comment>
    <comment ref="AM24" authorId="0" shapeId="0">
      <text>
        <t>추정: 마지막 실적 유지(가정)
[qoq]</t>
      </text>
    </comment>
    <comment ref="AN24" authorId="0" shapeId="0">
      <text>
        <t>추정: 마지막 실적 유지(가정)
[qoq]</t>
      </text>
    </comment>
    <comment ref="AC25" authorId="0" shapeId="0">
      <text>
        <t>추정: 전분기 + 당기순이익 − 배당(Q2 지급 가정)
[roll]</t>
      </text>
    </comment>
    <comment ref="AD25" authorId="0" shapeId="0">
      <text>
        <t>추정: 전분기 + 당기순이익 − 배당(Q2 지급 가정)
[roll]</t>
      </text>
    </comment>
    <comment ref="AF25" authorId="0" shapeId="0">
      <text>
        <t>추정: 전분기 + 당기순이익 − 배당(Q2 지급 가정)
[roll]</t>
      </text>
    </comment>
    <comment ref="AG25" authorId="0" shapeId="0">
      <text>
        <t>추정: 전분기 + 당기순이익 − 배당(Q2 지급 가정)
[roll]</t>
      </text>
    </comment>
    <comment ref="AH25" authorId="0" shapeId="0">
      <text>
        <t>추정: 전분기 + 당기순이익 − 배당(Q2 지급 가정)
[roll]</t>
      </text>
    </comment>
    <comment ref="AI25" authorId="0" shapeId="0">
      <text>
        <t>추정: 전분기 + 당기순이익 − 배당(Q2 지급 가정)
[roll]</t>
      </text>
    </comment>
    <comment ref="AK25" authorId="0" shapeId="0">
      <text>
        <t>추정: 전분기 + 당기순이익 − 배당(Q2 지급 가정)
[roll]</t>
      </text>
    </comment>
    <comment ref="AL25" authorId="0" shapeId="0">
      <text>
        <t>추정: 전분기 + 당기순이익 − 배당(Q2 지급 가정)
[roll]</t>
      </text>
    </comment>
    <comment ref="AM25" authorId="0" shapeId="0">
      <text>
        <t>추정: 전분기 + 당기순이익 − 배당(Q2 지급 가정)
[roll]</t>
      </text>
    </comment>
    <comment ref="AN25" authorId="0" shapeId="0">
      <text>
        <t>추정: 전분기 + 당기순이익 − 배당(Q2 지급 가정)
[roll]</t>
      </text>
    </comment>
    <comment ref="AC27" authorId="0" shapeId="0">
      <text>
        <t>추정: 마지막 실적 유지(가정)
[qoq]</t>
      </text>
    </comment>
    <comment ref="AD27" authorId="0" shapeId="0">
      <text>
        <t>추정: 마지막 실적 유지(가정)
[qoq]</t>
      </text>
    </comment>
    <comment ref="AF27" authorId="0" shapeId="0">
      <text>
        <t>추정: 마지막 실적 유지(가정)
[qoq]</t>
      </text>
    </comment>
    <comment ref="AG27" authorId="0" shapeId="0">
      <text>
        <t>추정: 마지막 실적 유지(가정)
[qoq]</t>
      </text>
    </comment>
    <comment ref="AH27" authorId="0" shapeId="0">
      <text>
        <t>추정: 마지막 실적 유지(가정)
[qoq]</t>
      </text>
    </comment>
    <comment ref="AI27" authorId="0" shapeId="0">
      <text>
        <t>추정: 마지막 실적 유지(가정)
[qoq]</t>
      </text>
    </comment>
    <comment ref="AK27" authorId="0" shapeId="0">
      <text>
        <t>추정: 마지막 실적 유지(가정)
[qoq]</t>
      </text>
    </comment>
    <comment ref="AL27" authorId="0" shapeId="0">
      <text>
        <t>추정: 마지막 실적 유지(가정)
[qoq]</t>
      </text>
    </comment>
    <comment ref="AM27" authorId="0" shapeId="0">
      <text>
        <t>추정: 마지막 실적 유지(가정)
[qoq]</t>
      </text>
    </comment>
    <comment ref="AN27" authorId="0" shapeId="0">
      <text>
        <t>추정: 마지막 실적 유지(가정)
[qoq]</t>
      </text>
    </comment>
    <comment ref="AC28" authorId="0" shapeId="0">
      <text>
        <t>추정: 전분기 − FCF 근사[순이익 − 배당(감가상각비 없음 → CAPEX≈감가 가정, CAPEX 중위 1810억은 행에만)] (운전자본 불변·총차입금 유지 가정 → 변동은 전부 현금)
[qoq]</t>
      </text>
    </comment>
    <comment ref="AD28" authorId="0" shapeId="0">
      <text>
        <t>추정: 전분기 − FCF 근사[순이익 − 배당(감가상각비 없음 → CAPEX≈감가 가정, CAPEX 중위 1810억은 행에만)] (운전자본 불변·총차입금 유지 가정 → 변동은 전부 현금)
[qoq]</t>
      </text>
    </comment>
    <comment ref="AF28" authorId="0" shapeId="0">
      <text>
        <t>추정: 전분기 − FCF 근사[순이익 − 배당(감가상각비 없음 → CAPEX≈감가 가정, CAPEX 중위 1810억은 행에만)] (운전자본 불변·총차입금 유지 가정 → 변동은 전부 현금)
[qoq]</t>
      </text>
    </comment>
    <comment ref="AG28" authorId="0" shapeId="0">
      <text>
        <t>추정: 전분기 − FCF 근사[순이익 − 배당(감가상각비 없음 → CAPEX≈감가 가정, CAPEX 중위 1810억은 행에만)] (운전자본 불변·총차입금 유지 가정 → 변동은 전부 현금)
[qoq]</t>
      </text>
    </comment>
    <comment ref="AH28" authorId="0" shapeId="0">
      <text>
        <t>추정: 전분기 − FCF 근사[순이익 − 배당(감가상각비 없음 → CAPEX≈감가 가정, CAPEX 중위 1810억은 행에만)] (운전자본 불변·총차입금 유지 가정 → 변동은 전부 현금)
[qoq]</t>
      </text>
    </comment>
    <comment ref="AI28" authorId="0" shapeId="0">
      <text>
        <t>추정: 전분기 − FCF 근사[순이익 − 배당(감가상각비 없음 → CAPEX≈감가 가정, CAPEX 중위 1810억은 행에만)] (운전자본 불변·총차입금 유지 가정 → 변동은 전부 현금)
[qoq]</t>
      </text>
    </comment>
    <comment ref="AK28" authorId="0" shapeId="0">
      <text>
        <t>추정: 전분기 − FCF 근사[순이익 − 배당(감가상각비 없음 → CAPEX≈감가 가정, CAPEX 중위 1810억은 행에만)] (운전자본 불변·총차입금 유지 가정 → 변동은 전부 현금)
[qoq]</t>
      </text>
    </comment>
    <comment ref="AL28" authorId="0" shapeId="0">
      <text>
        <t>추정: 전분기 − FCF 근사[순이익 − 배당(감가상각비 없음 → CAPEX≈감가 가정, CAPEX 중위 1810억은 행에만)] (운전자본 불변·총차입금 유지 가정 → 변동은 전부 현금)
[qoq]</t>
      </text>
    </comment>
    <comment ref="AM28" authorId="0" shapeId="0">
      <text>
        <t>추정: 전분기 − FCF 근사[순이익 − 배당(감가상각비 없음 → CAPEX≈감가 가정, CAPEX 중위 1810억은 행에만)] (운전자본 불변·총차입금 유지 가정 → 변동은 전부 현금)
[qoq]</t>
      </text>
    </comment>
    <comment ref="AN28" authorId="0" shapeId="0">
      <text>
        <t>추정: 전분기 − FCF 근사[순이익 − 배당(감가상각비 없음 → CAPEX≈감가 가정, CAPEX 중위 1810억은 행에만)] (운전자본 불변·총차입금 유지 가정 → 변동은 전부 현금)
[qoq]</t>
      </text>
    </comment>
    <comment ref="AC29" authorId="0" shapeId="0">
      <text>
        <t>추정: 전분기 + FCF 근사 — 순차입금 롤과 같은 가정
[qoq]</t>
      </text>
    </comment>
    <comment ref="AD29" authorId="0" shapeId="0">
      <text>
        <t>추정: 전분기 + FCF 근사 — 순차입금 롤과 같은 가정
[qoq]</t>
      </text>
    </comment>
    <comment ref="AF29" authorId="0" shapeId="0">
      <text>
        <t>추정: 전분기 + FCF 근사 — 순차입금 롤과 같은 가정
[qoq]</t>
      </text>
    </comment>
    <comment ref="AG29" authorId="0" shapeId="0">
      <text>
        <t>추정: 전분기 + FCF 근사 — 순차입금 롤과 같은 가정
[qoq]</t>
      </text>
    </comment>
    <comment ref="AH29" authorId="0" shapeId="0">
      <text>
        <t>추정: 전분기 + FCF 근사 — 순차입금 롤과 같은 가정
[qoq]</t>
      </text>
    </comment>
    <comment ref="AI29" authorId="0" shapeId="0">
      <text>
        <t>추정: 전분기 + FCF 근사 — 순차입금 롤과 같은 가정
[qoq]</t>
      </text>
    </comment>
    <comment ref="AK29" authorId="0" shapeId="0">
      <text>
        <t>추정: 전분기 + FCF 근사 — 순차입금 롤과 같은 가정
[qoq]</t>
      </text>
    </comment>
    <comment ref="AL29" authorId="0" shapeId="0">
      <text>
        <t>추정: 전분기 + FCF 근사 — 순차입금 롤과 같은 가정
[qoq]</t>
      </text>
    </comment>
    <comment ref="AM29" authorId="0" shapeId="0">
      <text>
        <t>추정: 전분기 + FCF 근사 — 순차입금 롤과 같은 가정
[qoq]</t>
      </text>
    </comment>
    <comment ref="AN29" authorId="0" shapeId="0">
      <text>
        <t>추정: 전분기 + FCF 근사 — 순차입금 롤과 같은 가정
[qoq]</t>
      </text>
    </comment>
    <comment ref="AC31" authorId="0" shapeId="0">
      <text>
        <t>추정: 최근 4분기(2025Q3~2026Q2) CAPEX 중위 유지 — 순차입금 롤에 미반영(감가상각비 없음 → CAPEX≈감가 가정)
[yoy]</t>
      </text>
    </comment>
    <comment ref="AD31" authorId="0" shapeId="0">
      <text>
        <t>추정: 최근 4분기(2025Q3~2026Q2) CAPEX 중위 유지 — 순차입금 롤에 미반영(감가상각비 없음 → CAPEX≈감가 가정)
[yoy]</t>
      </text>
    </comment>
    <comment ref="AF31" authorId="0" shapeId="0">
      <text>
        <t>추정: 최근 4분기(2025Q3~2026Q2) CAPEX 중위 유지 — 순차입금 롤에 미반영(감가상각비 없음 → CAPEX≈감가 가정)
[yoy]</t>
      </text>
    </comment>
    <comment ref="AG31" authorId="0" shapeId="0">
      <text>
        <t>추정: 최근 4분기(2025Q3~2026Q2) CAPEX 중위 유지 — 순차입금 롤에 미반영(감가상각비 없음 → CAPEX≈감가 가정)
[yoy]</t>
      </text>
    </comment>
    <comment ref="AH31" authorId="0" shapeId="0">
      <text>
        <t>추정: 최근 4분기(2025Q3~2026Q2) CAPEX 중위 유지 — 순차입금 롤에 미반영(감가상각비 없음 → CAPEX≈감가 가정)
[yoy]</t>
      </text>
    </comment>
    <comment ref="AI31" authorId="0" shapeId="0">
      <text>
        <t>추정: 최근 4분기(2025Q3~2026Q2) CAPEX 중위 유지 — 순차입금 롤에 미반영(감가상각비 없음 → CAPEX≈감가 가정)
[yoy]</t>
      </text>
    </comment>
    <comment ref="AK31" authorId="0" shapeId="0">
      <text>
        <t>추정: 최근 4분기(2025Q3~2026Q2) CAPEX 중위 유지 — 순차입금 롤에 미반영(감가상각비 없음 → CAPEX≈감가 가정)
[yoy]</t>
      </text>
    </comment>
    <comment ref="AL31" authorId="0" shapeId="0">
      <text>
        <t>추정: 최근 4분기(2025Q3~2026Q2) CAPEX 중위 유지 — 순차입금 롤에 미반영(감가상각비 없음 → CAPEX≈감가 가정)
[yoy]</t>
      </text>
    </comment>
    <comment ref="AM31" authorId="0" shapeId="0">
      <text>
        <t>추정: 최근 4분기(2025Q3~2026Q2) CAPEX 중위 유지 — 순차입금 롤에 미반영(감가상각비 없음 → CAPEX≈감가 가정)
[yoy]</t>
      </text>
    </comment>
    <comment ref="AN31" authorId="0" shapeId="0">
      <text>
        <t>추정: 최근 4분기(2025Q3~2026Q2) CAPEX 중위 유지 — 순차입금 롤에 미반영(감가상각비 없음 → CAPEX≈감가 가정)
[yoy]</t>
      </text>
    </comment>
    <comment ref="E33" authorId="0" shapeId="0">
      <text>
        <t>실측(계정 매핑 없음(파생·부문·시세 행) — 모델값 직접) — fin.shares.common_outstanding</t>
      </text>
    </comment>
    <comment ref="G33" authorId="0" shapeId="0">
      <text>
        <t>실측(계정 매핑 없음(파생·부문·시세 행) — 모델값 직접) — fin.shares.common_outstanding</t>
      </text>
    </comment>
    <comment ref="H33" authorId="0" shapeId="0">
      <text>
        <t>실측(계정 매핑 없음(파생·부문·시세 행) — 모델값 직접) — fin.shares.common_outstanding</t>
      </text>
    </comment>
    <comment ref="I33" authorId="0" shapeId="0">
      <text>
        <t>실측(계정 매핑 없음(파생·부문·시세 행) — 모델값 직접) — fin.shares.common_outstanding</t>
      </text>
    </comment>
    <comment ref="J33" authorId="0" shapeId="0">
      <text>
        <t>실측(계정 매핑 없음(파생·부문·시세 행) — 모델값 직접) — fin.shares.common_outstanding</t>
      </text>
    </comment>
    <comment ref="L33" authorId="0" shapeId="0">
      <text>
        <t>실측(계정 매핑 없음(파생·부문·시세 행) — 모델값 직접) — fin.shares.common_outstanding</t>
      </text>
    </comment>
    <comment ref="M33" authorId="0" shapeId="0">
      <text>
        <t>실측(계정 매핑 없음(파생·부문·시세 행) — 모델값 직접) — fin.shares.common_outstanding</t>
      </text>
    </comment>
    <comment ref="N33" authorId="0" shapeId="0">
      <text>
        <t>실측(계정 매핑 없음(파생·부문·시세 행) — 모델값 직접) — fin.shares.common_outstanding</t>
      </text>
    </comment>
    <comment ref="O33" authorId="0" shapeId="0">
      <text>
        <t>실측(계정 매핑 없음(파생·부문·시세 행) — 모델값 직접) — fin.shares.common_outstanding</t>
      </text>
    </comment>
    <comment ref="Q33" authorId="0" shapeId="0">
      <text>
        <t>실측(계정 매핑 없음(파생·부문·시세 행) — 모델값 직접) — fin.shares.common_outstanding</t>
      </text>
    </comment>
    <comment ref="R33" authorId="0" shapeId="0">
      <text>
        <t>실측(계정 매핑 없음(파생·부문·시세 행) — 모델값 직접) — fin.shares.common_outstanding</t>
      </text>
    </comment>
    <comment ref="S33" authorId="0" shapeId="0">
      <text>
        <t>실측(계정 매핑 없음(파생·부문·시세 행) — 모델값 직접) — fin.shares.common_outstanding</t>
      </text>
    </comment>
    <comment ref="T33" authorId="0" shapeId="0">
      <text>
        <t>실측(계정 매핑 없음(파생·부문·시세 행) — 모델값 직접) — fin.shares.common_outstanding</t>
      </text>
    </comment>
    <comment ref="V33" authorId="0" shapeId="0">
      <text>
        <t>실측(계정 매핑 없음(파생·부문·시세 행) — 모델값 직접) — fin.shares.common_outstanding</t>
      </text>
    </comment>
    <comment ref="W33" authorId="0" shapeId="0">
      <text>
        <t>실측(계정 매핑 없음(파생·부문·시세 행) — 모델값 직접) — fin.shares.common_outstanding</t>
      </text>
    </comment>
    <comment ref="X33" authorId="0" shapeId="0">
      <text>
        <t>실측(계정 매핑 없음(파생·부문·시세 행) — 모델값 직접) — fin.shares.common_outstanding</t>
      </text>
    </comment>
    <comment ref="Y33" authorId="0" shapeId="0">
      <text>
        <t>실측(계정 매핑 없음(파생·부문·시세 행) — 모델값 직접) — fin.shares.common_outstanding</t>
      </text>
    </comment>
    <comment ref="AA33" authorId="0" shapeId="0">
      <text>
        <t>실측(계정 매핑 없음(파생·부문·시세 행) — 모델값 직접) — fin.shares.common_outstanding</t>
      </text>
    </comment>
    <comment ref="AB33" authorId="0" shapeId="0">
      <text>
        <t>실측(계정 매핑 없음(파생·부문·시세 행) — 모델값 직접) — fin.shares.common_outstanding</t>
      </text>
    </comment>
    <comment ref="AC33" authorId="0" shapeId="0">
      <text>
        <t>추정: 유통주식수 유지 — fin.shares.common_outstanding(2026Q2)
[qoq]</t>
      </text>
    </comment>
    <comment ref="AD33" authorId="0" shapeId="0">
      <text>
        <t>추정: 유통주식수 유지 — fin.shares.common_outstanding(2026Q2)
[qoq]</t>
      </text>
    </comment>
    <comment ref="AF33" authorId="0" shapeId="0">
      <text>
        <t>추정: 유통주식수 유지 — fin.shares.common_outstanding(2026Q2)
[qoq]</t>
      </text>
    </comment>
    <comment ref="AG33" authorId="0" shapeId="0">
      <text>
        <t>추정: 유통주식수 유지 — fin.shares.common_outstanding(2026Q2)
[qoq]</t>
      </text>
    </comment>
    <comment ref="AH33" authorId="0" shapeId="0">
      <text>
        <t>추정: 유통주식수 유지 — fin.shares.common_outstanding(2026Q2)
[qoq]</t>
      </text>
    </comment>
    <comment ref="AI33" authorId="0" shapeId="0">
      <text>
        <t>추정: 유통주식수 유지 — fin.shares.common_outstanding(2026Q2)
[qoq]</t>
      </text>
    </comment>
    <comment ref="AK33" authorId="0" shapeId="0">
      <text>
        <t>추정: 유통주식수 유지 — fin.shares.common_outstanding(2026Q2)
[qoq]</t>
      </text>
    </comment>
    <comment ref="AL33" authorId="0" shapeId="0">
      <text>
        <t>추정: 유통주식수 유지 — fin.shares.common_outstanding(2026Q2)
[qoq]</t>
      </text>
    </comment>
    <comment ref="AM33" authorId="0" shapeId="0">
      <text>
        <t>추정: 유통주식수 유지 — fin.shares.common_outstanding(2026Q2)
[qoq]</t>
      </text>
    </comment>
    <comment ref="AN33" authorId="0" shapeId="0">
      <text>
        <t>추정: 유통주식수 유지 — fin.shares.common_outstanding(2026Q2)
[qoq]</t>
      </text>
    </comment>
    <comment ref="AC34" authorId="0" shapeId="0">
      <text>
        <t>추정: 지배주주순이익 ÷ 유통주식수
[per_share]</t>
      </text>
    </comment>
    <comment ref="AD34" authorId="0" shapeId="0">
      <text>
        <t>추정: 지배주주순이익 ÷ 유통주식수
[per_share]</t>
      </text>
    </comment>
    <comment ref="AF34" authorId="0" shapeId="0">
      <text>
        <t>추정: 지배주주순이익 ÷ 유통주식수
[per_share]</t>
      </text>
    </comment>
    <comment ref="AG34" authorId="0" shapeId="0">
      <text>
        <t>추정: 지배주주순이익 ÷ 유통주식수
[per_share]</t>
      </text>
    </comment>
    <comment ref="AH34" authorId="0" shapeId="0">
      <text>
        <t>추정: 지배주주순이익 ÷ 유통주식수
[per_share]</t>
      </text>
    </comment>
    <comment ref="AI34" authorId="0" shapeId="0">
      <text>
        <t>추정: 지배주주순이익 ÷ 유통주식수
[per_share]</t>
      </text>
    </comment>
    <comment ref="AK34" authorId="0" shapeId="0">
      <text>
        <t>추정: 지배주주순이익 ÷ 유통주식수
[per_share]</t>
      </text>
    </comment>
    <comment ref="AL34" authorId="0" shapeId="0">
      <text>
        <t>추정: 지배주주순이익 ÷ 유통주식수
[per_share]</t>
      </text>
    </comment>
    <comment ref="AM34" authorId="0" shapeId="0">
      <text>
        <t>추정: 지배주주순이익 ÷ 유통주식수
[per_share]</t>
      </text>
    </comment>
    <comment ref="AN34" authorId="0" shapeId="0">
      <text>
        <t>추정: 지배주주순이익 ÷ 유통주식수
[per_share]</t>
      </text>
    </comment>
    <comment ref="E36" authorId="0" shapeId="0">
      <text>
        <t>실측(계정 매핑 없음(파생·부문·시세 행) — 모델값 직접) — fin.dividend.dps_common(연간, Q4 에 표기)</t>
      </text>
    </comment>
    <comment ref="F36" authorId="0" shapeId="0">
      <text>
        <t>연간(actual) — 분기 미완 연도, 모델 a 값 직접</t>
      </text>
    </comment>
    <comment ref="J36" authorId="0" shapeId="0">
      <text>
        <t>실측(계정 매핑 없음(파생·부문·시세 행) — 모델값 직접) — fin.dividend.dps_common(연간, Q4 에 표기)</t>
      </text>
    </comment>
    <comment ref="O36" authorId="0" shapeId="0">
      <text>
        <t>실측(계정 매핑 없음(파생·부문·시세 행) — 모델값 직접) — fin.dividend.dps_common(연간, Q4 에 표기)</t>
      </text>
    </comment>
    <comment ref="T36" authorId="0" shapeId="0">
      <text>
        <t>실측(계정 매핑 없음(파생·부문·시세 행) — 모델값 직접) — fin.dividend.dps_common(연간, Q4 에 표기)</t>
      </text>
    </comment>
    <comment ref="Y36" authorId="0" shapeId="0">
      <text>
        <t>실측(계정 매핑 없음(파생·부문·시세 행) — 모델값 직접) — fin.dividend.dps_common(연간, Q4 에 표기)</t>
      </text>
    </comment>
    <comment ref="AD36" authorId="0" shapeId="0">
      <text>
        <t>추정: 직전 결산 DPS 0원 유지
[abs]</t>
      </text>
    </comment>
    <comment ref="AI36" authorId="0" shapeId="0">
      <text>
        <t>추정: 직전 결산 DPS 0원 유지
[abs]</t>
      </text>
    </comment>
    <comment ref="AN36" authorId="0" shapeId="0">
      <text>
        <t>추정: 직전 결산 DPS 0원 유지
[abs]</t>
      </text>
    </comment>
    <comment ref="AC37" authorId="0" shapeId="0">
      <text>
        <t>추정: 현재 종가 ÷ TTM EPS(추정 포함)
[valuation]</t>
      </text>
    </comment>
    <comment ref="AD37" authorId="0" shapeId="0">
      <text>
        <t>추정: 현재 종가 ÷ TTM EPS(추정 포함)
[valuation]</t>
      </text>
    </comment>
    <comment ref="AF37" authorId="0" shapeId="0">
      <text>
        <t>추정: 현재 종가 ÷ TTM EPS(추정 포함)
[valuation]</t>
      </text>
    </comment>
    <comment ref="AG37" authorId="0" shapeId="0">
      <text>
        <t>추정: 현재 종가 ÷ TTM EPS(추정 포함)
[valuation]</t>
      </text>
    </comment>
    <comment ref="AH37" authorId="0" shapeId="0">
      <text>
        <t>추정: 현재 종가 ÷ TTM EPS(추정 포함)
[valuation]</t>
      </text>
    </comment>
    <comment ref="AI37" authorId="0" shapeId="0">
      <text>
        <t>추정: 현재 종가 ÷ TTM EPS(추정 포함)
[valuation]</t>
      </text>
    </comment>
    <comment ref="AK37" authorId="0" shapeId="0">
      <text>
        <t>추정: 현재 종가 ÷ TTM EPS(추정 포함)
[valuation]</t>
      </text>
    </comment>
    <comment ref="AL37" authorId="0" shapeId="0">
      <text>
        <t>추정: 현재 종가 ÷ TTM EPS(추정 포함)
[valuation]</t>
      </text>
    </comment>
    <comment ref="AM37" authorId="0" shapeId="0">
      <text>
        <t>추정: 현재 종가 ÷ TTM EPS(추정 포함)
[valuation]</t>
      </text>
    </comment>
    <comment ref="AN37" authorId="0" shapeId="0">
      <text>
        <t>추정: 현재 종가 ÷ TTM EPS(추정 포함)
[valuation]</t>
      </text>
    </comment>
    <comment ref="E39" authorId="0" shapeId="0">
      <text>
        <t>실측(계정 매핑 없음(파생·부문·시세 행) — 모델값 직접) — = 매출액(부문 미분리)</t>
      </text>
    </comment>
    <comment ref="G39" authorId="0" shapeId="0">
      <text>
        <t>실측(계정 매핑 없음(파생·부문·시세 행) — 모델값 직접) — = 매출액(부문 미분리)</t>
      </text>
    </comment>
    <comment ref="H39" authorId="0" shapeId="0">
      <text>
        <t>실측(계정 매핑 없음(파생·부문·시세 행) — 모델값 직접) — = 매출액(부문 미분리)</t>
      </text>
    </comment>
    <comment ref="I39" authorId="0" shapeId="0">
      <text>
        <t>실측(계정 매핑 없음(파생·부문·시세 행) — 모델값 직접) — = 매출액(부문 미분리)</t>
      </text>
    </comment>
    <comment ref="J39" authorId="0" shapeId="0">
      <text>
        <t>실측(계정 매핑 없음(파생·부문·시세 행) — 모델값 직접) — = 매출액(부문 미분리)</t>
      </text>
    </comment>
    <comment ref="L39" authorId="0" shapeId="0">
      <text>
        <t>실측(계정 매핑 없음(파생·부문·시세 행) — 모델값 직접) — = 매출액(부문 미분리)</t>
      </text>
    </comment>
    <comment ref="M39" authorId="0" shapeId="0">
      <text>
        <t>실측(계정 매핑 없음(파생·부문·시세 행) — 모델값 직접) — = 매출액(부문 미분리)</t>
      </text>
    </comment>
    <comment ref="N39" authorId="0" shapeId="0">
      <text>
        <t>실측(계정 매핑 없음(파생·부문·시세 행) — 모델값 직접) — = 매출액(부문 미분리)</t>
      </text>
    </comment>
    <comment ref="O39" authorId="0" shapeId="0">
      <text>
        <t>실측(계정 매핑 없음(파생·부문·시세 행) — 모델값 직접) — = 매출액(부문 미분리)</t>
      </text>
    </comment>
    <comment ref="Q39" authorId="0" shapeId="0">
      <text>
        <t>실측(계정 매핑 없음(파생·부문·시세 행) — 모델값 직접) — = 매출액(부문 미분리)</t>
      </text>
    </comment>
    <comment ref="R39" authorId="0" shapeId="0">
      <text>
        <t>실측(계정 매핑 없음(파생·부문·시세 행) — 모델값 직접) — = 매출액(부문 미분리)</t>
      </text>
    </comment>
    <comment ref="S39" authorId="0" shapeId="0">
      <text>
        <t>실측(계정 매핑 없음(파생·부문·시세 행) — 모델값 직접) — = 매출액(부문 미분리)</t>
      </text>
    </comment>
    <comment ref="T39" authorId="0" shapeId="0">
      <text>
        <t>실측(계정 매핑 없음(파생·부문·시세 행) — 모델값 직접) — = 매출액(부문 미분리)</t>
      </text>
    </comment>
    <comment ref="V39" authorId="0" shapeId="0">
      <text>
        <t>실측(계정 매핑 없음(파생·부문·시세 행) — 모델값 직접) — = 매출액(부문 미분리)</t>
      </text>
    </comment>
    <comment ref="W39" authorId="0" shapeId="0">
      <text>
        <t>실측(계정 매핑 없음(파생·부문·시세 행) — 모델값 직접) — = 매출액(부문 미분리)</t>
      </text>
    </comment>
    <comment ref="X39" authorId="0" shapeId="0">
      <text>
        <t>실측(계정 매핑 없음(파생·부문·시세 행) — 모델값 직접) — = 매출액(부문 미분리)</t>
      </text>
    </comment>
    <comment ref="Y39" authorId="0" shapeId="0">
      <text>
        <t>실측(계정 매핑 없음(파생·부문·시세 행) — 모델값 직접) — = 매출액(부문 미분리)</t>
      </text>
    </comment>
    <comment ref="AA39" authorId="0" shapeId="0">
      <text>
        <t>실측(계정 매핑 없음(파생·부문·시세 행) — 모델값 직접) — = 매출액(부문 미분리)</t>
      </text>
    </comment>
    <comment ref="AB39" authorId="0" shapeId="0">
      <text>
        <t>실측(계정 매핑 없음(파생·부문·시세 행) — 모델값 직접) — = 매출액(부문 미분리)</t>
      </text>
    </comment>
    <comment ref="AC39" authorId="0" shapeId="0">
      <text>
        <t>추정: = 매출액 추정(부문 미분리)
[identity]</t>
      </text>
    </comment>
    <comment ref="AD39" authorId="0" shapeId="0">
      <text>
        <t>추정: = 매출액 추정(부문 미분리)
[identity]</t>
      </text>
    </comment>
    <comment ref="AF39" authorId="0" shapeId="0">
      <text>
        <t>추정: = 매출액 추정(부문 미분리)
[identity]</t>
      </text>
    </comment>
    <comment ref="AG39" authorId="0" shapeId="0">
      <text>
        <t>추정: = 매출액 추정(부문 미분리)
[identity]</t>
      </text>
    </comment>
    <comment ref="AH39" authorId="0" shapeId="0">
      <text>
        <t>추정: = 매출액 추정(부문 미분리)
[identity]</t>
      </text>
    </comment>
    <comment ref="AI39" authorId="0" shapeId="0">
      <text>
        <t>추정: = 매출액 추정(부문 미분리)
[identity]</t>
      </text>
    </comment>
    <comment ref="AK39" authorId="0" shapeId="0">
      <text>
        <t>추정: = 매출액 추정(부문 미분리)
[identity]</t>
      </text>
    </comment>
    <comment ref="AL39" authorId="0" shapeId="0">
      <text>
        <t>추정: = 매출액 추정(부문 미분리)
[identity]</t>
      </text>
    </comment>
    <comment ref="AM39" authorId="0" shapeId="0">
      <text>
        <t>추정: = 매출액 추정(부문 미분리)
[identity]</t>
      </text>
    </comment>
    <comment ref="AN39" authorId="0" shapeId="0">
      <text>
        <t>추정: = 매출액 추정(부문 미분리)
[identity]</t>
      </text>
    </comment>
    <comment ref="E40" authorId="0" shapeId="0">
      <text>
        <t>실측(계정 매핑 없음(파생·부문·시세 행) — 모델값 직접) — = 영업이익(부문 미분리)</t>
      </text>
    </comment>
    <comment ref="G40" authorId="0" shapeId="0">
      <text>
        <t>실측(계정 매핑 없음(파생·부문·시세 행) — 모델값 직접) — = 영업이익(부문 미분리)</t>
      </text>
    </comment>
    <comment ref="H40" authorId="0" shapeId="0">
      <text>
        <t>실측(계정 매핑 없음(파생·부문·시세 행) — 모델값 직접) — = 영업이익(부문 미분리)</t>
      </text>
    </comment>
    <comment ref="I40" authorId="0" shapeId="0">
      <text>
        <t>실측(계정 매핑 없음(파생·부문·시세 행) — 모델값 직접) — = 영업이익(부문 미분리)</t>
      </text>
    </comment>
    <comment ref="J40" authorId="0" shapeId="0">
      <text>
        <t>실측(계정 매핑 없음(파생·부문·시세 행) — 모델값 직접) — = 영업이익(부문 미분리)</t>
      </text>
    </comment>
    <comment ref="L40" authorId="0" shapeId="0">
      <text>
        <t>실측(계정 매핑 없음(파생·부문·시세 행) — 모델값 직접) — = 영업이익(부문 미분리)</t>
      </text>
    </comment>
    <comment ref="M40" authorId="0" shapeId="0">
      <text>
        <t>실측(계정 매핑 없음(파생·부문·시세 행) — 모델값 직접) — = 영업이익(부문 미분리)</t>
      </text>
    </comment>
    <comment ref="N40" authorId="0" shapeId="0">
      <text>
        <t>실측(계정 매핑 없음(파생·부문·시세 행) — 모델값 직접) — = 영업이익(부문 미분리)</t>
      </text>
    </comment>
    <comment ref="O40" authorId="0" shapeId="0">
      <text>
        <t>실측(계정 매핑 없음(파생·부문·시세 행) — 모델값 직접) — = 영업이익(부문 미분리)</t>
      </text>
    </comment>
    <comment ref="Q40" authorId="0" shapeId="0">
      <text>
        <t>실측(계정 매핑 없음(파생·부문·시세 행) — 모델값 직접) — = 영업이익(부문 미분리)</t>
      </text>
    </comment>
    <comment ref="R40" authorId="0" shapeId="0">
      <text>
        <t>실측(계정 매핑 없음(파생·부문·시세 행) — 모델값 직접) — = 영업이익(부문 미분리)</t>
      </text>
    </comment>
    <comment ref="S40" authorId="0" shapeId="0">
      <text>
        <t>실측(계정 매핑 없음(파생·부문·시세 행) — 모델값 직접) — = 영업이익(부문 미분리)</t>
      </text>
    </comment>
    <comment ref="T40" authorId="0" shapeId="0">
      <text>
        <t>실측(계정 매핑 없음(파생·부문·시세 행) — 모델값 직접) — = 영업이익(부문 미분리)</t>
      </text>
    </comment>
    <comment ref="V40" authorId="0" shapeId="0">
      <text>
        <t>실측(계정 매핑 없음(파생·부문·시세 행) — 모델값 직접) — = 영업이익(부문 미분리)</t>
      </text>
    </comment>
    <comment ref="W40" authorId="0" shapeId="0">
      <text>
        <t>실측(계정 매핑 없음(파생·부문·시세 행) — 모델값 직접) — = 영업이익(부문 미분리)</t>
      </text>
    </comment>
    <comment ref="X40" authorId="0" shapeId="0">
      <text>
        <t>실측(계정 매핑 없음(파생·부문·시세 행) — 모델값 직접) — = 영업이익(부문 미분리)</t>
      </text>
    </comment>
    <comment ref="Y40" authorId="0" shapeId="0">
      <text>
        <t>실측(계정 매핑 없음(파생·부문·시세 행) — 모델값 직접) — = 영업이익(부문 미분리)</t>
      </text>
    </comment>
    <comment ref="AA40" authorId="0" shapeId="0">
      <text>
        <t>실측(계정 매핑 없음(파생·부문·시세 행) — 모델값 직접) — = 영업이익(부문 미분리)</t>
      </text>
    </comment>
    <comment ref="AB40" authorId="0" shapeId="0">
      <text>
        <t>실측(계정 매핑 없음(파생·부문·시세 행) — 모델값 직접) — = 영업이익(부문 미분리)</t>
      </text>
    </comment>
    <comment ref="AC40" authorId="0" shapeId="0">
      <text>
        <t>추정: = 매출액 × OPM(부문 미분리)
[identity]</t>
      </text>
    </comment>
    <comment ref="AD40" authorId="0" shapeId="0">
      <text>
        <t>추정: = 매출액 × OPM(부문 미분리)
[identity]</t>
      </text>
    </comment>
    <comment ref="AF40" authorId="0" shapeId="0">
      <text>
        <t>추정: = 매출액 × OPM(부문 미분리)
[identity]</t>
      </text>
    </comment>
    <comment ref="AG40" authorId="0" shapeId="0">
      <text>
        <t>추정: = 매출액 × OPM(부문 미분리)
[identity]</t>
      </text>
    </comment>
    <comment ref="AH40" authorId="0" shapeId="0">
      <text>
        <t>추정: = 매출액 × OPM(부문 미분리)
[identity]</t>
      </text>
    </comment>
    <comment ref="AI40" authorId="0" shapeId="0">
      <text>
        <t>추정: = 매출액 × OPM(부문 미분리)
[identity]</t>
      </text>
    </comment>
    <comment ref="AK40" authorId="0" shapeId="0">
      <text>
        <t>추정: = 매출액 × OPM(부문 미분리)
[identity]</t>
      </text>
    </comment>
    <comment ref="AL40" authorId="0" shapeId="0">
      <text>
        <t>추정: = 매출액 × OPM(부문 미분리)
[identity]</t>
      </text>
    </comment>
    <comment ref="AM40" authorId="0" shapeId="0">
      <text>
        <t>추정: = 매출액 × OPM(부문 미분리)
[identity]</t>
      </text>
    </comment>
    <comment ref="AN40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두산에너빌리티(034020) 실적 모델 — ARGUS 한국조선</t>
        </is>
      </c>
    </row>
    <row r="2">
      <c r="A2" t="inlineStr">
        <is>
          <t>기준 분기 2026Q2 · 마지막 실적 2026Q2 · 생성 2026-10-19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22.00% — 법인세 = MAX(세전,0) × 세율, 추정 전 분기 연결(Σ법인세/Σmax(세전,0) 역산, 재현 오차 ≤ 0.05억). 모델 가정 22.00% · 근거: 최근 12분기 유효세율 34.8% 가 5~27% 밖; 세전 &gt; 0 분기 중위 42.9% 도 5~27% 밖 → 법정세율 근사 22% 가정</t>
        </is>
      </c>
    </row>
    <row r="23">
      <c r="A23" t="inlineStr">
        <is>
          <t>· 판관비율 12.02% — 판관비 = 매출액 × 판관비율, 추정 전 분기 연결</t>
        </is>
      </c>
    </row>
    <row r="24">
      <c r="A24" t="inlineStr">
        <is>
          <t>· 지배주주 비중 40.0% — 지배주주순이익 = 당기순이익 × 비중, 추정 전 분기 연결</t>
        </is>
      </c>
    </row>
    <row r="25">
      <c r="A25" t="inlineStr">
        <is>
          <t>· 이자율 자산 2.38% / 부채 5.18% — 이자손익 = (전분기 이자발생자산 × 자산이자율 − 전분기 총차입금 × 부채이자율)/4, 최소자승 역산(모델 assumptions [0.0238, 0.0518] 는 4자리 반올림이라 그대로 쓰면 ±1억 어긋남) · 출처: {"asset": "주석 이자수익 ÷ 평균 이자발생자산(2025Q3~2026Q2)", "debt": "주석 이자비용 ÷ 평균 총차입금(2025Q3~2026Q2)"}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10.0/15.0/20.0배(sector_default(레퍼런스 TP_PE PB 예시 10/15/20배; 과거 PER 중위 171.3배가 3~40 밖(턴어라운드 왜곡)))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assets/models/034020.json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매출 드라이버 폴백(고객 조선사 연결 없음(suppliers.json)): 전년동기 × (1+g) 추세 / 감가상각비가 face·CF 에 없음(주석 미파싱) → EBITDA·EV/EBITDA 미산출 / 기타금융손익(금융손익 − 이자 − 외환 − 파생 잔차) 최근 4분기 중위 +1372.8억이 이자손익 추정 -681.9억의 50% 초과 → 추정 0 — 평가손익·재분류 여부는 주석 확인</t>
        </is>
      </c>
    </row>
    <row r="34">
      <c r="A34" t="inlineStr">
        <is>
          <t>백테스트: {"freeze": "2025Q2", "horizon": 4, "revenue_wape_pct": 13.1, "op_wape_pct": 20.0, "n": 4, "note": "단일 회사 4분기 — 통계 아님", "driver_at_freeze": "trend_seasonal", "selection_oos_at_freeze": null,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32075.61, "rev_act": 38803.5, "op_pred": 1931.83, "op_act": 1370.59}, {"q": "2025Q4", "rev_pred": 43350.38, "rev_act": 48599.31, "op_pred": 2610.89, "op_act": 2120.72}, {"q": "2026Q1", "rev_pred": 35410.21, "rev_act": 42611.3, "op_pred": 2132.67, "op_act": 2335.14}, {"q": "2026Q2", "rev_pred": 43160.41, "rev_act": 47248.08, "op_pred": 2599.44, "op_act": 3142.6}]}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1342.11</v>
      </c>
      <c r="AE6" s="17" t="n">
        <v>1454.27</v>
      </c>
      <c r="AF6" s="16" t="n">
        <v>1332.1</v>
      </c>
      <c r="AG6" s="16" t="n">
        <v>1332.1</v>
      </c>
      <c r="AH6" s="16" t="n">
        <v>1332.1</v>
      </c>
      <c r="AI6" s="16" t="n">
        <v>1332.1</v>
      </c>
      <c r="AJ6" s="11" t="n"/>
      <c r="AK6" s="16" t="n">
        <v>1332.1</v>
      </c>
      <c r="AL6" s="16" t="n">
        <v>1332.1</v>
      </c>
      <c r="AM6" s="16" t="n">
        <v>1332.1</v>
      </c>
      <c r="AN6" s="16" t="n">
        <v>1332.1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1332.1</v>
      </c>
      <c r="AE7" s="17" t="n">
        <v>1332.1</v>
      </c>
      <c r="AF7" s="16" t="n">
        <v>1332.1</v>
      </c>
      <c r="AG7" s="16" t="n">
        <v>1332.1</v>
      </c>
      <c r="AH7" s="16" t="n">
        <v>1332.1</v>
      </c>
      <c r="AI7" s="16" t="n">
        <v>1332.1</v>
      </c>
      <c r="AJ7" s="11" t="n"/>
      <c r="AK7" s="16" t="n">
        <v>1332.1</v>
      </c>
      <c r="AL7" s="16" t="n">
        <v>1332.1</v>
      </c>
      <c r="AM7" s="16" t="n">
        <v>1332.1</v>
      </c>
      <c r="AN7" s="16" t="n">
        <v>1332.1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848.59</v>
      </c>
      <c r="AE8" s="17" t="n">
        <v>917.39</v>
      </c>
      <c r="AF8" s="16" t="n">
        <v>842.99</v>
      </c>
      <c r="AG8" s="16" t="n">
        <v>842.99</v>
      </c>
      <c r="AH8" s="16" t="n">
        <v>842.99</v>
      </c>
      <c r="AI8" s="16" t="n">
        <v>842.99</v>
      </c>
      <c r="AJ8" s="11" t="n"/>
      <c r="AK8" s="16" t="n">
        <v>842.99</v>
      </c>
      <c r="AL8" s="16" t="n">
        <v>842.99</v>
      </c>
      <c r="AM8" s="16" t="n">
        <v>842.99</v>
      </c>
      <c r="AN8" s="16" t="n">
        <v>842.99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842.99</v>
      </c>
      <c r="AE9" s="17" t="n">
        <v>842.99</v>
      </c>
      <c r="AF9" s="16" t="n">
        <v>842.99</v>
      </c>
      <c r="AG9" s="16" t="n">
        <v>842.99</v>
      </c>
      <c r="AH9" s="16" t="n">
        <v>842.99</v>
      </c>
      <c r="AI9" s="16" t="n">
        <v>842.99</v>
      </c>
      <c r="AJ9" s="11" t="n"/>
      <c r="AK9" s="16" t="n">
        <v>842.99</v>
      </c>
      <c r="AL9" s="16" t="n">
        <v>842.99</v>
      </c>
      <c r="AM9" s="16" t="n">
        <v>842.99</v>
      </c>
      <c r="AN9" s="16" t="n">
        <v>842.99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1505.3</v>
      </c>
      <c r="AE10" s="17" t="n">
        <v>1685.25</v>
      </c>
      <c r="AF10" s="16" t="n">
        <v>1499.02</v>
      </c>
      <c r="AG10" s="16" t="n">
        <v>1499.02</v>
      </c>
      <c r="AH10" s="16" t="n">
        <v>1499.02</v>
      </c>
      <c r="AI10" s="16" t="n">
        <v>1499.02</v>
      </c>
      <c r="AJ10" s="11" t="n"/>
      <c r="AK10" s="16" t="n">
        <v>1499.02</v>
      </c>
      <c r="AL10" s="16" t="n">
        <v>1499.02</v>
      </c>
      <c r="AM10" s="16" t="n">
        <v>1499.02</v>
      </c>
      <c r="AN10" s="16" t="n">
        <v>1499.02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1499.02</v>
      </c>
      <c r="AE11" s="17" t="n">
        <v>1499.02</v>
      </c>
      <c r="AF11" s="16" t="n">
        <v>1499.02</v>
      </c>
      <c r="AG11" s="16" t="n">
        <v>1499.02</v>
      </c>
      <c r="AH11" s="16" t="n">
        <v>1499.02</v>
      </c>
      <c r="AI11" s="16" t="n">
        <v>1499.02</v>
      </c>
      <c r="AJ11" s="11" t="n"/>
      <c r="AK11" s="16" t="n">
        <v>1499.02</v>
      </c>
      <c r="AL11" s="16" t="n">
        <v>1499.02</v>
      </c>
      <c r="AM11" s="16" t="n">
        <v>1499.02</v>
      </c>
      <c r="AN11" s="16" t="n">
        <v>1499.02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200.38</v>
      </c>
      <c r="AE12" s="17" t="n">
        <v>213.41</v>
      </c>
      <c r="AF12" s="16" t="n">
        <v>199.23</v>
      </c>
      <c r="AG12" s="16" t="n">
        <v>199.23</v>
      </c>
      <c r="AH12" s="16" t="n">
        <v>199.23</v>
      </c>
      <c r="AI12" s="16" t="n">
        <v>199.23</v>
      </c>
      <c r="AJ12" s="11" t="n"/>
      <c r="AK12" s="16" t="n">
        <v>199.23</v>
      </c>
      <c r="AL12" s="16" t="n">
        <v>199.23</v>
      </c>
      <c r="AM12" s="16" t="n">
        <v>199.23</v>
      </c>
      <c r="AN12" s="16" t="n">
        <v>199.23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199.23</v>
      </c>
      <c r="AE13" s="17" t="n">
        <v>199.23</v>
      </c>
      <c r="AF13" s="16" t="n">
        <v>199.23</v>
      </c>
      <c r="AG13" s="16" t="n">
        <v>199.23</v>
      </c>
      <c r="AH13" s="16" t="n">
        <v>199.23</v>
      </c>
      <c r="AI13" s="16" t="n">
        <v>199.23</v>
      </c>
      <c r="AJ13" s="11" t="n"/>
      <c r="AK13" s="16" t="n">
        <v>199.23</v>
      </c>
      <c r="AL13" s="16" t="n">
        <v>199.23</v>
      </c>
      <c r="AM13" s="16" t="n">
        <v>199.23</v>
      </c>
      <c r="AN13" s="16" t="n">
        <v>199.23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20400</v>
      </c>
      <c r="F15" s="9" t="n"/>
      <c r="G15" s="18" t="n">
        <v>20450</v>
      </c>
      <c r="H15" s="18" t="n">
        <v>19400</v>
      </c>
      <c r="I15" s="18" t="n">
        <v>14250</v>
      </c>
      <c r="J15" s="18" t="n">
        <v>15400</v>
      </c>
      <c r="K15" s="9" t="n"/>
      <c r="L15" s="18" t="n">
        <v>17000</v>
      </c>
      <c r="M15" s="18" t="n">
        <v>18110</v>
      </c>
      <c r="N15" s="18" t="n">
        <v>16430</v>
      </c>
      <c r="O15" s="18" t="n">
        <v>15900</v>
      </c>
      <c r="P15" s="9" t="n"/>
      <c r="Q15" s="18" t="n">
        <v>17220</v>
      </c>
      <c r="R15" s="18" t="n">
        <v>20100</v>
      </c>
      <c r="S15" s="18" t="n">
        <v>17910</v>
      </c>
      <c r="T15" s="18" t="n">
        <v>17550</v>
      </c>
      <c r="U15" s="9" t="n"/>
      <c r="V15" s="18" t="n">
        <v>23450</v>
      </c>
      <c r="W15" s="18" t="n">
        <v>68400</v>
      </c>
      <c r="X15" s="18" t="n">
        <v>62700</v>
      </c>
      <c r="Y15" s="18" t="n">
        <v>75300</v>
      </c>
      <c r="Z15" s="9" t="n"/>
      <c r="AA15" s="18" t="n">
        <v>91800</v>
      </c>
      <c r="AB15" s="19" t="n">
        <v>86800</v>
      </c>
      <c r="AC15" s="20" t="n">
        <v>81900</v>
      </c>
      <c r="AD15" s="20" t="n">
        <v>66600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26687</v>
      </c>
      <c r="F16" s="9" t="n"/>
      <c r="G16" s="18" t="n">
        <v>23900</v>
      </c>
      <c r="H16" s="18" t="n">
        <v>22200</v>
      </c>
      <c r="I16" s="18" t="n">
        <v>23050</v>
      </c>
      <c r="J16" s="18" t="n">
        <v>17500</v>
      </c>
      <c r="K16" s="9" t="n"/>
      <c r="L16" s="18" t="n">
        <v>18370</v>
      </c>
      <c r="M16" s="18" t="n">
        <v>20200</v>
      </c>
      <c r="N16" s="18" t="n">
        <v>19180</v>
      </c>
      <c r="O16" s="18" t="n">
        <v>16380</v>
      </c>
      <c r="P16" s="9" t="n"/>
      <c r="Q16" s="18" t="n">
        <v>18920</v>
      </c>
      <c r="R16" s="18" t="n">
        <v>22000</v>
      </c>
      <c r="S16" s="18" t="n">
        <v>25000</v>
      </c>
      <c r="T16" s="18" t="n">
        <v>22800</v>
      </c>
      <c r="U16" s="9" t="n"/>
      <c r="V16" s="18" t="n">
        <v>30900</v>
      </c>
      <c r="W16" s="18" t="n">
        <v>72200</v>
      </c>
      <c r="X16" s="18" t="n">
        <v>70600</v>
      </c>
      <c r="Y16" s="18" t="n">
        <v>97400</v>
      </c>
      <c r="Z16" s="9" t="n"/>
      <c r="AA16" s="18" t="n">
        <v>112100</v>
      </c>
      <c r="AB16" s="19" t="n">
        <v>139200</v>
      </c>
      <c r="AC16" s="20" t="n">
        <v>94400</v>
      </c>
      <c r="AD16" s="20" t="n">
        <v>84300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17421</v>
      </c>
      <c r="F17" s="9" t="n"/>
      <c r="G17" s="18" t="n">
        <v>15200</v>
      </c>
      <c r="H17" s="18" t="n">
        <v>16000</v>
      </c>
      <c r="I17" s="18" t="n">
        <v>13950</v>
      </c>
      <c r="J17" s="18" t="n">
        <v>12450</v>
      </c>
      <c r="K17" s="9" t="n"/>
      <c r="L17" s="18" t="n">
        <v>14750</v>
      </c>
      <c r="M17" s="18" t="n">
        <v>15060</v>
      </c>
      <c r="N17" s="18" t="n">
        <v>15940</v>
      </c>
      <c r="O17" s="18" t="n">
        <v>13350</v>
      </c>
      <c r="P17" s="9" t="n"/>
      <c r="Q17" s="18" t="n">
        <v>14300</v>
      </c>
      <c r="R17" s="18" t="n">
        <v>14320</v>
      </c>
      <c r="S17" s="18" t="n">
        <v>15150</v>
      </c>
      <c r="T17" s="18" t="n">
        <v>16910</v>
      </c>
      <c r="U17" s="9" t="n"/>
      <c r="V17" s="18" t="n">
        <v>17600</v>
      </c>
      <c r="W17" s="18" t="n">
        <v>19960</v>
      </c>
      <c r="X17" s="18" t="n">
        <v>51100</v>
      </c>
      <c r="Y17" s="18" t="n">
        <v>62700</v>
      </c>
      <c r="Z17" s="9" t="n"/>
      <c r="AA17" s="18" t="n">
        <v>74600</v>
      </c>
      <c r="AB17" s="19" t="n">
        <v>79300</v>
      </c>
      <c r="AC17" s="20" t="n">
        <v>57000</v>
      </c>
      <c r="AD17" s="20" t="n">
        <v>61300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21812.5</v>
      </c>
      <c r="F18" s="9" t="n"/>
      <c r="G18" s="18" t="n">
        <v>19779.7</v>
      </c>
      <c r="H18" s="18" t="n">
        <v>19798.4</v>
      </c>
      <c r="I18" s="18" t="n">
        <v>18645.2</v>
      </c>
      <c r="J18" s="18" t="n">
        <v>15288.7</v>
      </c>
      <c r="K18" s="9" t="n"/>
      <c r="L18" s="18" t="n">
        <v>16365</v>
      </c>
      <c r="M18" s="18" t="n">
        <v>17236.7</v>
      </c>
      <c r="N18" s="18" t="n">
        <v>17161.6</v>
      </c>
      <c r="O18" s="18" t="n">
        <v>14864.7</v>
      </c>
      <c r="P18" s="9" t="n"/>
      <c r="Q18" s="18" t="n">
        <v>15996.9</v>
      </c>
      <c r="R18" s="18" t="n">
        <v>18054.8</v>
      </c>
      <c r="S18" s="18" t="n">
        <v>18635</v>
      </c>
      <c r="T18" s="18" t="n">
        <v>19717.7</v>
      </c>
      <c r="U18" s="9" t="n"/>
      <c r="V18" s="18" t="n">
        <v>24437.1</v>
      </c>
      <c r="W18" s="18" t="n">
        <v>38210</v>
      </c>
      <c r="X18" s="18" t="n">
        <v>63169.2</v>
      </c>
      <c r="Y18" s="18" t="n">
        <v>78511.89999999999</v>
      </c>
      <c r="Z18" s="9" t="n"/>
      <c r="AA18" s="18" t="n">
        <v>95247.5</v>
      </c>
      <c r="AB18" s="19" t="n">
        <v>106186.9</v>
      </c>
      <c r="AC18" s="20" t="n">
        <v>78645.2</v>
      </c>
      <c r="AD18" s="20" t="n">
        <v>73100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0.087344956</v>
      </c>
      <c r="AD21" s="24" t="n">
        <v>0.087344861</v>
      </c>
      <c r="AE21" s="25" t="n"/>
      <c r="AF21" s="24" t="n">
        <v>0.087344906</v>
      </c>
      <c r="AG21" s="24" t="n">
        <v>0.087344925</v>
      </c>
      <c r="AH21" s="24" t="n">
        <v>0.04367239</v>
      </c>
      <c r="AI21" s="24" t="n">
        <v>0.043672523</v>
      </c>
      <c r="AJ21" s="25" t="n"/>
      <c r="AK21" s="24" t="n">
        <v>0.043672591</v>
      </c>
      <c r="AL21" s="24" t="n">
        <v>0.043672443</v>
      </c>
      <c r="AM21" s="24" t="n">
        <v>0.021836271</v>
      </c>
      <c r="AN21" s="24" t="n">
        <v>0.021836178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$D$53</f>
        <v/>
      </c>
      <c r="AD22" s="26">
        <f>$D$53</f>
        <v/>
      </c>
      <c r="AE22" s="25">
        <f>IFERROR(subQ!AE8/subQ!AE5,"")</f>
        <v/>
      </c>
      <c r="AF22" s="26">
        <f>$D$53</f>
        <v/>
      </c>
      <c r="AG22" s="26">
        <f>$D$53</f>
        <v/>
      </c>
      <c r="AH22" s="26">
        <f>$D$53</f>
        <v/>
      </c>
      <c r="AI22" s="26">
        <f>$D$53</f>
        <v/>
      </c>
      <c r="AJ22" s="25">
        <f>IFERROR(subQ!AJ8/subQ!AJ5,"")</f>
        <v/>
      </c>
      <c r="AK22" s="26">
        <f>$D$53</f>
        <v/>
      </c>
      <c r="AL22" s="26">
        <f>$D$53</f>
        <v/>
      </c>
      <c r="AM22" s="26">
        <f>$D$53</f>
        <v/>
      </c>
      <c r="AN22" s="26">
        <f>$D$53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0.047416869</v>
      </c>
      <c r="AD23" s="24" t="n">
        <v>0.047416926</v>
      </c>
      <c r="AE23" s="25">
        <f>IFERROR(subQ!AE9/subQ!AE5,"")</f>
        <v/>
      </c>
      <c r="AF23" s="24" t="n">
        <v>0.047416776</v>
      </c>
      <c r="AG23" s="24" t="n">
        <v>0.047416874</v>
      </c>
      <c r="AH23" s="24" t="n">
        <v>0.047416797</v>
      </c>
      <c r="AI23" s="24" t="n">
        <v>0.047416914</v>
      </c>
      <c r="AJ23" s="25">
        <f>IFERROR(subQ!AJ9/subQ!AJ5,"")</f>
        <v/>
      </c>
      <c r="AK23" s="24" t="n">
        <v>0.04741683</v>
      </c>
      <c r="AL23" s="24" t="n">
        <v>0.047416915</v>
      </c>
      <c r="AM23" s="24" t="n">
        <v>0.047416918</v>
      </c>
      <c r="AN23" s="24" t="n">
        <v>0.047416831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drv:파생상품손익</t>
        </is>
      </c>
      <c r="B25" s="2" t="inlineStr">
        <is>
          <t>abs</t>
        </is>
      </c>
      <c r="C25" t="inlineStr">
        <is>
          <t>파생상품손익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drv:기타금융손익</t>
        </is>
      </c>
      <c r="B26" s="2" t="inlineStr">
        <is>
          <t>abs</t>
        </is>
      </c>
      <c r="C26" t="inlineStr">
        <is>
          <t>기타금융손익 (가정, 억원)</t>
        </is>
      </c>
      <c r="E26" s="27">
        <f>subQ!E15</f>
        <v/>
      </c>
      <c r="F26" s="28">
        <f>subQ!F15</f>
        <v/>
      </c>
      <c r="G26" s="27">
        <f>subQ!G15</f>
        <v/>
      </c>
      <c r="H26" s="27">
        <f>subQ!H15</f>
        <v/>
      </c>
      <c r="I26" s="27">
        <f>subQ!I15</f>
        <v/>
      </c>
      <c r="J26" s="27">
        <f>subQ!J15</f>
        <v/>
      </c>
      <c r="K26" s="28">
        <f>subQ!K15</f>
        <v/>
      </c>
      <c r="L26" s="27">
        <f>subQ!L15</f>
        <v/>
      </c>
      <c r="M26" s="27">
        <f>subQ!M15</f>
        <v/>
      </c>
      <c r="N26" s="27">
        <f>subQ!N15</f>
        <v/>
      </c>
      <c r="O26" s="27">
        <f>subQ!O15</f>
        <v/>
      </c>
      <c r="P26" s="28">
        <f>subQ!P15</f>
        <v/>
      </c>
      <c r="Q26" s="27">
        <f>subQ!Q15</f>
        <v/>
      </c>
      <c r="R26" s="27">
        <f>subQ!R15</f>
        <v/>
      </c>
      <c r="S26" s="27">
        <f>subQ!S15</f>
        <v/>
      </c>
      <c r="T26" s="27">
        <f>subQ!T15</f>
        <v/>
      </c>
      <c r="U26" s="28">
        <f>subQ!U15</f>
        <v/>
      </c>
      <c r="V26" s="27">
        <f>subQ!V15</f>
        <v/>
      </c>
      <c r="W26" s="27">
        <f>subQ!W15</f>
        <v/>
      </c>
      <c r="X26" s="27">
        <f>subQ!X15</f>
        <v/>
      </c>
      <c r="Y26" s="27">
        <f>subQ!Y15</f>
        <v/>
      </c>
      <c r="Z26" s="28">
        <f>subQ!Z15</f>
        <v/>
      </c>
      <c r="AA26" s="27">
        <f>subQ!AA15</f>
        <v/>
      </c>
      <c r="AB26" s="29">
        <f>subQ!AB15</f>
        <v/>
      </c>
      <c r="AC26" s="30" t="n">
        <v>0</v>
      </c>
      <c r="AD26" s="30" t="n">
        <v>0</v>
      </c>
      <c r="AE26" s="31">
        <f>subQ!AE15</f>
        <v/>
      </c>
      <c r="AF26" s="30" t="n">
        <v>0</v>
      </c>
      <c r="AG26" s="30" t="n">
        <v>0</v>
      </c>
      <c r="AH26" s="30" t="n">
        <v>0</v>
      </c>
      <c r="AI26" s="30" t="n">
        <v>0</v>
      </c>
      <c r="AJ26" s="31">
        <f>subQ!AJ15</f>
        <v/>
      </c>
      <c r="AK26" s="30" t="n">
        <v>0</v>
      </c>
      <c r="AL26" s="30" t="n">
        <v>0</v>
      </c>
      <c r="AM26" s="30" t="n">
        <v>0</v>
      </c>
      <c r="AN26" s="30" t="n">
        <v>0</v>
      </c>
      <c r="AO26" s="31">
        <f>subQ!AO15</f>
        <v/>
      </c>
    </row>
    <row r="27">
      <c r="A27" s="12" t="inlineStr">
        <is>
          <t>drv:기타영업외손익</t>
        </is>
      </c>
      <c r="B27" s="2" t="inlineStr">
        <is>
          <t>abs</t>
        </is>
      </c>
      <c r="C27" t="inlineStr">
        <is>
          <t>기타영업외손익 (가정, 억원)</t>
        </is>
      </c>
      <c r="E27" s="27">
        <f>subQ!E16</f>
        <v/>
      </c>
      <c r="F27" s="28">
        <f>subQ!F16</f>
        <v/>
      </c>
      <c r="G27" s="27">
        <f>subQ!G16</f>
        <v/>
      </c>
      <c r="H27" s="27">
        <f>subQ!H16</f>
        <v/>
      </c>
      <c r="I27" s="27">
        <f>subQ!I16</f>
        <v/>
      </c>
      <c r="J27" s="27">
        <f>subQ!J16</f>
        <v/>
      </c>
      <c r="K27" s="28">
        <f>subQ!K16</f>
        <v/>
      </c>
      <c r="L27" s="27">
        <f>subQ!L16</f>
        <v/>
      </c>
      <c r="M27" s="27">
        <f>subQ!M16</f>
        <v/>
      </c>
      <c r="N27" s="27">
        <f>subQ!N16</f>
        <v/>
      </c>
      <c r="O27" s="27">
        <f>subQ!O16</f>
        <v/>
      </c>
      <c r="P27" s="28">
        <f>subQ!P16</f>
        <v/>
      </c>
      <c r="Q27" s="27">
        <f>subQ!Q16</f>
        <v/>
      </c>
      <c r="R27" s="27">
        <f>subQ!R16</f>
        <v/>
      </c>
      <c r="S27" s="27">
        <f>subQ!S16</f>
        <v/>
      </c>
      <c r="T27" s="27">
        <f>subQ!T16</f>
        <v/>
      </c>
      <c r="U27" s="28">
        <f>subQ!U16</f>
        <v/>
      </c>
      <c r="V27" s="27">
        <f>subQ!V16</f>
        <v/>
      </c>
      <c r="W27" s="27">
        <f>subQ!W16</f>
        <v/>
      </c>
      <c r="X27" s="27">
        <f>subQ!X16</f>
        <v/>
      </c>
      <c r="Y27" s="27">
        <f>subQ!Y16</f>
        <v/>
      </c>
      <c r="Z27" s="28">
        <f>subQ!Z16</f>
        <v/>
      </c>
      <c r="AA27" s="27">
        <f>subQ!AA16</f>
        <v/>
      </c>
      <c r="AB27" s="29">
        <f>subQ!AB16</f>
        <v/>
      </c>
      <c r="AC27" s="30" t="n">
        <v>0</v>
      </c>
      <c r="AD27" s="30" t="n">
        <v>0</v>
      </c>
      <c r="AE27" s="31">
        <f>subQ!AE16</f>
        <v/>
      </c>
      <c r="AF27" s="30" t="n">
        <v>0</v>
      </c>
      <c r="AG27" s="30" t="n">
        <v>0</v>
      </c>
      <c r="AH27" s="30" t="n">
        <v>0</v>
      </c>
      <c r="AI27" s="30" t="n">
        <v>0</v>
      </c>
      <c r="AJ27" s="31">
        <f>subQ!AJ16</f>
        <v/>
      </c>
      <c r="AK27" s="30" t="n">
        <v>0</v>
      </c>
      <c r="AL27" s="30" t="n">
        <v>0</v>
      </c>
      <c r="AM27" s="30" t="n">
        <v>0</v>
      </c>
      <c r="AN27" s="30" t="n">
        <v>0</v>
      </c>
      <c r="AO27" s="31">
        <f>subQ!AO16</f>
        <v/>
      </c>
    </row>
    <row r="28">
      <c r="A28" s="12" t="inlineStr">
        <is>
          <t>drv:지분법손익</t>
        </is>
      </c>
      <c r="B28" s="2" t="inlineStr">
        <is>
          <t>abs</t>
        </is>
      </c>
      <c r="C28" t="inlineStr">
        <is>
          <t>지분법손익 (가정, 억원)</t>
        </is>
      </c>
      <c r="E28" s="27">
        <f>subQ!E17</f>
        <v/>
      </c>
      <c r="F28" s="28">
        <f>subQ!F17</f>
        <v/>
      </c>
      <c r="G28" s="27">
        <f>subQ!G17</f>
        <v/>
      </c>
      <c r="H28" s="27">
        <f>subQ!H17</f>
        <v/>
      </c>
      <c r="I28" s="27">
        <f>subQ!I17</f>
        <v/>
      </c>
      <c r="J28" s="27">
        <f>subQ!J17</f>
        <v/>
      </c>
      <c r="K28" s="28">
        <f>subQ!K17</f>
        <v/>
      </c>
      <c r="L28" s="27">
        <f>subQ!L17</f>
        <v/>
      </c>
      <c r="M28" s="27">
        <f>subQ!M17</f>
        <v/>
      </c>
      <c r="N28" s="27">
        <f>subQ!N17</f>
        <v/>
      </c>
      <c r="O28" s="27">
        <f>subQ!O17</f>
        <v/>
      </c>
      <c r="P28" s="28">
        <f>subQ!P17</f>
        <v/>
      </c>
      <c r="Q28" s="27">
        <f>subQ!Q17</f>
        <v/>
      </c>
      <c r="R28" s="27">
        <f>subQ!R17</f>
        <v/>
      </c>
      <c r="S28" s="27">
        <f>subQ!S17</f>
        <v/>
      </c>
      <c r="T28" s="27">
        <f>subQ!T17</f>
        <v/>
      </c>
      <c r="U28" s="28">
        <f>subQ!U17</f>
        <v/>
      </c>
      <c r="V28" s="27">
        <f>subQ!V17</f>
        <v/>
      </c>
      <c r="W28" s="27">
        <f>subQ!W17</f>
        <v/>
      </c>
      <c r="X28" s="27">
        <f>subQ!X17</f>
        <v/>
      </c>
      <c r="Y28" s="27">
        <f>subQ!Y17</f>
        <v/>
      </c>
      <c r="Z28" s="28">
        <f>subQ!Z17</f>
        <v/>
      </c>
      <c r="AA28" s="27">
        <f>subQ!AA17</f>
        <v/>
      </c>
      <c r="AB28" s="29">
        <f>subQ!AB17</f>
        <v/>
      </c>
      <c r="AC28" s="30" t="n">
        <v>143.3</v>
      </c>
      <c r="AD28" s="30" t="n">
        <v>143.3</v>
      </c>
      <c r="AE28" s="31">
        <f>subQ!AE17</f>
        <v/>
      </c>
      <c r="AF28" s="30" t="n">
        <v>143.3</v>
      </c>
      <c r="AG28" s="30" t="n">
        <v>143.3</v>
      </c>
      <c r="AH28" s="30" t="n">
        <v>143.3</v>
      </c>
      <c r="AI28" s="30" t="n">
        <v>143.3</v>
      </c>
      <c r="AJ28" s="31">
        <f>subQ!AJ17</f>
        <v/>
      </c>
      <c r="AK28" s="30" t="n">
        <v>143.3</v>
      </c>
      <c r="AL28" s="30" t="n">
        <v>143.3</v>
      </c>
      <c r="AM28" s="30" t="n">
        <v>143.3</v>
      </c>
      <c r="AN28" s="30" t="n">
        <v>143.3</v>
      </c>
      <c r="AO28" s="31">
        <f>subQ!AO17</f>
        <v/>
      </c>
    </row>
    <row r="29">
      <c r="A29" s="12" t="inlineStr">
        <is>
          <t>drv:법인세비용</t>
        </is>
      </c>
      <c r="B29" s="2" t="inlineStr">
        <is>
          <t>tax</t>
        </is>
      </c>
      <c r="C29" t="inlineStr">
        <is>
          <t>법인세율(/세전) — 법인세 = MAX(세전,0) × 세율</t>
        </is>
      </c>
      <c r="E29" s="21">
        <f>IFERROR(subQ!E19/subQ!E18,"")</f>
        <v/>
      </c>
      <c r="F29" s="22">
        <f>IFERROR(subQ!F19/subQ!F18,"")</f>
        <v/>
      </c>
      <c r="G29" s="21">
        <f>IFERROR(subQ!G19/subQ!G18,"")</f>
        <v/>
      </c>
      <c r="H29" s="21">
        <f>IFERROR(subQ!H19/subQ!H18,"")</f>
        <v/>
      </c>
      <c r="I29" s="21">
        <f>IFERROR(subQ!I19/subQ!I18,"")</f>
        <v/>
      </c>
      <c r="J29" s="21">
        <f>IFERROR(subQ!J19/subQ!J18,"")</f>
        <v/>
      </c>
      <c r="K29" s="22">
        <f>IFERROR(subQ!K19/subQ!K18,"")</f>
        <v/>
      </c>
      <c r="L29" s="21">
        <f>IFERROR(subQ!L19/subQ!L18,"")</f>
        <v/>
      </c>
      <c r="M29" s="21">
        <f>IFERROR(subQ!M19/subQ!M18,"")</f>
        <v/>
      </c>
      <c r="N29" s="21">
        <f>IFERROR(subQ!N19/subQ!N18,"")</f>
        <v/>
      </c>
      <c r="O29" s="21">
        <f>IFERROR(subQ!O19/subQ!O18,"")</f>
        <v/>
      </c>
      <c r="P29" s="22">
        <f>IFERROR(subQ!P19/subQ!P18,"")</f>
        <v/>
      </c>
      <c r="Q29" s="21">
        <f>IFERROR(subQ!Q19/subQ!Q18,"")</f>
        <v/>
      </c>
      <c r="R29" s="21">
        <f>IFERROR(subQ!R19/subQ!R18,"")</f>
        <v/>
      </c>
      <c r="S29" s="21">
        <f>IFERROR(subQ!S19/subQ!S18,"")</f>
        <v/>
      </c>
      <c r="T29" s="21">
        <f>IFERROR(subQ!T19/subQ!T18,"")</f>
        <v/>
      </c>
      <c r="U29" s="22">
        <f>IFERROR(subQ!U19/subQ!U18,"")</f>
        <v/>
      </c>
      <c r="V29" s="21">
        <f>IFERROR(subQ!V19/subQ!V18,"")</f>
        <v/>
      </c>
      <c r="W29" s="21">
        <f>IFERROR(subQ!W19/subQ!W18,"")</f>
        <v/>
      </c>
      <c r="X29" s="21">
        <f>IFERROR(subQ!X19/subQ!X18,"")</f>
        <v/>
      </c>
      <c r="Y29" s="21">
        <f>IFERROR(subQ!Y19/subQ!Y18,"")</f>
        <v/>
      </c>
      <c r="Z29" s="22">
        <f>IFERROR(subQ!Z19/subQ!Z18,"")</f>
        <v/>
      </c>
      <c r="AA29" s="21">
        <f>IFERROR(subQ!AA19/subQ!AA18,"")</f>
        <v/>
      </c>
      <c r="AB29" s="23">
        <f>IFERROR(subQ!AB19/subQ!AB18,"")</f>
        <v/>
      </c>
      <c r="AC29" s="26">
        <f>$D$52</f>
        <v/>
      </c>
      <c r="AD29" s="26">
        <f>$D$52</f>
        <v/>
      </c>
      <c r="AE29" s="25">
        <f>IFERROR(subQ!AE19/subQ!AE18,"")</f>
        <v/>
      </c>
      <c r="AF29" s="26">
        <f>$D$52</f>
        <v/>
      </c>
      <c r="AG29" s="26">
        <f>$D$52</f>
        <v/>
      </c>
      <c r="AH29" s="26">
        <f>$D$52</f>
        <v/>
      </c>
      <c r="AI29" s="26">
        <f>$D$52</f>
        <v/>
      </c>
      <c r="AJ29" s="25">
        <f>IFERROR(subQ!AJ19/subQ!AJ18,"")</f>
        <v/>
      </c>
      <c r="AK29" s="26">
        <f>$D$52</f>
        <v/>
      </c>
      <c r="AL29" s="26">
        <f>$D$52</f>
        <v/>
      </c>
      <c r="AM29" s="26">
        <f>$D$52</f>
        <v/>
      </c>
      <c r="AN29" s="26">
        <f>$D$52</f>
        <v/>
      </c>
      <c r="AO29" s="25">
        <f>IFERROR(subQ!AO19/subQ!AO18,"")</f>
        <v/>
      </c>
    </row>
    <row r="30">
      <c r="A30" s="12" t="inlineStr">
        <is>
          <t>drv:지배주주순이익</t>
        </is>
      </c>
      <c r="B30" s="2" t="inlineStr">
        <is>
          <t>ratio</t>
        </is>
      </c>
      <c r="C30" t="inlineStr">
        <is>
          <t>지배주주 비중(/당기순이익)</t>
        </is>
      </c>
      <c r="E30" s="21">
        <f>IFERROR(subQ!E21/subQ!E20,"")</f>
        <v/>
      </c>
      <c r="F30" s="22">
        <f>IFERROR(subQ!F21/subQ!F20,"")</f>
        <v/>
      </c>
      <c r="G30" s="21">
        <f>IFERROR(subQ!G21/subQ!G20,"")</f>
        <v/>
      </c>
      <c r="H30" s="21">
        <f>IFERROR(subQ!H21/subQ!H20,"")</f>
        <v/>
      </c>
      <c r="I30" s="21">
        <f>IFERROR(subQ!I21/subQ!I20,"")</f>
        <v/>
      </c>
      <c r="J30" s="21">
        <f>IFERROR(subQ!J21/subQ!J20,"")</f>
        <v/>
      </c>
      <c r="K30" s="22">
        <f>IFERROR(subQ!K21/subQ!K20,"")</f>
        <v/>
      </c>
      <c r="L30" s="21">
        <f>IFERROR(subQ!L21/subQ!L20,"")</f>
        <v/>
      </c>
      <c r="M30" s="21">
        <f>IFERROR(subQ!M21/subQ!M20,"")</f>
        <v/>
      </c>
      <c r="N30" s="21">
        <f>IFERROR(subQ!N21/subQ!N20,"")</f>
        <v/>
      </c>
      <c r="O30" s="21">
        <f>IFERROR(subQ!O21/subQ!O20,"")</f>
        <v/>
      </c>
      <c r="P30" s="22">
        <f>IFERROR(subQ!P21/subQ!P20,"")</f>
        <v/>
      </c>
      <c r="Q30" s="21">
        <f>IFERROR(subQ!Q21/subQ!Q20,"")</f>
        <v/>
      </c>
      <c r="R30" s="21">
        <f>IFERROR(subQ!R21/subQ!R20,"")</f>
        <v/>
      </c>
      <c r="S30" s="21">
        <f>IFERROR(subQ!S21/subQ!S20,"")</f>
        <v/>
      </c>
      <c r="T30" s="21">
        <f>IFERROR(subQ!T21/subQ!T20,"")</f>
        <v/>
      </c>
      <c r="U30" s="22">
        <f>IFERROR(subQ!U21/subQ!U20,"")</f>
        <v/>
      </c>
      <c r="V30" s="21">
        <f>IFERROR(subQ!V21/subQ!V20,"")</f>
        <v/>
      </c>
      <c r="W30" s="21">
        <f>IFERROR(subQ!W21/subQ!W20,"")</f>
        <v/>
      </c>
      <c r="X30" s="21">
        <f>IFERROR(subQ!X21/subQ!X20,"")</f>
        <v/>
      </c>
      <c r="Y30" s="21">
        <f>IFERROR(subQ!Y21/subQ!Y20,"")</f>
        <v/>
      </c>
      <c r="Z30" s="22">
        <f>IFERROR(subQ!Z21/subQ!Z20,"")</f>
        <v/>
      </c>
      <c r="AA30" s="21">
        <f>IFERROR(subQ!AA21/subQ!AA20,"")</f>
        <v/>
      </c>
      <c r="AB30" s="23">
        <f>IFERROR(subQ!AB21/subQ!AB20,"")</f>
        <v/>
      </c>
      <c r="AC30" s="26">
        <f>$D$54</f>
        <v/>
      </c>
      <c r="AD30" s="26">
        <f>$D$54</f>
        <v/>
      </c>
      <c r="AE30" s="25">
        <f>IFERROR(subQ!AE21/subQ!AE20,"")</f>
        <v/>
      </c>
      <c r="AF30" s="26">
        <f>$D$54</f>
        <v/>
      </c>
      <c r="AG30" s="26">
        <f>$D$54</f>
        <v/>
      </c>
      <c r="AH30" s="26">
        <f>$D$54</f>
        <v/>
      </c>
      <c r="AI30" s="26">
        <f>$D$54</f>
        <v/>
      </c>
      <c r="AJ30" s="25">
        <f>IFERROR(subQ!AJ21/subQ!AJ20,"")</f>
        <v/>
      </c>
      <c r="AK30" s="26">
        <f>$D$54</f>
        <v/>
      </c>
      <c r="AL30" s="26">
        <f>$D$54</f>
        <v/>
      </c>
      <c r="AM30" s="26">
        <f>$D$54</f>
        <v/>
      </c>
      <c r="AN30" s="26">
        <f>$D$54</f>
        <v/>
      </c>
      <c r="AO30" s="25">
        <f>IFERROR(subQ!AO21/subQ!AO20,"")</f>
        <v/>
      </c>
    </row>
    <row r="31">
      <c r="A31" s="12" t="inlineStr">
        <is>
          <t>drv:중단사업이익</t>
        </is>
      </c>
      <c r="B31" s="2" t="inlineStr">
        <is>
          <t>abs</t>
        </is>
      </c>
      <c r="C31" t="inlineStr">
        <is>
          <t>중단사업이익 (가정, 억원)</t>
        </is>
      </c>
      <c r="E31" s="27">
        <f>subQ!E22</f>
        <v/>
      </c>
      <c r="F31" s="28">
        <f>subQ!F22</f>
        <v/>
      </c>
      <c r="G31" s="27">
        <f>subQ!G22</f>
        <v/>
      </c>
      <c r="H31" s="27">
        <f>subQ!H22</f>
        <v/>
      </c>
      <c r="I31" s="27">
        <f>subQ!I22</f>
        <v/>
      </c>
      <c r="J31" s="27">
        <f>subQ!J22</f>
        <v/>
      </c>
      <c r="K31" s="28">
        <f>subQ!K22</f>
        <v/>
      </c>
      <c r="L31" s="27">
        <f>subQ!L22</f>
        <v/>
      </c>
      <c r="M31" s="27">
        <f>subQ!M22</f>
        <v/>
      </c>
      <c r="N31" s="27">
        <f>subQ!N22</f>
        <v/>
      </c>
      <c r="O31" s="27">
        <f>subQ!O22</f>
        <v/>
      </c>
      <c r="P31" s="28">
        <f>subQ!P22</f>
        <v/>
      </c>
      <c r="Q31" s="27">
        <f>subQ!Q22</f>
        <v/>
      </c>
      <c r="R31" s="27">
        <f>subQ!R22</f>
        <v/>
      </c>
      <c r="S31" s="27">
        <f>subQ!S22</f>
        <v/>
      </c>
      <c r="T31" s="27">
        <f>subQ!T22</f>
        <v/>
      </c>
      <c r="U31" s="28">
        <f>subQ!U22</f>
        <v/>
      </c>
      <c r="V31" s="27">
        <f>subQ!V22</f>
        <v/>
      </c>
      <c r="W31" s="27">
        <f>subQ!W22</f>
        <v/>
      </c>
      <c r="X31" s="27">
        <f>subQ!X22</f>
        <v/>
      </c>
      <c r="Y31" s="27">
        <f>subQ!Y22</f>
        <v/>
      </c>
      <c r="Z31" s="28">
        <f>subQ!Z22</f>
        <v/>
      </c>
      <c r="AA31" s="27">
        <f>subQ!AA22</f>
        <v/>
      </c>
      <c r="AB31" s="29">
        <f>subQ!AB22</f>
        <v/>
      </c>
      <c r="AC31" s="32" t="n"/>
      <c r="AD31" s="32" t="n"/>
      <c r="AE31" s="31">
        <f>subQ!AE22</f>
        <v/>
      </c>
      <c r="AF31" s="32" t="n"/>
      <c r="AG31" s="32" t="n"/>
      <c r="AH31" s="32" t="n"/>
      <c r="AI31" s="32" t="n"/>
      <c r="AJ31" s="31">
        <f>subQ!AJ22</f>
        <v/>
      </c>
      <c r="AK31" s="32" t="n"/>
      <c r="AL31" s="32" t="n"/>
      <c r="AM31" s="32" t="n"/>
      <c r="AN31" s="32" t="n"/>
      <c r="AO31" s="31">
        <f>subQ!AO22</f>
        <v/>
      </c>
    </row>
    <row r="32">
      <c r="A32" s="12" t="inlineStr">
        <is>
          <t>drv:부채총계</t>
        </is>
      </c>
      <c r="B32" s="2" t="inlineStr">
        <is>
          <t>qoq</t>
        </is>
      </c>
      <c r="C32" t="inlineStr">
        <is>
          <t>부채총계 QoQ</t>
        </is>
      </c>
      <c r="E32" s="21" t="n"/>
      <c r="F32" s="22" t="n"/>
      <c r="G32" s="21">
        <f>IFERROR(subQ!G24/subQ!E24-1,"")</f>
        <v/>
      </c>
      <c r="H32" s="21">
        <f>IFERROR(subQ!H24/subQ!G24-1,"")</f>
        <v/>
      </c>
      <c r="I32" s="21">
        <f>IFERROR(subQ!I24/subQ!H24-1,"")</f>
        <v/>
      </c>
      <c r="J32" s="21">
        <f>IFERROR(subQ!J24/subQ!I24-1,"")</f>
        <v/>
      </c>
      <c r="K32" s="22" t="n"/>
      <c r="L32" s="21">
        <f>IFERROR(subQ!L24/subQ!J24-1,"")</f>
        <v/>
      </c>
      <c r="M32" s="21">
        <f>IFERROR(subQ!M24/subQ!L24-1,"")</f>
        <v/>
      </c>
      <c r="N32" s="21">
        <f>IFERROR(subQ!N24/subQ!M24-1,"")</f>
        <v/>
      </c>
      <c r="O32" s="21">
        <f>IFERROR(subQ!O24/subQ!N24-1,"")</f>
        <v/>
      </c>
      <c r="P32" s="22" t="n"/>
      <c r="Q32" s="21">
        <f>IFERROR(subQ!Q24/subQ!O24-1,"")</f>
        <v/>
      </c>
      <c r="R32" s="21">
        <f>IFERROR(subQ!R24/subQ!Q24-1,"")</f>
        <v/>
      </c>
      <c r="S32" s="21">
        <f>IFERROR(subQ!S24/subQ!R24-1,"")</f>
        <v/>
      </c>
      <c r="T32" s="21">
        <f>IFERROR(subQ!T24/subQ!S24-1,"")</f>
        <v/>
      </c>
      <c r="U32" s="22" t="n"/>
      <c r="V32" s="21">
        <f>IFERROR(subQ!V24/subQ!T24-1,"")</f>
        <v/>
      </c>
      <c r="W32" s="21">
        <f>IFERROR(subQ!W24/subQ!V24-1,"")</f>
        <v/>
      </c>
      <c r="X32" s="21">
        <f>IFERROR(subQ!X24/subQ!W24-1,"")</f>
        <v/>
      </c>
      <c r="Y32" s="21">
        <f>IFERROR(subQ!Y24/subQ!X24-1,"")</f>
        <v/>
      </c>
      <c r="Z32" s="22" t="n"/>
      <c r="AA32" s="21">
        <f>IFERROR(subQ!AA24/subQ!Y24-1,"")</f>
        <v/>
      </c>
      <c r="AB32" s="23">
        <f>IFERROR(subQ!AB24/subQ!AA24-1,"")</f>
        <v/>
      </c>
      <c r="AC32" s="24" t="n">
        <v>0</v>
      </c>
      <c r="AD32" s="24" t="n">
        <v>0</v>
      </c>
      <c r="AE32" s="25" t="n"/>
      <c r="AF32" s="24" t="n">
        <v>0</v>
      </c>
      <c r="AG32" s="24" t="n">
        <v>0</v>
      </c>
      <c r="AH32" s="24" t="n">
        <v>0</v>
      </c>
      <c r="AI32" s="24" t="n">
        <v>0</v>
      </c>
      <c r="AJ32" s="25" t="n"/>
      <c r="AK32" s="24" t="n">
        <v>0</v>
      </c>
      <c r="AL32" s="24" t="n">
        <v>0</v>
      </c>
      <c r="AM32" s="24" t="n">
        <v>0</v>
      </c>
      <c r="AN32" s="24" t="n">
        <v>0</v>
      </c>
      <c r="AO32" s="25" t="n"/>
    </row>
    <row r="33">
      <c r="A33" s="12" t="inlineStr">
        <is>
          <t>drv:자본총계</t>
        </is>
      </c>
      <c r="B33" s="2" t="inlineStr">
        <is>
          <t>roll</t>
        </is>
      </c>
      <c r="C33" t="inlineStr">
        <is>
          <t>자본총계 기타변동(배당 등, 억원)</t>
        </is>
      </c>
      <c r="E33" s="27" t="n"/>
      <c r="F33" s="28" t="n"/>
      <c r="G33" s="27">
        <f>IFERROR(subQ!E25+subQ!G20-subQ!G25,"")</f>
        <v/>
      </c>
      <c r="H33" s="27">
        <f>IFERROR(subQ!G25+subQ!H20-subQ!H25,"")</f>
        <v/>
      </c>
      <c r="I33" s="27">
        <f>IFERROR(subQ!H25+subQ!I20-subQ!I25,"")</f>
        <v/>
      </c>
      <c r="J33" s="27">
        <f>IFERROR(subQ!I25+subQ!J20-subQ!J25,"")</f>
        <v/>
      </c>
      <c r="K33" s="28" t="n"/>
      <c r="L33" s="27">
        <f>IFERROR(subQ!J25+subQ!L20-subQ!L25,"")</f>
        <v/>
      </c>
      <c r="M33" s="27">
        <f>IFERROR(subQ!L25+subQ!M20-subQ!M25,"")</f>
        <v/>
      </c>
      <c r="N33" s="27">
        <f>IFERROR(subQ!M25+subQ!N20-subQ!N25,"")</f>
        <v/>
      </c>
      <c r="O33" s="27">
        <f>IFERROR(subQ!N25+subQ!O20-subQ!O25,"")</f>
        <v/>
      </c>
      <c r="P33" s="28" t="n"/>
      <c r="Q33" s="27">
        <f>IFERROR(subQ!O25+subQ!Q20-subQ!Q25,"")</f>
        <v/>
      </c>
      <c r="R33" s="27">
        <f>IFERROR(subQ!Q25+subQ!R20-subQ!R25,"")</f>
        <v/>
      </c>
      <c r="S33" s="27">
        <f>IFERROR(subQ!R25+subQ!S20-subQ!S25,"")</f>
        <v/>
      </c>
      <c r="T33" s="27">
        <f>IFERROR(subQ!S25+subQ!T20-subQ!T25,"")</f>
        <v/>
      </c>
      <c r="U33" s="28" t="n"/>
      <c r="V33" s="27">
        <f>IFERROR(subQ!T25+subQ!V20-subQ!V25,"")</f>
        <v/>
      </c>
      <c r="W33" s="27">
        <f>IFERROR(subQ!V25+subQ!W20-subQ!W25,"")</f>
        <v/>
      </c>
      <c r="X33" s="27">
        <f>IFERROR(subQ!W25+subQ!X20-subQ!X25,"")</f>
        <v/>
      </c>
      <c r="Y33" s="27">
        <f>IFERROR(subQ!X25+subQ!Y20-subQ!Y25,"")</f>
        <v/>
      </c>
      <c r="Z33" s="28" t="n"/>
      <c r="AA33" s="27">
        <f>IFERROR(subQ!Y25+subQ!AA20-subQ!AA25,"")</f>
        <v/>
      </c>
      <c r="AB33" s="29">
        <f>IFERROR(subQ!AA25+subQ!AB20-subQ!AB25,"")</f>
        <v/>
      </c>
      <c r="AC33" s="30" t="n">
        <v>0.001784146</v>
      </c>
      <c r="AD33" s="30" t="n">
        <v>0.002733647</v>
      </c>
      <c r="AE33" s="31" t="n"/>
      <c r="AF33" s="30" t="n">
        <v>0.000334227</v>
      </c>
      <c r="AG33" s="30" t="n">
        <v>0.006426239</v>
      </c>
      <c r="AH33" s="30" t="n">
        <v>-0.005099701</v>
      </c>
      <c r="AI33" s="30" t="n">
        <v>0.006238169</v>
      </c>
      <c r="AJ33" s="31" t="n"/>
      <c r="AK33" s="30" t="n">
        <v>0.004711386</v>
      </c>
      <c r="AL33" s="30" t="n">
        <v>0.002967662</v>
      </c>
      <c r="AM33" s="30" t="n">
        <v>0.004180576</v>
      </c>
      <c r="AN33" s="30" t="n">
        <v>-0.003043825</v>
      </c>
      <c r="AO33" s="31" t="n"/>
    </row>
    <row r="34">
      <c r="A34" s="12" t="inlineStr">
        <is>
          <t>drv:지배주주지분</t>
        </is>
      </c>
      <c r="B34" s="2" t="inlineStr">
        <is>
          <t>roll</t>
        </is>
      </c>
      <c r="C34" t="inlineStr">
        <is>
          <t>지배주주지분 기타변동(배당 등, 억원)</t>
        </is>
      </c>
      <c r="E34" s="27" t="n"/>
      <c r="F34" s="28" t="n"/>
      <c r="G34" s="27">
        <f>IFERROR(subQ!E26+subQ!G21-subQ!G26,"")</f>
        <v/>
      </c>
      <c r="H34" s="27">
        <f>IFERROR(subQ!G26+subQ!H21-subQ!H26,"")</f>
        <v/>
      </c>
      <c r="I34" s="27">
        <f>IFERROR(subQ!H26+subQ!I21-subQ!I26,"")</f>
        <v/>
      </c>
      <c r="J34" s="27">
        <f>IFERROR(subQ!I26+subQ!J21-subQ!J26,"")</f>
        <v/>
      </c>
      <c r="K34" s="28" t="n"/>
      <c r="L34" s="27">
        <f>IFERROR(subQ!J26+subQ!L21-subQ!L26,"")</f>
        <v/>
      </c>
      <c r="M34" s="27">
        <f>IFERROR(subQ!L26+subQ!M21-subQ!M26,"")</f>
        <v/>
      </c>
      <c r="N34" s="27">
        <f>IFERROR(subQ!M26+subQ!N21-subQ!N26,"")</f>
        <v/>
      </c>
      <c r="O34" s="27">
        <f>IFERROR(subQ!N26+subQ!O21-subQ!O26,"")</f>
        <v/>
      </c>
      <c r="P34" s="28" t="n"/>
      <c r="Q34" s="27">
        <f>IFERROR(subQ!O26+subQ!Q21-subQ!Q26,"")</f>
        <v/>
      </c>
      <c r="R34" s="27">
        <f>IFERROR(subQ!Q26+subQ!R21-subQ!R26,"")</f>
        <v/>
      </c>
      <c r="S34" s="27">
        <f>IFERROR(subQ!R26+subQ!S21-subQ!S26,"")</f>
        <v/>
      </c>
      <c r="T34" s="27">
        <f>IFERROR(subQ!S26+subQ!T21-subQ!T26,"")</f>
        <v/>
      </c>
      <c r="U34" s="28" t="n"/>
      <c r="V34" s="27">
        <f>IFERROR(subQ!T26+subQ!V21-subQ!V26,"")</f>
        <v/>
      </c>
      <c r="W34" s="27">
        <f>IFERROR(subQ!V26+subQ!W21-subQ!W26,"")</f>
        <v/>
      </c>
      <c r="X34" s="27">
        <f>IFERROR(subQ!W26+subQ!X21-subQ!X26,"")</f>
        <v/>
      </c>
      <c r="Y34" s="27">
        <f>IFERROR(subQ!X26+subQ!Y21-subQ!Y26,"")</f>
        <v/>
      </c>
      <c r="Z34" s="28" t="n"/>
      <c r="AA34" s="27">
        <f>IFERROR(subQ!Y26+subQ!AA21-subQ!AA26,"")</f>
        <v/>
      </c>
      <c r="AB34" s="29">
        <f>IFERROR(subQ!AA26+subQ!AB21-subQ!AB26,"")</f>
        <v/>
      </c>
      <c r="AC34" s="32" t="n"/>
      <c r="AD34" s="32" t="n"/>
      <c r="AE34" s="31" t="n"/>
      <c r="AF34" s="32" t="n"/>
      <c r="AG34" s="32" t="n"/>
      <c r="AH34" s="32" t="n"/>
      <c r="AI34" s="32" t="n"/>
      <c r="AJ34" s="31" t="n"/>
      <c r="AK34" s="32" t="n"/>
      <c r="AL34" s="32" t="n"/>
      <c r="AM34" s="32" t="n"/>
      <c r="AN34" s="32" t="n"/>
      <c r="AO34" s="31" t="n"/>
    </row>
    <row r="35">
      <c r="A35" s="12" t="inlineStr">
        <is>
          <t>drv:총차입금</t>
        </is>
      </c>
      <c r="B35" s="2" t="inlineStr">
        <is>
          <t>qoq</t>
        </is>
      </c>
      <c r="C35" t="inlineStr">
        <is>
          <t>총차입금 QoQ</t>
        </is>
      </c>
      <c r="E35" s="21" t="n"/>
      <c r="F35" s="22" t="n"/>
      <c r="G35" s="21">
        <f>IFERROR(subQ!G27/subQ!E27-1,"")</f>
        <v/>
      </c>
      <c r="H35" s="21">
        <f>IFERROR(subQ!H27/subQ!G27-1,"")</f>
        <v/>
      </c>
      <c r="I35" s="21">
        <f>IFERROR(subQ!I27/subQ!H27-1,"")</f>
        <v/>
      </c>
      <c r="J35" s="21">
        <f>IFERROR(subQ!J27/subQ!I27-1,"")</f>
        <v/>
      </c>
      <c r="K35" s="22" t="n"/>
      <c r="L35" s="21">
        <f>IFERROR(subQ!L27/subQ!J27-1,"")</f>
        <v/>
      </c>
      <c r="M35" s="21">
        <f>IFERROR(subQ!M27/subQ!L27-1,"")</f>
        <v/>
      </c>
      <c r="N35" s="21">
        <f>IFERROR(subQ!N27/subQ!M27-1,"")</f>
        <v/>
      </c>
      <c r="O35" s="21">
        <f>IFERROR(subQ!O27/subQ!N27-1,"")</f>
        <v/>
      </c>
      <c r="P35" s="22" t="n"/>
      <c r="Q35" s="21">
        <f>IFERROR(subQ!Q27/subQ!O27-1,"")</f>
        <v/>
      </c>
      <c r="R35" s="21">
        <f>IFERROR(subQ!R27/subQ!Q27-1,"")</f>
        <v/>
      </c>
      <c r="S35" s="21">
        <f>IFERROR(subQ!S27/subQ!R27-1,"")</f>
        <v/>
      </c>
      <c r="T35" s="21">
        <f>IFERROR(subQ!T27/subQ!S27-1,"")</f>
        <v/>
      </c>
      <c r="U35" s="22" t="n"/>
      <c r="V35" s="21">
        <f>IFERROR(subQ!V27/subQ!T27-1,"")</f>
        <v/>
      </c>
      <c r="W35" s="21">
        <f>IFERROR(subQ!W27/subQ!V27-1,"")</f>
        <v/>
      </c>
      <c r="X35" s="21">
        <f>IFERROR(subQ!X27/subQ!W27-1,"")</f>
        <v/>
      </c>
      <c r="Y35" s="21">
        <f>IFERROR(subQ!Y27/subQ!X27-1,"")</f>
        <v/>
      </c>
      <c r="Z35" s="22" t="n"/>
      <c r="AA35" s="21">
        <f>IFERROR(subQ!AA27/subQ!Y27-1,"")</f>
        <v/>
      </c>
      <c r="AB35" s="23">
        <f>IFERROR(subQ!AB27/subQ!AA27-1,"")</f>
        <v/>
      </c>
      <c r="AC35" s="24" t="n">
        <v>0</v>
      </c>
      <c r="AD35" s="24" t="n">
        <v>0</v>
      </c>
      <c r="AE35" s="25" t="n"/>
      <c r="AF35" s="24" t="n">
        <v>0</v>
      </c>
      <c r="AG35" s="24" t="n">
        <v>0</v>
      </c>
      <c r="AH35" s="24" t="n">
        <v>0</v>
      </c>
      <c r="AI35" s="24" t="n">
        <v>0</v>
      </c>
      <c r="AJ35" s="25" t="n"/>
      <c r="AK35" s="24" t="n">
        <v>0</v>
      </c>
      <c r="AL35" s="24" t="n">
        <v>0</v>
      </c>
      <c r="AM35" s="24" t="n">
        <v>0</v>
      </c>
      <c r="AN35" s="24" t="n">
        <v>0</v>
      </c>
      <c r="AO35" s="25" t="n"/>
    </row>
    <row r="36">
      <c r="A36" s="12" t="inlineStr">
        <is>
          <t>drv:순차입금</t>
        </is>
      </c>
      <c r="B36" s="2" t="inlineStr">
        <is>
          <t>qoq</t>
        </is>
      </c>
      <c r="C36" t="inlineStr">
        <is>
          <t>순차입금 QoQ</t>
        </is>
      </c>
      <c r="E36" s="21" t="n"/>
      <c r="F36" s="22" t="n"/>
      <c r="G36" s="21">
        <f>IFERROR(subQ!G28/subQ!E28-1,"")</f>
        <v/>
      </c>
      <c r="H36" s="21">
        <f>IFERROR(subQ!H28/subQ!G28-1,"")</f>
        <v/>
      </c>
      <c r="I36" s="21">
        <f>IFERROR(subQ!I28/subQ!H28-1,"")</f>
        <v/>
      </c>
      <c r="J36" s="21">
        <f>IFERROR(subQ!J28/subQ!I28-1,"")</f>
        <v/>
      </c>
      <c r="K36" s="22" t="n"/>
      <c r="L36" s="21">
        <f>IFERROR(subQ!L28/subQ!J28-1,"")</f>
        <v/>
      </c>
      <c r="M36" s="21">
        <f>IFERROR(subQ!M28/subQ!L28-1,"")</f>
        <v/>
      </c>
      <c r="N36" s="21">
        <f>IFERROR(subQ!N28/subQ!M28-1,"")</f>
        <v/>
      </c>
      <c r="O36" s="21">
        <f>IFERROR(subQ!O28/subQ!N28-1,"")</f>
        <v/>
      </c>
      <c r="P36" s="22" t="n"/>
      <c r="Q36" s="21">
        <f>IFERROR(subQ!Q28/subQ!O28-1,"")</f>
        <v/>
      </c>
      <c r="R36" s="21">
        <f>IFERROR(subQ!R28/subQ!Q28-1,"")</f>
        <v/>
      </c>
      <c r="S36" s="21">
        <f>IFERROR(subQ!S28/subQ!R28-1,"")</f>
        <v/>
      </c>
      <c r="T36" s="21">
        <f>IFERROR(subQ!T28/subQ!S28-1,"")</f>
        <v/>
      </c>
      <c r="U36" s="22" t="n"/>
      <c r="V36" s="21">
        <f>IFERROR(subQ!V28/subQ!T28-1,"")</f>
        <v/>
      </c>
      <c r="W36" s="21">
        <f>IFERROR(subQ!W28/subQ!V28-1,"")</f>
        <v/>
      </c>
      <c r="X36" s="21">
        <f>IFERROR(subQ!X28/subQ!W28-1,"")</f>
        <v/>
      </c>
      <c r="Y36" s="21">
        <f>IFERROR(subQ!Y28/subQ!X28-1,"")</f>
        <v/>
      </c>
      <c r="Z36" s="22" t="n"/>
      <c r="AA36" s="21">
        <f>IFERROR(subQ!AA28/subQ!Y28-1,"")</f>
        <v/>
      </c>
      <c r="AB36" s="23">
        <f>IFERROR(subQ!AB28/subQ!AA28-1,"")</f>
        <v/>
      </c>
      <c r="AC36" s="24" t="n">
        <v>-0.029576887</v>
      </c>
      <c r="AD36" s="24" t="n">
        <v>-0.04114798</v>
      </c>
      <c r="AE36" s="25" t="n"/>
      <c r="AF36" s="24" t="n">
        <v>-0.036400565</v>
      </c>
      <c r="AG36" s="24" t="n">
        <v>-0.043344324</v>
      </c>
      <c r="AH36" s="24" t="n">
        <v>-0.037310784</v>
      </c>
      <c r="AI36" s="24" t="n">
        <v>-0.05184946</v>
      </c>
      <c r="AJ36" s="25" t="n"/>
      <c r="AK36" s="24" t="n">
        <v>-0.046612876</v>
      </c>
      <c r="AL36" s="24" t="n">
        <v>-0.055880439</v>
      </c>
      <c r="AM36" s="24" t="n">
        <v>-0.047727226</v>
      </c>
      <c r="AN36" s="24" t="n">
        <v>-0.066587778</v>
      </c>
      <c r="AO36" s="25" t="n"/>
    </row>
    <row r="37">
      <c r="A37" s="12" t="inlineStr">
        <is>
          <t>drv:이자발생자산</t>
        </is>
      </c>
      <c r="B37" s="2" t="inlineStr">
        <is>
          <t>qoq</t>
        </is>
      </c>
      <c r="C37" t="inlineStr">
        <is>
          <t>이자발생자산 QoQ</t>
        </is>
      </c>
      <c r="E37" s="21" t="n"/>
      <c r="F37" s="22" t="n"/>
      <c r="G37" s="21">
        <f>IFERROR(subQ!G29/subQ!E29-1,"")</f>
        <v/>
      </c>
      <c r="H37" s="21">
        <f>IFERROR(subQ!H29/subQ!G29-1,"")</f>
        <v/>
      </c>
      <c r="I37" s="21">
        <f>IFERROR(subQ!I29/subQ!H29-1,"")</f>
        <v/>
      </c>
      <c r="J37" s="21">
        <f>IFERROR(subQ!J29/subQ!I29-1,"")</f>
        <v/>
      </c>
      <c r="K37" s="22" t="n"/>
      <c r="L37" s="21">
        <f>IFERROR(subQ!L29/subQ!J29-1,"")</f>
        <v/>
      </c>
      <c r="M37" s="21">
        <f>IFERROR(subQ!M29/subQ!L29-1,"")</f>
        <v/>
      </c>
      <c r="N37" s="21">
        <f>IFERROR(subQ!N29/subQ!M29-1,"")</f>
        <v/>
      </c>
      <c r="O37" s="21">
        <f>IFERROR(subQ!O29/subQ!N29-1,"")</f>
        <v/>
      </c>
      <c r="P37" s="22" t="n"/>
      <c r="Q37" s="21">
        <f>IFERROR(subQ!Q29/subQ!O29-1,"")</f>
        <v/>
      </c>
      <c r="R37" s="21">
        <f>IFERROR(subQ!R29/subQ!Q29-1,"")</f>
        <v/>
      </c>
      <c r="S37" s="21">
        <f>IFERROR(subQ!S29/subQ!R29-1,"")</f>
        <v/>
      </c>
      <c r="T37" s="21">
        <f>IFERROR(subQ!T29/subQ!S29-1,"")</f>
        <v/>
      </c>
      <c r="U37" s="22" t="n"/>
      <c r="V37" s="21">
        <f>IFERROR(subQ!V29/subQ!T29-1,"")</f>
        <v/>
      </c>
      <c r="W37" s="21">
        <f>IFERROR(subQ!W29/subQ!V29-1,"")</f>
        <v/>
      </c>
      <c r="X37" s="21">
        <f>IFERROR(subQ!X29/subQ!W29-1,"")</f>
        <v/>
      </c>
      <c r="Y37" s="21">
        <f>IFERROR(subQ!Y29/subQ!X29-1,"")</f>
        <v/>
      </c>
      <c r="Z37" s="22" t="n"/>
      <c r="AA37" s="21">
        <f>IFERROR(subQ!AA29/subQ!Y29-1,"")</f>
        <v/>
      </c>
      <c r="AB37" s="23">
        <f>IFERROR(subQ!AB29/subQ!AA29-1,"")</f>
        <v/>
      </c>
      <c r="AC37" s="24" t="n">
        <v>0.032228</v>
      </c>
      <c r="AD37" s="24" t="n">
        <v>0.042151681</v>
      </c>
      <c r="AE37" s="25" t="n"/>
      <c r="AF37" s="24" t="n">
        <v>0.034307981</v>
      </c>
      <c r="AG37" s="24" t="n">
        <v>0.03805975</v>
      </c>
      <c r="AH37" s="24" t="n">
        <v>0.03019266</v>
      </c>
      <c r="AI37" s="24" t="n">
        <v>0.03920838</v>
      </c>
      <c r="AJ37" s="25" t="n"/>
      <c r="AK37" s="24" t="n">
        <v>0.032159938</v>
      </c>
      <c r="AL37" s="24" t="n">
        <v>0.035611593</v>
      </c>
      <c r="AM37" s="24" t="n">
        <v>0.027728596</v>
      </c>
      <c r="AN37" s="24" t="n">
        <v>0.035845871</v>
      </c>
      <c r="AO37" s="25" t="n"/>
    </row>
    <row r="38">
      <c r="A38" s="12" t="inlineStr">
        <is>
          <t>drv:현금및현금성자산</t>
        </is>
      </c>
      <c r="B38" s="2" t="inlineStr">
        <is>
          <t>qoq</t>
        </is>
      </c>
      <c r="C38" t="inlineStr">
        <is>
          <t>현금및현금성자산 QoQ</t>
        </is>
      </c>
      <c r="E38" s="21" t="n"/>
      <c r="F38" s="22" t="n"/>
      <c r="G38" s="21">
        <f>IFERROR(subQ!G30/subQ!E30-1,"")</f>
        <v/>
      </c>
      <c r="H38" s="21">
        <f>IFERROR(subQ!H30/subQ!G30-1,"")</f>
        <v/>
      </c>
      <c r="I38" s="21">
        <f>IFERROR(subQ!I30/subQ!H30-1,"")</f>
        <v/>
      </c>
      <c r="J38" s="21">
        <f>IFERROR(subQ!J30/subQ!I30-1,"")</f>
        <v/>
      </c>
      <c r="K38" s="22" t="n"/>
      <c r="L38" s="21">
        <f>IFERROR(subQ!L30/subQ!J30-1,"")</f>
        <v/>
      </c>
      <c r="M38" s="21">
        <f>IFERROR(subQ!M30/subQ!L30-1,"")</f>
        <v/>
      </c>
      <c r="N38" s="21">
        <f>IFERROR(subQ!N30/subQ!M30-1,"")</f>
        <v/>
      </c>
      <c r="O38" s="21">
        <f>IFERROR(subQ!O30/subQ!N30-1,"")</f>
        <v/>
      </c>
      <c r="P38" s="22" t="n"/>
      <c r="Q38" s="21">
        <f>IFERROR(subQ!Q30/subQ!O30-1,"")</f>
        <v/>
      </c>
      <c r="R38" s="21">
        <f>IFERROR(subQ!R30/subQ!Q30-1,"")</f>
        <v/>
      </c>
      <c r="S38" s="21">
        <f>IFERROR(subQ!S30/subQ!R30-1,"")</f>
        <v/>
      </c>
      <c r="T38" s="21">
        <f>IFERROR(subQ!T30/subQ!S30-1,"")</f>
        <v/>
      </c>
      <c r="U38" s="22" t="n"/>
      <c r="V38" s="21">
        <f>IFERROR(subQ!V30/subQ!T30-1,"")</f>
        <v/>
      </c>
      <c r="W38" s="21">
        <f>IFERROR(subQ!W30/subQ!V30-1,"")</f>
        <v/>
      </c>
      <c r="X38" s="21">
        <f>IFERROR(subQ!X30/subQ!W30-1,"")</f>
        <v/>
      </c>
      <c r="Y38" s="21">
        <f>IFERROR(subQ!Y30/subQ!X30-1,"")</f>
        <v/>
      </c>
      <c r="Z38" s="22" t="n"/>
      <c r="AA38" s="21">
        <f>IFERROR(subQ!AA30/subQ!Y30-1,"")</f>
        <v/>
      </c>
      <c r="AB38" s="23">
        <f>IFERROR(subQ!AB30/subQ!AA30-1,"")</f>
        <v/>
      </c>
      <c r="AC38" s="33" t="n"/>
      <c r="AD38" s="33" t="n"/>
      <c r="AE38" s="25" t="n"/>
      <c r="AF38" s="33" t="n"/>
      <c r="AG38" s="33" t="n"/>
      <c r="AH38" s="33" t="n"/>
      <c r="AI38" s="33" t="n"/>
      <c r="AJ38" s="25" t="n"/>
      <c r="AK38" s="33" t="n"/>
      <c r="AL38" s="33" t="n"/>
      <c r="AM38" s="33" t="n"/>
      <c r="AN38" s="33" t="n"/>
      <c r="AO38" s="25" t="n"/>
    </row>
    <row r="39">
      <c r="A39" s="12" t="inlineStr">
        <is>
          <t>drv:CAPEX</t>
        </is>
      </c>
      <c r="B39" s="2" t="inlineStr">
        <is>
          <t>yoy</t>
        </is>
      </c>
      <c r="C39" t="inlineStr">
        <is>
          <t>CAPEX YoY</t>
        </is>
      </c>
      <c r="E39" s="21" t="n"/>
      <c r="F39" s="22" t="n"/>
      <c r="G39" s="21" t="n"/>
      <c r="H39" s="21" t="n"/>
      <c r="I39" s="21" t="n"/>
      <c r="J39" s="21">
        <f>IFERROR(subQ!J31/subQ!E31-1,"")</f>
        <v/>
      </c>
      <c r="K39" s="22" t="n"/>
      <c r="L39" s="21">
        <f>IFERROR(subQ!L31/subQ!G31-1,"")</f>
        <v/>
      </c>
      <c r="M39" s="21">
        <f>IFERROR(subQ!M31/subQ!H31-1,"")</f>
        <v/>
      </c>
      <c r="N39" s="21">
        <f>IFERROR(subQ!N31/subQ!I31-1,"")</f>
        <v/>
      </c>
      <c r="O39" s="21">
        <f>IFERROR(subQ!O31/subQ!J31-1,"")</f>
        <v/>
      </c>
      <c r="P39" s="22" t="n"/>
      <c r="Q39" s="21">
        <f>IFERROR(subQ!Q31/subQ!L31-1,"")</f>
        <v/>
      </c>
      <c r="R39" s="21">
        <f>IFERROR(subQ!R31/subQ!M31-1,"")</f>
        <v/>
      </c>
      <c r="S39" s="21">
        <f>IFERROR(subQ!S31/subQ!N31-1,"")</f>
        <v/>
      </c>
      <c r="T39" s="21">
        <f>IFERROR(subQ!T31/subQ!O31-1,"")</f>
        <v/>
      </c>
      <c r="U39" s="22" t="n"/>
      <c r="V39" s="21">
        <f>IFERROR(subQ!V31/subQ!Q31-1,"")</f>
        <v/>
      </c>
      <c r="W39" s="21">
        <f>IFERROR(subQ!W31/subQ!R31-1,"")</f>
        <v/>
      </c>
      <c r="X39" s="21">
        <f>IFERROR(subQ!X31/subQ!S31-1,"")</f>
        <v/>
      </c>
      <c r="Y39" s="21">
        <f>IFERROR(subQ!Y31/subQ!T31-1,"")</f>
        <v/>
      </c>
      <c r="Z39" s="22" t="n"/>
      <c r="AA39" s="21">
        <f>IFERROR(subQ!AA31/subQ!V31-1,"")</f>
        <v/>
      </c>
      <c r="AB39" s="23">
        <f>IFERROR(subQ!AB31/subQ!W31-1,"")</f>
        <v/>
      </c>
      <c r="AC39" s="24" t="n">
        <v>-0.224096995</v>
      </c>
      <c r="AD39" s="24" t="n">
        <v>-0.050420653</v>
      </c>
      <c r="AE39" s="25" t="n"/>
      <c r="AF39" s="24" t="n">
        <v>0.056069206</v>
      </c>
      <c r="AG39" s="24" t="n">
        <v>0.743665065</v>
      </c>
      <c r="AH39" s="24" t="n">
        <v>0</v>
      </c>
      <c r="AI39" s="24" t="n">
        <v>0</v>
      </c>
      <c r="AJ39" s="25" t="n"/>
      <c r="AK39" s="24" t="n">
        <v>0</v>
      </c>
      <c r="AL39" s="24" t="n">
        <v>0</v>
      </c>
      <c r="AM39" s="24" t="n">
        <v>0</v>
      </c>
      <c r="AN39" s="24" t="n">
        <v>0</v>
      </c>
      <c r="AO39" s="25" t="n"/>
    </row>
    <row r="40">
      <c r="A40" s="12" t="inlineStr">
        <is>
          <t>drv:영업활동현금흐름</t>
        </is>
      </c>
      <c r="B40" s="2" t="inlineStr">
        <is>
          <t>yoy</t>
        </is>
      </c>
      <c r="C40" t="inlineStr">
        <is>
          <t>영업활동현금흐름 YoY</t>
        </is>
      </c>
      <c r="E40" s="21" t="n"/>
      <c r="F40" s="22" t="n"/>
      <c r="G40" s="21" t="n"/>
      <c r="H40" s="21" t="n"/>
      <c r="I40" s="21" t="n"/>
      <c r="J40" s="21">
        <f>IFERROR(subQ!J32/subQ!E32-1,"")</f>
        <v/>
      </c>
      <c r="K40" s="22" t="n"/>
      <c r="L40" s="21">
        <f>IFERROR(subQ!L32/subQ!G32-1,"")</f>
        <v/>
      </c>
      <c r="M40" s="21">
        <f>IFERROR(subQ!M32/subQ!H32-1,"")</f>
        <v/>
      </c>
      <c r="N40" s="21">
        <f>IFERROR(subQ!N32/subQ!I32-1,"")</f>
        <v/>
      </c>
      <c r="O40" s="21">
        <f>IFERROR(subQ!O32/subQ!J32-1,"")</f>
        <v/>
      </c>
      <c r="P40" s="22" t="n"/>
      <c r="Q40" s="21">
        <f>IFERROR(subQ!Q32/subQ!L32-1,"")</f>
        <v/>
      </c>
      <c r="R40" s="21">
        <f>IFERROR(subQ!R32/subQ!M32-1,"")</f>
        <v/>
      </c>
      <c r="S40" s="21">
        <f>IFERROR(subQ!S32/subQ!N32-1,"")</f>
        <v/>
      </c>
      <c r="T40" s="21">
        <f>IFERROR(subQ!T32/subQ!O32-1,"")</f>
        <v/>
      </c>
      <c r="U40" s="22" t="n"/>
      <c r="V40" s="21">
        <f>IFERROR(subQ!V32/subQ!Q32-1,"")</f>
        <v/>
      </c>
      <c r="W40" s="21">
        <f>IFERROR(subQ!W32/subQ!R32-1,"")</f>
        <v/>
      </c>
      <c r="X40" s="21">
        <f>IFERROR(subQ!X32/subQ!S32-1,"")</f>
        <v/>
      </c>
      <c r="Y40" s="21">
        <f>IFERROR(subQ!Y32/subQ!T32-1,"")</f>
        <v/>
      </c>
      <c r="Z40" s="22" t="n"/>
      <c r="AA40" s="21">
        <f>IFERROR(subQ!AA32/subQ!V32-1,"")</f>
        <v/>
      </c>
      <c r="AB40" s="23">
        <f>IFERROR(subQ!AB32/subQ!W32-1,"")</f>
        <v/>
      </c>
      <c r="AC40" s="33" t="n"/>
      <c r="AD40" s="33" t="n"/>
      <c r="AE40" s="25" t="n"/>
      <c r="AF40" s="33" t="n"/>
      <c r="AG40" s="33" t="n"/>
      <c r="AH40" s="33" t="n"/>
      <c r="AI40" s="33" t="n"/>
      <c r="AJ40" s="25" t="n"/>
      <c r="AK40" s="33" t="n"/>
      <c r="AL40" s="33" t="n"/>
      <c r="AM40" s="33" t="n"/>
      <c r="AN40" s="33" t="n"/>
      <c r="AO40" s="25" t="n"/>
    </row>
    <row r="41">
      <c r="A41" s="12" t="inlineStr">
        <is>
          <t>drv:주식수</t>
        </is>
      </c>
      <c r="B41" s="2" t="inlineStr">
        <is>
          <t>qoq</t>
        </is>
      </c>
      <c r="C41" t="inlineStr">
        <is>
          <t>주식수 QoQ</t>
        </is>
      </c>
      <c r="E41" s="21" t="n"/>
      <c r="F41" s="22" t="n"/>
      <c r="G41" s="21">
        <f>IFERROR(subQ!G33/subQ!E33-1,"")</f>
        <v/>
      </c>
      <c r="H41" s="21">
        <f>IFERROR(subQ!H33/subQ!G33-1,"")</f>
        <v/>
      </c>
      <c r="I41" s="21">
        <f>IFERROR(subQ!I33/subQ!H33-1,"")</f>
        <v/>
      </c>
      <c r="J41" s="21">
        <f>IFERROR(subQ!J33/subQ!I33-1,"")</f>
        <v/>
      </c>
      <c r="K41" s="22" t="n"/>
      <c r="L41" s="21">
        <f>IFERROR(subQ!L33/subQ!J33-1,"")</f>
        <v/>
      </c>
      <c r="M41" s="21">
        <f>IFERROR(subQ!M33/subQ!L33-1,"")</f>
        <v/>
      </c>
      <c r="N41" s="21">
        <f>IFERROR(subQ!N33/subQ!M33-1,"")</f>
        <v/>
      </c>
      <c r="O41" s="21">
        <f>IFERROR(subQ!O33/subQ!N33-1,"")</f>
        <v/>
      </c>
      <c r="P41" s="22" t="n"/>
      <c r="Q41" s="21">
        <f>IFERROR(subQ!Q33/subQ!O33-1,"")</f>
        <v/>
      </c>
      <c r="R41" s="21">
        <f>IFERROR(subQ!R33/subQ!Q33-1,"")</f>
        <v/>
      </c>
      <c r="S41" s="21">
        <f>IFERROR(subQ!S33/subQ!R33-1,"")</f>
        <v/>
      </c>
      <c r="T41" s="21">
        <f>IFERROR(subQ!T33/subQ!S33-1,"")</f>
        <v/>
      </c>
      <c r="U41" s="22" t="n"/>
      <c r="V41" s="21">
        <f>IFERROR(subQ!V33/subQ!T33-1,"")</f>
        <v/>
      </c>
      <c r="W41" s="21">
        <f>IFERROR(subQ!W33/subQ!V33-1,"")</f>
        <v/>
      </c>
      <c r="X41" s="21">
        <f>IFERROR(subQ!X33/subQ!W33-1,"")</f>
        <v/>
      </c>
      <c r="Y41" s="21">
        <f>IFERROR(subQ!Y33/subQ!X33-1,"")</f>
        <v/>
      </c>
      <c r="Z41" s="22" t="n"/>
      <c r="AA41" s="21">
        <f>IFERROR(subQ!AA33/subQ!Y33-1,"")</f>
        <v/>
      </c>
      <c r="AB41" s="23">
        <f>IFERROR(subQ!AB33/subQ!AA33-1,"")</f>
        <v/>
      </c>
      <c r="AC41" s="24" t="n">
        <v>0</v>
      </c>
      <c r="AD41" s="24" t="n">
        <v>0</v>
      </c>
      <c r="AE41" s="25" t="n"/>
      <c r="AF41" s="24" t="n">
        <v>0</v>
      </c>
      <c r="AG41" s="24" t="n">
        <v>0</v>
      </c>
      <c r="AH41" s="24" t="n">
        <v>0</v>
      </c>
      <c r="AI41" s="24" t="n">
        <v>0</v>
      </c>
      <c r="AJ41" s="25" t="n"/>
      <c r="AK41" s="24" t="n">
        <v>0</v>
      </c>
      <c r="AL41" s="24" t="n">
        <v>0</v>
      </c>
      <c r="AM41" s="24" t="n">
        <v>0</v>
      </c>
      <c r="AN41" s="24" t="n">
        <v>0</v>
      </c>
      <c r="AO41" s="25" t="n"/>
    </row>
    <row r="42">
      <c r="A42" s="12" t="inlineStr">
        <is>
          <t>drv:DPS</t>
        </is>
      </c>
      <c r="B42" s="2" t="inlineStr">
        <is>
          <t>abs</t>
        </is>
      </c>
      <c r="C42" t="inlineStr">
        <is>
          <t>DPS (가정, 원)</t>
        </is>
      </c>
      <c r="E42" s="27">
        <f>subQ!E36</f>
        <v/>
      </c>
      <c r="F42" s="28">
        <f>subQ!F36</f>
        <v/>
      </c>
      <c r="G42" s="27">
        <f>subQ!G36</f>
        <v/>
      </c>
      <c r="H42" s="27">
        <f>subQ!H36</f>
        <v/>
      </c>
      <c r="I42" s="27">
        <f>subQ!I36</f>
        <v/>
      </c>
      <c r="J42" s="27">
        <f>subQ!J36</f>
        <v/>
      </c>
      <c r="K42" s="28">
        <f>subQ!K36</f>
        <v/>
      </c>
      <c r="L42" s="27">
        <f>subQ!L36</f>
        <v/>
      </c>
      <c r="M42" s="27">
        <f>subQ!M36</f>
        <v/>
      </c>
      <c r="N42" s="27">
        <f>subQ!N36</f>
        <v/>
      </c>
      <c r="O42" s="27">
        <f>subQ!O36</f>
        <v/>
      </c>
      <c r="P42" s="28">
        <f>subQ!P36</f>
        <v/>
      </c>
      <c r="Q42" s="27">
        <f>subQ!Q36</f>
        <v/>
      </c>
      <c r="R42" s="27">
        <f>subQ!R36</f>
        <v/>
      </c>
      <c r="S42" s="27">
        <f>subQ!S36</f>
        <v/>
      </c>
      <c r="T42" s="27">
        <f>subQ!T36</f>
        <v/>
      </c>
      <c r="U42" s="28">
        <f>subQ!U36</f>
        <v/>
      </c>
      <c r="V42" s="27">
        <f>subQ!V36</f>
        <v/>
      </c>
      <c r="W42" s="27">
        <f>subQ!W36</f>
        <v/>
      </c>
      <c r="X42" s="27">
        <f>subQ!X36</f>
        <v/>
      </c>
      <c r="Y42" s="27">
        <f>subQ!Y36</f>
        <v/>
      </c>
      <c r="Z42" s="28">
        <f>subQ!Z36</f>
        <v/>
      </c>
      <c r="AA42" s="27">
        <f>subQ!AA36</f>
        <v/>
      </c>
      <c r="AB42" s="29">
        <f>subQ!AB36</f>
        <v/>
      </c>
      <c r="AC42" s="32" t="n"/>
      <c r="AD42" s="30" t="n">
        <v>0</v>
      </c>
      <c r="AE42" s="31">
        <f>subQ!AE36</f>
        <v/>
      </c>
      <c r="AF42" s="32" t="n"/>
      <c r="AG42" s="32" t="n"/>
      <c r="AH42" s="32" t="n"/>
      <c r="AI42" s="30" t="n">
        <v>0</v>
      </c>
      <c r="AJ42" s="31">
        <f>subQ!AJ36</f>
        <v/>
      </c>
      <c r="AK42" s="32" t="n"/>
      <c r="AL42" s="32" t="n"/>
      <c r="AM42" s="32" t="n"/>
      <c r="AN42" s="30" t="n">
        <v>0</v>
      </c>
      <c r="AO42" s="31">
        <f>subQ!AO36</f>
        <v/>
      </c>
    </row>
    <row r="43"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B44" s="1" t="inlineStr">
        <is>
          <t>3. 밸류에이션·스칼라</t>
        </is>
      </c>
      <c r="C44" s="2" t="inlineStr">
        <is>
          <t>노란 셀 = 가정. '연결' 표시는 추정 전 분기 수식이 이 셀을 참조한다는 뜻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sc:종가</t>
        </is>
      </c>
      <c r="C45" t="inlineStr">
        <is>
          <t>종가</t>
        </is>
      </c>
      <c r="D45" s="34" t="n">
        <v>66600</v>
      </c>
      <c r="E45" s="2" t="inlineStr">
        <is>
          <t>원 — 네이버 정규장 종가(aik 확정종가 대조 · aik 63,300원)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sc:기준일</t>
        </is>
      </c>
      <c r="C46" t="inlineStr">
        <is>
          <t>기준일</t>
        </is>
      </c>
      <c r="D46" s="35" t="inlineStr">
        <is>
          <t>20261019</t>
        </is>
      </c>
      <c r="E46" s="2" t="inlineStr">
        <is>
          <t>종가 기준일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sc:COE</t>
        </is>
      </c>
      <c r="C47" t="inlineStr">
        <is>
          <t>COE</t>
        </is>
      </c>
      <c r="D47" s="24" t="n">
        <v>0.09</v>
      </c>
      <c r="E47" s="2" t="inlineStr">
        <is>
          <t>자기자본비용(가정) — TP 적정 PBR = ROE/COE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sc:PER_lo</t>
        </is>
      </c>
      <c r="C48" t="inlineStr">
        <is>
          <t>PER_lo</t>
        </is>
      </c>
      <c r="D48" s="30" t="n">
        <v>10</v>
      </c>
      <c r="E48" s="2" t="inlineStr">
        <is>
          <t>PER 밴드 하단(배) — sector_default(레퍼런스 TP_PE PB 예시 10/15/20배; 과거 PER 중위 171.3배가 3~40 밖(턴어라운드 왜곡))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sc:PER_mid</t>
        </is>
      </c>
      <c r="C49" t="inlineStr">
        <is>
          <t>PER_mid</t>
        </is>
      </c>
      <c r="D49" s="30" t="n">
        <v>15</v>
      </c>
      <c r="E49" s="2" t="inlineStr">
        <is>
          <t>PER 밴드 중단(배)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sc:PER_hi</t>
        </is>
      </c>
      <c r="C50" t="inlineStr">
        <is>
          <t>PER_hi</t>
        </is>
      </c>
      <c r="D50" s="30" t="n">
        <v>20</v>
      </c>
      <c r="E50" s="2" t="inlineStr">
        <is>
          <t>PER 밴드 상단(배)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sc:EPS_Y1가중</t>
        </is>
      </c>
      <c r="C51" t="inlineStr">
        <is>
          <t>EPS_Y1가중</t>
        </is>
      </c>
      <c r="D51" s="24" t="n">
        <v>0.5</v>
      </c>
      <c r="E51" s="2" t="inlineStr">
        <is>
          <t>12M fwd EPS = FY(last_actual연도)E × w + FY+1E × (1−w) — 기준 분기 2Q 이면 0.5(가정)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sc:세율</t>
        </is>
      </c>
      <c r="C52" t="inlineStr">
        <is>
          <t>세율</t>
        </is>
      </c>
      <c r="D52" s="36" t="n">
        <v>0.2200008014009354</v>
      </c>
      <c r="E52" s="2" t="inlineStr">
        <is>
          <t>연결 — 법인세 = MAX(세전,0) × 세율(역산, 재현 오차 ≤ 0.05억 · 모델 assumptions 0.22) · 최근 12분기 유효세율 34.8% 가 5~27% 밖; 세전 &gt; 0 분기 중위 42.9% 도 5~27% 밖 → 법정세율 근사 22% 가정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sc:판관비율</t>
        </is>
      </c>
      <c r="C53" t="inlineStr">
        <is>
          <t>판관비율</t>
        </is>
      </c>
      <c r="D53" s="36" t="n">
        <v>0.120164482055655</v>
      </c>
      <c r="E53" s="2" t="inlineStr">
        <is>
          <t>연결 — 판관비 = 매출액 × 판관비율(역산, 재현 오차 ≤ 0.05억 · 모델 assumptions 0.1202)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sc:지배주주비중</t>
        </is>
      </c>
      <c r="C54" t="inlineStr">
        <is>
          <t>지배주주비중</t>
        </is>
      </c>
      <c r="D54" s="36" t="n">
        <v>0.4000001388428973</v>
      </c>
      <c r="E54" s="2" t="inlineStr">
        <is>
          <t>연결 — 지배주주순이익 = 당기순이익 × 비중(역산, 재현 오차 ≤ 0.05억)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sc:이자율_자산</t>
        </is>
      </c>
      <c r="C55" t="inlineStr">
        <is>
          <t>이자율_자산</t>
        </is>
      </c>
      <c r="D55" s="36" t="n">
        <v>0.02376345087880409</v>
      </c>
      <c r="E55" s="2" t="inlineStr">
        <is>
          <t>연결 — 이자손익 = (전분기 이자발생자산 × 자산이자율 − 전분기 총차입금 × 부채이자율)/4(역산, 재현 오차 ≤ 0.05억 · 모델 assumptions 0.0238)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sc:이자율_부채</t>
        </is>
      </c>
      <c r="C56" t="inlineStr">
        <is>
          <t>이자율_부채</t>
        </is>
      </c>
      <c r="D56" s="36" t="n">
        <v>0.05178054189736901</v>
      </c>
      <c r="E56" s="2" t="inlineStr">
        <is>
          <t>연결 — 같은 수식의 부채 쪽(총차입금 행이 없으면 0)(역산, 재현 오차 ≤ 0.05억 · 모델 assumptions 0.0518)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sc:배당성향</t>
        </is>
      </c>
      <c r="C57" t="inlineStr">
        <is>
          <t>배당성향</t>
        </is>
      </c>
      <c r="D57" s="24" t="n">
        <v>0</v>
      </c>
      <c r="E57" s="2" t="inlineStr">
        <is>
          <t>배당성향(참고 — 모델은 직전 DPS 유지·Q2 지급 가정)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sc:외화순노출_백만$</t>
        </is>
      </c>
      <c r="C58" t="inlineStr">
        <is>
          <t>외화순노출_백만$</t>
        </is>
      </c>
      <c r="D58" s="30" t="n"/>
      <c r="E58" s="2" t="inlineStr">
        <is>
          <t>외화 순노출 × Δ기말환율 (외화 시트 방식) — 외화 순노출 미공시(face) → 0 + 표기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s="12" t="inlineStr">
        <is>
          <t>sc:헤지비율</t>
        </is>
      </c>
      <c r="C59" t="inlineStr">
        <is>
          <t>헤지비율</t>
        </is>
      </c>
      <c r="D59" s="24" t="n"/>
      <c r="E59" s="2" t="inlineStr">
        <is>
          <t>sls 없음</t>
        </is>
      </c>
      <c r="F59" s="9" t="n"/>
      <c r="K59" s="9" t="n"/>
      <c r="P59" s="9" t="n"/>
      <c r="U59" s="9" t="n"/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s="12" t="inlineStr">
        <is>
          <t>sc:헤지환율_약정</t>
        </is>
      </c>
      <c r="C60" t="inlineStr">
        <is>
          <t>헤지환율_약정</t>
        </is>
      </c>
      <c r="D60" s="16" t="n"/>
      <c r="E60" s="2" t="inlineStr">
        <is>
          <t>sls 없음</t>
        </is>
      </c>
      <c r="F60" s="9" t="n"/>
      <c r="K60" s="9" t="n"/>
      <c r="P60" s="9" t="n"/>
      <c r="U60" s="9" t="n"/>
      <c r="Z60" s="9" t="n"/>
      <c r="AB60" s="5" t="n"/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두산에너빌리티(연)</t>
        </is>
      </c>
      <c r="C3" s="2" t="inlineStr">
        <is>
          <t>UPDATE: 26-10-19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8417624.109999999</v>
      </c>
      <c r="F5" s="37" t="n">
        <v>8417624.109999999</v>
      </c>
      <c r="G5" s="18" t="n">
        <v>8671301.17</v>
      </c>
      <c r="H5" s="18" t="n">
        <v>8759163.85</v>
      </c>
      <c r="I5" s="18" t="n">
        <v>8917728.98</v>
      </c>
      <c r="J5" s="18" t="n">
        <v>8098893.73</v>
      </c>
      <c r="K5" s="37" t="n">
        <v>8098893.73</v>
      </c>
      <c r="L5" s="18" t="n">
        <v>8606257.300000001</v>
      </c>
      <c r="M5" s="18" t="n">
        <v>10004790.3</v>
      </c>
      <c r="N5" s="18" t="n">
        <v>9550625.130000001</v>
      </c>
      <c r="O5" s="18" t="n">
        <v>9641568.24</v>
      </c>
      <c r="P5" s="37" t="n">
        <v>9641568.24</v>
      </c>
      <c r="Q5" s="18" t="n">
        <v>10332147.91</v>
      </c>
      <c r="R5" s="18" t="n">
        <v>10355218.23</v>
      </c>
      <c r="S5" s="18" t="n">
        <v>9675109.970000001</v>
      </c>
      <c r="T5" s="18" t="n">
        <v>10049022</v>
      </c>
      <c r="U5" s="37" t="n">
        <v>10049022</v>
      </c>
      <c r="V5" s="18" t="n">
        <v>10508418</v>
      </c>
      <c r="W5" s="18" t="n">
        <v>9989814</v>
      </c>
      <c r="X5" s="18" t="n">
        <v>10510110</v>
      </c>
      <c r="Y5" s="18" t="n">
        <v>10771711</v>
      </c>
      <c r="Z5" s="37" t="n">
        <v>10771711</v>
      </c>
      <c r="AA5" s="18" t="n">
        <v>11598608</v>
      </c>
      <c r="AB5" s="19" t="n">
        <v>12466920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1908603.99</v>
      </c>
      <c r="F6" s="37" t="n">
        <v>1908603.99</v>
      </c>
      <c r="G6" s="18" t="n">
        <v>1588251.04</v>
      </c>
      <c r="H6" s="18" t="n">
        <v>1097413.5</v>
      </c>
      <c r="I6" s="18" t="n">
        <v>1467024.98</v>
      </c>
      <c r="J6" s="18" t="n">
        <v>1395837.6</v>
      </c>
      <c r="K6" s="37" t="n">
        <v>1395837.6</v>
      </c>
      <c r="L6" s="18" t="n">
        <v>1591895.43</v>
      </c>
      <c r="M6" s="18" t="n">
        <v>2724522.47</v>
      </c>
      <c r="N6" s="18" t="n">
        <v>2270177.26</v>
      </c>
      <c r="O6" s="18" t="n">
        <v>2620186.98</v>
      </c>
      <c r="P6" s="37" t="n">
        <v>2620186.98</v>
      </c>
      <c r="Q6" s="18" t="n">
        <v>2920099.79</v>
      </c>
      <c r="R6" s="18" t="n">
        <v>2585775.22</v>
      </c>
      <c r="S6" s="18" t="n">
        <v>2287606.91</v>
      </c>
      <c r="T6" s="18" t="n">
        <v>2898298</v>
      </c>
      <c r="U6" s="37" t="n">
        <v>2898298</v>
      </c>
      <c r="V6" s="18" t="n">
        <v>2609660</v>
      </c>
      <c r="W6" s="18" t="n">
        <v>2274305</v>
      </c>
      <c r="X6" s="18" t="n">
        <v>2404201</v>
      </c>
      <c r="Y6" s="18" t="n">
        <v>3080997</v>
      </c>
      <c r="Z6" s="37" t="n">
        <v>3080997</v>
      </c>
      <c r="AA6" s="18" t="n">
        <v>3090530</v>
      </c>
      <c r="AB6" s="19" t="n">
        <v>2541888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519150.03</v>
      </c>
      <c r="F7" s="37" t="n">
        <v>519150.03</v>
      </c>
      <c r="G7" s="18" t="n">
        <v>307771.09</v>
      </c>
      <c r="H7" s="18" t="n">
        <v>146932.43</v>
      </c>
      <c r="I7" s="18" t="n">
        <v>160221.94</v>
      </c>
      <c r="J7" s="18" t="n">
        <v>105780.37</v>
      </c>
      <c r="K7" s="37" t="n">
        <v>105780.37</v>
      </c>
      <c r="L7" s="18" t="n">
        <v>77697.17</v>
      </c>
      <c r="M7" s="18" t="n">
        <v>78595.5</v>
      </c>
      <c r="N7" s="18" t="n">
        <v>102386.09</v>
      </c>
      <c r="O7" s="18" t="n">
        <v>118271.68</v>
      </c>
      <c r="P7" s="37" t="n">
        <v>118271.68</v>
      </c>
      <c r="Q7" s="18" t="n">
        <v>135114.04</v>
      </c>
      <c r="R7" s="18" t="n">
        <v>101225.77</v>
      </c>
      <c r="S7" s="18" t="n">
        <v>100781.04</v>
      </c>
      <c r="T7" s="18" t="n">
        <v>143577</v>
      </c>
      <c r="U7" s="37" t="n">
        <v>143577</v>
      </c>
      <c r="V7" s="18" t="n">
        <v>151970</v>
      </c>
      <c r="W7" s="18" t="n">
        <v>120126</v>
      </c>
      <c r="X7" s="18" t="n">
        <v>111532</v>
      </c>
      <c r="Y7" s="18" t="n">
        <v>107870</v>
      </c>
      <c r="Z7" s="37" t="n">
        <v>107870</v>
      </c>
      <c r="AA7" s="18" t="n">
        <v>108861</v>
      </c>
      <c r="AB7" s="19" t="n">
        <v>276246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627154.23</v>
      </c>
      <c r="F8" s="37" t="n">
        <v>627154.23</v>
      </c>
      <c r="G8" s="18" t="n">
        <v>417385.52</v>
      </c>
      <c r="H8" s="18" t="n">
        <v>298653.58</v>
      </c>
      <c r="I8" s="18" t="n">
        <v>381714.59</v>
      </c>
      <c r="J8" s="18" t="n">
        <v>234608.48</v>
      </c>
      <c r="K8" s="37" t="n">
        <v>234608.48</v>
      </c>
      <c r="L8" s="18" t="n">
        <v>212411.69</v>
      </c>
      <c r="M8" s="18" t="n">
        <v>230469.24</v>
      </c>
      <c r="N8" s="18" t="n">
        <v>280614.4</v>
      </c>
      <c r="O8" s="18" t="n">
        <v>202997.84</v>
      </c>
      <c r="P8" s="37" t="n">
        <v>202997.84</v>
      </c>
      <c r="Q8" s="18" t="n">
        <v>252855.81</v>
      </c>
      <c r="R8" s="18" t="n">
        <v>254431.49</v>
      </c>
      <c r="S8" s="18" t="n">
        <v>173669.12</v>
      </c>
      <c r="T8" s="18" t="n">
        <v>285438</v>
      </c>
      <c r="U8" s="37" t="n">
        <v>285438</v>
      </c>
      <c r="V8" s="18" t="n">
        <v>289516</v>
      </c>
      <c r="W8" s="18" t="n">
        <v>170366</v>
      </c>
      <c r="X8" s="18" t="n">
        <v>178197</v>
      </c>
      <c r="Y8" s="18" t="n">
        <v>186426</v>
      </c>
      <c r="Z8" s="37" t="n">
        <v>186426</v>
      </c>
      <c r="AA8" s="18" t="n">
        <v>267810</v>
      </c>
      <c r="AB8" s="19" t="n">
        <v>493666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단기투자자산(공정가치)</t>
        </is>
      </c>
      <c r="E9" s="18" t="n">
        <v>197197.2</v>
      </c>
      <c r="F9" s="37" t="n">
        <v>197197.2</v>
      </c>
      <c r="G9" s="18" t="n">
        <v>159405.42</v>
      </c>
      <c r="H9" s="18" t="n">
        <v>64795.04</v>
      </c>
      <c r="I9" s="18" t="n">
        <v>23717.09</v>
      </c>
      <c r="J9" s="18" t="n">
        <v>23775.91</v>
      </c>
      <c r="K9" s="37" t="n">
        <v>23775.91</v>
      </c>
      <c r="L9" s="18" t="n">
        <v>23140.21</v>
      </c>
      <c r="M9" s="18" t="n">
        <v>76853.67</v>
      </c>
      <c r="N9" s="18" t="n">
        <v>77122.42</v>
      </c>
      <c r="O9" s="18" t="n">
        <v>84976.78</v>
      </c>
      <c r="P9" s="37" t="n">
        <v>84976.78</v>
      </c>
      <c r="Q9" s="18" t="n">
        <v>80576.85000000001</v>
      </c>
      <c r="R9" s="18" t="n">
        <v>351.19</v>
      </c>
      <c r="S9" s="18" t="n">
        <v>353.11</v>
      </c>
      <c r="T9" s="18" t="n">
        <v>0</v>
      </c>
      <c r="U9" s="37" t="n">
        <v>0</v>
      </c>
      <c r="V9" s="18" t="n">
        <v>0</v>
      </c>
      <c r="Z9" s="9" t="n"/>
      <c r="AB9" s="19" t="n">
        <v>75014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매출채권및기타채권</t>
        </is>
      </c>
      <c r="E10" s="18" t="n">
        <v>1128705.61</v>
      </c>
      <c r="F10" s="37" t="n">
        <v>1128705.61</v>
      </c>
      <c r="G10" s="18" t="n">
        <v>1340359.65</v>
      </c>
      <c r="H10" s="18" t="n">
        <v>1669760.65</v>
      </c>
      <c r="I10" s="18" t="n">
        <v>1716473.64</v>
      </c>
      <c r="J10" s="18" t="n">
        <v>1827688.03</v>
      </c>
      <c r="K10" s="37" t="n">
        <v>1827688.03</v>
      </c>
      <c r="L10" s="18" t="n">
        <v>1965339</v>
      </c>
      <c r="M10" s="18" t="n">
        <v>2077400.52</v>
      </c>
      <c r="N10" s="18" t="n">
        <v>1973318.33</v>
      </c>
      <c r="O10" s="18" t="n">
        <v>1812811.04</v>
      </c>
      <c r="P10" s="37" t="n">
        <v>1812811.04</v>
      </c>
      <c r="Q10" s="18" t="n">
        <v>1982359.69</v>
      </c>
      <c r="R10" s="18" t="n">
        <v>1951259.96</v>
      </c>
      <c r="S10" s="18" t="n">
        <v>1815503.51</v>
      </c>
      <c r="T10" s="18" t="n">
        <v>1767747</v>
      </c>
      <c r="U10" s="37" t="n">
        <v>1767747</v>
      </c>
      <c r="V10" s="18" t="n">
        <v>1990236</v>
      </c>
      <c r="W10" s="18" t="n">
        <v>2080255</v>
      </c>
      <c r="X10" s="18" t="n">
        <v>2255515</v>
      </c>
      <c r="Y10" s="18" t="n">
        <v>2279608</v>
      </c>
      <c r="Z10" s="37" t="n">
        <v>2279608</v>
      </c>
      <c r="AA10" s="18" t="n">
        <v>2393923</v>
      </c>
      <c r="AB10" s="19" t="n">
        <v>2787121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계약자산</t>
        </is>
      </c>
      <c r="E11" s="18" t="n">
        <v>1632887.64</v>
      </c>
      <c r="F11" s="37" t="n">
        <v>1632887.64</v>
      </c>
      <c r="G11" s="18" t="n">
        <v>1684090.41</v>
      </c>
      <c r="H11" s="18" t="n">
        <v>1470566.82</v>
      </c>
      <c r="I11" s="18" t="n">
        <v>1435796.94</v>
      </c>
      <c r="J11" s="18" t="n">
        <v>1156934.17</v>
      </c>
      <c r="K11" s="37" t="n">
        <v>1156934.17</v>
      </c>
      <c r="L11" s="18" t="n">
        <v>1126730.27</v>
      </c>
      <c r="M11" s="18" t="n">
        <v>1158383.44</v>
      </c>
      <c r="N11" s="18" t="n">
        <v>1307173.28</v>
      </c>
      <c r="O11" s="18" t="n">
        <v>1485570.36</v>
      </c>
      <c r="P11" s="37" t="n">
        <v>1485570.36</v>
      </c>
      <c r="Q11" s="18" t="n">
        <v>1456204.97</v>
      </c>
      <c r="R11" s="18" t="n">
        <v>1616743.11</v>
      </c>
      <c r="S11" s="18" t="n">
        <v>1586905.46</v>
      </c>
      <c r="T11" s="18" t="n">
        <v>1594506</v>
      </c>
      <c r="U11" s="37" t="n">
        <v>1594506</v>
      </c>
      <c r="V11" s="18" t="n">
        <v>1785013</v>
      </c>
      <c r="W11" s="18" t="n">
        <v>1890548</v>
      </c>
      <c r="X11" s="18" t="n">
        <v>1721431</v>
      </c>
      <c r="Y11" s="18" t="n">
        <v>1713692</v>
      </c>
      <c r="Z11" s="37" t="n">
        <v>1713692</v>
      </c>
      <c r="AA11" s="18" t="n">
        <v>1980736</v>
      </c>
      <c r="AB11" s="19" t="n">
        <v>2455840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선급금</t>
        </is>
      </c>
      <c r="E12" s="18" t="n">
        <v>499609.56</v>
      </c>
      <c r="F12" s="37" t="n">
        <v>499609.56</v>
      </c>
      <c r="G12" s="18" t="n">
        <v>601993.48</v>
      </c>
      <c r="H12" s="18" t="n">
        <v>699551.83</v>
      </c>
      <c r="I12" s="18" t="n">
        <v>667630.39</v>
      </c>
      <c r="J12" s="18" t="n">
        <v>609869.21</v>
      </c>
      <c r="K12" s="37" t="n">
        <v>609869.21</v>
      </c>
      <c r="L12" s="18" t="n">
        <v>582950.49</v>
      </c>
      <c r="M12" s="18" t="n">
        <v>613369.11</v>
      </c>
      <c r="N12" s="18" t="n">
        <v>564148.4300000001</v>
      </c>
      <c r="O12" s="18" t="n">
        <v>508209.82</v>
      </c>
      <c r="P12" s="37" t="n">
        <v>508209.82</v>
      </c>
      <c r="Q12" s="18" t="n">
        <v>454596.04</v>
      </c>
      <c r="R12" s="18" t="n">
        <v>530718.51</v>
      </c>
      <c r="S12" s="18" t="n">
        <v>368887.7</v>
      </c>
      <c r="T12" s="18" t="n">
        <v>360750</v>
      </c>
      <c r="U12" s="37" t="n">
        <v>360750</v>
      </c>
      <c r="V12" s="18" t="n">
        <v>377116</v>
      </c>
      <c r="W12" s="18" t="n">
        <v>372830</v>
      </c>
      <c r="X12" s="18" t="n">
        <v>454337</v>
      </c>
      <c r="Y12" s="18" t="n">
        <v>510532</v>
      </c>
      <c r="Z12" s="37" t="n">
        <v>510532</v>
      </c>
      <c r="AA12" s="18" t="n">
        <v>469171</v>
      </c>
      <c r="AB12" s="19" t="n">
        <v>451081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선급금등</t>
        </is>
      </c>
      <c r="E13" s="18" t="n">
        <v>499609.56</v>
      </c>
      <c r="F13" s="37" t="n">
        <v>499609.56</v>
      </c>
      <c r="G13" s="18" t="n">
        <v>601993.48</v>
      </c>
      <c r="H13" s="18" t="n">
        <v>699551.83</v>
      </c>
      <c r="I13" s="18" t="n">
        <v>667630.39</v>
      </c>
      <c r="J13" s="18" t="n">
        <v>609869.21</v>
      </c>
      <c r="K13" s="37" t="n">
        <v>609869.21</v>
      </c>
      <c r="L13" s="18" t="n">
        <v>582950.49</v>
      </c>
      <c r="M13" s="18" t="n">
        <v>613369.11</v>
      </c>
      <c r="N13" s="18" t="n">
        <v>564148.4300000001</v>
      </c>
      <c r="O13" s="18" t="n">
        <v>508209.82</v>
      </c>
      <c r="P13" s="37" t="n">
        <v>508209.82</v>
      </c>
      <c r="Q13" s="18" t="n">
        <v>454596.04</v>
      </c>
      <c r="R13" s="18" t="n">
        <v>530718.51</v>
      </c>
      <c r="S13" s="18" t="n">
        <v>368887.7</v>
      </c>
      <c r="T13" s="18" t="n">
        <v>360750</v>
      </c>
      <c r="U13" s="37" t="n">
        <v>360750</v>
      </c>
      <c r="V13" s="18" t="n">
        <v>377116</v>
      </c>
      <c r="W13" s="18" t="n">
        <v>372830</v>
      </c>
      <c r="X13" s="18" t="n">
        <v>454337</v>
      </c>
      <c r="Y13" s="18" t="n">
        <v>510532</v>
      </c>
      <c r="Z13" s="37" t="n">
        <v>510532</v>
      </c>
      <c r="AA13" s="18" t="n">
        <v>469171</v>
      </c>
      <c r="AB13" s="19" t="n">
        <v>451081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기타유동자산</t>
        </is>
      </c>
      <c r="E14" s="18" t="n">
        <v>784772.4399999999</v>
      </c>
      <c r="F14" s="37" t="n">
        <v>784772.4399999999</v>
      </c>
      <c r="G14" s="18" t="n">
        <v>915231.71</v>
      </c>
      <c r="H14" s="18" t="n">
        <v>1002515.84</v>
      </c>
      <c r="I14" s="18" t="n">
        <v>995620.14</v>
      </c>
      <c r="J14" s="18" t="n">
        <v>923853.7</v>
      </c>
      <c r="K14" s="37" t="n">
        <v>923853.7</v>
      </c>
      <c r="L14" s="18" t="n">
        <v>951495.08</v>
      </c>
      <c r="M14" s="18" t="n">
        <v>977095.05</v>
      </c>
      <c r="N14" s="18" t="n">
        <v>914075.95</v>
      </c>
      <c r="O14" s="18" t="n">
        <v>831622.46</v>
      </c>
      <c r="P14" s="37" t="n">
        <v>831622.46</v>
      </c>
      <c r="Q14" s="18" t="n">
        <v>790035.4399999999</v>
      </c>
      <c r="R14" s="18" t="n">
        <v>878485.5</v>
      </c>
      <c r="S14" s="18" t="n">
        <v>721963.24</v>
      </c>
      <c r="T14" s="18" t="n">
        <v>729689</v>
      </c>
      <c r="U14" s="37" t="n">
        <v>729689</v>
      </c>
      <c r="V14" s="18" t="n">
        <v>777171</v>
      </c>
      <c r="W14" s="18" t="n">
        <v>773824</v>
      </c>
      <c r="X14" s="18" t="n">
        <v>868614</v>
      </c>
      <c r="Y14" s="18" t="n">
        <v>936872</v>
      </c>
      <c r="Z14" s="37" t="n">
        <v>936872</v>
      </c>
      <c r="AA14" s="18" t="n">
        <v>915781</v>
      </c>
      <c r="AB14" s="19" t="n">
        <v>915499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단기대여금</t>
        </is>
      </c>
      <c r="E15" s="18" t="n">
        <v>62126.81</v>
      </c>
      <c r="F15" s="37" t="n">
        <v>62126.81</v>
      </c>
      <c r="G15" s="18" t="n">
        <v>57901.48</v>
      </c>
      <c r="H15" s="18" t="n">
        <v>61196.01</v>
      </c>
      <c r="I15" s="18" t="n">
        <v>59057.92</v>
      </c>
      <c r="J15" s="18" t="n">
        <v>73900.53</v>
      </c>
      <c r="K15" s="37" t="n">
        <v>73900.53</v>
      </c>
      <c r="L15" s="18" t="n">
        <v>69759.03999999999</v>
      </c>
      <c r="M15" s="18" t="n">
        <v>89995.92999999999</v>
      </c>
      <c r="N15" s="18" t="n">
        <v>102701.8</v>
      </c>
      <c r="O15" s="18" t="n">
        <v>47332.37</v>
      </c>
      <c r="P15" s="37" t="n">
        <v>47332.37</v>
      </c>
      <c r="Q15" s="18" t="n">
        <v>49839.12</v>
      </c>
      <c r="R15" s="18" t="n">
        <v>67987.83</v>
      </c>
      <c r="S15" s="18" t="n">
        <v>24364.08</v>
      </c>
      <c r="T15" s="18" t="n">
        <v>27611</v>
      </c>
      <c r="U15" s="37" t="n">
        <v>27611</v>
      </c>
      <c r="V15" s="18" t="n">
        <v>28796</v>
      </c>
      <c r="W15" s="18" t="n">
        <v>13192</v>
      </c>
      <c r="X15" s="18" t="n">
        <v>12937</v>
      </c>
      <c r="Y15" s="18" t="n">
        <v>12699</v>
      </c>
      <c r="Z15" s="37" t="n">
        <v>12699</v>
      </c>
      <c r="AA15" s="18" t="n">
        <v>28254</v>
      </c>
      <c r="AB15" s="19" t="n">
        <v>38866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유동확정계약자산</t>
        </is>
      </c>
      <c r="E16" s="18" t="n">
        <v>45877.39</v>
      </c>
      <c r="F16" s="37" t="n">
        <v>45877.39</v>
      </c>
      <c r="G16" s="18" t="n">
        <v>51712.95</v>
      </c>
      <c r="H16" s="18" t="n">
        <v>90525.14</v>
      </c>
      <c r="I16" s="18" t="n">
        <v>162434.73</v>
      </c>
      <c r="J16" s="18" t="n">
        <v>54927.58</v>
      </c>
      <c r="K16" s="37" t="n">
        <v>54927.58</v>
      </c>
      <c r="L16" s="18" t="n">
        <v>64955.48</v>
      </c>
      <c r="M16" s="18" t="n">
        <v>61877.81</v>
      </c>
      <c r="N16" s="18" t="n">
        <v>75526.50999999999</v>
      </c>
      <c r="O16" s="18" t="n">
        <v>37393.79</v>
      </c>
      <c r="P16" s="37" t="n">
        <v>37393.79</v>
      </c>
      <c r="Q16" s="18" t="n">
        <v>67902.64999999999</v>
      </c>
      <c r="R16" s="18" t="n">
        <v>85217.89</v>
      </c>
      <c r="S16" s="18" t="n">
        <v>48524</v>
      </c>
      <c r="T16" s="18" t="n">
        <v>114250</v>
      </c>
      <c r="U16" s="37" t="n">
        <v>114250</v>
      </c>
      <c r="V16" s="18" t="n">
        <v>108750</v>
      </c>
      <c r="W16" s="18" t="n">
        <v>37048</v>
      </c>
      <c r="X16" s="18" t="n">
        <v>53728</v>
      </c>
      <c r="Y16" s="18" t="n">
        <v>65857</v>
      </c>
      <c r="Z16" s="37" t="n">
        <v>65857</v>
      </c>
      <c r="AA16" s="18" t="n">
        <v>130695</v>
      </c>
      <c r="AB16" s="19" t="n">
        <v>178554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재고자산</t>
        </is>
      </c>
      <c r="E17" s="18" t="n">
        <v>1788420.16</v>
      </c>
      <c r="F17" s="37" t="n">
        <v>1788420.16</v>
      </c>
      <c r="G17" s="18" t="n">
        <v>2203137.05</v>
      </c>
      <c r="H17" s="18" t="n">
        <v>2327838.65</v>
      </c>
      <c r="I17" s="18" t="n">
        <v>2660766.04</v>
      </c>
      <c r="J17" s="18" t="n">
        <v>2459026</v>
      </c>
      <c r="K17" s="37" t="n">
        <v>2459026</v>
      </c>
      <c r="L17" s="18" t="n">
        <v>2653226.1</v>
      </c>
      <c r="M17" s="18" t="n">
        <v>2679270.28</v>
      </c>
      <c r="N17" s="18" t="n">
        <v>2691408.39</v>
      </c>
      <c r="O17" s="18" t="n">
        <v>2539004.35</v>
      </c>
      <c r="P17" s="37" t="n">
        <v>2539004.35</v>
      </c>
      <c r="Q17" s="18" t="n">
        <v>2790504.74</v>
      </c>
      <c r="R17" s="18" t="n">
        <v>3049889.23</v>
      </c>
      <c r="S17" s="18" t="n">
        <v>3071098.28</v>
      </c>
      <c r="T17" s="18" t="n">
        <v>2733933</v>
      </c>
      <c r="U17" s="37" t="n">
        <v>2733933</v>
      </c>
      <c r="V17" s="18" t="n">
        <v>3037819</v>
      </c>
      <c r="W17" s="18" t="n">
        <v>2719745</v>
      </c>
      <c r="X17" s="18" t="n">
        <v>2771060</v>
      </c>
      <c r="Y17" s="18" t="n">
        <v>2544025</v>
      </c>
      <c r="Z17" s="37" t="n">
        <v>2544025</v>
      </c>
      <c r="AA17" s="18" t="n">
        <v>2828194</v>
      </c>
      <c r="AB17" s="19" t="n">
        <v>3144625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매각예정비유동자산및처분자산</t>
        </is>
      </c>
      <c r="E18" s="18" t="n">
        <v>319607.73</v>
      </c>
      <c r="F18" s="37" t="n">
        <v>319607.73</v>
      </c>
      <c r="G18" s="18" t="n">
        <v>329114.59</v>
      </c>
      <c r="H18" s="18" t="n">
        <v>759705.53</v>
      </c>
      <c r="I18" s="18" t="n">
        <v>30644.74</v>
      </c>
      <c r="J18" s="18" t="n">
        <v>4684.77</v>
      </c>
      <c r="K18" s="37" t="n">
        <v>4684.77</v>
      </c>
      <c r="L18" s="18" t="n">
        <v>15238.93</v>
      </c>
      <c r="M18" s="18" t="n">
        <v>14265.03</v>
      </c>
      <c r="N18" s="18" t="n">
        <v>14265.03</v>
      </c>
      <c r="O18" s="18" t="n">
        <v>44183.59</v>
      </c>
      <c r="P18" s="37" t="n">
        <v>44183.59</v>
      </c>
      <c r="Q18" s="18" t="n">
        <v>44188.19</v>
      </c>
      <c r="R18" s="18" t="n">
        <v>1505.81</v>
      </c>
      <c r="S18" s="18" t="n">
        <v>1505.81</v>
      </c>
      <c r="T18" s="18" t="n">
        <v>1506</v>
      </c>
      <c r="U18" s="37" t="n">
        <v>1506</v>
      </c>
      <c r="V18" s="18" t="n">
        <v>1291</v>
      </c>
      <c r="W18" s="18" t="n">
        <v>0</v>
      </c>
      <c r="X18" s="18" t="n">
        <v>264654</v>
      </c>
      <c r="Y18" s="18" t="n">
        <v>0</v>
      </c>
      <c r="Z18" s="37" t="n">
        <v>0</v>
      </c>
      <c r="AA18" s="18" t="n">
        <v>84218</v>
      </c>
      <c r="AB18" s="5" t="n"/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비유동자산</t>
        </is>
      </c>
      <c r="E19" s="18" t="n">
        <v>15302921.52</v>
      </c>
      <c r="F19" s="37" t="n">
        <v>15302921.52</v>
      </c>
      <c r="G19" s="18" t="n">
        <v>15474502.06</v>
      </c>
      <c r="H19" s="18" t="n">
        <v>15512187.1</v>
      </c>
      <c r="I19" s="18" t="n">
        <v>16253182.64</v>
      </c>
      <c r="J19" s="18" t="n">
        <v>14950888.07</v>
      </c>
      <c r="K19" s="37" t="n">
        <v>14950888.07</v>
      </c>
      <c r="L19" s="18" t="n">
        <v>15392071.78</v>
      </c>
      <c r="M19" s="18" t="n">
        <v>15302681.12</v>
      </c>
      <c r="N19" s="18" t="n">
        <v>15389293.71</v>
      </c>
      <c r="O19" s="18" t="n">
        <v>14999265.7</v>
      </c>
      <c r="P19" s="37" t="n">
        <v>14999265.7</v>
      </c>
      <c r="Q19" s="18" t="n">
        <v>15324972.87</v>
      </c>
      <c r="R19" s="18" t="n">
        <v>15758886.32</v>
      </c>
      <c r="S19" s="18" t="n">
        <v>15589486.75</v>
      </c>
      <c r="T19" s="18" t="n">
        <v>16265813</v>
      </c>
      <c r="U19" s="37" t="n">
        <v>16265813</v>
      </c>
      <c r="V19" s="18" t="n">
        <v>16388575</v>
      </c>
      <c r="W19" s="18" t="n">
        <v>16315382</v>
      </c>
      <c r="X19" s="18" t="n">
        <v>16517793</v>
      </c>
      <c r="Y19" s="18" t="n">
        <v>16741512</v>
      </c>
      <c r="Z19" s="37" t="n">
        <v>16741512</v>
      </c>
      <c r="AA19" s="18" t="n">
        <v>17096447</v>
      </c>
      <c r="AB19" s="19" t="n">
        <v>17480822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장기금융자산</t>
        </is>
      </c>
      <c r="E20" s="18" t="n">
        <v>330981.78</v>
      </c>
      <c r="F20" s="37" t="n">
        <v>330981.78</v>
      </c>
      <c r="G20" s="18" t="n">
        <v>341610.11</v>
      </c>
      <c r="H20" s="18" t="n">
        <v>361434.62</v>
      </c>
      <c r="I20" s="18" t="n">
        <v>387940.7</v>
      </c>
      <c r="J20" s="18" t="n">
        <v>352607.3</v>
      </c>
      <c r="K20" s="37" t="n">
        <v>352607.3</v>
      </c>
      <c r="L20" s="18" t="n">
        <v>358710.15</v>
      </c>
      <c r="M20" s="18" t="n">
        <v>274444.31</v>
      </c>
      <c r="N20" s="18" t="n">
        <v>270458.36</v>
      </c>
      <c r="O20" s="18" t="n">
        <v>247214.42</v>
      </c>
      <c r="P20" s="37" t="n">
        <v>247214.42</v>
      </c>
      <c r="Q20" s="18" t="n">
        <v>262341.07</v>
      </c>
      <c r="R20" s="18" t="n">
        <v>381874.22</v>
      </c>
      <c r="S20" s="18" t="n">
        <v>367362.09</v>
      </c>
      <c r="T20" s="18" t="n">
        <v>461718</v>
      </c>
      <c r="U20" s="37" t="n">
        <v>461718</v>
      </c>
      <c r="V20" s="18" t="n">
        <v>479843</v>
      </c>
      <c r="W20" s="18" t="n">
        <v>600020</v>
      </c>
      <c r="X20" s="18" t="n">
        <v>628449</v>
      </c>
      <c r="Y20" s="18" t="n">
        <v>491644</v>
      </c>
      <c r="Z20" s="37" t="n">
        <v>491644</v>
      </c>
      <c r="AA20" s="18" t="n">
        <v>487980</v>
      </c>
      <c r="AB20" s="19" t="n">
        <v>503046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투자자산</t>
        </is>
      </c>
      <c r="E21" s="18" t="n">
        <v>978622.22</v>
      </c>
      <c r="F21" s="37" t="n">
        <v>978622.22</v>
      </c>
      <c r="G21" s="18" t="n">
        <v>1014080.63</v>
      </c>
      <c r="H21" s="18" t="n">
        <v>1088113.26</v>
      </c>
      <c r="I21" s="18" t="n">
        <v>1242709.46</v>
      </c>
      <c r="J21" s="18" t="n">
        <v>790337.3199999999</v>
      </c>
      <c r="K21" s="37" t="n">
        <v>790337.3199999999</v>
      </c>
      <c r="L21" s="18" t="n">
        <v>975412.05</v>
      </c>
      <c r="M21" s="18" t="n">
        <v>910037.28</v>
      </c>
      <c r="N21" s="18" t="n">
        <v>887378.2</v>
      </c>
      <c r="O21" s="18" t="n">
        <v>774812.0699999999</v>
      </c>
      <c r="P21" s="37" t="n">
        <v>774812.0699999999</v>
      </c>
      <c r="Q21" s="18" t="n">
        <v>854459.2</v>
      </c>
      <c r="R21" s="18" t="n">
        <v>1029267.98</v>
      </c>
      <c r="S21" s="18" t="n">
        <v>1054127.13</v>
      </c>
      <c r="T21" s="18" t="n">
        <v>994606</v>
      </c>
      <c r="U21" s="37" t="n">
        <v>994606</v>
      </c>
      <c r="V21" s="18" t="n">
        <v>987513</v>
      </c>
      <c r="W21" s="18" t="n">
        <v>1151603</v>
      </c>
      <c r="X21" s="18" t="n">
        <v>1190482</v>
      </c>
      <c r="Y21" s="18" t="n">
        <v>1025298</v>
      </c>
      <c r="Z21" s="37" t="n">
        <v>1025298</v>
      </c>
      <c r="AA21" s="18" t="n">
        <v>1056140</v>
      </c>
      <c r="AB21" s="19" t="n">
        <v>1238382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종속기업및관계기업투자</t>
        </is>
      </c>
      <c r="E22" s="18" t="n">
        <v>582045.11</v>
      </c>
      <c r="F22" s="37" t="n">
        <v>582045.11</v>
      </c>
      <c r="G22" s="18" t="n">
        <v>600360.64</v>
      </c>
      <c r="H22" s="18" t="n">
        <v>610282.45</v>
      </c>
      <c r="I22" s="18" t="n">
        <v>683056.03</v>
      </c>
      <c r="J22" s="18" t="n">
        <v>355954.92</v>
      </c>
      <c r="K22" s="37" t="n">
        <v>355954.92</v>
      </c>
      <c r="L22" s="18" t="n">
        <v>377073.95</v>
      </c>
      <c r="M22" s="18" t="n">
        <v>394718.45</v>
      </c>
      <c r="N22" s="18" t="n">
        <v>370318.2</v>
      </c>
      <c r="O22" s="18" t="n">
        <v>316869.59</v>
      </c>
      <c r="P22" s="37" t="n">
        <v>316869.59</v>
      </c>
      <c r="Q22" s="18" t="n">
        <v>362439.33</v>
      </c>
      <c r="R22" s="18" t="n">
        <v>403890.58</v>
      </c>
      <c r="S22" s="18" t="n">
        <v>416340.43</v>
      </c>
      <c r="T22" s="18" t="n">
        <v>347660</v>
      </c>
      <c r="U22" s="37" t="n">
        <v>347660</v>
      </c>
      <c r="V22" s="18" t="n">
        <v>348456</v>
      </c>
      <c r="W22" s="18" t="n">
        <v>358134</v>
      </c>
      <c r="X22" s="18" t="n">
        <v>382629</v>
      </c>
      <c r="Y22" s="18" t="n">
        <v>352647</v>
      </c>
      <c r="Z22" s="37" t="n">
        <v>352647</v>
      </c>
      <c r="AA22" s="18" t="n">
        <v>372988</v>
      </c>
      <c r="AB22" s="19" t="n">
        <v>394865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장기대여금</t>
        </is>
      </c>
      <c r="E23" s="18" t="n">
        <v>44703.08</v>
      </c>
      <c r="F23" s="37" t="n">
        <v>44703.08</v>
      </c>
      <c r="G23" s="18" t="n">
        <v>46690.4</v>
      </c>
      <c r="H23" s="18" t="n">
        <v>53226.25</v>
      </c>
      <c r="I23" s="18" t="n">
        <v>53326.31</v>
      </c>
      <c r="J23" s="18" t="n">
        <v>41235.87</v>
      </c>
      <c r="K23" s="37" t="n">
        <v>41235.87</v>
      </c>
      <c r="L23" s="18" t="n">
        <v>193743.84</v>
      </c>
      <c r="M23" s="18" t="n">
        <v>198198.25</v>
      </c>
      <c r="N23" s="18" t="n">
        <v>200100.13</v>
      </c>
      <c r="O23" s="18" t="n">
        <v>184879.26</v>
      </c>
      <c r="P23" s="37" t="n">
        <v>184879.26</v>
      </c>
      <c r="Q23" s="18" t="n">
        <v>209128.49</v>
      </c>
      <c r="R23" s="18" t="n">
        <v>216572.23</v>
      </c>
      <c r="S23" s="18" t="n">
        <v>260807.85</v>
      </c>
      <c r="T23" s="18" t="n">
        <v>171691</v>
      </c>
      <c r="U23" s="37" t="n">
        <v>171691</v>
      </c>
      <c r="V23" s="18" t="n">
        <v>148235</v>
      </c>
      <c r="W23" s="18" t="n">
        <v>164398</v>
      </c>
      <c r="X23" s="18" t="n">
        <v>134483</v>
      </c>
      <c r="Y23" s="18" t="n">
        <v>118354</v>
      </c>
      <c r="Z23" s="37" t="n">
        <v>118354</v>
      </c>
      <c r="AA23" s="18" t="n">
        <v>103326</v>
      </c>
      <c r="AB23" s="19" t="n">
        <v>102065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유형자산</t>
        </is>
      </c>
      <c r="E24" s="18" t="n">
        <v>5436969.44</v>
      </c>
      <c r="F24" s="37" t="n">
        <v>5436969.44</v>
      </c>
      <c r="G24" s="18" t="n">
        <v>5442606.25</v>
      </c>
      <c r="H24" s="18" t="n">
        <v>5232674.76</v>
      </c>
      <c r="I24" s="18" t="n">
        <v>5342548.82</v>
      </c>
      <c r="J24" s="18" t="n">
        <v>5022147.62</v>
      </c>
      <c r="K24" s="37" t="n">
        <v>5022147.62</v>
      </c>
      <c r="L24" s="18" t="n">
        <v>5082049.53</v>
      </c>
      <c r="M24" s="18" t="n">
        <v>5070278.09</v>
      </c>
      <c r="N24" s="18" t="n">
        <v>5106593.62</v>
      </c>
      <c r="O24" s="18" t="n">
        <v>5225149.3</v>
      </c>
      <c r="P24" s="37" t="n">
        <v>5225149.3</v>
      </c>
      <c r="Q24" s="18" t="n">
        <v>5262427.68</v>
      </c>
      <c r="R24" s="18" t="n">
        <v>5359626.93</v>
      </c>
      <c r="S24" s="18" t="n">
        <v>5376205.82</v>
      </c>
      <c r="T24" s="18" t="n">
        <v>5703049</v>
      </c>
      <c r="U24" s="37" t="n">
        <v>5703049</v>
      </c>
      <c r="V24" s="18" t="n">
        <v>5716936</v>
      </c>
      <c r="W24" s="18" t="n">
        <v>5681822</v>
      </c>
      <c r="X24" s="18" t="n">
        <v>5658171</v>
      </c>
      <c r="Y24" s="18" t="n">
        <v>5776625</v>
      </c>
      <c r="Z24" s="37" t="n">
        <v>5776625</v>
      </c>
      <c r="AA24" s="18" t="n">
        <v>5822454</v>
      </c>
      <c r="AB24" s="19" t="n">
        <v>5916940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무형자산</t>
        </is>
      </c>
      <c r="E25" s="18" t="n">
        <v>8015980.13</v>
      </c>
      <c r="F25" s="37" t="n">
        <v>8015980.13</v>
      </c>
      <c r="G25" s="18" t="n">
        <v>8112119.69</v>
      </c>
      <c r="H25" s="18" t="n">
        <v>8282884.81</v>
      </c>
      <c r="I25" s="18" t="n">
        <v>8732222.76</v>
      </c>
      <c r="J25" s="18" t="n">
        <v>7772723.58</v>
      </c>
      <c r="K25" s="37" t="n">
        <v>7772723.58</v>
      </c>
      <c r="L25" s="18" t="n">
        <v>8009455.98</v>
      </c>
      <c r="M25" s="18" t="n">
        <v>8063006.65</v>
      </c>
      <c r="N25" s="18" t="n">
        <v>8158771.48</v>
      </c>
      <c r="O25" s="18" t="n">
        <v>7892981.69</v>
      </c>
      <c r="P25" s="37" t="n">
        <v>7892981.69</v>
      </c>
      <c r="Q25" s="18" t="n">
        <v>8080508.77</v>
      </c>
      <c r="R25" s="18" t="n">
        <v>8268439.46</v>
      </c>
      <c r="S25" s="18" t="n">
        <v>8088419.89</v>
      </c>
      <c r="T25" s="18" t="n">
        <v>8397290</v>
      </c>
      <c r="U25" s="37" t="n">
        <v>8397290</v>
      </c>
      <c r="V25" s="18" t="n">
        <v>8515804</v>
      </c>
      <c r="W25" s="18" t="n">
        <v>8360155</v>
      </c>
      <c r="X25" s="18" t="n">
        <v>8574522</v>
      </c>
      <c r="Y25" s="18" t="n">
        <v>8723585</v>
      </c>
      <c r="Z25" s="37" t="n">
        <v>8723585</v>
      </c>
      <c r="AA25" s="18" t="n">
        <v>8986009</v>
      </c>
      <c r="AB25" s="19" t="n">
        <v>9102599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투자부동산</t>
        </is>
      </c>
      <c r="E26" s="18" t="n">
        <v>72920.33</v>
      </c>
      <c r="F26" s="37" t="n">
        <v>72920.33</v>
      </c>
      <c r="G26" s="18" t="n">
        <v>72447.44</v>
      </c>
      <c r="H26" s="18" t="n">
        <v>71430.67999999999</v>
      </c>
      <c r="I26" s="18" t="n">
        <v>79680.81</v>
      </c>
      <c r="J26" s="18" t="n">
        <v>274446.28</v>
      </c>
      <c r="K26" s="37" t="n">
        <v>274446.28</v>
      </c>
      <c r="L26" s="18" t="n">
        <v>251276.15</v>
      </c>
      <c r="M26" s="18" t="n">
        <v>282378.93</v>
      </c>
      <c r="N26" s="18" t="n">
        <v>280931.12</v>
      </c>
      <c r="O26" s="18" t="n">
        <v>208608.26</v>
      </c>
      <c r="P26" s="37" t="n">
        <v>208608.26</v>
      </c>
      <c r="Q26" s="18" t="n">
        <v>208380.54</v>
      </c>
      <c r="R26" s="18" t="n">
        <v>206782.51</v>
      </c>
      <c r="S26" s="18" t="n">
        <v>205891.8</v>
      </c>
      <c r="T26" s="18" t="n">
        <v>228288</v>
      </c>
      <c r="U26" s="37" t="n">
        <v>228288</v>
      </c>
      <c r="V26" s="18" t="n">
        <v>226689</v>
      </c>
      <c r="W26" s="18" t="n">
        <v>225138</v>
      </c>
      <c r="X26" s="18" t="n">
        <v>223511</v>
      </c>
      <c r="Y26" s="18" t="n">
        <v>219139</v>
      </c>
      <c r="Z26" s="37" t="n">
        <v>219139</v>
      </c>
      <c r="AA26" s="18" t="n">
        <v>217719</v>
      </c>
      <c r="AB26" s="19" t="n">
        <v>211745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비유동확정계약자산</t>
        </is>
      </c>
      <c r="E27" s="18" t="n">
        <v>20892.25</v>
      </c>
      <c r="F27" s="37" t="n">
        <v>20892.25</v>
      </c>
      <c r="G27" s="18" t="n">
        <v>25419.48</v>
      </c>
      <c r="H27" s="18" t="n">
        <v>63169.94</v>
      </c>
      <c r="I27" s="18" t="n">
        <v>118386.42</v>
      </c>
      <c r="J27" s="18" t="n">
        <v>40539.23</v>
      </c>
      <c r="K27" s="37" t="n">
        <v>40539.23</v>
      </c>
      <c r="L27" s="18" t="n">
        <v>45884.11</v>
      </c>
      <c r="M27" s="18" t="n">
        <v>42676.27</v>
      </c>
      <c r="N27" s="18" t="n">
        <v>46501.51</v>
      </c>
      <c r="O27" s="18" t="n">
        <v>25848.8</v>
      </c>
      <c r="P27" s="37" t="n">
        <v>25848.8</v>
      </c>
      <c r="Q27" s="18" t="n">
        <v>20550.31</v>
      </c>
      <c r="R27" s="18" t="n">
        <v>26930.95</v>
      </c>
      <c r="S27" s="18" t="n">
        <v>9616.76</v>
      </c>
      <c r="T27" s="18" t="n">
        <v>13537</v>
      </c>
      <c r="U27" s="37" t="n">
        <v>13537</v>
      </c>
      <c r="V27" s="18" t="n">
        <v>10979</v>
      </c>
      <c r="W27" s="18" t="n">
        <v>29051</v>
      </c>
      <c r="X27" s="18" t="n">
        <v>44921</v>
      </c>
      <c r="Y27" s="18" t="n">
        <v>62653</v>
      </c>
      <c r="Z27" s="37" t="n">
        <v>62653</v>
      </c>
      <c r="AA27" s="18" t="n">
        <v>91846</v>
      </c>
      <c r="AB27" s="19" t="n">
        <v>238406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기타비유동자산</t>
        </is>
      </c>
      <c r="E28" s="18" t="n">
        <v>454215.34</v>
      </c>
      <c r="F28" s="37" t="n">
        <v>454215.34</v>
      </c>
      <c r="G28" s="18" t="n">
        <v>483260.24</v>
      </c>
      <c r="H28" s="18" t="n">
        <v>452160.73</v>
      </c>
      <c r="I28" s="18" t="n">
        <v>486929.83</v>
      </c>
      <c r="J28" s="18" t="n">
        <v>553730.24</v>
      </c>
      <c r="K28" s="37" t="n">
        <v>553730.24</v>
      </c>
      <c r="L28" s="18" t="n">
        <v>558265.53</v>
      </c>
      <c r="M28" s="18" t="n">
        <v>555786.9</v>
      </c>
      <c r="N28" s="18" t="n">
        <v>517524.53</v>
      </c>
      <c r="O28" s="18" t="n">
        <v>377623.09</v>
      </c>
      <c r="P28" s="37" t="n">
        <v>377623.09</v>
      </c>
      <c r="Q28" s="18" t="n">
        <v>400187.15</v>
      </c>
      <c r="R28" s="18" t="n">
        <v>402710.11</v>
      </c>
      <c r="S28" s="18" t="n">
        <v>395090.56</v>
      </c>
      <c r="T28" s="18" t="n">
        <v>368647</v>
      </c>
      <c r="U28" s="37" t="n">
        <v>368647</v>
      </c>
      <c r="V28" s="18" t="n">
        <v>357835</v>
      </c>
      <c r="W28" s="18" t="n">
        <v>344944</v>
      </c>
      <c r="X28" s="18" t="n">
        <v>327561</v>
      </c>
      <c r="Y28" s="18" t="n">
        <v>317311</v>
      </c>
      <c r="Z28" s="37" t="n">
        <v>317311</v>
      </c>
      <c r="AA28" s="18" t="n">
        <v>351759</v>
      </c>
      <c r="AB28" s="19" t="n">
        <v>356551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이연법인세자산</t>
        </is>
      </c>
      <c r="E29" s="18" t="n">
        <v>232791.07</v>
      </c>
      <c r="F29" s="37" t="n">
        <v>232791.07</v>
      </c>
      <c r="G29" s="18" t="n">
        <v>234520.85</v>
      </c>
      <c r="H29" s="18" t="n">
        <v>241882.48</v>
      </c>
      <c r="I29" s="18" t="n">
        <v>241047.78</v>
      </c>
      <c r="J29" s="18" t="n">
        <v>416706.17</v>
      </c>
      <c r="K29" s="37" t="n">
        <v>416706.17</v>
      </c>
      <c r="L29" s="18" t="n">
        <v>402249.29</v>
      </c>
      <c r="M29" s="18" t="n">
        <v>406413.55</v>
      </c>
      <c r="N29" s="18" t="n">
        <v>412826.67</v>
      </c>
      <c r="O29" s="18" t="n">
        <v>502987.74</v>
      </c>
      <c r="P29" s="37" t="n">
        <v>502987.74</v>
      </c>
      <c r="Q29" s="18" t="n">
        <v>497080.61</v>
      </c>
      <c r="R29" s="18" t="n">
        <v>482406.48</v>
      </c>
      <c r="S29" s="18" t="n">
        <v>462161.1</v>
      </c>
      <c r="T29" s="18" t="n">
        <v>556161</v>
      </c>
      <c r="U29" s="37" t="n">
        <v>556161</v>
      </c>
      <c r="V29" s="18" t="n">
        <v>557815</v>
      </c>
      <c r="W29" s="18" t="n">
        <v>508774</v>
      </c>
      <c r="X29" s="18" t="n">
        <v>517775</v>
      </c>
      <c r="Y29" s="18" t="n">
        <v>628403</v>
      </c>
      <c r="Z29" s="37" t="n">
        <v>628403</v>
      </c>
      <c r="AA29" s="18" t="n">
        <v>616930</v>
      </c>
      <c r="AB29" s="19" t="n">
        <v>611231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자산총계</t>
        </is>
      </c>
      <c r="E30" s="18" t="n">
        <v>23720545.63</v>
      </c>
      <c r="F30" s="37" t="n">
        <v>23720545.63</v>
      </c>
      <c r="G30" s="18" t="n">
        <v>24145803.23</v>
      </c>
      <c r="H30" s="18" t="n">
        <v>24271350.95</v>
      </c>
      <c r="I30" s="18" t="n">
        <v>25170911.62</v>
      </c>
      <c r="J30" s="18" t="n">
        <v>23049781.8</v>
      </c>
      <c r="K30" s="37" t="n">
        <v>23049781.8</v>
      </c>
      <c r="L30" s="18" t="n">
        <v>23998329.07</v>
      </c>
      <c r="M30" s="18" t="n">
        <v>25307471.42</v>
      </c>
      <c r="N30" s="18" t="n">
        <v>24939918.84</v>
      </c>
      <c r="O30" s="18" t="n">
        <v>24640833.95</v>
      </c>
      <c r="P30" s="37" t="n">
        <v>24640833.95</v>
      </c>
      <c r="Q30" s="18" t="n">
        <v>25657120.79</v>
      </c>
      <c r="R30" s="18" t="n">
        <v>26114104.55</v>
      </c>
      <c r="S30" s="18" t="n">
        <v>25264596.72</v>
      </c>
      <c r="T30" s="18" t="n">
        <v>26314835</v>
      </c>
      <c r="U30" s="37" t="n">
        <v>26314835</v>
      </c>
      <c r="V30" s="18" t="n">
        <v>26896993</v>
      </c>
      <c r="W30" s="18" t="n">
        <v>26305196</v>
      </c>
      <c r="X30" s="18" t="n">
        <v>27027903</v>
      </c>
      <c r="Y30" s="18" t="n">
        <v>27513223</v>
      </c>
      <c r="Z30" s="37" t="n">
        <v>27513223</v>
      </c>
      <c r="AA30" s="18" t="n">
        <v>28695055</v>
      </c>
      <c r="AB30" s="19" t="n">
        <v>29947742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유동부채</t>
        </is>
      </c>
      <c r="E31" s="18" t="n">
        <v>10125765.54</v>
      </c>
      <c r="F31" s="37" t="n">
        <v>10125765.54</v>
      </c>
      <c r="G31" s="18" t="n">
        <v>8482555.189999999</v>
      </c>
      <c r="H31" s="18" t="n">
        <v>8627787.92</v>
      </c>
      <c r="I31" s="18" t="n">
        <v>9044828.189999999</v>
      </c>
      <c r="J31" s="18" t="n">
        <v>8059455.53</v>
      </c>
      <c r="K31" s="37" t="n">
        <v>8059455.53</v>
      </c>
      <c r="L31" s="18" t="n">
        <v>8731581.369999999</v>
      </c>
      <c r="M31" s="18" t="n">
        <v>9612664.960000001</v>
      </c>
      <c r="N31" s="18" t="n">
        <v>9197879.1</v>
      </c>
      <c r="O31" s="18" t="n">
        <v>9596749.58</v>
      </c>
      <c r="P31" s="37" t="n">
        <v>9596749.58</v>
      </c>
      <c r="Q31" s="18" t="n">
        <v>9623521.75</v>
      </c>
      <c r="R31" s="18" t="n">
        <v>9510999.01</v>
      </c>
      <c r="S31" s="18" t="n">
        <v>8903088.43</v>
      </c>
      <c r="T31" s="18" t="n">
        <v>8945820</v>
      </c>
      <c r="U31" s="37" t="n">
        <v>8945820</v>
      </c>
      <c r="V31" s="18" t="n">
        <v>9510646</v>
      </c>
      <c r="W31" s="18" t="n">
        <v>8833188</v>
      </c>
      <c r="X31" s="18" t="n">
        <v>9569932</v>
      </c>
      <c r="Y31" s="18" t="n">
        <v>10107067</v>
      </c>
      <c r="Z31" s="37" t="n">
        <v>10107067</v>
      </c>
      <c r="AA31" s="18" t="n">
        <v>11167318</v>
      </c>
      <c r="AB31" s="19" t="n">
        <v>12072032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매입채무및기타채무</t>
        </is>
      </c>
      <c r="E32" s="18" t="n">
        <v>2721970.05</v>
      </c>
      <c r="F32" s="37" t="n">
        <v>2721970.05</v>
      </c>
      <c r="G32" s="18" t="n">
        <v>2877627.45</v>
      </c>
      <c r="H32" s="18" t="n">
        <v>3041507.75</v>
      </c>
      <c r="I32" s="18" t="n">
        <v>3338557.43</v>
      </c>
      <c r="J32" s="18" t="n">
        <v>3397973.44</v>
      </c>
      <c r="K32" s="37" t="n">
        <v>3397973.44</v>
      </c>
      <c r="L32" s="18" t="n">
        <v>3485870.21</v>
      </c>
      <c r="M32" s="18" t="n">
        <v>3602401.79</v>
      </c>
      <c r="N32" s="18" t="n">
        <v>3478679.68</v>
      </c>
      <c r="O32" s="18" t="n">
        <v>3858116.28</v>
      </c>
      <c r="P32" s="37" t="n">
        <v>3858116.28</v>
      </c>
      <c r="Q32" s="18" t="n">
        <v>3842711.67</v>
      </c>
      <c r="R32" s="18" t="n">
        <v>3804858.48</v>
      </c>
      <c r="S32" s="18" t="n">
        <v>2929483.92</v>
      </c>
      <c r="T32" s="18" t="n">
        <v>3662570</v>
      </c>
      <c r="U32" s="37" t="n">
        <v>3662570</v>
      </c>
      <c r="V32" s="18" t="n">
        <v>3814679</v>
      </c>
      <c r="W32" s="18" t="n">
        <v>3948812</v>
      </c>
      <c r="X32" s="18" t="n">
        <v>3799024</v>
      </c>
      <c r="Y32" s="18" t="n">
        <v>4855802</v>
      </c>
      <c r="Z32" s="37" t="n">
        <v>4855802</v>
      </c>
      <c r="AA32" s="18" t="n">
        <v>4516389</v>
      </c>
      <c r="AB32" s="19" t="n">
        <v>4907467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단기차입금</t>
        </is>
      </c>
      <c r="E33" s="18" t="n">
        <v>3908482.95</v>
      </c>
      <c r="F33" s="37" t="n">
        <v>3908482.95</v>
      </c>
      <c r="G33" s="18" t="n">
        <v>1906705.08</v>
      </c>
      <c r="H33" s="18" t="n">
        <v>1642554.5</v>
      </c>
      <c r="I33" s="18" t="n">
        <v>1567453.29</v>
      </c>
      <c r="J33" s="18" t="n">
        <v>1433571.97</v>
      </c>
      <c r="K33" s="37" t="n">
        <v>1433571.97</v>
      </c>
      <c r="L33" s="18" t="n">
        <v>1425182.64</v>
      </c>
      <c r="M33" s="18" t="n">
        <v>1232476.17</v>
      </c>
      <c r="N33" s="18" t="n">
        <v>1237910.21</v>
      </c>
      <c r="O33" s="18" t="n">
        <v>1186577.31</v>
      </c>
      <c r="P33" s="37" t="n">
        <v>1186577.31</v>
      </c>
      <c r="Q33" s="18" t="n">
        <v>1424009.93</v>
      </c>
      <c r="R33" s="18" t="n">
        <v>1702482.21</v>
      </c>
      <c r="S33" s="18" t="n">
        <v>2233004.38</v>
      </c>
      <c r="T33" s="18" t="n">
        <v>2141257</v>
      </c>
      <c r="U33" s="37" t="n">
        <v>2141257</v>
      </c>
      <c r="V33" s="18" t="n">
        <v>2427445</v>
      </c>
      <c r="W33" s="18" t="n">
        <v>2182003</v>
      </c>
      <c r="X33" s="18" t="n">
        <v>2458953</v>
      </c>
      <c r="Y33" s="18" t="n">
        <v>1883572</v>
      </c>
      <c r="Z33" s="37" t="n">
        <v>1883572</v>
      </c>
      <c r="AA33" s="18" t="n">
        <v>2579259</v>
      </c>
      <c r="AB33" s="19" t="n">
        <v>2916241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선수금</t>
        </is>
      </c>
      <c r="E34" s="18" t="n">
        <v>64196.1</v>
      </c>
      <c r="F34" s="37" t="n">
        <v>64196.1</v>
      </c>
      <c r="G34" s="18" t="n">
        <v>91151.77</v>
      </c>
      <c r="H34" s="18" t="n">
        <v>66316.87</v>
      </c>
      <c r="I34" s="18" t="n">
        <v>63316.11</v>
      </c>
      <c r="J34" s="18" t="n">
        <v>49454.65</v>
      </c>
      <c r="K34" s="37" t="n">
        <v>49454.65</v>
      </c>
      <c r="L34" s="18" t="n">
        <v>55879.24</v>
      </c>
      <c r="M34" s="18" t="n">
        <v>56645.53</v>
      </c>
      <c r="N34" s="18" t="n">
        <v>84446.53</v>
      </c>
      <c r="O34" s="18" t="n">
        <v>46174.1</v>
      </c>
      <c r="P34" s="37" t="n">
        <v>46174.1</v>
      </c>
      <c r="Q34" s="18" t="n">
        <v>54945.49</v>
      </c>
      <c r="R34" s="18" t="n">
        <v>55232.48</v>
      </c>
      <c r="S34" s="18" t="n">
        <v>63403.92</v>
      </c>
      <c r="T34" s="18" t="n">
        <v>50165</v>
      </c>
      <c r="U34" s="37" t="n">
        <v>50165</v>
      </c>
      <c r="V34" s="18" t="n">
        <v>68153</v>
      </c>
      <c r="W34" s="18" t="n">
        <v>90837</v>
      </c>
      <c r="X34" s="18" t="n">
        <v>124140</v>
      </c>
      <c r="Y34" s="18" t="n">
        <v>30412</v>
      </c>
      <c r="Z34" s="37" t="n">
        <v>30412</v>
      </c>
      <c r="AA34" s="18" t="n">
        <v>41944</v>
      </c>
      <c r="AB34" s="19" t="n">
        <v>95795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기타유동부채</t>
        </is>
      </c>
      <c r="E35" s="18" t="n">
        <v>183924.62</v>
      </c>
      <c r="F35" s="37" t="n">
        <v>183924.62</v>
      </c>
      <c r="G35" s="18" t="n">
        <v>230814.98</v>
      </c>
      <c r="H35" s="18" t="n">
        <v>166917.09</v>
      </c>
      <c r="I35" s="18" t="n">
        <v>178103.95</v>
      </c>
      <c r="J35" s="18" t="n">
        <v>145477.38</v>
      </c>
      <c r="K35" s="37" t="n">
        <v>145477.38</v>
      </c>
      <c r="L35" s="18" t="n">
        <v>154973.4</v>
      </c>
      <c r="M35" s="18" t="n">
        <v>159320.46</v>
      </c>
      <c r="N35" s="18" t="n">
        <v>199030.91</v>
      </c>
      <c r="O35" s="18" t="n">
        <v>212867.57</v>
      </c>
      <c r="P35" s="37" t="n">
        <v>212867.57</v>
      </c>
      <c r="Q35" s="18" t="n">
        <v>227835.69</v>
      </c>
      <c r="R35" s="18" t="n">
        <v>309407.38</v>
      </c>
      <c r="S35" s="18" t="n">
        <v>319222.11</v>
      </c>
      <c r="T35" s="18" t="n">
        <v>267106</v>
      </c>
      <c r="U35" s="37" t="n">
        <v>267106</v>
      </c>
      <c r="V35" s="18" t="n">
        <v>275641</v>
      </c>
      <c r="W35" s="18" t="n">
        <v>286733</v>
      </c>
      <c r="X35" s="18" t="n">
        <v>317197</v>
      </c>
      <c r="Y35" s="18" t="n">
        <v>247598</v>
      </c>
      <c r="Z35" s="37" t="n">
        <v>247598</v>
      </c>
      <c r="AA35" s="18" t="n">
        <v>265504</v>
      </c>
      <c r="AB35" s="19" t="n">
        <v>326066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계약부채</t>
        </is>
      </c>
      <c r="E36" s="18" t="n">
        <v>1455693.42</v>
      </c>
      <c r="F36" s="37" t="n">
        <v>1455693.42</v>
      </c>
      <c r="G36" s="18" t="n">
        <v>1766579.36</v>
      </c>
      <c r="H36" s="18" t="n">
        <v>1859475.36</v>
      </c>
      <c r="I36" s="18" t="n">
        <v>2017784.11</v>
      </c>
      <c r="J36" s="18" t="n">
        <v>1734717.87</v>
      </c>
      <c r="K36" s="37" t="n">
        <v>1734717.87</v>
      </c>
      <c r="L36" s="18" t="n">
        <v>1831581.6</v>
      </c>
      <c r="M36" s="18" t="n">
        <v>2511356.77</v>
      </c>
      <c r="N36" s="18" t="n">
        <v>2420931.55</v>
      </c>
      <c r="O36" s="18" t="n">
        <v>2261264.8</v>
      </c>
      <c r="P36" s="37" t="n">
        <v>2261264.8</v>
      </c>
      <c r="Q36" s="18" t="n">
        <v>2613435.92</v>
      </c>
      <c r="R36" s="18" t="n">
        <v>2227097.61</v>
      </c>
      <c r="S36" s="18" t="n">
        <v>2039770.51</v>
      </c>
      <c r="T36" s="18" t="n">
        <v>1800050</v>
      </c>
      <c r="U36" s="37" t="n">
        <v>1800050</v>
      </c>
      <c r="V36" s="18" t="n">
        <v>1822657</v>
      </c>
      <c r="W36" s="18" t="n">
        <v>1515722</v>
      </c>
      <c r="X36" s="18" t="n">
        <v>1453940</v>
      </c>
      <c r="Y36" s="18" t="n">
        <v>1577878</v>
      </c>
      <c r="Z36" s="37" t="n">
        <v>1577878</v>
      </c>
      <c r="AA36" s="18" t="n">
        <v>1684557</v>
      </c>
      <c r="AB36" s="19" t="n">
        <v>1723781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당기법인세부채(미지급법인세)</t>
        </is>
      </c>
      <c r="E37" s="18" t="n">
        <v>36231.84</v>
      </c>
      <c r="F37" s="37" t="n">
        <v>36231.84</v>
      </c>
      <c r="G37" s="18" t="n">
        <v>61814.67</v>
      </c>
      <c r="H37" s="18" t="n">
        <v>43407.49</v>
      </c>
      <c r="I37" s="18" t="n">
        <v>52324.63</v>
      </c>
      <c r="J37" s="18" t="n">
        <v>62254.57</v>
      </c>
      <c r="K37" s="37" t="n">
        <v>62254.57</v>
      </c>
      <c r="L37" s="18" t="n">
        <v>86905.64</v>
      </c>
      <c r="M37" s="18" t="n">
        <v>88752.92999999999</v>
      </c>
      <c r="N37" s="18" t="n">
        <v>90854.50999999999</v>
      </c>
      <c r="O37" s="18" t="n">
        <v>78519.13</v>
      </c>
      <c r="P37" s="37" t="n">
        <v>78519.13</v>
      </c>
      <c r="Q37" s="18" t="n">
        <v>144503.19</v>
      </c>
      <c r="R37" s="18" t="n">
        <v>41681.34</v>
      </c>
      <c r="S37" s="18" t="n">
        <v>30343.73</v>
      </c>
      <c r="T37" s="18" t="n">
        <v>93490</v>
      </c>
      <c r="U37" s="37" t="n">
        <v>93490</v>
      </c>
      <c r="V37" s="18" t="n">
        <v>112208</v>
      </c>
      <c r="W37" s="18" t="n">
        <v>20883</v>
      </c>
      <c r="X37" s="18" t="n">
        <v>21722</v>
      </c>
      <c r="Y37" s="18" t="n">
        <v>32650</v>
      </c>
      <c r="Z37" s="37" t="n">
        <v>32650</v>
      </c>
      <c r="AA37" s="18" t="n">
        <v>53021</v>
      </c>
      <c r="AB37" s="19" t="n">
        <v>22860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유동성장기부채</t>
        </is>
      </c>
      <c r="E38" s="18" t="n">
        <v>938862.83</v>
      </c>
      <c r="F38" s="37" t="n">
        <v>938862.83</v>
      </c>
      <c r="G38" s="18" t="n">
        <v>705746.76</v>
      </c>
      <c r="H38" s="18" t="n">
        <v>598337.64</v>
      </c>
      <c r="I38" s="18" t="n">
        <v>1143655.23</v>
      </c>
      <c r="J38" s="18" t="n">
        <v>771005.5</v>
      </c>
      <c r="K38" s="37" t="n">
        <v>771005.5</v>
      </c>
      <c r="L38" s="18" t="n">
        <v>1243197.66</v>
      </c>
      <c r="M38" s="18" t="n">
        <v>1516483.86</v>
      </c>
      <c r="N38" s="18" t="n">
        <v>1275329.28</v>
      </c>
      <c r="O38" s="18" t="n">
        <v>1576371.48</v>
      </c>
      <c r="P38" s="37" t="n">
        <v>1576371.48</v>
      </c>
      <c r="Q38" s="18" t="n">
        <v>924674.4300000001</v>
      </c>
      <c r="R38" s="18" t="n">
        <v>961742.02</v>
      </c>
      <c r="S38" s="18" t="n">
        <v>958421.03</v>
      </c>
      <c r="T38" s="18" t="n">
        <v>398220</v>
      </c>
      <c r="U38" s="37" t="n">
        <v>398220</v>
      </c>
      <c r="V38" s="18" t="n">
        <v>568524</v>
      </c>
      <c r="W38" s="18" t="n">
        <v>461857</v>
      </c>
      <c r="X38" s="18" t="n">
        <v>1002795</v>
      </c>
      <c r="Y38" s="18" t="n">
        <v>1029847</v>
      </c>
      <c r="Z38" s="37" t="n">
        <v>1029847</v>
      </c>
      <c r="AA38" s="18" t="n">
        <v>1477032</v>
      </c>
      <c r="AB38" s="19" t="n">
        <v>1578345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단기파생상품부채</t>
        </is>
      </c>
      <c r="E39" s="18" t="n">
        <v>10120.81</v>
      </c>
      <c r="F39" s="37" t="n">
        <v>10120.81</v>
      </c>
      <c r="G39" s="18" t="n">
        <v>7936.66</v>
      </c>
      <c r="H39" s="18" t="n">
        <v>8004.32</v>
      </c>
      <c r="I39" s="18" t="n">
        <v>6735.24</v>
      </c>
      <c r="J39" s="18" t="n">
        <v>16710.34</v>
      </c>
      <c r="K39" s="37" t="n">
        <v>16710.34</v>
      </c>
      <c r="L39" s="18" t="n">
        <v>10877.34</v>
      </c>
      <c r="M39" s="18" t="n">
        <v>12535.81</v>
      </c>
      <c r="N39" s="18" t="n">
        <v>6521.49</v>
      </c>
      <c r="O39" s="18" t="n">
        <v>11661.26</v>
      </c>
      <c r="P39" s="37" t="n">
        <v>11661.26</v>
      </c>
      <c r="Q39" s="18" t="n">
        <v>5596.63</v>
      </c>
      <c r="R39" s="18" t="n">
        <v>5830.67</v>
      </c>
      <c r="S39" s="18" t="n">
        <v>6932.58</v>
      </c>
      <c r="T39" s="18" t="n">
        <v>5893</v>
      </c>
      <c r="U39" s="37" t="n">
        <v>5893</v>
      </c>
      <c r="V39" s="18" t="n">
        <v>2796</v>
      </c>
      <c r="W39" s="18" t="n">
        <v>35143</v>
      </c>
      <c r="X39" s="18" t="n">
        <v>14597</v>
      </c>
      <c r="Y39" s="18" t="n">
        <v>17107</v>
      </c>
      <c r="Z39" s="37" t="n">
        <v>17107</v>
      </c>
      <c r="AA39" s="18" t="n">
        <v>2750</v>
      </c>
      <c r="AB39" s="19" t="n">
        <v>2640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단기금융부채</t>
        </is>
      </c>
      <c r="E40" s="18" t="n">
        <v>75000.97</v>
      </c>
      <c r="F40" s="37" t="n">
        <v>75000.97</v>
      </c>
      <c r="G40" s="18" t="n">
        <v>74166.35000000001</v>
      </c>
      <c r="H40" s="18" t="n">
        <v>8004.32</v>
      </c>
      <c r="I40" s="18" t="n">
        <v>6735.24</v>
      </c>
      <c r="J40" s="18" t="n">
        <v>92903.48</v>
      </c>
      <c r="K40" s="37" t="n">
        <v>92903.48</v>
      </c>
      <c r="L40" s="18" t="n">
        <v>90541.36</v>
      </c>
      <c r="M40" s="18" t="n">
        <v>95289.32000000001</v>
      </c>
      <c r="N40" s="18" t="n">
        <v>6521.49</v>
      </c>
      <c r="O40" s="18" t="n">
        <v>90648.66</v>
      </c>
      <c r="P40" s="37" t="n">
        <v>90648.66</v>
      </c>
      <c r="Q40" s="18" t="n">
        <v>93996.59</v>
      </c>
      <c r="R40" s="18" t="n">
        <v>95891.41</v>
      </c>
      <c r="S40" s="18" t="n">
        <v>99446.14</v>
      </c>
      <c r="T40" s="18" t="n">
        <v>108746</v>
      </c>
      <c r="U40" s="37" t="n">
        <v>108746</v>
      </c>
      <c r="V40" s="18" t="n">
        <v>104275</v>
      </c>
      <c r="W40" s="18" t="n">
        <v>133107</v>
      </c>
      <c r="X40" s="18" t="n">
        <v>115030</v>
      </c>
      <c r="Y40" s="18" t="n">
        <v>117852</v>
      </c>
      <c r="Z40" s="37" t="n">
        <v>117852</v>
      </c>
      <c r="AA40" s="18" t="n">
        <v>106453</v>
      </c>
      <c r="AB40" s="19" t="n">
        <v>111487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단기충당부채</t>
        </is>
      </c>
      <c r="E41" s="18" t="n">
        <v>320457.9</v>
      </c>
      <c r="F41" s="37" t="n">
        <v>320457.9</v>
      </c>
      <c r="G41" s="18" t="n">
        <v>313783.96</v>
      </c>
      <c r="H41" s="18" t="n">
        <v>300348.18</v>
      </c>
      <c r="I41" s="18" t="n">
        <v>318120.64</v>
      </c>
      <c r="J41" s="18" t="n">
        <v>319218.54</v>
      </c>
      <c r="K41" s="37" t="n">
        <v>319218.54</v>
      </c>
      <c r="L41" s="18" t="n">
        <v>323242.45</v>
      </c>
      <c r="M41" s="18" t="n">
        <v>300733.1</v>
      </c>
      <c r="N41" s="18" t="n">
        <v>283930.45</v>
      </c>
      <c r="O41" s="18" t="n">
        <v>257968.84</v>
      </c>
      <c r="P41" s="37" t="n">
        <v>257968.84</v>
      </c>
      <c r="Q41" s="18" t="n">
        <v>219131.3</v>
      </c>
      <c r="R41" s="18" t="n">
        <v>211200.26</v>
      </c>
      <c r="S41" s="18" t="n">
        <v>204355.35</v>
      </c>
      <c r="T41" s="18" t="n">
        <v>241923</v>
      </c>
      <c r="U41" s="37" t="n">
        <v>241923</v>
      </c>
      <c r="V41" s="18" t="n">
        <v>236405</v>
      </c>
      <c r="W41" s="18" t="n">
        <v>229223</v>
      </c>
      <c r="X41" s="18" t="n">
        <v>247369</v>
      </c>
      <c r="Y41" s="18" t="n">
        <v>270809</v>
      </c>
      <c r="Z41" s="37" t="n">
        <v>270809</v>
      </c>
      <c r="AA41" s="18" t="n">
        <v>272614</v>
      </c>
      <c r="AB41" s="19" t="n">
        <v>300035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유동리스부채</t>
        </is>
      </c>
      <c r="E42" s="18" t="n">
        <v>64880.16</v>
      </c>
      <c r="F42" s="37" t="n">
        <v>64880.16</v>
      </c>
      <c r="G42" s="18" t="n">
        <v>66229.69</v>
      </c>
      <c r="J42" s="18" t="n">
        <v>76193.14</v>
      </c>
      <c r="K42" s="37" t="n">
        <v>76193.14</v>
      </c>
      <c r="L42" s="18" t="n">
        <v>79664.02</v>
      </c>
      <c r="M42" s="18" t="n">
        <v>82753.50999999999</v>
      </c>
      <c r="O42" s="18" t="n">
        <v>78987.39999999999</v>
      </c>
      <c r="P42" s="37" t="n">
        <v>78987.39999999999</v>
      </c>
      <c r="Q42" s="18" t="n">
        <v>88399.96000000001</v>
      </c>
      <c r="R42" s="18" t="n">
        <v>90060.74000000001</v>
      </c>
      <c r="S42" s="18" t="n">
        <v>92513.56</v>
      </c>
      <c r="T42" s="18" t="n">
        <v>102853</v>
      </c>
      <c r="U42" s="37" t="n">
        <v>102853</v>
      </c>
      <c r="V42" s="18" t="n">
        <v>101479</v>
      </c>
      <c r="W42" s="18" t="n">
        <v>97964</v>
      </c>
      <c r="X42" s="18" t="n">
        <v>100433</v>
      </c>
      <c r="Y42" s="18" t="n">
        <v>100745</v>
      </c>
      <c r="Z42" s="37" t="n">
        <v>100745</v>
      </c>
      <c r="AA42" s="18" t="n">
        <v>103703</v>
      </c>
      <c r="AB42" s="19" t="n">
        <v>108847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리스부채</t>
        </is>
      </c>
      <c r="E43" s="18" t="n">
        <v>381187.32</v>
      </c>
      <c r="F43" s="37" t="n">
        <v>381187.32</v>
      </c>
      <c r="G43" s="18" t="n">
        <v>368071.26</v>
      </c>
      <c r="H43" s="18" t="n">
        <v>322162.05</v>
      </c>
      <c r="I43" s="18" t="n">
        <v>332673.62</v>
      </c>
      <c r="J43" s="18" t="n">
        <v>393893.74</v>
      </c>
      <c r="K43" s="37" t="n">
        <v>393893.74</v>
      </c>
      <c r="L43" s="18" t="n">
        <v>395706.2</v>
      </c>
      <c r="M43" s="18" t="n">
        <v>404843.26</v>
      </c>
      <c r="N43" s="18" t="n">
        <v>313951.82</v>
      </c>
      <c r="O43" s="18" t="n">
        <v>388067.78</v>
      </c>
      <c r="P43" s="37" t="n">
        <v>388067.78</v>
      </c>
      <c r="Q43" s="18" t="n">
        <v>390867.73</v>
      </c>
      <c r="R43" s="18" t="n">
        <v>383803.83</v>
      </c>
      <c r="S43" s="18" t="n">
        <v>379226.34</v>
      </c>
      <c r="T43" s="18" t="n">
        <v>404885</v>
      </c>
      <c r="U43" s="37" t="n">
        <v>404885</v>
      </c>
      <c r="V43" s="18" t="n">
        <v>389848</v>
      </c>
      <c r="W43" s="18" t="n">
        <v>374716</v>
      </c>
      <c r="X43" s="18" t="n">
        <v>373218</v>
      </c>
      <c r="Y43" s="18" t="n">
        <v>361872</v>
      </c>
      <c r="Z43" s="37" t="n">
        <v>361872</v>
      </c>
      <c r="AA43" s="18" t="n">
        <v>402794</v>
      </c>
      <c r="AB43" s="19" t="n">
        <v>405593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비유동부채</t>
        </is>
      </c>
      <c r="E44" s="18" t="n">
        <v>4787184.44</v>
      </c>
      <c r="F44" s="37" t="n">
        <v>4787184.44</v>
      </c>
      <c r="G44" s="18" t="n">
        <v>5355238.73</v>
      </c>
      <c r="H44" s="18" t="n">
        <v>5124973.64</v>
      </c>
      <c r="I44" s="18" t="n">
        <v>5089208.47</v>
      </c>
      <c r="J44" s="18" t="n">
        <v>4910035.98</v>
      </c>
      <c r="K44" s="37" t="n">
        <v>4910035.98</v>
      </c>
      <c r="L44" s="18" t="n">
        <v>4769842.51</v>
      </c>
      <c r="M44" s="18" t="n">
        <v>4667291.71</v>
      </c>
      <c r="N44" s="18" t="n">
        <v>4580739.37</v>
      </c>
      <c r="O44" s="18" t="n">
        <v>4202575.43</v>
      </c>
      <c r="P44" s="37" t="n">
        <v>4202575.43</v>
      </c>
      <c r="Q44" s="18" t="n">
        <v>4781204.59</v>
      </c>
      <c r="R44" s="18" t="n">
        <v>4945377.13</v>
      </c>
      <c r="S44" s="18" t="n">
        <v>4991623.15</v>
      </c>
      <c r="T44" s="18" t="n">
        <v>5707923</v>
      </c>
      <c r="U44" s="37" t="n">
        <v>5707923</v>
      </c>
      <c r="V44" s="18" t="n">
        <v>5643218</v>
      </c>
      <c r="W44" s="18" t="n">
        <v>5843723</v>
      </c>
      <c r="X44" s="18" t="n">
        <v>5591781</v>
      </c>
      <c r="Y44" s="18" t="n">
        <v>5396786</v>
      </c>
      <c r="Z44" s="37" t="n">
        <v>5396786</v>
      </c>
      <c r="AA44" s="18" t="n">
        <v>5084121</v>
      </c>
      <c r="AB44" s="19" t="n">
        <v>5209227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사채</t>
        </is>
      </c>
      <c r="E45" s="18" t="n">
        <v>848257.26</v>
      </c>
      <c r="F45" s="37" t="n">
        <v>848257.26</v>
      </c>
      <c r="G45" s="18" t="n">
        <v>918636.53</v>
      </c>
      <c r="H45" s="18" t="n">
        <v>649547</v>
      </c>
      <c r="I45" s="18" t="n">
        <v>329192.22</v>
      </c>
      <c r="J45" s="18" t="n">
        <v>356347.78</v>
      </c>
      <c r="K45" s="37" t="n">
        <v>356347.78</v>
      </c>
      <c r="L45" s="18" t="n">
        <v>313840.25</v>
      </c>
      <c r="M45" s="18" t="n">
        <v>296303.17</v>
      </c>
      <c r="N45" s="18" t="n">
        <v>528632.16</v>
      </c>
      <c r="O45" s="18" t="n">
        <v>493916.91</v>
      </c>
      <c r="P45" s="37" t="n">
        <v>493916.91</v>
      </c>
      <c r="Q45" s="18" t="n">
        <v>646739.73</v>
      </c>
      <c r="R45" s="18" t="n">
        <v>667920.12</v>
      </c>
      <c r="S45" s="18" t="n">
        <v>863778.79</v>
      </c>
      <c r="T45" s="18" t="n">
        <v>906758</v>
      </c>
      <c r="U45" s="37" t="n">
        <v>906758</v>
      </c>
      <c r="V45" s="18" t="n">
        <v>818317</v>
      </c>
      <c r="W45" s="18" t="n">
        <v>908843</v>
      </c>
      <c r="X45" s="18" t="n">
        <v>456865</v>
      </c>
      <c r="Y45" s="18" t="n">
        <v>499127</v>
      </c>
      <c r="Z45" s="37" t="n">
        <v>499127</v>
      </c>
      <c r="AA45" s="18" t="n">
        <v>438536</v>
      </c>
      <c r="AB45" s="19" t="n">
        <v>328608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장기차입금</t>
        </is>
      </c>
      <c r="E46" s="18" t="n">
        <v>1516918.54</v>
      </c>
      <c r="F46" s="37" t="n">
        <v>1516918.54</v>
      </c>
      <c r="G46" s="18" t="n">
        <v>2024704.09</v>
      </c>
      <c r="H46" s="18" t="n">
        <v>2118759.44</v>
      </c>
      <c r="I46" s="18" t="n">
        <v>2154106.27</v>
      </c>
      <c r="J46" s="18" t="n">
        <v>2350867.61</v>
      </c>
      <c r="K46" s="37" t="n">
        <v>2350867.61</v>
      </c>
      <c r="L46" s="18" t="n">
        <v>2176489.54</v>
      </c>
      <c r="M46" s="18" t="n">
        <v>2041640.31</v>
      </c>
      <c r="N46" s="18" t="n">
        <v>1747865.3</v>
      </c>
      <c r="O46" s="18" t="n">
        <v>1457749.36</v>
      </c>
      <c r="P46" s="37" t="n">
        <v>1457749.36</v>
      </c>
      <c r="Q46" s="18" t="n">
        <v>1865275.8</v>
      </c>
      <c r="R46" s="18" t="n">
        <v>1947862.45</v>
      </c>
      <c r="S46" s="18" t="n">
        <v>1927284.58</v>
      </c>
      <c r="T46" s="18" t="n">
        <v>2434534</v>
      </c>
      <c r="U46" s="37" t="n">
        <v>2434534</v>
      </c>
      <c r="V46" s="18" t="n">
        <v>2513424</v>
      </c>
      <c r="W46" s="18" t="n">
        <v>2554775</v>
      </c>
      <c r="X46" s="18" t="n">
        <v>2721533</v>
      </c>
      <c r="Y46" s="18" t="n">
        <v>2336139</v>
      </c>
      <c r="Z46" s="37" t="n">
        <v>2336139</v>
      </c>
      <c r="AA46" s="18" t="n">
        <v>2060904</v>
      </c>
      <c r="AB46" s="19" t="n">
        <v>2068141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장기매입채무및기타채무</t>
        </is>
      </c>
      <c r="E47" s="18" t="n">
        <v>14522.4</v>
      </c>
      <c r="F47" s="37" t="n">
        <v>14522.4</v>
      </c>
      <c r="G47" s="18" t="n">
        <v>9276.700000000001</v>
      </c>
      <c r="H47" s="18" t="n">
        <v>9718.709999999999</v>
      </c>
      <c r="I47" s="18" t="n">
        <v>10424.75</v>
      </c>
      <c r="J47" s="18" t="n">
        <v>11278.27</v>
      </c>
      <c r="K47" s="37" t="n">
        <v>11278.27</v>
      </c>
      <c r="L47" s="18" t="n">
        <v>10687.17</v>
      </c>
      <c r="M47" s="18" t="n">
        <v>11238.29</v>
      </c>
      <c r="N47" s="18" t="n">
        <v>11254.27</v>
      </c>
      <c r="O47" s="18" t="n">
        <v>11673.97</v>
      </c>
      <c r="P47" s="37" t="n">
        <v>11673.97</v>
      </c>
      <c r="Q47" s="18" t="n">
        <v>11753.55</v>
      </c>
      <c r="R47" s="18" t="n">
        <v>11764.76</v>
      </c>
      <c r="S47" s="18" t="n">
        <v>11970.31</v>
      </c>
      <c r="T47" s="18" t="n">
        <v>11189</v>
      </c>
      <c r="U47" s="37" t="n">
        <v>11189</v>
      </c>
      <c r="V47" s="18" t="n">
        <v>12016</v>
      </c>
      <c r="W47" s="18" t="n">
        <v>13650</v>
      </c>
      <c r="X47" s="18" t="n">
        <v>14649</v>
      </c>
      <c r="Y47" s="18" t="n">
        <v>22940</v>
      </c>
      <c r="Z47" s="37" t="n">
        <v>22940</v>
      </c>
      <c r="AA47" s="18" t="n">
        <v>25389</v>
      </c>
      <c r="AB47" s="19" t="n">
        <v>29250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확정급여부채</t>
        </is>
      </c>
      <c r="E48" s="18" t="n">
        <v>540496.54</v>
      </c>
      <c r="F48" s="37" t="n">
        <v>540496.54</v>
      </c>
      <c r="G48" s="18" t="n">
        <v>586394.6</v>
      </c>
      <c r="H48" s="18" t="n">
        <v>590166.73</v>
      </c>
      <c r="I48" s="18" t="n">
        <v>643844.6899999999</v>
      </c>
      <c r="J48" s="18" t="n">
        <v>452352.77</v>
      </c>
      <c r="K48" s="37" t="n">
        <v>452352.77</v>
      </c>
      <c r="L48" s="18" t="n">
        <v>472131.68</v>
      </c>
      <c r="M48" s="18" t="n">
        <v>412889.2</v>
      </c>
      <c r="N48" s="18" t="n">
        <v>395807.59</v>
      </c>
      <c r="O48" s="18" t="n">
        <v>472216.38</v>
      </c>
      <c r="P48" s="37" t="n">
        <v>472216.38</v>
      </c>
      <c r="Q48" s="18" t="n">
        <v>498560.1</v>
      </c>
      <c r="R48" s="18" t="n">
        <v>509380.95</v>
      </c>
      <c r="S48" s="18" t="n">
        <v>499092.33</v>
      </c>
      <c r="T48" s="18" t="n">
        <v>570726</v>
      </c>
      <c r="U48" s="37" t="n">
        <v>570726</v>
      </c>
      <c r="V48" s="18" t="n">
        <v>573151</v>
      </c>
      <c r="W48" s="18" t="n">
        <v>566941</v>
      </c>
      <c r="X48" s="18" t="n">
        <v>574016</v>
      </c>
      <c r="Y48" s="18" t="n">
        <v>581488</v>
      </c>
      <c r="Z48" s="37" t="n">
        <v>581488</v>
      </c>
      <c r="AA48" s="18" t="n">
        <v>584972</v>
      </c>
      <c r="AB48" s="19" t="n">
        <v>594613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장기파생상품부채</t>
        </is>
      </c>
      <c r="E49" s="18" t="n">
        <v>5651.86</v>
      </c>
      <c r="F49" s="37" t="n">
        <v>5651.86</v>
      </c>
      <c r="G49" s="18" t="n">
        <v>5537.29</v>
      </c>
      <c r="H49" s="18" t="n">
        <v>4033.03</v>
      </c>
      <c r="I49" s="18" t="n">
        <v>4322.3</v>
      </c>
      <c r="J49" s="18" t="n">
        <v>6307.16</v>
      </c>
      <c r="K49" s="37" t="n">
        <v>6307.16</v>
      </c>
      <c r="L49" s="18" t="n">
        <v>6270.63</v>
      </c>
      <c r="M49" s="18" t="n">
        <v>11607.48</v>
      </c>
      <c r="N49" s="18" t="n">
        <v>3801.75</v>
      </c>
      <c r="O49" s="18" t="n">
        <v>13447.73</v>
      </c>
      <c r="P49" s="37" t="n">
        <v>13447.73</v>
      </c>
      <c r="Q49" s="18" t="n">
        <v>3646.17</v>
      </c>
      <c r="R49" s="18" t="n">
        <v>3511.97</v>
      </c>
      <c r="S49" s="18" t="n">
        <v>3169.65</v>
      </c>
      <c r="T49" s="18" t="n">
        <v>2457</v>
      </c>
      <c r="U49" s="37" t="n">
        <v>2457</v>
      </c>
      <c r="V49" s="18" t="n">
        <v>4173</v>
      </c>
      <c r="W49" s="18" t="n">
        <v>20834</v>
      </c>
      <c r="X49" s="18" t="n">
        <v>11345</v>
      </c>
      <c r="Y49" s="18" t="n">
        <v>35233</v>
      </c>
      <c r="Z49" s="37" t="n">
        <v>35233</v>
      </c>
      <c r="AA49" s="18" t="n">
        <v>3093</v>
      </c>
      <c r="AB49" s="19" t="n">
        <v>2593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장기금융부채</t>
        </is>
      </c>
      <c r="E50" s="18" t="n">
        <v>321959.02</v>
      </c>
      <c r="F50" s="37" t="n">
        <v>321959.02</v>
      </c>
      <c r="G50" s="18" t="n">
        <v>307378.86</v>
      </c>
      <c r="H50" s="18" t="n">
        <v>326195.08</v>
      </c>
      <c r="I50" s="18" t="n">
        <v>336995.92</v>
      </c>
      <c r="J50" s="18" t="n">
        <v>324007.76</v>
      </c>
      <c r="K50" s="37" t="n">
        <v>324007.76</v>
      </c>
      <c r="L50" s="18" t="n">
        <v>322312.81</v>
      </c>
      <c r="M50" s="18" t="n">
        <v>333697.23</v>
      </c>
      <c r="N50" s="18" t="n">
        <v>317753.57</v>
      </c>
      <c r="O50" s="18" t="n">
        <v>322528.11</v>
      </c>
      <c r="P50" s="37" t="n">
        <v>322528.11</v>
      </c>
      <c r="Q50" s="18" t="n">
        <v>306113.94</v>
      </c>
      <c r="R50" s="18" t="n">
        <v>297255.06</v>
      </c>
      <c r="S50" s="18" t="n">
        <v>289882.43</v>
      </c>
      <c r="T50" s="18" t="n">
        <v>304489</v>
      </c>
      <c r="U50" s="37" t="n">
        <v>304489</v>
      </c>
      <c r="V50" s="18" t="n">
        <v>292542</v>
      </c>
      <c r="W50" s="18" t="n">
        <v>297586</v>
      </c>
      <c r="X50" s="18" t="n">
        <v>284130</v>
      </c>
      <c r="Y50" s="18" t="n">
        <v>296360</v>
      </c>
      <c r="Z50" s="37" t="n">
        <v>296360</v>
      </c>
      <c r="AA50" s="18" t="n">
        <v>302184</v>
      </c>
      <c r="AB50" s="19" t="n">
        <v>299339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이연법인세부채</t>
        </is>
      </c>
      <c r="E51" s="18" t="n">
        <v>462047.65</v>
      </c>
      <c r="F51" s="37" t="n">
        <v>462047.65</v>
      </c>
      <c r="G51" s="18" t="n">
        <v>476397.34</v>
      </c>
      <c r="H51" s="18" t="n">
        <v>515113.89</v>
      </c>
      <c r="I51" s="18" t="n">
        <v>590878.1899999999</v>
      </c>
      <c r="J51" s="18" t="n">
        <v>502157.75</v>
      </c>
      <c r="K51" s="37" t="n">
        <v>502157.75</v>
      </c>
      <c r="L51" s="18" t="n">
        <v>526525.98</v>
      </c>
      <c r="M51" s="18" t="n">
        <v>561848.51</v>
      </c>
      <c r="N51" s="18" t="n">
        <v>547841.99</v>
      </c>
      <c r="O51" s="18" t="n">
        <v>477395.35</v>
      </c>
      <c r="P51" s="37" t="n">
        <v>477395.35</v>
      </c>
      <c r="Q51" s="18" t="n">
        <v>503341.84</v>
      </c>
      <c r="R51" s="18" t="n">
        <v>524944.01</v>
      </c>
      <c r="S51" s="18" t="n">
        <v>472325.85</v>
      </c>
      <c r="T51" s="18" t="n">
        <v>510165</v>
      </c>
      <c r="U51" s="37" t="n">
        <v>510165</v>
      </c>
      <c r="V51" s="18" t="n">
        <v>494409</v>
      </c>
      <c r="W51" s="18" t="n">
        <v>477961</v>
      </c>
      <c r="X51" s="18" t="n">
        <v>547599</v>
      </c>
      <c r="Y51" s="18" t="n">
        <v>603328</v>
      </c>
      <c r="Z51" s="37" t="n">
        <v>603328</v>
      </c>
      <c r="AA51" s="18" t="n">
        <v>640984</v>
      </c>
      <c r="AB51" s="19" t="n">
        <v>714062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장기충당부채</t>
        </is>
      </c>
      <c r="E52" s="18" t="n">
        <v>312515.74</v>
      </c>
      <c r="F52" s="37" t="n">
        <v>312515.74</v>
      </c>
      <c r="G52" s="18" t="n">
        <v>310908.19</v>
      </c>
      <c r="H52" s="18" t="n">
        <v>323822.51</v>
      </c>
      <c r="I52" s="18" t="n">
        <v>341062.18</v>
      </c>
      <c r="J52" s="18" t="n">
        <v>380357.59</v>
      </c>
      <c r="K52" s="37" t="n">
        <v>380357.59</v>
      </c>
      <c r="L52" s="18" t="n">
        <v>383686.76</v>
      </c>
      <c r="M52" s="18" t="n">
        <v>385467.71</v>
      </c>
      <c r="N52" s="18" t="n">
        <v>387590.65</v>
      </c>
      <c r="O52" s="18" t="n">
        <v>372326.69</v>
      </c>
      <c r="P52" s="37" t="n">
        <v>372326.69</v>
      </c>
      <c r="Q52" s="18" t="n">
        <v>377966.8</v>
      </c>
      <c r="R52" s="18" t="n">
        <v>390695</v>
      </c>
      <c r="S52" s="18" t="n">
        <v>380695.91</v>
      </c>
      <c r="T52" s="18" t="n">
        <v>364830</v>
      </c>
      <c r="U52" s="37" t="n">
        <v>364830</v>
      </c>
      <c r="V52" s="18" t="n">
        <v>365578</v>
      </c>
      <c r="W52" s="18" t="n">
        <v>360990</v>
      </c>
      <c r="X52" s="18" t="n">
        <v>350264</v>
      </c>
      <c r="Y52" s="18" t="n">
        <v>350178</v>
      </c>
      <c r="Z52" s="37" t="n">
        <v>350178</v>
      </c>
      <c r="AA52" s="18" t="n">
        <v>366161</v>
      </c>
      <c r="AB52" s="19" t="n">
        <v>382889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비유동리스부채</t>
        </is>
      </c>
      <c r="E53" s="18" t="n">
        <v>316307.16</v>
      </c>
      <c r="F53" s="37" t="n">
        <v>316307.16</v>
      </c>
      <c r="G53" s="18" t="n">
        <v>301841.57</v>
      </c>
      <c r="H53" s="18" t="n">
        <v>322162.05</v>
      </c>
      <c r="I53" s="18" t="n">
        <v>332673.62</v>
      </c>
      <c r="J53" s="18" t="n">
        <v>317700.6</v>
      </c>
      <c r="K53" s="37" t="n">
        <v>317700.6</v>
      </c>
      <c r="L53" s="18" t="n">
        <v>316042.18</v>
      </c>
      <c r="M53" s="18" t="n">
        <v>322089.75</v>
      </c>
      <c r="N53" s="18" t="n">
        <v>313951.82</v>
      </c>
      <c r="O53" s="18" t="n">
        <v>309080.38</v>
      </c>
      <c r="P53" s="37" t="n">
        <v>309080.38</v>
      </c>
      <c r="Q53" s="18" t="n">
        <v>302467.77</v>
      </c>
      <c r="R53" s="18" t="n">
        <v>293743.09</v>
      </c>
      <c r="S53" s="18" t="n">
        <v>286712.78</v>
      </c>
      <c r="T53" s="18" t="n">
        <v>302032</v>
      </c>
      <c r="U53" s="37" t="n">
        <v>302032</v>
      </c>
      <c r="V53" s="18" t="n">
        <v>288369</v>
      </c>
      <c r="W53" s="18" t="n">
        <v>276752</v>
      </c>
      <c r="X53" s="18" t="n">
        <v>272785</v>
      </c>
      <c r="Y53" s="18" t="n">
        <v>261127</v>
      </c>
      <c r="Z53" s="37" t="n">
        <v>261127</v>
      </c>
      <c r="AA53" s="18" t="n">
        <v>299091</v>
      </c>
      <c r="AB53" s="19" t="n">
        <v>296746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기타비유동부채</t>
        </is>
      </c>
      <c r="E54" s="18" t="n">
        <v>402221.52</v>
      </c>
      <c r="F54" s="37" t="n">
        <v>402221.52</v>
      </c>
      <c r="G54" s="18" t="n">
        <v>369365.03</v>
      </c>
      <c r="H54" s="18" t="n">
        <v>132020.05</v>
      </c>
      <c r="I54" s="18" t="n">
        <v>126915.19</v>
      </c>
      <c r="J54" s="18" t="n">
        <v>123709.67</v>
      </c>
      <c r="K54" s="37" t="n">
        <v>123709.67</v>
      </c>
      <c r="L54" s="18" t="n">
        <v>134038.73</v>
      </c>
      <c r="M54" s="18" t="n">
        <v>137810.03</v>
      </c>
      <c r="N54" s="18" t="n">
        <v>142447.48</v>
      </c>
      <c r="O54" s="18" t="n">
        <v>144420.11</v>
      </c>
      <c r="P54" s="37" t="n">
        <v>144420.11</v>
      </c>
      <c r="Q54" s="18" t="n">
        <v>154753.91</v>
      </c>
      <c r="R54" s="18" t="n">
        <v>178804.18</v>
      </c>
      <c r="S54" s="18" t="n">
        <v>174899.54</v>
      </c>
      <c r="T54" s="18" t="n">
        <v>229537</v>
      </c>
      <c r="U54" s="37" t="n">
        <v>229537</v>
      </c>
      <c r="V54" s="18" t="n">
        <v>246252</v>
      </c>
      <c r="W54" s="18" t="n">
        <v>254167</v>
      </c>
      <c r="X54" s="18" t="n">
        <v>259965</v>
      </c>
      <c r="Y54" s="18" t="n">
        <v>316298</v>
      </c>
      <c r="Z54" s="37" t="n">
        <v>316298</v>
      </c>
      <c r="AA54" s="18" t="n">
        <v>280640</v>
      </c>
      <c r="AB54" s="19" t="n">
        <v>274498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부채총계</t>
        </is>
      </c>
      <c r="E55" s="18" t="n">
        <v>14912949.98</v>
      </c>
      <c r="F55" s="37" t="n">
        <v>14912949.98</v>
      </c>
      <c r="G55" s="18" t="n">
        <v>13837793.92</v>
      </c>
      <c r="H55" s="18" t="n">
        <v>13752761.56</v>
      </c>
      <c r="I55" s="18" t="n">
        <v>14134036.66</v>
      </c>
      <c r="J55" s="18" t="n">
        <v>12969491.52</v>
      </c>
      <c r="K55" s="37" t="n">
        <v>12969491.52</v>
      </c>
      <c r="L55" s="18" t="n">
        <v>13501423.88</v>
      </c>
      <c r="M55" s="18" t="n">
        <v>14279956.67</v>
      </c>
      <c r="N55" s="18" t="n">
        <v>13778618.47</v>
      </c>
      <c r="O55" s="18" t="n">
        <v>13799325.01</v>
      </c>
      <c r="P55" s="37" t="n">
        <v>13799325.01</v>
      </c>
      <c r="Q55" s="18" t="n">
        <v>14404726.34</v>
      </c>
      <c r="R55" s="18" t="n">
        <v>14456376.14</v>
      </c>
      <c r="S55" s="18" t="n">
        <v>13894711.57</v>
      </c>
      <c r="T55" s="18" t="n">
        <v>14653743</v>
      </c>
      <c r="U55" s="37" t="n">
        <v>14653743</v>
      </c>
      <c r="V55" s="18" t="n">
        <v>15153864</v>
      </c>
      <c r="W55" s="18" t="n">
        <v>14676911</v>
      </c>
      <c r="X55" s="18" t="n">
        <v>15161713</v>
      </c>
      <c r="Y55" s="18" t="n">
        <v>15503853</v>
      </c>
      <c r="Z55" s="37" t="n">
        <v>15503853</v>
      </c>
      <c r="AA55" s="18" t="n">
        <v>16251439</v>
      </c>
      <c r="AB55" s="19" t="n">
        <v>17281259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지배주주지분</t>
        </is>
      </c>
      <c r="E56" s="18" t="n">
        <v>6091427.15</v>
      </c>
      <c r="F56" s="37" t="n">
        <v>6091427.15</v>
      </c>
      <c r="G56" s="18" t="n">
        <v>7566091.23</v>
      </c>
      <c r="H56" s="18" t="n">
        <v>7633483.71</v>
      </c>
      <c r="I56" s="18" t="n">
        <v>8037426.53</v>
      </c>
      <c r="J56" s="18" t="n">
        <v>7113272.67</v>
      </c>
      <c r="K56" s="37" t="n">
        <v>7113272.67</v>
      </c>
      <c r="L56" s="18" t="n">
        <v>7369090.64</v>
      </c>
      <c r="N56" s="18" t="n">
        <v>7474798.31</v>
      </c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자본금</t>
        </is>
      </c>
      <c r="E57" s="18" t="n">
        <v>2675624.98</v>
      </c>
      <c r="F57" s="37" t="n">
        <v>2675624.98</v>
      </c>
      <c r="G57" s="18" t="n">
        <v>3193488.91</v>
      </c>
      <c r="H57" s="18" t="n">
        <v>3240986.3</v>
      </c>
      <c r="I57" s="18" t="n">
        <v>3256061.21</v>
      </c>
      <c r="J57" s="18" t="n">
        <v>3256061.21</v>
      </c>
      <c r="K57" s="37" t="n">
        <v>3256061.21</v>
      </c>
      <c r="L57" s="18" t="n">
        <v>3267326.78</v>
      </c>
      <c r="M57" s="18" t="n">
        <v>3267326.78</v>
      </c>
      <c r="N57" s="18" t="n">
        <v>3267326.78</v>
      </c>
      <c r="O57" s="18" t="n">
        <v>3267326.78</v>
      </c>
      <c r="P57" s="37" t="n">
        <v>3267326.78</v>
      </c>
      <c r="Q57" s="18" t="n">
        <v>3267326.78</v>
      </c>
      <c r="R57" s="18" t="n">
        <v>3267326.78</v>
      </c>
      <c r="S57" s="18" t="n">
        <v>3267326.78</v>
      </c>
      <c r="T57" s="18" t="n">
        <v>3267327</v>
      </c>
      <c r="U57" s="37" t="n">
        <v>3267327</v>
      </c>
      <c r="V57" s="18" t="n">
        <v>3267327</v>
      </c>
      <c r="W57" s="18" t="n">
        <v>3267327</v>
      </c>
      <c r="X57" s="18" t="n">
        <v>3267327</v>
      </c>
      <c r="Y57" s="18" t="n">
        <v>3267327</v>
      </c>
      <c r="Z57" s="37" t="n">
        <v>3267327</v>
      </c>
      <c r="AA57" s="18" t="n">
        <v>3267327</v>
      </c>
      <c r="AB57" s="19" t="n">
        <v>3267327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자본잉여금</t>
        </is>
      </c>
      <c r="E58" s="18" t="n">
        <v>1865083.19</v>
      </c>
      <c r="F58" s="37" t="n">
        <v>1865083.19</v>
      </c>
      <c r="G58" s="18" t="n">
        <v>2781514.4</v>
      </c>
      <c r="H58" s="18" t="n">
        <v>2853611</v>
      </c>
      <c r="I58" s="18" t="n">
        <v>2870037.81</v>
      </c>
      <c r="J58" s="18" t="n">
        <v>2870068.23</v>
      </c>
      <c r="K58" s="37" t="n">
        <v>2870068.23</v>
      </c>
      <c r="L58" s="18" t="n">
        <v>1732323.76</v>
      </c>
      <c r="M58" s="18" t="n">
        <v>1712672.68</v>
      </c>
      <c r="N58" s="18" t="n">
        <v>1712769.56</v>
      </c>
      <c r="O58" s="18" t="n">
        <v>1712764.12</v>
      </c>
      <c r="P58" s="37" t="n">
        <v>1712764.12</v>
      </c>
      <c r="Q58" s="18" t="n">
        <v>1563501.22</v>
      </c>
      <c r="R58" s="18" t="n">
        <v>1563777.98</v>
      </c>
      <c r="S58" s="18" t="n">
        <v>1563777.98</v>
      </c>
      <c r="T58" s="18" t="n">
        <v>1572095</v>
      </c>
      <c r="U58" s="37" t="n">
        <v>1572095</v>
      </c>
      <c r="V58" s="18" t="n">
        <v>1441555</v>
      </c>
      <c r="W58" s="18" t="n">
        <v>1440483</v>
      </c>
      <c r="X58" s="18" t="n">
        <v>1440483</v>
      </c>
      <c r="Y58" s="18" t="n">
        <v>1441574</v>
      </c>
      <c r="Z58" s="37" t="n">
        <v>1441574</v>
      </c>
      <c r="AA58" s="18" t="n">
        <v>1440992</v>
      </c>
      <c r="AB58" s="19" t="n">
        <v>1440992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기타자본</t>
        </is>
      </c>
      <c r="E59" s="18" t="n">
        <v>46159.35</v>
      </c>
      <c r="F59" s="37" t="n">
        <v>46159.35</v>
      </c>
      <c r="G59" s="18" t="n">
        <v>45570.94</v>
      </c>
      <c r="H59" s="18" t="n">
        <v>45662.45</v>
      </c>
      <c r="I59" s="18" t="n">
        <v>45618.81</v>
      </c>
      <c r="J59" s="18" t="n">
        <v>45676.12</v>
      </c>
      <c r="K59" s="37" t="n">
        <v>45676.12</v>
      </c>
      <c r="L59" s="18" t="n">
        <v>45676.57</v>
      </c>
      <c r="M59" s="18" t="n">
        <v>45767.3</v>
      </c>
      <c r="N59" s="18" t="n">
        <v>45914.72</v>
      </c>
      <c r="O59" s="18" t="n">
        <v>46056.9</v>
      </c>
      <c r="P59" s="37" t="n">
        <v>46056.9</v>
      </c>
      <c r="Q59" s="18" t="n">
        <v>46020.14</v>
      </c>
      <c r="R59" s="18" t="n">
        <v>46374.88</v>
      </c>
      <c r="S59" s="18" t="n">
        <v>46650.57</v>
      </c>
      <c r="T59" s="18" t="n">
        <v>46766</v>
      </c>
      <c r="U59" s="37" t="n">
        <v>46766</v>
      </c>
      <c r="V59" s="18" t="n">
        <v>45455</v>
      </c>
      <c r="W59" s="18" t="n">
        <v>45455</v>
      </c>
      <c r="X59" s="18" t="n">
        <v>45594</v>
      </c>
      <c r="Y59" s="18" t="n">
        <v>45529</v>
      </c>
      <c r="Z59" s="37" t="n">
        <v>45529</v>
      </c>
      <c r="AA59" s="18" t="n">
        <v>84725</v>
      </c>
      <c r="AB59" s="19" t="n">
        <v>-30058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기타포괄이익누계액</t>
        </is>
      </c>
      <c r="E60" s="18" t="n">
        <v>731324.74</v>
      </c>
      <c r="F60" s="37" t="n">
        <v>731324.74</v>
      </c>
      <c r="G60" s="18" t="n">
        <v>806170.54</v>
      </c>
      <c r="H60" s="18" t="n">
        <v>919753</v>
      </c>
      <c r="I60" s="18" t="n">
        <v>1213524.6</v>
      </c>
      <c r="J60" s="18" t="n">
        <v>882653.39</v>
      </c>
      <c r="K60" s="37" t="n">
        <v>882653.39</v>
      </c>
      <c r="L60" s="18" t="n">
        <v>1044046.63</v>
      </c>
      <c r="M60" s="18" t="n">
        <v>1013967.63</v>
      </c>
      <c r="N60" s="18" t="n">
        <v>1041575.21</v>
      </c>
      <c r="O60" s="18" t="n">
        <v>906691.29</v>
      </c>
      <c r="P60" s="37" t="n">
        <v>906691.29</v>
      </c>
      <c r="Q60" s="18" t="n">
        <v>990981.42</v>
      </c>
      <c r="R60" s="18" t="n">
        <v>1089268.87</v>
      </c>
      <c r="S60" s="18" t="n">
        <v>973975.3</v>
      </c>
      <c r="T60" s="18" t="n">
        <v>1215926</v>
      </c>
      <c r="U60" s="37" t="n">
        <v>1215926</v>
      </c>
      <c r="V60" s="18" t="n">
        <v>1300764</v>
      </c>
      <c r="W60" s="18" t="n">
        <v>1145032</v>
      </c>
      <c r="X60" s="18" t="n">
        <v>1257763</v>
      </c>
      <c r="Y60" s="18" t="n">
        <v>1334986</v>
      </c>
      <c r="Z60" s="37" t="n">
        <v>1334986</v>
      </c>
      <c r="AA60" s="18" t="n">
        <v>1526330</v>
      </c>
      <c r="AB60" s="19" t="n">
        <v>1607242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이익잉여금</t>
        </is>
      </c>
      <c r="E61" s="18" t="n">
        <v>773234.89</v>
      </c>
      <c r="F61" s="37" t="n">
        <v>773234.89</v>
      </c>
      <c r="G61" s="18" t="n">
        <v>739346.4399999999</v>
      </c>
      <c r="H61" s="18" t="n">
        <v>567256.73</v>
      </c>
      <c r="I61" s="18" t="n">
        <v>652184.1</v>
      </c>
      <c r="J61" s="18" t="n">
        <v>58813.72</v>
      </c>
      <c r="K61" s="37" t="n">
        <v>58813.72</v>
      </c>
      <c r="L61" s="18" t="n">
        <v>1279716.9</v>
      </c>
      <c r="M61" s="18" t="n">
        <v>1389714</v>
      </c>
      <c r="N61" s="18" t="n">
        <v>1407212.04</v>
      </c>
      <c r="O61" s="18" t="n">
        <v>1184531.89</v>
      </c>
      <c r="P61" s="37" t="n">
        <v>1184531.89</v>
      </c>
      <c r="Q61" s="18" t="n">
        <v>1479859.01</v>
      </c>
      <c r="R61" s="18" t="n">
        <v>1623038.83</v>
      </c>
      <c r="S61" s="18" t="n">
        <v>1577068.91</v>
      </c>
      <c r="T61" s="18" t="n">
        <v>1394448</v>
      </c>
      <c r="U61" s="37" t="n">
        <v>1394448</v>
      </c>
      <c r="V61" s="18" t="n">
        <v>1548618</v>
      </c>
      <c r="W61" s="18" t="n">
        <v>1682687</v>
      </c>
      <c r="X61" s="18" t="n">
        <v>1634980</v>
      </c>
      <c r="Y61" s="18" t="n">
        <v>1696327</v>
      </c>
      <c r="Z61" s="37" t="n">
        <v>1696327</v>
      </c>
      <c r="AA61" s="18" t="n">
        <v>1713607</v>
      </c>
      <c r="AB61" s="19" t="n">
        <v>1874130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비지배주주지분</t>
        </is>
      </c>
      <c r="E62" s="18" t="n">
        <v>2716168.5</v>
      </c>
      <c r="F62" s="37" t="n">
        <v>2716168.5</v>
      </c>
      <c r="G62" s="18" t="n">
        <v>2741918.08</v>
      </c>
      <c r="H62" s="18" t="n">
        <v>2885105.68</v>
      </c>
      <c r="I62" s="18" t="n">
        <v>2999448.42</v>
      </c>
      <c r="J62" s="18" t="n">
        <v>2967017.61</v>
      </c>
      <c r="K62" s="37" t="n">
        <v>2967017.61</v>
      </c>
      <c r="L62" s="18" t="n">
        <v>3127814.56</v>
      </c>
      <c r="M62" s="18" t="n">
        <v>3598066.36</v>
      </c>
      <c r="N62" s="18" t="n">
        <v>3686502.06</v>
      </c>
      <c r="O62" s="18" t="n">
        <v>3724137.97</v>
      </c>
      <c r="P62" s="37" t="n">
        <v>3724137.97</v>
      </c>
      <c r="Q62" s="18" t="n">
        <v>3900653.43</v>
      </c>
      <c r="R62" s="18" t="n">
        <v>4067941.08</v>
      </c>
      <c r="S62" s="18" t="n">
        <v>3941085.61</v>
      </c>
      <c r="T62" s="18" t="n">
        <v>4164530</v>
      </c>
      <c r="U62" s="37" t="n">
        <v>4164530</v>
      </c>
      <c r="V62" s="18" t="n">
        <v>4139410</v>
      </c>
      <c r="W62" s="18" t="n">
        <v>4047301</v>
      </c>
      <c r="X62" s="18" t="n">
        <v>4161294</v>
      </c>
      <c r="Y62" s="18" t="n">
        <v>4223627</v>
      </c>
      <c r="Z62" s="37" t="n">
        <v>4223627</v>
      </c>
      <c r="AA62" s="18" t="n">
        <v>4410635</v>
      </c>
      <c r="AB62" s="19" t="n">
        <v>4506850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자본총계</t>
        </is>
      </c>
      <c r="E63" s="18" t="n">
        <v>8807595.640000001</v>
      </c>
      <c r="F63" s="37" t="n">
        <v>8807595.640000001</v>
      </c>
      <c r="G63" s="18" t="n">
        <v>10308009.31</v>
      </c>
      <c r="H63" s="18" t="n">
        <v>10518589.39</v>
      </c>
      <c r="I63" s="18" t="n">
        <v>11036874.95</v>
      </c>
      <c r="J63" s="18" t="n">
        <v>10080290.28</v>
      </c>
      <c r="K63" s="37" t="n">
        <v>10080290.28</v>
      </c>
      <c r="L63" s="18" t="n">
        <v>10496905.19</v>
      </c>
      <c r="M63" s="18" t="n">
        <v>11027514.75</v>
      </c>
      <c r="N63" s="18" t="n">
        <v>11161300.37</v>
      </c>
      <c r="O63" s="18" t="n">
        <v>10841508.94</v>
      </c>
      <c r="P63" s="37" t="n">
        <v>10841508.94</v>
      </c>
      <c r="Q63" s="18" t="n">
        <v>11252394.45</v>
      </c>
      <c r="R63" s="18" t="n">
        <v>11657728.42</v>
      </c>
      <c r="S63" s="18" t="n">
        <v>11369885.15</v>
      </c>
      <c r="T63" s="18" t="n">
        <v>11661092</v>
      </c>
      <c r="U63" s="37" t="n">
        <v>11661092</v>
      </c>
      <c r="V63" s="18" t="n">
        <v>11743129</v>
      </c>
      <c r="W63" s="18" t="n">
        <v>11628285</v>
      </c>
      <c r="X63" s="18" t="n">
        <v>11866190</v>
      </c>
      <c r="Y63" s="18" t="n">
        <v>12009370</v>
      </c>
      <c r="Z63" s="37" t="n">
        <v>12009370</v>
      </c>
      <c r="AA63" s="18" t="n">
        <v>12443616</v>
      </c>
      <c r="AB63" s="19" t="n">
        <v>12666483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부채와자본총계</t>
        </is>
      </c>
      <c r="E64" s="18" t="n">
        <v>23720545.63</v>
      </c>
      <c r="F64" s="37" t="n">
        <v>23720545.63</v>
      </c>
      <c r="G64" s="18" t="n">
        <v>24145803.23</v>
      </c>
      <c r="H64" s="18" t="n">
        <v>24271350.95</v>
      </c>
      <c r="I64" s="18" t="n">
        <v>25170911.62</v>
      </c>
      <c r="J64" s="18" t="n">
        <v>23049781.8</v>
      </c>
      <c r="K64" s="37" t="n">
        <v>23049781.8</v>
      </c>
      <c r="L64" s="18" t="n">
        <v>23998329.07</v>
      </c>
      <c r="M64" s="18" t="n">
        <v>25307471.42</v>
      </c>
      <c r="N64" s="18" t="n">
        <v>24939918.84</v>
      </c>
      <c r="O64" s="18" t="n">
        <v>24640833.95</v>
      </c>
      <c r="P64" s="37" t="n">
        <v>24640833.95</v>
      </c>
      <c r="Q64" s="18" t="n">
        <v>25657120.79</v>
      </c>
      <c r="R64" s="18" t="n">
        <v>26114104.55</v>
      </c>
      <c r="S64" s="18" t="n">
        <v>25264596.72</v>
      </c>
      <c r="T64" s="18" t="n">
        <v>26314835</v>
      </c>
      <c r="U64" s="37" t="n">
        <v>26314835</v>
      </c>
      <c r="V64" s="18" t="n">
        <v>26896993</v>
      </c>
      <c r="W64" s="18" t="n">
        <v>26305196</v>
      </c>
      <c r="X64" s="18" t="n">
        <v>27027903</v>
      </c>
      <c r="Y64" s="18" t="n">
        <v>27513223</v>
      </c>
      <c r="Z64" s="37" t="n">
        <v>27513223</v>
      </c>
      <c r="AA64" s="18" t="n">
        <v>28695055</v>
      </c>
      <c r="AB64" s="19" t="n">
        <v>29947742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총차입금</t>
        </is>
      </c>
      <c r="E65" s="18" t="n">
        <v>7212521.58</v>
      </c>
      <c r="F65" s="37" t="n">
        <v>7212521.58</v>
      </c>
      <c r="G65" s="18" t="n">
        <v>5555792.46</v>
      </c>
      <c r="H65" s="18" t="n">
        <v>5009198.58</v>
      </c>
      <c r="I65" s="18" t="n">
        <v>5194407.01</v>
      </c>
      <c r="J65" s="18" t="n">
        <v>4911792.86</v>
      </c>
      <c r="K65" s="37" t="n">
        <v>4911792.86</v>
      </c>
      <c r="L65" s="18" t="n">
        <v>5158710.09</v>
      </c>
      <c r="M65" s="18" t="n">
        <v>5086903.51</v>
      </c>
      <c r="N65" s="18" t="n">
        <v>4789736.95</v>
      </c>
      <c r="O65" s="18" t="n">
        <v>4714615.06</v>
      </c>
      <c r="P65" s="37" t="n">
        <v>4714615.06</v>
      </c>
      <c r="Q65" s="18" t="n">
        <v>4860699.89</v>
      </c>
      <c r="R65" s="18" t="n">
        <v>5280006.8</v>
      </c>
      <c r="S65" s="18" t="n">
        <v>5982488.78</v>
      </c>
      <c r="T65" s="18" t="n">
        <v>5880769</v>
      </c>
      <c r="U65" s="37" t="n">
        <v>5880769</v>
      </c>
      <c r="V65" s="18" t="n">
        <v>6327710</v>
      </c>
      <c r="W65" s="18" t="n">
        <v>6107478</v>
      </c>
      <c r="X65" s="18" t="n">
        <v>6640146</v>
      </c>
      <c r="Y65" s="18" t="n">
        <v>5748685</v>
      </c>
      <c r="Z65" s="37" t="n">
        <v>5748685</v>
      </c>
      <c r="AA65" s="18" t="n">
        <v>6555731</v>
      </c>
      <c r="AB65" s="19" t="n">
        <v>6891335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순차입금</t>
        </is>
      </c>
      <c r="E66" s="18" t="n">
        <v>4676763.36</v>
      </c>
      <c r="F66" s="37" t="n">
        <v>4676763.36</v>
      </c>
      <c r="G66" s="18" t="n">
        <v>3550155.9</v>
      </c>
      <c r="H66" s="18" t="n">
        <v>3613131.5</v>
      </c>
      <c r="I66" s="18" t="n">
        <v>3345667.44</v>
      </c>
      <c r="J66" s="18" t="n">
        <v>3281346.78</v>
      </c>
      <c r="K66" s="37" t="n">
        <v>3281346.78</v>
      </c>
      <c r="L66" s="18" t="n">
        <v>3354402.97</v>
      </c>
      <c r="M66" s="18" t="n">
        <v>2131911.8</v>
      </c>
      <c r="N66" s="18" t="n">
        <v>2238945.29</v>
      </c>
      <c r="O66" s="18" t="n">
        <v>1891430.24</v>
      </c>
      <c r="P66" s="37" t="n">
        <v>1891430.24</v>
      </c>
      <c r="Q66" s="18" t="n">
        <v>1687744.29</v>
      </c>
      <c r="R66" s="18" t="n">
        <v>2439800.09</v>
      </c>
      <c r="S66" s="18" t="n">
        <v>3521212.75</v>
      </c>
      <c r="T66" s="18" t="n">
        <v>2697033</v>
      </c>
      <c r="U66" s="37" t="n">
        <v>2697033</v>
      </c>
      <c r="V66" s="18" t="n">
        <v>3428534</v>
      </c>
      <c r="W66" s="18" t="n">
        <v>3662807</v>
      </c>
      <c r="X66" s="18" t="n">
        <v>4057748</v>
      </c>
      <c r="Y66" s="18" t="n">
        <v>2481262</v>
      </c>
      <c r="Z66" s="37" t="n">
        <v>2481262</v>
      </c>
      <c r="AA66" s="18" t="n">
        <v>3197391</v>
      </c>
      <c r="AB66" s="19" t="n">
        <v>3855781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이자발생자산</t>
        </is>
      </c>
      <c r="E67" s="18" t="n">
        <v>2866740</v>
      </c>
      <c r="F67" s="37" t="n">
        <v>2866740</v>
      </c>
      <c r="G67" s="18" t="n">
        <v>2347246.67</v>
      </c>
      <c r="H67" s="18" t="n">
        <v>1757501.7</v>
      </c>
      <c r="I67" s="18" t="n">
        <v>2236680.27</v>
      </c>
      <c r="J67" s="18" t="n">
        <v>1983053.38</v>
      </c>
      <c r="K67" s="37" t="n">
        <v>1983053.38</v>
      </c>
      <c r="L67" s="18" t="n">
        <v>2163017.27</v>
      </c>
      <c r="M67" s="18" t="n">
        <v>3229436.02</v>
      </c>
      <c r="N67" s="18" t="n">
        <v>2821250.02</v>
      </c>
      <c r="O67" s="18" t="n">
        <v>3070399.24</v>
      </c>
      <c r="P67" s="37" t="n">
        <v>3070399.24</v>
      </c>
      <c r="Q67" s="18" t="n">
        <v>3435296.67</v>
      </c>
      <c r="R67" s="18" t="n">
        <v>3222080.93</v>
      </c>
      <c r="S67" s="18" t="n">
        <v>2828638.12</v>
      </c>
      <c r="T67" s="18" t="n">
        <v>3645454</v>
      </c>
      <c r="U67" s="37" t="n">
        <v>3645454</v>
      </c>
      <c r="V67" s="18" t="n">
        <v>3379019</v>
      </c>
      <c r="W67" s="18" t="n">
        <v>3044691</v>
      </c>
      <c r="X67" s="18" t="n">
        <v>3210847</v>
      </c>
      <c r="Y67" s="18" t="n">
        <v>3759067</v>
      </c>
      <c r="Z67" s="37" t="n">
        <v>3759067</v>
      </c>
      <c r="AA67" s="18" t="n">
        <v>3846320</v>
      </c>
      <c r="AB67" s="19" t="n">
        <v>3538600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매출액(수익)</t>
        </is>
      </c>
      <c r="E68" s="18" t="n">
        <v>2170787.22</v>
      </c>
      <c r="F68" s="9" t="n"/>
      <c r="G68" s="18" t="n">
        <v>3071285.05</v>
      </c>
      <c r="H68" s="18" t="n">
        <v>3834655.75</v>
      </c>
      <c r="I68" s="18" t="n">
        <v>3960324.12</v>
      </c>
      <c r="J68" s="18" t="n">
        <v>4621768.35</v>
      </c>
      <c r="K68" s="37" t="n">
        <v>15488033.27</v>
      </c>
      <c r="L68" s="18" t="n">
        <v>4041041.77</v>
      </c>
      <c r="M68" s="18" t="n">
        <v>4539361.76</v>
      </c>
      <c r="N68" s="18" t="n">
        <v>4154979.83</v>
      </c>
      <c r="O68" s="18" t="n">
        <v>4854504.35</v>
      </c>
      <c r="P68" s="37" t="n">
        <v>17589887.71</v>
      </c>
      <c r="Q68" s="18" t="n">
        <v>4097866.7</v>
      </c>
      <c r="R68" s="18" t="n">
        <v>4150487.34</v>
      </c>
      <c r="S68" s="18" t="n">
        <v>3395568.93</v>
      </c>
      <c r="T68" s="18" t="n">
        <v>4589132.03</v>
      </c>
      <c r="U68" s="37" t="n">
        <v>16233055</v>
      </c>
      <c r="V68" s="18" t="n">
        <v>3748574</v>
      </c>
      <c r="W68" s="18" t="n">
        <v>4569021</v>
      </c>
      <c r="X68" s="18" t="n">
        <v>3880350</v>
      </c>
      <c r="Y68" s="18" t="n">
        <v>4859931</v>
      </c>
      <c r="Z68" s="37" t="n">
        <v>17057876</v>
      </c>
      <c r="AA68" s="18" t="n">
        <v>4261130</v>
      </c>
      <c r="AB68" s="19" t="n">
        <v>4724808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매출원가</t>
        </is>
      </c>
      <c r="E69" s="18" t="n">
        <v>1828642.7</v>
      </c>
      <c r="F69" s="9" t="n"/>
      <c r="G69" s="18" t="n">
        <v>2551539.76</v>
      </c>
      <c r="H69" s="18" t="n">
        <v>3169295.47</v>
      </c>
      <c r="I69" s="18" t="n">
        <v>3289452.88</v>
      </c>
      <c r="J69" s="18" t="n">
        <v>3915683.13</v>
      </c>
      <c r="K69" s="37" t="n">
        <v>12925971.24</v>
      </c>
      <c r="L69" s="18" t="n">
        <v>3324948.15</v>
      </c>
      <c r="M69" s="18" t="n">
        <v>3723833.18</v>
      </c>
      <c r="N69" s="18" t="n">
        <v>3445958.6</v>
      </c>
      <c r="O69" s="18" t="n">
        <v>4078146.29</v>
      </c>
      <c r="P69" s="37" t="n">
        <v>14572886.22</v>
      </c>
      <c r="Q69" s="18" t="n">
        <v>3350758.52</v>
      </c>
      <c r="R69" s="18" t="n">
        <v>3421309.01</v>
      </c>
      <c r="S69" s="18" t="n">
        <v>2871437.67</v>
      </c>
      <c r="T69" s="18" t="n">
        <v>3859830.81</v>
      </c>
      <c r="U69" s="37" t="n">
        <v>13503336.01</v>
      </c>
      <c r="V69" s="18" t="n">
        <v>3150914</v>
      </c>
      <c r="W69" s="18" t="n">
        <v>3822574</v>
      </c>
      <c r="X69" s="18" t="n">
        <v>3276221</v>
      </c>
      <c r="Y69" s="18" t="n">
        <v>4064857</v>
      </c>
      <c r="Z69" s="37" t="n">
        <v>14314566</v>
      </c>
      <c r="AA69" s="18" t="n">
        <v>3516988</v>
      </c>
      <c r="AB69" s="19" t="n">
        <v>3838343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매출총이익</t>
        </is>
      </c>
      <c r="E70" s="18" t="n">
        <v>342144.51</v>
      </c>
      <c r="F70" s="9" t="n"/>
      <c r="G70" s="18" t="n">
        <v>519745.29</v>
      </c>
      <c r="H70" s="18" t="n">
        <v>665360.28</v>
      </c>
      <c r="I70" s="18" t="n">
        <v>670871.25</v>
      </c>
      <c r="J70" s="18" t="n">
        <v>706085.22</v>
      </c>
      <c r="K70" s="37" t="n">
        <v>2562062.04</v>
      </c>
      <c r="L70" s="18" t="n">
        <v>716093.62</v>
      </c>
      <c r="M70" s="18" t="n">
        <v>815528.58</v>
      </c>
      <c r="N70" s="18" t="n">
        <v>709021.23</v>
      </c>
      <c r="O70" s="18" t="n">
        <v>776358.0600000001</v>
      </c>
      <c r="P70" s="37" t="n">
        <v>3017001.49</v>
      </c>
      <c r="Q70" s="18" t="n">
        <v>747108.1800000001</v>
      </c>
      <c r="R70" s="18" t="n">
        <v>729178.33</v>
      </c>
      <c r="S70" s="18" t="n">
        <v>524131.26</v>
      </c>
      <c r="T70" s="18" t="n">
        <v>729301.22</v>
      </c>
      <c r="U70" s="37" t="n">
        <v>2729718.99</v>
      </c>
      <c r="V70" s="18" t="n">
        <v>597660</v>
      </c>
      <c r="W70" s="18" t="n">
        <v>746447</v>
      </c>
      <c r="X70" s="18" t="n">
        <v>604129</v>
      </c>
      <c r="Y70" s="18" t="n">
        <v>795074</v>
      </c>
      <c r="Z70" s="37" t="n">
        <v>2743310</v>
      </c>
      <c r="AA70" s="18" t="n">
        <v>744142</v>
      </c>
      <c r="AB70" s="19" t="n">
        <v>886465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판관비</t>
        </is>
      </c>
      <c r="E71" s="18" t="n">
        <v>215162.51</v>
      </c>
      <c r="F71" s="9" t="n"/>
      <c r="G71" s="18" t="n">
        <v>327605.36</v>
      </c>
      <c r="H71" s="18" t="n">
        <v>337023.73</v>
      </c>
      <c r="I71" s="18" t="n">
        <v>356302.15</v>
      </c>
      <c r="J71" s="18" t="n">
        <v>434378</v>
      </c>
      <c r="K71" s="37" t="n">
        <v>1455309.24</v>
      </c>
      <c r="L71" s="18" t="n">
        <v>351519.13</v>
      </c>
      <c r="M71" s="18" t="n">
        <v>320878.27</v>
      </c>
      <c r="N71" s="18" t="n">
        <v>397631.83</v>
      </c>
      <c r="O71" s="18" t="n">
        <v>479653.92</v>
      </c>
      <c r="P71" s="37" t="n">
        <v>1549683.15</v>
      </c>
      <c r="Q71" s="18" t="n">
        <v>389037.24</v>
      </c>
      <c r="R71" s="18" t="n">
        <v>419388.1</v>
      </c>
      <c r="S71" s="18" t="n">
        <v>409341.68</v>
      </c>
      <c r="T71" s="18" t="n">
        <v>494351.98</v>
      </c>
      <c r="U71" s="37" t="n">
        <v>1712119</v>
      </c>
      <c r="V71" s="18" t="n">
        <v>455185</v>
      </c>
      <c r="W71" s="18" t="n">
        <v>475341</v>
      </c>
      <c r="X71" s="18" t="n">
        <v>467070</v>
      </c>
      <c r="Y71" s="18" t="n">
        <v>583002</v>
      </c>
      <c r="Z71" s="37" t="n">
        <v>1980598</v>
      </c>
      <c r="AA71" s="18" t="n">
        <v>510628</v>
      </c>
      <c r="AB71" s="19" t="n">
        <v>572205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영업이익</t>
        </is>
      </c>
      <c r="E72" s="18" t="n">
        <v>126982</v>
      </c>
      <c r="F72" s="9" t="n"/>
      <c r="G72" s="18" t="n">
        <v>192139.94</v>
      </c>
      <c r="H72" s="18" t="n">
        <v>328336.56</v>
      </c>
      <c r="I72" s="18" t="n">
        <v>314569.1</v>
      </c>
      <c r="J72" s="18" t="n">
        <v>271707.22</v>
      </c>
      <c r="K72" s="37" t="n">
        <v>1106752.82</v>
      </c>
      <c r="L72" s="18" t="n">
        <v>364574.49</v>
      </c>
      <c r="M72" s="18" t="n">
        <v>494650.31</v>
      </c>
      <c r="N72" s="18" t="n">
        <v>311389.4</v>
      </c>
      <c r="O72" s="18" t="n">
        <v>296704.14</v>
      </c>
      <c r="P72" s="37" t="n">
        <v>1467318.34</v>
      </c>
      <c r="Q72" s="18" t="n">
        <v>358070.95</v>
      </c>
      <c r="R72" s="18" t="n">
        <v>309790.23</v>
      </c>
      <c r="S72" s="18" t="n">
        <v>114789.58</v>
      </c>
      <c r="T72" s="18" t="n">
        <v>234949.24</v>
      </c>
      <c r="U72" s="37" t="n">
        <v>1017600</v>
      </c>
      <c r="V72" s="18" t="n">
        <v>142475</v>
      </c>
      <c r="W72" s="18" t="n">
        <v>271106</v>
      </c>
      <c r="X72" s="18" t="n">
        <v>137059</v>
      </c>
      <c r="Y72" s="18" t="n">
        <v>212072</v>
      </c>
      <c r="Z72" s="37" t="n">
        <v>762712</v>
      </c>
      <c r="AA72" s="18" t="n">
        <v>233514</v>
      </c>
      <c r="AB72" s="19" t="n">
        <v>314260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금융손익</t>
        </is>
      </c>
      <c r="E73" s="18" t="n">
        <v>-72452.62</v>
      </c>
      <c r="F73" s="9" t="n"/>
      <c r="G73" s="18" t="n">
        <v>-128514.08</v>
      </c>
      <c r="H73" s="18" t="n">
        <v>-225785.51</v>
      </c>
      <c r="I73" s="18" t="n">
        <v>-143902.21</v>
      </c>
      <c r="J73" s="18" t="n">
        <v>15716.89</v>
      </c>
      <c r="K73" s="37" t="n">
        <v>-482484.91</v>
      </c>
      <c r="L73" s="18" t="n">
        <v>-58023.38</v>
      </c>
      <c r="M73" s="18" t="n">
        <v>-54070.41</v>
      </c>
      <c r="N73" s="18" t="n">
        <v>-76427.16</v>
      </c>
      <c r="O73" s="18" t="n">
        <v>-79430.34</v>
      </c>
      <c r="P73" s="37" t="n">
        <v>-267951.29</v>
      </c>
      <c r="Q73" s="18" t="n">
        <v>-14694.97</v>
      </c>
      <c r="R73" s="18" t="n">
        <v>-41622.22</v>
      </c>
      <c r="S73" s="18" t="n">
        <v>-70831.61</v>
      </c>
      <c r="T73" s="18" t="n">
        <v>-54103.21</v>
      </c>
      <c r="U73" s="37" t="n">
        <v>-181252.01</v>
      </c>
      <c r="V73" s="18" t="n">
        <v>-79445</v>
      </c>
      <c r="W73" s="18" t="n">
        <v>-73142</v>
      </c>
      <c r="X73" s="18" t="n">
        <v>-131221</v>
      </c>
      <c r="Y73" s="18" t="n">
        <v>-61261</v>
      </c>
      <c r="Z73" s="37" t="n">
        <v>-345069</v>
      </c>
      <c r="AA73" s="18" t="n">
        <v>-110583</v>
      </c>
      <c r="AB73" s="19" t="n">
        <v>21652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금융수익</t>
        </is>
      </c>
      <c r="E74" s="18" t="n">
        <v>80622.67999999999</v>
      </c>
      <c r="F74" s="9" t="n"/>
      <c r="G74" s="18" t="n">
        <v>140669.96</v>
      </c>
      <c r="H74" s="18" t="n">
        <v>382664.15</v>
      </c>
      <c r="I74" s="18" t="n">
        <v>650758.59</v>
      </c>
      <c r="J74" s="18" t="n">
        <v>-425967.02</v>
      </c>
      <c r="K74" s="37" t="n">
        <v>748125.6800000001</v>
      </c>
      <c r="L74" s="18" t="n">
        <v>275199.55</v>
      </c>
      <c r="M74" s="18" t="n">
        <v>172215.56</v>
      </c>
      <c r="N74" s="18" t="n">
        <v>182182.16</v>
      </c>
      <c r="O74" s="18" t="n">
        <v>-34486.06</v>
      </c>
      <c r="P74" s="37" t="n">
        <v>595111.21</v>
      </c>
      <c r="Q74" s="18" t="n">
        <v>349957.8</v>
      </c>
      <c r="R74" s="18" t="n">
        <v>266122.19</v>
      </c>
      <c r="S74" s="18" t="n">
        <v>-72836.39999999999</v>
      </c>
      <c r="T74" s="18" t="n">
        <v>612560.41</v>
      </c>
      <c r="U74" s="37" t="n">
        <v>1155804</v>
      </c>
      <c r="V74" s="18" t="n">
        <v>269121</v>
      </c>
      <c r="W74" s="18" t="n">
        <v>394506</v>
      </c>
      <c r="X74" s="18" t="n">
        <v>-12083</v>
      </c>
      <c r="Y74" s="18" t="n">
        <v>223940</v>
      </c>
      <c r="Z74" s="37" t="n">
        <v>875484</v>
      </c>
      <c r="AA74" s="18" t="n">
        <v>536170</v>
      </c>
      <c r="AB74" s="19" t="n">
        <v>348911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금융비용</t>
        </is>
      </c>
      <c r="E75" s="18" t="n">
        <v>153075.31</v>
      </c>
      <c r="F75" s="9" t="n"/>
      <c r="G75" s="18" t="n">
        <v>269184.04</v>
      </c>
      <c r="H75" s="18" t="n">
        <v>608449.65</v>
      </c>
      <c r="I75" s="18" t="n">
        <v>794660.8</v>
      </c>
      <c r="J75" s="18" t="n">
        <v>-441683.92</v>
      </c>
      <c r="K75" s="37" t="n">
        <v>1230610.57</v>
      </c>
      <c r="L75" s="18" t="n">
        <v>333222.93</v>
      </c>
      <c r="M75" s="18" t="n">
        <v>226285.97</v>
      </c>
      <c r="N75" s="18" t="n">
        <v>258609.32</v>
      </c>
      <c r="O75" s="18" t="n">
        <v>44944.28</v>
      </c>
      <c r="P75" s="37" t="n">
        <v>863062.5</v>
      </c>
      <c r="Q75" s="18" t="n">
        <v>364652.77</v>
      </c>
      <c r="R75" s="18" t="n">
        <v>307744.41</v>
      </c>
      <c r="S75" s="18" t="n">
        <v>-2004.79</v>
      </c>
      <c r="T75" s="18" t="n">
        <v>666663.62</v>
      </c>
      <c r="U75" s="37" t="n">
        <v>1337056.01</v>
      </c>
      <c r="V75" s="18" t="n">
        <v>348566</v>
      </c>
      <c r="W75" s="18" t="n">
        <v>467648</v>
      </c>
      <c r="X75" s="18" t="n">
        <v>119138</v>
      </c>
      <c r="Y75" s="18" t="n">
        <v>285201</v>
      </c>
      <c r="Z75" s="37" t="n">
        <v>1220553</v>
      </c>
      <c r="AA75" s="18" t="n">
        <v>646753</v>
      </c>
      <c r="AB75" s="19" t="n">
        <v>327259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기타영업외손익</t>
        </is>
      </c>
      <c r="E76" s="18" t="n">
        <v>5163.62</v>
      </c>
      <c r="F76" s="9" t="n"/>
      <c r="G76" s="18" t="n">
        <v>3792.58</v>
      </c>
      <c r="H76" s="18" t="n">
        <v>52438.98</v>
      </c>
      <c r="I76" s="18" t="n">
        <v>4599.96</v>
      </c>
      <c r="J76" s="18" t="n">
        <v>-640439.17</v>
      </c>
      <c r="K76" s="37" t="n">
        <v>-579607.65</v>
      </c>
      <c r="L76" s="18" t="n">
        <v>-40279.98</v>
      </c>
      <c r="M76" s="18" t="n">
        <v>-40772.25</v>
      </c>
      <c r="N76" s="18" t="n">
        <v>-14166.91</v>
      </c>
      <c r="O76" s="18" t="n">
        <v>-326978.55</v>
      </c>
      <c r="P76" s="37" t="n">
        <v>-422197.69</v>
      </c>
      <c r="Q76" s="18" t="n">
        <v>18931.68</v>
      </c>
      <c r="R76" s="18" t="n">
        <v>27602.66</v>
      </c>
      <c r="S76" s="18" t="n">
        <v>-8927.25</v>
      </c>
      <c r="T76" s="18" t="n">
        <v>-236660.09</v>
      </c>
      <c r="U76" s="37" t="n">
        <v>-199053</v>
      </c>
      <c r="V76" s="18" t="n">
        <v>-34702</v>
      </c>
      <c r="W76" s="18" t="n">
        <v>107222</v>
      </c>
      <c r="X76" s="18" t="n">
        <v>-40163</v>
      </c>
      <c r="Y76" s="18" t="n">
        <v>-145997</v>
      </c>
      <c r="Z76" s="37" t="n">
        <v>-113640</v>
      </c>
      <c r="AA76" s="18" t="n">
        <v>-17239</v>
      </c>
      <c r="AB76" s="19" t="n">
        <v>-2931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기타영업외수익</t>
        </is>
      </c>
      <c r="E77" s="18" t="n">
        <v>28567.56</v>
      </c>
      <c r="F77" s="9" t="n"/>
      <c r="G77" s="18" t="n">
        <v>36387.01</v>
      </c>
      <c r="H77" s="18" t="n">
        <v>61424.15</v>
      </c>
      <c r="I77" s="18" t="n">
        <v>25650.11</v>
      </c>
      <c r="J77" s="18" t="n">
        <v>37209.45</v>
      </c>
      <c r="K77" s="37" t="n">
        <v>160670.72</v>
      </c>
      <c r="L77" s="18" t="n">
        <v>4638.83</v>
      </c>
      <c r="M77" s="18" t="n">
        <v>4591.88</v>
      </c>
      <c r="N77" s="18" t="n">
        <v>3752.4</v>
      </c>
      <c r="O77" s="18" t="n">
        <v>36320.67</v>
      </c>
      <c r="P77" s="37" t="n">
        <v>49303.78</v>
      </c>
      <c r="Q77" s="18" t="n">
        <v>36345.69</v>
      </c>
      <c r="R77" s="18" t="n">
        <v>42917.39</v>
      </c>
      <c r="S77" s="18" t="n">
        <v>3156.83</v>
      </c>
      <c r="T77" s="18" t="n">
        <v>61348.09</v>
      </c>
      <c r="U77" s="37" t="n">
        <v>143768</v>
      </c>
      <c r="V77" s="18" t="n">
        <v>4624</v>
      </c>
      <c r="W77" s="18" t="n">
        <v>108912</v>
      </c>
      <c r="X77" s="18" t="n">
        <v>-5654</v>
      </c>
      <c r="Y77" s="18" t="n">
        <v>-5071</v>
      </c>
      <c r="Z77" s="37" t="n">
        <v>102811</v>
      </c>
      <c r="AA77" s="18" t="n">
        <v>6851</v>
      </c>
      <c r="AB77" s="19" t="n">
        <v>19536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기타영업외비용</t>
        </is>
      </c>
      <c r="E78" s="18" t="n">
        <v>23403.94</v>
      </c>
      <c r="F78" s="9" t="n"/>
      <c r="G78" s="18" t="n">
        <v>32594.43</v>
      </c>
      <c r="H78" s="18" t="n">
        <v>8985.17</v>
      </c>
      <c r="I78" s="18" t="n">
        <v>21050.15</v>
      </c>
      <c r="J78" s="18" t="n">
        <v>677648.63</v>
      </c>
      <c r="K78" s="37" t="n">
        <v>740278.38</v>
      </c>
      <c r="L78" s="18" t="n">
        <v>44918.8</v>
      </c>
      <c r="M78" s="18" t="n">
        <v>45364.13</v>
      </c>
      <c r="N78" s="18" t="n">
        <v>17919.31</v>
      </c>
      <c r="O78" s="18" t="n">
        <v>363299.21</v>
      </c>
      <c r="P78" s="37" t="n">
        <v>471501.45</v>
      </c>
      <c r="Q78" s="18" t="n">
        <v>17414.01</v>
      </c>
      <c r="R78" s="18" t="n">
        <v>15314.73</v>
      </c>
      <c r="S78" s="18" t="n">
        <v>12084.08</v>
      </c>
      <c r="T78" s="18" t="n">
        <v>298008.18</v>
      </c>
      <c r="U78" s="37" t="n">
        <v>342821</v>
      </c>
      <c r="V78" s="18" t="n">
        <v>39326</v>
      </c>
      <c r="W78" s="18" t="n">
        <v>1690</v>
      </c>
      <c r="X78" s="18" t="n">
        <v>34509</v>
      </c>
      <c r="Y78" s="18" t="n">
        <v>140926</v>
      </c>
      <c r="Z78" s="37" t="n">
        <v>216451</v>
      </c>
      <c r="AA78" s="18" t="n">
        <v>24090</v>
      </c>
      <c r="AB78" s="19" t="n">
        <v>22467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종속기업,공동지배기업및관계기업관련손익</t>
        </is>
      </c>
      <c r="E79" s="18" t="n">
        <v>1572.87</v>
      </c>
      <c r="F79" s="9" t="n"/>
      <c r="G79" s="18" t="n">
        <v>-6447.45</v>
      </c>
      <c r="H79" s="18" t="n">
        <v>-3900.61</v>
      </c>
      <c r="I79" s="18" t="n">
        <v>1602.24</v>
      </c>
      <c r="J79" s="18" t="n">
        <v>-221137.38</v>
      </c>
      <c r="K79" s="37" t="n">
        <v>-229883.2</v>
      </c>
      <c r="L79" s="18" t="n">
        <v>21305.04</v>
      </c>
      <c r="M79" s="18" t="n">
        <v>15316.26</v>
      </c>
      <c r="N79" s="18" t="n">
        <v>-23797.57</v>
      </c>
      <c r="O79" s="18" t="n">
        <v>-51511.36</v>
      </c>
      <c r="P79" s="37" t="n">
        <v>-38687.63</v>
      </c>
      <c r="Q79" s="18" t="n">
        <v>6529.85</v>
      </c>
      <c r="R79" s="18" t="n">
        <v>20927.35</v>
      </c>
      <c r="S79" s="18" t="n">
        <v>3542.18</v>
      </c>
      <c r="T79" s="18" t="n">
        <v>-10515.38</v>
      </c>
      <c r="U79" s="37" t="n">
        <v>20484</v>
      </c>
      <c r="V79" s="18" t="n">
        <v>1879</v>
      </c>
      <c r="W79" s="18" t="n">
        <v>5350</v>
      </c>
      <c r="X79" s="18" t="n">
        <v>16392</v>
      </c>
      <c r="Y79" s="18" t="n">
        <v>-817</v>
      </c>
      <c r="Z79" s="37" t="n">
        <v>22804</v>
      </c>
      <c r="AA79" s="18" t="n">
        <v>13762</v>
      </c>
      <c r="AB79" s="19" t="n">
        <v>14897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지분법관련손익</t>
        </is>
      </c>
      <c r="E80" s="18" t="n">
        <v>1572.87</v>
      </c>
      <c r="F80" s="9" t="n"/>
      <c r="G80" s="18" t="n">
        <v>-6447.45</v>
      </c>
      <c r="H80" s="18" t="n">
        <v>-3900.61</v>
      </c>
      <c r="I80" s="18" t="n">
        <v>1602.24</v>
      </c>
      <c r="J80" s="18" t="n">
        <v>-221137.38</v>
      </c>
      <c r="K80" s="37" t="n">
        <v>-229883.2</v>
      </c>
      <c r="L80" s="18" t="n">
        <v>21305.04</v>
      </c>
      <c r="M80" s="18" t="n">
        <v>15316.26</v>
      </c>
      <c r="N80" s="18" t="n">
        <v>-23797.57</v>
      </c>
      <c r="O80" s="18" t="n">
        <v>-51511.36</v>
      </c>
      <c r="P80" s="37" t="n">
        <v>-38687.63</v>
      </c>
      <c r="Q80" s="18" t="n">
        <v>6529.85</v>
      </c>
      <c r="R80" s="18" t="n">
        <v>20927.35</v>
      </c>
      <c r="S80" s="18" t="n">
        <v>3542.18</v>
      </c>
      <c r="T80" s="18" t="n">
        <v>-10515.38</v>
      </c>
      <c r="U80" s="37" t="n">
        <v>20484</v>
      </c>
      <c r="V80" s="18" t="n">
        <v>1879</v>
      </c>
      <c r="W80" s="18" t="n">
        <v>5350</v>
      </c>
      <c r="X80" s="18" t="n">
        <v>16392</v>
      </c>
      <c r="Y80" s="18" t="n">
        <v>-817</v>
      </c>
      <c r="Z80" s="37" t="n">
        <v>22804</v>
      </c>
      <c r="AA80" s="18" t="n">
        <v>13762</v>
      </c>
      <c r="AB80" s="19" t="n">
        <v>14897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법인세비용차감전계속사업이익</t>
        </is>
      </c>
      <c r="E81" s="18" t="n">
        <v>61265.87</v>
      </c>
      <c r="F81" s="9" t="n"/>
      <c r="G81" s="18" t="n">
        <v>60970.98</v>
      </c>
      <c r="H81" s="18" t="n">
        <v>151089.41</v>
      </c>
      <c r="I81" s="18" t="n">
        <v>176869.09</v>
      </c>
      <c r="J81" s="18" t="n">
        <v>-574152.46</v>
      </c>
      <c r="K81" s="37" t="n">
        <v>-185222.98</v>
      </c>
      <c r="L81" s="18" t="n">
        <v>287576.17</v>
      </c>
      <c r="M81" s="18" t="n">
        <v>415123.91</v>
      </c>
      <c r="N81" s="18" t="n">
        <v>196997.77</v>
      </c>
      <c r="O81" s="18" t="n">
        <v>-161216.09</v>
      </c>
      <c r="P81" s="37" t="n">
        <v>738481.76</v>
      </c>
      <c r="Q81" s="18" t="n">
        <v>368837.51</v>
      </c>
      <c r="R81" s="18" t="n">
        <v>316698.03</v>
      </c>
      <c r="S81" s="18" t="n">
        <v>38572.91</v>
      </c>
      <c r="T81" s="18" t="n">
        <v>-66329.45</v>
      </c>
      <c r="U81" s="37" t="n">
        <v>657779</v>
      </c>
      <c r="V81" s="18" t="n">
        <v>30207</v>
      </c>
      <c r="W81" s="18" t="n">
        <v>310536</v>
      </c>
      <c r="X81" s="18" t="n">
        <v>-17933</v>
      </c>
      <c r="Y81" s="18" t="n">
        <v>3997</v>
      </c>
      <c r="Z81" s="37" t="n">
        <v>326807</v>
      </c>
      <c r="AA81" s="18" t="n">
        <v>119454</v>
      </c>
      <c r="AB81" s="19" t="n">
        <v>347878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법인세비용</t>
        </is>
      </c>
      <c r="E82" s="18" t="n">
        <v>-62858.53</v>
      </c>
      <c r="F82" s="9" t="n"/>
      <c r="G82" s="18" t="n">
        <v>49450.8</v>
      </c>
      <c r="H82" s="18" t="n">
        <v>83701.22</v>
      </c>
      <c r="I82" s="18" t="n">
        <v>103967.18</v>
      </c>
      <c r="J82" s="18" t="n">
        <v>-90056.94</v>
      </c>
      <c r="K82" s="37" t="n">
        <v>147062.26</v>
      </c>
      <c r="L82" s="18" t="n">
        <v>116861.33</v>
      </c>
      <c r="M82" s="18" t="n">
        <v>152333.85</v>
      </c>
      <c r="N82" s="18" t="n">
        <v>76641.46000000001</v>
      </c>
      <c r="O82" s="18" t="n">
        <v>-124876.79</v>
      </c>
      <c r="P82" s="37" t="n">
        <v>220959.85</v>
      </c>
      <c r="Q82" s="18" t="n">
        <v>107785.19</v>
      </c>
      <c r="R82" s="18" t="n">
        <v>95931.39</v>
      </c>
      <c r="S82" s="18" t="n">
        <v>65047.32</v>
      </c>
      <c r="T82" s="18" t="n">
        <v>-5673.89</v>
      </c>
      <c r="U82" s="37" t="n">
        <v>263090.01</v>
      </c>
      <c r="V82" s="18" t="n">
        <v>51364</v>
      </c>
      <c r="W82" s="18" t="n">
        <v>112727</v>
      </c>
      <c r="X82" s="18" t="n">
        <v>6095</v>
      </c>
      <c r="Y82" s="18" t="n">
        <v>-48542</v>
      </c>
      <c r="Z82" s="37" t="n">
        <v>121644</v>
      </c>
      <c r="AA82" s="18" t="n">
        <v>59228</v>
      </c>
      <c r="AB82" s="19" t="n">
        <v>121510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계속사업이익</t>
        </is>
      </c>
      <c r="E83" s="18" t="n">
        <v>124124.39</v>
      </c>
      <c r="F83" s="9" t="n"/>
      <c r="G83" s="18" t="n">
        <v>11520.19</v>
      </c>
      <c r="H83" s="18" t="n">
        <v>67388.2</v>
      </c>
      <c r="I83" s="18" t="n">
        <v>72901.89999999999</v>
      </c>
      <c r="J83" s="18" t="n">
        <v>-484095.51</v>
      </c>
      <c r="K83" s="37" t="n">
        <v>-332285.22</v>
      </c>
      <c r="L83" s="18" t="n">
        <v>170714.85</v>
      </c>
      <c r="M83" s="18" t="n">
        <v>262790.06</v>
      </c>
      <c r="N83" s="18" t="n">
        <v>120356.31</v>
      </c>
      <c r="O83" s="18" t="n">
        <v>-36339.31</v>
      </c>
      <c r="P83" s="37" t="n">
        <v>517521.91</v>
      </c>
      <c r="Q83" s="18" t="n">
        <v>261052.33</v>
      </c>
      <c r="R83" s="18" t="n">
        <v>220766.64</v>
      </c>
      <c r="S83" s="18" t="n">
        <v>-26474.41</v>
      </c>
      <c r="T83" s="18" t="n">
        <v>-60655.56</v>
      </c>
      <c r="U83" s="37" t="n">
        <v>394689</v>
      </c>
      <c r="V83" s="18" t="n">
        <v>-21157</v>
      </c>
      <c r="W83" s="18" t="n">
        <v>197809</v>
      </c>
      <c r="X83" s="18" t="n">
        <v>-24028</v>
      </c>
      <c r="Y83" s="18" t="n">
        <v>52539</v>
      </c>
      <c r="Z83" s="37" t="n">
        <v>205163</v>
      </c>
      <c r="AA83" s="18" t="n">
        <v>60226</v>
      </c>
      <c r="AB83" s="19" t="n">
        <v>226368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중단사업이익</t>
        </is>
      </c>
      <c r="E84" s="18" t="n">
        <v>-40979.54</v>
      </c>
      <c r="F84" s="9" t="n"/>
      <c r="G84" s="18" t="n">
        <v>-512.54</v>
      </c>
      <c r="H84" s="18" t="n">
        <v>-191924.26</v>
      </c>
      <c r="I84" s="18" t="n">
        <v>71619.5</v>
      </c>
      <c r="J84" s="18" t="n">
        <v>-47.32</v>
      </c>
      <c r="K84" s="37" t="n">
        <v>-120864.62</v>
      </c>
      <c r="P84" s="9" t="n"/>
      <c r="U84" s="9" t="n"/>
      <c r="Z84" s="9" t="n"/>
      <c r="AB84" s="5" t="n"/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당기순이익</t>
        </is>
      </c>
      <c r="E85" s="18" t="n">
        <v>83144.85000000001</v>
      </c>
      <c r="F85" s="9" t="n"/>
      <c r="G85" s="18" t="n">
        <v>11007.64</v>
      </c>
      <c r="H85" s="18" t="n">
        <v>-124536.07</v>
      </c>
      <c r="I85" s="18" t="n">
        <v>144521.4</v>
      </c>
      <c r="J85" s="18" t="n">
        <v>-484142.85</v>
      </c>
      <c r="K85" s="37" t="n">
        <v>-453149.88</v>
      </c>
      <c r="L85" s="18" t="n">
        <v>170714.85</v>
      </c>
      <c r="M85" s="18" t="n">
        <v>262790.06</v>
      </c>
      <c r="N85" s="18" t="n">
        <v>120356.31</v>
      </c>
      <c r="O85" s="18" t="n">
        <v>-36339.31</v>
      </c>
      <c r="P85" s="37" t="n">
        <v>517521.91</v>
      </c>
      <c r="Q85" s="18" t="n">
        <v>261052.33</v>
      </c>
      <c r="R85" s="18" t="n">
        <v>220766.64</v>
      </c>
      <c r="S85" s="18" t="n">
        <v>-26474.41</v>
      </c>
      <c r="T85" s="18" t="n">
        <v>-60655.56</v>
      </c>
      <c r="U85" s="37" t="n">
        <v>394689</v>
      </c>
      <c r="V85" s="18" t="n">
        <v>-21157</v>
      </c>
      <c r="W85" s="18" t="n">
        <v>197809</v>
      </c>
      <c r="X85" s="18" t="n">
        <v>-24028</v>
      </c>
      <c r="Y85" s="18" t="n">
        <v>52539</v>
      </c>
      <c r="Z85" s="37" t="n">
        <v>205163</v>
      </c>
      <c r="AA85" s="18" t="n">
        <v>60226</v>
      </c>
      <c r="AB85" s="19" t="n">
        <v>226368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(지배주주지분)당기순이익</t>
        </is>
      </c>
      <c r="E86" s="18" t="n">
        <v>175987.49</v>
      </c>
      <c r="F86" s="9" t="n"/>
      <c r="G86" s="18" t="n">
        <v>-38346.9</v>
      </c>
      <c r="H86" s="18" t="n">
        <v>-193696.1</v>
      </c>
      <c r="I86" s="18" t="n">
        <v>86149.59</v>
      </c>
      <c r="J86" s="18" t="n">
        <v>-626599.1899999999</v>
      </c>
      <c r="K86" s="37" t="n">
        <v>-772492.6</v>
      </c>
      <c r="L86" s="18" t="n">
        <v>69549.73</v>
      </c>
      <c r="M86" s="18" t="n">
        <v>107389.6</v>
      </c>
      <c r="N86" s="18" t="n">
        <v>21737.5</v>
      </c>
      <c r="O86" s="18" t="n">
        <v>-143078.87</v>
      </c>
      <c r="P86" s="37" t="n">
        <v>55597.96</v>
      </c>
      <c r="Q86" s="18" t="n">
        <v>144160.09</v>
      </c>
      <c r="R86" s="18" t="n">
        <v>136170.49</v>
      </c>
      <c r="S86" s="18" t="n">
        <v>-55024.91</v>
      </c>
      <c r="T86" s="18" t="n">
        <v>-113940.67</v>
      </c>
      <c r="U86" s="37" t="n">
        <v>111365</v>
      </c>
      <c r="V86" s="18" t="n">
        <v>-68860</v>
      </c>
      <c r="W86" s="18" t="n">
        <v>130927</v>
      </c>
      <c r="X86" s="18" t="n">
        <v>-50078</v>
      </c>
      <c r="Y86" s="18" t="n">
        <v>72773</v>
      </c>
      <c r="Z86" s="37" t="n">
        <v>84762</v>
      </c>
      <c r="AA86" s="18" t="n">
        <v>758</v>
      </c>
      <c r="AB86" s="19" t="n">
        <v>157619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(비지배주주지분)당기순이익</t>
        </is>
      </c>
      <c r="E87" s="18" t="n">
        <v>-92842.64999999999</v>
      </c>
      <c r="F87" s="9" t="n"/>
      <c r="G87" s="18" t="n">
        <v>49354.55</v>
      </c>
      <c r="H87" s="18" t="n">
        <v>69160.03</v>
      </c>
      <c r="I87" s="18" t="n">
        <v>58371.81</v>
      </c>
      <c r="J87" s="18" t="n">
        <v>142456.34</v>
      </c>
      <c r="K87" s="37" t="n">
        <v>319342.73</v>
      </c>
      <c r="L87" s="18" t="n">
        <v>101165.11</v>
      </c>
      <c r="M87" s="18" t="n">
        <v>155400.46</v>
      </c>
      <c r="N87" s="18" t="n">
        <v>98618.8</v>
      </c>
      <c r="O87" s="18" t="n">
        <v>106739.57</v>
      </c>
      <c r="P87" s="37" t="n">
        <v>461923.94</v>
      </c>
      <c r="Q87" s="18" t="n">
        <v>116892.23</v>
      </c>
      <c r="R87" s="18" t="n">
        <v>84596.16</v>
      </c>
      <c r="S87" s="18" t="n">
        <v>28550.5</v>
      </c>
      <c r="T87" s="18" t="n">
        <v>53285.11</v>
      </c>
      <c r="U87" s="37" t="n">
        <v>283324</v>
      </c>
      <c r="V87" s="18" t="n">
        <v>47703</v>
      </c>
      <c r="W87" s="18" t="n">
        <v>66882</v>
      </c>
      <c r="X87" s="18" t="n">
        <v>26050</v>
      </c>
      <c r="Y87" s="18" t="n">
        <v>-20234</v>
      </c>
      <c r="Z87" s="37" t="n">
        <v>120401</v>
      </c>
      <c r="AA87" s="18" t="n">
        <v>59468</v>
      </c>
      <c r="AB87" s="19" t="n">
        <v>68749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총포괄손익</t>
        </is>
      </c>
      <c r="E88" s="18" t="n">
        <v>284602.5</v>
      </c>
      <c r="F88" s="9" t="n"/>
      <c r="G88" s="18" t="n">
        <v>126852.8</v>
      </c>
      <c r="H88" s="18" t="n">
        <v>91102.36</v>
      </c>
      <c r="I88" s="18" t="n">
        <v>619941.39</v>
      </c>
      <c r="J88" s="18" t="n">
        <v>-956755.08</v>
      </c>
      <c r="K88" s="37" t="n">
        <v>-118858.53</v>
      </c>
      <c r="L88" s="18" t="n">
        <v>431033.8</v>
      </c>
      <c r="M88" s="18" t="n">
        <v>249783.37</v>
      </c>
      <c r="N88" s="18" t="n">
        <v>176542.08</v>
      </c>
      <c r="O88" s="18" t="n">
        <v>-320086.29</v>
      </c>
      <c r="P88" s="37" t="n">
        <v>537272.96</v>
      </c>
      <c r="Q88" s="18" t="n">
        <v>453762.59</v>
      </c>
      <c r="R88" s="18" t="n">
        <v>407894.96</v>
      </c>
      <c r="S88" s="18" t="n">
        <v>-245315.71</v>
      </c>
      <c r="T88" s="18" t="n">
        <v>356624.17</v>
      </c>
      <c r="U88" s="37" t="n">
        <v>972966.01</v>
      </c>
      <c r="V88" s="18" t="n">
        <v>115214</v>
      </c>
      <c r="W88" s="18" t="n">
        <v>-89214</v>
      </c>
      <c r="X88" s="18" t="n">
        <v>264028</v>
      </c>
      <c r="Y88" s="18" t="n">
        <v>237348</v>
      </c>
      <c r="Z88" s="37" t="n">
        <v>527376</v>
      </c>
      <c r="AA88" s="18" t="n">
        <v>419382</v>
      </c>
      <c r="AB88" s="19" t="n">
        <v>384149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이자수익</t>
        </is>
      </c>
      <c r="F89" s="9" t="n"/>
      <c r="G89" s="18" t="n">
        <v>1525</v>
      </c>
      <c r="H89" s="18" t="n">
        <v>11596</v>
      </c>
      <c r="I89" s="18" t="n">
        <v>5126</v>
      </c>
      <c r="J89" s="18" t="n">
        <v>6965</v>
      </c>
      <c r="K89" s="37" t="n">
        <v>25212</v>
      </c>
      <c r="L89" s="18" t="n">
        <v>10010</v>
      </c>
      <c r="M89" s="18" t="n">
        <v>18252</v>
      </c>
      <c r="N89" s="18" t="n">
        <v>26119</v>
      </c>
      <c r="O89" s="18" t="n">
        <v>25839</v>
      </c>
      <c r="P89" s="37" t="n">
        <v>80220</v>
      </c>
      <c r="Q89" s="18" t="n">
        <v>26415</v>
      </c>
      <c r="R89" s="18" t="n">
        <v>29655</v>
      </c>
      <c r="S89" s="18" t="n">
        <v>25366</v>
      </c>
      <c r="T89" s="18" t="n">
        <v>27766</v>
      </c>
      <c r="U89" s="37" t="n">
        <v>109202</v>
      </c>
      <c r="V89" s="18" t="n">
        <v>20212</v>
      </c>
      <c r="W89" s="18" t="n">
        <v>21739</v>
      </c>
      <c r="X89" s="18" t="n">
        <v>20075</v>
      </c>
      <c r="Y89" s="18" t="n">
        <v>24720</v>
      </c>
      <c r="Z89" s="37" t="n">
        <v>86746</v>
      </c>
      <c r="AA89" s="18" t="n">
        <v>18062</v>
      </c>
      <c r="AB89" s="19" t="n">
        <v>22427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배당금수익</t>
        </is>
      </c>
      <c r="F90" s="9" t="n"/>
      <c r="G90" s="18" t="n">
        <v>696</v>
      </c>
      <c r="H90" s="18" t="n">
        <v>2659</v>
      </c>
      <c r="I90" s="18" t="n">
        <v>456</v>
      </c>
      <c r="J90" s="18" t="n">
        <v>0</v>
      </c>
      <c r="K90" s="37" t="n">
        <v>3811</v>
      </c>
      <c r="L90" s="18" t="n">
        <v>2092</v>
      </c>
      <c r="M90" s="18" t="n">
        <v>682</v>
      </c>
      <c r="N90" s="18" t="n">
        <v>67</v>
      </c>
      <c r="O90" s="18" t="n">
        <v>64</v>
      </c>
      <c r="P90" s="37" t="n">
        <v>2905</v>
      </c>
      <c r="Q90" s="18" t="n">
        <v>240</v>
      </c>
      <c r="R90" s="18" t="n">
        <v>743</v>
      </c>
      <c r="S90" s="18" t="n">
        <v>8</v>
      </c>
      <c r="T90" s="18" t="n">
        <v>1418</v>
      </c>
      <c r="U90" s="37" t="n">
        <v>2409</v>
      </c>
      <c r="V90" s="18" t="n">
        <v>698</v>
      </c>
      <c r="W90" s="18" t="n">
        <v>541</v>
      </c>
      <c r="X90" s="18" t="n">
        <v>26</v>
      </c>
      <c r="Y90" s="18" t="n">
        <v>2325</v>
      </c>
      <c r="Z90" s="37" t="n">
        <v>3590</v>
      </c>
      <c r="AA90" s="18" t="n">
        <v>1756</v>
      </c>
      <c r="AB90" s="19" t="n">
        <v>873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이자비용</t>
        </is>
      </c>
      <c r="F91" s="9" t="n"/>
      <c r="G91" s="18" t="n">
        <v>68842</v>
      </c>
      <c r="H91" s="18" t="n">
        <v>58608</v>
      </c>
      <c r="I91" s="18" t="n">
        <v>59942</v>
      </c>
      <c r="J91" s="18" t="n">
        <v>73141</v>
      </c>
      <c r="K91" s="37" t="n">
        <v>260533</v>
      </c>
      <c r="L91" s="18" t="n">
        <v>76045</v>
      </c>
      <c r="M91" s="18" t="n">
        <v>82880</v>
      </c>
      <c r="N91" s="18" t="n">
        <v>78689</v>
      </c>
      <c r="O91" s="18" t="n">
        <v>83277</v>
      </c>
      <c r="P91" s="37" t="n">
        <v>320891</v>
      </c>
      <c r="Q91" s="18" t="n">
        <v>78944</v>
      </c>
      <c r="R91" s="18" t="n">
        <v>80594</v>
      </c>
      <c r="S91" s="18" t="n">
        <v>79432</v>
      </c>
      <c r="T91" s="18" t="n">
        <v>90107</v>
      </c>
      <c r="U91" s="37" t="n">
        <v>329077</v>
      </c>
      <c r="V91" s="18" t="n">
        <v>79983</v>
      </c>
      <c r="W91" s="18" t="n">
        <v>78493</v>
      </c>
      <c r="X91" s="18" t="n">
        <v>84636</v>
      </c>
      <c r="Y91" s="18" t="n">
        <v>82836</v>
      </c>
      <c r="Z91" s="37" t="n">
        <v>325948</v>
      </c>
      <c r="AA91" s="18" t="n">
        <v>76908</v>
      </c>
      <c r="AB91" s="19" t="n">
        <v>90073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외환차익</t>
        </is>
      </c>
      <c r="F92" s="9" t="n"/>
      <c r="G92" s="18" t="n">
        <v>22925</v>
      </c>
      <c r="H92" s="18" t="n">
        <v>35552</v>
      </c>
      <c r="I92" s="18" t="n">
        <v>125132</v>
      </c>
      <c r="J92" s="18" t="n">
        <v>122180</v>
      </c>
      <c r="K92" s="37" t="n">
        <v>305789</v>
      </c>
      <c r="L92" s="18" t="n">
        <v>72124</v>
      </c>
      <c r="M92" s="18" t="n">
        <v>92654</v>
      </c>
      <c r="N92" s="18" t="n">
        <v>49267</v>
      </c>
      <c r="O92" s="18" t="n">
        <v>56116</v>
      </c>
      <c r="P92" s="37" t="n">
        <v>270161</v>
      </c>
      <c r="Q92" s="18" t="n">
        <v>52180</v>
      </c>
      <c r="R92" s="18" t="n">
        <v>77851</v>
      </c>
      <c r="S92" s="18" t="n">
        <v>45633</v>
      </c>
      <c r="T92" s="18" t="n">
        <v>84902</v>
      </c>
      <c r="U92" s="37" t="n">
        <v>260566</v>
      </c>
      <c r="V92" s="18" t="n">
        <v>44941</v>
      </c>
      <c r="W92" s="18" t="n">
        <v>65166</v>
      </c>
      <c r="X92" s="18" t="n">
        <v>111280</v>
      </c>
      <c r="Y92" s="18" t="n">
        <v>60040</v>
      </c>
      <c r="Z92" s="37" t="n">
        <v>281427</v>
      </c>
      <c r="AA92" s="18" t="n">
        <v>53166</v>
      </c>
      <c r="AB92" s="19" t="n">
        <v>69639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외환차손</t>
        </is>
      </c>
      <c r="F93" s="9" t="n"/>
      <c r="G93" s="18" t="n">
        <v>20603</v>
      </c>
      <c r="H93" s="18" t="n">
        <v>30936</v>
      </c>
      <c r="I93" s="18" t="n">
        <v>113128</v>
      </c>
      <c r="J93" s="18" t="n">
        <v>177528</v>
      </c>
      <c r="K93" s="37" t="n">
        <v>342195</v>
      </c>
      <c r="L93" s="18" t="n">
        <v>56705</v>
      </c>
      <c r="M93" s="18" t="n">
        <v>67068</v>
      </c>
      <c r="N93" s="18" t="n">
        <v>59850</v>
      </c>
      <c r="O93" s="18" t="n">
        <v>77522</v>
      </c>
      <c r="P93" s="37" t="n">
        <v>261145</v>
      </c>
      <c r="Q93" s="18" t="n">
        <v>47524</v>
      </c>
      <c r="R93" s="18" t="n">
        <v>66911</v>
      </c>
      <c r="S93" s="18" t="n">
        <v>44516</v>
      </c>
      <c r="T93" s="18" t="n">
        <v>100599</v>
      </c>
      <c r="U93" s="37" t="n">
        <v>259550</v>
      </c>
      <c r="V93" s="18" t="n">
        <v>44772</v>
      </c>
      <c r="W93" s="18" t="n">
        <v>111132</v>
      </c>
      <c r="X93" s="18" t="n">
        <v>81370</v>
      </c>
      <c r="Y93" s="18" t="n">
        <v>63078</v>
      </c>
      <c r="Z93" s="37" t="n">
        <v>300352</v>
      </c>
      <c r="AA93" s="18" t="n">
        <v>113198</v>
      </c>
      <c r="AB93" s="19" t="n">
        <v>2422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외화환산이익</t>
        </is>
      </c>
      <c r="F94" s="9" t="n"/>
      <c r="G94" s="18" t="n">
        <v>29117</v>
      </c>
      <c r="H94" s="18" t="n">
        <v>104836</v>
      </c>
      <c r="I94" s="18" t="n">
        <v>180252</v>
      </c>
      <c r="J94" s="18" t="n">
        <v>-196768</v>
      </c>
      <c r="K94" s="37" t="n">
        <v>117437</v>
      </c>
      <c r="L94" s="18" t="n">
        <v>70868</v>
      </c>
      <c r="M94" s="18" t="n">
        <v>7490</v>
      </c>
      <c r="N94" s="18" t="n">
        <v>25059</v>
      </c>
      <c r="O94" s="18" t="n">
        <v>-48517</v>
      </c>
      <c r="P94" s="37" t="n">
        <v>54900</v>
      </c>
      <c r="Q94" s="18" t="n">
        <v>93975</v>
      </c>
      <c r="R94" s="18" t="n">
        <v>52019</v>
      </c>
      <c r="S94" s="18" t="n">
        <v>-57284</v>
      </c>
      <c r="T94" s="18" t="n">
        <v>239243</v>
      </c>
      <c r="U94" s="37" t="n">
        <v>327953</v>
      </c>
      <c r="V94" s="18" t="n">
        <v>79447</v>
      </c>
      <c r="W94" s="18" t="n">
        <v>118348</v>
      </c>
      <c r="X94" s="18" t="n">
        <v>-71306</v>
      </c>
      <c r="Y94" s="18" t="n">
        <v>5144</v>
      </c>
      <c r="Z94" s="37" t="n">
        <v>131633</v>
      </c>
      <c r="AA94" s="18" t="n">
        <v>146237</v>
      </c>
      <c r="AB94" s="19" t="n">
        <v>40330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외화환산손실</t>
        </is>
      </c>
      <c r="F95" s="9" t="n"/>
      <c r="G95" s="18" t="n">
        <v>86992</v>
      </c>
      <c r="H95" s="18" t="n">
        <v>222274</v>
      </c>
      <c r="I95" s="18" t="n">
        <v>349052</v>
      </c>
      <c r="J95" s="18" t="n">
        <v>-364841</v>
      </c>
      <c r="K95" s="37" t="n">
        <v>293477</v>
      </c>
      <c r="L95" s="18" t="n">
        <v>81674</v>
      </c>
      <c r="M95" s="18" t="n">
        <v>18810</v>
      </c>
      <c r="N95" s="18" t="n">
        <v>39732</v>
      </c>
      <c r="O95" s="18" t="n">
        <v>-72568</v>
      </c>
      <c r="P95" s="37" t="n">
        <v>67648</v>
      </c>
      <c r="Q95" s="18" t="n">
        <v>75245</v>
      </c>
      <c r="R95" s="18" t="n">
        <v>52952</v>
      </c>
      <c r="S95" s="18" t="n">
        <v>-49871</v>
      </c>
      <c r="T95" s="18" t="n">
        <v>193313</v>
      </c>
      <c r="U95" s="37" t="n">
        <v>271639</v>
      </c>
      <c r="V95" s="18" t="n">
        <v>88297</v>
      </c>
      <c r="W95" s="18" t="n">
        <v>82989</v>
      </c>
      <c r="X95" s="18" t="n">
        <v>20103</v>
      </c>
      <c r="Y95" s="18" t="n">
        <v>9913</v>
      </c>
      <c r="Z95" s="37" t="n">
        <v>201302</v>
      </c>
      <c r="AA95" s="18" t="n">
        <v>127914</v>
      </c>
      <c r="AB95" s="19" t="n">
        <v>16407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파생상품이익</t>
        </is>
      </c>
      <c r="F96" s="9" t="n"/>
      <c r="G96" s="18" t="n">
        <v>52900</v>
      </c>
      <c r="H96" s="18" t="n">
        <v>99478</v>
      </c>
      <c r="I96" s="18" t="n">
        <v>133081</v>
      </c>
      <c r="J96" s="18" t="n">
        <v>-50817</v>
      </c>
      <c r="K96" s="37" t="n">
        <v>234642</v>
      </c>
      <c r="L96" s="18" t="n">
        <v>49521</v>
      </c>
      <c r="M96" s="18" t="n">
        <v>42124</v>
      </c>
      <c r="N96" s="18" t="n">
        <v>25241</v>
      </c>
      <c r="O96" s="18" t="n">
        <v>26081</v>
      </c>
      <c r="P96" s="37" t="n">
        <v>142967</v>
      </c>
      <c r="Q96" s="18" t="n">
        <v>77950</v>
      </c>
      <c r="R96" s="18" t="n">
        <v>53120</v>
      </c>
      <c r="S96" s="18" t="n">
        <v>11685</v>
      </c>
      <c r="T96" s="18" t="n">
        <v>78182</v>
      </c>
      <c r="U96" s="37" t="n">
        <v>220937</v>
      </c>
      <c r="V96" s="18" t="n">
        <v>108613</v>
      </c>
      <c r="W96" s="18" t="n">
        <v>184185</v>
      </c>
      <c r="X96" s="18" t="n">
        <v>-87178</v>
      </c>
      <c r="Y96" s="18" t="n">
        <v>74566</v>
      </c>
      <c r="Z96" s="37" t="n">
        <v>280186</v>
      </c>
      <c r="AA96" s="18" t="n">
        <v>73472</v>
      </c>
      <c r="AB96" s="19" t="n">
        <v>50788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파생상품손실</t>
        </is>
      </c>
      <c r="F97" s="9" t="n"/>
      <c r="G97" s="18" t="n">
        <v>69239</v>
      </c>
      <c r="H97" s="18" t="n">
        <v>255613</v>
      </c>
      <c r="I97" s="18" t="n">
        <v>242261</v>
      </c>
      <c r="J97" s="18" t="n">
        <v>-369668</v>
      </c>
      <c r="K97" s="37" t="n">
        <v>197445</v>
      </c>
      <c r="L97" s="18" t="n">
        <v>97929</v>
      </c>
      <c r="M97" s="18" t="n">
        <v>35665</v>
      </c>
      <c r="N97" s="18" t="n">
        <v>73516</v>
      </c>
      <c r="O97" s="18" t="n">
        <v>-55979</v>
      </c>
      <c r="P97" s="37" t="n">
        <v>151131</v>
      </c>
      <c r="Q97" s="18" t="n">
        <v>141624</v>
      </c>
      <c r="R97" s="18" t="n">
        <v>93354</v>
      </c>
      <c r="S97" s="18" t="n">
        <v>-81409</v>
      </c>
      <c r="T97" s="18" t="n">
        <v>236306</v>
      </c>
      <c r="U97" s="37" t="n">
        <v>389875</v>
      </c>
      <c r="V97" s="18" t="n">
        <v>123829</v>
      </c>
      <c r="W97" s="18" t="n">
        <v>32885</v>
      </c>
      <c r="X97" s="18" t="n">
        <v>40792</v>
      </c>
      <c r="Y97" s="18" t="n">
        <v>103249</v>
      </c>
      <c r="Z97" s="37" t="n">
        <v>300755</v>
      </c>
      <c r="AA97" s="18" t="n">
        <v>288806</v>
      </c>
      <c r="AB97" s="19" t="n">
        <v>204374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이자손익</t>
        </is>
      </c>
      <c r="F98" s="9" t="n"/>
      <c r="G98" s="18" t="n">
        <v>-67317</v>
      </c>
      <c r="H98" s="18" t="n">
        <v>-47012</v>
      </c>
      <c r="I98" s="18" t="n">
        <v>-54816</v>
      </c>
      <c r="J98" s="18" t="n">
        <v>-66176</v>
      </c>
      <c r="K98" s="37" t="n">
        <v>-235321</v>
      </c>
      <c r="L98" s="18" t="n">
        <v>-66035</v>
      </c>
      <c r="M98" s="18" t="n">
        <v>-64628</v>
      </c>
      <c r="N98" s="18" t="n">
        <v>-52570</v>
      </c>
      <c r="O98" s="18" t="n">
        <v>-57438</v>
      </c>
      <c r="P98" s="37" t="n">
        <v>-240671</v>
      </c>
      <c r="Q98" s="18" t="n">
        <v>-52529</v>
      </c>
      <c r="R98" s="18" t="n">
        <v>-50939</v>
      </c>
      <c r="S98" s="18" t="n">
        <v>-54066</v>
      </c>
      <c r="T98" s="18" t="n">
        <v>-62341</v>
      </c>
      <c r="U98" s="37" t="n">
        <v>-219875</v>
      </c>
      <c r="V98" s="18" t="n">
        <v>-59771</v>
      </c>
      <c r="W98" s="18" t="n">
        <v>-56754</v>
      </c>
      <c r="X98" s="18" t="n">
        <v>-64561</v>
      </c>
      <c r="Y98" s="18" t="n">
        <v>-58116</v>
      </c>
      <c r="Z98" s="37" t="n">
        <v>-239202</v>
      </c>
      <c r="AA98" s="18" t="n">
        <v>-58846</v>
      </c>
      <c r="AB98" s="19" t="n">
        <v>-67646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영업활동으로인한현금흐름</t>
        </is>
      </c>
      <c r="E99" s="18" t="n">
        <v>691487.4</v>
      </c>
      <c r="F99" s="9" t="n"/>
      <c r="G99" s="18" t="n">
        <v>-269827.27</v>
      </c>
      <c r="H99" s="18" t="n">
        <v>319975.05</v>
      </c>
      <c r="I99" s="18" t="n">
        <v>505198.46</v>
      </c>
      <c r="J99" s="18" t="n">
        <v>69731.48</v>
      </c>
      <c r="K99" s="37" t="n">
        <v>625077.72</v>
      </c>
      <c r="L99" s="18" t="n">
        <v>233046.24</v>
      </c>
      <c r="M99" s="18" t="n">
        <v>1025689.69</v>
      </c>
      <c r="N99" s="18" t="n">
        <v>153622.84</v>
      </c>
      <c r="O99" s="18" t="n">
        <v>658274.52</v>
      </c>
      <c r="P99" s="37" t="n">
        <v>2070633.29</v>
      </c>
      <c r="Q99" s="18" t="n">
        <v>344383.65</v>
      </c>
      <c r="R99" s="18" t="n">
        <v>-477065.35</v>
      </c>
      <c r="S99" s="18" t="n">
        <v>-815354.02</v>
      </c>
      <c r="T99" s="18" t="n">
        <v>1190239.72</v>
      </c>
      <c r="U99" s="37" t="n">
        <v>242204</v>
      </c>
      <c r="V99" s="18" t="n">
        <v>-572034</v>
      </c>
      <c r="W99" s="18" t="n">
        <v>-12808</v>
      </c>
      <c r="X99" s="18" t="n">
        <v>-60085</v>
      </c>
      <c r="Y99" s="18" t="n">
        <v>1396728</v>
      </c>
      <c r="Z99" s="37" t="n">
        <v>751801</v>
      </c>
      <c r="AA99" s="18" t="n">
        <v>-565522</v>
      </c>
      <c r="AB99" s="19" t="n">
        <v>-321130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이자수취(CF)</t>
        </is>
      </c>
      <c r="E100" s="18" t="n">
        <v>5643.21</v>
      </c>
      <c r="F100" s="9" t="n"/>
      <c r="G100" s="18" t="n">
        <v>2457</v>
      </c>
      <c r="H100" s="18" t="n">
        <v>3476.25</v>
      </c>
      <c r="I100" s="18" t="n">
        <v>4392.67</v>
      </c>
      <c r="J100" s="18" t="n">
        <v>7686.58</v>
      </c>
      <c r="K100" s="37" t="n">
        <v>18012.5</v>
      </c>
      <c r="L100" s="18" t="n">
        <v>7085.48</v>
      </c>
      <c r="M100" s="18" t="n">
        <v>7617.81</v>
      </c>
      <c r="N100" s="18" t="n">
        <v>19064.14</v>
      </c>
      <c r="O100" s="18" t="n">
        <v>20440.44</v>
      </c>
      <c r="P100" s="37" t="n">
        <v>54207.87</v>
      </c>
      <c r="Q100" s="18" t="n">
        <v>26476.45</v>
      </c>
      <c r="R100" s="18" t="n">
        <v>28410.11</v>
      </c>
      <c r="S100" s="18" t="n">
        <v>15668.88</v>
      </c>
      <c r="T100" s="18" t="n">
        <v>20106.56</v>
      </c>
      <c r="U100" s="37" t="n">
        <v>90662</v>
      </c>
      <c r="V100" s="18" t="n">
        <v>17413</v>
      </c>
      <c r="W100" s="18" t="n">
        <v>20101</v>
      </c>
      <c r="X100" s="18" t="n">
        <v>27264</v>
      </c>
      <c r="Y100" s="18" t="n">
        <v>23078</v>
      </c>
      <c r="Z100" s="37" t="n">
        <v>87856</v>
      </c>
      <c r="AA100" s="18" t="n">
        <v>15388</v>
      </c>
      <c r="AB100" s="19" t="n">
        <v>16171</v>
      </c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이자지급(CF)</t>
        </is>
      </c>
      <c r="E101" s="18" t="n">
        <v>-90503.5</v>
      </c>
      <c r="F101" s="9" t="n"/>
      <c r="G101" s="18" t="n">
        <v>-63465.11</v>
      </c>
      <c r="H101" s="18" t="n">
        <v>-71102.49000000001</v>
      </c>
      <c r="I101" s="18" t="n">
        <v>-63050.56</v>
      </c>
      <c r="J101" s="18" t="n">
        <v>-82119.42999999999</v>
      </c>
      <c r="K101" s="37" t="n">
        <v>-279737.59</v>
      </c>
      <c r="L101" s="18" t="n">
        <v>-84161.85000000001</v>
      </c>
      <c r="M101" s="18" t="n">
        <v>-88532.25</v>
      </c>
      <c r="P101" s="9" t="n"/>
      <c r="Q101" s="18" t="n">
        <v>-90670.69</v>
      </c>
      <c r="R101" s="18" t="n">
        <v>-92267.66</v>
      </c>
      <c r="S101" s="18" t="n">
        <v>-95945.89999999999</v>
      </c>
      <c r="T101" s="18" t="n">
        <v>-104145.75</v>
      </c>
      <c r="U101" s="37" t="n">
        <v>-383030</v>
      </c>
      <c r="V101" s="18" t="n">
        <v>-104168</v>
      </c>
      <c r="W101" s="18" t="n">
        <v>-82034</v>
      </c>
      <c r="X101" s="18" t="n">
        <v>-98004</v>
      </c>
      <c r="Y101" s="18" t="n">
        <v>-88103</v>
      </c>
      <c r="Z101" s="37" t="n">
        <v>-372309</v>
      </c>
      <c r="AA101" s="18" t="n">
        <v>-81236</v>
      </c>
      <c r="AB101" s="19" t="n">
        <v>-88413</v>
      </c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배당금수취(CF)</t>
        </is>
      </c>
      <c r="E102" s="18" t="n">
        <v>0</v>
      </c>
      <c r="F102" s="9" t="n"/>
      <c r="G102" s="18" t="n">
        <v>78</v>
      </c>
      <c r="H102" s="18" t="n">
        <v>3691.69</v>
      </c>
      <c r="I102" s="18" t="n">
        <v>567.53</v>
      </c>
      <c r="J102" s="18" t="n">
        <v>0</v>
      </c>
      <c r="K102" s="37" t="n">
        <v>4337.22</v>
      </c>
      <c r="L102" s="18" t="n">
        <v>2014.59</v>
      </c>
      <c r="M102" s="18" t="n">
        <v>2253.2</v>
      </c>
      <c r="N102" s="18" t="n">
        <v>1791.4</v>
      </c>
      <c r="O102" s="18" t="n">
        <v>64.13</v>
      </c>
      <c r="P102" s="37" t="n">
        <v>6123.32</v>
      </c>
      <c r="Q102" s="18" t="n">
        <v>2089.81</v>
      </c>
      <c r="R102" s="18" t="n">
        <v>1131.69</v>
      </c>
      <c r="S102" s="18" t="n">
        <v>395.76</v>
      </c>
      <c r="T102" s="18" t="n">
        <v>388.74</v>
      </c>
      <c r="U102" s="37" t="n">
        <v>4006</v>
      </c>
      <c r="V102" s="18" t="n">
        <v>850</v>
      </c>
      <c r="W102" s="18" t="n">
        <v>562</v>
      </c>
      <c r="X102" s="18" t="n">
        <v>998</v>
      </c>
      <c r="Y102" s="18" t="n">
        <v>101</v>
      </c>
      <c r="Z102" s="37" t="n">
        <v>2511</v>
      </c>
      <c r="AA102" s="18" t="n">
        <v>1280</v>
      </c>
      <c r="AB102" s="19" t="n">
        <v>217</v>
      </c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법인세납부(CF)</t>
        </is>
      </c>
      <c r="E103" s="18" t="n">
        <v>-33710.82</v>
      </c>
      <c r="F103" s="9" t="n"/>
      <c r="G103" s="18" t="n">
        <v>-16652.38</v>
      </c>
      <c r="H103" s="18" t="n">
        <v>-91112.60000000001</v>
      </c>
      <c r="I103" s="18" t="n">
        <v>-84340.59</v>
      </c>
      <c r="J103" s="18" t="n">
        <v>-107600.73</v>
      </c>
      <c r="K103" s="37" t="n">
        <v>-299706.3</v>
      </c>
      <c r="L103" s="18" t="n">
        <v>-43821.27</v>
      </c>
      <c r="M103" s="18" t="n">
        <v>-144560.16</v>
      </c>
      <c r="N103" s="18" t="n">
        <v>-64151.35</v>
      </c>
      <c r="O103" s="18" t="n">
        <v>-96545.42</v>
      </c>
      <c r="P103" s="37" t="n">
        <v>-349078.2</v>
      </c>
      <c r="Q103" s="18" t="n">
        <v>-18834.99</v>
      </c>
      <c r="R103" s="18" t="n">
        <v>-191470.92</v>
      </c>
      <c r="S103" s="18" t="n">
        <v>-85138.63</v>
      </c>
      <c r="T103" s="18" t="n">
        <v>-21511.46</v>
      </c>
      <c r="U103" s="37" t="n">
        <v>-316956</v>
      </c>
      <c r="V103" s="18" t="n">
        <v>-53768</v>
      </c>
      <c r="W103" s="18" t="n">
        <v>-143996</v>
      </c>
      <c r="X103" s="18" t="n">
        <v>603</v>
      </c>
      <c r="Y103" s="18" t="n">
        <v>-16917</v>
      </c>
      <c r="Z103" s="37" t="n">
        <v>-214078</v>
      </c>
      <c r="AA103" s="18" t="n">
        <v>-33742</v>
      </c>
      <c r="AB103" s="19" t="n">
        <v>-101241</v>
      </c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투자활동으로인한현금흐름</t>
        </is>
      </c>
      <c r="E104" s="18" t="n">
        <v>157755.36</v>
      </c>
      <c r="F104" s="9" t="n"/>
      <c r="G104" s="18" t="n">
        <v>185500.96</v>
      </c>
      <c r="H104" s="18" t="n">
        <v>-127940.49</v>
      </c>
      <c r="I104" s="18" t="n">
        <v>-46961.04</v>
      </c>
      <c r="J104" s="18" t="n">
        <v>-81729.98</v>
      </c>
      <c r="K104" s="37" t="n">
        <v>-71130.55</v>
      </c>
      <c r="L104" s="18" t="n">
        <v>-249734.64</v>
      </c>
      <c r="M104" s="18" t="n">
        <v>-109699.58</v>
      </c>
      <c r="N104" s="18" t="n">
        <v>-217970.98</v>
      </c>
      <c r="O104" s="18" t="n">
        <v>-239223.27</v>
      </c>
      <c r="P104" s="37" t="n">
        <v>-816628.47</v>
      </c>
      <c r="Q104" s="18" t="n">
        <v>-154250.07</v>
      </c>
      <c r="R104" s="18" t="n">
        <v>-186315.7</v>
      </c>
      <c r="S104" s="18" t="n">
        <v>-125953.82</v>
      </c>
      <c r="T104" s="18" t="n">
        <v>-354879.41</v>
      </c>
      <c r="U104" s="37" t="n">
        <v>-821399</v>
      </c>
      <c r="V104" s="18" t="n">
        <v>-150166</v>
      </c>
      <c r="W104" s="18" t="n">
        <v>-106593</v>
      </c>
      <c r="X104" s="18" t="n">
        <v>-205398</v>
      </c>
      <c r="Y104" s="18" t="n">
        <v>151586</v>
      </c>
      <c r="Z104" s="37" t="n">
        <v>-310571</v>
      </c>
      <c r="AA104" s="18" t="n">
        <v>-170805</v>
      </c>
      <c r="AB104" s="19" t="n">
        <v>-349054</v>
      </c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  <row r="105">
      <c r="A105" t="n">
        <v>1</v>
      </c>
      <c r="C105" t="inlineStr">
        <is>
          <t>유형자산의감소</t>
        </is>
      </c>
      <c r="E105" s="18" t="n">
        <v>13564.32</v>
      </c>
      <c r="F105" s="9" t="n"/>
      <c r="G105" s="18" t="n">
        <v>3311.65</v>
      </c>
      <c r="H105" s="18" t="n">
        <v>22505.98</v>
      </c>
      <c r="J105" s="18" t="n">
        <v>5274.6</v>
      </c>
      <c r="K105" s="9" t="n"/>
      <c r="L105" s="18" t="n">
        <v>411.03</v>
      </c>
      <c r="M105" s="18" t="n">
        <v>4545</v>
      </c>
      <c r="N105" s="18" t="n">
        <v>666.09</v>
      </c>
      <c r="O105" s="18" t="n">
        <v>3260.74</v>
      </c>
      <c r="P105" s="37" t="n">
        <v>8882.860000000001</v>
      </c>
      <c r="Q105" s="18" t="n">
        <v>1098.56</v>
      </c>
      <c r="R105" s="18" t="n">
        <v>4367.51</v>
      </c>
      <c r="S105" s="18" t="n">
        <v>1173.65</v>
      </c>
      <c r="T105" s="18" t="n">
        <v>2714.28</v>
      </c>
      <c r="U105" s="37" t="n">
        <v>9354</v>
      </c>
      <c r="V105" s="18" t="n">
        <v>4383</v>
      </c>
      <c r="X105" s="18" t="n">
        <v>1769</v>
      </c>
      <c r="Y105" s="18" t="n">
        <v>3253</v>
      </c>
      <c r="Z105" s="9" t="n"/>
      <c r="AA105" s="18" t="n">
        <v>1310</v>
      </c>
      <c r="AB105" s="19" t="n">
        <v>1022</v>
      </c>
      <c r="AC105" s="10" t="n"/>
      <c r="AD105" s="10" t="n"/>
      <c r="AE105" s="11" t="n"/>
      <c r="AF105" s="10" t="n"/>
      <c r="AG105" s="10" t="n"/>
      <c r="AH105" s="10" t="n"/>
      <c r="AI105" s="10" t="n"/>
      <c r="AJ105" s="11" t="n"/>
      <c r="AK105" s="10" t="n"/>
      <c r="AL105" s="10" t="n"/>
      <c r="AM105" s="10" t="n"/>
      <c r="AN105" s="10" t="n"/>
      <c r="AO105" s="11" t="n"/>
    </row>
    <row r="106">
      <c r="A106" t="n">
        <v>1</v>
      </c>
      <c r="C106" t="inlineStr">
        <is>
          <t>무형자산의감소</t>
        </is>
      </c>
      <c r="E106" s="18" t="n">
        <v>80</v>
      </c>
      <c r="F106" s="9" t="n"/>
      <c r="J106" s="18" t="n">
        <v>73.38</v>
      </c>
      <c r="K106" s="9" t="n"/>
      <c r="N106" s="18" t="n">
        <v>1681.81</v>
      </c>
      <c r="O106" s="18" t="n">
        <v>26.57</v>
      </c>
      <c r="P106" s="9" t="n"/>
      <c r="S106" s="18" t="n">
        <v>0</v>
      </c>
      <c r="T106" s="18" t="n">
        <v>1399</v>
      </c>
      <c r="U106" s="9" t="n"/>
      <c r="V106" s="18" t="n">
        <v>302</v>
      </c>
      <c r="W106" s="18" t="n">
        <v>1090</v>
      </c>
      <c r="Y106" s="18" t="n">
        <v>55</v>
      </c>
      <c r="Z106" s="9" t="n"/>
      <c r="AA106" s="18" t="n">
        <v>60</v>
      </c>
      <c r="AB106" s="19" t="n">
        <v>435</v>
      </c>
      <c r="AC106" s="10" t="n"/>
      <c r="AD106" s="10" t="n"/>
      <c r="AE106" s="11" t="n"/>
      <c r="AF106" s="10" t="n"/>
      <c r="AG106" s="10" t="n"/>
      <c r="AH106" s="10" t="n"/>
      <c r="AI106" s="10" t="n"/>
      <c r="AJ106" s="11" t="n"/>
      <c r="AK106" s="10" t="n"/>
      <c r="AL106" s="10" t="n"/>
      <c r="AM106" s="10" t="n"/>
      <c r="AN106" s="10" t="n"/>
      <c r="AO106" s="11" t="n"/>
    </row>
    <row r="107">
      <c r="A107" t="n">
        <v>1</v>
      </c>
      <c r="C107" t="inlineStr">
        <is>
          <t>유형자산의증가</t>
        </is>
      </c>
      <c r="E107" s="18" t="n">
        <v>111852.59</v>
      </c>
      <c r="F107" s="9" t="n"/>
      <c r="G107" s="18" t="n">
        <v>64044.24</v>
      </c>
      <c r="H107" s="18" t="n">
        <v>75168.59</v>
      </c>
      <c r="I107" s="18" t="n">
        <v>82299.78</v>
      </c>
      <c r="J107" s="18" t="n">
        <v>127191.49</v>
      </c>
      <c r="K107" s="37" t="n">
        <v>348704.1</v>
      </c>
      <c r="L107" s="18" t="n">
        <v>84735.36</v>
      </c>
      <c r="M107" s="18" t="n">
        <v>87812.61</v>
      </c>
      <c r="N107" s="18" t="n">
        <v>96794.49000000001</v>
      </c>
      <c r="O107" s="18" t="n">
        <v>126253.6</v>
      </c>
      <c r="P107" s="37" t="n">
        <v>395596.06</v>
      </c>
      <c r="Q107" s="18" t="n">
        <v>87641.41</v>
      </c>
      <c r="R107" s="18" t="n">
        <v>112202.88</v>
      </c>
      <c r="S107" s="18" t="n">
        <v>125837.54</v>
      </c>
      <c r="T107" s="18" t="n">
        <v>135815.17</v>
      </c>
      <c r="U107" s="37" t="n">
        <v>461497</v>
      </c>
      <c r="V107" s="18" t="n">
        <v>89838</v>
      </c>
      <c r="W107" s="18" t="n">
        <v>55944</v>
      </c>
      <c r="X107" s="18" t="n">
        <v>140259</v>
      </c>
      <c r="Y107" s="18" t="n">
        <v>117054</v>
      </c>
      <c r="Z107" s="37" t="n">
        <v>403095</v>
      </c>
      <c r="AA107" s="18" t="n">
        <v>115089</v>
      </c>
      <c r="AB107" s="19" t="n">
        <v>48651</v>
      </c>
      <c r="AC107" s="10" t="n"/>
      <c r="AD107" s="10" t="n"/>
      <c r="AE107" s="11" t="n"/>
      <c r="AF107" s="10" t="n"/>
      <c r="AG107" s="10" t="n"/>
      <c r="AH107" s="10" t="n"/>
      <c r="AI107" s="10" t="n"/>
      <c r="AJ107" s="11" t="n"/>
      <c r="AK107" s="10" t="n"/>
      <c r="AL107" s="10" t="n"/>
      <c r="AM107" s="10" t="n"/>
      <c r="AN107" s="10" t="n"/>
      <c r="AO107" s="11" t="n"/>
    </row>
    <row r="108">
      <c r="A108" t="n">
        <v>1</v>
      </c>
      <c r="C108" t="inlineStr">
        <is>
          <t>CAPEX</t>
        </is>
      </c>
      <c r="E108" s="18" t="n">
        <v>183048.87</v>
      </c>
      <c r="F108" s="9" t="n"/>
      <c r="G108" s="18" t="n">
        <v>108015.16</v>
      </c>
      <c r="H108" s="18" t="n">
        <v>123777.78</v>
      </c>
      <c r="I108" s="18" t="n">
        <v>128281.83</v>
      </c>
      <c r="J108" s="18" t="n">
        <v>184636.06</v>
      </c>
      <c r="K108" s="37" t="n">
        <v>544710.83</v>
      </c>
      <c r="L108" s="18" t="n">
        <v>125145.94</v>
      </c>
      <c r="M108" s="18" t="n">
        <v>134067.78</v>
      </c>
      <c r="N108" s="18" t="n">
        <v>159386.51</v>
      </c>
      <c r="O108" s="18" t="n">
        <v>184593.07</v>
      </c>
      <c r="P108" s="37" t="n">
        <v>603193.3</v>
      </c>
      <c r="Q108" s="18" t="n">
        <v>128617.21</v>
      </c>
      <c r="R108" s="18" t="n">
        <v>161364.35</v>
      </c>
      <c r="S108" s="18" t="n">
        <v>159774.86</v>
      </c>
      <c r="T108" s="18" t="n">
        <v>203891.58</v>
      </c>
      <c r="U108" s="37" t="n">
        <v>653648</v>
      </c>
      <c r="V108" s="18" t="n">
        <v>131389</v>
      </c>
      <c r="W108" s="18" t="n">
        <v>142734</v>
      </c>
      <c r="X108" s="18" t="n">
        <v>233332</v>
      </c>
      <c r="Y108" s="18" t="n">
        <v>190656</v>
      </c>
      <c r="Z108" s="37" t="n">
        <v>698111</v>
      </c>
      <c r="AA108" s="18" t="n">
        <v>171431</v>
      </c>
      <c r="AB108" s="19" t="n">
        <v>103829</v>
      </c>
      <c r="AC108" s="10" t="n"/>
      <c r="AD108" s="10" t="n"/>
      <c r="AE108" s="11" t="n"/>
      <c r="AF108" s="10" t="n"/>
      <c r="AG108" s="10" t="n"/>
      <c r="AH108" s="10" t="n"/>
      <c r="AI108" s="10" t="n"/>
      <c r="AJ108" s="11" t="n"/>
      <c r="AK108" s="10" t="n"/>
      <c r="AL108" s="10" t="n"/>
      <c r="AM108" s="10" t="n"/>
      <c r="AN108" s="10" t="n"/>
      <c r="AO108" s="11" t="n"/>
    </row>
    <row r="109">
      <c r="A109" t="n">
        <v>1</v>
      </c>
      <c r="C109" t="inlineStr">
        <is>
          <t>무형자산의증가</t>
        </is>
      </c>
      <c r="E109" s="18" t="n">
        <v>71196.28</v>
      </c>
      <c r="F109" s="9" t="n"/>
      <c r="G109" s="18" t="n">
        <v>43970.92</v>
      </c>
      <c r="H109" s="18" t="n">
        <v>48609.19</v>
      </c>
      <c r="I109" s="18" t="n">
        <v>45982.05</v>
      </c>
      <c r="J109" s="18" t="n">
        <v>57444.57</v>
      </c>
      <c r="K109" s="37" t="n">
        <v>196006.73</v>
      </c>
      <c r="L109" s="18" t="n">
        <v>40410.58</v>
      </c>
      <c r="M109" s="18" t="n">
        <v>46255.17</v>
      </c>
      <c r="N109" s="18" t="n">
        <v>62592.02</v>
      </c>
      <c r="O109" s="18" t="n">
        <v>58339.47</v>
      </c>
      <c r="P109" s="37" t="n">
        <v>207597.24</v>
      </c>
      <c r="Q109" s="18" t="n">
        <v>40975.8</v>
      </c>
      <c r="R109" s="18" t="n">
        <v>49161.47</v>
      </c>
      <c r="S109" s="18" t="n">
        <v>33937.32</v>
      </c>
      <c r="T109" s="18" t="n">
        <v>68076.41</v>
      </c>
      <c r="U109" s="37" t="n">
        <v>192151</v>
      </c>
      <c r="V109" s="18" t="n">
        <v>41551</v>
      </c>
      <c r="W109" s="18" t="n">
        <v>86790</v>
      </c>
      <c r="X109" s="18" t="n">
        <v>93073</v>
      </c>
      <c r="Y109" s="18" t="n">
        <v>73602</v>
      </c>
      <c r="Z109" s="37" t="n">
        <v>295016</v>
      </c>
      <c r="AA109" s="18" t="n">
        <v>56342</v>
      </c>
      <c r="AB109" s="19" t="n">
        <v>55178</v>
      </c>
      <c r="AC109" s="10" t="n"/>
      <c r="AD109" s="10" t="n"/>
      <c r="AE109" s="11" t="n"/>
      <c r="AF109" s="10" t="n"/>
      <c r="AG109" s="10" t="n"/>
      <c r="AH109" s="10" t="n"/>
      <c r="AI109" s="10" t="n"/>
      <c r="AJ109" s="11" t="n"/>
      <c r="AK109" s="10" t="n"/>
      <c r="AL109" s="10" t="n"/>
      <c r="AM109" s="10" t="n"/>
      <c r="AN109" s="10" t="n"/>
      <c r="AO109" s="11" t="n"/>
    </row>
    <row r="110">
      <c r="A110" t="n">
        <v>1</v>
      </c>
      <c r="C110" t="inlineStr">
        <is>
          <t>재무활동으로인한현금흐름</t>
        </is>
      </c>
      <c r="E110" s="18" t="n">
        <v>-725298.89</v>
      </c>
      <c r="F110" s="9" t="n"/>
      <c r="G110" s="18" t="n">
        <v>-261633.54</v>
      </c>
      <c r="H110" s="18" t="n">
        <v>-700634.45</v>
      </c>
      <c r="I110" s="18" t="n">
        <v>-228278.38</v>
      </c>
      <c r="J110" s="18" t="n">
        <v>58093.74</v>
      </c>
      <c r="K110" s="37" t="n">
        <v>-1132452.63</v>
      </c>
      <c r="L110" s="18" t="n">
        <v>165390.92</v>
      </c>
      <c r="M110" s="18" t="n">
        <v>200327.56</v>
      </c>
      <c r="N110" s="18" t="n">
        <v>-410177.67</v>
      </c>
      <c r="O110" s="18" t="n">
        <v>-8477.290000000001</v>
      </c>
      <c r="P110" s="37" t="n">
        <v>-52936.48</v>
      </c>
      <c r="Q110" s="18" t="n">
        <v>38177.47</v>
      </c>
      <c r="R110" s="18" t="n">
        <v>278842.46</v>
      </c>
      <c r="S110" s="18" t="n">
        <v>718708.26</v>
      </c>
      <c r="T110" s="18" t="n">
        <v>-427306.19</v>
      </c>
      <c r="U110" s="37" t="n">
        <v>608422</v>
      </c>
      <c r="V110" s="18" t="n">
        <v>420526</v>
      </c>
      <c r="W110" s="18" t="n">
        <v>-107658</v>
      </c>
      <c r="X110" s="18" t="n">
        <v>401926</v>
      </c>
      <c r="Y110" s="18" t="n">
        <v>-1002739</v>
      </c>
      <c r="Z110" s="37" t="n">
        <v>-287945</v>
      </c>
      <c r="AA110" s="18" t="n">
        <v>666065</v>
      </c>
      <c r="AB110" s="19" t="n">
        <v>76716</v>
      </c>
      <c r="AC110" s="10" t="n"/>
      <c r="AD110" s="10" t="n"/>
      <c r="AE110" s="11" t="n"/>
      <c r="AF110" s="10" t="n"/>
      <c r="AG110" s="10" t="n"/>
      <c r="AH110" s="10" t="n"/>
      <c r="AI110" s="10" t="n"/>
      <c r="AJ110" s="11" t="n"/>
      <c r="AK110" s="10" t="n"/>
      <c r="AL110" s="10" t="n"/>
      <c r="AM110" s="10" t="n"/>
      <c r="AN110" s="10" t="n"/>
      <c r="AO110" s="11" t="n"/>
    </row>
    <row r="111">
      <c r="A111" t="n">
        <v>1</v>
      </c>
      <c r="C111" t="inlineStr">
        <is>
          <t>사채의증가</t>
        </is>
      </c>
      <c r="E111" s="18" t="n">
        <v>14988.7</v>
      </c>
      <c r="F111" s="9" t="n"/>
      <c r="G111" s="18" t="n">
        <v>110000</v>
      </c>
      <c r="H111" s="18" t="n">
        <v>80000</v>
      </c>
      <c r="I111" s="18" t="n">
        <v>149740.03</v>
      </c>
      <c r="J111" s="18" t="n">
        <v>27417.07</v>
      </c>
      <c r="K111" s="37" t="n">
        <v>367157.1</v>
      </c>
      <c r="L111" s="18" t="n">
        <v>57000</v>
      </c>
      <c r="M111" s="18" t="n">
        <v>79671.25999999999</v>
      </c>
      <c r="N111" s="18" t="n">
        <v>372527</v>
      </c>
      <c r="O111" s="18" t="n">
        <v>0</v>
      </c>
      <c r="P111" s="37" t="n">
        <v>509198.26</v>
      </c>
      <c r="Q111" s="18" t="n">
        <v>177240.29</v>
      </c>
      <c r="R111" s="18" t="n">
        <v>66844.99000000001</v>
      </c>
      <c r="S111" s="18" t="n">
        <v>229285.71</v>
      </c>
      <c r="T111" s="18" t="n">
        <v>551.01</v>
      </c>
      <c r="U111" s="37" t="n">
        <v>473922</v>
      </c>
      <c r="V111" s="18" t="n">
        <v>55736</v>
      </c>
      <c r="W111" s="18" t="n">
        <v>128006</v>
      </c>
      <c r="X111" s="18" t="n">
        <v>61729</v>
      </c>
      <c r="Y111" s="18" t="n">
        <v>40763</v>
      </c>
      <c r="Z111" s="37" t="n">
        <v>286234</v>
      </c>
      <c r="AA111" s="18" t="n">
        <v>9980</v>
      </c>
      <c r="AB111" s="19" t="n">
        <v>9982</v>
      </c>
      <c r="AC111" s="10" t="n"/>
      <c r="AD111" s="10" t="n"/>
      <c r="AE111" s="11" t="n"/>
      <c r="AF111" s="10" t="n"/>
      <c r="AG111" s="10" t="n"/>
      <c r="AH111" s="10" t="n"/>
      <c r="AI111" s="10" t="n"/>
      <c r="AJ111" s="11" t="n"/>
      <c r="AK111" s="10" t="n"/>
      <c r="AL111" s="10" t="n"/>
      <c r="AM111" s="10" t="n"/>
      <c r="AN111" s="10" t="n"/>
      <c r="AO111" s="11" t="n"/>
    </row>
    <row r="112">
      <c r="A112" t="n">
        <v>1</v>
      </c>
      <c r="C112" t="inlineStr">
        <is>
          <t>장기차입금의증가</t>
        </is>
      </c>
      <c r="E112" s="18" t="n">
        <v>359225.3</v>
      </c>
      <c r="F112" s="9" t="n"/>
      <c r="G112" s="18" t="n">
        <v>500000</v>
      </c>
      <c r="H112" s="18" t="n">
        <v>1409482.17</v>
      </c>
      <c r="I112" s="18" t="n">
        <v>37025.79</v>
      </c>
      <c r="J112" s="18" t="n">
        <v>619867.6899999999</v>
      </c>
      <c r="K112" s="37" t="n">
        <v>2566375.65</v>
      </c>
      <c r="L112" s="18" t="n">
        <v>342331.24</v>
      </c>
      <c r="M112" s="18" t="n">
        <v>147539.3</v>
      </c>
      <c r="N112" s="18" t="n">
        <v>16043.05</v>
      </c>
      <c r="O112" s="18" t="n">
        <v>140152.34</v>
      </c>
      <c r="P112" s="37" t="n">
        <v>646065.9300000001</v>
      </c>
      <c r="Q112" s="18" t="n">
        <v>570000</v>
      </c>
      <c r="R112" s="18" t="n">
        <v>142067.5</v>
      </c>
      <c r="S112" s="18" t="n">
        <v>483477.21</v>
      </c>
      <c r="T112" s="18" t="n">
        <v>142964.29</v>
      </c>
      <c r="U112" s="37" t="n">
        <v>1338509</v>
      </c>
      <c r="V112" s="18" t="n">
        <v>619295</v>
      </c>
      <c r="X112" s="18" t="n">
        <v>70110</v>
      </c>
      <c r="Z112" s="9" t="n"/>
      <c r="AA112" s="18" t="n">
        <v>160000</v>
      </c>
      <c r="AB112" s="19" t="n">
        <v>0</v>
      </c>
      <c r="AC112" s="10" t="n"/>
      <c r="AD112" s="10" t="n"/>
      <c r="AE112" s="11" t="n"/>
      <c r="AF112" s="10" t="n"/>
      <c r="AG112" s="10" t="n"/>
      <c r="AH112" s="10" t="n"/>
      <c r="AI112" s="10" t="n"/>
      <c r="AJ112" s="11" t="n"/>
      <c r="AK112" s="10" t="n"/>
      <c r="AL112" s="10" t="n"/>
      <c r="AM112" s="10" t="n"/>
      <c r="AN112" s="10" t="n"/>
      <c r="AO112" s="11" t="n"/>
    </row>
    <row r="113">
      <c r="A113" t="n">
        <v>1</v>
      </c>
      <c r="C113" t="inlineStr">
        <is>
          <t>단기차입금의감소</t>
        </is>
      </c>
      <c r="E113" s="18" t="n">
        <v>287622.79</v>
      </c>
      <c r="F113" s="9" t="n"/>
      <c r="G113" s="18" t="n">
        <v>1935769.63</v>
      </c>
      <c r="H113" s="18" t="n">
        <v>241855.52</v>
      </c>
      <c r="I113" s="18" t="n">
        <v>190635.03</v>
      </c>
      <c r="J113" s="18" t="n">
        <v>28.29</v>
      </c>
      <c r="K113" s="37" t="n">
        <v>2368288.47</v>
      </c>
      <c r="L113" s="18" t="n">
        <v>22971.1</v>
      </c>
      <c r="M113" s="18" t="n">
        <v>188658.4</v>
      </c>
      <c r="N113" s="18" t="n">
        <v>17158.17</v>
      </c>
      <c r="O113" s="18" t="n">
        <v>13603.23</v>
      </c>
      <c r="P113" s="37" t="n">
        <v>242390.9</v>
      </c>
      <c r="Q113" s="18" t="n">
        <v>0</v>
      </c>
      <c r="R113" s="18" t="n">
        <v>0</v>
      </c>
      <c r="S113" s="18" t="n">
        <v>0</v>
      </c>
      <c r="T113" s="18" t="n">
        <v>0</v>
      </c>
      <c r="U113" s="37" t="n">
        <v>0</v>
      </c>
      <c r="Z113" s="9" t="n"/>
      <c r="AB113" s="5" t="n"/>
      <c r="AC113" s="10" t="n"/>
      <c r="AD113" s="10" t="n"/>
      <c r="AE113" s="11" t="n"/>
      <c r="AF113" s="10" t="n"/>
      <c r="AG113" s="10" t="n"/>
      <c r="AH113" s="10" t="n"/>
      <c r="AI113" s="10" t="n"/>
      <c r="AJ113" s="11" t="n"/>
      <c r="AK113" s="10" t="n"/>
      <c r="AL113" s="10" t="n"/>
      <c r="AM113" s="10" t="n"/>
      <c r="AN113" s="10" t="n"/>
      <c r="AO113" s="11" t="n"/>
    </row>
    <row r="114">
      <c r="A114" t="n">
        <v>1</v>
      </c>
      <c r="C114" t="inlineStr">
        <is>
          <t>유동성장기부채의감소</t>
        </is>
      </c>
      <c r="E114" s="18" t="n">
        <v>836013.09</v>
      </c>
      <c r="F114" s="9" t="n"/>
      <c r="G114" s="18" t="n">
        <v>346221.39</v>
      </c>
      <c r="H114" s="18" t="n">
        <v>127131.44</v>
      </c>
      <c r="I114" s="18" t="n">
        <v>12405.36</v>
      </c>
      <c r="J114" s="18" t="n">
        <v>432084.47</v>
      </c>
      <c r="K114" s="37" t="n">
        <v>917842.66</v>
      </c>
      <c r="L114" s="18" t="n">
        <v>113550.5</v>
      </c>
      <c r="M114" s="18" t="n">
        <v>15000</v>
      </c>
      <c r="N114" s="18" t="n">
        <v>504877.14</v>
      </c>
      <c r="O114" s="18" t="n">
        <v>102500</v>
      </c>
      <c r="P114" s="37" t="n">
        <v>735927.64</v>
      </c>
      <c r="Q114" s="18" t="n">
        <v>743000</v>
      </c>
      <c r="R114" s="18" t="n">
        <v>117500</v>
      </c>
      <c r="S114" s="18" t="n">
        <v>261063.36</v>
      </c>
      <c r="T114" s="18" t="n">
        <v>427399.64</v>
      </c>
      <c r="U114" s="37" t="n">
        <v>1548963</v>
      </c>
      <c r="V114" s="18" t="n">
        <v>52900</v>
      </c>
      <c r="W114" s="18" t="n">
        <v>177100</v>
      </c>
      <c r="Y114" s="18" t="n">
        <v>16250</v>
      </c>
      <c r="Z114" s="9" t="n"/>
      <c r="AA114" s="18" t="n">
        <v>153583</v>
      </c>
      <c r="AB114" s="19" t="n">
        <v>29584</v>
      </c>
      <c r="AC114" s="10" t="n"/>
      <c r="AD114" s="10" t="n"/>
      <c r="AE114" s="11" t="n"/>
      <c r="AF114" s="10" t="n"/>
      <c r="AG114" s="10" t="n"/>
      <c r="AH114" s="10" t="n"/>
      <c r="AI114" s="10" t="n"/>
      <c r="AJ114" s="11" t="n"/>
      <c r="AK114" s="10" t="n"/>
      <c r="AL114" s="10" t="n"/>
      <c r="AM114" s="10" t="n"/>
      <c r="AN114" s="10" t="n"/>
      <c r="AO114" s="11" t="n"/>
    </row>
    <row r="115">
      <c r="A115" t="n">
        <v>1</v>
      </c>
      <c r="C115" t="inlineStr">
        <is>
          <t>리스부채의상환</t>
        </is>
      </c>
      <c r="E115" s="18" t="n">
        <v>23524.24</v>
      </c>
      <c r="F115" s="9" t="n"/>
      <c r="G115" s="18" t="n">
        <v>19001.42</v>
      </c>
      <c r="H115" s="18" t="n">
        <v>26700.82</v>
      </c>
      <c r="I115" s="18" t="n">
        <v>9748.52</v>
      </c>
      <c r="J115" s="18" t="n">
        <v>24055.71</v>
      </c>
      <c r="K115" s="37" t="n">
        <v>79506.47</v>
      </c>
      <c r="L115" s="18" t="n">
        <v>18610.11</v>
      </c>
      <c r="M115" s="18" t="n">
        <v>22363.11</v>
      </c>
      <c r="N115" s="18" t="n">
        <v>18010.72</v>
      </c>
      <c r="O115" s="18" t="n">
        <v>25169.71</v>
      </c>
      <c r="P115" s="37" t="n">
        <v>84153.64999999999</v>
      </c>
      <c r="Q115" s="18" t="n">
        <v>20373.78</v>
      </c>
      <c r="R115" s="18" t="n">
        <v>20760.88</v>
      </c>
      <c r="S115" s="18" t="n">
        <v>23131.57</v>
      </c>
      <c r="T115" s="18" t="n">
        <v>29800.77</v>
      </c>
      <c r="U115" s="37" t="n">
        <v>94067</v>
      </c>
      <c r="V115" s="18" t="n">
        <v>24723</v>
      </c>
      <c r="W115" s="18" t="n">
        <v>26626</v>
      </c>
      <c r="X115" s="18" t="n">
        <v>27173</v>
      </c>
      <c r="Y115" s="18" t="n">
        <v>30945</v>
      </c>
      <c r="Z115" s="37" t="n">
        <v>109467</v>
      </c>
      <c r="AA115" s="18" t="n">
        <v>25911</v>
      </c>
      <c r="AB115" s="19" t="n">
        <v>28465</v>
      </c>
      <c r="AC115" s="10" t="n"/>
      <c r="AD115" s="10" t="n"/>
      <c r="AE115" s="11" t="n"/>
      <c r="AF115" s="10" t="n"/>
      <c r="AG115" s="10" t="n"/>
      <c r="AH115" s="10" t="n"/>
      <c r="AI115" s="10" t="n"/>
      <c r="AJ115" s="11" t="n"/>
      <c r="AK115" s="10" t="n"/>
      <c r="AL115" s="10" t="n"/>
      <c r="AM115" s="10" t="n"/>
      <c r="AN115" s="10" t="n"/>
      <c r="AO115" s="11" t="n"/>
    </row>
    <row r="116">
      <c r="A116" t="n">
        <v>1</v>
      </c>
      <c r="C116" t="inlineStr">
        <is>
          <t>자기주식의취득</t>
        </is>
      </c>
      <c r="E116" s="18" t="n">
        <v>0</v>
      </c>
      <c r="F116" s="9" t="n"/>
      <c r="K116" s="9" t="n"/>
      <c r="P116" s="9" t="n"/>
      <c r="U116" s="9" t="n"/>
      <c r="Z116" s="9" t="n"/>
      <c r="AB116" s="5" t="n"/>
      <c r="AC116" s="10" t="n"/>
      <c r="AD116" s="10" t="n"/>
      <c r="AE116" s="11" t="n"/>
      <c r="AF116" s="10" t="n"/>
      <c r="AG116" s="10" t="n"/>
      <c r="AH116" s="10" t="n"/>
      <c r="AI116" s="10" t="n"/>
      <c r="AJ116" s="11" t="n"/>
      <c r="AK116" s="10" t="n"/>
      <c r="AL116" s="10" t="n"/>
      <c r="AM116" s="10" t="n"/>
      <c r="AN116" s="10" t="n"/>
      <c r="AO116" s="11" t="n"/>
    </row>
    <row r="117">
      <c r="A117" t="n">
        <v>1</v>
      </c>
      <c r="C117" t="inlineStr">
        <is>
          <t>현금및현금성자산의증감</t>
        </is>
      </c>
      <c r="E117" s="18" t="n">
        <v>103901.2</v>
      </c>
      <c r="F117" s="9" t="n"/>
      <c r="G117" s="18" t="n">
        <v>-320352.95</v>
      </c>
      <c r="H117" s="18" t="n">
        <v>-490837.54</v>
      </c>
      <c r="I117" s="18" t="n">
        <v>369611.48</v>
      </c>
      <c r="J117" s="18" t="n">
        <v>-71187.38</v>
      </c>
      <c r="K117" s="37" t="n">
        <v>-512766.39</v>
      </c>
      <c r="L117" s="18" t="n">
        <v>196057.84</v>
      </c>
      <c r="M117" s="18" t="n">
        <v>1132627.03</v>
      </c>
      <c r="N117" s="18" t="n">
        <v>-454345.21</v>
      </c>
      <c r="O117" s="18" t="n">
        <v>350009.73</v>
      </c>
      <c r="P117" s="37" t="n">
        <v>1224349.39</v>
      </c>
      <c r="Q117" s="18" t="n">
        <v>299912.81</v>
      </c>
      <c r="R117" s="18" t="n">
        <v>-334324.58</v>
      </c>
      <c r="S117" s="18" t="n">
        <v>-298168.3</v>
      </c>
      <c r="T117" s="18" t="n">
        <v>610691.0699999999</v>
      </c>
      <c r="U117" s="37" t="n">
        <v>278111</v>
      </c>
      <c r="V117" s="18" t="n">
        <v>-288638</v>
      </c>
      <c r="W117" s="18" t="n">
        <v>-335355</v>
      </c>
      <c r="X117" s="18" t="n">
        <v>129896</v>
      </c>
      <c r="Y117" s="18" t="n">
        <v>676796</v>
      </c>
      <c r="Z117" s="37" t="n">
        <v>182699</v>
      </c>
      <c r="AA117" s="18" t="n">
        <v>9533</v>
      </c>
      <c r="AB117" s="19" t="n">
        <v>-548642</v>
      </c>
      <c r="AC117" s="10" t="n"/>
      <c r="AD117" s="10" t="n"/>
      <c r="AE117" s="11" t="n"/>
      <c r="AF117" s="10" t="n"/>
      <c r="AG117" s="10" t="n"/>
      <c r="AH117" s="10" t="n"/>
      <c r="AI117" s="10" t="n"/>
      <c r="AJ117" s="11" t="n"/>
      <c r="AK117" s="10" t="n"/>
      <c r="AL117" s="10" t="n"/>
      <c r="AM117" s="10" t="n"/>
      <c r="AN117" s="10" t="n"/>
      <c r="AO117" s="11" t="n"/>
    </row>
    <row r="118">
      <c r="A118" t="n">
        <v>1</v>
      </c>
      <c r="C118" t="inlineStr">
        <is>
          <t>기말현금및현금성자산</t>
        </is>
      </c>
      <c r="E118" s="18" t="n">
        <v>103901.2</v>
      </c>
      <c r="F118" s="9" t="n"/>
      <c r="G118" s="18" t="n">
        <v>1588251.04</v>
      </c>
      <c r="H118" s="18" t="n">
        <v>-490837.54</v>
      </c>
      <c r="I118" s="18" t="n">
        <v>369611.48</v>
      </c>
      <c r="J118" s="18" t="n">
        <v>-71187.38</v>
      </c>
      <c r="K118" s="37" t="n">
        <v>1395837.6</v>
      </c>
      <c r="L118" s="18" t="n">
        <v>1591895.43</v>
      </c>
      <c r="M118" s="18" t="n">
        <v>1132627.04</v>
      </c>
      <c r="N118" s="18" t="n">
        <v>-454345.21</v>
      </c>
      <c r="O118" s="18" t="n">
        <v>350009.72</v>
      </c>
      <c r="P118" s="37" t="n">
        <v>2620186.98</v>
      </c>
      <c r="Q118" s="18" t="n">
        <v>2920099.79</v>
      </c>
      <c r="R118" s="18" t="n">
        <v>-334324.57</v>
      </c>
      <c r="S118" s="18" t="n">
        <v>-298168.31</v>
      </c>
      <c r="T118" s="18" t="n">
        <v>610691.09</v>
      </c>
      <c r="U118" s="37" t="n">
        <v>2898298</v>
      </c>
      <c r="V118" s="18" t="n">
        <v>2609660</v>
      </c>
      <c r="W118" s="18" t="n">
        <v>-335355</v>
      </c>
      <c r="X118" s="18" t="n">
        <v>129896</v>
      </c>
      <c r="Y118" s="18" t="n">
        <v>676796</v>
      </c>
      <c r="Z118" s="37" t="n">
        <v>3080997</v>
      </c>
      <c r="AA118" s="18" t="n">
        <v>3090530</v>
      </c>
      <c r="AB118" s="19" t="n">
        <v>-548642</v>
      </c>
      <c r="AC118" s="10" t="n"/>
      <c r="AD118" s="10" t="n"/>
      <c r="AE118" s="11" t="n"/>
      <c r="AF118" s="10" t="n"/>
      <c r="AG118" s="10" t="n"/>
      <c r="AH118" s="10" t="n"/>
      <c r="AI118" s="10" t="n"/>
      <c r="AJ118" s="11" t="n"/>
      <c r="AK118" s="10" t="n"/>
      <c r="AL118" s="10" t="n"/>
      <c r="AM118" s="10" t="n"/>
      <c r="AN118" s="10" t="n"/>
      <c r="AO118" s="11" t="n"/>
    </row>
    <row r="119">
      <c r="A119" t="n">
        <v>1</v>
      </c>
      <c r="C119" t="inlineStr">
        <is>
          <t>장기차입금의감소</t>
        </is>
      </c>
      <c r="F119" s="9" t="n"/>
      <c r="G119" s="18" t="n">
        <v>264.4</v>
      </c>
      <c r="H119" s="18" t="n">
        <v>1398398.16</v>
      </c>
      <c r="I119" s="18" t="n">
        <v>139746.7</v>
      </c>
      <c r="J119" s="18" t="n">
        <v>130625.53</v>
      </c>
      <c r="K119" s="37" t="n">
        <v>1669034.79</v>
      </c>
      <c r="L119" s="18" t="n">
        <v>68903.58</v>
      </c>
      <c r="M119" s="18" t="n">
        <v>104109.82</v>
      </c>
      <c r="N119" s="18" t="n">
        <v>213919.53</v>
      </c>
      <c r="O119" s="18" t="n">
        <v>3878.58</v>
      </c>
      <c r="P119" s="37" t="n">
        <v>390811.51</v>
      </c>
      <c r="Q119" s="18" t="n">
        <v>169156.77</v>
      </c>
      <c r="R119" s="18" t="n">
        <v>3223.79</v>
      </c>
      <c r="S119" s="18" t="n">
        <v>202808.55</v>
      </c>
      <c r="T119" s="18" t="n">
        <v>90043.89</v>
      </c>
      <c r="U119" s="37" t="n">
        <v>465233</v>
      </c>
      <c r="V119" s="18" t="n">
        <v>397326</v>
      </c>
      <c r="X119" s="18" t="n">
        <v>25737</v>
      </c>
      <c r="Y119" s="18" t="n">
        <v>382368</v>
      </c>
      <c r="Z119" s="9" t="n"/>
      <c r="AA119" s="18" t="n">
        <v>6154</v>
      </c>
      <c r="AB119" s="19" t="n">
        <v>26321</v>
      </c>
      <c r="AC119" s="10" t="n"/>
      <c r="AD119" s="10" t="n"/>
      <c r="AE119" s="11" t="n"/>
      <c r="AF119" s="10" t="n"/>
      <c r="AG119" s="10" t="n"/>
      <c r="AH119" s="10" t="n"/>
      <c r="AI119" s="10" t="n"/>
      <c r="AJ119" s="11" t="n"/>
      <c r="AK119" s="10" t="n"/>
      <c r="AL119" s="10" t="n"/>
      <c r="AM119" s="10" t="n"/>
      <c r="AN119" s="10" t="n"/>
      <c r="AO119" s="11" t="n"/>
    </row>
    <row r="120">
      <c r="A120" t="n">
        <v>1</v>
      </c>
      <c r="C120" t="inlineStr">
        <is>
          <t>사채의감소</t>
        </is>
      </c>
      <c r="F120" s="9" t="n"/>
      <c r="I120" s="18" t="n">
        <v>11104.95</v>
      </c>
      <c r="J120" s="18" t="n">
        <v>7118.17</v>
      </c>
      <c r="K120" s="9" t="n"/>
      <c r="P120" s="9" t="n"/>
      <c r="U120" s="9" t="n"/>
      <c r="Z120" s="9" t="n"/>
      <c r="AB120" s="5" t="n"/>
      <c r="AC120" s="10" t="n"/>
      <c r="AD120" s="10" t="n"/>
      <c r="AE120" s="11" t="n"/>
      <c r="AF120" s="10" t="n"/>
      <c r="AG120" s="10" t="n"/>
      <c r="AH120" s="10" t="n"/>
      <c r="AI120" s="10" t="n"/>
      <c r="AJ120" s="11" t="n"/>
      <c r="AK120" s="10" t="n"/>
      <c r="AL120" s="10" t="n"/>
      <c r="AM120" s="10" t="n"/>
      <c r="AN120" s="10" t="n"/>
      <c r="AO120" s="11" t="n"/>
    </row>
    <row r="121">
      <c r="A121" t="n">
        <v>1</v>
      </c>
      <c r="C121" t="inlineStr">
        <is>
          <t>배당금지급</t>
        </is>
      </c>
      <c r="F121" s="9" t="n"/>
      <c r="I121" s="18" t="n">
        <v>32052.63</v>
      </c>
      <c r="K121" s="9" t="n"/>
      <c r="P121" s="9" t="n"/>
      <c r="U121" s="9" t="n"/>
      <c r="Z121" s="9" t="n"/>
      <c r="AB121" s="5" t="n"/>
      <c r="AC121" s="10" t="n"/>
      <c r="AD121" s="10" t="n"/>
      <c r="AE121" s="11" t="n"/>
      <c r="AF121" s="10" t="n"/>
      <c r="AG121" s="10" t="n"/>
      <c r="AH121" s="10" t="n"/>
      <c r="AI121" s="10" t="n"/>
      <c r="AJ121" s="11" t="n"/>
      <c r="AK121" s="10" t="n"/>
      <c r="AL121" s="10" t="n"/>
      <c r="AM121" s="10" t="n"/>
      <c r="AN121" s="10" t="n"/>
      <c r="AO121" s="11" t="n"/>
    </row>
    <row r="122">
      <c r="A122" t="n">
        <v>1</v>
      </c>
      <c r="C122" t="inlineStr">
        <is>
          <t>단기차입금의증가</t>
        </is>
      </c>
      <c r="F122" s="9" t="n"/>
      <c r="K122" s="9" t="n"/>
      <c r="P122" s="9" t="n"/>
      <c r="Q122" s="18" t="n">
        <v>228125</v>
      </c>
      <c r="R122" s="18" t="n">
        <v>259807.97</v>
      </c>
      <c r="S122" s="18" t="n">
        <v>536197.23</v>
      </c>
      <c r="T122" s="18" t="n">
        <v>38738.8</v>
      </c>
      <c r="U122" s="37" t="n">
        <v>1062869</v>
      </c>
      <c r="V122" s="18" t="n">
        <v>209464</v>
      </c>
      <c r="X122" s="18" t="n">
        <v>291757</v>
      </c>
      <c r="Z122" s="9" t="n"/>
      <c r="AA122" s="18" t="n">
        <v>685152</v>
      </c>
      <c r="AB122" s="19" t="n">
        <v>331908</v>
      </c>
      <c r="AC122" s="10" t="n"/>
      <c r="AD122" s="10" t="n"/>
      <c r="AE122" s="11" t="n"/>
      <c r="AF122" s="10" t="n"/>
      <c r="AG122" s="10" t="n"/>
      <c r="AH122" s="10" t="n"/>
      <c r="AI122" s="10" t="n"/>
      <c r="AJ122" s="11" t="n"/>
      <c r="AK122" s="10" t="n"/>
      <c r="AL122" s="10" t="n"/>
      <c r="AM122" s="10" t="n"/>
      <c r="AN122" s="10" t="n"/>
      <c r="AO122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0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두산에너빌리티(별)</t>
        </is>
      </c>
      <c r="C3" s="2" t="inlineStr">
        <is>
          <t>UPDATE: 26-10-19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3683979.65</v>
      </c>
      <c r="F5" s="37" t="n">
        <v>3683979.65</v>
      </c>
      <c r="G5" s="18" t="n">
        <v>3731421.48</v>
      </c>
      <c r="H5" s="18" t="n">
        <v>4024955.19</v>
      </c>
      <c r="I5" s="18" t="n">
        <v>4155125.57</v>
      </c>
      <c r="J5" s="18" t="n">
        <v>3537609.67</v>
      </c>
      <c r="K5" s="37" t="n">
        <v>3537609.67</v>
      </c>
      <c r="L5" s="18" t="n">
        <v>3623666.69</v>
      </c>
      <c r="M5" s="18" t="n">
        <v>4377781.43</v>
      </c>
      <c r="N5" s="18" t="n">
        <v>4034350.53</v>
      </c>
      <c r="O5" s="18" t="n">
        <v>4051761.9</v>
      </c>
      <c r="P5" s="37" t="n">
        <v>4051761.9</v>
      </c>
      <c r="Q5" s="18" t="n">
        <v>4186297.71</v>
      </c>
      <c r="R5" s="18" t="n">
        <v>4024291.88</v>
      </c>
      <c r="S5" s="18" t="n">
        <v>3961773.5</v>
      </c>
      <c r="T5" s="18" t="n">
        <v>4048371</v>
      </c>
      <c r="U5" s="37" t="n">
        <v>4048371</v>
      </c>
      <c r="V5" s="18" t="n">
        <v>4306084</v>
      </c>
      <c r="W5" s="18" t="n">
        <v>4154258</v>
      </c>
      <c r="X5" s="18" t="n">
        <v>4582507</v>
      </c>
      <c r="Y5" s="18" t="n">
        <v>4910318</v>
      </c>
      <c r="Z5" s="37" t="n">
        <v>4910318</v>
      </c>
      <c r="AA5" s="18" t="n">
        <v>5146742</v>
      </c>
      <c r="AB5" s="19" t="n">
        <v>5543025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423695.21</v>
      </c>
      <c r="F6" s="37" t="n">
        <v>423695.21</v>
      </c>
      <c r="G6" s="18" t="n">
        <v>193962.04</v>
      </c>
      <c r="H6" s="18" t="n">
        <v>270131.74</v>
      </c>
      <c r="I6" s="18" t="n">
        <v>458471.13</v>
      </c>
      <c r="J6" s="18" t="n">
        <v>307351.16</v>
      </c>
      <c r="K6" s="37" t="n">
        <v>307351.16</v>
      </c>
      <c r="L6" s="18" t="n">
        <v>251008.89</v>
      </c>
      <c r="M6" s="18" t="n">
        <v>1079473.67</v>
      </c>
      <c r="N6" s="18" t="n">
        <v>472850.36</v>
      </c>
      <c r="O6" s="18" t="n">
        <v>733013.6899999999</v>
      </c>
      <c r="P6" s="37" t="n">
        <v>733013.6899999999</v>
      </c>
      <c r="Q6" s="18" t="n">
        <v>666934.5600000001</v>
      </c>
      <c r="R6" s="18" t="n">
        <v>434503.47</v>
      </c>
      <c r="S6" s="18" t="n">
        <v>260735.4</v>
      </c>
      <c r="T6" s="18" t="n">
        <v>645087</v>
      </c>
      <c r="U6" s="37" t="n">
        <v>645087</v>
      </c>
      <c r="V6" s="18" t="n">
        <v>306065</v>
      </c>
      <c r="W6" s="18" t="n">
        <v>127071</v>
      </c>
      <c r="X6" s="18" t="n">
        <v>184653</v>
      </c>
      <c r="Y6" s="18" t="n">
        <v>760602</v>
      </c>
      <c r="Z6" s="37" t="n">
        <v>760602</v>
      </c>
      <c r="AA6" s="18" t="n">
        <v>543226</v>
      </c>
      <c r="AB6" s="19" t="n">
        <v>319656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446816.82</v>
      </c>
      <c r="F7" s="37" t="n">
        <v>446816.82</v>
      </c>
      <c r="G7" s="18" t="n">
        <v>236859.26</v>
      </c>
      <c r="H7" s="18" t="n">
        <v>119564.84</v>
      </c>
      <c r="I7" s="18" t="n">
        <v>124044.9</v>
      </c>
      <c r="J7" s="18" t="n">
        <v>84578.98</v>
      </c>
      <c r="K7" s="37" t="n">
        <v>84578.98</v>
      </c>
      <c r="L7" s="18" t="n">
        <v>55589.3</v>
      </c>
      <c r="M7" s="18" t="n">
        <v>57458.24</v>
      </c>
      <c r="N7" s="18" t="n">
        <v>75108.84</v>
      </c>
      <c r="O7" s="18" t="n">
        <v>72594.87</v>
      </c>
      <c r="P7" s="37" t="n">
        <v>72594.87</v>
      </c>
      <c r="Q7" s="18" t="n">
        <v>73710.74000000001</v>
      </c>
      <c r="R7" s="18" t="n">
        <v>48997.39</v>
      </c>
      <c r="S7" s="18" t="n">
        <v>49558.82</v>
      </c>
      <c r="T7" s="18" t="n">
        <v>49400</v>
      </c>
      <c r="U7" s="37" t="n">
        <v>49400</v>
      </c>
      <c r="V7" s="18" t="n">
        <v>44316</v>
      </c>
      <c r="W7" s="18" t="n">
        <v>46256</v>
      </c>
      <c r="X7" s="18" t="n">
        <v>45954</v>
      </c>
      <c r="Y7" s="18" t="n">
        <v>41745</v>
      </c>
      <c r="Z7" s="37" t="n">
        <v>41745</v>
      </c>
      <c r="AA7" s="18" t="n">
        <v>42782</v>
      </c>
      <c r="AB7" s="19" t="n">
        <v>43006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637724.61</v>
      </c>
      <c r="F8" s="37" t="n">
        <v>637724.61</v>
      </c>
      <c r="G8" s="18" t="n">
        <v>635193.27</v>
      </c>
      <c r="H8" s="18" t="n">
        <v>564747.9</v>
      </c>
      <c r="I8" s="18" t="n">
        <v>655686.54</v>
      </c>
      <c r="J8" s="18" t="n">
        <v>516617.55</v>
      </c>
      <c r="K8" s="37" t="n">
        <v>516617.55</v>
      </c>
      <c r="L8" s="18" t="n">
        <v>513929.88</v>
      </c>
      <c r="M8" s="18" t="n">
        <v>273077.84</v>
      </c>
      <c r="N8" s="18" t="n">
        <v>363369</v>
      </c>
      <c r="O8" s="18" t="n">
        <v>204461.71</v>
      </c>
      <c r="P8" s="37" t="n">
        <v>204461.71</v>
      </c>
      <c r="Q8" s="18" t="n">
        <v>282374.36</v>
      </c>
      <c r="R8" s="18" t="n">
        <v>349494.83</v>
      </c>
      <c r="S8" s="18" t="n">
        <v>325140.31</v>
      </c>
      <c r="T8" s="18" t="n">
        <v>248012</v>
      </c>
      <c r="U8" s="37" t="n">
        <v>248012</v>
      </c>
      <c r="V8" s="18" t="n">
        <v>230313</v>
      </c>
      <c r="W8" s="18" t="n">
        <v>147838</v>
      </c>
      <c r="X8" s="18" t="n">
        <v>171246</v>
      </c>
      <c r="Y8" s="18" t="n">
        <v>119634</v>
      </c>
      <c r="Z8" s="37" t="n">
        <v>119634</v>
      </c>
      <c r="AA8" s="18" t="n">
        <v>204269</v>
      </c>
      <c r="AB8" s="19" t="n">
        <v>259233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418825.89</v>
      </c>
      <c r="F9" s="37" t="n">
        <v>418825.89</v>
      </c>
      <c r="G9" s="18" t="n">
        <v>615432.65</v>
      </c>
      <c r="H9" s="18" t="n">
        <v>740555.6899999999</v>
      </c>
      <c r="I9" s="18" t="n">
        <v>677392.46</v>
      </c>
      <c r="J9" s="18" t="n">
        <v>757107.42</v>
      </c>
      <c r="K9" s="37" t="n">
        <v>757107.42</v>
      </c>
      <c r="L9" s="18" t="n">
        <v>931859.2</v>
      </c>
      <c r="M9" s="18" t="n">
        <v>1035261.7</v>
      </c>
      <c r="N9" s="18" t="n">
        <v>1184692.51</v>
      </c>
      <c r="O9" s="18" t="n">
        <v>978610.8100000001</v>
      </c>
      <c r="P9" s="37" t="n">
        <v>978610.8100000001</v>
      </c>
      <c r="Q9" s="18" t="n">
        <v>1143138.02</v>
      </c>
      <c r="R9" s="18" t="n">
        <v>923528.95</v>
      </c>
      <c r="S9" s="18" t="n">
        <v>1127886.29</v>
      </c>
      <c r="T9" s="18" t="n">
        <v>990147</v>
      </c>
      <c r="U9" s="37" t="n">
        <v>990147</v>
      </c>
      <c r="V9" s="18" t="n">
        <v>1072607</v>
      </c>
      <c r="W9" s="18" t="n">
        <v>1216499</v>
      </c>
      <c r="X9" s="18" t="n">
        <v>1383541</v>
      </c>
      <c r="Y9" s="18" t="n">
        <v>1452042</v>
      </c>
      <c r="Z9" s="37" t="n">
        <v>1452042</v>
      </c>
      <c r="AA9" s="18" t="n">
        <v>1507459</v>
      </c>
      <c r="AB9" s="19" t="n">
        <v>1612515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계약자산</t>
        </is>
      </c>
      <c r="E10" s="18" t="n">
        <v>1297216.36</v>
      </c>
      <c r="F10" s="37" t="n">
        <v>1297216.36</v>
      </c>
      <c r="G10" s="18" t="n">
        <v>1347622.81</v>
      </c>
      <c r="H10" s="18" t="n">
        <v>1290134.41</v>
      </c>
      <c r="I10" s="18" t="n">
        <v>1222346.41</v>
      </c>
      <c r="J10" s="18" t="n">
        <v>970226.75</v>
      </c>
      <c r="K10" s="37" t="n">
        <v>970226.75</v>
      </c>
      <c r="L10" s="18" t="n">
        <v>938454.1800000001</v>
      </c>
      <c r="M10" s="18" t="n">
        <v>963461.1899999999</v>
      </c>
      <c r="N10" s="18" t="n">
        <v>1079691.63</v>
      </c>
      <c r="O10" s="18" t="n">
        <v>1259649.77</v>
      </c>
      <c r="P10" s="37" t="n">
        <v>1259649.77</v>
      </c>
      <c r="Q10" s="18" t="n">
        <v>1241807.11</v>
      </c>
      <c r="R10" s="18" t="n">
        <v>1387780.93</v>
      </c>
      <c r="S10" s="18" t="n">
        <v>1355902.44</v>
      </c>
      <c r="T10" s="18" t="n">
        <v>1345091</v>
      </c>
      <c r="U10" s="37" t="n">
        <v>1345091</v>
      </c>
      <c r="V10" s="18" t="n">
        <v>1539245</v>
      </c>
      <c r="W10" s="18" t="n">
        <v>1662052</v>
      </c>
      <c r="X10" s="18" t="n">
        <v>1552255</v>
      </c>
      <c r="Y10" s="18" t="n">
        <v>1524720</v>
      </c>
      <c r="Z10" s="37" t="n">
        <v>1524720</v>
      </c>
      <c r="AA10" s="18" t="n">
        <v>1762128</v>
      </c>
      <c r="AB10" s="19" t="n">
        <v>2221080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선급금</t>
        </is>
      </c>
      <c r="E11" s="18" t="n">
        <v>373337.56</v>
      </c>
      <c r="F11" s="37" t="n">
        <v>373337.56</v>
      </c>
      <c r="G11" s="18" t="n">
        <v>460509.05</v>
      </c>
      <c r="H11" s="18" t="n">
        <v>580780.91</v>
      </c>
      <c r="I11" s="18" t="n">
        <v>532117.26</v>
      </c>
      <c r="J11" s="18" t="n">
        <v>501387.14</v>
      </c>
      <c r="K11" s="37" t="n">
        <v>501387.14</v>
      </c>
      <c r="L11" s="18" t="n">
        <v>476453.35</v>
      </c>
      <c r="M11" s="18" t="n">
        <v>506059.44</v>
      </c>
      <c r="N11" s="18" t="n">
        <v>472044.98</v>
      </c>
      <c r="O11" s="18" t="n">
        <v>429084.44</v>
      </c>
      <c r="P11" s="37" t="n">
        <v>429084.44</v>
      </c>
      <c r="Q11" s="18" t="n">
        <v>381822.07</v>
      </c>
      <c r="R11" s="18" t="n">
        <v>430762.23</v>
      </c>
      <c r="S11" s="18" t="n">
        <v>383172.01</v>
      </c>
      <c r="T11" s="18" t="n">
        <v>328694</v>
      </c>
      <c r="U11" s="37" t="n">
        <v>328694</v>
      </c>
      <c r="V11" s="18" t="n">
        <v>338158</v>
      </c>
      <c r="W11" s="18" t="n">
        <v>335549</v>
      </c>
      <c r="X11" s="18" t="n">
        <v>425905</v>
      </c>
      <c r="Y11" s="18" t="n">
        <v>485334</v>
      </c>
      <c r="Z11" s="37" t="n">
        <v>485334</v>
      </c>
      <c r="AA11" s="18" t="n">
        <v>447490</v>
      </c>
      <c r="AB11" s="19" t="n">
        <v>429122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선급금등</t>
        </is>
      </c>
      <c r="E12" s="18" t="n">
        <v>373337.56</v>
      </c>
      <c r="F12" s="37" t="n">
        <v>373337.56</v>
      </c>
      <c r="G12" s="18" t="n">
        <v>460509.05</v>
      </c>
      <c r="H12" s="18" t="n">
        <v>580780.91</v>
      </c>
      <c r="I12" s="18" t="n">
        <v>532117.26</v>
      </c>
      <c r="J12" s="18" t="n">
        <v>501387.14</v>
      </c>
      <c r="K12" s="37" t="n">
        <v>501387.14</v>
      </c>
      <c r="L12" s="18" t="n">
        <v>476453.35</v>
      </c>
      <c r="M12" s="18" t="n">
        <v>506059.44</v>
      </c>
      <c r="N12" s="18" t="n">
        <v>472044.98</v>
      </c>
      <c r="O12" s="18" t="n">
        <v>429084.44</v>
      </c>
      <c r="P12" s="37" t="n">
        <v>429084.44</v>
      </c>
      <c r="Q12" s="18" t="n">
        <v>381822.07</v>
      </c>
      <c r="R12" s="18" t="n">
        <v>430762.23</v>
      </c>
      <c r="S12" s="18" t="n">
        <v>383172.01</v>
      </c>
      <c r="T12" s="18" t="n">
        <v>328694</v>
      </c>
      <c r="U12" s="37" t="n">
        <v>328694</v>
      </c>
      <c r="V12" s="18" t="n">
        <v>338158</v>
      </c>
      <c r="W12" s="18" t="n">
        <v>335549</v>
      </c>
      <c r="X12" s="18" t="n">
        <v>425905</v>
      </c>
      <c r="Y12" s="18" t="n">
        <v>485334</v>
      </c>
      <c r="Z12" s="37" t="n">
        <v>485334</v>
      </c>
      <c r="AA12" s="18" t="n">
        <v>447490</v>
      </c>
      <c r="AB12" s="19" t="n">
        <v>429122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기타유동자산</t>
        </is>
      </c>
      <c r="E13" s="18" t="n">
        <v>482562.41</v>
      </c>
      <c r="F13" s="37" t="n">
        <v>482562.41</v>
      </c>
      <c r="G13" s="18" t="n">
        <v>565702.37</v>
      </c>
      <c r="H13" s="18" t="n">
        <v>691902.47</v>
      </c>
      <c r="I13" s="18" t="n">
        <v>640899.52</v>
      </c>
      <c r="J13" s="18" t="n">
        <v>596080.05</v>
      </c>
      <c r="K13" s="37" t="n">
        <v>596080.05</v>
      </c>
      <c r="L13" s="18" t="n">
        <v>587745.5600000001</v>
      </c>
      <c r="M13" s="18" t="n">
        <v>624744.3100000001</v>
      </c>
      <c r="N13" s="18" t="n">
        <v>585743.75</v>
      </c>
      <c r="O13" s="18" t="n">
        <v>533538.6899999999</v>
      </c>
      <c r="P13" s="37" t="n">
        <v>533538.6899999999</v>
      </c>
      <c r="Q13" s="18" t="n">
        <v>498249.17</v>
      </c>
      <c r="R13" s="18" t="n">
        <v>548427.23</v>
      </c>
      <c r="S13" s="18" t="n">
        <v>505566.08</v>
      </c>
      <c r="T13" s="18" t="n">
        <v>446076</v>
      </c>
      <c r="U13" s="37" t="n">
        <v>446076</v>
      </c>
      <c r="V13" s="18" t="n">
        <v>480267</v>
      </c>
      <c r="W13" s="18" t="n">
        <v>470065</v>
      </c>
      <c r="X13" s="18" t="n">
        <v>557517</v>
      </c>
      <c r="Y13" s="18" t="n">
        <v>601669</v>
      </c>
      <c r="Z13" s="37" t="n">
        <v>601669</v>
      </c>
      <c r="AA13" s="18" t="n">
        <v>583747</v>
      </c>
      <c r="AB13" s="19" t="n">
        <v>560660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단기대여금</t>
        </is>
      </c>
      <c r="E14" s="18" t="n">
        <v>146163.47</v>
      </c>
      <c r="F14" s="37" t="n">
        <v>146163.47</v>
      </c>
      <c r="G14" s="18" t="n">
        <v>348292.85</v>
      </c>
      <c r="H14" s="18" t="n">
        <v>354657.92</v>
      </c>
      <c r="I14" s="18" t="n">
        <v>369206.91</v>
      </c>
      <c r="J14" s="18" t="n">
        <v>377110.99</v>
      </c>
      <c r="K14" s="37" t="n">
        <v>377110.99</v>
      </c>
      <c r="L14" s="18" t="n">
        <v>393385.1</v>
      </c>
      <c r="M14" s="18" t="n">
        <v>153741.79</v>
      </c>
      <c r="N14" s="18" t="n">
        <v>212733.65</v>
      </c>
      <c r="O14" s="18" t="n">
        <v>94473.05</v>
      </c>
      <c r="P14" s="37" t="n">
        <v>94473.05</v>
      </c>
      <c r="Q14" s="18" t="n">
        <v>140760.97</v>
      </c>
      <c r="R14" s="18" t="n">
        <v>215279.55</v>
      </c>
      <c r="S14" s="18" t="n">
        <v>227057.49</v>
      </c>
      <c r="T14" s="18" t="n">
        <v>84362</v>
      </c>
      <c r="U14" s="37" t="n">
        <v>84362</v>
      </c>
      <c r="V14" s="18" t="n">
        <v>77247</v>
      </c>
      <c r="W14" s="18" t="n">
        <v>64534</v>
      </c>
      <c r="X14" s="18" t="n">
        <v>71564</v>
      </c>
      <c r="Y14" s="18" t="n">
        <v>12032</v>
      </c>
      <c r="Z14" s="37" t="n">
        <v>12032</v>
      </c>
      <c r="AA14" s="18" t="n">
        <v>30792</v>
      </c>
      <c r="AB14" s="19" t="n">
        <v>37673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유동확정계약자산</t>
        </is>
      </c>
      <c r="E15" s="18" t="n">
        <v>44744.32</v>
      </c>
      <c r="F15" s="37" t="n">
        <v>44744.32</v>
      </c>
      <c r="G15" s="18" t="n">
        <v>50041.16</v>
      </c>
      <c r="H15" s="18" t="n">
        <v>90525.14</v>
      </c>
      <c r="I15" s="18" t="n">
        <v>162434.73</v>
      </c>
      <c r="J15" s="18" t="n">
        <v>54927.58</v>
      </c>
      <c r="K15" s="37" t="n">
        <v>54927.58</v>
      </c>
      <c r="L15" s="18" t="n">
        <v>64955.48</v>
      </c>
      <c r="M15" s="18" t="n">
        <v>61877.81</v>
      </c>
      <c r="N15" s="18" t="n">
        <v>75526.50999999999</v>
      </c>
      <c r="O15" s="18" t="n">
        <v>37393.79</v>
      </c>
      <c r="P15" s="37" t="n">
        <v>37393.79</v>
      </c>
      <c r="Q15" s="18" t="n">
        <v>67902.64999999999</v>
      </c>
      <c r="R15" s="18" t="n">
        <v>85217.89</v>
      </c>
      <c r="S15" s="18" t="n">
        <v>48524</v>
      </c>
      <c r="T15" s="18" t="n">
        <v>114250</v>
      </c>
      <c r="U15" s="37" t="n">
        <v>114250</v>
      </c>
      <c r="V15" s="18" t="n">
        <v>108750</v>
      </c>
      <c r="W15" s="18" t="n">
        <v>37048</v>
      </c>
      <c r="X15" s="18" t="n">
        <v>53728</v>
      </c>
      <c r="Y15" s="18" t="n">
        <v>65857</v>
      </c>
      <c r="Z15" s="37" t="n">
        <v>65857</v>
      </c>
      <c r="AA15" s="18" t="n">
        <v>130695</v>
      </c>
      <c r="AB15" s="19" t="n">
        <v>178554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재고자산</t>
        </is>
      </c>
      <c r="E16" s="18" t="n">
        <v>361059.87</v>
      </c>
      <c r="F16" s="37" t="n">
        <v>361059.87</v>
      </c>
      <c r="G16" s="18" t="n">
        <v>336326.98</v>
      </c>
      <c r="H16" s="18" t="n">
        <v>278501.23</v>
      </c>
      <c r="I16" s="18" t="n">
        <v>298286.37</v>
      </c>
      <c r="J16" s="18" t="n">
        <v>326311.36</v>
      </c>
      <c r="K16" s="37" t="n">
        <v>326311.36</v>
      </c>
      <c r="L16" s="18" t="n">
        <v>327472.95</v>
      </c>
      <c r="M16" s="18" t="n">
        <v>325100.34</v>
      </c>
      <c r="N16" s="18" t="n">
        <v>303856.78</v>
      </c>
      <c r="O16" s="18" t="n">
        <v>290947.64</v>
      </c>
      <c r="P16" s="37" t="n">
        <v>290947.64</v>
      </c>
      <c r="Q16" s="18" t="n">
        <v>331144.94</v>
      </c>
      <c r="R16" s="18" t="n">
        <v>364262.25</v>
      </c>
      <c r="S16" s="18" t="n">
        <v>370871.45</v>
      </c>
      <c r="T16" s="18" t="n">
        <v>335840</v>
      </c>
      <c r="U16" s="37" t="n">
        <v>335840</v>
      </c>
      <c r="V16" s="18" t="n">
        <v>660725</v>
      </c>
      <c r="W16" s="18" t="n">
        <v>457186</v>
      </c>
      <c r="X16" s="18" t="n">
        <v>493306</v>
      </c>
      <c r="Y16" s="18" t="n">
        <v>429105</v>
      </c>
      <c r="Z16" s="37" t="n">
        <v>429105</v>
      </c>
      <c r="AA16" s="18" t="n">
        <v>514031</v>
      </c>
      <c r="AB16" s="19" t="n">
        <v>529928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매각예정비유동자산및처분자산</t>
        </is>
      </c>
      <c r="E17" s="18" t="n">
        <v>42569.44</v>
      </c>
      <c r="F17" s="37" t="n">
        <v>42569.44</v>
      </c>
      <c r="G17" s="18" t="n">
        <v>12169.44</v>
      </c>
      <c r="H17" s="18" t="n">
        <v>127245.5</v>
      </c>
      <c r="I17" s="18" t="n">
        <v>11545.16</v>
      </c>
      <c r="J17" s="18" t="n">
        <v>1967.25</v>
      </c>
      <c r="K17" s="37" t="n">
        <v>1967.25</v>
      </c>
      <c r="L17" s="18" t="n">
        <v>23642.86</v>
      </c>
      <c r="M17" s="18" t="n">
        <v>23642.86</v>
      </c>
      <c r="N17" s="18" t="n">
        <v>23642.86</v>
      </c>
      <c r="O17" s="18" t="n">
        <v>33587.41</v>
      </c>
      <c r="P17" s="37" t="n">
        <v>33587.41</v>
      </c>
      <c r="Q17" s="18" t="n">
        <v>8456.049999999999</v>
      </c>
      <c r="R17" s="18" t="n">
        <v>1505.81</v>
      </c>
      <c r="S17" s="18" t="n">
        <v>1505.81</v>
      </c>
      <c r="T17" s="18" t="n">
        <v>1506</v>
      </c>
      <c r="U17" s="37" t="n">
        <v>1506</v>
      </c>
      <c r="V17" s="18" t="n">
        <v>1291</v>
      </c>
      <c r="W17" s="18" t="n">
        <v>0</v>
      </c>
      <c r="X17" s="18" t="n">
        <v>203038</v>
      </c>
      <c r="Y17" s="18" t="n">
        <v>0</v>
      </c>
      <c r="Z17" s="37" t="n">
        <v>0</v>
      </c>
      <c r="AB17" s="5" t="n"/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비유동자산</t>
        </is>
      </c>
      <c r="E18" s="18" t="n">
        <v>10347891.47</v>
      </c>
      <c r="F18" s="37" t="n">
        <v>10347891.47</v>
      </c>
      <c r="G18" s="18" t="n">
        <v>10393593.52</v>
      </c>
      <c r="H18" s="18" t="n">
        <v>10192248.61</v>
      </c>
      <c r="I18" s="18" t="n">
        <v>10493475.59</v>
      </c>
      <c r="J18" s="18" t="n">
        <v>9651930.779999999</v>
      </c>
      <c r="K18" s="37" t="n">
        <v>9651930.779999999</v>
      </c>
      <c r="L18" s="18" t="n">
        <v>9838058.800000001</v>
      </c>
      <c r="M18" s="18" t="n">
        <v>9768162.68</v>
      </c>
      <c r="N18" s="18" t="n">
        <v>9766515.779999999</v>
      </c>
      <c r="O18" s="18" t="n">
        <v>9632747.09</v>
      </c>
      <c r="P18" s="37" t="n">
        <v>9632747.09</v>
      </c>
      <c r="Q18" s="18" t="n">
        <v>9711131.390000001</v>
      </c>
      <c r="R18" s="18" t="n">
        <v>9770506.52</v>
      </c>
      <c r="S18" s="18" t="n">
        <v>9777250.16</v>
      </c>
      <c r="T18" s="18" t="n">
        <v>9708503</v>
      </c>
      <c r="U18" s="37" t="n">
        <v>9708503</v>
      </c>
      <c r="V18" s="18" t="n">
        <v>9624371</v>
      </c>
      <c r="W18" s="18" t="n">
        <v>9799013</v>
      </c>
      <c r="X18" s="18" t="n">
        <v>9643867</v>
      </c>
      <c r="Y18" s="18" t="n">
        <v>9956057</v>
      </c>
      <c r="Z18" s="37" t="n">
        <v>9956057</v>
      </c>
      <c r="AA18" s="18" t="n">
        <v>9989650</v>
      </c>
      <c r="AB18" s="19" t="n">
        <v>10227684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장기금융자산</t>
        </is>
      </c>
      <c r="E19" s="18" t="n">
        <v>199368.29</v>
      </c>
      <c r="F19" s="37" t="n">
        <v>199368.29</v>
      </c>
      <c r="G19" s="18" t="n">
        <v>205019.86</v>
      </c>
      <c r="H19" s="18" t="n">
        <v>219017.65</v>
      </c>
      <c r="I19" s="18" t="n">
        <v>238082.12</v>
      </c>
      <c r="J19" s="18" t="n">
        <v>209318.25</v>
      </c>
      <c r="K19" s="37" t="n">
        <v>209318.25</v>
      </c>
      <c r="L19" s="18" t="n">
        <v>212123.57</v>
      </c>
      <c r="M19" s="18" t="n">
        <v>201299.88</v>
      </c>
      <c r="N19" s="18" t="n">
        <v>193491.94</v>
      </c>
      <c r="O19" s="18" t="n">
        <v>176082.93</v>
      </c>
      <c r="P19" s="37" t="n">
        <v>176082.93</v>
      </c>
      <c r="Q19" s="18" t="n">
        <v>188575.48</v>
      </c>
      <c r="R19" s="18" t="n">
        <v>227775.77</v>
      </c>
      <c r="S19" s="18" t="n">
        <v>218576.27</v>
      </c>
      <c r="T19" s="18" t="n">
        <v>301918</v>
      </c>
      <c r="U19" s="37" t="n">
        <v>301918</v>
      </c>
      <c r="V19" s="18" t="n">
        <v>321554</v>
      </c>
      <c r="W19" s="18" t="n">
        <v>447841</v>
      </c>
      <c r="X19" s="18" t="n">
        <v>474434</v>
      </c>
      <c r="Y19" s="18" t="n">
        <v>346555</v>
      </c>
      <c r="Z19" s="37" t="n">
        <v>346555</v>
      </c>
      <c r="AA19" s="18" t="n">
        <v>339668</v>
      </c>
      <c r="AB19" s="19" t="n">
        <v>354175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투자자산</t>
        </is>
      </c>
      <c r="E20" s="18" t="n">
        <v>5614808.3</v>
      </c>
      <c r="F20" s="37" t="n">
        <v>5614808.3</v>
      </c>
      <c r="G20" s="18" t="n">
        <v>5650814.13</v>
      </c>
      <c r="H20" s="18" t="n">
        <v>5460625.41</v>
      </c>
      <c r="I20" s="18" t="n">
        <v>5752141.49</v>
      </c>
      <c r="J20" s="18" t="n">
        <v>4788334.19</v>
      </c>
      <c r="K20" s="37" t="n">
        <v>4788334.19</v>
      </c>
      <c r="L20" s="18" t="n">
        <v>4994808.25</v>
      </c>
      <c r="M20" s="18" t="n">
        <v>5001156.88</v>
      </c>
      <c r="N20" s="18" t="n">
        <v>4963556.44</v>
      </c>
      <c r="O20" s="18" t="n">
        <v>4772350.28</v>
      </c>
      <c r="P20" s="37" t="n">
        <v>4772350.28</v>
      </c>
      <c r="Q20" s="18" t="n">
        <v>4843861.37</v>
      </c>
      <c r="R20" s="18" t="n">
        <v>4910078.79</v>
      </c>
      <c r="S20" s="18" t="n">
        <v>4923755.65</v>
      </c>
      <c r="T20" s="18" t="n">
        <v>4708227</v>
      </c>
      <c r="U20" s="37" t="n">
        <v>4708227</v>
      </c>
      <c r="V20" s="18" t="n">
        <v>4617892</v>
      </c>
      <c r="W20" s="18" t="n">
        <v>4791270</v>
      </c>
      <c r="X20" s="18" t="n">
        <v>4614472</v>
      </c>
      <c r="Y20" s="18" t="n">
        <v>4747740</v>
      </c>
      <c r="Z20" s="37" t="n">
        <v>4747740</v>
      </c>
      <c r="AA20" s="18" t="n">
        <v>4755685</v>
      </c>
      <c r="AB20" s="19" t="n">
        <v>4972683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종속기업및관계기업투자</t>
        </is>
      </c>
      <c r="E21" s="18" t="n">
        <v>5349988.2</v>
      </c>
      <c r="F21" s="37" t="n">
        <v>5349988.2</v>
      </c>
      <c r="G21" s="18" t="n">
        <v>5374338.8</v>
      </c>
      <c r="H21" s="18" t="n">
        <v>5126704.28</v>
      </c>
      <c r="I21" s="18" t="n">
        <v>5343994.62</v>
      </c>
      <c r="J21" s="18" t="n">
        <v>4499041.75</v>
      </c>
      <c r="K21" s="37" t="n">
        <v>4499041.75</v>
      </c>
      <c r="L21" s="18" t="n">
        <v>4545014.92</v>
      </c>
      <c r="M21" s="18" t="n">
        <v>4561072.97</v>
      </c>
      <c r="N21" s="18" t="n">
        <v>4525296.42</v>
      </c>
      <c r="O21" s="18" t="n">
        <v>4302259.36</v>
      </c>
      <c r="P21" s="37" t="n">
        <v>4302259.36</v>
      </c>
      <c r="Q21" s="18" t="n">
        <v>4335337.61</v>
      </c>
      <c r="R21" s="18" t="n">
        <v>4346737.61</v>
      </c>
      <c r="S21" s="18" t="n">
        <v>4347997.61</v>
      </c>
      <c r="T21" s="18" t="n">
        <v>4071935</v>
      </c>
      <c r="U21" s="37" t="n">
        <v>4071935</v>
      </c>
      <c r="V21" s="18" t="n">
        <v>4072795</v>
      </c>
      <c r="W21" s="18" t="n">
        <v>4074435</v>
      </c>
      <c r="X21" s="18" t="n">
        <v>3869105</v>
      </c>
      <c r="Y21" s="18" t="n">
        <v>4216247</v>
      </c>
      <c r="Z21" s="37" t="n">
        <v>4216247</v>
      </c>
      <c r="AA21" s="18" t="n">
        <v>4218027</v>
      </c>
      <c r="AB21" s="19" t="n">
        <v>4221287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장기대여금</t>
        </is>
      </c>
      <c r="E22" s="18" t="n">
        <v>44758.9</v>
      </c>
      <c r="F22" s="37" t="n">
        <v>44758.9</v>
      </c>
      <c r="G22" s="18" t="n">
        <v>46249.15</v>
      </c>
      <c r="H22" s="18" t="n">
        <v>51733.54</v>
      </c>
      <c r="I22" s="18" t="n">
        <v>51678.33</v>
      </c>
      <c r="J22" s="18" t="n">
        <v>39434.96</v>
      </c>
      <c r="K22" s="37" t="n">
        <v>39434.96</v>
      </c>
      <c r="L22" s="18" t="n">
        <v>191785.65</v>
      </c>
      <c r="M22" s="18" t="n">
        <v>196107.76</v>
      </c>
      <c r="N22" s="18" t="n">
        <v>198266.57</v>
      </c>
      <c r="O22" s="18" t="n">
        <v>268159.19</v>
      </c>
      <c r="P22" s="37" t="n">
        <v>268159.19</v>
      </c>
      <c r="Q22" s="18" t="n">
        <v>299397.97</v>
      </c>
      <c r="R22" s="18" t="n">
        <v>308634.46</v>
      </c>
      <c r="S22" s="18" t="n">
        <v>347565.01</v>
      </c>
      <c r="T22" s="18" t="n">
        <v>320837</v>
      </c>
      <c r="U22" s="37" t="n">
        <v>320837</v>
      </c>
      <c r="V22" s="18" t="n">
        <v>212564</v>
      </c>
      <c r="W22" s="18" t="n">
        <v>239943</v>
      </c>
      <c r="X22" s="18" t="n">
        <v>226012</v>
      </c>
      <c r="Y22" s="18" t="n">
        <v>122285</v>
      </c>
      <c r="Z22" s="37" t="n">
        <v>122285</v>
      </c>
      <c r="AA22" s="18" t="n">
        <v>106144</v>
      </c>
      <c r="AB22" s="19" t="n">
        <v>158815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유형자산</t>
        </is>
      </c>
      <c r="E23" s="18" t="n">
        <v>3309494.89</v>
      </c>
      <c r="F23" s="37" t="n">
        <v>3309494.89</v>
      </c>
      <c r="G23" s="18" t="n">
        <v>3287673.22</v>
      </c>
      <c r="H23" s="18" t="n">
        <v>3272493.02</v>
      </c>
      <c r="I23" s="18" t="n">
        <v>3258987.24</v>
      </c>
      <c r="J23" s="18" t="n">
        <v>3152146.63</v>
      </c>
      <c r="K23" s="37" t="n">
        <v>3152146.63</v>
      </c>
      <c r="L23" s="18" t="n">
        <v>3148703.86</v>
      </c>
      <c r="M23" s="18" t="n">
        <v>3141078.21</v>
      </c>
      <c r="N23" s="18" t="n">
        <v>3131315.65</v>
      </c>
      <c r="O23" s="18" t="n">
        <v>3151464.89</v>
      </c>
      <c r="P23" s="37" t="n">
        <v>3151464.89</v>
      </c>
      <c r="Q23" s="18" t="n">
        <v>3140276.48</v>
      </c>
      <c r="R23" s="18" t="n">
        <v>3135273.94</v>
      </c>
      <c r="S23" s="18" t="n">
        <v>3139029.84</v>
      </c>
      <c r="T23" s="18" t="n">
        <v>3152671</v>
      </c>
      <c r="U23" s="37" t="n">
        <v>3152671</v>
      </c>
      <c r="V23" s="18" t="n">
        <v>3138421</v>
      </c>
      <c r="W23" s="18" t="n">
        <v>3135148</v>
      </c>
      <c r="X23" s="18" t="n">
        <v>3145939</v>
      </c>
      <c r="Y23" s="18" t="n">
        <v>3171422</v>
      </c>
      <c r="Z23" s="37" t="n">
        <v>3171422</v>
      </c>
      <c r="AA23" s="18" t="n">
        <v>3211132</v>
      </c>
      <c r="AB23" s="19" t="n">
        <v>3226375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무형자산</t>
        </is>
      </c>
      <c r="E24" s="18" t="n">
        <v>974589.54</v>
      </c>
      <c r="F24" s="37" t="n">
        <v>974589.54</v>
      </c>
      <c r="G24" s="18" t="n">
        <v>992294.4300000001</v>
      </c>
      <c r="H24" s="18" t="n">
        <v>1013556.26</v>
      </c>
      <c r="I24" s="18" t="n">
        <v>1029539.21</v>
      </c>
      <c r="J24" s="18" t="n">
        <v>1002660.78</v>
      </c>
      <c r="K24" s="37" t="n">
        <v>1002660.78</v>
      </c>
      <c r="L24" s="18" t="n">
        <v>1024189.83</v>
      </c>
      <c r="M24" s="18" t="n">
        <v>1055101.69</v>
      </c>
      <c r="N24" s="18" t="n">
        <v>1086660.03</v>
      </c>
      <c r="O24" s="18" t="n">
        <v>1113633.69</v>
      </c>
      <c r="P24" s="37" t="n">
        <v>1113633.69</v>
      </c>
      <c r="Q24" s="18" t="n">
        <v>1135970.51</v>
      </c>
      <c r="R24" s="18" t="n">
        <v>1158327.31</v>
      </c>
      <c r="S24" s="18" t="n">
        <v>1169356.72</v>
      </c>
      <c r="T24" s="18" t="n">
        <v>1214831</v>
      </c>
      <c r="U24" s="37" t="n">
        <v>1214831</v>
      </c>
      <c r="V24" s="18" t="n">
        <v>1235632</v>
      </c>
      <c r="W24" s="18" t="n">
        <v>1262229</v>
      </c>
      <c r="X24" s="18" t="n">
        <v>1275193</v>
      </c>
      <c r="Y24" s="18" t="n">
        <v>1287875</v>
      </c>
      <c r="Z24" s="37" t="n">
        <v>1287875</v>
      </c>
      <c r="AA24" s="18" t="n">
        <v>1292723</v>
      </c>
      <c r="AB24" s="19" t="n">
        <v>1302982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투자부동산</t>
        </is>
      </c>
      <c r="E25" s="18" t="n">
        <v>79533.75999999999</v>
      </c>
      <c r="F25" s="37" t="n">
        <v>79533.75999999999</v>
      </c>
      <c r="G25" s="18" t="n">
        <v>79113.72</v>
      </c>
      <c r="H25" s="18" t="n">
        <v>78150.69</v>
      </c>
      <c r="I25" s="18" t="n">
        <v>86455.41</v>
      </c>
      <c r="J25" s="18" t="n">
        <v>159698.02</v>
      </c>
      <c r="K25" s="37" t="n">
        <v>159698.02</v>
      </c>
      <c r="L25" s="18" t="n">
        <v>136652.59</v>
      </c>
      <c r="M25" s="18" t="n">
        <v>135289.01</v>
      </c>
      <c r="N25" s="18" t="n">
        <v>133894.23</v>
      </c>
      <c r="O25" s="18" t="n">
        <v>93373.2</v>
      </c>
      <c r="P25" s="37" t="n">
        <v>93373.2</v>
      </c>
      <c r="Q25" s="18" t="n">
        <v>94091.78</v>
      </c>
      <c r="R25" s="18" t="n">
        <v>92634.99000000001</v>
      </c>
      <c r="S25" s="18" t="n">
        <v>91162.37</v>
      </c>
      <c r="T25" s="18" t="n">
        <v>113710</v>
      </c>
      <c r="U25" s="37" t="n">
        <v>113710</v>
      </c>
      <c r="V25" s="18" t="n">
        <v>112269</v>
      </c>
      <c r="W25" s="18" t="n">
        <v>110812</v>
      </c>
      <c r="X25" s="18" t="n">
        <v>109340</v>
      </c>
      <c r="Y25" s="18" t="n">
        <v>104282</v>
      </c>
      <c r="Z25" s="37" t="n">
        <v>104282</v>
      </c>
      <c r="AA25" s="18" t="n">
        <v>103017</v>
      </c>
      <c r="AB25" s="19" t="n">
        <v>97230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비유동확정계약자산</t>
        </is>
      </c>
      <c r="E26" s="18" t="n">
        <v>20692.91</v>
      </c>
      <c r="F26" s="37" t="n">
        <v>20692.91</v>
      </c>
      <c r="G26" s="18" t="n">
        <v>25206.32</v>
      </c>
      <c r="H26" s="18" t="n">
        <v>63169.94</v>
      </c>
      <c r="I26" s="18" t="n">
        <v>118386.42</v>
      </c>
      <c r="J26" s="18" t="n">
        <v>40539.23</v>
      </c>
      <c r="K26" s="37" t="n">
        <v>40539.23</v>
      </c>
      <c r="L26" s="18" t="n">
        <v>45884.11</v>
      </c>
      <c r="M26" s="18" t="n">
        <v>42676.27</v>
      </c>
      <c r="N26" s="18" t="n">
        <v>46501.51</v>
      </c>
      <c r="O26" s="18" t="n">
        <v>25848.8</v>
      </c>
      <c r="P26" s="37" t="n">
        <v>25848.8</v>
      </c>
      <c r="Q26" s="18" t="n">
        <v>20550.31</v>
      </c>
      <c r="R26" s="18" t="n">
        <v>26930.95</v>
      </c>
      <c r="S26" s="18" t="n">
        <v>9616.76</v>
      </c>
      <c r="T26" s="18" t="n">
        <v>13537</v>
      </c>
      <c r="U26" s="37" t="n">
        <v>13537</v>
      </c>
      <c r="V26" s="18" t="n">
        <v>10979</v>
      </c>
      <c r="W26" s="18" t="n">
        <v>29051</v>
      </c>
      <c r="X26" s="18" t="n">
        <v>44921</v>
      </c>
      <c r="Y26" s="18" t="n">
        <v>62653</v>
      </c>
      <c r="Z26" s="37" t="n">
        <v>62653</v>
      </c>
      <c r="AA26" s="18" t="n">
        <v>91846</v>
      </c>
      <c r="AB26" s="19" t="n">
        <v>238406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이연법인세자산</t>
        </is>
      </c>
      <c r="E27" s="18" t="n">
        <v>180001.25</v>
      </c>
      <c r="F27" s="37" t="n">
        <v>180001.25</v>
      </c>
      <c r="G27" s="18" t="n">
        <v>180001.25</v>
      </c>
      <c r="H27" s="18" t="n">
        <v>180001.25</v>
      </c>
      <c r="I27" s="18" t="n">
        <v>180001.25</v>
      </c>
      <c r="J27" s="18" t="n">
        <v>345731.25</v>
      </c>
      <c r="K27" s="37" t="n">
        <v>345731.25</v>
      </c>
      <c r="L27" s="18" t="n">
        <v>345731.25</v>
      </c>
      <c r="M27" s="18" t="n">
        <v>345731.25</v>
      </c>
      <c r="N27" s="18" t="n">
        <v>345731.25</v>
      </c>
      <c r="O27" s="18" t="n">
        <v>427399.45</v>
      </c>
      <c r="P27" s="37" t="n">
        <v>427399.45</v>
      </c>
      <c r="Q27" s="18" t="n">
        <v>416544.7</v>
      </c>
      <c r="R27" s="18" t="n">
        <v>405715.93</v>
      </c>
      <c r="S27" s="18" t="n">
        <v>385598.09</v>
      </c>
      <c r="T27" s="18" t="n">
        <v>448269</v>
      </c>
      <c r="U27" s="37" t="n">
        <v>448269</v>
      </c>
      <c r="V27" s="18" t="n">
        <v>448269</v>
      </c>
      <c r="W27" s="18" t="n">
        <v>408192</v>
      </c>
      <c r="X27" s="18" t="n">
        <v>424011</v>
      </c>
      <c r="Y27" s="18" t="n">
        <v>547449</v>
      </c>
      <c r="Z27" s="37" t="n">
        <v>547449</v>
      </c>
      <c r="AA27" s="18" t="n">
        <v>533814</v>
      </c>
      <c r="AB27" s="19" t="n">
        <v>514926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기타비유동자산</t>
        </is>
      </c>
      <c r="E28" s="18" t="n">
        <v>78983.60000000001</v>
      </c>
      <c r="F28" s="37" t="n">
        <v>78983.60000000001</v>
      </c>
      <c r="G28" s="18" t="n">
        <v>88828.19</v>
      </c>
      <c r="H28" s="18" t="n">
        <v>39441.36</v>
      </c>
      <c r="I28" s="18" t="n">
        <v>43547.84</v>
      </c>
      <c r="J28" s="18" t="n">
        <v>36690.65</v>
      </c>
      <c r="K28" s="37" t="n">
        <v>36690.65</v>
      </c>
      <c r="L28" s="18" t="n">
        <v>34045.87</v>
      </c>
      <c r="M28" s="18" t="n">
        <v>39404.31</v>
      </c>
      <c r="N28" s="18" t="n">
        <v>43824.72</v>
      </c>
      <c r="O28" s="18" t="n">
        <v>47239.1</v>
      </c>
      <c r="P28" s="37" t="n">
        <v>47239.1</v>
      </c>
      <c r="Q28" s="18" t="n">
        <v>48490.68</v>
      </c>
      <c r="R28" s="18" t="n">
        <v>54105.63</v>
      </c>
      <c r="S28" s="18" t="n">
        <v>53132.36</v>
      </c>
      <c r="T28" s="18" t="n">
        <v>45985</v>
      </c>
      <c r="U28" s="37" t="n">
        <v>45985</v>
      </c>
      <c r="V28" s="18" t="n">
        <v>39617</v>
      </c>
      <c r="W28" s="18" t="n">
        <v>40712</v>
      </c>
      <c r="X28" s="18" t="n">
        <v>41625</v>
      </c>
      <c r="Y28" s="18" t="n">
        <v>40014</v>
      </c>
      <c r="Z28" s="37" t="n">
        <v>40014</v>
      </c>
      <c r="AA28" s="18" t="n">
        <v>46227</v>
      </c>
      <c r="AB28" s="19" t="n">
        <v>63064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자산총계</t>
        </is>
      </c>
      <c r="E29" s="18" t="n">
        <v>14031871.12</v>
      </c>
      <c r="F29" s="37" t="n">
        <v>14031871.12</v>
      </c>
      <c r="G29" s="18" t="n">
        <v>14125015</v>
      </c>
      <c r="H29" s="18" t="n">
        <v>14217203.81</v>
      </c>
      <c r="I29" s="18" t="n">
        <v>14648601.16</v>
      </c>
      <c r="J29" s="18" t="n">
        <v>13189540.46</v>
      </c>
      <c r="K29" s="37" t="n">
        <v>13189540.46</v>
      </c>
      <c r="L29" s="18" t="n">
        <v>13461725.49</v>
      </c>
      <c r="M29" s="18" t="n">
        <v>14145944.11</v>
      </c>
      <c r="N29" s="18" t="n">
        <v>13800866.3</v>
      </c>
      <c r="O29" s="18" t="n">
        <v>13684508.99</v>
      </c>
      <c r="P29" s="37" t="n">
        <v>13684508.99</v>
      </c>
      <c r="Q29" s="18" t="n">
        <v>13897429.1</v>
      </c>
      <c r="R29" s="18" t="n">
        <v>13794798.39</v>
      </c>
      <c r="S29" s="18" t="n">
        <v>13739023.66</v>
      </c>
      <c r="T29" s="18" t="n">
        <v>13756874</v>
      </c>
      <c r="U29" s="37" t="n">
        <v>13756874</v>
      </c>
      <c r="V29" s="18" t="n">
        <v>13930455</v>
      </c>
      <c r="W29" s="18" t="n">
        <v>13953271</v>
      </c>
      <c r="X29" s="18" t="n">
        <v>14226374</v>
      </c>
      <c r="Y29" s="18" t="n">
        <v>14866375</v>
      </c>
      <c r="Z29" s="37" t="n">
        <v>14866375</v>
      </c>
      <c r="AA29" s="18" t="n">
        <v>15136392</v>
      </c>
      <c r="AB29" s="19" t="n">
        <v>15770709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유동부채</t>
        </is>
      </c>
      <c r="E30" s="18" t="n">
        <v>7143995.57</v>
      </c>
      <c r="F30" s="37" t="n">
        <v>7143995.57</v>
      </c>
      <c r="G30" s="18" t="n">
        <v>5316506.01</v>
      </c>
      <c r="H30" s="18" t="n">
        <v>5251515.1</v>
      </c>
      <c r="I30" s="18" t="n">
        <v>5924784.8</v>
      </c>
      <c r="J30" s="18" t="n">
        <v>5059304.93</v>
      </c>
      <c r="K30" s="37" t="n">
        <v>5059304.93</v>
      </c>
      <c r="L30" s="18" t="n">
        <v>5508610.71</v>
      </c>
      <c r="M30" s="18" t="n">
        <v>6336493.85</v>
      </c>
      <c r="N30" s="18" t="n">
        <v>5855819.37</v>
      </c>
      <c r="O30" s="18" t="n">
        <v>6317892.58</v>
      </c>
      <c r="P30" s="37" t="n">
        <v>6317892.58</v>
      </c>
      <c r="Q30" s="18" t="n">
        <v>5999839.4</v>
      </c>
      <c r="R30" s="18" t="n">
        <v>5798918.86</v>
      </c>
      <c r="S30" s="18" t="n">
        <v>5586639.95</v>
      </c>
      <c r="T30" s="18" t="n">
        <v>5687590</v>
      </c>
      <c r="U30" s="37" t="n">
        <v>5687590</v>
      </c>
      <c r="V30" s="18" t="n">
        <v>5817113</v>
      </c>
      <c r="W30" s="18" t="n">
        <v>5303394</v>
      </c>
      <c r="X30" s="18" t="n">
        <v>5924505</v>
      </c>
      <c r="Y30" s="18" t="n">
        <v>6393638</v>
      </c>
      <c r="Z30" s="37" t="n">
        <v>6393638</v>
      </c>
      <c r="AA30" s="18" t="n">
        <v>6967862</v>
      </c>
      <c r="AB30" s="19" t="n">
        <v>7566321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매입채무및기타채무</t>
        </is>
      </c>
      <c r="E31" s="18" t="n">
        <v>1351223.17</v>
      </c>
      <c r="F31" s="37" t="n">
        <v>1351223.17</v>
      </c>
      <c r="G31" s="18" t="n">
        <v>1315615.27</v>
      </c>
      <c r="H31" s="18" t="n">
        <v>1272952.58</v>
      </c>
      <c r="I31" s="18" t="n">
        <v>1242694.98</v>
      </c>
      <c r="J31" s="18" t="n">
        <v>1382629.15</v>
      </c>
      <c r="K31" s="37" t="n">
        <v>1382629.15</v>
      </c>
      <c r="L31" s="18" t="n">
        <v>1334218.4</v>
      </c>
      <c r="M31" s="18" t="n">
        <v>1335747.07</v>
      </c>
      <c r="N31" s="18" t="n">
        <v>1334910.93</v>
      </c>
      <c r="O31" s="18" t="n">
        <v>1789505.24</v>
      </c>
      <c r="P31" s="37" t="n">
        <v>1789505.24</v>
      </c>
      <c r="Q31" s="18" t="n">
        <v>1606666.82</v>
      </c>
      <c r="R31" s="18" t="n">
        <v>1507015.64</v>
      </c>
      <c r="S31" s="18" t="n">
        <v>1212942.3</v>
      </c>
      <c r="T31" s="18" t="n">
        <v>1682722</v>
      </c>
      <c r="U31" s="37" t="n">
        <v>1682722</v>
      </c>
      <c r="V31" s="18" t="n">
        <v>1596253</v>
      </c>
      <c r="W31" s="18" t="n">
        <v>1670062</v>
      </c>
      <c r="X31" s="18" t="n">
        <v>1569123</v>
      </c>
      <c r="Y31" s="18" t="n">
        <v>2317741</v>
      </c>
      <c r="Z31" s="37" t="n">
        <v>2317741</v>
      </c>
      <c r="AA31" s="18" t="n">
        <v>1809211</v>
      </c>
      <c r="AB31" s="19" t="n">
        <v>2022196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단기차입금</t>
        </is>
      </c>
      <c r="E32" s="18" t="n">
        <v>3279422.51</v>
      </c>
      <c r="F32" s="37" t="n">
        <v>3279422.51</v>
      </c>
      <c r="G32" s="18" t="n">
        <v>1502490.44</v>
      </c>
      <c r="H32" s="18" t="n">
        <v>1447789.59</v>
      </c>
      <c r="I32" s="18" t="n">
        <v>1401804.02</v>
      </c>
      <c r="J32" s="18" t="n">
        <v>1249782.17</v>
      </c>
      <c r="K32" s="37" t="n">
        <v>1249782.17</v>
      </c>
      <c r="L32" s="18" t="n">
        <v>1164408.24</v>
      </c>
      <c r="M32" s="18" t="n">
        <v>1022481.88</v>
      </c>
      <c r="N32" s="18" t="n">
        <v>997904.08</v>
      </c>
      <c r="O32" s="18" t="n">
        <v>967833.84</v>
      </c>
      <c r="P32" s="37" t="n">
        <v>967833.84</v>
      </c>
      <c r="Q32" s="18" t="n">
        <v>1237967.14</v>
      </c>
      <c r="R32" s="18" t="n">
        <v>1447536.56</v>
      </c>
      <c r="S32" s="18" t="n">
        <v>1918667.56</v>
      </c>
      <c r="T32" s="18" t="n">
        <v>1809642</v>
      </c>
      <c r="U32" s="37" t="n">
        <v>1809642</v>
      </c>
      <c r="V32" s="18" t="n">
        <v>2139414</v>
      </c>
      <c r="W32" s="18" t="n">
        <v>1952123</v>
      </c>
      <c r="X32" s="18" t="n">
        <v>2187388</v>
      </c>
      <c r="Y32" s="18" t="n">
        <v>1612053</v>
      </c>
      <c r="Z32" s="37" t="n">
        <v>1612053</v>
      </c>
      <c r="AA32" s="18" t="n">
        <v>2082366</v>
      </c>
      <c r="AB32" s="19" t="n">
        <v>2395004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선수금</t>
        </is>
      </c>
      <c r="E33" s="18" t="n">
        <v>37311.94</v>
      </c>
      <c r="F33" s="37" t="n">
        <v>37311.94</v>
      </c>
      <c r="G33" s="18" t="n">
        <v>58614.54</v>
      </c>
      <c r="H33" s="18" t="n">
        <v>30309.38</v>
      </c>
      <c r="I33" s="18" t="n">
        <v>26527.64</v>
      </c>
      <c r="J33" s="18" t="n">
        <v>24949.33</v>
      </c>
      <c r="K33" s="37" t="n">
        <v>24949.33</v>
      </c>
      <c r="L33" s="18" t="n">
        <v>25792.36</v>
      </c>
      <c r="M33" s="18" t="n">
        <v>28028.41</v>
      </c>
      <c r="N33" s="18" t="n">
        <v>28591.18</v>
      </c>
      <c r="O33" s="18" t="n">
        <v>24462.43</v>
      </c>
      <c r="P33" s="37" t="n">
        <v>24462.43</v>
      </c>
      <c r="Q33" s="18" t="n">
        <v>21855.5</v>
      </c>
      <c r="R33" s="18" t="n">
        <v>18845.75</v>
      </c>
      <c r="S33" s="18" t="n">
        <v>6809.62</v>
      </c>
      <c r="T33" s="18" t="n">
        <v>6025</v>
      </c>
      <c r="U33" s="37" t="n">
        <v>6025</v>
      </c>
      <c r="V33" s="18" t="n">
        <v>9169</v>
      </c>
      <c r="W33" s="18" t="n">
        <v>12702</v>
      </c>
      <c r="X33" s="18" t="n">
        <v>40300</v>
      </c>
      <c r="Y33" s="18" t="n">
        <v>6071</v>
      </c>
      <c r="Z33" s="37" t="n">
        <v>6071</v>
      </c>
      <c r="AA33" s="18" t="n">
        <v>8190</v>
      </c>
      <c r="AB33" s="19" t="n">
        <v>14290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기타유동부채</t>
        </is>
      </c>
      <c r="E34" s="18" t="n">
        <v>42286.07</v>
      </c>
      <c r="F34" s="37" t="n">
        <v>42286.07</v>
      </c>
      <c r="G34" s="18" t="n">
        <v>60075.86</v>
      </c>
      <c r="H34" s="18" t="n">
        <v>31382.44</v>
      </c>
      <c r="I34" s="18" t="n">
        <v>26985.03</v>
      </c>
      <c r="J34" s="18" t="n">
        <v>25129.82</v>
      </c>
      <c r="K34" s="37" t="n">
        <v>25129.82</v>
      </c>
      <c r="L34" s="18" t="n">
        <v>26358.91</v>
      </c>
      <c r="M34" s="18" t="n">
        <v>28659.15</v>
      </c>
      <c r="N34" s="18" t="n">
        <v>28756.31</v>
      </c>
      <c r="O34" s="18" t="n">
        <v>25582.8</v>
      </c>
      <c r="P34" s="37" t="n">
        <v>25582.8</v>
      </c>
      <c r="Q34" s="18" t="n">
        <v>22074.73</v>
      </c>
      <c r="R34" s="18" t="n">
        <v>19101.89</v>
      </c>
      <c r="S34" s="18" t="n">
        <v>7626.25</v>
      </c>
      <c r="T34" s="18" t="n">
        <v>44373</v>
      </c>
      <c r="U34" s="37" t="n">
        <v>44373</v>
      </c>
      <c r="V34" s="18" t="n">
        <v>13704</v>
      </c>
      <c r="W34" s="18" t="n">
        <v>16620</v>
      </c>
      <c r="X34" s="18" t="n">
        <v>44737</v>
      </c>
      <c r="Y34" s="18" t="n">
        <v>21695</v>
      </c>
      <c r="Z34" s="37" t="n">
        <v>21695</v>
      </c>
      <c r="AA34" s="18" t="n">
        <v>23475</v>
      </c>
      <c r="AB34" s="19" t="n">
        <v>33189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계약부채</t>
        </is>
      </c>
      <c r="E35" s="18" t="n">
        <v>1155525.09</v>
      </c>
      <c r="F35" s="37" t="n">
        <v>1155525.09</v>
      </c>
      <c r="G35" s="18" t="n">
        <v>1353129.11</v>
      </c>
      <c r="H35" s="18" t="n">
        <v>1501367.45</v>
      </c>
      <c r="I35" s="18" t="n">
        <v>1674446.99</v>
      </c>
      <c r="J35" s="18" t="n">
        <v>1461400.38</v>
      </c>
      <c r="K35" s="37" t="n">
        <v>1461400.38</v>
      </c>
      <c r="L35" s="18" t="n">
        <v>1589997.35</v>
      </c>
      <c r="M35" s="18" t="n">
        <v>2301967.63</v>
      </c>
      <c r="N35" s="18" t="n">
        <v>2103563.37</v>
      </c>
      <c r="O35" s="18" t="n">
        <v>1916938.87</v>
      </c>
      <c r="P35" s="37" t="n">
        <v>1916938.87</v>
      </c>
      <c r="Q35" s="18" t="n">
        <v>2213884</v>
      </c>
      <c r="R35" s="18" t="n">
        <v>1903318.28</v>
      </c>
      <c r="S35" s="18" t="n">
        <v>1761956.99</v>
      </c>
      <c r="T35" s="18" t="n">
        <v>1605684</v>
      </c>
      <c r="U35" s="37" t="n">
        <v>1605684</v>
      </c>
      <c r="V35" s="18" t="n">
        <v>1613565</v>
      </c>
      <c r="W35" s="18" t="n">
        <v>1347601</v>
      </c>
      <c r="X35" s="18" t="n">
        <v>1308791</v>
      </c>
      <c r="Y35" s="18" t="n">
        <v>1430251</v>
      </c>
      <c r="Z35" s="37" t="n">
        <v>1430251</v>
      </c>
      <c r="AA35" s="18" t="n">
        <v>1552371</v>
      </c>
      <c r="AB35" s="19" t="n">
        <v>1568837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유동성장기부채</t>
        </is>
      </c>
      <c r="E36" s="18" t="n">
        <v>899500.41</v>
      </c>
      <c r="F36" s="37" t="n">
        <v>899500.41</v>
      </c>
      <c r="G36" s="18" t="n">
        <v>672291.5600000001</v>
      </c>
      <c r="H36" s="18" t="n">
        <v>586147.99</v>
      </c>
      <c r="I36" s="18" t="n">
        <v>1055267.02</v>
      </c>
      <c r="J36" s="18" t="n">
        <v>641666.91</v>
      </c>
      <c r="K36" s="37" t="n">
        <v>641666.91</v>
      </c>
      <c r="L36" s="18" t="n">
        <v>1113477.87</v>
      </c>
      <c r="M36" s="18" t="n">
        <v>1369171.14</v>
      </c>
      <c r="N36" s="18" t="n">
        <v>1104494.65</v>
      </c>
      <c r="O36" s="18" t="n">
        <v>1403847.4</v>
      </c>
      <c r="P36" s="37" t="n">
        <v>1403847.4</v>
      </c>
      <c r="Q36" s="18" t="n">
        <v>703673.73</v>
      </c>
      <c r="R36" s="18" t="n">
        <v>684076.67</v>
      </c>
      <c r="S36" s="18" t="n">
        <v>521799.68</v>
      </c>
      <c r="T36" s="18" t="n">
        <v>222000</v>
      </c>
      <c r="U36" s="37" t="n">
        <v>222000</v>
      </c>
      <c r="V36" s="18" t="n">
        <v>223000</v>
      </c>
      <c r="W36" s="18" t="n">
        <v>158000</v>
      </c>
      <c r="X36" s="18" t="n">
        <v>661660</v>
      </c>
      <c r="Y36" s="18" t="n">
        <v>721470</v>
      </c>
      <c r="Z36" s="37" t="n">
        <v>721470</v>
      </c>
      <c r="AA36" s="18" t="n">
        <v>1239020</v>
      </c>
      <c r="AB36" s="19" t="n">
        <v>1273450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유동리스부채</t>
        </is>
      </c>
      <c r="E37" s="18" t="n">
        <v>26140.81</v>
      </c>
      <c r="F37" s="37" t="n">
        <v>26140.81</v>
      </c>
      <c r="G37" s="18" t="n">
        <v>26949.05</v>
      </c>
      <c r="J37" s="18" t="n">
        <v>29843.9</v>
      </c>
      <c r="K37" s="37" t="n">
        <v>29843.9</v>
      </c>
      <c r="L37" s="18" t="n">
        <v>29268.62</v>
      </c>
      <c r="M37" s="18" t="n">
        <v>27258.28</v>
      </c>
      <c r="O37" s="18" t="n">
        <v>26198.91</v>
      </c>
      <c r="P37" s="37" t="n">
        <v>26198.91</v>
      </c>
      <c r="Q37" s="18" t="n">
        <v>33867.26</v>
      </c>
      <c r="R37" s="18" t="n">
        <v>34046.18</v>
      </c>
      <c r="U37" s="9" t="n"/>
      <c r="Z37" s="9" t="n"/>
      <c r="AB37" s="5" t="n"/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리스부채</t>
        </is>
      </c>
      <c r="E38" s="18" t="n">
        <v>183629.45</v>
      </c>
      <c r="F38" s="37" t="n">
        <v>183629.45</v>
      </c>
      <c r="G38" s="18" t="n">
        <v>180297.89</v>
      </c>
      <c r="H38" s="18" t="n">
        <v>152199.19</v>
      </c>
      <c r="I38" s="18" t="n">
        <v>147410.71</v>
      </c>
      <c r="J38" s="18" t="n">
        <v>172304.34</v>
      </c>
      <c r="K38" s="37" t="n">
        <v>172304.34</v>
      </c>
      <c r="L38" s="18" t="n">
        <v>168751.41</v>
      </c>
      <c r="M38" s="18" t="n">
        <v>162200.93</v>
      </c>
      <c r="N38" s="18" t="n">
        <v>130592.16</v>
      </c>
      <c r="O38" s="18" t="n">
        <v>155411.79</v>
      </c>
      <c r="P38" s="37" t="n">
        <v>155411.79</v>
      </c>
      <c r="Q38" s="18" t="n">
        <v>157127.98</v>
      </c>
      <c r="R38" s="18" t="n">
        <v>153580.31</v>
      </c>
      <c r="S38" s="18" t="n">
        <v>114815.78</v>
      </c>
      <c r="T38" s="18" t="n">
        <v>116086</v>
      </c>
      <c r="U38" s="37" t="n">
        <v>116086</v>
      </c>
      <c r="V38" s="18" t="n">
        <v>110908</v>
      </c>
      <c r="W38" s="18" t="n">
        <v>107323</v>
      </c>
      <c r="X38" s="18" t="n">
        <v>105084</v>
      </c>
      <c r="Y38" s="18" t="n">
        <v>94869</v>
      </c>
      <c r="Z38" s="37" t="n">
        <v>94869</v>
      </c>
      <c r="AA38" s="18" t="n">
        <v>124718</v>
      </c>
      <c r="AB38" s="19" t="n">
        <v>123839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단기금융부채</t>
        </is>
      </c>
      <c r="E39" s="18" t="n">
        <v>35276.16</v>
      </c>
      <c r="F39" s="37" t="n">
        <v>35276.16</v>
      </c>
      <c r="G39" s="18" t="n">
        <v>34101.89</v>
      </c>
      <c r="H39" s="18" t="n">
        <v>7777.93</v>
      </c>
      <c r="I39" s="18" t="n">
        <v>6516.6</v>
      </c>
      <c r="J39" s="18" t="n">
        <v>46379.59</v>
      </c>
      <c r="K39" s="37" t="n">
        <v>46379.59</v>
      </c>
      <c r="L39" s="18" t="n">
        <v>40145.96</v>
      </c>
      <c r="M39" s="18" t="n">
        <v>39794.09</v>
      </c>
      <c r="N39" s="18" t="n">
        <v>6521.49</v>
      </c>
      <c r="O39" s="18" t="n">
        <v>37860.17</v>
      </c>
      <c r="P39" s="37" t="n">
        <v>37860.17</v>
      </c>
      <c r="Q39" s="18" t="n">
        <v>39463.89</v>
      </c>
      <c r="R39" s="18" t="n">
        <v>39876.85</v>
      </c>
      <c r="S39" s="18" t="n">
        <v>6932.58</v>
      </c>
      <c r="T39" s="18" t="n">
        <v>5893</v>
      </c>
      <c r="U39" s="37" t="n">
        <v>5893</v>
      </c>
      <c r="V39" s="18" t="n">
        <v>2796</v>
      </c>
      <c r="W39" s="18" t="n">
        <v>35143</v>
      </c>
      <c r="X39" s="18" t="n">
        <v>14597</v>
      </c>
      <c r="Y39" s="18" t="n">
        <v>17107</v>
      </c>
      <c r="Z39" s="37" t="n">
        <v>17107</v>
      </c>
      <c r="AA39" s="18" t="n">
        <v>2750</v>
      </c>
      <c r="AB39" s="19" t="n">
        <v>2640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단기파생상품부채</t>
        </is>
      </c>
      <c r="E40" s="18" t="n">
        <v>9135.35</v>
      </c>
      <c r="F40" s="37" t="n">
        <v>9135.35</v>
      </c>
      <c r="G40" s="18" t="n">
        <v>7152.84</v>
      </c>
      <c r="H40" s="18" t="n">
        <v>7777.93</v>
      </c>
      <c r="I40" s="18" t="n">
        <v>6516.6</v>
      </c>
      <c r="J40" s="18" t="n">
        <v>16535.69</v>
      </c>
      <c r="K40" s="37" t="n">
        <v>16535.69</v>
      </c>
      <c r="L40" s="18" t="n">
        <v>10877.34</v>
      </c>
      <c r="M40" s="18" t="n">
        <v>12535.81</v>
      </c>
      <c r="N40" s="18" t="n">
        <v>6521.49</v>
      </c>
      <c r="O40" s="18" t="n">
        <v>11661.26</v>
      </c>
      <c r="P40" s="37" t="n">
        <v>11661.26</v>
      </c>
      <c r="Q40" s="18" t="n">
        <v>5596.63</v>
      </c>
      <c r="R40" s="18" t="n">
        <v>5830.67</v>
      </c>
      <c r="S40" s="18" t="n">
        <v>6932.58</v>
      </c>
      <c r="T40" s="18" t="n">
        <v>5893</v>
      </c>
      <c r="U40" s="37" t="n">
        <v>5893</v>
      </c>
      <c r="V40" s="18" t="n">
        <v>2796</v>
      </c>
      <c r="W40" s="18" t="n">
        <v>35143</v>
      </c>
      <c r="X40" s="18" t="n">
        <v>14597</v>
      </c>
      <c r="Y40" s="18" t="n">
        <v>17107</v>
      </c>
      <c r="Z40" s="37" t="n">
        <v>17107</v>
      </c>
      <c r="AA40" s="18" t="n">
        <v>2750</v>
      </c>
      <c r="AB40" s="19" t="n">
        <v>2640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단기충당부채</t>
        </is>
      </c>
      <c r="E41" s="18" t="n">
        <v>196415.92</v>
      </c>
      <c r="F41" s="37" t="n">
        <v>196415.92</v>
      </c>
      <c r="G41" s="18" t="n">
        <v>189121.64</v>
      </c>
      <c r="H41" s="18" t="n">
        <v>175199.44</v>
      </c>
      <c r="I41" s="18" t="n">
        <v>185611.17</v>
      </c>
      <c r="J41" s="18" t="n">
        <v>182202.92</v>
      </c>
      <c r="K41" s="37" t="n">
        <v>182202.92</v>
      </c>
      <c r="L41" s="18" t="n">
        <v>176357.54</v>
      </c>
      <c r="M41" s="18" t="n">
        <v>158405.05</v>
      </c>
      <c r="N41" s="18" t="n">
        <v>147174.01</v>
      </c>
      <c r="O41" s="18" t="n">
        <v>122643.67</v>
      </c>
      <c r="P41" s="37" t="n">
        <v>122643.67</v>
      </c>
      <c r="Q41" s="18" t="n">
        <v>71551.42</v>
      </c>
      <c r="R41" s="18" t="n">
        <v>64678.15</v>
      </c>
      <c r="S41" s="18" t="n">
        <v>55535.43</v>
      </c>
      <c r="T41" s="18" t="n">
        <v>72200</v>
      </c>
      <c r="U41" s="37" t="n">
        <v>72200</v>
      </c>
      <c r="V41" s="18" t="n">
        <v>58553</v>
      </c>
      <c r="W41" s="18" t="n">
        <v>49079</v>
      </c>
      <c r="X41" s="18" t="n">
        <v>50997</v>
      </c>
      <c r="Y41" s="18" t="n">
        <v>151935</v>
      </c>
      <c r="Z41" s="37" t="n">
        <v>151935</v>
      </c>
      <c r="AA41" s="18" t="n">
        <v>63637</v>
      </c>
      <c r="AB41" s="19" t="n">
        <v>68269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비유동부채</t>
        </is>
      </c>
      <c r="E42" s="18" t="n">
        <v>1186291.21</v>
      </c>
      <c r="F42" s="37" t="n">
        <v>1186291.21</v>
      </c>
      <c r="G42" s="18" t="n">
        <v>1683175.73</v>
      </c>
      <c r="H42" s="18" t="n">
        <v>1934363.49</v>
      </c>
      <c r="I42" s="18" t="n">
        <v>1709006.41</v>
      </c>
      <c r="J42" s="18" t="n">
        <v>2016603.62</v>
      </c>
      <c r="K42" s="37" t="n">
        <v>2016603.62</v>
      </c>
      <c r="L42" s="18" t="n">
        <v>1768978.74</v>
      </c>
      <c r="M42" s="18" t="n">
        <v>1560075.59</v>
      </c>
      <c r="N42" s="18" t="n">
        <v>1722730.51</v>
      </c>
      <c r="O42" s="18" t="n">
        <v>1441867.61</v>
      </c>
      <c r="P42" s="37" t="n">
        <v>1441867.61</v>
      </c>
      <c r="Q42" s="18" t="n">
        <v>1913283.63</v>
      </c>
      <c r="R42" s="18" t="n">
        <v>1891792.96</v>
      </c>
      <c r="S42" s="18" t="n">
        <v>2042534.22</v>
      </c>
      <c r="T42" s="18" t="n">
        <v>2332951</v>
      </c>
      <c r="U42" s="37" t="n">
        <v>2332951</v>
      </c>
      <c r="V42" s="18" t="n">
        <v>2387149</v>
      </c>
      <c r="W42" s="18" t="n">
        <v>2743709</v>
      </c>
      <c r="X42" s="18" t="n">
        <v>2402318</v>
      </c>
      <c r="Y42" s="18" t="n">
        <v>2272402</v>
      </c>
      <c r="Z42" s="37" t="n">
        <v>2272402</v>
      </c>
      <c r="AA42" s="18" t="n">
        <v>1894927</v>
      </c>
      <c r="AB42" s="19" t="n">
        <v>1970710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사채</t>
        </is>
      </c>
      <c r="E43" s="18" t="n">
        <v>422363.43</v>
      </c>
      <c r="F43" s="37" t="n">
        <v>422363.43</v>
      </c>
      <c r="G43" s="18" t="n">
        <v>484881.46</v>
      </c>
      <c r="H43" s="18" t="n">
        <v>574722.91</v>
      </c>
      <c r="I43" s="18" t="n">
        <v>259433.67</v>
      </c>
      <c r="J43" s="18" t="n">
        <v>259132.25</v>
      </c>
      <c r="K43" s="37" t="n">
        <v>259132.25</v>
      </c>
      <c r="L43" s="18" t="n">
        <v>216581.52</v>
      </c>
      <c r="M43" s="18" t="n">
        <v>136799.07</v>
      </c>
      <c r="N43" s="18" t="n">
        <v>438935.51</v>
      </c>
      <c r="O43" s="18" t="n">
        <v>423103.27</v>
      </c>
      <c r="P43" s="37" t="n">
        <v>423103.27</v>
      </c>
      <c r="Q43" s="18" t="n">
        <v>498191.63</v>
      </c>
      <c r="R43" s="18" t="n">
        <v>511361.75</v>
      </c>
      <c r="S43" s="18" t="n">
        <v>640768.9300000001</v>
      </c>
      <c r="T43" s="18" t="n">
        <v>686148</v>
      </c>
      <c r="U43" s="37" t="n">
        <v>686148</v>
      </c>
      <c r="V43" s="18" t="n">
        <v>642843</v>
      </c>
      <c r="W43" s="18" t="n">
        <v>738737</v>
      </c>
      <c r="X43" s="18" t="n">
        <v>269574</v>
      </c>
      <c r="Y43" s="18" t="n">
        <v>270349</v>
      </c>
      <c r="Z43" s="37" t="n">
        <v>270349</v>
      </c>
      <c r="AA43" s="18" t="n">
        <v>214044</v>
      </c>
      <c r="AB43" s="19" t="n">
        <v>168873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장기차입금</t>
        </is>
      </c>
      <c r="E44" s="18" t="n">
        <v>122492.71</v>
      </c>
      <c r="F44" s="37" t="n">
        <v>122492.71</v>
      </c>
      <c r="G44" s="18" t="n">
        <v>567663.36</v>
      </c>
      <c r="H44" s="18" t="n">
        <v>667663.36</v>
      </c>
      <c r="I44" s="18" t="n">
        <v>667663.36</v>
      </c>
      <c r="J44" s="18" t="n">
        <v>1113279.5</v>
      </c>
      <c r="K44" s="37" t="n">
        <v>1113279.5</v>
      </c>
      <c r="L44" s="18" t="n">
        <v>893331.12</v>
      </c>
      <c r="M44" s="18" t="n">
        <v>751806.76</v>
      </c>
      <c r="N44" s="18" t="n">
        <v>592331.9399999999</v>
      </c>
      <c r="O44" s="18" t="n">
        <v>287188.57</v>
      </c>
      <c r="P44" s="37" t="n">
        <v>287188.57</v>
      </c>
      <c r="Q44" s="18" t="n">
        <v>700000</v>
      </c>
      <c r="R44" s="18" t="n">
        <v>639351.45</v>
      </c>
      <c r="S44" s="18" t="n">
        <v>679593.85</v>
      </c>
      <c r="T44" s="18" t="n">
        <v>819840</v>
      </c>
      <c r="U44" s="37" t="n">
        <v>819840</v>
      </c>
      <c r="V44" s="18" t="n">
        <v>950000</v>
      </c>
      <c r="W44" s="18" t="n">
        <v>1145000</v>
      </c>
      <c r="X44" s="18" t="n">
        <v>1271250</v>
      </c>
      <c r="Y44" s="18" t="n">
        <v>1057500</v>
      </c>
      <c r="Z44" s="37" t="n">
        <v>1057500</v>
      </c>
      <c r="AA44" s="18" t="n">
        <v>733750</v>
      </c>
      <c r="AB44" s="19" t="n">
        <v>730000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장기매입채무및기타채무</t>
        </is>
      </c>
      <c r="E45" s="18" t="n">
        <v>13601.34</v>
      </c>
      <c r="F45" s="37" t="n">
        <v>13601.34</v>
      </c>
      <c r="G45" s="18" t="n">
        <v>8184.91</v>
      </c>
      <c r="H45" s="18" t="n">
        <v>8647.52</v>
      </c>
      <c r="I45" s="18" t="n">
        <v>9147.450000000001</v>
      </c>
      <c r="J45" s="18" t="n">
        <v>9509.9</v>
      </c>
      <c r="K45" s="37" t="n">
        <v>9509.9</v>
      </c>
      <c r="L45" s="18" t="n">
        <v>9472.1</v>
      </c>
      <c r="M45" s="18" t="n">
        <v>9809.379999999999</v>
      </c>
      <c r="N45" s="18" t="n">
        <v>9894.42</v>
      </c>
      <c r="O45" s="18" t="n">
        <v>10016.33</v>
      </c>
      <c r="P45" s="37" t="n">
        <v>10016.33</v>
      </c>
      <c r="Q45" s="18" t="n">
        <v>10052.26</v>
      </c>
      <c r="R45" s="18" t="n">
        <v>10052.16</v>
      </c>
      <c r="S45" s="18" t="n">
        <v>10133.04</v>
      </c>
      <c r="T45" s="18" t="n">
        <v>9451</v>
      </c>
      <c r="U45" s="37" t="n">
        <v>9451</v>
      </c>
      <c r="V45" s="18" t="n">
        <v>10169</v>
      </c>
      <c r="W45" s="18" t="n">
        <v>11694</v>
      </c>
      <c r="X45" s="18" t="n">
        <v>12798</v>
      </c>
      <c r="Y45" s="18" t="n">
        <v>20951</v>
      </c>
      <c r="Z45" s="37" t="n">
        <v>20951</v>
      </c>
      <c r="AA45" s="18" t="n">
        <v>22900</v>
      </c>
      <c r="AB45" s="19" t="n">
        <v>24896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확정급여부채</t>
        </is>
      </c>
      <c r="E46" s="18" t="n">
        <v>105513.44</v>
      </c>
      <c r="F46" s="37" t="n">
        <v>105513.44</v>
      </c>
      <c r="G46" s="18" t="n">
        <v>137883.95</v>
      </c>
      <c r="H46" s="18" t="n">
        <v>136960.01</v>
      </c>
      <c r="I46" s="18" t="n">
        <v>143514.13</v>
      </c>
      <c r="J46" s="18" t="n">
        <v>113117.1</v>
      </c>
      <c r="K46" s="37" t="n">
        <v>113117.1</v>
      </c>
      <c r="L46" s="18" t="n">
        <v>121330.02</v>
      </c>
      <c r="M46" s="18" t="n">
        <v>127198.83</v>
      </c>
      <c r="N46" s="18" t="n">
        <v>134108.87</v>
      </c>
      <c r="O46" s="18" t="n">
        <v>192863.55</v>
      </c>
      <c r="P46" s="37" t="n">
        <v>192863.55</v>
      </c>
      <c r="Q46" s="18" t="n">
        <v>204259.37</v>
      </c>
      <c r="R46" s="18" t="n">
        <v>213065.26</v>
      </c>
      <c r="S46" s="18" t="n">
        <v>220903.31</v>
      </c>
      <c r="T46" s="18" t="n">
        <v>298291</v>
      </c>
      <c r="U46" s="37" t="n">
        <v>298291</v>
      </c>
      <c r="V46" s="18" t="n">
        <v>304253</v>
      </c>
      <c r="W46" s="18" t="n">
        <v>314071</v>
      </c>
      <c r="X46" s="18" t="n">
        <v>322670</v>
      </c>
      <c r="Y46" s="18" t="n">
        <v>341458</v>
      </c>
      <c r="Z46" s="37" t="n">
        <v>341458</v>
      </c>
      <c r="AA46" s="18" t="n">
        <v>354804</v>
      </c>
      <c r="AB46" s="19" t="n">
        <v>366938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비유동리스부채</t>
        </is>
      </c>
      <c r="E47" s="18" t="n">
        <v>157488.64</v>
      </c>
      <c r="F47" s="37" t="n">
        <v>157488.64</v>
      </c>
      <c r="G47" s="18" t="n">
        <v>153348.84</v>
      </c>
      <c r="H47" s="18" t="n">
        <v>152199.19</v>
      </c>
      <c r="I47" s="18" t="n">
        <v>147410.71</v>
      </c>
      <c r="J47" s="18" t="n">
        <v>142460.44</v>
      </c>
      <c r="K47" s="37" t="n">
        <v>142460.44</v>
      </c>
      <c r="L47" s="18" t="n">
        <v>139482.79</v>
      </c>
      <c r="M47" s="18" t="n">
        <v>134942.65</v>
      </c>
      <c r="N47" s="18" t="n">
        <v>130592.16</v>
      </c>
      <c r="O47" s="18" t="n">
        <v>129212.88</v>
      </c>
      <c r="P47" s="37" t="n">
        <v>129212.88</v>
      </c>
      <c r="Q47" s="18" t="n">
        <v>123260.72</v>
      </c>
      <c r="R47" s="18" t="n">
        <v>119534.13</v>
      </c>
      <c r="S47" s="18" t="n">
        <v>114815.78</v>
      </c>
      <c r="T47" s="18" t="n">
        <v>116086</v>
      </c>
      <c r="U47" s="37" t="n">
        <v>116086</v>
      </c>
      <c r="V47" s="18" t="n">
        <v>110908</v>
      </c>
      <c r="W47" s="18" t="n">
        <v>107323</v>
      </c>
      <c r="X47" s="18" t="n">
        <v>105084</v>
      </c>
      <c r="Y47" s="18" t="n">
        <v>94869</v>
      </c>
      <c r="Z47" s="37" t="n">
        <v>94869</v>
      </c>
      <c r="AA47" s="18" t="n">
        <v>124718</v>
      </c>
      <c r="AB47" s="19" t="n">
        <v>123839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장기금융부채</t>
        </is>
      </c>
      <c r="E48" s="18" t="n">
        <v>162706.22</v>
      </c>
      <c r="F48" s="37" t="n">
        <v>162706.22</v>
      </c>
      <c r="G48" s="18" t="n">
        <v>158775.76</v>
      </c>
      <c r="H48" s="18" t="n">
        <v>156232.22</v>
      </c>
      <c r="I48" s="18" t="n">
        <v>151733.01</v>
      </c>
      <c r="J48" s="18" t="n">
        <v>148767.6</v>
      </c>
      <c r="K48" s="37" t="n">
        <v>148767.6</v>
      </c>
      <c r="L48" s="18" t="n">
        <v>145753.42</v>
      </c>
      <c r="M48" s="18" t="n">
        <v>146550.13</v>
      </c>
      <c r="N48" s="18" t="n">
        <v>134393.91</v>
      </c>
      <c r="O48" s="18" t="n">
        <v>142660.61</v>
      </c>
      <c r="P48" s="37" t="n">
        <v>142660.61</v>
      </c>
      <c r="Q48" s="18" t="n">
        <v>126906.89</v>
      </c>
      <c r="R48" s="18" t="n">
        <v>123046.1</v>
      </c>
      <c r="S48" s="18" t="n">
        <v>117985.43</v>
      </c>
      <c r="T48" s="18" t="n">
        <v>118543</v>
      </c>
      <c r="U48" s="37" t="n">
        <v>118543</v>
      </c>
      <c r="V48" s="18" t="n">
        <v>115081</v>
      </c>
      <c r="W48" s="18" t="n">
        <v>128157</v>
      </c>
      <c r="X48" s="18" t="n">
        <v>116429</v>
      </c>
      <c r="Y48" s="18" t="n">
        <v>130102</v>
      </c>
      <c r="Z48" s="37" t="n">
        <v>130102</v>
      </c>
      <c r="AA48" s="18" t="n">
        <v>127811</v>
      </c>
      <c r="AB48" s="19" t="n">
        <v>126432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장기파생상품부채</t>
        </is>
      </c>
      <c r="E49" s="18" t="n">
        <v>5217.58</v>
      </c>
      <c r="F49" s="37" t="n">
        <v>5217.58</v>
      </c>
      <c r="G49" s="18" t="n">
        <v>5426.92</v>
      </c>
      <c r="H49" s="18" t="n">
        <v>4033.03</v>
      </c>
      <c r="I49" s="18" t="n">
        <v>4322.3</v>
      </c>
      <c r="J49" s="18" t="n">
        <v>6307.16</v>
      </c>
      <c r="K49" s="37" t="n">
        <v>6307.16</v>
      </c>
      <c r="L49" s="18" t="n">
        <v>6270.63</v>
      </c>
      <c r="M49" s="18" t="n">
        <v>11607.48</v>
      </c>
      <c r="N49" s="18" t="n">
        <v>3801.75</v>
      </c>
      <c r="O49" s="18" t="n">
        <v>13447.73</v>
      </c>
      <c r="P49" s="37" t="n">
        <v>13447.73</v>
      </c>
      <c r="Q49" s="18" t="n">
        <v>3646.17</v>
      </c>
      <c r="R49" s="18" t="n">
        <v>3511.97</v>
      </c>
      <c r="S49" s="18" t="n">
        <v>3169.65</v>
      </c>
      <c r="T49" s="18" t="n">
        <v>2457</v>
      </c>
      <c r="U49" s="37" t="n">
        <v>2457</v>
      </c>
      <c r="V49" s="18" t="n">
        <v>4173</v>
      </c>
      <c r="W49" s="18" t="n">
        <v>20834</v>
      </c>
      <c r="X49" s="18" t="n">
        <v>11345</v>
      </c>
      <c r="Y49" s="18" t="n">
        <v>35233</v>
      </c>
      <c r="Z49" s="37" t="n">
        <v>35233</v>
      </c>
      <c r="AA49" s="18" t="n">
        <v>3093</v>
      </c>
      <c r="AB49" s="19" t="n">
        <v>2593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장기충당부채</t>
        </is>
      </c>
      <c r="E50" s="18" t="n">
        <v>88336.12</v>
      </c>
      <c r="F50" s="37" t="n">
        <v>88336.12</v>
      </c>
      <c r="G50" s="18" t="n">
        <v>88697.97</v>
      </c>
      <c r="H50" s="18" t="n">
        <v>90710.02</v>
      </c>
      <c r="I50" s="18" t="n">
        <v>95049</v>
      </c>
      <c r="J50" s="18" t="n">
        <v>111506.25</v>
      </c>
      <c r="K50" s="37" t="n">
        <v>111506.25</v>
      </c>
      <c r="L50" s="18" t="n">
        <v>114320.48</v>
      </c>
      <c r="M50" s="18" t="n">
        <v>112301.08</v>
      </c>
      <c r="N50" s="18" t="n">
        <v>117042.97</v>
      </c>
      <c r="O50" s="18" t="n">
        <v>121081.95</v>
      </c>
      <c r="P50" s="37" t="n">
        <v>121081.95</v>
      </c>
      <c r="Q50" s="18" t="n">
        <v>124538</v>
      </c>
      <c r="R50" s="18" t="n">
        <v>124979.65</v>
      </c>
      <c r="S50" s="18" t="n">
        <v>124004.9</v>
      </c>
      <c r="T50" s="18" t="n">
        <v>122860</v>
      </c>
      <c r="U50" s="37" t="n">
        <v>122860</v>
      </c>
      <c r="V50" s="18" t="n">
        <v>124936</v>
      </c>
      <c r="W50" s="18" t="n">
        <v>131674</v>
      </c>
      <c r="X50" s="18" t="n">
        <v>134455</v>
      </c>
      <c r="Y50" s="18" t="n">
        <v>128324</v>
      </c>
      <c r="Z50" s="37" t="n">
        <v>128324</v>
      </c>
      <c r="AA50" s="18" t="n">
        <v>126080</v>
      </c>
      <c r="AB50" s="19" t="n">
        <v>128735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기타비유동부채</t>
        </is>
      </c>
      <c r="E51" s="18" t="n">
        <v>59536.9</v>
      </c>
      <c r="F51" s="37" t="n">
        <v>59536.9</v>
      </c>
      <c r="G51" s="18" t="n">
        <v>39449.33</v>
      </c>
      <c r="H51" s="18" t="n">
        <v>40920.82</v>
      </c>
      <c r="I51" s="18" t="n">
        <v>38310.45</v>
      </c>
      <c r="J51" s="18" t="n">
        <v>41167.3</v>
      </c>
      <c r="K51" s="37" t="n">
        <v>41167.3</v>
      </c>
      <c r="L51" s="18" t="n">
        <v>41694.51</v>
      </c>
      <c r="M51" s="18" t="n">
        <v>42908.35</v>
      </c>
      <c r="N51" s="18" t="n">
        <v>42231.55</v>
      </c>
      <c r="O51" s="18" t="n">
        <v>43014.78</v>
      </c>
      <c r="P51" s="37" t="n">
        <v>43014.78</v>
      </c>
      <c r="Q51" s="18" t="n">
        <v>41775.24</v>
      </c>
      <c r="R51" s="18" t="n">
        <v>55317.53</v>
      </c>
      <c r="S51" s="18" t="n">
        <v>58264.6</v>
      </c>
      <c r="T51" s="18" t="n">
        <v>63158</v>
      </c>
      <c r="U51" s="37" t="n">
        <v>63158</v>
      </c>
      <c r="V51" s="18" t="n">
        <v>64560</v>
      </c>
      <c r="W51" s="18" t="n">
        <v>84585</v>
      </c>
      <c r="X51" s="18" t="n">
        <v>82123</v>
      </c>
      <c r="Y51" s="18" t="n">
        <v>116223</v>
      </c>
      <c r="Z51" s="37" t="n">
        <v>116223</v>
      </c>
      <c r="AA51" s="18" t="n">
        <v>73779</v>
      </c>
      <c r="AB51" s="19" t="n">
        <v>63366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부채총계</t>
        </is>
      </c>
      <c r="E52" s="18" t="n">
        <v>8330286.78</v>
      </c>
      <c r="F52" s="37" t="n">
        <v>8330286.78</v>
      </c>
      <c r="G52" s="18" t="n">
        <v>6999681.74</v>
      </c>
      <c r="H52" s="18" t="n">
        <v>7185878.59</v>
      </c>
      <c r="I52" s="18" t="n">
        <v>7633791.21</v>
      </c>
      <c r="J52" s="18" t="n">
        <v>7075908.55</v>
      </c>
      <c r="K52" s="37" t="n">
        <v>7075908.55</v>
      </c>
      <c r="L52" s="18" t="n">
        <v>7277589.45</v>
      </c>
      <c r="M52" s="18" t="n">
        <v>7896569.44</v>
      </c>
      <c r="N52" s="18" t="n">
        <v>7578549.89</v>
      </c>
      <c r="O52" s="18" t="n">
        <v>7759760.19</v>
      </c>
      <c r="P52" s="37" t="n">
        <v>7759760.19</v>
      </c>
      <c r="Q52" s="18" t="n">
        <v>7913123.03</v>
      </c>
      <c r="R52" s="18" t="n">
        <v>7690711.82</v>
      </c>
      <c r="S52" s="18" t="n">
        <v>7629174.17</v>
      </c>
      <c r="T52" s="18" t="n">
        <v>8020541</v>
      </c>
      <c r="U52" s="37" t="n">
        <v>8020541</v>
      </c>
      <c r="V52" s="18" t="n">
        <v>8204262</v>
      </c>
      <c r="W52" s="18" t="n">
        <v>8047103</v>
      </c>
      <c r="X52" s="18" t="n">
        <v>8326823</v>
      </c>
      <c r="Y52" s="18" t="n">
        <v>8666040</v>
      </c>
      <c r="Z52" s="37" t="n">
        <v>8666040</v>
      </c>
      <c r="AA52" s="18" t="n">
        <v>8862789</v>
      </c>
      <c r="AB52" s="19" t="n">
        <v>9537031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자본금</t>
        </is>
      </c>
      <c r="E53" s="18" t="n">
        <v>2675624.98</v>
      </c>
      <c r="F53" s="37" t="n">
        <v>2675624.98</v>
      </c>
      <c r="G53" s="18" t="n">
        <v>3193488.91</v>
      </c>
      <c r="H53" s="18" t="n">
        <v>3240986.3</v>
      </c>
      <c r="I53" s="18" t="n">
        <v>3256061.21</v>
      </c>
      <c r="J53" s="18" t="n">
        <v>3256061.21</v>
      </c>
      <c r="K53" s="37" t="n">
        <v>3256061.21</v>
      </c>
      <c r="L53" s="18" t="n">
        <v>3267326.78</v>
      </c>
      <c r="M53" s="18" t="n">
        <v>3267326.78</v>
      </c>
      <c r="N53" s="18" t="n">
        <v>3267326.78</v>
      </c>
      <c r="O53" s="18" t="n">
        <v>3267326.78</v>
      </c>
      <c r="P53" s="37" t="n">
        <v>3267326.78</v>
      </c>
      <c r="Q53" s="18" t="n">
        <v>3267326.78</v>
      </c>
      <c r="R53" s="18" t="n">
        <v>3267326.78</v>
      </c>
      <c r="S53" s="18" t="n">
        <v>3267326.78</v>
      </c>
      <c r="T53" s="18" t="n">
        <v>3267327</v>
      </c>
      <c r="U53" s="37" t="n">
        <v>3267327</v>
      </c>
      <c r="V53" s="18" t="n">
        <v>3267327</v>
      </c>
      <c r="W53" s="18" t="n">
        <v>3267327</v>
      </c>
      <c r="X53" s="18" t="n">
        <v>3267327</v>
      </c>
      <c r="Y53" s="18" t="n">
        <v>3267327</v>
      </c>
      <c r="Z53" s="37" t="n">
        <v>3267327</v>
      </c>
      <c r="AA53" s="18" t="n">
        <v>3267327</v>
      </c>
      <c r="AB53" s="19" t="n">
        <v>3267327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자본잉여금</t>
        </is>
      </c>
      <c r="E54" s="18" t="n">
        <v>1811241.86</v>
      </c>
      <c r="F54" s="37" t="n">
        <v>1811241.86</v>
      </c>
      <c r="G54" s="18" t="n">
        <v>2727602.54</v>
      </c>
      <c r="H54" s="18" t="n">
        <v>2799762.89</v>
      </c>
      <c r="I54" s="18" t="n">
        <v>2812121.66</v>
      </c>
      <c r="J54" s="18" t="n">
        <v>2812160.29</v>
      </c>
      <c r="K54" s="37" t="n">
        <v>2812160.29</v>
      </c>
      <c r="L54" s="18" t="n">
        <v>1675058.77</v>
      </c>
      <c r="M54" s="18" t="n">
        <v>1675105.72</v>
      </c>
      <c r="N54" s="18" t="n">
        <v>1675105.72</v>
      </c>
      <c r="O54" s="18" t="n">
        <v>1675105.72</v>
      </c>
      <c r="P54" s="37" t="n">
        <v>1675105.72</v>
      </c>
      <c r="Q54" s="18" t="n">
        <v>1525842.81</v>
      </c>
      <c r="R54" s="18" t="n">
        <v>1525842.81</v>
      </c>
      <c r="S54" s="18" t="n">
        <v>1525842.81</v>
      </c>
      <c r="T54" s="18" t="n">
        <v>1525844</v>
      </c>
      <c r="U54" s="37" t="n">
        <v>1525844</v>
      </c>
      <c r="V54" s="18" t="n">
        <v>1302468</v>
      </c>
      <c r="W54" s="18" t="n">
        <v>1302468</v>
      </c>
      <c r="X54" s="18" t="n">
        <v>1302468</v>
      </c>
      <c r="Y54" s="18" t="n">
        <v>1302468</v>
      </c>
      <c r="Z54" s="37" t="n">
        <v>1302468</v>
      </c>
      <c r="AA54" s="18" t="n">
        <v>1302468</v>
      </c>
      <c r="AB54" s="19" t="n">
        <v>1302468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기타자본</t>
        </is>
      </c>
      <c r="E55" s="18" t="n">
        <v>-1031.83</v>
      </c>
      <c r="F55" s="37" t="n">
        <v>-1031.83</v>
      </c>
      <c r="G55" s="18" t="n">
        <v>-1620.24</v>
      </c>
      <c r="H55" s="18" t="n">
        <v>-1620.24</v>
      </c>
      <c r="I55" s="18" t="n">
        <v>-1710.03</v>
      </c>
      <c r="J55" s="18" t="n">
        <v>-1748.66</v>
      </c>
      <c r="K55" s="37" t="n">
        <v>-1748.66</v>
      </c>
      <c r="L55" s="18" t="n">
        <v>-1914.09</v>
      </c>
      <c r="M55" s="18" t="n">
        <v>-1960.99</v>
      </c>
      <c r="N55" s="18" t="n">
        <v>-1960.99</v>
      </c>
      <c r="O55" s="18" t="n">
        <v>-1960.99</v>
      </c>
      <c r="P55" s="37" t="n">
        <v>-1960.99</v>
      </c>
      <c r="Q55" s="18" t="n">
        <v>-2134.42</v>
      </c>
      <c r="R55" s="18" t="n">
        <v>-2134.42</v>
      </c>
      <c r="S55" s="18" t="n">
        <v>-2134.42</v>
      </c>
      <c r="T55" s="18" t="n">
        <v>-2135</v>
      </c>
      <c r="U55" s="37" t="n">
        <v>-2135</v>
      </c>
      <c r="V55" s="18" t="n">
        <v>-2135</v>
      </c>
      <c r="W55" s="18" t="n">
        <v>-2135</v>
      </c>
      <c r="X55" s="18" t="n">
        <v>-2135</v>
      </c>
      <c r="Y55" s="18" t="n">
        <v>-2135</v>
      </c>
      <c r="Z55" s="37" t="n">
        <v>-2135</v>
      </c>
      <c r="AA55" s="18" t="n">
        <v>37882</v>
      </c>
      <c r="AB55" s="19" t="n">
        <v>-77082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기타포괄이익누계액</t>
        </is>
      </c>
      <c r="E56" s="18" t="n">
        <v>1054965.43</v>
      </c>
      <c r="F56" s="37" t="n">
        <v>1054965.43</v>
      </c>
      <c r="G56" s="18" t="n">
        <v>1058453.04</v>
      </c>
      <c r="H56" s="18" t="n">
        <v>1071375.15</v>
      </c>
      <c r="I56" s="18" t="n">
        <v>1112887.49</v>
      </c>
      <c r="J56" s="18" t="n">
        <v>1071927.84</v>
      </c>
      <c r="K56" s="37" t="n">
        <v>1071927.84</v>
      </c>
      <c r="L56" s="18" t="n">
        <v>1088512.25</v>
      </c>
      <c r="M56" s="18" t="n">
        <v>1069755.81</v>
      </c>
      <c r="N56" s="18" t="n">
        <v>1077859.11</v>
      </c>
      <c r="O56" s="18" t="n">
        <v>1007940.6</v>
      </c>
      <c r="P56" s="37" t="n">
        <v>1007940.6</v>
      </c>
      <c r="Q56" s="18" t="n">
        <v>1018226.43</v>
      </c>
      <c r="R56" s="18" t="n">
        <v>1026532.44</v>
      </c>
      <c r="S56" s="18" t="n">
        <v>1018035.62</v>
      </c>
      <c r="T56" s="18" t="n">
        <v>1042900</v>
      </c>
      <c r="U56" s="37" t="n">
        <v>1042900</v>
      </c>
      <c r="V56" s="18" t="n">
        <v>1057971</v>
      </c>
      <c r="W56" s="18" t="n">
        <v>1013062</v>
      </c>
      <c r="X56" s="18" t="n">
        <v>1038490</v>
      </c>
      <c r="Y56" s="18" t="n">
        <v>1014329</v>
      </c>
      <c r="Z56" s="37" t="n">
        <v>1014329</v>
      </c>
      <c r="AA56" s="18" t="n">
        <v>1073339</v>
      </c>
      <c r="AB56" s="19" t="n">
        <v>1087153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이익잉여금</t>
        </is>
      </c>
      <c r="E57" s="18" t="n">
        <v>160783.9</v>
      </c>
      <c r="F57" s="37" t="n">
        <v>160783.9</v>
      </c>
      <c r="G57" s="18" t="n">
        <v>147409.01</v>
      </c>
      <c r="H57" s="18" t="n">
        <v>-79178.88</v>
      </c>
      <c r="I57" s="18" t="n">
        <v>-164550.39</v>
      </c>
      <c r="J57" s="18" t="n">
        <v>-1024768.78</v>
      </c>
      <c r="K57" s="37" t="n">
        <v>-1024768.78</v>
      </c>
      <c r="L57" s="18" t="n">
        <v>155152.35</v>
      </c>
      <c r="M57" s="18" t="n">
        <v>239147.35</v>
      </c>
      <c r="N57" s="18" t="n">
        <v>203985.79</v>
      </c>
      <c r="O57" s="18" t="n">
        <v>-23663.31</v>
      </c>
      <c r="P57" s="37" t="n">
        <v>-23663.31</v>
      </c>
      <c r="Q57" s="18" t="n">
        <v>175044.47</v>
      </c>
      <c r="R57" s="18" t="n">
        <v>286518.96</v>
      </c>
      <c r="S57" s="18" t="n">
        <v>300778.71</v>
      </c>
      <c r="T57" s="18" t="n">
        <v>-97603</v>
      </c>
      <c r="U57" s="37" t="n">
        <v>-97603</v>
      </c>
      <c r="V57" s="18" t="n">
        <v>100562</v>
      </c>
      <c r="W57" s="18" t="n">
        <v>325446</v>
      </c>
      <c r="X57" s="18" t="n">
        <v>293401</v>
      </c>
      <c r="Y57" s="18" t="n">
        <v>618346</v>
      </c>
      <c r="Z57" s="37" t="n">
        <v>618346</v>
      </c>
      <c r="AA57" s="18" t="n">
        <v>592587</v>
      </c>
      <c r="AB57" s="19" t="n">
        <v>653812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자본총계</t>
        </is>
      </c>
      <c r="E58" s="18" t="n">
        <v>5701584.33</v>
      </c>
      <c r="F58" s="37" t="n">
        <v>5701584.33</v>
      </c>
      <c r="G58" s="18" t="n">
        <v>7125333.26</v>
      </c>
      <c r="H58" s="18" t="n">
        <v>7031325.22</v>
      </c>
      <c r="I58" s="18" t="n">
        <v>7014809.95</v>
      </c>
      <c r="J58" s="18" t="n">
        <v>6113631.9</v>
      </c>
      <c r="K58" s="37" t="n">
        <v>6113631.9</v>
      </c>
      <c r="L58" s="18" t="n">
        <v>6184136.04</v>
      </c>
      <c r="M58" s="18" t="n">
        <v>6249374.67</v>
      </c>
      <c r="N58" s="18" t="n">
        <v>6222316.41</v>
      </c>
      <c r="O58" s="18" t="n">
        <v>5924748.8</v>
      </c>
      <c r="P58" s="37" t="n">
        <v>5924748.8</v>
      </c>
      <c r="Q58" s="18" t="n">
        <v>5984306.07</v>
      </c>
      <c r="R58" s="18" t="n">
        <v>6104086.58</v>
      </c>
      <c r="S58" s="18" t="n">
        <v>6109849.5</v>
      </c>
      <c r="T58" s="18" t="n">
        <v>5736333</v>
      </c>
      <c r="U58" s="37" t="n">
        <v>5736333</v>
      </c>
      <c r="V58" s="18" t="n">
        <v>5726193</v>
      </c>
      <c r="W58" s="18" t="n">
        <v>5906168</v>
      </c>
      <c r="X58" s="18" t="n">
        <v>5899551</v>
      </c>
      <c r="Y58" s="18" t="n">
        <v>6200335</v>
      </c>
      <c r="Z58" s="37" t="n">
        <v>6200335</v>
      </c>
      <c r="AA58" s="18" t="n">
        <v>6273603</v>
      </c>
      <c r="AB58" s="19" t="n">
        <v>6233678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부채와자본총계</t>
        </is>
      </c>
      <c r="E59" s="18" t="n">
        <v>14031871.12</v>
      </c>
      <c r="F59" s="37" t="n">
        <v>14031871.12</v>
      </c>
      <c r="G59" s="18" t="n">
        <v>14125015</v>
      </c>
      <c r="H59" s="18" t="n">
        <v>14217203.81</v>
      </c>
      <c r="I59" s="18" t="n">
        <v>14648601.16</v>
      </c>
      <c r="J59" s="18" t="n">
        <v>13189540.46</v>
      </c>
      <c r="K59" s="37" t="n">
        <v>13189540.46</v>
      </c>
      <c r="L59" s="18" t="n">
        <v>13461725.49</v>
      </c>
      <c r="M59" s="18" t="n">
        <v>14145944.11</v>
      </c>
      <c r="N59" s="18" t="n">
        <v>13800866.3</v>
      </c>
      <c r="O59" s="18" t="n">
        <v>13684508.99</v>
      </c>
      <c r="P59" s="37" t="n">
        <v>13684508.99</v>
      </c>
      <c r="Q59" s="18" t="n">
        <v>13897429.1</v>
      </c>
      <c r="R59" s="18" t="n">
        <v>13794798.39</v>
      </c>
      <c r="S59" s="18" t="n">
        <v>13739023.66</v>
      </c>
      <c r="T59" s="18" t="n">
        <v>13756874</v>
      </c>
      <c r="U59" s="37" t="n">
        <v>13756874</v>
      </c>
      <c r="V59" s="18" t="n">
        <v>13930455</v>
      </c>
      <c r="W59" s="18" t="n">
        <v>13953271</v>
      </c>
      <c r="X59" s="18" t="n">
        <v>14226374</v>
      </c>
      <c r="Y59" s="18" t="n">
        <v>14866375</v>
      </c>
      <c r="Z59" s="37" t="n">
        <v>14866375</v>
      </c>
      <c r="AA59" s="18" t="n">
        <v>15136392</v>
      </c>
      <c r="AB59" s="19" t="n">
        <v>15770709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지배주주지분</t>
        </is>
      </c>
      <c r="E60" s="18" t="n">
        <v>5701584.33</v>
      </c>
      <c r="F60" s="37" t="n">
        <v>5701584.33</v>
      </c>
      <c r="G60" s="18" t="n">
        <v>7125333.26</v>
      </c>
      <c r="H60" s="18" t="n">
        <v>7031325.22</v>
      </c>
      <c r="I60" s="18" t="n">
        <v>7014809.95</v>
      </c>
      <c r="J60" s="18" t="n">
        <v>6113631.9</v>
      </c>
      <c r="K60" s="37" t="n">
        <v>6113631.9</v>
      </c>
      <c r="L60" s="18" t="n">
        <v>6184136.04</v>
      </c>
      <c r="M60" s="18" t="n">
        <v>6249374.67</v>
      </c>
      <c r="N60" s="18" t="n">
        <v>6222316.41</v>
      </c>
      <c r="O60" s="18" t="n">
        <v>5924748.8</v>
      </c>
      <c r="P60" s="37" t="n">
        <v>5924748.8</v>
      </c>
      <c r="Q60" s="18" t="n">
        <v>5984306.07</v>
      </c>
      <c r="R60" s="18" t="n">
        <v>6104086.58</v>
      </c>
      <c r="S60" s="18" t="n">
        <v>6109849.5</v>
      </c>
      <c r="T60" s="18" t="n">
        <v>5736333</v>
      </c>
      <c r="U60" s="37" t="n">
        <v>5736333</v>
      </c>
      <c r="V60" s="18" t="n">
        <v>5726193</v>
      </c>
      <c r="W60" s="18" t="n">
        <v>5906168</v>
      </c>
      <c r="X60" s="18" t="n">
        <v>5899551</v>
      </c>
      <c r="Y60" s="18" t="n">
        <v>6200335</v>
      </c>
      <c r="Z60" s="37" t="n">
        <v>6200335</v>
      </c>
      <c r="AA60" s="18" t="n">
        <v>6273603</v>
      </c>
      <c r="AB60" s="19" t="n">
        <v>6233678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총차입금</t>
        </is>
      </c>
      <c r="E61" s="18" t="n">
        <v>4723779.06</v>
      </c>
      <c r="F61" s="37" t="n">
        <v>4723779.06</v>
      </c>
      <c r="G61" s="18" t="n">
        <v>3227326.82</v>
      </c>
      <c r="H61" s="18" t="n">
        <v>3276323.85</v>
      </c>
      <c r="I61" s="18" t="n">
        <v>3384168.07</v>
      </c>
      <c r="J61" s="18" t="n">
        <v>3263860.83</v>
      </c>
      <c r="K61" s="37" t="n">
        <v>3263860.83</v>
      </c>
      <c r="L61" s="18" t="n">
        <v>3387798.75</v>
      </c>
      <c r="M61" s="18" t="n">
        <v>3280258.85</v>
      </c>
      <c r="N61" s="18" t="n">
        <v>3133666.18</v>
      </c>
      <c r="O61" s="18" t="n">
        <v>3081973.08</v>
      </c>
      <c r="P61" s="37" t="n">
        <v>3081973.08</v>
      </c>
      <c r="Q61" s="18" t="n">
        <v>3139832.5</v>
      </c>
      <c r="R61" s="18" t="n">
        <v>3282326.43</v>
      </c>
      <c r="S61" s="18" t="n">
        <v>3760830.02</v>
      </c>
      <c r="T61" s="18" t="n">
        <v>3537630</v>
      </c>
      <c r="U61" s="37" t="n">
        <v>3537630</v>
      </c>
      <c r="V61" s="18" t="n">
        <v>3955257</v>
      </c>
      <c r="W61" s="18" t="n">
        <v>3993860</v>
      </c>
      <c r="X61" s="18" t="n">
        <v>4389872</v>
      </c>
      <c r="Y61" s="18" t="n">
        <v>3661372</v>
      </c>
      <c r="Z61" s="37" t="n">
        <v>3661372</v>
      </c>
      <c r="AA61" s="18" t="n">
        <v>4269180</v>
      </c>
      <c r="AB61" s="19" t="n">
        <v>4567327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순차입금</t>
        </is>
      </c>
      <c r="E62" s="18" t="n">
        <v>3662359.24</v>
      </c>
      <c r="F62" s="37" t="n">
        <v>3662359.24</v>
      </c>
      <c r="G62" s="18" t="n">
        <v>2398171.51</v>
      </c>
      <c r="H62" s="18" t="n">
        <v>2441444.21</v>
      </c>
      <c r="I62" s="18" t="n">
        <v>2270010.4</v>
      </c>
      <c r="J62" s="18" t="n">
        <v>2439892.12</v>
      </c>
      <c r="K62" s="37" t="n">
        <v>2439892.12</v>
      </c>
      <c r="L62" s="18" t="n">
        <v>2622859.98</v>
      </c>
      <c r="M62" s="18" t="n">
        <v>1927707.34</v>
      </c>
      <c r="N62" s="18" t="n">
        <v>2297446.82</v>
      </c>
      <c r="O62" s="18" t="n">
        <v>2144497.68</v>
      </c>
      <c r="P62" s="37" t="n">
        <v>2144497.68</v>
      </c>
      <c r="Q62" s="18" t="n">
        <v>2190523.58</v>
      </c>
      <c r="R62" s="18" t="n">
        <v>2498328.13</v>
      </c>
      <c r="S62" s="18" t="n">
        <v>3174954.31</v>
      </c>
      <c r="T62" s="18" t="n">
        <v>2644531</v>
      </c>
      <c r="U62" s="37" t="n">
        <v>2644531</v>
      </c>
      <c r="V62" s="18" t="n">
        <v>3418879</v>
      </c>
      <c r="W62" s="18" t="n">
        <v>3718951</v>
      </c>
      <c r="X62" s="18" t="n">
        <v>4033973</v>
      </c>
      <c r="Y62" s="18" t="n">
        <v>2781136</v>
      </c>
      <c r="Z62" s="37" t="n">
        <v>2781136</v>
      </c>
      <c r="AA62" s="18" t="n">
        <v>3521685</v>
      </c>
      <c r="AB62" s="19" t="n">
        <v>3988438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이자발생자산</t>
        </is>
      </c>
      <c r="E63" s="18" t="n">
        <v>1260788.11</v>
      </c>
      <c r="F63" s="37" t="n">
        <v>1260788.11</v>
      </c>
      <c r="G63" s="18" t="n">
        <v>1034175.17</v>
      </c>
      <c r="H63" s="18" t="n">
        <v>1053897.29</v>
      </c>
      <c r="I63" s="18" t="n">
        <v>1352239.79</v>
      </c>
      <c r="J63" s="18" t="n">
        <v>1033286.96</v>
      </c>
      <c r="K63" s="37" t="n">
        <v>1033286.96</v>
      </c>
      <c r="L63" s="18" t="n">
        <v>977062.34</v>
      </c>
      <c r="M63" s="18" t="n">
        <v>1553851.39</v>
      </c>
      <c r="N63" s="18" t="n">
        <v>1029711.3</v>
      </c>
      <c r="O63" s="18" t="n">
        <v>1113558.33</v>
      </c>
      <c r="P63" s="37" t="n">
        <v>1113558.33</v>
      </c>
      <c r="Q63" s="18" t="n">
        <v>1137884.4</v>
      </c>
      <c r="R63" s="18" t="n">
        <v>1011774.07</v>
      </c>
      <c r="S63" s="18" t="n">
        <v>804451.98</v>
      </c>
      <c r="T63" s="18" t="n">
        <v>1195017</v>
      </c>
      <c r="U63" s="37" t="n">
        <v>1195017</v>
      </c>
      <c r="V63" s="18" t="n">
        <v>857932</v>
      </c>
      <c r="W63" s="18" t="n">
        <v>722750</v>
      </c>
      <c r="X63" s="18" t="n">
        <v>830333</v>
      </c>
      <c r="Y63" s="18" t="n">
        <v>1226791</v>
      </c>
      <c r="Z63" s="37" t="n">
        <v>1226791</v>
      </c>
      <c r="AA63" s="18" t="n">
        <v>1087163</v>
      </c>
      <c r="AB63" s="19" t="n">
        <v>933064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장기매출채권및기타채권</t>
        </is>
      </c>
      <c r="F64" s="9" t="n"/>
      <c r="H64" s="18" t="n">
        <v>5000</v>
      </c>
      <c r="I64" s="18" t="n">
        <v>15000</v>
      </c>
      <c r="J64" s="18" t="n">
        <v>48236</v>
      </c>
      <c r="K64" s="37" t="n">
        <v>48236</v>
      </c>
      <c r="L64" s="18" t="n">
        <v>42428.83</v>
      </c>
      <c r="M64" s="18" t="n">
        <v>37428.83</v>
      </c>
      <c r="N64" s="18" t="n">
        <v>37428.83</v>
      </c>
      <c r="O64" s="18" t="n">
        <v>10916</v>
      </c>
      <c r="P64" s="37" t="n">
        <v>10916</v>
      </c>
      <c r="Q64" s="18" t="n">
        <v>10416</v>
      </c>
      <c r="R64" s="18" t="n">
        <v>5416</v>
      </c>
      <c r="S64" s="18" t="n">
        <v>8738.41</v>
      </c>
      <c r="T64" s="18" t="n">
        <v>9542</v>
      </c>
      <c r="U64" s="37" t="n">
        <v>9542</v>
      </c>
      <c r="V64" s="18" t="n">
        <v>9036</v>
      </c>
      <c r="W64" s="18" t="n">
        <v>8926</v>
      </c>
      <c r="X64" s="18" t="n">
        <v>9488</v>
      </c>
      <c r="Y64" s="18" t="n">
        <v>10342</v>
      </c>
      <c r="Z64" s="37" t="n">
        <v>10342</v>
      </c>
      <c r="AA64" s="18" t="n">
        <v>9720</v>
      </c>
      <c r="AB64" s="19" t="n">
        <v>9748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당기법인세부채(미지급법인세)</t>
        </is>
      </c>
      <c r="F65" s="9" t="n"/>
      <c r="K65" s="9" t="n"/>
      <c r="N65" s="18" t="n">
        <v>187.07</v>
      </c>
      <c r="O65" s="18" t="n">
        <v>1090.37</v>
      </c>
      <c r="P65" s="37" t="n">
        <v>1090.37</v>
      </c>
      <c r="Q65" s="18" t="n">
        <v>2828.72</v>
      </c>
      <c r="R65" s="18" t="n">
        <v>1415.19</v>
      </c>
      <c r="S65" s="18" t="n">
        <v>0</v>
      </c>
      <c r="T65" s="18" t="n">
        <v>1039</v>
      </c>
      <c r="U65" s="37" t="n">
        <v>1039</v>
      </c>
      <c r="V65" s="18" t="n">
        <v>1299</v>
      </c>
      <c r="W65" s="18" t="n">
        <v>1559</v>
      </c>
      <c r="X65" s="18" t="n">
        <v>1818</v>
      </c>
      <c r="Y65" s="18" t="n">
        <v>10665</v>
      </c>
      <c r="Z65" s="37" t="n">
        <v>10665</v>
      </c>
      <c r="AA65" s="18" t="n">
        <v>6453</v>
      </c>
      <c r="AB65" s="19" t="n">
        <v>105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매출액(수익)</t>
        </is>
      </c>
      <c r="E66" s="18" t="n">
        <v>1053714.24</v>
      </c>
      <c r="F66" s="9" t="n"/>
      <c r="G66" s="18" t="n">
        <v>1126263.85</v>
      </c>
      <c r="H66" s="18" t="n">
        <v>1320100.8</v>
      </c>
      <c r="I66" s="18" t="n">
        <v>1233930.61</v>
      </c>
      <c r="J66" s="18" t="n">
        <v>1604144.15</v>
      </c>
      <c r="K66" s="37" t="n">
        <v>5284439.41</v>
      </c>
      <c r="L66" s="18" t="n">
        <v>1390656.12</v>
      </c>
      <c r="M66" s="18" t="n">
        <v>1615492.62</v>
      </c>
      <c r="N66" s="18" t="n">
        <v>1513033.39</v>
      </c>
      <c r="O66" s="18" t="n">
        <v>2132680.33</v>
      </c>
      <c r="P66" s="37" t="n">
        <v>6651862.46</v>
      </c>
      <c r="Q66" s="18" t="n">
        <v>1429821.7</v>
      </c>
      <c r="R66" s="18" t="n">
        <v>1555700.16</v>
      </c>
      <c r="S66" s="18" t="n">
        <v>1349497.97</v>
      </c>
      <c r="T66" s="18" t="n">
        <v>1985284.17</v>
      </c>
      <c r="U66" s="37" t="n">
        <v>6320304</v>
      </c>
      <c r="V66" s="18" t="n">
        <v>1441969</v>
      </c>
      <c r="W66" s="18" t="n">
        <v>2076059</v>
      </c>
      <c r="X66" s="18" t="n">
        <v>1507134</v>
      </c>
      <c r="Y66" s="18" t="n">
        <v>2091861</v>
      </c>
      <c r="Z66" s="37" t="n">
        <v>7117023</v>
      </c>
      <c r="AA66" s="18" t="n">
        <v>1714038</v>
      </c>
      <c r="AB66" s="19" t="n">
        <v>2046572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매출원가</t>
        </is>
      </c>
      <c r="E67" s="18" t="n">
        <v>979283.05</v>
      </c>
      <c r="F67" s="9" t="n"/>
      <c r="G67" s="18" t="n">
        <v>967523.6800000001</v>
      </c>
      <c r="H67" s="18" t="n">
        <v>1192687.64</v>
      </c>
      <c r="I67" s="18" t="n">
        <v>1110082.66</v>
      </c>
      <c r="J67" s="18" t="n">
        <v>1510864.37</v>
      </c>
      <c r="K67" s="37" t="n">
        <v>4781158.35</v>
      </c>
      <c r="L67" s="18" t="n">
        <v>1216255.77</v>
      </c>
      <c r="M67" s="18" t="n">
        <v>1412117.92</v>
      </c>
      <c r="N67" s="18" t="n">
        <v>1362484.05</v>
      </c>
      <c r="O67" s="18" t="n">
        <v>1811758.89</v>
      </c>
      <c r="P67" s="37" t="n">
        <v>5802616.63</v>
      </c>
      <c r="Q67" s="18" t="n">
        <v>1285172.17</v>
      </c>
      <c r="R67" s="18" t="n">
        <v>1345120.39</v>
      </c>
      <c r="S67" s="18" t="n">
        <v>1179224.9</v>
      </c>
      <c r="T67" s="18" t="n">
        <v>1669877.54</v>
      </c>
      <c r="U67" s="37" t="n">
        <v>5479395</v>
      </c>
      <c r="V67" s="18" t="n">
        <v>1287590</v>
      </c>
      <c r="W67" s="18" t="n">
        <v>1807089</v>
      </c>
      <c r="X67" s="18" t="n">
        <v>1308855</v>
      </c>
      <c r="Y67" s="18" t="n">
        <v>1700519</v>
      </c>
      <c r="Z67" s="37" t="n">
        <v>6104053</v>
      </c>
      <c r="AA67" s="18" t="n">
        <v>1492548</v>
      </c>
      <c r="AB67" s="19" t="n">
        <v>1755943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매출총이익</t>
        </is>
      </c>
      <c r="E68" s="18" t="n">
        <v>74431.2</v>
      </c>
      <c r="F68" s="9" t="n"/>
      <c r="G68" s="18" t="n">
        <v>158740.18</v>
      </c>
      <c r="H68" s="18" t="n">
        <v>127413.16</v>
      </c>
      <c r="I68" s="18" t="n">
        <v>123847.95</v>
      </c>
      <c r="J68" s="18" t="n">
        <v>93279.78</v>
      </c>
      <c r="K68" s="37" t="n">
        <v>503281.07</v>
      </c>
      <c r="L68" s="18" t="n">
        <v>174400.34</v>
      </c>
      <c r="M68" s="18" t="n">
        <v>203374.7</v>
      </c>
      <c r="N68" s="18" t="n">
        <v>150549.35</v>
      </c>
      <c r="O68" s="18" t="n">
        <v>320921.44</v>
      </c>
      <c r="P68" s="37" t="n">
        <v>849245.83</v>
      </c>
      <c r="Q68" s="18" t="n">
        <v>144649.54</v>
      </c>
      <c r="R68" s="18" t="n">
        <v>210579.77</v>
      </c>
      <c r="S68" s="18" t="n">
        <v>170273.07</v>
      </c>
      <c r="T68" s="18" t="n">
        <v>315406.63</v>
      </c>
      <c r="U68" s="37" t="n">
        <v>840909.01</v>
      </c>
      <c r="V68" s="18" t="n">
        <v>154379</v>
      </c>
      <c r="W68" s="18" t="n">
        <v>268970</v>
      </c>
      <c r="X68" s="18" t="n">
        <v>198279</v>
      </c>
      <c r="Y68" s="18" t="n">
        <v>391342</v>
      </c>
      <c r="Z68" s="37" t="n">
        <v>1012970</v>
      </c>
      <c r="AA68" s="18" t="n">
        <v>221490</v>
      </c>
      <c r="AB68" s="19" t="n">
        <v>290629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판관비</t>
        </is>
      </c>
      <c r="E69" s="18" t="n">
        <v>104029.56</v>
      </c>
      <c r="F69" s="9" t="n"/>
      <c r="G69" s="18" t="n">
        <v>103383.48</v>
      </c>
      <c r="H69" s="18" t="n">
        <v>106705.65</v>
      </c>
      <c r="I69" s="18" t="n">
        <v>80431.3</v>
      </c>
      <c r="J69" s="18" t="n">
        <v>127455.24</v>
      </c>
      <c r="K69" s="37" t="n">
        <v>417975.67</v>
      </c>
      <c r="L69" s="18" t="n">
        <v>81435.13</v>
      </c>
      <c r="M69" s="18" t="n">
        <v>99980.89</v>
      </c>
      <c r="N69" s="18" t="n">
        <v>94846.13</v>
      </c>
      <c r="O69" s="18" t="n">
        <v>118125.4</v>
      </c>
      <c r="P69" s="37" t="n">
        <v>394387.55</v>
      </c>
      <c r="Q69" s="18" t="n">
        <v>81881.45</v>
      </c>
      <c r="R69" s="18" t="n">
        <v>93097.53999999999</v>
      </c>
      <c r="S69" s="18" t="n">
        <v>94428.78999999999</v>
      </c>
      <c r="T69" s="18" t="n">
        <v>178074.22</v>
      </c>
      <c r="U69" s="37" t="n">
        <v>447482</v>
      </c>
      <c r="V69" s="18" t="n">
        <v>108341</v>
      </c>
      <c r="W69" s="18" t="n">
        <v>123335</v>
      </c>
      <c r="X69" s="18" t="n">
        <v>118213</v>
      </c>
      <c r="Y69" s="18" t="n">
        <v>167075</v>
      </c>
      <c r="Z69" s="37" t="n">
        <v>516964</v>
      </c>
      <c r="AA69" s="18" t="n">
        <v>134966</v>
      </c>
      <c r="AB69" s="19" t="n">
        <v>177513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영업이익</t>
        </is>
      </c>
      <c r="E70" s="18" t="n">
        <v>-29598.36</v>
      </c>
      <c r="F70" s="9" t="n"/>
      <c r="G70" s="18" t="n">
        <v>55356.7</v>
      </c>
      <c r="H70" s="18" t="n">
        <v>20707.51</v>
      </c>
      <c r="I70" s="18" t="n">
        <v>43416.64</v>
      </c>
      <c r="J70" s="18" t="n">
        <v>-34175.46</v>
      </c>
      <c r="K70" s="37" t="n">
        <v>85305.39</v>
      </c>
      <c r="L70" s="18" t="n">
        <v>92965.22</v>
      </c>
      <c r="M70" s="18" t="n">
        <v>103393.81</v>
      </c>
      <c r="N70" s="18" t="n">
        <v>55703.21</v>
      </c>
      <c r="O70" s="18" t="n">
        <v>202796.04</v>
      </c>
      <c r="P70" s="37" t="n">
        <v>454858.28</v>
      </c>
      <c r="Q70" s="18" t="n">
        <v>62768.08</v>
      </c>
      <c r="R70" s="18" t="n">
        <v>117482.22</v>
      </c>
      <c r="S70" s="18" t="n">
        <v>75844.28</v>
      </c>
      <c r="T70" s="18" t="n">
        <v>137332.41</v>
      </c>
      <c r="U70" s="37" t="n">
        <v>393426.99</v>
      </c>
      <c r="V70" s="18" t="n">
        <v>46038</v>
      </c>
      <c r="W70" s="18" t="n">
        <v>145635</v>
      </c>
      <c r="X70" s="18" t="n">
        <v>80066</v>
      </c>
      <c r="Y70" s="18" t="n">
        <v>224267</v>
      </c>
      <c r="Z70" s="37" t="n">
        <v>496006</v>
      </c>
      <c r="AA70" s="18" t="n">
        <v>86524</v>
      </c>
      <c r="AB70" s="19" t="n">
        <v>113116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금융손익</t>
        </is>
      </c>
      <c r="E71" s="18" t="n">
        <v>-50598.66</v>
      </c>
      <c r="F71" s="9" t="n"/>
      <c r="G71" s="18" t="n">
        <v>-70937.00999999999</v>
      </c>
      <c r="H71" s="18" t="n">
        <v>-123038.31</v>
      </c>
      <c r="I71" s="18" t="n">
        <v>-62833.09</v>
      </c>
      <c r="J71" s="18" t="n">
        <v>24898.46</v>
      </c>
      <c r="K71" s="37" t="n">
        <v>-231909.95</v>
      </c>
      <c r="L71" s="18" t="n">
        <v>-34254.83</v>
      </c>
      <c r="M71" s="18" t="n">
        <v>-27537.68</v>
      </c>
      <c r="N71" s="18" t="n">
        <v>-42130.32</v>
      </c>
      <c r="O71" s="18" t="n">
        <v>-33284</v>
      </c>
      <c r="P71" s="37" t="n">
        <v>-137206.83</v>
      </c>
      <c r="Q71" s="18" t="n">
        <v>-14854.07</v>
      </c>
      <c r="R71" s="18" t="n">
        <v>-39342.66</v>
      </c>
      <c r="S71" s="18" t="n">
        <v>-25275.08</v>
      </c>
      <c r="T71" s="18" t="n">
        <v>-69582.19</v>
      </c>
      <c r="U71" s="37" t="n">
        <v>-149054</v>
      </c>
      <c r="V71" s="18" t="n">
        <v>-38997</v>
      </c>
      <c r="W71" s="18" t="n">
        <v>22019</v>
      </c>
      <c r="X71" s="18" t="n">
        <v>-90824</v>
      </c>
      <c r="Y71" s="18" t="n">
        <v>-24834</v>
      </c>
      <c r="Z71" s="37" t="n">
        <v>-132636</v>
      </c>
      <c r="AA71" s="18" t="n">
        <v>-101583</v>
      </c>
      <c r="AB71" s="19" t="n">
        <v>26922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금융수익</t>
        </is>
      </c>
      <c r="E72" s="18" t="n">
        <v>28515.04</v>
      </c>
      <c r="F72" s="9" t="n"/>
      <c r="G72" s="18" t="n">
        <v>108586.21</v>
      </c>
      <c r="H72" s="18" t="n">
        <v>319193.52</v>
      </c>
      <c r="I72" s="18" t="n">
        <v>533885.34</v>
      </c>
      <c r="J72" s="18" t="n">
        <v>-388869.17</v>
      </c>
      <c r="K72" s="37" t="n">
        <v>572795.9</v>
      </c>
      <c r="L72" s="18" t="n">
        <v>220348.24</v>
      </c>
      <c r="M72" s="18" t="n">
        <v>139885.25</v>
      </c>
      <c r="N72" s="18" t="n">
        <v>155422.13</v>
      </c>
      <c r="O72" s="18" t="n">
        <v>-57330.46</v>
      </c>
      <c r="P72" s="37" t="n">
        <v>458325.16</v>
      </c>
      <c r="Q72" s="18" t="n">
        <v>288620.9</v>
      </c>
      <c r="R72" s="18" t="n">
        <v>206253.4</v>
      </c>
      <c r="S72" s="18" t="n">
        <v>-103250.06</v>
      </c>
      <c r="T72" s="18" t="n">
        <v>521591.75</v>
      </c>
      <c r="U72" s="37" t="n">
        <v>913215.99</v>
      </c>
      <c r="V72" s="18" t="n">
        <v>177241</v>
      </c>
      <c r="W72" s="18" t="n">
        <v>342746</v>
      </c>
      <c r="X72" s="18" t="n">
        <v>-26611</v>
      </c>
      <c r="Y72" s="18" t="n">
        <v>207502</v>
      </c>
      <c r="Z72" s="37" t="n">
        <v>700878</v>
      </c>
      <c r="AA72" s="18" t="n">
        <v>473603</v>
      </c>
      <c r="AB72" s="19" t="n">
        <v>313250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금융비용</t>
        </is>
      </c>
      <c r="E73" s="18" t="n">
        <v>79113.7</v>
      </c>
      <c r="F73" s="9" t="n"/>
      <c r="G73" s="18" t="n">
        <v>179523.22</v>
      </c>
      <c r="H73" s="18" t="n">
        <v>442231.83</v>
      </c>
      <c r="I73" s="18" t="n">
        <v>596718.4300000001</v>
      </c>
      <c r="J73" s="18" t="n">
        <v>-413767.63</v>
      </c>
      <c r="K73" s="37" t="n">
        <v>804705.85</v>
      </c>
      <c r="L73" s="18" t="n">
        <v>254603.08</v>
      </c>
      <c r="M73" s="18" t="n">
        <v>167422.93</v>
      </c>
      <c r="N73" s="18" t="n">
        <v>197552.45</v>
      </c>
      <c r="O73" s="18" t="n">
        <v>-24046.45</v>
      </c>
      <c r="P73" s="37" t="n">
        <v>595532.01</v>
      </c>
      <c r="Q73" s="18" t="n">
        <v>303474.97</v>
      </c>
      <c r="R73" s="18" t="n">
        <v>245596.05</v>
      </c>
      <c r="S73" s="18" t="n">
        <v>-77974.97</v>
      </c>
      <c r="T73" s="18" t="n">
        <v>591173.95</v>
      </c>
      <c r="U73" s="37" t="n">
        <v>1062270</v>
      </c>
      <c r="V73" s="18" t="n">
        <v>216238</v>
      </c>
      <c r="W73" s="18" t="n">
        <v>320727</v>
      </c>
      <c r="X73" s="18" t="n">
        <v>64213</v>
      </c>
      <c r="Y73" s="18" t="n">
        <v>232336</v>
      </c>
      <c r="Z73" s="37" t="n">
        <v>833514</v>
      </c>
      <c r="AA73" s="18" t="n">
        <v>575186</v>
      </c>
      <c r="AB73" s="19" t="n">
        <v>286328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기타영업외손익</t>
        </is>
      </c>
      <c r="E74" s="18" t="n">
        <v>-230996.58</v>
      </c>
      <c r="F74" s="9" t="n"/>
      <c r="G74" s="18" t="n">
        <v>3037.67</v>
      </c>
      <c r="H74" s="18" t="n">
        <v>-131526.99</v>
      </c>
      <c r="I74" s="18" t="n">
        <v>-71102.52</v>
      </c>
      <c r="J74" s="18" t="n">
        <v>-974294.05</v>
      </c>
      <c r="K74" s="37" t="n">
        <v>-1173885.89</v>
      </c>
      <c r="L74" s="18" t="n">
        <v>-29832.17</v>
      </c>
      <c r="M74" s="18" t="n">
        <v>15541.98</v>
      </c>
      <c r="N74" s="18" t="n">
        <v>-49042.48</v>
      </c>
      <c r="O74" s="18" t="n">
        <v>-489016.98</v>
      </c>
      <c r="P74" s="37" t="n">
        <v>-552349.65</v>
      </c>
      <c r="Q74" s="18" t="n">
        <v>15684.99</v>
      </c>
      <c r="R74" s="18" t="n">
        <v>45750.24</v>
      </c>
      <c r="S74" s="18" t="n">
        <v>-8925.5</v>
      </c>
      <c r="T74" s="18" t="n">
        <v>-469968.73</v>
      </c>
      <c r="U74" s="37" t="n">
        <v>-417459</v>
      </c>
      <c r="V74" s="18" t="n">
        <v>-31009</v>
      </c>
      <c r="W74" s="18" t="n">
        <v>107611</v>
      </c>
      <c r="X74" s="18" t="n">
        <v>-39983</v>
      </c>
      <c r="Y74" s="18" t="n">
        <v>17235</v>
      </c>
      <c r="Z74" s="37" t="n">
        <v>53854</v>
      </c>
      <c r="AA74" s="18" t="n">
        <v>-13851</v>
      </c>
      <c r="AB74" s="19" t="n">
        <v>-59470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기타영업외수익</t>
        </is>
      </c>
      <c r="E75" s="18" t="n">
        <v>11616.93</v>
      </c>
      <c r="F75" s="9" t="n"/>
      <c r="G75" s="18" t="n">
        <v>25395.81</v>
      </c>
      <c r="H75" s="18" t="n">
        <v>65777.24000000001</v>
      </c>
      <c r="I75" s="18" t="n">
        <v>23104.76</v>
      </c>
      <c r="J75" s="18" t="n">
        <v>272.85</v>
      </c>
      <c r="K75" s="37" t="n">
        <v>114550.66</v>
      </c>
      <c r="L75" s="18" t="n">
        <v>3427.7</v>
      </c>
      <c r="M75" s="18" t="n">
        <v>39756.35</v>
      </c>
      <c r="N75" s="18" t="n">
        <v>3072.79</v>
      </c>
      <c r="O75" s="18" t="n">
        <v>23982.05</v>
      </c>
      <c r="P75" s="37" t="n">
        <v>70238.89</v>
      </c>
      <c r="Q75" s="18" t="n">
        <v>43238.63</v>
      </c>
      <c r="R75" s="18" t="n">
        <v>56086.19</v>
      </c>
      <c r="S75" s="18" t="n">
        <v>1361.75</v>
      </c>
      <c r="T75" s="18" t="n">
        <v>56128.43</v>
      </c>
      <c r="U75" s="37" t="n">
        <v>156815</v>
      </c>
      <c r="V75" s="18" t="n">
        <v>3984</v>
      </c>
      <c r="W75" s="18" t="n">
        <v>109754</v>
      </c>
      <c r="X75" s="18" t="n">
        <v>-9915</v>
      </c>
      <c r="Y75" s="18" t="n">
        <v>447459</v>
      </c>
      <c r="Z75" s="37" t="n">
        <v>551282</v>
      </c>
      <c r="AA75" s="18" t="n">
        <v>4253</v>
      </c>
      <c r="AB75" s="19" t="n">
        <v>19746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기타영업외비용</t>
        </is>
      </c>
      <c r="E76" s="18" t="n">
        <v>242613.51</v>
      </c>
      <c r="F76" s="9" t="n"/>
      <c r="G76" s="18" t="n">
        <v>22358.15</v>
      </c>
      <c r="H76" s="18" t="n">
        <v>197304.24</v>
      </c>
      <c r="I76" s="18" t="n">
        <v>94207.28</v>
      </c>
      <c r="J76" s="18" t="n">
        <v>974566.89</v>
      </c>
      <c r="K76" s="37" t="n">
        <v>1288436.56</v>
      </c>
      <c r="L76" s="18" t="n">
        <v>33259.87</v>
      </c>
      <c r="M76" s="18" t="n">
        <v>24214.37</v>
      </c>
      <c r="N76" s="18" t="n">
        <v>52115.28</v>
      </c>
      <c r="O76" s="18" t="n">
        <v>512999.03</v>
      </c>
      <c r="P76" s="37" t="n">
        <v>622588.55</v>
      </c>
      <c r="Q76" s="18" t="n">
        <v>27553.64</v>
      </c>
      <c r="R76" s="18" t="n">
        <v>10335.96</v>
      </c>
      <c r="S76" s="18" t="n">
        <v>10287.24</v>
      </c>
      <c r="T76" s="18" t="n">
        <v>526097.16</v>
      </c>
      <c r="U76" s="37" t="n">
        <v>574274</v>
      </c>
      <c r="V76" s="18" t="n">
        <v>34993</v>
      </c>
      <c r="W76" s="18" t="n">
        <v>2143</v>
      </c>
      <c r="X76" s="18" t="n">
        <v>30068</v>
      </c>
      <c r="Y76" s="18" t="n">
        <v>430224</v>
      </c>
      <c r="Z76" s="37" t="n">
        <v>497428</v>
      </c>
      <c r="AA76" s="18" t="n">
        <v>18104</v>
      </c>
      <c r="AB76" s="19" t="n">
        <v>79216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법인세비용차감전계속사업이익</t>
        </is>
      </c>
      <c r="E77" s="18" t="n">
        <v>-311193.61</v>
      </c>
      <c r="F77" s="9" t="n"/>
      <c r="G77" s="18" t="n">
        <v>-12542.65</v>
      </c>
      <c r="H77" s="18" t="n">
        <v>-233857.79</v>
      </c>
      <c r="I77" s="18" t="n">
        <v>-90518.97</v>
      </c>
      <c r="J77" s="18" t="n">
        <v>-983571.04</v>
      </c>
      <c r="K77" s="37" t="n">
        <v>-1320490.45</v>
      </c>
      <c r="L77" s="18" t="n">
        <v>28878.22</v>
      </c>
      <c r="M77" s="18" t="n">
        <v>91398.11</v>
      </c>
      <c r="N77" s="18" t="n">
        <v>-35469.59</v>
      </c>
      <c r="O77" s="18" t="n">
        <v>-319504.95</v>
      </c>
      <c r="P77" s="37" t="n">
        <v>-234698.21</v>
      </c>
      <c r="Q77" s="18" t="n">
        <v>63599</v>
      </c>
      <c r="R77" s="18" t="n">
        <v>123889.81</v>
      </c>
      <c r="S77" s="18" t="n">
        <v>41643.7</v>
      </c>
      <c r="T77" s="18" t="n">
        <v>-402218.51</v>
      </c>
      <c r="U77" s="37" t="n">
        <v>-173086</v>
      </c>
      <c r="V77" s="18" t="n">
        <v>-23968</v>
      </c>
      <c r="W77" s="18" t="n">
        <v>275265</v>
      </c>
      <c r="X77" s="18" t="n">
        <v>-50741</v>
      </c>
      <c r="Y77" s="18" t="n">
        <v>216668</v>
      </c>
      <c r="Z77" s="37" t="n">
        <v>417224</v>
      </c>
      <c r="AA77" s="18" t="n">
        <v>-28910</v>
      </c>
      <c r="AB77" s="19" t="n">
        <v>80568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법인세비용</t>
        </is>
      </c>
      <c r="E78" s="18" t="n">
        <v>-210112.42</v>
      </c>
      <c r="F78" s="9" t="n"/>
      <c r="G78" s="18" t="n">
        <v>832.24</v>
      </c>
      <c r="H78" s="18" t="n">
        <v>-2796</v>
      </c>
      <c r="I78" s="18" t="n">
        <v>-5147.45</v>
      </c>
      <c r="J78" s="18" t="n">
        <v>-101535.86</v>
      </c>
      <c r="K78" s="37" t="n">
        <v>-108647.07</v>
      </c>
      <c r="L78" s="18" t="n">
        <v>-501.1</v>
      </c>
      <c r="M78" s="18" t="n">
        <v>8130.17</v>
      </c>
      <c r="N78" s="18" t="n">
        <v>-308.03</v>
      </c>
      <c r="O78" s="18" t="n">
        <v>-137839.93</v>
      </c>
      <c r="P78" s="37" t="n">
        <v>-130518.89</v>
      </c>
      <c r="Q78" s="18" t="n">
        <v>14327.68</v>
      </c>
      <c r="R78" s="18" t="n">
        <v>12415.31</v>
      </c>
      <c r="S78" s="18" t="n">
        <v>27383.96</v>
      </c>
      <c r="T78" s="18" t="n">
        <v>-56907.95</v>
      </c>
      <c r="U78" s="37" t="n">
        <v>-2781</v>
      </c>
      <c r="V78" s="18" t="n">
        <v>1243</v>
      </c>
      <c r="W78" s="18" t="n">
        <v>50385</v>
      </c>
      <c r="X78" s="18" t="n">
        <v>-18696</v>
      </c>
      <c r="Y78" s="18" t="n">
        <v>-123374</v>
      </c>
      <c r="Z78" s="37" t="n">
        <v>-90442</v>
      </c>
      <c r="AA78" s="18" t="n">
        <v>-3151</v>
      </c>
      <c r="AB78" s="19" t="n">
        <v>19343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당기순이익</t>
        </is>
      </c>
      <c r="E79" s="18" t="n">
        <v>-101081.18</v>
      </c>
      <c r="F79" s="9" t="n"/>
      <c r="G79" s="18" t="n">
        <v>-13374.89</v>
      </c>
      <c r="H79" s="18" t="n">
        <v>-231061.79</v>
      </c>
      <c r="I79" s="18" t="n">
        <v>-85371.52</v>
      </c>
      <c r="J79" s="18" t="n">
        <v>-882035.17</v>
      </c>
      <c r="K79" s="37" t="n">
        <v>-1211843.37</v>
      </c>
      <c r="L79" s="18" t="n">
        <v>29379.32</v>
      </c>
      <c r="M79" s="18" t="n">
        <v>83267.95</v>
      </c>
      <c r="N79" s="18" t="n">
        <v>-35161.56</v>
      </c>
      <c r="O79" s="18" t="n">
        <v>-181665.01</v>
      </c>
      <c r="P79" s="37" t="n">
        <v>-104179.3</v>
      </c>
      <c r="Q79" s="18" t="n">
        <v>49271.32</v>
      </c>
      <c r="R79" s="18" t="n">
        <v>111474.5</v>
      </c>
      <c r="S79" s="18" t="n">
        <v>14259.74</v>
      </c>
      <c r="T79" s="18" t="n">
        <v>-345310.56</v>
      </c>
      <c r="U79" s="37" t="n">
        <v>-170305</v>
      </c>
      <c r="V79" s="18" t="n">
        <v>-25211</v>
      </c>
      <c r="W79" s="18" t="n">
        <v>224880</v>
      </c>
      <c r="X79" s="18" t="n">
        <v>-32045</v>
      </c>
      <c r="Y79" s="18" t="n">
        <v>340042</v>
      </c>
      <c r="Z79" s="37" t="n">
        <v>507666</v>
      </c>
      <c r="AB79" s="19" t="n">
        <v>61225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(지배주주지분)당기순이익</t>
        </is>
      </c>
      <c r="E80" s="18" t="n">
        <v>-101081.18</v>
      </c>
      <c r="F80" s="9" t="n"/>
      <c r="G80" s="18" t="n">
        <v>-13374.89</v>
      </c>
      <c r="H80" s="18" t="n">
        <v>-231061.79</v>
      </c>
      <c r="I80" s="18" t="n">
        <v>-85371.52</v>
      </c>
      <c r="J80" s="18" t="n">
        <v>-882035.17</v>
      </c>
      <c r="K80" s="37" t="n">
        <v>-1211843.37</v>
      </c>
      <c r="L80" s="18" t="n">
        <v>29379.32</v>
      </c>
      <c r="M80" s="18" t="n">
        <v>83267.95</v>
      </c>
      <c r="N80" s="18" t="n">
        <v>-35161.56</v>
      </c>
      <c r="O80" s="18" t="n">
        <v>-181665.01</v>
      </c>
      <c r="P80" s="37" t="n">
        <v>-104179.3</v>
      </c>
      <c r="Q80" s="18" t="n">
        <v>49271.32</v>
      </c>
      <c r="R80" s="18" t="n">
        <v>111474.5</v>
      </c>
      <c r="S80" s="18" t="n">
        <v>14259.74</v>
      </c>
      <c r="T80" s="18" t="n">
        <v>-345310.56</v>
      </c>
      <c r="U80" s="37" t="n">
        <v>-170305</v>
      </c>
      <c r="V80" s="18" t="n">
        <v>-25211</v>
      </c>
      <c r="W80" s="18" t="n">
        <v>224880</v>
      </c>
      <c r="X80" s="18" t="n">
        <v>-32045</v>
      </c>
      <c r="Y80" s="18" t="n">
        <v>340042</v>
      </c>
      <c r="Z80" s="37" t="n">
        <v>507666</v>
      </c>
      <c r="AB80" s="19" t="n">
        <v>61225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계속사업이익</t>
        </is>
      </c>
      <c r="E81" s="18" t="n">
        <v>-101081.18</v>
      </c>
      <c r="F81" s="9" t="n"/>
      <c r="G81" s="18" t="n">
        <v>-13374.89</v>
      </c>
      <c r="H81" s="18" t="n">
        <v>-231061.79</v>
      </c>
      <c r="I81" s="18" t="n">
        <v>-85371.52</v>
      </c>
      <c r="J81" s="18" t="n">
        <v>-882035.17</v>
      </c>
      <c r="K81" s="37" t="n">
        <v>-1211843.37</v>
      </c>
      <c r="L81" s="18" t="n">
        <v>29379.32</v>
      </c>
      <c r="M81" s="18" t="n">
        <v>83267.95</v>
      </c>
      <c r="N81" s="18" t="n">
        <v>-35161.56</v>
      </c>
      <c r="O81" s="18" t="n">
        <v>-181665.01</v>
      </c>
      <c r="P81" s="37" t="n">
        <v>-104179.3</v>
      </c>
      <c r="Q81" s="18" t="n">
        <v>49271.32</v>
      </c>
      <c r="R81" s="18" t="n">
        <v>111474.5</v>
      </c>
      <c r="S81" s="18" t="n">
        <v>14259.74</v>
      </c>
      <c r="T81" s="18" t="n">
        <v>-345310.56</v>
      </c>
      <c r="U81" s="37" t="n">
        <v>-170305</v>
      </c>
      <c r="V81" s="18" t="n">
        <v>-25211</v>
      </c>
      <c r="W81" s="18" t="n">
        <v>224880</v>
      </c>
      <c r="X81" s="18" t="n">
        <v>-32045</v>
      </c>
      <c r="Y81" s="18" t="n">
        <v>340042</v>
      </c>
      <c r="Z81" s="37" t="n">
        <v>507666</v>
      </c>
      <c r="AB81" s="19" t="n">
        <v>61225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총포괄손익</t>
        </is>
      </c>
      <c r="E82" s="18" t="n">
        <v>44866.64</v>
      </c>
      <c r="F82" s="9" t="n"/>
      <c r="G82" s="18" t="n">
        <v>-9887.280000000001</v>
      </c>
      <c r="H82" s="18" t="n">
        <v>-213665.78</v>
      </c>
      <c r="I82" s="18" t="n">
        <v>-43859.17</v>
      </c>
      <c r="J82" s="18" t="n">
        <v>-901178.04</v>
      </c>
      <c r="K82" s="37" t="n">
        <v>-1168590.27</v>
      </c>
      <c r="L82" s="18" t="n">
        <v>45963.73</v>
      </c>
      <c r="M82" s="18" t="n">
        <v>65238.58</v>
      </c>
      <c r="N82" s="18" t="n">
        <v>-27058.26</v>
      </c>
      <c r="O82" s="18" t="n">
        <v>-297567.61</v>
      </c>
      <c r="P82" s="37" t="n">
        <v>-213423.56</v>
      </c>
      <c r="Q82" s="18" t="n">
        <v>59557.27</v>
      </c>
      <c r="R82" s="18" t="n">
        <v>119780.5</v>
      </c>
      <c r="S82" s="18" t="n">
        <v>5762.92</v>
      </c>
      <c r="T82" s="18" t="n">
        <v>-373516.69</v>
      </c>
      <c r="U82" s="37" t="n">
        <v>-188416</v>
      </c>
      <c r="V82" s="18" t="n">
        <v>-10140</v>
      </c>
      <c r="W82" s="18" t="n">
        <v>179975</v>
      </c>
      <c r="X82" s="18" t="n">
        <v>-6617</v>
      </c>
      <c r="Y82" s="18" t="n">
        <v>300784</v>
      </c>
      <c r="Z82" s="37" t="n">
        <v>464002</v>
      </c>
      <c r="AA82" s="18" t="n">
        <v>33251</v>
      </c>
      <c r="AB82" s="19" t="n">
        <v>75039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영업활동으로인한현금흐름</t>
        </is>
      </c>
      <c r="E83" s="18" t="n">
        <v>563731.61</v>
      </c>
      <c r="F83" s="9" t="n"/>
      <c r="G83" s="18" t="n">
        <v>-138219.47</v>
      </c>
      <c r="H83" s="18" t="n">
        <v>208242.93</v>
      </c>
      <c r="I83" s="18" t="n">
        <v>246845.32</v>
      </c>
      <c r="J83" s="18" t="n">
        <v>-45125.18</v>
      </c>
      <c r="K83" s="37" t="n">
        <v>271743.6</v>
      </c>
      <c r="L83" s="18" t="n">
        <v>6966.18</v>
      </c>
      <c r="M83" s="18" t="n">
        <v>714295.2</v>
      </c>
      <c r="N83" s="18" t="n">
        <v>-315316.79</v>
      </c>
      <c r="O83" s="18" t="n">
        <v>460033.4</v>
      </c>
      <c r="P83" s="37" t="n">
        <v>865977.99</v>
      </c>
      <c r="Q83" s="18" t="n">
        <v>32708.38</v>
      </c>
      <c r="R83" s="18" t="n">
        <v>-257345.17</v>
      </c>
      <c r="S83" s="18" t="n">
        <v>-593915.13</v>
      </c>
      <c r="T83" s="18" t="n">
        <v>704831.92</v>
      </c>
      <c r="U83" s="37" t="n">
        <v>-113720</v>
      </c>
      <c r="V83" s="18" t="n">
        <v>-759580</v>
      </c>
      <c r="W83" s="18" t="n">
        <v>-187923</v>
      </c>
      <c r="X83" s="18" t="n">
        <v>-215790</v>
      </c>
      <c r="Y83" s="18" t="n">
        <v>1011602</v>
      </c>
      <c r="Z83" s="37" t="n">
        <v>-151691</v>
      </c>
      <c r="AA83" s="18" t="n">
        <v>-628342</v>
      </c>
      <c r="AB83" s="19" t="n">
        <v>-199377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이자수취(CF)</t>
        </is>
      </c>
      <c r="E84" s="18" t="n">
        <v>1499.19</v>
      </c>
      <c r="F84" s="9" t="n"/>
      <c r="G84" s="18" t="n">
        <v>1144.67</v>
      </c>
      <c r="H84" s="18" t="n">
        <v>1350.09</v>
      </c>
      <c r="I84" s="18" t="n">
        <v>1395.22</v>
      </c>
      <c r="J84" s="18" t="n">
        <v>2986.31</v>
      </c>
      <c r="K84" s="37" t="n">
        <v>6876.29</v>
      </c>
      <c r="L84" s="18" t="n">
        <v>1550.14</v>
      </c>
      <c r="M84" s="18" t="n">
        <v>1104.94</v>
      </c>
      <c r="N84" s="18" t="n">
        <v>1637.79</v>
      </c>
      <c r="O84" s="18" t="n">
        <v>4301.58</v>
      </c>
      <c r="P84" s="37" t="n">
        <v>8594.450000000001</v>
      </c>
      <c r="Q84" s="18" t="n">
        <v>2092.76</v>
      </c>
      <c r="R84" s="18" t="n">
        <v>3451.28</v>
      </c>
      <c r="S84" s="18" t="n">
        <v>2685.54</v>
      </c>
      <c r="T84" s="18" t="n">
        <v>4780.42</v>
      </c>
      <c r="U84" s="37" t="n">
        <v>13010</v>
      </c>
      <c r="V84" s="18" t="n">
        <v>1957</v>
      </c>
      <c r="W84" s="18" t="n">
        <v>1893</v>
      </c>
      <c r="X84" s="18" t="n">
        <v>7593</v>
      </c>
      <c r="Y84" s="18" t="n">
        <v>3766</v>
      </c>
      <c r="Z84" s="37" t="n">
        <v>15209</v>
      </c>
      <c r="AA84" s="18" t="n">
        <v>1572</v>
      </c>
      <c r="AB84" s="19" t="n">
        <v>1305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이자지급(CF)</t>
        </is>
      </c>
      <c r="E85" s="18" t="n">
        <v>-45625.06</v>
      </c>
      <c r="F85" s="9" t="n"/>
      <c r="G85" s="18" t="n">
        <v>-36246.65</v>
      </c>
      <c r="H85" s="18" t="n">
        <v>-31137.49</v>
      </c>
      <c r="I85" s="18" t="n">
        <v>-34607.93</v>
      </c>
      <c r="J85" s="18" t="n">
        <v>-42792.76</v>
      </c>
      <c r="K85" s="37" t="n">
        <v>-144784.83</v>
      </c>
      <c r="L85" s="18" t="n">
        <v>-47698.86</v>
      </c>
      <c r="M85" s="18" t="n">
        <v>-48543.35</v>
      </c>
      <c r="P85" s="9" t="n"/>
      <c r="Q85" s="18" t="n">
        <v>-50325.21</v>
      </c>
      <c r="R85" s="18" t="n">
        <v>-48947.27</v>
      </c>
      <c r="S85" s="18" t="n">
        <v>-50779.61</v>
      </c>
      <c r="T85" s="18" t="n">
        <v>-51573.91</v>
      </c>
      <c r="U85" s="37" t="n">
        <v>-201626</v>
      </c>
      <c r="V85" s="18" t="n">
        <v>-50817</v>
      </c>
      <c r="W85" s="18" t="n">
        <v>-50136</v>
      </c>
      <c r="X85" s="18" t="n">
        <v>-52600</v>
      </c>
      <c r="Y85" s="18" t="n">
        <v>-50572</v>
      </c>
      <c r="Z85" s="37" t="n">
        <v>-204125</v>
      </c>
      <c r="AA85" s="18" t="n">
        <v>-46483</v>
      </c>
      <c r="AB85" s="19" t="n">
        <v>-53445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배당금수취(CF)</t>
        </is>
      </c>
      <c r="E86" s="18" t="n">
        <v>0</v>
      </c>
      <c r="F86" s="9" t="n"/>
      <c r="G86" s="18" t="n">
        <v>78</v>
      </c>
      <c r="H86" s="18" t="n">
        <v>83459.35000000001</v>
      </c>
      <c r="I86" s="18" t="n">
        <v>30825.75</v>
      </c>
      <c r="J86" s="18" t="n">
        <v>0</v>
      </c>
      <c r="K86" s="37" t="n">
        <v>114363.1</v>
      </c>
      <c r="L86" s="18" t="n">
        <v>831.5</v>
      </c>
      <c r="M86" s="18" t="n">
        <v>105866.56</v>
      </c>
      <c r="N86" s="18" t="n">
        <v>38665.27</v>
      </c>
      <c r="O86" s="18" t="n">
        <v>64782</v>
      </c>
      <c r="P86" s="37" t="n">
        <v>210145.33</v>
      </c>
      <c r="Q86" s="18" t="n">
        <v>2497.81</v>
      </c>
      <c r="R86" s="18" t="n">
        <v>107256.32</v>
      </c>
      <c r="S86" s="18" t="n">
        <v>37329.37</v>
      </c>
      <c r="T86" s="18" t="n">
        <v>4520.5</v>
      </c>
      <c r="U86" s="37" t="n">
        <v>151604</v>
      </c>
      <c r="V86" s="18" t="n">
        <v>1503</v>
      </c>
      <c r="W86" s="18" t="n">
        <v>95585</v>
      </c>
      <c r="X86" s="18" t="n">
        <v>21365</v>
      </c>
      <c r="Y86" s="18" t="n">
        <v>18470</v>
      </c>
      <c r="Z86" s="37" t="n">
        <v>136923</v>
      </c>
      <c r="AA86" s="18" t="n">
        <v>909</v>
      </c>
      <c r="AB86" s="19" t="n">
        <v>41647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법인세납부(CF)</t>
        </is>
      </c>
      <c r="E87" s="18" t="n">
        <v>-2509.04</v>
      </c>
      <c r="F87" s="9" t="n"/>
      <c r="G87" s="18" t="n">
        <v>-2142.94</v>
      </c>
      <c r="H87" s="18" t="n">
        <v>-2451.04</v>
      </c>
      <c r="I87" s="18" t="n">
        <v>-8528.549999999999</v>
      </c>
      <c r="J87" s="18" t="n">
        <v>-29299.67</v>
      </c>
      <c r="K87" s="37" t="n">
        <v>-42422.2</v>
      </c>
      <c r="L87" s="18" t="n">
        <v>-1905.68</v>
      </c>
      <c r="M87" s="18" t="n">
        <v>-1525.36</v>
      </c>
      <c r="N87" s="18" t="n">
        <v>-1076.08</v>
      </c>
      <c r="O87" s="18" t="n">
        <v>-157.4</v>
      </c>
      <c r="P87" s="37" t="n">
        <v>-4664.52</v>
      </c>
      <c r="Q87" s="18" t="n">
        <v>-8114.96</v>
      </c>
      <c r="R87" s="18" t="n">
        <v>-5534.51</v>
      </c>
      <c r="S87" s="18" t="n">
        <v>-5196.18</v>
      </c>
      <c r="T87" s="18" t="n">
        <v>7512.65</v>
      </c>
      <c r="U87" s="37" t="n">
        <v>-11333</v>
      </c>
      <c r="V87" s="18" t="n">
        <v>-3965</v>
      </c>
      <c r="W87" s="18" t="n">
        <v>-5332</v>
      </c>
      <c r="X87" s="18" t="n">
        <v>5238</v>
      </c>
      <c r="Y87" s="18" t="n">
        <v>-3823</v>
      </c>
      <c r="Z87" s="37" t="n">
        <v>-7882</v>
      </c>
      <c r="AA87" s="18" t="n">
        <v>-6921</v>
      </c>
      <c r="AB87" s="19" t="n">
        <v>-9743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투자활동으로인한현금흐름</t>
        </is>
      </c>
      <c r="E88" s="18" t="n">
        <v>-72016.14</v>
      </c>
      <c r="F88" s="9" t="n"/>
      <c r="G88" s="18" t="n">
        <v>-6582.96</v>
      </c>
      <c r="H88" s="18" t="n">
        <v>-254191.29</v>
      </c>
      <c r="I88" s="18" t="n">
        <v>-132056.24</v>
      </c>
      <c r="J88" s="18" t="n">
        <v>-37780.04</v>
      </c>
      <c r="K88" s="37" t="n">
        <v>-430610.53</v>
      </c>
      <c r="L88" s="18" t="n">
        <v>-174297.76</v>
      </c>
      <c r="M88" s="18" t="n">
        <v>228585.53</v>
      </c>
      <c r="N88" s="18" t="n">
        <v>-120561.78</v>
      </c>
      <c r="O88" s="18" t="n">
        <v>-165306.73</v>
      </c>
      <c r="P88" s="37" t="n">
        <v>-231580.74</v>
      </c>
      <c r="Q88" s="18" t="n">
        <v>-133299.25</v>
      </c>
      <c r="R88" s="18" t="n">
        <v>-98484.61</v>
      </c>
      <c r="S88" s="18" t="n">
        <v>-64969.63</v>
      </c>
      <c r="T88" s="18" t="n">
        <v>-94484.50999999999</v>
      </c>
      <c r="U88" s="37" t="n">
        <v>-391238</v>
      </c>
      <c r="V88" s="18" t="n">
        <v>16664</v>
      </c>
      <c r="W88" s="18" t="n">
        <v>-52716</v>
      </c>
      <c r="X88" s="18" t="n">
        <v>-92071</v>
      </c>
      <c r="Y88" s="18" t="n">
        <v>319757</v>
      </c>
      <c r="Z88" s="37" t="n">
        <v>191634</v>
      </c>
      <c r="AA88" s="18" t="n">
        <v>-169872</v>
      </c>
      <c r="AB88" s="19" t="n">
        <v>-172687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유형자산의감소</t>
        </is>
      </c>
      <c r="E89" s="18" t="n">
        <v>166.7</v>
      </c>
      <c r="F89" s="9" t="n"/>
      <c r="G89" s="18" t="n">
        <v>116</v>
      </c>
      <c r="H89" s="18" t="n">
        <v>1558.73</v>
      </c>
      <c r="I89" s="18" t="n">
        <v>468.88</v>
      </c>
      <c r="J89" s="18" t="n">
        <v>1736.65</v>
      </c>
      <c r="K89" s="37" t="n">
        <v>3880.26</v>
      </c>
      <c r="L89" s="18" t="n">
        <v>351.6</v>
      </c>
      <c r="M89" s="18" t="n">
        <v>2771.77</v>
      </c>
      <c r="N89" s="18" t="n">
        <v>2.25</v>
      </c>
      <c r="O89" s="18" t="n">
        <v>832.3099999999999</v>
      </c>
      <c r="P89" s="37" t="n">
        <v>3957.93</v>
      </c>
      <c r="Q89" s="18" t="n">
        <v>255.95</v>
      </c>
      <c r="R89" s="18" t="n">
        <v>1783.82</v>
      </c>
      <c r="S89" s="18" t="n">
        <v>1174.11</v>
      </c>
      <c r="T89" s="18" t="n">
        <v>619.12</v>
      </c>
      <c r="U89" s="37" t="n">
        <v>3833</v>
      </c>
      <c r="V89" s="18" t="n">
        <v>175</v>
      </c>
      <c r="X89" s="18" t="n">
        <v>129</v>
      </c>
      <c r="Y89" s="18" t="n">
        <v>3291</v>
      </c>
      <c r="Z89" s="9" t="n"/>
      <c r="AA89" s="18" t="n">
        <v>0</v>
      </c>
      <c r="AB89" s="19" t="n">
        <v>829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유형자산의증가</t>
        </is>
      </c>
      <c r="E90" s="18" t="n">
        <v>24839.8</v>
      </c>
      <c r="F90" s="9" t="n"/>
      <c r="G90" s="18" t="n">
        <v>5571.08</v>
      </c>
      <c r="H90" s="18" t="n">
        <v>4805.9</v>
      </c>
      <c r="I90" s="18" t="n">
        <v>18017.55</v>
      </c>
      <c r="J90" s="18" t="n">
        <v>26260.14</v>
      </c>
      <c r="K90" s="37" t="n">
        <v>54654.67</v>
      </c>
      <c r="L90" s="18" t="n">
        <v>13913.83</v>
      </c>
      <c r="M90" s="18" t="n">
        <v>19531.67</v>
      </c>
      <c r="N90" s="18" t="n">
        <v>23111.46</v>
      </c>
      <c r="O90" s="18" t="n">
        <v>36684.98</v>
      </c>
      <c r="P90" s="37" t="n">
        <v>93241.94</v>
      </c>
      <c r="Q90" s="18" t="n">
        <v>10093.49</v>
      </c>
      <c r="R90" s="18" t="n">
        <v>17932.67</v>
      </c>
      <c r="S90" s="18" t="n">
        <v>24348.47</v>
      </c>
      <c r="T90" s="18" t="n">
        <v>50064.37</v>
      </c>
      <c r="U90" s="37" t="n">
        <v>102439</v>
      </c>
      <c r="V90" s="18" t="n">
        <v>11582</v>
      </c>
      <c r="X90" s="18" t="n">
        <v>63804</v>
      </c>
      <c r="Y90" s="18" t="n">
        <v>36200</v>
      </c>
      <c r="Z90" s="9" t="n"/>
      <c r="AA90" s="18" t="n">
        <v>40424</v>
      </c>
      <c r="AB90" s="19" t="n">
        <v>27837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CAPEX</t>
        </is>
      </c>
      <c r="E91" s="18" t="n">
        <v>71139.75999999999</v>
      </c>
      <c r="F91" s="9" t="n"/>
      <c r="G91" s="18" t="n">
        <v>32660.85</v>
      </c>
      <c r="H91" s="18" t="n">
        <v>35792.28</v>
      </c>
      <c r="I91" s="18" t="n">
        <v>42672.85</v>
      </c>
      <c r="J91" s="18" t="n">
        <v>61879.3</v>
      </c>
      <c r="K91" s="37" t="n">
        <v>173005.28</v>
      </c>
      <c r="L91" s="18" t="n">
        <v>38017.46</v>
      </c>
      <c r="M91" s="18" t="n">
        <v>48934.85</v>
      </c>
      <c r="N91" s="18" t="n">
        <v>44518.35</v>
      </c>
      <c r="O91" s="18" t="n">
        <v>59694.03</v>
      </c>
      <c r="P91" s="37" t="n">
        <v>191164.69</v>
      </c>
      <c r="Q91" s="18" t="n">
        <v>26900.45</v>
      </c>
      <c r="R91" s="18" t="n">
        <v>42850.24</v>
      </c>
      <c r="S91" s="18" t="n">
        <v>35604.83</v>
      </c>
      <c r="T91" s="18" t="n">
        <v>82230.48</v>
      </c>
      <c r="U91" s="37" t="n">
        <v>187586</v>
      </c>
      <c r="V91" s="18" t="n">
        <v>29320</v>
      </c>
      <c r="W91" s="18" t="n">
        <v>19705</v>
      </c>
      <c r="X91" s="18" t="n">
        <v>95344</v>
      </c>
      <c r="Y91" s="18" t="n">
        <v>74127</v>
      </c>
      <c r="Z91" s="37" t="n">
        <v>218496</v>
      </c>
      <c r="AA91" s="18" t="n">
        <v>74431</v>
      </c>
      <c r="AB91" s="19" t="n">
        <v>56149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무형자산의증가</t>
        </is>
      </c>
      <c r="E92" s="18" t="n">
        <v>46299.96</v>
      </c>
      <c r="F92" s="9" t="n"/>
      <c r="G92" s="18" t="n">
        <v>27089.77</v>
      </c>
      <c r="H92" s="18" t="n">
        <v>30986.38</v>
      </c>
      <c r="I92" s="18" t="n">
        <v>24655.3</v>
      </c>
      <c r="J92" s="18" t="n">
        <v>35619.16</v>
      </c>
      <c r="K92" s="37" t="n">
        <v>118350.61</v>
      </c>
      <c r="L92" s="18" t="n">
        <v>24103.63</v>
      </c>
      <c r="M92" s="18" t="n">
        <v>29403.18</v>
      </c>
      <c r="N92" s="18" t="n">
        <v>21406.89</v>
      </c>
      <c r="O92" s="18" t="n">
        <v>23009.05</v>
      </c>
      <c r="P92" s="37" t="n">
        <v>97922.75</v>
      </c>
      <c r="Q92" s="18" t="n">
        <v>16806.96</v>
      </c>
      <c r="R92" s="18" t="n">
        <v>24917.57</v>
      </c>
      <c r="S92" s="18" t="n">
        <v>11256.36</v>
      </c>
      <c r="T92" s="18" t="n">
        <v>32166.11</v>
      </c>
      <c r="U92" s="37" t="n">
        <v>85147</v>
      </c>
      <c r="V92" s="18" t="n">
        <v>17738</v>
      </c>
      <c r="W92" s="18" t="n">
        <v>21632</v>
      </c>
      <c r="X92" s="18" t="n">
        <v>31540</v>
      </c>
      <c r="Y92" s="18" t="n">
        <v>37927</v>
      </c>
      <c r="Z92" s="37" t="n">
        <v>108837</v>
      </c>
      <c r="AA92" s="18" t="n">
        <v>34007</v>
      </c>
      <c r="AB92" s="19" t="n">
        <v>28312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재무활동으로인한현금흐름</t>
        </is>
      </c>
      <c r="E93" s="18" t="n">
        <v>-543842.97</v>
      </c>
      <c r="F93" s="9" t="n"/>
      <c r="G93" s="18" t="n">
        <v>-86988.82000000001</v>
      </c>
      <c r="H93" s="18" t="n">
        <v>110714.37</v>
      </c>
      <c r="I93" s="18" t="n">
        <v>29958.26</v>
      </c>
      <c r="J93" s="18" t="n">
        <v>-21307.26</v>
      </c>
      <c r="K93" s="37" t="n">
        <v>32376.55</v>
      </c>
      <c r="L93" s="18" t="n">
        <v>102849.3</v>
      </c>
      <c r="M93" s="18" t="n">
        <v>-115741.63</v>
      </c>
      <c r="N93" s="18" t="n">
        <v>-167272.88</v>
      </c>
      <c r="O93" s="18" t="n">
        <v>-32098.89</v>
      </c>
      <c r="P93" s="37" t="n">
        <v>-212264.1</v>
      </c>
      <c r="Q93" s="18" t="n">
        <v>22076.8</v>
      </c>
      <c r="R93" s="18" t="n">
        <v>117235.14</v>
      </c>
      <c r="S93" s="18" t="n">
        <v>499915.35</v>
      </c>
      <c r="T93" s="18" t="n">
        <v>-294678.29</v>
      </c>
      <c r="U93" s="37" t="n">
        <v>344549</v>
      </c>
      <c r="V93" s="18" t="n">
        <v>404393</v>
      </c>
      <c r="W93" s="18" t="n">
        <v>67641</v>
      </c>
      <c r="X93" s="18" t="n">
        <v>367389</v>
      </c>
      <c r="Y93" s="18" t="n">
        <v>-753929</v>
      </c>
      <c r="Z93" s="37" t="n">
        <v>85494</v>
      </c>
      <c r="AA93" s="18" t="n">
        <v>568932</v>
      </c>
      <c r="AB93" s="19" t="n">
        <v>148260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장기차입금의증가</t>
        </is>
      </c>
      <c r="E94" s="18" t="n">
        <v>300000</v>
      </c>
      <c r="F94" s="9" t="n"/>
      <c r="G94" s="18" t="n">
        <v>500000</v>
      </c>
      <c r="H94" s="18" t="n">
        <v>100000</v>
      </c>
      <c r="I94" s="18" t="n">
        <v>0</v>
      </c>
      <c r="J94" s="18" t="n">
        <v>544345</v>
      </c>
      <c r="K94" s="37" t="n">
        <v>1144345</v>
      </c>
      <c r="N94" s="18" t="n">
        <v>0</v>
      </c>
      <c r="O94" s="18" t="n">
        <v>100000</v>
      </c>
      <c r="P94" s="9" t="n"/>
      <c r="Q94" s="18" t="n">
        <v>570000</v>
      </c>
      <c r="R94" s="18" t="n">
        <v>19100</v>
      </c>
      <c r="S94" s="18" t="n">
        <v>240000</v>
      </c>
      <c r="T94" s="18" t="n">
        <v>310000</v>
      </c>
      <c r="U94" s="37" t="n">
        <v>1139100</v>
      </c>
      <c r="V94" s="18" t="n">
        <v>630000</v>
      </c>
      <c r="X94" s="18" t="n">
        <v>70000</v>
      </c>
      <c r="Y94" s="18" t="n">
        <v>0</v>
      </c>
      <c r="Z94" s="9" t="n"/>
      <c r="AA94" s="18" t="n">
        <v>160000</v>
      </c>
      <c r="AB94" s="19" t="n">
        <v>0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사채의증가</t>
        </is>
      </c>
      <c r="E95" s="18" t="n">
        <v>15000</v>
      </c>
      <c r="F95" s="9" t="n"/>
      <c r="G95" s="18" t="n">
        <v>110000</v>
      </c>
      <c r="H95" s="18" t="n">
        <v>80000</v>
      </c>
      <c r="I95" s="18" t="n">
        <v>80000</v>
      </c>
      <c r="J95" s="18" t="n">
        <v>0</v>
      </c>
      <c r="K95" s="37" t="n">
        <v>270000</v>
      </c>
      <c r="L95" s="18" t="n">
        <v>57000</v>
      </c>
      <c r="M95" s="18" t="n">
        <v>0</v>
      </c>
      <c r="N95" s="18" t="n">
        <v>372527</v>
      </c>
      <c r="O95" s="18" t="n">
        <v>0</v>
      </c>
      <c r="P95" s="37" t="n">
        <v>429527</v>
      </c>
      <c r="Q95" s="18" t="n">
        <v>99562.14</v>
      </c>
      <c r="R95" s="18" t="n">
        <v>0</v>
      </c>
      <c r="S95" s="18" t="n">
        <v>149413.97</v>
      </c>
      <c r="T95" s="18" t="n">
        <v>-0.11</v>
      </c>
      <c r="U95" s="37" t="n">
        <v>248976</v>
      </c>
      <c r="V95" s="18" t="n">
        <v>0</v>
      </c>
      <c r="W95" s="18" t="n">
        <v>128000</v>
      </c>
      <c r="X95" s="18" t="n">
        <v>0</v>
      </c>
      <c r="Y95" s="18" t="n">
        <v>0</v>
      </c>
      <c r="Z95" s="37" t="n">
        <v>128000</v>
      </c>
      <c r="AB95" s="5" t="n"/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단기차입금의감소</t>
        </is>
      </c>
      <c r="E96" s="18" t="n">
        <v>497300.64</v>
      </c>
      <c r="F96" s="9" t="n"/>
      <c r="G96" s="18" t="n">
        <v>1778859.38</v>
      </c>
      <c r="H96" s="18" t="n">
        <v>56808.15</v>
      </c>
      <c r="I96" s="18" t="n">
        <v>60038.08</v>
      </c>
      <c r="J96" s="18" t="n">
        <v>128642.7</v>
      </c>
      <c r="K96" s="37" t="n">
        <v>2024348.31</v>
      </c>
      <c r="L96" s="18" t="n">
        <v>97678.39</v>
      </c>
      <c r="M96" s="18" t="n">
        <v>136944.13</v>
      </c>
      <c r="N96" s="18" t="n">
        <v>22923.67</v>
      </c>
      <c r="O96" s="18" t="n">
        <v>24731.88</v>
      </c>
      <c r="P96" s="37" t="n">
        <v>282278.07</v>
      </c>
      <c r="Q96" s="18" t="n">
        <v>0</v>
      </c>
      <c r="R96" s="18" t="n">
        <v>0</v>
      </c>
      <c r="S96" s="18" t="n">
        <v>0</v>
      </c>
      <c r="T96" s="18" t="n">
        <v>0</v>
      </c>
      <c r="U96" s="37" t="n">
        <v>0</v>
      </c>
      <c r="Z96" s="9" t="n"/>
      <c r="AB96" s="5" t="n"/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유동성장기부채의감소</t>
        </is>
      </c>
      <c r="E97" s="18" t="n">
        <v>378575.51</v>
      </c>
      <c r="F97" s="9" t="n"/>
      <c r="G97" s="18" t="n">
        <v>333821.39</v>
      </c>
      <c r="H97" s="18" t="n">
        <v>114731.44</v>
      </c>
      <c r="I97" s="18" t="n">
        <v>5.36</v>
      </c>
      <c r="J97" s="18" t="n">
        <v>419684.47</v>
      </c>
      <c r="K97" s="37" t="n">
        <v>868242.66</v>
      </c>
      <c r="L97" s="18" t="n">
        <v>113550.5</v>
      </c>
      <c r="M97" s="18" t="n">
        <v>15000</v>
      </c>
      <c r="N97" s="18" t="n">
        <v>429877.14</v>
      </c>
      <c r="O97" s="18" t="n">
        <v>100000</v>
      </c>
      <c r="P97" s="37" t="n">
        <v>658427.64</v>
      </c>
      <c r="Q97" s="18" t="n">
        <v>743000</v>
      </c>
      <c r="R97" s="18" t="n">
        <v>100000</v>
      </c>
      <c r="S97" s="18" t="n">
        <v>162663.36</v>
      </c>
      <c r="T97" s="18" t="n">
        <v>399999.64</v>
      </c>
      <c r="U97" s="37" t="n">
        <v>1405663</v>
      </c>
      <c r="V97" s="18" t="n">
        <v>42000</v>
      </c>
      <c r="W97" s="18" t="n">
        <v>80000</v>
      </c>
      <c r="Y97" s="18" t="n">
        <v>3750</v>
      </c>
      <c r="Z97" s="9" t="n"/>
      <c r="AA97" s="18" t="n">
        <v>46750</v>
      </c>
      <c r="AB97" s="19" t="n">
        <v>23750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리스부채의상환</t>
        </is>
      </c>
      <c r="E98" s="18" t="n">
        <v>6468.53</v>
      </c>
      <c r="F98" s="9" t="n"/>
      <c r="G98" s="18" t="n">
        <v>5002.73</v>
      </c>
      <c r="H98" s="18" t="n">
        <v>4909.18</v>
      </c>
      <c r="I98" s="18" t="n">
        <v>4942.22</v>
      </c>
      <c r="J98" s="18" t="n">
        <v>4925.08</v>
      </c>
      <c r="K98" s="37" t="n">
        <v>19779.21</v>
      </c>
      <c r="L98" s="18" t="n">
        <v>6779.82</v>
      </c>
      <c r="M98" s="18" t="n">
        <v>6737.72</v>
      </c>
      <c r="N98" s="18" t="n">
        <v>6484.78</v>
      </c>
      <c r="O98" s="18" t="n">
        <v>7367</v>
      </c>
      <c r="P98" s="37" t="n">
        <v>27369.32</v>
      </c>
      <c r="Q98" s="18" t="n">
        <v>6158.72</v>
      </c>
      <c r="R98" s="18" t="n">
        <v>6116.74</v>
      </c>
      <c r="S98" s="18" t="n">
        <v>6265</v>
      </c>
      <c r="T98" s="18" t="n">
        <v>14128.54</v>
      </c>
      <c r="U98" s="37" t="n">
        <v>32669</v>
      </c>
      <c r="V98" s="18" t="n">
        <v>8362</v>
      </c>
      <c r="W98" s="18" t="n">
        <v>8588</v>
      </c>
      <c r="X98" s="18" t="n">
        <v>9415</v>
      </c>
      <c r="Y98" s="18" t="n">
        <v>11053</v>
      </c>
      <c r="Z98" s="37" t="n">
        <v>37418</v>
      </c>
      <c r="AA98" s="18" t="n">
        <v>7973</v>
      </c>
      <c r="AB98" s="19" t="n">
        <v>8416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자기주식의취득</t>
        </is>
      </c>
      <c r="E99" s="18" t="n">
        <v>0</v>
      </c>
      <c r="F99" s="9" t="n"/>
      <c r="K99" s="9" t="n"/>
      <c r="P99" s="9" t="n"/>
      <c r="U99" s="9" t="n"/>
      <c r="Z99" s="9" t="n"/>
      <c r="AB99" s="5" t="n"/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현금및현금성자산의증감</t>
        </is>
      </c>
      <c r="E100" s="18" t="n">
        <v>-46832.73</v>
      </c>
      <c r="F100" s="9" t="n"/>
      <c r="G100" s="18" t="n">
        <v>-229733.17</v>
      </c>
      <c r="H100" s="18" t="n">
        <v>76169.71000000001</v>
      </c>
      <c r="I100" s="18" t="n">
        <v>188339.38</v>
      </c>
      <c r="J100" s="18" t="n">
        <v>-151119.97</v>
      </c>
      <c r="K100" s="37" t="n">
        <v>-116344.05</v>
      </c>
      <c r="L100" s="18" t="n">
        <v>-56342.26</v>
      </c>
      <c r="M100" s="18" t="n">
        <v>828464.78</v>
      </c>
      <c r="N100" s="18" t="n">
        <v>-606623.3100000001</v>
      </c>
      <c r="O100" s="18" t="n">
        <v>260163.32</v>
      </c>
      <c r="P100" s="37" t="n">
        <v>425662.53</v>
      </c>
      <c r="Q100" s="18" t="n">
        <v>-66079.13</v>
      </c>
      <c r="R100" s="18" t="n">
        <v>-232431.09</v>
      </c>
      <c r="S100" s="18" t="n">
        <v>-173768.07</v>
      </c>
      <c r="T100" s="18" t="n">
        <v>384351.29</v>
      </c>
      <c r="U100" s="37" t="n">
        <v>-87927</v>
      </c>
      <c r="V100" s="18" t="n">
        <v>-339022</v>
      </c>
      <c r="W100" s="18" t="n">
        <v>-178994</v>
      </c>
      <c r="X100" s="18" t="n">
        <v>57582</v>
      </c>
      <c r="Y100" s="18" t="n">
        <v>575949</v>
      </c>
      <c r="Z100" s="37" t="n">
        <v>115515</v>
      </c>
      <c r="AA100" s="18" t="n">
        <v>-217376</v>
      </c>
      <c r="AB100" s="19" t="n">
        <v>-223570</v>
      </c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기말현금및현금성자산</t>
        </is>
      </c>
      <c r="E101" s="18" t="n">
        <v>-46832.73</v>
      </c>
      <c r="F101" s="9" t="n"/>
      <c r="G101" s="18" t="n">
        <v>193962.04</v>
      </c>
      <c r="H101" s="18" t="n">
        <v>76169.7</v>
      </c>
      <c r="I101" s="18" t="n">
        <v>188339.39</v>
      </c>
      <c r="J101" s="18" t="n">
        <v>-151119.97</v>
      </c>
      <c r="K101" s="37" t="n">
        <v>307351.16</v>
      </c>
      <c r="L101" s="18" t="n">
        <v>251008.89</v>
      </c>
      <c r="M101" s="18" t="n">
        <v>828464.78</v>
      </c>
      <c r="N101" s="18" t="n">
        <v>-606623.3100000001</v>
      </c>
      <c r="O101" s="18" t="n">
        <v>260163.33</v>
      </c>
      <c r="P101" s="37" t="n">
        <v>733013.6899999999</v>
      </c>
      <c r="Q101" s="18" t="n">
        <v>666934.5600000001</v>
      </c>
      <c r="R101" s="18" t="n">
        <v>-232431.09</v>
      </c>
      <c r="S101" s="18" t="n">
        <v>-173768.07</v>
      </c>
      <c r="T101" s="18" t="n">
        <v>384351.6</v>
      </c>
      <c r="U101" s="37" t="n">
        <v>645087</v>
      </c>
      <c r="V101" s="18" t="n">
        <v>306065</v>
      </c>
      <c r="W101" s="18" t="n">
        <v>-178994</v>
      </c>
      <c r="X101" s="18" t="n">
        <v>57582</v>
      </c>
      <c r="Y101" s="18" t="n">
        <v>575949</v>
      </c>
      <c r="Z101" s="37" t="n">
        <v>760602</v>
      </c>
      <c r="AA101" s="18" t="n">
        <v>543226</v>
      </c>
      <c r="AB101" s="19" t="n">
        <v>-223570</v>
      </c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무형자산의감소</t>
        </is>
      </c>
      <c r="F102" s="9" t="n"/>
      <c r="J102" s="18" t="n">
        <v>0</v>
      </c>
      <c r="K102" s="9" t="n"/>
      <c r="N102" s="18" t="n">
        <v>1681.81</v>
      </c>
      <c r="O102" s="18" t="n">
        <v>0</v>
      </c>
      <c r="P102" s="9" t="n"/>
      <c r="S102" s="18" t="n">
        <v>0</v>
      </c>
      <c r="T102" s="18" t="n">
        <v>0</v>
      </c>
      <c r="U102" s="9" t="n"/>
      <c r="X102" s="18" t="n">
        <v>100</v>
      </c>
      <c r="Y102" s="18" t="n">
        <v>0</v>
      </c>
      <c r="Z102" s="9" t="n"/>
      <c r="AB102" s="5" t="n"/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장기차입금의감소</t>
        </is>
      </c>
      <c r="F103" s="9" t="n"/>
      <c r="K103" s="9" t="n"/>
      <c r="L103" s="18" t="n">
        <v>263858</v>
      </c>
      <c r="N103" s="18" t="n">
        <v>80514.28999999999</v>
      </c>
      <c r="O103" s="18" t="n">
        <v>0</v>
      </c>
      <c r="P103" s="9" t="n"/>
      <c r="Q103" s="18" t="n">
        <v>164032</v>
      </c>
      <c r="R103" s="18" t="n">
        <v>0</v>
      </c>
      <c r="S103" s="18" t="n">
        <v>200000</v>
      </c>
      <c r="T103" s="18" t="n">
        <v>70000</v>
      </c>
      <c r="U103" s="37" t="n">
        <v>434032</v>
      </c>
      <c r="V103" s="18" t="n">
        <v>500000</v>
      </c>
      <c r="X103" s="18" t="n">
        <v>0</v>
      </c>
      <c r="Y103" s="18" t="n">
        <v>160000</v>
      </c>
      <c r="Z103" s="9" t="n"/>
      <c r="AA103" s="18" t="n">
        <v>0</v>
      </c>
      <c r="AB103" s="19" t="n">
        <v>0</v>
      </c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단기차입금의증가</t>
        </is>
      </c>
      <c r="F104" s="9" t="n"/>
      <c r="K104" s="9" t="n"/>
      <c r="P104" s="9" t="n"/>
      <c r="Q104" s="18" t="n">
        <v>265705.38</v>
      </c>
      <c r="R104" s="18" t="n">
        <v>204251.89</v>
      </c>
      <c r="S104" s="18" t="n">
        <v>479429.74</v>
      </c>
      <c r="U104" s="9" t="n"/>
      <c r="V104" s="18" t="n">
        <v>324755</v>
      </c>
      <c r="X104" s="18" t="n">
        <v>230554</v>
      </c>
      <c r="Z104" s="9" t="n"/>
      <c r="AA104" s="18" t="n">
        <v>463655</v>
      </c>
      <c r="AB104" s="19" t="n">
        <v>310834</v>
      </c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3">
        <f>IFERROR(AC9/AC5,"")</f>
        <v/>
      </c>
      <c r="AD10" s="33">
        <f>IFERROR(AD9/AD5,"")</f>
        <v/>
      </c>
      <c r="AE10" s="25">
        <f>IFERROR(AE9/AE5,"")</f>
        <v/>
      </c>
      <c r="AF10" s="33">
        <f>IFERROR(AF9/AF5,"")</f>
        <v/>
      </c>
      <c r="AG10" s="33">
        <f>IFERROR(AG9/AG5,"")</f>
        <v/>
      </c>
      <c r="AH10" s="33">
        <f>IFERROR(AH9/AH5,"")</f>
        <v/>
      </c>
      <c r="AI10" s="33">
        <f>IFERROR(AI9/AI5,"")</f>
        <v/>
      </c>
      <c r="AJ10" s="25">
        <f>IFERROR(AJ9/AJ5,"")</f>
        <v/>
      </c>
      <c r="AK10" s="33">
        <f>IFERROR(AK9/AK5,"")</f>
        <v/>
      </c>
      <c r="AL10" s="33">
        <f>IFERROR(AL9/AL5,"")</f>
        <v/>
      </c>
      <c r="AM10" s="33">
        <f>IFERROR(AM9/AM5,"")</f>
        <v/>
      </c>
      <c r="AN10" s="33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IFERROR(AC12+AC13+AC14+AC15,"")</f>
        <v/>
      </c>
      <c r="AD11" s="20">
        <f>IFERROR(AD12+AD13+AD14+AD15,"")</f>
        <v/>
      </c>
      <c r="AE11" s="38">
        <f>SUM(AA11:AD11)</f>
        <v/>
      </c>
      <c r="AF11" s="20">
        <f>IFERROR(AF12+AF13+AF14+AF15,"")</f>
        <v/>
      </c>
      <c r="AG11" s="20">
        <f>IFERROR(AG12+AG13+AG14+AG15,"")</f>
        <v/>
      </c>
      <c r="AH11" s="20">
        <f>IFERROR(AH12+AH13+AH14+AH15,"")</f>
        <v/>
      </c>
      <c r="AI11" s="20">
        <f>IFERROR(AI12+AI13+AI14+AI15,"")</f>
        <v/>
      </c>
      <c r="AJ11" s="38">
        <f>SUM(AF11:AI11)</f>
        <v/>
      </c>
      <c r="AK11" s="20">
        <f>IFERROR(AK12+AK13+AK14+AK15,"")</f>
        <v/>
      </c>
      <c r="AL11" s="20">
        <f>IFERROR(AL12+AL13+AL14+AL15,"")</f>
        <v/>
      </c>
      <c r="AM11" s="20">
        <f>IFERROR(AM12+AM13+AM14+AM15,"")</f>
        <v/>
      </c>
      <c r="AN11" s="20">
        <f>IFERROR(AN12+AN13+AN14+AN15,"")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7">
        <f>IFERROR(VLOOKUP($D12,BS연결,MATCH(P$1,BS연결H,0),0)/100,"")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7">
        <f>IFERROR(VLOOKUP($D12,BS연결,MATCH(U$1,BS연결H,0),0)/100,"")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IFERROR(VLOOKUP($D12,BS연결,MATCH(Z$1,BS연결H,0),0)/100,"")</f>
        <v/>
      </c>
      <c r="AA12" s="18">
        <f>IFERROR(VLOOKUP($D12,BS연결,MATCH(AA$1,BS연결H,0),0)/100,"")</f>
        <v/>
      </c>
      <c r="AB12" s="19">
        <f>IFERROR(VLOOKUP($D12,BS연결,MATCH(AB$1,BS연결H,0),0)/100,"")</f>
        <v/>
      </c>
      <c r="AC12" s="20">
        <f>IFERROR((AB29*변수!$D$55-AB27*변수!$D$56)/4,"")</f>
        <v/>
      </c>
      <c r="AD12" s="20">
        <f>IFERROR((AC29*변수!$D$55-AC27*변수!$D$56)/4,"")</f>
        <v/>
      </c>
      <c r="AE12" s="38">
        <f>SUM(AA12:AD12)</f>
        <v/>
      </c>
      <c r="AF12" s="20">
        <f>IFERROR((AD29*변수!$D$55-AD27*변수!$D$56)/4,"")</f>
        <v/>
      </c>
      <c r="AG12" s="20">
        <f>IFERROR((AF29*변수!$D$55-AF27*변수!$D$56)/4,"")</f>
        <v/>
      </c>
      <c r="AH12" s="20">
        <f>IFERROR((AG29*변수!$D$55-AG27*변수!$D$56)/4,"")</f>
        <v/>
      </c>
      <c r="AI12" s="20">
        <f>IFERROR((AH29*변수!$D$55-AH27*변수!$D$56)/4,"")</f>
        <v/>
      </c>
      <c r="AJ12" s="38">
        <f>SUM(AF12:AI12)</f>
        <v/>
      </c>
      <c r="AK12" s="20">
        <f>IFERROR((AI29*변수!$D$55-AI27*변수!$D$56)/4,"")</f>
        <v/>
      </c>
      <c r="AL12" s="20">
        <f>IFERROR((AK29*변수!$D$55-AK27*변수!$D$56)/4,"")</f>
        <v/>
      </c>
      <c r="AM12" s="20">
        <f>IFERROR((AL29*변수!$D$55-AL27*변수!$D$56)/4,"")</f>
        <v/>
      </c>
      <c r="AN12" s="20">
        <f>IFERROR((AM29*변수!$D$55-AM27*변수!$D$56)/4,"")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>
        <f>IFERROR((VLOOKUP("외환차익",BS연결,MATCH(G$1,BS연결H,0),0)-VLOOKUP("외환차손",BS연결,MATCH(G$1,BS연결H,0),0)+VLOOKUP("외화환산이익",BS연결,MATCH(G$1,BS연결H,0),0)-VLOOKUP("외화환산손실",BS연결,MATCH(G$1,BS연결H,0),0))/100,"")</f>
        <v/>
      </c>
      <c r="H13" s="18">
        <f>IFERROR((VLOOKUP("외환차익",BS연결,MATCH(H$1,BS연결H,0),0)-VLOOKUP("외환차손",BS연결,MATCH(H$1,BS연결H,0),0)+VLOOKUP("외화환산이익",BS연결,MATCH(H$1,BS연결H,0),0)-VLOOKUP("외화환산손실",BS연결,MATCH(H$1,BS연결H,0),0))/100,"")</f>
        <v/>
      </c>
      <c r="I13" s="18">
        <f>IFERROR((VLOOKUP("외환차익",BS연결,MATCH(I$1,BS연결H,0),0)-VLOOKUP("외환차손",BS연결,MATCH(I$1,BS연결H,0),0)+VLOOKUP("외화환산이익",BS연결,MATCH(I$1,BS연결H,0),0)-VLOOKUP("외화환산손실",BS연결,MATCH(I$1,BS연결H,0),0))/100,"")</f>
        <v/>
      </c>
      <c r="J13" s="18">
        <f>IFERROR((VLOOKUP("외환차익",BS연결,MATCH(J$1,BS연결H,0),0)-VLOOKUP("외환차손",BS연결,MATCH(J$1,BS연결H,0),0)+VLOOKUP("외화환산이익",BS연결,MATCH(J$1,BS연결H,0),0)-VLOOKUP("외화환산손실",BS연결,MATCH(J$1,BS연결H,0),0))/100,"")</f>
        <v/>
      </c>
      <c r="K13" s="37">
        <f>SUM(G13:J13)</f>
        <v/>
      </c>
      <c r="L13" s="18">
        <f>IFERROR((VLOOKUP("외환차익",BS연결,MATCH(L$1,BS연결H,0),0)-VLOOKUP("외환차손",BS연결,MATCH(L$1,BS연결H,0),0)+VLOOKUP("외화환산이익",BS연결,MATCH(L$1,BS연결H,0),0)-VLOOKUP("외화환산손실",BS연결,MATCH(L$1,BS연결H,0),0))/100,"")</f>
        <v/>
      </c>
      <c r="M13" s="18">
        <f>IFERROR((VLOOKUP("외환차익",BS연결,MATCH(M$1,BS연결H,0),0)-VLOOKUP("외환차손",BS연결,MATCH(M$1,BS연결H,0),0)+VLOOKUP("외화환산이익",BS연결,MATCH(M$1,BS연결H,0),0)-VLOOKUP("외화환산손실",BS연결,MATCH(M$1,BS연결H,0),0))/100,"")</f>
        <v/>
      </c>
      <c r="N13" s="18">
        <f>IFERROR((VLOOKUP("외환차익",BS연결,MATCH(N$1,BS연결H,0),0)-VLOOKUP("외환차손",BS연결,MATCH(N$1,BS연결H,0),0)+VLOOKUP("외화환산이익",BS연결,MATCH(N$1,BS연결H,0),0)-VLOOKUP("외화환산손실",BS연결,MATCH(N$1,BS연결H,0),0))/100,"")</f>
        <v/>
      </c>
      <c r="O13" s="18">
        <f>IFERROR((VLOOKUP("외환차익",BS연결,MATCH(O$1,BS연결H,0),0)-VLOOKUP("외환차손",BS연결,MATCH(O$1,BS연결H,0),0)+VLOOKUP("외화환산이익",BS연결,MATCH(O$1,BS연결H,0),0)-VLOOKUP("외화환산손실",BS연결,MATCH(O$1,BS연결H,0),0))/100,"")</f>
        <v/>
      </c>
      <c r="P13" s="37">
        <f>SUM(L13:O13)</f>
        <v/>
      </c>
      <c r="Q13" s="18">
        <f>IFERROR((VLOOKUP("외환차익",BS연결,MATCH(Q$1,BS연결H,0),0)-VLOOKUP("외환차손",BS연결,MATCH(Q$1,BS연결H,0),0)+VLOOKUP("외화환산이익",BS연결,MATCH(Q$1,BS연결H,0),0)-VLOOKUP("외화환산손실",BS연결,MATCH(Q$1,BS연결H,0),0))/100,"")</f>
        <v/>
      </c>
      <c r="R13" s="18">
        <f>IFERROR((VLOOKUP("외환차익",BS연결,MATCH(R$1,BS연결H,0),0)-VLOOKUP("외환차손",BS연결,MATCH(R$1,BS연결H,0),0)+VLOOKUP("외화환산이익",BS연결,MATCH(R$1,BS연결H,0),0)-VLOOKUP("외화환산손실",BS연결,MATCH(R$1,BS연결H,0),0))/100,"")</f>
        <v/>
      </c>
      <c r="S13" s="18">
        <f>IFERROR((VLOOKUP("외환차익",BS연결,MATCH(S$1,BS연결H,0),0)-VLOOKUP("외환차손",BS연결,MATCH(S$1,BS연결H,0),0)+VLOOKUP("외화환산이익",BS연결,MATCH(S$1,BS연결H,0),0)-VLOOKUP("외화환산손실",BS연결,MATCH(S$1,BS연결H,0),0))/100,"")</f>
        <v/>
      </c>
      <c r="T13" s="18">
        <f>IFERROR((VLOOKUP("외환차익",BS연결,MATCH(T$1,BS연결H,0),0)-VLOOKUP("외환차손",BS연결,MATCH(T$1,BS연결H,0),0)+VLOOKUP("외화환산이익",BS연결,MATCH(T$1,BS연결H,0),0)-VLOOKUP("외화환산손실",BS연결,MATCH(T$1,BS연결H,0),0))/100,"")</f>
        <v/>
      </c>
      <c r="U13" s="37">
        <f>SUM(Q13:T13)</f>
        <v/>
      </c>
      <c r="V13" s="18">
        <f>IFERROR((VLOOKUP("외환차익",BS연결,MATCH(V$1,BS연결H,0),0)-VLOOKUP("외환차손",BS연결,MATCH(V$1,BS연결H,0),0)+VLOOKUP("외화환산이익",BS연결,MATCH(V$1,BS연결H,0),0)-VLOOKUP("외화환산손실",BS연결,MATCH(V$1,BS연결H,0),0))/100,"")</f>
        <v/>
      </c>
      <c r="W13" s="18">
        <f>IFERROR((VLOOKUP("외환차익",BS연결,MATCH(W$1,BS연결H,0),0)-VLOOKUP("외환차손",BS연결,MATCH(W$1,BS연결H,0),0)+VLOOKUP("외화환산이익",BS연결,MATCH(W$1,BS연결H,0),0)-VLOOKUP("외화환산손실",BS연결,MATCH(W$1,BS연결H,0),0))/100,"")</f>
        <v/>
      </c>
      <c r="X13" s="18">
        <f>IFERROR((VLOOKUP("외환차익",BS연결,MATCH(X$1,BS연결H,0),0)-VLOOKUP("외환차손",BS연결,MATCH(X$1,BS연결H,0),0)+VLOOKUP("외화환산이익",BS연결,MATCH(X$1,BS연결H,0),0)-VLOOKUP("외화환산손실",BS연결,MATCH(X$1,BS연결H,0),0))/100,"")</f>
        <v/>
      </c>
      <c r="Y13" s="18">
        <f>IFERROR((VLOOKUP("외환차익",BS연결,MATCH(Y$1,BS연결H,0),0)-VLOOKUP("외환차손",BS연결,MATCH(Y$1,BS연결H,0),0)+VLOOKUP("외화환산이익",BS연결,MATCH(Y$1,BS연결H,0),0)-VLOOKUP("외화환산손실",BS연결,MATCH(Y$1,BS연결H,0),0))/100,"")</f>
        <v/>
      </c>
      <c r="Z13" s="37">
        <f>SUM(V13:Y13)</f>
        <v/>
      </c>
      <c r="AA13" s="18">
        <f>IFERROR((VLOOKUP("외환차익",BS연결,MATCH(AA$1,BS연결H,0),0)-VLOOKUP("외환차손",BS연결,MATCH(AA$1,BS연결H,0),0)+VLOOKUP("외화환산이익",BS연결,MATCH(AA$1,BS연결H,0),0)-VLOOKUP("외화환산손실",BS연결,MATCH(AA$1,BS연결H,0),0))/100,"")</f>
        <v/>
      </c>
      <c r="AB13" s="19">
        <f>IFERROR((VLOOKUP("외환차익",BS연결,MATCH(AB$1,BS연결H,0),0)-VLOOKUP("외환차손",BS연결,MATCH(AB$1,BS연결H,0),0)+VLOOKUP("외화환산이익",BS연결,MATCH(AB$1,BS연결H,0),0)-VLOOKUP("외화환산손실",BS연결,MATCH(AB$1,BS연결H,0),0))/100,"")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18" t="n"/>
      <c r="F14" s="37" t="n"/>
      <c r="G14" s="18">
        <f>IFERROR((VLOOKUP("파생상품이익",BS연결,MATCH(G$1,BS연결H,0),0)-VLOOKUP("파생상품손실",BS연결,MATCH(G$1,BS연결H,0),0))/100,"")</f>
        <v/>
      </c>
      <c r="H14" s="18">
        <f>IFERROR((VLOOKUP("파생상품이익",BS연결,MATCH(H$1,BS연결H,0),0)-VLOOKUP("파생상품손실",BS연결,MATCH(H$1,BS연결H,0),0))/100,"")</f>
        <v/>
      </c>
      <c r="I14" s="18">
        <f>IFERROR((VLOOKUP("파생상품이익",BS연결,MATCH(I$1,BS연결H,0),0)-VLOOKUP("파생상품손실",BS연결,MATCH(I$1,BS연결H,0),0))/100,"")</f>
        <v/>
      </c>
      <c r="J14" s="18">
        <f>IFERROR((VLOOKUP("파생상품이익",BS연결,MATCH(J$1,BS연결H,0),0)-VLOOKUP("파생상품손실",BS연결,MATCH(J$1,BS연결H,0),0))/100,"")</f>
        <v/>
      </c>
      <c r="K14" s="37">
        <f>SUM(G14:J14)</f>
        <v/>
      </c>
      <c r="L14" s="18">
        <f>IFERROR((VLOOKUP("파생상품이익",BS연결,MATCH(L$1,BS연결H,0),0)-VLOOKUP("파생상품손실",BS연결,MATCH(L$1,BS연결H,0),0))/100,"")</f>
        <v/>
      </c>
      <c r="M14" s="18">
        <f>IFERROR((VLOOKUP("파생상품이익",BS연결,MATCH(M$1,BS연결H,0),0)-VLOOKUP("파생상품손실",BS연결,MATCH(M$1,BS연결H,0),0))/100,"")</f>
        <v/>
      </c>
      <c r="N14" s="18">
        <f>IFERROR((VLOOKUP("파생상품이익",BS연결,MATCH(N$1,BS연결H,0),0)-VLOOKUP("파생상품손실",BS연결,MATCH(N$1,BS연결H,0),0))/100,"")</f>
        <v/>
      </c>
      <c r="O14" s="18">
        <f>IFERROR((VLOOKUP("파생상품이익",BS연결,MATCH(O$1,BS연결H,0),0)-VLOOKUP("파생상품손실",BS연결,MATCH(O$1,BS연결H,0),0))/100,"")</f>
        <v/>
      </c>
      <c r="P14" s="37">
        <f>SUM(L14:O14)</f>
        <v/>
      </c>
      <c r="Q14" s="18">
        <f>IFERROR((VLOOKUP("파생상품이익",BS연결,MATCH(Q$1,BS연결H,0),0)-VLOOKUP("파생상품손실",BS연결,MATCH(Q$1,BS연결H,0),0))/100,"")</f>
        <v/>
      </c>
      <c r="R14" s="18">
        <f>IFERROR((VLOOKUP("파생상품이익",BS연결,MATCH(R$1,BS연결H,0),0)-VLOOKUP("파생상품손실",BS연결,MATCH(R$1,BS연결H,0),0))/100,"")</f>
        <v/>
      </c>
      <c r="S14" s="18">
        <f>IFERROR((VLOOKUP("파생상품이익",BS연결,MATCH(S$1,BS연결H,0),0)-VLOOKUP("파생상품손실",BS연결,MATCH(S$1,BS연결H,0),0))/100,"")</f>
        <v/>
      </c>
      <c r="T14" s="18">
        <f>IFERROR((VLOOKUP("파생상품이익",BS연결,MATCH(T$1,BS연결H,0),0)-VLOOKUP("파생상품손실",BS연결,MATCH(T$1,BS연결H,0),0))/100,"")</f>
        <v/>
      </c>
      <c r="U14" s="37">
        <f>SUM(Q14:T14)</f>
        <v/>
      </c>
      <c r="V14" s="18">
        <f>IFERROR((VLOOKUP("파생상품이익",BS연결,MATCH(V$1,BS연결H,0),0)-VLOOKUP("파생상품손실",BS연결,MATCH(V$1,BS연결H,0),0))/100,"")</f>
        <v/>
      </c>
      <c r="W14" s="18">
        <f>IFERROR((VLOOKUP("파생상품이익",BS연결,MATCH(W$1,BS연결H,0),0)-VLOOKUP("파생상품손실",BS연결,MATCH(W$1,BS연결H,0),0))/100,"")</f>
        <v/>
      </c>
      <c r="X14" s="18">
        <f>IFERROR((VLOOKUP("파생상품이익",BS연결,MATCH(X$1,BS연결H,0),0)-VLOOKUP("파생상품손실",BS연결,MATCH(X$1,BS연결H,0),0))/100,"")</f>
        <v/>
      </c>
      <c r="Y14" s="18">
        <f>IFERROR((VLOOKUP("파생상품이익",BS연결,MATCH(Y$1,BS연결H,0),0)-VLOOKUP("파생상품손실",BS연결,MATCH(Y$1,BS연결H,0),0))/100,"")</f>
        <v/>
      </c>
      <c r="Z14" s="37">
        <f>SUM(V14:Y14)</f>
        <v/>
      </c>
      <c r="AA14" s="18">
        <f>IFERROR((VLOOKUP("파생상품이익",BS연결,MATCH(AA$1,BS연결H,0),0)-VLOOKUP("파생상품손실",BS연결,MATCH(AA$1,BS연결H,0),0))/100,"")</f>
        <v/>
      </c>
      <c r="AB14" s="19">
        <f>IFERROR((VLOOKUP("파생상품이익",BS연결,MATCH(AB$1,BS연결H,0),0)-VLOOKUP("파생상품손실",BS연결,MATCH(AB$1,BS연결H,0),0))/100,"")</f>
        <v/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18" t="n"/>
      <c r="F15" s="37" t="n"/>
      <c r="G15" s="18">
        <f>IFERROR(G11-G12-G13-G14,"")</f>
        <v/>
      </c>
      <c r="H15" s="18">
        <f>IFERROR(H11-H12-H13-H14,"")</f>
        <v/>
      </c>
      <c r="I15" s="18">
        <f>IFERROR(I11-I12-I13-I14,"")</f>
        <v/>
      </c>
      <c r="J15" s="18">
        <f>IFERROR(J11-J12-J13-J14,"")</f>
        <v/>
      </c>
      <c r="K15" s="37">
        <f>SUM(G15:J15)</f>
        <v/>
      </c>
      <c r="L15" s="18">
        <f>IFERROR(L11-L12-L13-L14,"")</f>
        <v/>
      </c>
      <c r="M15" s="18">
        <f>IFERROR(M11-M12-M13-M14,"")</f>
        <v/>
      </c>
      <c r="N15" s="18">
        <f>IFERROR(N11-N12-N13-N14,"")</f>
        <v/>
      </c>
      <c r="O15" s="18">
        <f>IFERROR(O11-O12-O13-O14,"")</f>
        <v/>
      </c>
      <c r="P15" s="37">
        <f>SUM(L15:O15)</f>
        <v/>
      </c>
      <c r="Q15" s="18">
        <f>IFERROR(Q11-Q12-Q13-Q14,"")</f>
        <v/>
      </c>
      <c r="R15" s="18">
        <f>IFERROR(R11-R12-R13-R14,"")</f>
        <v/>
      </c>
      <c r="S15" s="18">
        <f>IFERROR(S11-S12-S13-S14,"")</f>
        <v/>
      </c>
      <c r="T15" s="18">
        <f>IFERROR(T11-T12-T13-T14,"")</f>
        <v/>
      </c>
      <c r="U15" s="37">
        <f>SUM(Q15:T15)</f>
        <v/>
      </c>
      <c r="V15" s="18">
        <f>IFERROR(V11-V12-V13-V14,"")</f>
        <v/>
      </c>
      <c r="W15" s="18">
        <f>IFERROR(W11-W12-W13-W14,"")</f>
        <v/>
      </c>
      <c r="X15" s="18">
        <f>IFERROR(X11-X12-X13-X14,"")</f>
        <v/>
      </c>
      <c r="Y15" s="18">
        <f>IFERROR(Y11-Y12-Y13-Y14,"")</f>
        <v/>
      </c>
      <c r="Z15" s="37">
        <f>SUM(V15:Y15)</f>
        <v/>
      </c>
      <c r="AA15" s="18">
        <f>IFERROR(AA11-AA12-AA13-AA14,"")</f>
        <v/>
      </c>
      <c r="AB15" s="19">
        <f>IFERROR(AB11-AB12-AB13-AB14,"")</f>
        <v/>
      </c>
      <c r="AC15" s="20">
        <f>변수!AC26</f>
        <v/>
      </c>
      <c r="AD15" s="20">
        <f>변수!AD26</f>
        <v/>
      </c>
      <c r="AE15" s="38">
        <f>SUM(AA15:AD15)</f>
        <v/>
      </c>
      <c r="AF15" s="20">
        <f>변수!AF26</f>
        <v/>
      </c>
      <c r="AG15" s="20">
        <f>변수!AG26</f>
        <v/>
      </c>
      <c r="AH15" s="20">
        <f>변수!AH26</f>
        <v/>
      </c>
      <c r="AI15" s="20">
        <f>변수!AI26</f>
        <v/>
      </c>
      <c r="AJ15" s="38">
        <f>SUM(AF15:AI15)</f>
        <v/>
      </c>
      <c r="AK15" s="20">
        <f>변수!AK26</f>
        <v/>
      </c>
      <c r="AL15" s="20">
        <f>변수!AL26</f>
        <v/>
      </c>
      <c r="AM15" s="20">
        <f>변수!AM26</f>
        <v/>
      </c>
      <c r="AN15" s="20">
        <f>변수!AN26</f>
        <v/>
      </c>
      <c r="AO15" s="38">
        <f>SUM(AK15:AN15)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변수!AC27</f>
        <v/>
      </c>
      <c r="AD16" s="20">
        <f>변수!AD27</f>
        <v/>
      </c>
      <c r="AE16" s="38">
        <f>SUM(AA16:AD16)</f>
        <v/>
      </c>
      <c r="AF16" s="20">
        <f>변수!AF27</f>
        <v/>
      </c>
      <c r="AG16" s="20">
        <f>변수!AG27</f>
        <v/>
      </c>
      <c r="AH16" s="20">
        <f>변수!AH27</f>
        <v/>
      </c>
      <c r="AI16" s="20">
        <f>변수!AI27</f>
        <v/>
      </c>
      <c r="AJ16" s="38">
        <f>SUM(AF16:AI16)</f>
        <v/>
      </c>
      <c r="AK16" s="20">
        <f>변수!AK27</f>
        <v/>
      </c>
      <c r="AL16" s="20">
        <f>변수!AL27</f>
        <v/>
      </c>
      <c r="AM16" s="20">
        <f>변수!AM27</f>
        <v/>
      </c>
      <c r="AN16" s="20">
        <f>변수!AN27</f>
        <v/>
      </c>
      <c r="AO16" s="38">
        <f>SUM(AK16:AN16)</f>
        <v/>
      </c>
    </row>
    <row r="17">
      <c r="A17" s="12" t="inlineStr">
        <is>
          <t>지분법손익</t>
        </is>
      </c>
      <c r="B17" t="inlineStr">
        <is>
          <t>손익</t>
        </is>
      </c>
      <c r="C17" t="inlineStr">
        <is>
          <t>억원</t>
        </is>
      </c>
      <c r="D17" t="inlineStr">
        <is>
          <t>종속기업,공동지배기업및관계기업관련손익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변수!AC28</f>
        <v/>
      </c>
      <c r="AD17" s="20">
        <f>변수!AD28</f>
        <v/>
      </c>
      <c r="AE17" s="38">
        <f>SUM(AA17:AD17)</f>
        <v/>
      </c>
      <c r="AF17" s="20">
        <f>변수!AF28</f>
        <v/>
      </c>
      <c r="AG17" s="20">
        <f>변수!AG28</f>
        <v/>
      </c>
      <c r="AH17" s="20">
        <f>변수!AH28</f>
        <v/>
      </c>
      <c r="AI17" s="20">
        <f>변수!AI28</f>
        <v/>
      </c>
      <c r="AJ17" s="38">
        <f>SUM(AF17:AI17)</f>
        <v/>
      </c>
      <c r="AK17" s="20">
        <f>변수!AK28</f>
        <v/>
      </c>
      <c r="AL17" s="20">
        <f>변수!AL28</f>
        <v/>
      </c>
      <c r="AM17" s="20">
        <f>변수!AM28</f>
        <v/>
      </c>
      <c r="AN17" s="20">
        <f>변수!AN28</f>
        <v/>
      </c>
      <c r="AO17" s="38">
        <f>SUM(AK17:AN17)</f>
        <v/>
      </c>
    </row>
    <row r="18">
      <c r="A18" s="12" t="inlineStr">
        <is>
          <t>세전이익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법인세비용차감전계속사업이익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IFERROR(AC9+AC11+AC16+AC17,"")</f>
        <v/>
      </c>
      <c r="AD18" s="20">
        <f>IFERROR(AD9+AD11+AD16+AD17,"")</f>
        <v/>
      </c>
      <c r="AE18" s="38">
        <f>SUM(AA18:AD18)</f>
        <v/>
      </c>
      <c r="AF18" s="20">
        <f>IFERROR(AF9+AF11+AF16+AF17,"")</f>
        <v/>
      </c>
      <c r="AG18" s="20">
        <f>IFERROR(AG9+AG11+AG16+AG17,"")</f>
        <v/>
      </c>
      <c r="AH18" s="20">
        <f>IFERROR(AH9+AH11+AH16+AH17,"")</f>
        <v/>
      </c>
      <c r="AI18" s="20">
        <f>IFERROR(AI9+AI11+AI16+AI17,"")</f>
        <v/>
      </c>
      <c r="AJ18" s="38">
        <f>SUM(AF18:AI18)</f>
        <v/>
      </c>
      <c r="AK18" s="20">
        <f>IFERROR(AK9+AK11+AK16+AK17,"")</f>
        <v/>
      </c>
      <c r="AL18" s="20">
        <f>IFERROR(AL9+AL11+AL16+AL17,"")</f>
        <v/>
      </c>
      <c r="AM18" s="20">
        <f>IFERROR(AM9+AM11+AM16+AM17,"")</f>
        <v/>
      </c>
      <c r="AN18" s="20">
        <f>IFERROR(AN9+AN11+AN16+AN17,"")</f>
        <v/>
      </c>
      <c r="AO18" s="38">
        <f>SUM(AK18:AN18)</f>
        <v/>
      </c>
    </row>
    <row r="19">
      <c r="A19" s="12" t="inlineStr">
        <is>
          <t>법인세비용</t>
        </is>
      </c>
      <c r="B19" t="inlineStr">
        <is>
          <t>손익</t>
        </is>
      </c>
      <c r="C19" t="inlineStr">
        <is>
          <t>억원</t>
        </is>
      </c>
      <c r="D19" t="inlineStr">
        <is>
          <t>법인세비용</t>
        </is>
      </c>
      <c r="E19" s="18">
        <f>IFERROR(VLOOKUP($D19,BS연결,MATCH(E$1,BS연결H,0),0)/100,"")</f>
        <v/>
      </c>
      <c r="F19" s="37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IFERROR(MAX(AC18,0)*변수!AC29,"")</f>
        <v/>
      </c>
      <c r="AD19" s="20">
        <f>IFERROR(MAX(AD18,0)*변수!AD29,"")</f>
        <v/>
      </c>
      <c r="AE19" s="38">
        <f>SUM(AA19:AD19)</f>
        <v/>
      </c>
      <c r="AF19" s="20">
        <f>IFERROR(MAX(AF18,0)*변수!AF29,"")</f>
        <v/>
      </c>
      <c r="AG19" s="20">
        <f>IFERROR(MAX(AG18,0)*변수!AG29,"")</f>
        <v/>
      </c>
      <c r="AH19" s="20">
        <f>IFERROR(MAX(AH18,0)*변수!AH29,"")</f>
        <v/>
      </c>
      <c r="AI19" s="20">
        <f>IFERROR(MAX(AI18,0)*변수!AI29,"")</f>
        <v/>
      </c>
      <c r="AJ19" s="38">
        <f>SUM(AF19:AI19)</f>
        <v/>
      </c>
      <c r="AK19" s="20">
        <f>IFERROR(MAX(AK18,0)*변수!AK29,"")</f>
        <v/>
      </c>
      <c r="AL19" s="20">
        <f>IFERROR(MAX(AL18,0)*변수!AL29,"")</f>
        <v/>
      </c>
      <c r="AM19" s="20">
        <f>IFERROR(MAX(AM18,0)*변수!AM29,"")</f>
        <v/>
      </c>
      <c r="AN19" s="20">
        <f>IFERROR(MAX(AN18,0)*변수!AN29,"")</f>
        <v/>
      </c>
      <c r="AO19" s="38">
        <f>SUM(AK19:AN19)</f>
        <v/>
      </c>
    </row>
    <row r="20">
      <c r="A20" s="12" t="inlineStr">
        <is>
          <t>당기순이익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당기순이익</t>
        </is>
      </c>
      <c r="E20" s="18">
        <f>IFERROR(VLOOKUP($D20,BS연결,MATCH(E$1,BS연결H,0),0)/100,"")</f>
        <v/>
      </c>
      <c r="F20" s="37" t="n"/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IFERROR(AC18-AC19,"")</f>
        <v/>
      </c>
      <c r="AD20" s="20">
        <f>IFERROR(AD18-AD19,"")</f>
        <v/>
      </c>
      <c r="AE20" s="38">
        <f>SUM(AA20:AD20)</f>
        <v/>
      </c>
      <c r="AF20" s="20">
        <f>IFERROR(AF18-AF19,"")</f>
        <v/>
      </c>
      <c r="AG20" s="20">
        <f>IFERROR(AG18-AG19,"")</f>
        <v/>
      </c>
      <c r="AH20" s="20">
        <f>IFERROR(AH18-AH19,"")</f>
        <v/>
      </c>
      <c r="AI20" s="20">
        <f>IFERROR(AI18-AI19,"")</f>
        <v/>
      </c>
      <c r="AJ20" s="38">
        <f>SUM(AF20:AI20)</f>
        <v/>
      </c>
      <c r="AK20" s="20">
        <f>IFERROR(AK18-AK19,"")</f>
        <v/>
      </c>
      <c r="AL20" s="20">
        <f>IFERROR(AL18-AL19,"")</f>
        <v/>
      </c>
      <c r="AM20" s="20">
        <f>IFERROR(AM18-AM19,"")</f>
        <v/>
      </c>
      <c r="AN20" s="20">
        <f>IFERROR(AN18-AN19,"")</f>
        <v/>
      </c>
      <c r="AO20" s="38">
        <f>SUM(AK20:AN20)</f>
        <v/>
      </c>
    </row>
    <row r="21">
      <c r="A21" s="12" t="inlineStr">
        <is>
          <t>지배주주순이익</t>
        </is>
      </c>
      <c r="B21" t="inlineStr">
        <is>
          <t>손익</t>
        </is>
      </c>
      <c r="C21" t="inlineStr">
        <is>
          <t>억원</t>
        </is>
      </c>
      <c r="D21" t="inlineStr">
        <is>
          <t>(지배주주지분)당기순이익</t>
        </is>
      </c>
      <c r="E21" s="18">
        <f>IFERROR(VLOOKUP($D21,BS연결,MATCH(E$1,BS연결H,0),0)/100,"")</f>
        <v/>
      </c>
      <c r="F21" s="37" t="n"/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IFERROR(AC20*변수!AC30,"")</f>
        <v/>
      </c>
      <c r="AD21" s="20">
        <f>IFERROR(AD20*변수!AD30,"")</f>
        <v/>
      </c>
      <c r="AE21" s="38">
        <f>SUM(AA21:AD21)</f>
        <v/>
      </c>
      <c r="AF21" s="20">
        <f>IFERROR(AF20*변수!AF30,"")</f>
        <v/>
      </c>
      <c r="AG21" s="20">
        <f>IFERROR(AG20*변수!AG30,"")</f>
        <v/>
      </c>
      <c r="AH21" s="20">
        <f>IFERROR(AH20*변수!AH30,"")</f>
        <v/>
      </c>
      <c r="AI21" s="20">
        <f>IFERROR(AI20*변수!AI30,"")</f>
        <v/>
      </c>
      <c r="AJ21" s="38">
        <f>SUM(AF21:AI21)</f>
        <v/>
      </c>
      <c r="AK21" s="20">
        <f>IFERROR(AK20*변수!AK30,"")</f>
        <v/>
      </c>
      <c r="AL21" s="20">
        <f>IFERROR(AL20*변수!AL30,"")</f>
        <v/>
      </c>
      <c r="AM21" s="20">
        <f>IFERROR(AM20*변수!AM30,"")</f>
        <v/>
      </c>
      <c r="AN21" s="20">
        <f>IFERROR(AN20*변수!AN30,"")</f>
        <v/>
      </c>
      <c r="AO21" s="38">
        <f>SUM(AK21:AN21)</f>
        <v/>
      </c>
    </row>
    <row r="22">
      <c r="A22" s="12" t="inlineStr">
        <is>
          <t>중단사업이익</t>
        </is>
      </c>
      <c r="B22" t="inlineStr">
        <is>
          <t>손익</t>
        </is>
      </c>
      <c r="C22" t="inlineStr">
        <is>
          <t>억원</t>
        </is>
      </c>
      <c r="D22" t="inlineStr">
        <is>
          <t>중단사업이익</t>
        </is>
      </c>
      <c r="E22" s="18">
        <f>IFERROR(VLOOKUP($D22,BS연결,MATCH(E$1,BS연결H,0),0)/100,"")</f>
        <v/>
      </c>
      <c r="F22" s="37" t="n"/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 t="n"/>
      <c r="M22" s="18" t="n"/>
      <c r="N22" s="18" t="n"/>
      <c r="O22" s="18" t="n"/>
      <c r="P22" s="37">
        <f>SUM(L22:O22)</f>
        <v/>
      </c>
      <c r="Q22" s="18" t="n"/>
      <c r="R22" s="18" t="n"/>
      <c r="S22" s="18" t="n"/>
      <c r="T22" s="18" t="n"/>
      <c r="U22" s="37">
        <f>SUM(Q22:T22)</f>
        <v/>
      </c>
      <c r="V22" s="18" t="n"/>
      <c r="W22" s="18" t="n"/>
      <c r="X22" s="18" t="n"/>
      <c r="Y22" s="18" t="n"/>
      <c r="Z22" s="37">
        <f>SUM(V22:Y22)</f>
        <v/>
      </c>
      <c r="AA22" s="18" t="n"/>
      <c r="AB22" s="19" t="n"/>
      <c r="AC22" s="20" t="n"/>
      <c r="AD22" s="20" t="n"/>
      <c r="AE22" s="38">
        <f>SUM(AA22:AD22)</f>
        <v/>
      </c>
      <c r="AF22" s="20" t="n"/>
      <c r="AG22" s="20" t="n"/>
      <c r="AH22" s="20" t="n"/>
      <c r="AI22" s="20" t="n"/>
      <c r="AJ22" s="38">
        <f>SUM(AF22:AI22)</f>
        <v/>
      </c>
      <c r="AK22" s="20" t="n"/>
      <c r="AL22" s="20" t="n"/>
      <c r="AM22" s="20" t="n"/>
      <c r="AN22" s="20" t="n"/>
      <c r="AO22" s="38">
        <f>SUM(AK22:AN22)</f>
        <v/>
      </c>
    </row>
    <row r="23">
      <c r="A23" s="12" t="inlineStr">
        <is>
          <t>자산총계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자산총계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IFERROR(AC24+AC25,"")</f>
        <v/>
      </c>
      <c r="AD23" s="20">
        <f>IFERROR(AD24+AD25,"")</f>
        <v/>
      </c>
      <c r="AE23" s="38">
        <f>AD23</f>
        <v/>
      </c>
      <c r="AF23" s="20">
        <f>IFERROR(AF24+AF25,"")</f>
        <v/>
      </c>
      <c r="AG23" s="20">
        <f>IFERROR(AG24+AG25,"")</f>
        <v/>
      </c>
      <c r="AH23" s="20">
        <f>IFERROR(AH24+AH25,"")</f>
        <v/>
      </c>
      <c r="AI23" s="20">
        <f>IFERROR(AI24+AI25,"")</f>
        <v/>
      </c>
      <c r="AJ23" s="38">
        <f>AI23</f>
        <v/>
      </c>
      <c r="AK23" s="20">
        <f>IFERROR(AK24+AK25,"")</f>
        <v/>
      </c>
      <c r="AL23" s="20">
        <f>IFERROR(AL24+AL25,"")</f>
        <v/>
      </c>
      <c r="AM23" s="20">
        <f>IFERROR(AM24+AM25,"")</f>
        <v/>
      </c>
      <c r="AN23" s="20">
        <f>IFERROR(AN24+AN25,"")</f>
        <v/>
      </c>
      <c r="AO23" s="38">
        <f>AN23</f>
        <v/>
      </c>
    </row>
    <row r="24">
      <c r="A24" s="12" t="inlineStr">
        <is>
          <t>부채총계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부채총계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IFERROR(AB24*(1+변수!AC32),"")</f>
        <v/>
      </c>
      <c r="AD24" s="20">
        <f>IFERROR(AC24*(1+변수!AD32),"")</f>
        <v/>
      </c>
      <c r="AE24" s="38">
        <f>AD24</f>
        <v/>
      </c>
      <c r="AF24" s="20">
        <f>IFERROR(AD24*(1+변수!AF32),"")</f>
        <v/>
      </c>
      <c r="AG24" s="20">
        <f>IFERROR(AF24*(1+변수!AG32),"")</f>
        <v/>
      </c>
      <c r="AH24" s="20">
        <f>IFERROR(AG24*(1+변수!AH32),"")</f>
        <v/>
      </c>
      <c r="AI24" s="20">
        <f>IFERROR(AH24*(1+변수!AI32),"")</f>
        <v/>
      </c>
      <c r="AJ24" s="38">
        <f>AI24</f>
        <v/>
      </c>
      <c r="AK24" s="20">
        <f>IFERROR(AI24*(1+변수!AK32),"")</f>
        <v/>
      </c>
      <c r="AL24" s="20">
        <f>IFERROR(AK24*(1+변수!AL32),"")</f>
        <v/>
      </c>
      <c r="AM24" s="20">
        <f>IFERROR(AL24*(1+변수!AM32),"")</f>
        <v/>
      </c>
      <c r="AN24" s="20">
        <f>IFERROR(AM24*(1+변수!AN32),"")</f>
        <v/>
      </c>
      <c r="AO24" s="38">
        <f>AN24</f>
        <v/>
      </c>
    </row>
    <row r="25">
      <c r="A25" s="12" t="inlineStr">
        <is>
          <t>자본총계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자본총계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IFERROR(AB25+AC20-변수!AC33,"")</f>
        <v/>
      </c>
      <c r="AD25" s="20">
        <f>IFERROR(AC25+AD20-변수!AD33,"")</f>
        <v/>
      </c>
      <c r="AE25" s="38">
        <f>AD25</f>
        <v/>
      </c>
      <c r="AF25" s="20">
        <f>IFERROR(AD25+AF20-변수!AF33,"")</f>
        <v/>
      </c>
      <c r="AG25" s="20">
        <f>IFERROR(AF25+AG20-변수!AG33,"")</f>
        <v/>
      </c>
      <c r="AH25" s="20">
        <f>IFERROR(AG25+AH20-변수!AH33,"")</f>
        <v/>
      </c>
      <c r="AI25" s="20">
        <f>IFERROR(AH25+AI20-변수!AI33,"")</f>
        <v/>
      </c>
      <c r="AJ25" s="38">
        <f>AI25</f>
        <v/>
      </c>
      <c r="AK25" s="20">
        <f>IFERROR(AI25+AK20-변수!AK33,"")</f>
        <v/>
      </c>
      <c r="AL25" s="20">
        <f>IFERROR(AK25+AL20-변수!AL33,"")</f>
        <v/>
      </c>
      <c r="AM25" s="20">
        <f>IFERROR(AL25+AM20-변수!AM33,"")</f>
        <v/>
      </c>
      <c r="AN25" s="20">
        <f>IFERROR(AM25+AN20-변수!AN33,"")</f>
        <v/>
      </c>
      <c r="AO25" s="38">
        <f>AN25</f>
        <v/>
      </c>
    </row>
    <row r="26">
      <c r="A26" s="12" t="inlineStr">
        <is>
          <t>지배주주지분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지배주주지분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 t="n"/>
      <c r="N26" s="18">
        <f>IFERROR(VLOOKUP($D26,BS연결,MATCH(N$1,BS연결H,0),0)/100,"")</f>
        <v/>
      </c>
      <c r="O26" s="18" t="n"/>
      <c r="P26" s="37">
        <f>O26</f>
        <v/>
      </c>
      <c r="Q26" s="18" t="n"/>
      <c r="R26" s="18" t="n"/>
      <c r="S26" s="18" t="n"/>
      <c r="T26" s="18" t="n"/>
      <c r="U26" s="37">
        <f>T26</f>
        <v/>
      </c>
      <c r="V26" s="18" t="n"/>
      <c r="W26" s="18" t="n"/>
      <c r="X26" s="18" t="n"/>
      <c r="Y26" s="18" t="n"/>
      <c r="Z26" s="37">
        <f>Y26</f>
        <v/>
      </c>
      <c r="AA26" s="18" t="n"/>
      <c r="AB26" s="19" t="n"/>
      <c r="AC26" s="20" t="n"/>
      <c r="AD26" s="20" t="n"/>
      <c r="AE26" s="38">
        <f>AD26</f>
        <v/>
      </c>
      <c r="AF26" s="20" t="n"/>
      <c r="AG26" s="20" t="n"/>
      <c r="AH26" s="20" t="n"/>
      <c r="AI26" s="20" t="n"/>
      <c r="AJ26" s="38">
        <f>AI26</f>
        <v/>
      </c>
      <c r="AK26" s="20" t="n"/>
      <c r="AL26" s="20" t="n"/>
      <c r="AM26" s="20" t="n"/>
      <c r="AN26" s="20" t="n"/>
      <c r="AO26" s="38">
        <f>AN26</f>
        <v/>
      </c>
    </row>
    <row r="27">
      <c r="A27" s="12" t="inlineStr">
        <is>
          <t>총차입금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총차입금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IFERROR(AB27*(1+변수!AC35),"")</f>
        <v/>
      </c>
      <c r="AD27" s="20">
        <f>IFERROR(AC27*(1+변수!AD35),"")</f>
        <v/>
      </c>
      <c r="AE27" s="38">
        <f>AD27</f>
        <v/>
      </c>
      <c r="AF27" s="20">
        <f>IFERROR(AD27*(1+변수!AF35),"")</f>
        <v/>
      </c>
      <c r="AG27" s="20">
        <f>IFERROR(AF27*(1+변수!AG35),"")</f>
        <v/>
      </c>
      <c r="AH27" s="20">
        <f>IFERROR(AG27*(1+변수!AH35),"")</f>
        <v/>
      </c>
      <c r="AI27" s="20">
        <f>IFERROR(AH27*(1+변수!AI35),"")</f>
        <v/>
      </c>
      <c r="AJ27" s="38">
        <f>AI27</f>
        <v/>
      </c>
      <c r="AK27" s="20">
        <f>IFERROR(AI27*(1+변수!AK35),"")</f>
        <v/>
      </c>
      <c r="AL27" s="20">
        <f>IFERROR(AK27*(1+변수!AL35),"")</f>
        <v/>
      </c>
      <c r="AM27" s="20">
        <f>IFERROR(AL27*(1+변수!AM35),"")</f>
        <v/>
      </c>
      <c r="AN27" s="20">
        <f>IFERROR(AM27*(1+변수!AN35),"")</f>
        <v/>
      </c>
      <c r="AO27" s="38">
        <f>AN27</f>
        <v/>
      </c>
    </row>
    <row r="28">
      <c r="A28" s="12" t="inlineStr">
        <is>
          <t>순차입금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순차입금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>
        <f>IFERROR(AB28*(1+변수!AC36),"")</f>
        <v/>
      </c>
      <c r="AD28" s="20">
        <f>IFERROR(AC28*(1+변수!AD36),"")</f>
        <v/>
      </c>
      <c r="AE28" s="38">
        <f>AD28</f>
        <v/>
      </c>
      <c r="AF28" s="20">
        <f>IFERROR(AD28*(1+변수!AF36),"")</f>
        <v/>
      </c>
      <c r="AG28" s="20">
        <f>IFERROR(AF28*(1+변수!AG36),"")</f>
        <v/>
      </c>
      <c r="AH28" s="20">
        <f>IFERROR(AG28*(1+변수!AH36),"")</f>
        <v/>
      </c>
      <c r="AI28" s="20">
        <f>IFERROR(AH28*(1+변수!AI36),"")</f>
        <v/>
      </c>
      <c r="AJ28" s="38">
        <f>AI28</f>
        <v/>
      </c>
      <c r="AK28" s="20">
        <f>IFERROR(AI28*(1+변수!AK36),"")</f>
        <v/>
      </c>
      <c r="AL28" s="20">
        <f>IFERROR(AK28*(1+변수!AL36),"")</f>
        <v/>
      </c>
      <c r="AM28" s="20">
        <f>IFERROR(AL28*(1+변수!AM36),"")</f>
        <v/>
      </c>
      <c r="AN28" s="20">
        <f>IFERROR(AM28*(1+변수!AN36),"")</f>
        <v/>
      </c>
      <c r="AO28" s="38">
        <f>AN28</f>
        <v/>
      </c>
    </row>
    <row r="29">
      <c r="A29" s="12" t="inlineStr">
        <is>
          <t>이자발생자산</t>
        </is>
      </c>
      <c r="B29" t="inlineStr">
        <is>
          <t>재무상태</t>
        </is>
      </c>
      <c r="C29" t="inlineStr">
        <is>
          <t>억원</t>
        </is>
      </c>
      <c r="D29" t="inlineStr">
        <is>
          <t>이자발생자산</t>
        </is>
      </c>
      <c r="E29" s="18">
        <f>IFERROR(VLOOKUP($D29,BS연결,MATCH(E$1,BS연결H,0),0)/100,"")</f>
        <v/>
      </c>
      <c r="F29" s="37">
        <f>IFERROR(VLOOKUP($D29,BS연결,MATCH(F$1,BS연결H,0),0)/100,"")</f>
        <v/>
      </c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7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>
        <f>IFERROR(AB29*(1+변수!AC37),"")</f>
        <v/>
      </c>
      <c r="AD29" s="20">
        <f>IFERROR(AC29*(1+변수!AD37),"")</f>
        <v/>
      </c>
      <c r="AE29" s="38">
        <f>AD29</f>
        <v/>
      </c>
      <c r="AF29" s="20">
        <f>IFERROR(AD29*(1+변수!AF37),"")</f>
        <v/>
      </c>
      <c r="AG29" s="20">
        <f>IFERROR(AF29*(1+변수!AG37),"")</f>
        <v/>
      </c>
      <c r="AH29" s="20">
        <f>IFERROR(AG29*(1+변수!AH37),"")</f>
        <v/>
      </c>
      <c r="AI29" s="20">
        <f>IFERROR(AH29*(1+변수!AI37),"")</f>
        <v/>
      </c>
      <c r="AJ29" s="38">
        <f>AI29</f>
        <v/>
      </c>
      <c r="AK29" s="20">
        <f>IFERROR(AI29*(1+변수!AK37),"")</f>
        <v/>
      </c>
      <c r="AL29" s="20">
        <f>IFERROR(AK29*(1+변수!AL37),"")</f>
        <v/>
      </c>
      <c r="AM29" s="20">
        <f>IFERROR(AL29*(1+변수!AM37),"")</f>
        <v/>
      </c>
      <c r="AN29" s="20">
        <f>IFERROR(AM29*(1+변수!AN37),"")</f>
        <v/>
      </c>
      <c r="AO29" s="38">
        <f>AN29</f>
        <v/>
      </c>
    </row>
    <row r="30">
      <c r="A30" s="12" t="inlineStr">
        <is>
          <t>현금및현금성자산</t>
        </is>
      </c>
      <c r="B30" t="inlineStr">
        <is>
          <t>재무상태</t>
        </is>
      </c>
      <c r="C30" t="inlineStr">
        <is>
          <t>억원</t>
        </is>
      </c>
      <c r="D30" t="inlineStr">
        <is>
          <t>현금및현금성자산</t>
        </is>
      </c>
      <c r="E30" s="18">
        <f>IFERROR(VLOOKUP($D30,BS연결,MATCH(E$1,BS연결H,0),0)/100,"")</f>
        <v/>
      </c>
      <c r="F30" s="37">
        <f>IFERROR(VLOOKUP($D30,BS연결,MATCH(F$1,BS연결H,0),0)/100,"")</f>
        <v/>
      </c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7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7">
        <f>IFERROR(VLOOKUP($D30,BS연결,MATCH(P$1,BS연결H,0),0)/100,"")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>
        <f>IFERROR(VLOOKUP($D30,BS연결,MATCH(AB$1,BS연결H,0),0)/100,"")</f>
        <v/>
      </c>
      <c r="AC30" s="20" t="n"/>
      <c r="AD30" s="20" t="n"/>
      <c r="AE30" s="38">
        <f>AD30</f>
        <v/>
      </c>
      <c r="AF30" s="20" t="n"/>
      <c r="AG30" s="20" t="n"/>
      <c r="AH30" s="20" t="n"/>
      <c r="AI30" s="20" t="n"/>
      <c r="AJ30" s="38">
        <f>AI30</f>
        <v/>
      </c>
      <c r="AK30" s="20" t="n"/>
      <c r="AL30" s="20" t="n"/>
      <c r="AM30" s="20" t="n"/>
      <c r="AN30" s="20" t="n"/>
      <c r="AO30" s="38">
        <f>AN30</f>
        <v/>
      </c>
    </row>
    <row r="31">
      <c r="A31" s="12" t="inlineStr">
        <is>
          <t>CAPEX</t>
        </is>
      </c>
      <c r="B31" t="inlineStr">
        <is>
          <t>현금흐름</t>
        </is>
      </c>
      <c r="C31" t="inlineStr">
        <is>
          <t>억원</t>
        </is>
      </c>
      <c r="D31" t="inlineStr">
        <is>
          <t>CAPEX</t>
        </is>
      </c>
      <c r="E31" s="18">
        <f>IFERROR(VLOOKUP($D31,BS연결,MATCH(E$1,BS연결H,0),0)/100,"")</f>
        <v/>
      </c>
      <c r="F31" s="37" t="n"/>
      <c r="G31" s="18">
        <f>IFERROR(VLOOKUP($D31,BS연결,MATCH(G$1,BS연결H,0),0)/100,"")</f>
        <v/>
      </c>
      <c r="H31" s="18">
        <f>IFERROR(VLOOKUP($D31,BS연결,MATCH(H$1,BS연결H,0),0)/100,"")</f>
        <v/>
      </c>
      <c r="I31" s="18">
        <f>IFERROR(VLOOKUP($D31,BS연결,MATCH(I$1,BS연결H,0),0)/100,"")</f>
        <v/>
      </c>
      <c r="J31" s="18">
        <f>IFERROR(VLOOKUP($D31,BS연결,MATCH(J$1,BS연결H,0),0)/100,"")</f>
        <v/>
      </c>
      <c r="K31" s="37">
        <f>IFERROR(VLOOKUP($D31,BS연결,MATCH(K$1,BS연결H,0),0)/100,"")</f>
        <v/>
      </c>
      <c r="L31" s="18">
        <f>IFERROR(VLOOKUP($D31,BS연결,MATCH(L$1,BS연결H,0),0)/100,"")</f>
        <v/>
      </c>
      <c r="M31" s="18">
        <f>IFERROR(VLOOKUP($D31,BS연결,MATCH(M$1,BS연결H,0),0)/100,"")</f>
        <v/>
      </c>
      <c r="N31" s="18">
        <f>IFERROR(VLOOKUP($D31,BS연결,MATCH(N$1,BS연결H,0),0)/100,"")</f>
        <v/>
      </c>
      <c r="O31" s="18">
        <f>IFERROR(VLOOKUP($D31,BS연결,MATCH(O$1,BS연결H,0),0)/100,"")</f>
        <v/>
      </c>
      <c r="P31" s="37">
        <f>IFERROR(VLOOKUP($D31,BS연결,MATCH(P$1,BS연결H,0),0)/100,"")</f>
        <v/>
      </c>
      <c r="Q31" s="18">
        <f>IFERROR(VLOOKUP($D31,BS연결,MATCH(Q$1,BS연결H,0),0)/100,"")</f>
        <v/>
      </c>
      <c r="R31" s="18">
        <f>IFERROR(VLOOKUP($D31,BS연결,MATCH(R$1,BS연결H,0),0)/100,"")</f>
        <v/>
      </c>
      <c r="S31" s="18">
        <f>IFERROR(VLOOKUP($D31,BS연결,MATCH(S$1,BS연결H,0),0)/100,"")</f>
        <v/>
      </c>
      <c r="T31" s="18">
        <f>IFERROR(VLOOKUP($D31,BS연결,MATCH(T$1,BS연결H,0),0)/100,"")</f>
        <v/>
      </c>
      <c r="U31" s="37">
        <f>IFERROR(VLOOKUP($D31,BS연결,MATCH(U$1,BS연결H,0),0)/100,"")</f>
        <v/>
      </c>
      <c r="V31" s="18">
        <f>IFERROR(VLOOKUP($D31,BS연결,MATCH(V$1,BS연결H,0),0)/100,"")</f>
        <v/>
      </c>
      <c r="W31" s="18">
        <f>IFERROR(VLOOKUP($D31,BS연결,MATCH(W$1,BS연결H,0),0)/100,"")</f>
        <v/>
      </c>
      <c r="X31" s="18">
        <f>IFERROR(VLOOKUP($D31,BS연결,MATCH(X$1,BS연결H,0),0)/100,"")</f>
        <v/>
      </c>
      <c r="Y31" s="18">
        <f>IFERROR(VLOOKUP($D31,BS연결,MATCH(Y$1,BS연결H,0),0)/100,"")</f>
        <v/>
      </c>
      <c r="Z31" s="37">
        <f>IFERROR(VLOOKUP($D31,BS연결,MATCH(Z$1,BS연결H,0),0)/100,"")</f>
        <v/>
      </c>
      <c r="AA31" s="18">
        <f>IFERROR(VLOOKUP($D31,BS연결,MATCH(AA$1,BS연결H,0),0)/100,"")</f>
        <v/>
      </c>
      <c r="AB31" s="19">
        <f>IFERROR(VLOOKUP($D31,BS연결,MATCH(AB$1,BS연결H,0),0)/100,"")</f>
        <v/>
      </c>
      <c r="AC31" s="20">
        <f>IFERROR(X31*(1+변수!AC39),"")</f>
        <v/>
      </c>
      <c r="AD31" s="20">
        <f>IFERROR(Y31*(1+변수!AD39),"")</f>
        <v/>
      </c>
      <c r="AE31" s="38">
        <f>SUM(AA31:AD31)</f>
        <v/>
      </c>
      <c r="AF31" s="20">
        <f>IFERROR(AA31*(1+변수!AF39),"")</f>
        <v/>
      </c>
      <c r="AG31" s="20">
        <f>IFERROR(AB31*(1+변수!AG39),"")</f>
        <v/>
      </c>
      <c r="AH31" s="20">
        <f>IFERROR(AC31*(1+변수!AH39),"")</f>
        <v/>
      </c>
      <c r="AI31" s="20">
        <f>IFERROR(AD31*(1+변수!AI39),"")</f>
        <v/>
      </c>
      <c r="AJ31" s="38">
        <f>SUM(AF31:AI31)</f>
        <v/>
      </c>
      <c r="AK31" s="20">
        <f>IFERROR(AF31*(1+변수!AK39),"")</f>
        <v/>
      </c>
      <c r="AL31" s="20">
        <f>IFERROR(AG31*(1+변수!AL39),"")</f>
        <v/>
      </c>
      <c r="AM31" s="20">
        <f>IFERROR(AH31*(1+변수!AM39),"")</f>
        <v/>
      </c>
      <c r="AN31" s="20">
        <f>IFERROR(AI31*(1+변수!AN39),"")</f>
        <v/>
      </c>
      <c r="AO31" s="38">
        <f>SUM(AK31:AN31)</f>
        <v/>
      </c>
    </row>
    <row r="32">
      <c r="A32" s="12" t="inlineStr">
        <is>
          <t>영업활동현금흐름</t>
        </is>
      </c>
      <c r="B32" t="inlineStr">
        <is>
          <t>현금흐름</t>
        </is>
      </c>
      <c r="C32" t="inlineStr">
        <is>
          <t>억원</t>
        </is>
      </c>
      <c r="D32" t="inlineStr">
        <is>
          <t>영업활동으로인한현금흐름</t>
        </is>
      </c>
      <c r="E32" s="18">
        <f>IFERROR(VLOOKUP($D32,BS연결,MATCH(E$1,BS연결H,0),0)/100,"")</f>
        <v/>
      </c>
      <c r="F32" s="37" t="n"/>
      <c r="G32" s="18">
        <f>IFERROR(VLOOKUP($D32,BS연결,MATCH(G$1,BS연결H,0),0)/100,"")</f>
        <v/>
      </c>
      <c r="H32" s="18">
        <f>IFERROR(VLOOKUP($D32,BS연결,MATCH(H$1,BS연결H,0),0)/100,"")</f>
        <v/>
      </c>
      <c r="I32" s="18">
        <f>IFERROR(VLOOKUP($D32,BS연결,MATCH(I$1,BS연결H,0),0)/100,"")</f>
        <v/>
      </c>
      <c r="J32" s="18">
        <f>IFERROR(VLOOKUP($D32,BS연결,MATCH(J$1,BS연결H,0),0)/100,"")</f>
        <v/>
      </c>
      <c r="K32" s="37">
        <f>IFERROR(VLOOKUP($D32,BS연결,MATCH(K$1,BS연결H,0),0)/100,"")</f>
        <v/>
      </c>
      <c r="L32" s="18">
        <f>IFERROR(VLOOKUP($D32,BS연결,MATCH(L$1,BS연결H,0),0)/100,"")</f>
        <v/>
      </c>
      <c r="M32" s="18">
        <f>IFERROR(VLOOKUP($D32,BS연결,MATCH(M$1,BS연결H,0),0)/100,"")</f>
        <v/>
      </c>
      <c r="N32" s="18">
        <f>IFERROR(VLOOKUP($D32,BS연결,MATCH(N$1,BS연결H,0),0)/100,"")</f>
        <v/>
      </c>
      <c r="O32" s="18">
        <f>IFERROR(VLOOKUP($D32,BS연결,MATCH(O$1,BS연결H,0),0)/100,"")</f>
        <v/>
      </c>
      <c r="P32" s="37">
        <f>IFERROR(VLOOKUP($D32,BS연결,MATCH(P$1,BS연결H,0),0)/100,"")</f>
        <v/>
      </c>
      <c r="Q32" s="18">
        <f>IFERROR(VLOOKUP($D32,BS연결,MATCH(Q$1,BS연결H,0),0)/100,"")</f>
        <v/>
      </c>
      <c r="R32" s="18">
        <f>IFERROR(VLOOKUP($D32,BS연결,MATCH(R$1,BS연결H,0),0)/100,"")</f>
        <v/>
      </c>
      <c r="S32" s="18">
        <f>IFERROR(VLOOKUP($D32,BS연결,MATCH(S$1,BS연결H,0),0)/100,"")</f>
        <v/>
      </c>
      <c r="T32" s="18">
        <f>IFERROR(VLOOKUP($D32,BS연결,MATCH(T$1,BS연결H,0),0)/100,"")</f>
        <v/>
      </c>
      <c r="U32" s="37">
        <f>IFERROR(VLOOKUP($D32,BS연결,MATCH(U$1,BS연결H,0),0)/100,"")</f>
        <v/>
      </c>
      <c r="V32" s="18">
        <f>IFERROR(VLOOKUP($D32,BS연결,MATCH(V$1,BS연결H,0),0)/100,"")</f>
        <v/>
      </c>
      <c r="W32" s="18">
        <f>IFERROR(VLOOKUP($D32,BS연결,MATCH(W$1,BS연결H,0),0)/100,"")</f>
        <v/>
      </c>
      <c r="X32" s="18">
        <f>IFERROR(VLOOKUP($D32,BS연결,MATCH(X$1,BS연결H,0),0)/100,"")</f>
        <v/>
      </c>
      <c r="Y32" s="18">
        <f>IFERROR(VLOOKUP($D32,BS연결,MATCH(Y$1,BS연결H,0),0)/100,"")</f>
        <v/>
      </c>
      <c r="Z32" s="37">
        <f>IFERROR(VLOOKUP($D32,BS연결,MATCH(Z$1,BS연결H,0),0)/100,"")</f>
        <v/>
      </c>
      <c r="AA32" s="18">
        <f>IFERROR(VLOOKUP($D32,BS연결,MATCH(AA$1,BS연결H,0),0)/100,"")</f>
        <v/>
      </c>
      <c r="AB32" s="19">
        <f>IFERROR(VLOOKUP($D32,BS연결,MATCH(AB$1,BS연결H,0),0)/100,"")</f>
        <v/>
      </c>
      <c r="AC32" s="20" t="n"/>
      <c r="AD32" s="20" t="n"/>
      <c r="AE32" s="38">
        <f>SUM(AA32:AD32)</f>
        <v/>
      </c>
      <c r="AF32" s="20" t="n"/>
      <c r="AG32" s="20" t="n"/>
      <c r="AH32" s="20" t="n"/>
      <c r="AI32" s="20" t="n"/>
      <c r="AJ32" s="38">
        <f>SUM(AF32:AI32)</f>
        <v/>
      </c>
      <c r="AK32" s="20" t="n"/>
      <c r="AL32" s="20" t="n"/>
      <c r="AM32" s="20" t="n"/>
      <c r="AN32" s="20" t="n"/>
      <c r="AO32" s="38">
        <f>SUM(AK32:AN32)</f>
        <v/>
      </c>
    </row>
    <row r="33">
      <c r="A33" s="12" t="inlineStr">
        <is>
          <t>주식수</t>
        </is>
      </c>
      <c r="B33" t="inlineStr">
        <is>
          <t>주당</t>
        </is>
      </c>
      <c r="C33" t="inlineStr">
        <is>
          <t>백만주</t>
        </is>
      </c>
      <c r="D33" t="inlineStr">
        <is>
          <t>유통주식수</t>
        </is>
      </c>
      <c r="E33" s="27" t="n">
        <v>522.125</v>
      </c>
      <c r="F33" s="28">
        <f>E33</f>
        <v/>
      </c>
      <c r="G33" s="27" t="n">
        <v>625.698</v>
      </c>
      <c r="H33" s="27" t="n">
        <v>635.197</v>
      </c>
      <c r="I33" s="27" t="n">
        <v>635.197</v>
      </c>
      <c r="J33" s="27" t="n">
        <v>638.212</v>
      </c>
      <c r="K33" s="28">
        <f>J33</f>
        <v/>
      </c>
      <c r="L33" s="27" t="n">
        <v>640.465</v>
      </c>
      <c r="M33" s="27" t="n">
        <v>640.465</v>
      </c>
      <c r="N33" s="27" t="n">
        <v>640.465</v>
      </c>
      <c r="O33" s="27" t="n">
        <v>640.465</v>
      </c>
      <c r="P33" s="28">
        <f>O33</f>
        <v/>
      </c>
      <c r="Q33" s="27" t="n">
        <v>640.465</v>
      </c>
      <c r="R33" s="27" t="n">
        <v>640.465</v>
      </c>
      <c r="S33" s="27" t="n">
        <v>640.465</v>
      </c>
      <c r="T33" s="27" t="n">
        <v>640.465</v>
      </c>
      <c r="U33" s="28">
        <f>T33</f>
        <v/>
      </c>
      <c r="V33" s="27" t="n">
        <v>640.465</v>
      </c>
      <c r="W33" s="27" t="n">
        <v>640.465</v>
      </c>
      <c r="X33" s="27" t="n">
        <v>640.465</v>
      </c>
      <c r="Y33" s="27" t="n">
        <v>640.465</v>
      </c>
      <c r="Z33" s="28">
        <f>Y33</f>
        <v/>
      </c>
      <c r="AA33" s="27" t="n">
        <v>640.465</v>
      </c>
      <c r="AB33" s="29" t="n">
        <v>639.133</v>
      </c>
      <c r="AC33" s="32">
        <f>IFERROR(AB33*(1+변수!AC41),"")</f>
        <v/>
      </c>
      <c r="AD33" s="32">
        <f>IFERROR(AC33*(1+변수!AD41),"")</f>
        <v/>
      </c>
      <c r="AE33" s="31">
        <f>AD33</f>
        <v/>
      </c>
      <c r="AF33" s="32">
        <f>IFERROR(AD33*(1+변수!AF41),"")</f>
        <v/>
      </c>
      <c r="AG33" s="32">
        <f>IFERROR(AF33*(1+변수!AG41),"")</f>
        <v/>
      </c>
      <c r="AH33" s="32">
        <f>IFERROR(AG33*(1+변수!AH41),"")</f>
        <v/>
      </c>
      <c r="AI33" s="32">
        <f>IFERROR(AH33*(1+변수!AI41),"")</f>
        <v/>
      </c>
      <c r="AJ33" s="31">
        <f>AI33</f>
        <v/>
      </c>
      <c r="AK33" s="32">
        <f>IFERROR(AI33*(1+변수!AK41),"")</f>
        <v/>
      </c>
      <c r="AL33" s="32">
        <f>IFERROR(AK33*(1+변수!AL41),"")</f>
        <v/>
      </c>
      <c r="AM33" s="32">
        <f>IFERROR(AL33*(1+변수!AM41),"")</f>
        <v/>
      </c>
      <c r="AN33" s="32">
        <f>IFERROR(AM33*(1+변수!AN41),"")</f>
        <v/>
      </c>
      <c r="AO33" s="31">
        <f>AN33</f>
        <v/>
      </c>
    </row>
    <row r="34">
      <c r="A34" s="12" t="inlineStr">
        <is>
          <t>EPS</t>
        </is>
      </c>
      <c r="B34" t="inlineStr">
        <is>
          <t>주당</t>
        </is>
      </c>
      <c r="C34" t="inlineStr">
        <is>
          <t>원</t>
        </is>
      </c>
      <c r="D34" t="inlineStr">
        <is>
          <t>EPS</t>
        </is>
      </c>
      <c r="E34" s="18">
        <f>IFERROR(E21*100/E33,"")</f>
        <v/>
      </c>
      <c r="F34" s="37" t="n"/>
      <c r="G34" s="18">
        <f>IFERROR(G21*100/G33,"")</f>
        <v/>
      </c>
      <c r="H34" s="18">
        <f>IFERROR(H21*100/H33,"")</f>
        <v/>
      </c>
      <c r="I34" s="18">
        <f>IFERROR(I21*100/I33,"")</f>
        <v/>
      </c>
      <c r="J34" s="18">
        <f>IFERROR(J21*100/J33,"")</f>
        <v/>
      </c>
      <c r="K34" s="37">
        <f>SUM(G34:J34)</f>
        <v/>
      </c>
      <c r="L34" s="18">
        <f>IFERROR(L21*100/L33,"")</f>
        <v/>
      </c>
      <c r="M34" s="18">
        <f>IFERROR(M21*100/M33,"")</f>
        <v/>
      </c>
      <c r="N34" s="18">
        <f>IFERROR(N21*100/N33,"")</f>
        <v/>
      </c>
      <c r="O34" s="18">
        <f>IFERROR(O21*100/O33,"")</f>
        <v/>
      </c>
      <c r="P34" s="37">
        <f>SUM(L34:O34)</f>
        <v/>
      </c>
      <c r="Q34" s="18">
        <f>IFERROR(Q21*100/Q33,"")</f>
        <v/>
      </c>
      <c r="R34" s="18">
        <f>IFERROR(R21*100/R33,"")</f>
        <v/>
      </c>
      <c r="S34" s="18">
        <f>IFERROR(S21*100/S33,"")</f>
        <v/>
      </c>
      <c r="T34" s="18">
        <f>IFERROR(T21*100/T33,"")</f>
        <v/>
      </c>
      <c r="U34" s="37">
        <f>SUM(Q34:T34)</f>
        <v/>
      </c>
      <c r="V34" s="18">
        <f>IFERROR(V21*100/V33,"")</f>
        <v/>
      </c>
      <c r="W34" s="18">
        <f>IFERROR(W21*100/W33,"")</f>
        <v/>
      </c>
      <c r="X34" s="18">
        <f>IFERROR(X21*100/X33,"")</f>
        <v/>
      </c>
      <c r="Y34" s="18">
        <f>IFERROR(Y21*100/Y33,"")</f>
        <v/>
      </c>
      <c r="Z34" s="37">
        <f>SUM(V34:Y34)</f>
        <v/>
      </c>
      <c r="AA34" s="18">
        <f>IFERROR(AA21*100/AA33,"")</f>
        <v/>
      </c>
      <c r="AB34" s="19">
        <f>IFERROR(AB21*100/AB33,"")</f>
        <v/>
      </c>
      <c r="AC34" s="20">
        <f>IFERROR(AC21*100/AC33,"")</f>
        <v/>
      </c>
      <c r="AD34" s="20">
        <f>IFERROR(AD21*100/AD33,"")</f>
        <v/>
      </c>
      <c r="AE34" s="38">
        <f>SUM(AA34:AD34)</f>
        <v/>
      </c>
      <c r="AF34" s="20">
        <f>IFERROR(AF21*100/AF33,"")</f>
        <v/>
      </c>
      <c r="AG34" s="20">
        <f>IFERROR(AG21*100/AG33,"")</f>
        <v/>
      </c>
      <c r="AH34" s="20">
        <f>IFERROR(AH21*100/AH33,"")</f>
        <v/>
      </c>
      <c r="AI34" s="20">
        <f>IFERROR(AI21*100/AI33,"")</f>
        <v/>
      </c>
      <c r="AJ34" s="38">
        <f>SUM(AF34:AI34)</f>
        <v/>
      </c>
      <c r="AK34" s="20">
        <f>IFERROR(AK21*100/AK33,"")</f>
        <v/>
      </c>
      <c r="AL34" s="20">
        <f>IFERROR(AL21*100/AL33,"")</f>
        <v/>
      </c>
      <c r="AM34" s="20">
        <f>IFERROR(AM21*100/AM33,"")</f>
        <v/>
      </c>
      <c r="AN34" s="20">
        <f>IFERROR(AN21*100/AN33,"")</f>
        <v/>
      </c>
      <c r="AO34" s="38">
        <f>SUM(AK34:AN34)</f>
        <v/>
      </c>
    </row>
    <row r="35">
      <c r="A35" s="12" t="inlineStr">
        <is>
          <t>BPS</t>
        </is>
      </c>
      <c r="B35" t="inlineStr">
        <is>
          <t>주당</t>
        </is>
      </c>
      <c r="C35" t="inlineStr">
        <is>
          <t>원</t>
        </is>
      </c>
      <c r="D35" t="inlineStr">
        <is>
          <t>BPS</t>
        </is>
      </c>
      <c r="E35" s="18">
        <f>IFERROR(E26*100/E33,"")</f>
        <v/>
      </c>
      <c r="F35" s="37">
        <f>E35</f>
        <v/>
      </c>
      <c r="G35" s="18">
        <f>IFERROR(G26*100/G33,"")</f>
        <v/>
      </c>
      <c r="H35" s="18">
        <f>IFERROR(H26*100/H33,"")</f>
        <v/>
      </c>
      <c r="I35" s="18">
        <f>IFERROR(I26*100/I33,"")</f>
        <v/>
      </c>
      <c r="J35" s="18">
        <f>IFERROR(J26*100/J33,"")</f>
        <v/>
      </c>
      <c r="K35" s="37">
        <f>J35</f>
        <v/>
      </c>
      <c r="L35" s="18">
        <f>IFERROR(L26*100/L33,"")</f>
        <v/>
      </c>
      <c r="M35" s="18" t="n"/>
      <c r="N35" s="18">
        <f>IFERROR(N26*100/N33,"")</f>
        <v/>
      </c>
      <c r="O35" s="18" t="n"/>
      <c r="P35" s="37">
        <f>O35</f>
        <v/>
      </c>
      <c r="Q35" s="18" t="n"/>
      <c r="R35" s="18" t="n"/>
      <c r="S35" s="18" t="n"/>
      <c r="T35" s="18" t="n"/>
      <c r="U35" s="37">
        <f>T35</f>
        <v/>
      </c>
      <c r="V35" s="18" t="n"/>
      <c r="W35" s="18" t="n"/>
      <c r="X35" s="18" t="n"/>
      <c r="Y35" s="18" t="n"/>
      <c r="Z35" s="37">
        <f>Y35</f>
        <v/>
      </c>
      <c r="AA35" s="18" t="n"/>
      <c r="AB35" s="19" t="n"/>
      <c r="AC35" s="20">
        <f>IFERROR(AC26*100/AC33,"")</f>
        <v/>
      </c>
      <c r="AD35" s="20">
        <f>IFERROR(AD26*100/AD33,"")</f>
        <v/>
      </c>
      <c r="AE35" s="38">
        <f>AD35</f>
        <v/>
      </c>
      <c r="AF35" s="20">
        <f>IFERROR(AF26*100/AF33,"")</f>
        <v/>
      </c>
      <c r="AG35" s="20">
        <f>IFERROR(AG26*100/AG33,"")</f>
        <v/>
      </c>
      <c r="AH35" s="20">
        <f>IFERROR(AH26*100/AH33,"")</f>
        <v/>
      </c>
      <c r="AI35" s="20">
        <f>IFERROR(AI26*100/AI33,"")</f>
        <v/>
      </c>
      <c r="AJ35" s="38">
        <f>AI35</f>
        <v/>
      </c>
      <c r="AK35" s="20">
        <f>IFERROR(AK26*100/AK33,"")</f>
        <v/>
      </c>
      <c r="AL35" s="20">
        <f>IFERROR(AL26*100/AL33,"")</f>
        <v/>
      </c>
      <c r="AM35" s="20">
        <f>IFERROR(AM26*100/AM33,"")</f>
        <v/>
      </c>
      <c r="AN35" s="20">
        <f>IFERROR(AN26*100/AN33,"")</f>
        <v/>
      </c>
      <c r="AO35" s="38">
        <f>AN35</f>
        <v/>
      </c>
    </row>
    <row r="36">
      <c r="A36" s="12" t="inlineStr">
        <is>
          <t>DPS</t>
        </is>
      </c>
      <c r="B36" t="inlineStr">
        <is>
          <t>주당</t>
        </is>
      </c>
      <c r="C36" t="inlineStr">
        <is>
          <t>원</t>
        </is>
      </c>
      <c r="D36" t="inlineStr">
        <is>
          <t>DPS(보통주)</t>
        </is>
      </c>
      <c r="E36" s="18" t="n">
        <v>0</v>
      </c>
      <c r="F36" s="37" t="n">
        <v>0</v>
      </c>
      <c r="G36" s="18" t="n"/>
      <c r="H36" s="18" t="n"/>
      <c r="I36" s="18" t="n"/>
      <c r="J36" s="18" t="n">
        <v>0</v>
      </c>
      <c r="K36" s="37">
        <f>SUM(G36:J36)</f>
        <v/>
      </c>
      <c r="L36" s="18" t="n"/>
      <c r="M36" s="18" t="n"/>
      <c r="N36" s="18" t="n"/>
      <c r="O36" s="18" t="n">
        <v>0</v>
      </c>
      <c r="P36" s="37">
        <f>SUM(L36:O36)</f>
        <v/>
      </c>
      <c r="Q36" s="18" t="n"/>
      <c r="R36" s="18" t="n"/>
      <c r="S36" s="18" t="n"/>
      <c r="T36" s="18" t="n">
        <v>0</v>
      </c>
      <c r="U36" s="37">
        <f>SUM(Q36:T36)</f>
        <v/>
      </c>
      <c r="V36" s="18" t="n"/>
      <c r="W36" s="18" t="n"/>
      <c r="X36" s="18" t="n"/>
      <c r="Y36" s="18" t="n">
        <v>0</v>
      </c>
      <c r="Z36" s="37">
        <f>SUM(V36:Y36)</f>
        <v/>
      </c>
      <c r="AA36" s="18" t="n"/>
      <c r="AB36" s="19" t="n"/>
      <c r="AC36" s="20" t="n"/>
      <c r="AD36" s="20">
        <f>변수!AD42</f>
        <v/>
      </c>
      <c r="AE36" s="38">
        <f>SUM(AA36:AD36)</f>
        <v/>
      </c>
      <c r="AF36" s="20" t="n"/>
      <c r="AG36" s="20" t="n"/>
      <c r="AH36" s="20" t="n"/>
      <c r="AI36" s="20">
        <f>변수!AI42</f>
        <v/>
      </c>
      <c r="AJ36" s="38">
        <f>SUM(AF36:AI36)</f>
        <v/>
      </c>
      <c r="AK36" s="20" t="n"/>
      <c r="AL36" s="20" t="n"/>
      <c r="AM36" s="20" t="n"/>
      <c r="AN36" s="20">
        <f>변수!AN42</f>
        <v/>
      </c>
      <c r="AO36" s="38">
        <f>SUM(AK36:AN36)</f>
        <v/>
      </c>
    </row>
    <row r="37">
      <c r="A37" s="12" t="inlineStr">
        <is>
          <t>PER</t>
        </is>
      </c>
      <c r="B37" t="inlineStr">
        <is>
          <t>주당</t>
        </is>
      </c>
      <c r="C37" t="inlineStr">
        <is>
          <t>배</t>
        </is>
      </c>
      <c r="D37" t="inlineStr">
        <is>
          <t>PER</t>
        </is>
      </c>
      <c r="E37" s="13" t="n"/>
      <c r="F37" s="14">
        <f>E37</f>
        <v/>
      </c>
      <c r="G37" s="13" t="n"/>
      <c r="H37" s="13" t="n"/>
      <c r="I37" s="13">
        <f>IFERROR(변수!I18/(E34+G34+H34+I34),"")</f>
        <v/>
      </c>
      <c r="J37" s="13" t="n"/>
      <c r="K37" s="14">
        <f>J37</f>
        <v/>
      </c>
      <c r="L37" s="13" t="n"/>
      <c r="M37" s="13" t="n"/>
      <c r="N37" s="13" t="n"/>
      <c r="O37" s="13">
        <f>IFERROR(변수!O18/(L34+M34+N34+O34),"")</f>
        <v/>
      </c>
      <c r="P37" s="14">
        <f>O37</f>
        <v/>
      </c>
      <c r="Q37" s="13">
        <f>IFERROR(변수!Q18/(M34+N34+O34+Q34),"")</f>
        <v/>
      </c>
      <c r="R37" s="13">
        <f>IFERROR(변수!R18/(N34+O34+Q34+R34),"")</f>
        <v/>
      </c>
      <c r="S37" s="13">
        <f>IFERROR(변수!S18/(O34+Q34+R34+S34),"")</f>
        <v/>
      </c>
      <c r="T37" s="13">
        <f>IFERROR(변수!T18/(Q34+R34+S34+T34),"")</f>
        <v/>
      </c>
      <c r="U37" s="14">
        <f>T37</f>
        <v/>
      </c>
      <c r="V37" s="13" t="n"/>
      <c r="W37" s="13" t="n"/>
      <c r="X37" s="13" t="n"/>
      <c r="Y37" s="13">
        <f>IFERROR(변수!Y18/(V34+W34+X34+Y34),"")</f>
        <v/>
      </c>
      <c r="Z37" s="14">
        <f>Y37</f>
        <v/>
      </c>
      <c r="AA37" s="13">
        <f>IFERROR(변수!AA18/(W34+X34+Y34+AA34),"")</f>
        <v/>
      </c>
      <c r="AB37" s="15">
        <f>IFERROR(변수!AB18/(X34+Y34+AA34+AB34),"")</f>
        <v/>
      </c>
      <c r="AC37" s="39">
        <f>IFERROR(변수!$D$45/(Y34+AA34+AB34+AC34),"")</f>
        <v/>
      </c>
      <c r="AD37" s="39">
        <f>IFERROR(변수!$D$45/(AA34+AB34+AC34+AD34),"")</f>
        <v/>
      </c>
      <c r="AE37" s="40">
        <f>AD37</f>
        <v/>
      </c>
      <c r="AF37" s="39">
        <f>IFERROR(변수!$D$45/(AB34+AC34+AD34+AF34),"")</f>
        <v/>
      </c>
      <c r="AG37" s="39">
        <f>IFERROR(변수!$D$45/(AC34+AD34+AF34+AG34),"")</f>
        <v/>
      </c>
      <c r="AH37" s="39">
        <f>IFERROR(변수!$D$45/(AD34+AF34+AG34+AH34),"")</f>
        <v/>
      </c>
      <c r="AI37" s="39">
        <f>IFERROR(변수!$D$45/(AF34+AG34+AH34+AI34),"")</f>
        <v/>
      </c>
      <c r="AJ37" s="40">
        <f>AI37</f>
        <v/>
      </c>
      <c r="AK37" s="39">
        <f>IFERROR(변수!$D$45/(AG34+AH34+AI34+AK34),"")</f>
        <v/>
      </c>
      <c r="AL37" s="39">
        <f>IFERROR(변수!$D$45/(AH34+AI34+AK34+AL34),"")</f>
        <v/>
      </c>
      <c r="AM37" s="39">
        <f>IFERROR(변수!$D$45/(AI34+AK34+AL34+AM34),"")</f>
        <v/>
      </c>
      <c r="AN37" s="39">
        <f>IFERROR(변수!$D$45/(AK34+AL34+AM34+AN34),"")</f>
        <v/>
      </c>
      <c r="AO37" s="40">
        <f>AN37</f>
        <v/>
      </c>
    </row>
    <row r="38">
      <c r="A38" s="12" t="inlineStr">
        <is>
          <t>PBR</t>
        </is>
      </c>
      <c r="B38" t="inlineStr">
        <is>
          <t>주당</t>
        </is>
      </c>
      <c r="C38" t="inlineStr">
        <is>
          <t>배</t>
        </is>
      </c>
      <c r="D38" t="inlineStr">
        <is>
          <t>PBR</t>
        </is>
      </c>
      <c r="E38" s="13">
        <f>IFERROR(변수!E18/E35,"")</f>
        <v/>
      </c>
      <c r="F38" s="14">
        <f>E38</f>
        <v/>
      </c>
      <c r="G38" s="13">
        <f>IFERROR(변수!G18/G35,"")</f>
        <v/>
      </c>
      <c r="H38" s="13">
        <f>IFERROR(변수!H18/H35,"")</f>
        <v/>
      </c>
      <c r="I38" s="13">
        <f>IFERROR(변수!I18/I35,"")</f>
        <v/>
      </c>
      <c r="J38" s="13">
        <f>IFERROR(변수!J18/J35,"")</f>
        <v/>
      </c>
      <c r="K38" s="14">
        <f>J38</f>
        <v/>
      </c>
      <c r="L38" s="13">
        <f>IFERROR(변수!L18/L35,"")</f>
        <v/>
      </c>
      <c r="M38" s="13" t="n"/>
      <c r="N38" s="13">
        <f>IFERROR(변수!N18/N35,"")</f>
        <v/>
      </c>
      <c r="O38" s="13" t="n"/>
      <c r="P38" s="14">
        <f>O38</f>
        <v/>
      </c>
      <c r="Q38" s="13" t="n"/>
      <c r="R38" s="13" t="n"/>
      <c r="S38" s="13" t="n"/>
      <c r="T38" s="13" t="n"/>
      <c r="U38" s="14">
        <f>T38</f>
        <v/>
      </c>
      <c r="V38" s="13" t="n"/>
      <c r="W38" s="13" t="n"/>
      <c r="X38" s="13" t="n"/>
      <c r="Y38" s="13" t="n"/>
      <c r="Z38" s="14">
        <f>Y38</f>
        <v/>
      </c>
      <c r="AA38" s="13" t="n"/>
      <c r="AB38" s="15" t="n"/>
      <c r="AC38" s="39" t="n"/>
      <c r="AD38" s="39" t="n"/>
      <c r="AE38" s="40">
        <f>AD38</f>
        <v/>
      </c>
      <c r="AF38" s="39" t="n"/>
      <c r="AG38" s="39" t="n"/>
      <c r="AH38" s="39" t="n"/>
      <c r="AI38" s="39" t="n"/>
      <c r="AJ38" s="40">
        <f>AI38</f>
        <v/>
      </c>
      <c r="AK38" s="39" t="n"/>
      <c r="AL38" s="39" t="n"/>
      <c r="AM38" s="39" t="n"/>
      <c r="AN38" s="39" t="n"/>
      <c r="AO38" s="40">
        <f>AN38</f>
        <v/>
      </c>
    </row>
    <row r="39">
      <c r="A39" s="12" t="inlineStr">
        <is>
          <t>매출전사</t>
        </is>
      </c>
      <c r="B39" t="inlineStr">
        <is>
          <t>사업부</t>
        </is>
      </c>
      <c r="C39" t="inlineStr">
        <is>
          <t>억원</t>
        </is>
      </c>
      <c r="D39" t="inlineStr">
        <is>
          <t>매출 전사(부문 미분리)</t>
        </is>
      </c>
      <c r="E39" s="18" t="n">
        <v>21707.87</v>
      </c>
      <c r="F39" s="37" t="n"/>
      <c r="G39" s="18" t="n">
        <v>30712.85</v>
      </c>
      <c r="H39" s="18" t="n">
        <v>38346.56</v>
      </c>
      <c r="I39" s="18" t="n">
        <v>39603.24</v>
      </c>
      <c r="J39" s="18" t="n">
        <v>46217.68</v>
      </c>
      <c r="K39" s="37">
        <f>SUM(G39:J39)</f>
        <v/>
      </c>
      <c r="L39" s="18" t="n">
        <v>40410.42</v>
      </c>
      <c r="M39" s="18" t="n">
        <v>45393.62</v>
      </c>
      <c r="N39" s="18" t="n">
        <v>41549.8</v>
      </c>
      <c r="O39" s="18" t="n">
        <v>48545.04</v>
      </c>
      <c r="P39" s="37">
        <f>SUM(L39:O39)</f>
        <v/>
      </c>
      <c r="Q39" s="18" t="n">
        <v>40978.67</v>
      </c>
      <c r="R39" s="18" t="n">
        <v>41504.87</v>
      </c>
      <c r="S39" s="18" t="n">
        <v>33955.69</v>
      </c>
      <c r="T39" s="18" t="n">
        <v>45891.32</v>
      </c>
      <c r="U39" s="37">
        <f>SUM(Q39:T39)</f>
        <v/>
      </c>
      <c r="V39" s="18" t="n">
        <v>37485.74</v>
      </c>
      <c r="W39" s="18" t="n">
        <v>45690.21</v>
      </c>
      <c r="X39" s="18" t="n">
        <v>38803.5</v>
      </c>
      <c r="Y39" s="18" t="n">
        <v>48599.31</v>
      </c>
      <c r="Z39" s="37">
        <f>SUM(V39:Y39)</f>
        <v/>
      </c>
      <c r="AA39" s="18" t="n">
        <v>42611.3</v>
      </c>
      <c r="AB39" s="19" t="n">
        <v>47248.08</v>
      </c>
      <c r="AC39" s="20">
        <f>IFERROR(AC5,"")</f>
        <v/>
      </c>
      <c r="AD39" s="20">
        <f>IFERROR(AD5,"")</f>
        <v/>
      </c>
      <c r="AE39" s="38">
        <f>SUM(AA39:AD39)</f>
        <v/>
      </c>
      <c r="AF39" s="20">
        <f>IFERROR(AF5,"")</f>
        <v/>
      </c>
      <c r="AG39" s="20">
        <f>IFERROR(AG5,"")</f>
        <v/>
      </c>
      <c r="AH39" s="20">
        <f>IFERROR(AH5,"")</f>
        <v/>
      </c>
      <c r="AI39" s="20">
        <f>IFERROR(AI5,"")</f>
        <v/>
      </c>
      <c r="AJ39" s="38">
        <f>SUM(AF39:AI39)</f>
        <v/>
      </c>
      <c r="AK39" s="20">
        <f>IFERROR(AK5,"")</f>
        <v/>
      </c>
      <c r="AL39" s="20">
        <f>IFERROR(AL5,"")</f>
        <v/>
      </c>
      <c r="AM39" s="20">
        <f>IFERROR(AM5,"")</f>
        <v/>
      </c>
      <c r="AN39" s="20">
        <f>IFERROR(AN5,"")</f>
        <v/>
      </c>
      <c r="AO39" s="38">
        <f>SUM(AK39:AN39)</f>
        <v/>
      </c>
    </row>
    <row r="40">
      <c r="A40" s="12" t="inlineStr">
        <is>
          <t>OP전사</t>
        </is>
      </c>
      <c r="B40" t="inlineStr">
        <is>
          <t>사업부</t>
        </is>
      </c>
      <c r="C40" t="inlineStr">
        <is>
          <t>억원</t>
        </is>
      </c>
      <c r="D40" t="inlineStr">
        <is>
          <t>OP 전사(부문 미분리)</t>
        </is>
      </c>
      <c r="E40" s="18" t="n">
        <v>1269.82</v>
      </c>
      <c r="F40" s="37" t="n"/>
      <c r="G40" s="18" t="n">
        <v>1921.4</v>
      </c>
      <c r="H40" s="18" t="n">
        <v>3283.37</v>
      </c>
      <c r="I40" s="18" t="n">
        <v>3145.69</v>
      </c>
      <c r="J40" s="18" t="n">
        <v>2717.07</v>
      </c>
      <c r="K40" s="37">
        <f>SUM(G40:J40)</f>
        <v/>
      </c>
      <c r="L40" s="18" t="n">
        <v>3645.74</v>
      </c>
      <c r="M40" s="18" t="n">
        <v>4946.5</v>
      </c>
      <c r="N40" s="18" t="n">
        <v>3113.89</v>
      </c>
      <c r="O40" s="18" t="n">
        <v>2967.04</v>
      </c>
      <c r="P40" s="37">
        <f>SUM(L40:O40)</f>
        <v/>
      </c>
      <c r="Q40" s="18" t="n">
        <v>3580.71</v>
      </c>
      <c r="R40" s="18" t="n">
        <v>3097.9</v>
      </c>
      <c r="S40" s="18" t="n">
        <v>1147.9</v>
      </c>
      <c r="T40" s="18" t="n">
        <v>2349.49</v>
      </c>
      <c r="U40" s="37">
        <f>SUM(Q40:T40)</f>
        <v/>
      </c>
      <c r="V40" s="18" t="n">
        <v>1424.75</v>
      </c>
      <c r="W40" s="18" t="n">
        <v>2711.06</v>
      </c>
      <c r="X40" s="18" t="n">
        <v>1370.59</v>
      </c>
      <c r="Y40" s="18" t="n">
        <v>2120.72</v>
      </c>
      <c r="Z40" s="37">
        <f>SUM(V40:Y40)</f>
        <v/>
      </c>
      <c r="AA40" s="18" t="n">
        <v>2335.14</v>
      </c>
      <c r="AB40" s="19" t="n">
        <v>3142.6</v>
      </c>
      <c r="AC40" s="20">
        <f>IFERROR(AC9,"")</f>
        <v/>
      </c>
      <c r="AD40" s="20">
        <f>IFERROR(AD9,"")</f>
        <v/>
      </c>
      <c r="AE40" s="38">
        <f>SUM(AA40:AD40)</f>
        <v/>
      </c>
      <c r="AF40" s="20">
        <f>IFERROR(AF9,"")</f>
        <v/>
      </c>
      <c r="AG40" s="20">
        <f>IFERROR(AG9,"")</f>
        <v/>
      </c>
      <c r="AH40" s="20">
        <f>IFERROR(AH9,"")</f>
        <v/>
      </c>
      <c r="AI40" s="20">
        <f>IFERROR(AI9,"")</f>
        <v/>
      </c>
      <c r="AJ40" s="38">
        <f>SUM(AF40:AI40)</f>
        <v/>
      </c>
      <c r="AK40" s="20">
        <f>IFERROR(AK9,"")</f>
        <v/>
      </c>
      <c r="AL40" s="20">
        <f>IFERROR(AL9,"")</f>
        <v/>
      </c>
      <c r="AM40" s="20">
        <f>IFERROR(AM9,"")</f>
        <v/>
      </c>
      <c r="AN40" s="20">
        <f>IFERROR(AN9,"")</f>
        <v/>
      </c>
      <c r="AO40" s="38">
        <f>SUM(AK40:AN40)</f>
        <v/>
      </c>
    </row>
    <row r="41">
      <c r="B41" s="2" t="inlineStr">
        <is>
          <t>비율(참고)</t>
        </is>
      </c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NPM</t>
        </is>
      </c>
      <c r="C42" t="inlineStr">
        <is>
          <t>%</t>
        </is>
      </c>
      <c r="D42" t="inlineStr">
        <is>
          <t>지배주주순이익 / 매출액</t>
        </is>
      </c>
      <c r="E42" s="21">
        <f>IFERROR(E21/E5,"")</f>
        <v/>
      </c>
      <c r="F42" s="22">
        <f>IFERROR(F21/F5,"")</f>
        <v/>
      </c>
      <c r="G42" s="21">
        <f>IFERROR(G21/G5,"")</f>
        <v/>
      </c>
      <c r="H42" s="21">
        <f>IFERROR(H21/H5,"")</f>
        <v/>
      </c>
      <c r="I42" s="21">
        <f>IFERROR(I21/I5,"")</f>
        <v/>
      </c>
      <c r="J42" s="21">
        <f>IFERROR(J21/J5,"")</f>
        <v/>
      </c>
      <c r="K42" s="22">
        <f>IFERROR(K21/K5,"")</f>
        <v/>
      </c>
      <c r="L42" s="21">
        <f>IFERROR(L21/L5,"")</f>
        <v/>
      </c>
      <c r="M42" s="21">
        <f>IFERROR(M21/M5,"")</f>
        <v/>
      </c>
      <c r="N42" s="21">
        <f>IFERROR(N21/N5,"")</f>
        <v/>
      </c>
      <c r="O42" s="21">
        <f>IFERROR(O21/O5,"")</f>
        <v/>
      </c>
      <c r="P42" s="22">
        <f>IFERROR(P21/P5,"")</f>
        <v/>
      </c>
      <c r="Q42" s="21">
        <f>IFERROR(Q21/Q5,"")</f>
        <v/>
      </c>
      <c r="R42" s="21">
        <f>IFERROR(R21/R5,"")</f>
        <v/>
      </c>
      <c r="S42" s="21">
        <f>IFERROR(S21/S5,"")</f>
        <v/>
      </c>
      <c r="T42" s="21">
        <f>IFERROR(T21/T5,"")</f>
        <v/>
      </c>
      <c r="U42" s="22">
        <f>IFERROR(U21/U5,"")</f>
        <v/>
      </c>
      <c r="V42" s="21">
        <f>IFERROR(V21/V5,"")</f>
        <v/>
      </c>
      <c r="W42" s="21">
        <f>IFERROR(W21/W5,"")</f>
        <v/>
      </c>
      <c r="X42" s="21">
        <f>IFERROR(X21/X5,"")</f>
        <v/>
      </c>
      <c r="Y42" s="21">
        <f>IFERROR(Y21/Y5,"")</f>
        <v/>
      </c>
      <c r="Z42" s="22">
        <f>IFERROR(Z21/Z5,"")</f>
        <v/>
      </c>
      <c r="AA42" s="21">
        <f>IFERROR(AA21/AA5,"")</f>
        <v/>
      </c>
      <c r="AB42" s="23">
        <f>IFERROR(AB21/AB5,"")</f>
        <v/>
      </c>
      <c r="AC42" s="33">
        <f>IFERROR(AC21/AC5,"")</f>
        <v/>
      </c>
      <c r="AD42" s="33">
        <f>IFERROR(AD21/AD5,"")</f>
        <v/>
      </c>
      <c r="AE42" s="25">
        <f>IFERROR(AE21/AE5,"")</f>
        <v/>
      </c>
      <c r="AF42" s="33">
        <f>IFERROR(AF21/AF5,"")</f>
        <v/>
      </c>
      <c r="AG42" s="33">
        <f>IFERROR(AG21/AG5,"")</f>
        <v/>
      </c>
      <c r="AH42" s="33">
        <f>IFERROR(AH21/AH5,"")</f>
        <v/>
      </c>
      <c r="AI42" s="33">
        <f>IFERROR(AI21/AI5,"")</f>
        <v/>
      </c>
      <c r="AJ42" s="25">
        <f>IFERROR(AJ21/AJ5,"")</f>
        <v/>
      </c>
      <c r="AK42" s="33">
        <f>IFERROR(AK21/AK5,"")</f>
        <v/>
      </c>
      <c r="AL42" s="33">
        <f>IFERROR(AL21/AL5,"")</f>
        <v/>
      </c>
      <c r="AM42" s="33">
        <f>IFERROR(AM21/AM5,"")</f>
        <v/>
      </c>
      <c r="AN42" s="33">
        <f>IFERROR(AN21/AN5,"")</f>
        <v/>
      </c>
      <c r="AO42" s="25">
        <f>IFERROR(AO21/AO5,"")</f>
        <v/>
      </c>
    </row>
    <row r="43">
      <c r="A43" s="12" t="inlineStr">
        <is>
          <t>매출원가율</t>
        </is>
      </c>
      <c r="C43" t="inlineStr">
        <is>
          <t>%</t>
        </is>
      </c>
      <c r="D43" t="inlineStr">
        <is>
          <t>매출원가 / 매출액</t>
        </is>
      </c>
      <c r="E43" s="21">
        <f>IFERROR(E6/E5,"")</f>
        <v/>
      </c>
      <c r="F43" s="22">
        <f>IFERROR(F6/F5,"")</f>
        <v/>
      </c>
      <c r="G43" s="21">
        <f>IFERROR(G6/G5,"")</f>
        <v/>
      </c>
      <c r="H43" s="21">
        <f>IFERROR(H6/H5,"")</f>
        <v/>
      </c>
      <c r="I43" s="21">
        <f>IFERROR(I6/I5,"")</f>
        <v/>
      </c>
      <c r="J43" s="21">
        <f>IFERROR(J6/J5,"")</f>
        <v/>
      </c>
      <c r="K43" s="22">
        <f>IFERROR(K6/K5,"")</f>
        <v/>
      </c>
      <c r="L43" s="21">
        <f>IFERROR(L6/L5,"")</f>
        <v/>
      </c>
      <c r="M43" s="21">
        <f>IFERROR(M6/M5,"")</f>
        <v/>
      </c>
      <c r="N43" s="21">
        <f>IFERROR(N6/N5,"")</f>
        <v/>
      </c>
      <c r="O43" s="21">
        <f>IFERROR(O6/O5,"")</f>
        <v/>
      </c>
      <c r="P43" s="22">
        <f>IFERROR(P6/P5,"")</f>
        <v/>
      </c>
      <c r="Q43" s="21">
        <f>IFERROR(Q6/Q5,"")</f>
        <v/>
      </c>
      <c r="R43" s="21">
        <f>IFERROR(R6/R5,"")</f>
        <v/>
      </c>
      <c r="S43" s="21">
        <f>IFERROR(S6/S5,"")</f>
        <v/>
      </c>
      <c r="T43" s="21">
        <f>IFERROR(T6/T5,"")</f>
        <v/>
      </c>
      <c r="U43" s="22">
        <f>IFERROR(U6/U5,"")</f>
        <v/>
      </c>
      <c r="V43" s="21">
        <f>IFERROR(V6/V5,"")</f>
        <v/>
      </c>
      <c r="W43" s="21">
        <f>IFERROR(W6/W5,"")</f>
        <v/>
      </c>
      <c r="X43" s="21">
        <f>IFERROR(X6/X5,"")</f>
        <v/>
      </c>
      <c r="Y43" s="21">
        <f>IFERROR(Y6/Y5,"")</f>
        <v/>
      </c>
      <c r="Z43" s="22">
        <f>IFERROR(Z6/Z5,"")</f>
        <v/>
      </c>
      <c r="AA43" s="21">
        <f>IFERROR(AA6/AA5,"")</f>
        <v/>
      </c>
      <c r="AB43" s="23">
        <f>IFERROR(AB6/AB5,"")</f>
        <v/>
      </c>
      <c r="AC43" s="33">
        <f>IFERROR(AC6/AC5,"")</f>
        <v/>
      </c>
      <c r="AD43" s="33">
        <f>IFERROR(AD6/AD5,"")</f>
        <v/>
      </c>
      <c r="AE43" s="25">
        <f>IFERROR(AE6/AE5,"")</f>
        <v/>
      </c>
      <c r="AF43" s="33">
        <f>IFERROR(AF6/AF5,"")</f>
        <v/>
      </c>
      <c r="AG43" s="33">
        <f>IFERROR(AG6/AG5,"")</f>
        <v/>
      </c>
      <c r="AH43" s="33">
        <f>IFERROR(AH6/AH5,"")</f>
        <v/>
      </c>
      <c r="AI43" s="33">
        <f>IFERROR(AI6/AI5,"")</f>
        <v/>
      </c>
      <c r="AJ43" s="25">
        <f>IFERROR(AJ6/AJ5,"")</f>
        <v/>
      </c>
      <c r="AK43" s="33">
        <f>IFERROR(AK6/AK5,"")</f>
        <v/>
      </c>
      <c r="AL43" s="33">
        <f>IFERROR(AL6/AL5,"")</f>
        <v/>
      </c>
      <c r="AM43" s="33">
        <f>IFERROR(AM6/AM5,"")</f>
        <v/>
      </c>
      <c r="AN43" s="33">
        <f>IFERROR(AN6/AN5,"")</f>
        <v/>
      </c>
      <c r="AO43" s="25">
        <f>IFERROR(AO6/AO5,"")</f>
        <v/>
      </c>
    </row>
    <row r="44">
      <c r="A44" s="12" t="inlineStr">
        <is>
          <t>판관비율</t>
        </is>
      </c>
      <c r="C44" t="inlineStr">
        <is>
          <t>%</t>
        </is>
      </c>
      <c r="D44" t="inlineStr">
        <is>
          <t>판관비 / 매출액</t>
        </is>
      </c>
      <c r="E44" s="21">
        <f>IFERROR(E8/E5,"")</f>
        <v/>
      </c>
      <c r="F44" s="22">
        <f>IFERROR(F8/F5,"")</f>
        <v/>
      </c>
      <c r="G44" s="21">
        <f>IFERROR(G8/G5,"")</f>
        <v/>
      </c>
      <c r="H44" s="21">
        <f>IFERROR(H8/H5,"")</f>
        <v/>
      </c>
      <c r="I44" s="21">
        <f>IFERROR(I8/I5,"")</f>
        <v/>
      </c>
      <c r="J44" s="21">
        <f>IFERROR(J8/J5,"")</f>
        <v/>
      </c>
      <c r="K44" s="22">
        <f>IFERROR(K8/K5,"")</f>
        <v/>
      </c>
      <c r="L44" s="21">
        <f>IFERROR(L8/L5,"")</f>
        <v/>
      </c>
      <c r="M44" s="21">
        <f>IFERROR(M8/M5,"")</f>
        <v/>
      </c>
      <c r="N44" s="21">
        <f>IFERROR(N8/N5,"")</f>
        <v/>
      </c>
      <c r="O44" s="21">
        <f>IFERROR(O8/O5,"")</f>
        <v/>
      </c>
      <c r="P44" s="22">
        <f>IFERROR(P8/P5,"")</f>
        <v/>
      </c>
      <c r="Q44" s="21">
        <f>IFERROR(Q8/Q5,"")</f>
        <v/>
      </c>
      <c r="R44" s="21">
        <f>IFERROR(R8/R5,"")</f>
        <v/>
      </c>
      <c r="S44" s="21">
        <f>IFERROR(S8/S5,"")</f>
        <v/>
      </c>
      <c r="T44" s="21">
        <f>IFERROR(T8/T5,"")</f>
        <v/>
      </c>
      <c r="U44" s="22">
        <f>IFERROR(U8/U5,"")</f>
        <v/>
      </c>
      <c r="V44" s="21">
        <f>IFERROR(V8/V5,"")</f>
        <v/>
      </c>
      <c r="W44" s="21">
        <f>IFERROR(W8/W5,"")</f>
        <v/>
      </c>
      <c r="X44" s="21">
        <f>IFERROR(X8/X5,"")</f>
        <v/>
      </c>
      <c r="Y44" s="21">
        <f>IFERROR(Y8/Y5,"")</f>
        <v/>
      </c>
      <c r="Z44" s="22">
        <f>IFERROR(Z8/Z5,"")</f>
        <v/>
      </c>
      <c r="AA44" s="21">
        <f>IFERROR(AA8/AA5,"")</f>
        <v/>
      </c>
      <c r="AB44" s="23">
        <f>IFERROR(AB8/AB5,"")</f>
        <v/>
      </c>
      <c r="AC44" s="33">
        <f>IFERROR(AC8/AC5,"")</f>
        <v/>
      </c>
      <c r="AD44" s="33">
        <f>IFERROR(AD8/AD5,"")</f>
        <v/>
      </c>
      <c r="AE44" s="25">
        <f>IFERROR(AE8/AE5,"")</f>
        <v/>
      </c>
      <c r="AF44" s="33">
        <f>IFERROR(AF8/AF5,"")</f>
        <v/>
      </c>
      <c r="AG44" s="33">
        <f>IFERROR(AG8/AG5,"")</f>
        <v/>
      </c>
      <c r="AH44" s="33">
        <f>IFERROR(AH8/AH5,"")</f>
        <v/>
      </c>
      <c r="AI44" s="33">
        <f>IFERROR(AI8/AI5,"")</f>
        <v/>
      </c>
      <c r="AJ44" s="25">
        <f>IFERROR(AJ8/AJ5,"")</f>
        <v/>
      </c>
      <c r="AK44" s="33">
        <f>IFERROR(AK8/AK5,"")</f>
        <v/>
      </c>
      <c r="AL44" s="33">
        <f>IFERROR(AL8/AL5,"")</f>
        <v/>
      </c>
      <c r="AM44" s="33">
        <f>IFERROR(AM8/AM5,"")</f>
        <v/>
      </c>
      <c r="AN44" s="33">
        <f>IFERROR(AN8/AN5,"")</f>
        <v/>
      </c>
      <c r="AO44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변수!D45</f>
        <v/>
      </c>
      <c r="W2" s="42" t="n"/>
    </row>
    <row r="3">
      <c r="C3" t="inlineStr">
        <is>
          <t>기준일:</t>
        </is>
      </c>
      <c r="D3" t="inlineStr">
        <is>
          <t>20261019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3">
        <f>IFERROR(VLOOKUP($A10,subQ,MATCH(X$1,SUBQH,0),0),"")</f>
        <v/>
      </c>
      <c r="Y10" s="33">
        <f>IFERROR(VLOOKUP($A10,subQ,MATCH(Y$1,SUBQH,0),0),"")</f>
        <v/>
      </c>
      <c r="Z10" s="33">
        <f>IFERROR(VLOOKUP($A10,subQ,MATCH(Z$1,SUBQH,0),0),"")</f>
        <v/>
      </c>
      <c r="AA10" s="33">
        <f>IFERROR(VLOOKUP($A10,subQ,MATCH(AA$1,SUBQH,0),0),"")</f>
        <v/>
      </c>
      <c r="AB10" s="33">
        <f>IFERROR(VLOOKUP($A10,subQ,MATCH(AB$1,SUBQH,0),0),"")</f>
        <v/>
      </c>
      <c r="AC10" s="33">
        <f>IFERROR(VLOOKUP($A10,subQ,MATCH(AC$1,SUBQH,0),0),"")</f>
        <v/>
      </c>
      <c r="AD10" s="33">
        <f>IFERROR(VLOOKUP($A10,subQ,MATCH(AD$1,SUBQH,0),0),"")</f>
        <v/>
      </c>
      <c r="AE10" s="33">
        <f>IFERROR(VLOOKUP($A10,subQ,MATCH(AE$1,SUBQH,0),0),"")</f>
        <v/>
      </c>
      <c r="AF10" s="33">
        <f>IFERROR(VLOOKUP($A10,subQ,MATCH(AF$1,SUBQH,0),0),"")</f>
        <v/>
      </c>
      <c r="AG10" s="33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중단사업이익</t>
        </is>
      </c>
      <c r="D22" t="inlineStr">
        <is>
          <t>중단사업이익(실적만)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자산총계</t>
        </is>
      </c>
      <c r="D23" t="inlineStr">
        <is>
          <t>자산총계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부채총계</t>
        </is>
      </c>
      <c r="D24" t="inlineStr">
        <is>
          <t>부채총계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자본총계</t>
        </is>
      </c>
      <c r="D25" t="inlineStr">
        <is>
          <t>자본총계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지배주주지분</t>
        </is>
      </c>
      <c r="D26" t="inlineStr">
        <is>
          <t>지배주주지분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총차입금</t>
        </is>
      </c>
      <c r="D27" t="inlineStr">
        <is>
          <t>총차입금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순차입금</t>
        </is>
      </c>
      <c r="D28" t="inlineStr">
        <is>
          <t>순차입금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이자발생자산</t>
        </is>
      </c>
      <c r="D29" t="inlineStr">
        <is>
          <t>이자발생자산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현금및현금성자산</t>
        </is>
      </c>
      <c r="D30" t="inlineStr">
        <is>
          <t>현금및현금성자산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CAPEX</t>
        </is>
      </c>
      <c r="D31" t="inlineStr">
        <is>
          <t>CAPEX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5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영업활동현금흐름</t>
        </is>
      </c>
      <c r="D32" t="inlineStr">
        <is>
          <t>영업활동현금흐름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5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주식수</t>
        </is>
      </c>
      <c r="D33" t="inlineStr">
        <is>
          <t>유통주식수</t>
        </is>
      </c>
      <c r="E33" s="27">
        <f>IFERROR(VLOOKUP($A33,subQ,MATCH(E$1,SUBQH,0),0),"")</f>
        <v/>
      </c>
      <c r="F33" s="27">
        <f>IFERROR(VLOOKUP($A33,subQ,MATCH(F$1,SUBQH,0),0),"")</f>
        <v/>
      </c>
      <c r="G33" s="27">
        <f>IFERROR(VLOOKUP($A33,subQ,MATCH(G$1,SUBQH,0),0),"")</f>
        <v/>
      </c>
      <c r="H33" s="27">
        <f>IFERROR(VLOOKUP($A33,subQ,MATCH(H$1,SUBQH,0),0),"")</f>
        <v/>
      </c>
      <c r="I33" s="27">
        <f>IFERROR(VLOOKUP($A33,subQ,MATCH(I$1,SUBQH,0),0),"")</f>
        <v/>
      </c>
      <c r="J33" s="27">
        <f>IFERROR(VLOOKUP($A33,subQ,MATCH(J$1,SUBQH,0),0),"")</f>
        <v/>
      </c>
      <c r="K33" s="27">
        <f>IFERROR(VLOOKUP($A33,subQ,MATCH(K$1,SUBQH,0),0),"")</f>
        <v/>
      </c>
      <c r="L33" s="27">
        <f>IFERROR(VLOOKUP($A33,subQ,MATCH(L$1,SUBQH,0),0),"")</f>
        <v/>
      </c>
      <c r="M33" s="27">
        <f>IFERROR(VLOOKUP($A33,subQ,MATCH(M$1,SUBQH,0),0),"")</f>
        <v/>
      </c>
      <c r="N33" s="27">
        <f>IFERROR(VLOOKUP($A33,subQ,MATCH(N$1,SUBQH,0),0),"")</f>
        <v/>
      </c>
      <c r="O33" s="27">
        <f>IFERROR(VLOOKUP($A33,subQ,MATCH(O$1,SUBQH,0),0),"")</f>
        <v/>
      </c>
      <c r="P33" s="27">
        <f>IFERROR(VLOOKUP($A33,subQ,MATCH(P$1,SUBQH,0),0),"")</f>
        <v/>
      </c>
      <c r="Q33" s="27">
        <f>IFERROR(VLOOKUP($A33,subQ,MATCH(Q$1,SUBQH,0),0),"")</f>
        <v/>
      </c>
      <c r="R33" s="27">
        <f>IFERROR(VLOOKUP($A33,subQ,MATCH(R$1,SUBQH,0),0),"")</f>
        <v/>
      </c>
      <c r="S33" s="27">
        <f>IFERROR(VLOOKUP($A33,subQ,MATCH(S$1,SUBQH,0),0),"")</f>
        <v/>
      </c>
      <c r="T33" s="27">
        <f>IFERROR(VLOOKUP($A33,subQ,MATCH(T$1,SUBQH,0),0),"")</f>
        <v/>
      </c>
      <c r="U33" s="27">
        <f>IFERROR(VLOOKUP($A33,subQ,MATCH(U$1,SUBQH,0),0),"")</f>
        <v/>
      </c>
      <c r="V33" s="27">
        <f>IFERROR(VLOOKUP($A33,subQ,MATCH(V$1,SUBQH,0),0),"")</f>
        <v/>
      </c>
      <c r="W33" s="47">
        <f>IFERROR(VLOOKUP($A33,subQ,MATCH(W$1,SUBQH,0),0),"")</f>
        <v/>
      </c>
      <c r="X33" s="32">
        <f>IFERROR(VLOOKUP($A33,subQ,MATCH(X$1,SUBQH,0),0),"")</f>
        <v/>
      </c>
      <c r="Y33" s="32">
        <f>IFERROR(VLOOKUP($A33,subQ,MATCH(Y$1,SUBQH,0),0),"")</f>
        <v/>
      </c>
      <c r="Z33" s="32">
        <f>IFERROR(VLOOKUP($A33,subQ,MATCH(Z$1,SUBQH,0),0),"")</f>
        <v/>
      </c>
      <c r="AA33" s="32">
        <f>IFERROR(VLOOKUP($A33,subQ,MATCH(AA$1,SUBQH,0),0),"")</f>
        <v/>
      </c>
      <c r="AB33" s="32">
        <f>IFERROR(VLOOKUP($A33,subQ,MATCH(AB$1,SUBQH,0),0),"")</f>
        <v/>
      </c>
      <c r="AC33" s="32">
        <f>IFERROR(VLOOKUP($A33,subQ,MATCH(AC$1,SUBQH,0),0),"")</f>
        <v/>
      </c>
      <c r="AD33" s="32">
        <f>IFERROR(VLOOKUP($A33,subQ,MATCH(AD$1,SUBQH,0),0),"")</f>
        <v/>
      </c>
      <c r="AE33" s="32">
        <f>IFERROR(VLOOKUP($A33,subQ,MATCH(AE$1,SUBQH,0),0),"")</f>
        <v/>
      </c>
      <c r="AF33" s="32">
        <f>IFERROR(VLOOKUP($A33,subQ,MATCH(AF$1,SUBQH,0),0),"")</f>
        <v/>
      </c>
      <c r="AG33" s="32">
        <f>IFERROR(VLOOKUP($A33,subQ,MATCH(AG$1,SUBQH,0),0),"")</f>
        <v/>
      </c>
    </row>
    <row r="34">
      <c r="A34" s="12" t="inlineStr">
        <is>
          <t>EPS</t>
        </is>
      </c>
      <c r="D34" t="inlineStr">
        <is>
          <t>EPS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BPS</t>
        </is>
      </c>
      <c r="D35" t="inlineStr">
        <is>
          <t>BPS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5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DPS</t>
        </is>
      </c>
      <c r="D36" t="inlineStr">
        <is>
          <t>DPS(보통주)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18">
        <f>IFERROR(VLOOKUP($A36,subQ,MATCH(I$1,SUBQH,0),0),"")</f>
        <v/>
      </c>
      <c r="J36" s="18">
        <f>IFERROR(VLOOKUP($A36,subQ,MATCH(J$1,SUBQH,0),0),"")</f>
        <v/>
      </c>
      <c r="K36" s="18">
        <f>IFERROR(VLOOKUP($A36,subQ,MATCH(K$1,SUBQH,0),0),"")</f>
        <v/>
      </c>
      <c r="L36" s="18">
        <f>IFERROR(VLOOKUP($A36,subQ,MATCH(L$1,SUBQH,0),0),"")</f>
        <v/>
      </c>
      <c r="M36" s="18">
        <f>IFERROR(VLOOKUP($A36,subQ,MATCH(M$1,SUBQH,0),0),"")</f>
        <v/>
      </c>
      <c r="N36" s="18">
        <f>IFERROR(VLOOKUP($A36,subQ,MATCH(N$1,SUBQH,0),0),"")</f>
        <v/>
      </c>
      <c r="O36" s="18">
        <f>IFERROR(VLOOKUP($A36,subQ,MATCH(O$1,SUBQH,0),0),"")</f>
        <v/>
      </c>
      <c r="P36" s="18">
        <f>IFERROR(VLOOKUP($A36,subQ,MATCH(P$1,SUBQH,0),0),"")</f>
        <v/>
      </c>
      <c r="Q36" s="18">
        <f>IFERROR(VLOOKUP($A36,subQ,MATCH(Q$1,SUBQH,0),0),"")</f>
        <v/>
      </c>
      <c r="R36" s="18">
        <f>IFERROR(VLOOKUP($A36,subQ,MATCH(R$1,SUBQH,0),0),"")</f>
        <v/>
      </c>
      <c r="S36" s="18">
        <f>IFERROR(VLOOKUP($A36,subQ,MATCH(S$1,SUBQH,0),0),"")</f>
        <v/>
      </c>
      <c r="T36" s="18">
        <f>IFERROR(VLOOKUP($A36,subQ,MATCH(T$1,SUBQH,0),0),"")</f>
        <v/>
      </c>
      <c r="U36" s="18">
        <f>IFERROR(VLOOKUP($A36,subQ,MATCH(U$1,SUBQH,0),0),"")</f>
        <v/>
      </c>
      <c r="V36" s="18">
        <f>IFERROR(VLOOKUP($A36,subQ,MATCH(V$1,SUBQH,0),0),"")</f>
        <v/>
      </c>
      <c r="W36" s="45">
        <f>IFERROR(VLOOKUP($A36,subQ,MATCH(W$1,SUBQH,0),0),"")</f>
        <v/>
      </c>
      <c r="X36" s="20">
        <f>IFERROR(VLOOKUP($A36,subQ,MATCH(X$1,SUBQH,0),0),"")</f>
        <v/>
      </c>
      <c r="Y36" s="20">
        <f>IFERROR(VLOOKUP($A36,subQ,MATCH(Y$1,SUBQH,0),0),"")</f>
        <v/>
      </c>
      <c r="Z36" s="20">
        <f>IFERROR(VLOOKUP($A36,subQ,MATCH(Z$1,SUBQH,0),0),"")</f>
        <v/>
      </c>
      <c r="AA36" s="20">
        <f>IFERROR(VLOOKUP($A36,subQ,MATCH(AA$1,SUBQH,0),0),"")</f>
        <v/>
      </c>
      <c r="AB36" s="20">
        <f>IFERROR(VLOOKUP($A36,subQ,MATCH(AB$1,SUBQH,0),0),"")</f>
        <v/>
      </c>
      <c r="AC36" s="20">
        <f>IFERROR(VLOOKUP($A36,subQ,MATCH(AC$1,SUBQH,0),0),"")</f>
        <v/>
      </c>
      <c r="AD36" s="20">
        <f>IFERROR(VLOOKUP($A36,subQ,MATCH(AD$1,SUBQH,0),0),"")</f>
        <v/>
      </c>
      <c r="AE36" s="20">
        <f>IFERROR(VLOOKUP($A36,subQ,MATCH(AE$1,SUBQH,0),0),"")</f>
        <v/>
      </c>
      <c r="AF36" s="20">
        <f>IFERROR(VLOOKUP($A36,subQ,MATCH(AF$1,SUBQH,0),0),"")</f>
        <v/>
      </c>
      <c r="AG36" s="20">
        <f>IFERROR(VLOOKUP($A36,subQ,MATCH(AG$1,SUBQH,0),0),"")</f>
        <v/>
      </c>
    </row>
    <row r="37">
      <c r="A37" s="12" t="inlineStr">
        <is>
          <t>PER</t>
        </is>
      </c>
      <c r="D37" t="inlineStr">
        <is>
          <t>PER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13">
        <f>IFERROR(VLOOKUP($A37,subQ,MATCH(I$1,SUBQH,0),0),"")</f>
        <v/>
      </c>
      <c r="J37" s="13">
        <f>IFERROR(VLOOKUP($A37,subQ,MATCH(J$1,SUBQH,0),0),"")</f>
        <v/>
      </c>
      <c r="K37" s="13">
        <f>IFERROR(VLOOKUP($A37,subQ,MATCH(K$1,SUBQH,0),0),"")</f>
        <v/>
      </c>
      <c r="L37" s="13">
        <f>IFERROR(VLOOKUP($A37,subQ,MATCH(L$1,SUBQH,0),0),"")</f>
        <v/>
      </c>
      <c r="M37" s="13">
        <f>IFERROR(VLOOKUP($A37,subQ,MATCH(M$1,SUBQH,0),0),"")</f>
        <v/>
      </c>
      <c r="N37" s="13">
        <f>IFERROR(VLOOKUP($A37,subQ,MATCH(N$1,SUBQH,0),0),"")</f>
        <v/>
      </c>
      <c r="O37" s="13">
        <f>IFERROR(VLOOKUP($A37,subQ,MATCH(O$1,SUBQH,0),0),"")</f>
        <v/>
      </c>
      <c r="P37" s="13">
        <f>IFERROR(VLOOKUP($A37,subQ,MATCH(P$1,SUBQH,0),0),"")</f>
        <v/>
      </c>
      <c r="Q37" s="13">
        <f>IFERROR(VLOOKUP($A37,subQ,MATCH(Q$1,SUBQH,0),0),"")</f>
        <v/>
      </c>
      <c r="R37" s="13">
        <f>IFERROR(VLOOKUP($A37,subQ,MATCH(R$1,SUBQH,0),0),"")</f>
        <v/>
      </c>
      <c r="S37" s="13">
        <f>IFERROR(VLOOKUP($A37,subQ,MATCH(S$1,SUBQH,0),0),"")</f>
        <v/>
      </c>
      <c r="T37" s="13">
        <f>IFERROR(VLOOKUP($A37,subQ,MATCH(T$1,SUBQH,0),0),"")</f>
        <v/>
      </c>
      <c r="U37" s="13">
        <f>IFERROR(VLOOKUP($A37,subQ,MATCH(U$1,SUBQH,0),0),"")</f>
        <v/>
      </c>
      <c r="V37" s="13">
        <f>IFERROR(VLOOKUP($A37,subQ,MATCH(V$1,SUBQH,0),0),"")</f>
        <v/>
      </c>
      <c r="W37" s="48">
        <f>IFERROR(VLOOKUP($A37,subQ,MATCH(W$1,SUBQH,0),0),"")</f>
        <v/>
      </c>
      <c r="X37" s="39">
        <f>IFERROR(VLOOKUP($A37,subQ,MATCH(X$1,SUBQH,0),0),"")</f>
        <v/>
      </c>
      <c r="Y37" s="39">
        <f>IFERROR(VLOOKUP($A37,subQ,MATCH(Y$1,SUBQH,0),0),"")</f>
        <v/>
      </c>
      <c r="Z37" s="39">
        <f>IFERROR(VLOOKUP($A37,subQ,MATCH(Z$1,SUBQH,0),0),"")</f>
        <v/>
      </c>
      <c r="AA37" s="39">
        <f>IFERROR(VLOOKUP($A37,subQ,MATCH(AA$1,SUBQH,0),0),"")</f>
        <v/>
      </c>
      <c r="AB37" s="39">
        <f>IFERROR(VLOOKUP($A37,subQ,MATCH(AB$1,SUBQH,0),0),"")</f>
        <v/>
      </c>
      <c r="AC37" s="39">
        <f>IFERROR(VLOOKUP($A37,subQ,MATCH(AC$1,SUBQH,0),0),"")</f>
        <v/>
      </c>
      <c r="AD37" s="39">
        <f>IFERROR(VLOOKUP($A37,subQ,MATCH(AD$1,SUBQH,0),0),"")</f>
        <v/>
      </c>
      <c r="AE37" s="39">
        <f>IFERROR(VLOOKUP($A37,subQ,MATCH(AE$1,SUBQH,0),0),"")</f>
        <v/>
      </c>
      <c r="AF37" s="39">
        <f>IFERROR(VLOOKUP($A37,subQ,MATCH(AF$1,SUBQH,0),0),"")</f>
        <v/>
      </c>
      <c r="AG37" s="39">
        <f>IFERROR(VLOOKUP($A37,subQ,MATCH(AG$1,SUBQH,0),0),"")</f>
        <v/>
      </c>
    </row>
    <row r="38">
      <c r="A38" s="12" t="inlineStr">
        <is>
          <t>PBR</t>
        </is>
      </c>
      <c r="D38" t="inlineStr">
        <is>
          <t>PBR</t>
        </is>
      </c>
      <c r="E38" s="13">
        <f>IFERROR(VLOOKUP($A38,subQ,MATCH(E$1,SUBQH,0),0),"")</f>
        <v/>
      </c>
      <c r="F38" s="13">
        <f>IFERROR(VLOOKUP($A38,subQ,MATCH(F$1,SUBQH,0),0),"")</f>
        <v/>
      </c>
      <c r="G38" s="13">
        <f>IFERROR(VLOOKUP($A38,subQ,MATCH(G$1,SUBQH,0),0),"")</f>
        <v/>
      </c>
      <c r="H38" s="13">
        <f>IFERROR(VLOOKUP($A38,subQ,MATCH(H$1,SUBQH,0),0),"")</f>
        <v/>
      </c>
      <c r="I38" s="13">
        <f>IFERROR(VLOOKUP($A38,subQ,MATCH(I$1,SUBQH,0),0),"")</f>
        <v/>
      </c>
      <c r="J38" s="13">
        <f>IFERROR(VLOOKUP($A38,subQ,MATCH(J$1,SUBQH,0),0),"")</f>
        <v/>
      </c>
      <c r="K38" s="13">
        <f>IFERROR(VLOOKUP($A38,subQ,MATCH(K$1,SUBQH,0),0),"")</f>
        <v/>
      </c>
      <c r="L38" s="13">
        <f>IFERROR(VLOOKUP($A38,subQ,MATCH(L$1,SUBQH,0),0),"")</f>
        <v/>
      </c>
      <c r="M38" s="13">
        <f>IFERROR(VLOOKUP($A38,subQ,MATCH(M$1,SUBQH,0),0),"")</f>
        <v/>
      </c>
      <c r="N38" s="13">
        <f>IFERROR(VLOOKUP($A38,subQ,MATCH(N$1,SUBQH,0),0),"")</f>
        <v/>
      </c>
      <c r="O38" s="13">
        <f>IFERROR(VLOOKUP($A38,subQ,MATCH(O$1,SUBQH,0),0),"")</f>
        <v/>
      </c>
      <c r="P38" s="13">
        <f>IFERROR(VLOOKUP($A38,subQ,MATCH(P$1,SUBQH,0),0),"")</f>
        <v/>
      </c>
      <c r="Q38" s="13">
        <f>IFERROR(VLOOKUP($A38,subQ,MATCH(Q$1,SUBQH,0),0),"")</f>
        <v/>
      </c>
      <c r="R38" s="13">
        <f>IFERROR(VLOOKUP($A38,subQ,MATCH(R$1,SUBQH,0),0),"")</f>
        <v/>
      </c>
      <c r="S38" s="13">
        <f>IFERROR(VLOOKUP($A38,subQ,MATCH(S$1,SUBQH,0),0),"")</f>
        <v/>
      </c>
      <c r="T38" s="13">
        <f>IFERROR(VLOOKUP($A38,subQ,MATCH(T$1,SUBQH,0),0),"")</f>
        <v/>
      </c>
      <c r="U38" s="13">
        <f>IFERROR(VLOOKUP($A38,subQ,MATCH(U$1,SUBQH,0),0),"")</f>
        <v/>
      </c>
      <c r="V38" s="13">
        <f>IFERROR(VLOOKUP($A38,subQ,MATCH(V$1,SUBQH,0),0),"")</f>
        <v/>
      </c>
      <c r="W38" s="48">
        <f>IFERROR(VLOOKUP($A38,subQ,MATCH(W$1,SUBQH,0),0),"")</f>
        <v/>
      </c>
      <c r="X38" s="39">
        <f>IFERROR(VLOOKUP($A38,subQ,MATCH(X$1,SUBQH,0),0),"")</f>
        <v/>
      </c>
      <c r="Y38" s="39">
        <f>IFERROR(VLOOKUP($A38,subQ,MATCH(Y$1,SUBQH,0),0),"")</f>
        <v/>
      </c>
      <c r="Z38" s="39">
        <f>IFERROR(VLOOKUP($A38,subQ,MATCH(Z$1,SUBQH,0),0),"")</f>
        <v/>
      </c>
      <c r="AA38" s="39">
        <f>IFERROR(VLOOKUP($A38,subQ,MATCH(AA$1,SUBQH,0),0),"")</f>
        <v/>
      </c>
      <c r="AB38" s="39">
        <f>IFERROR(VLOOKUP($A38,subQ,MATCH(AB$1,SUBQH,0),0),"")</f>
        <v/>
      </c>
      <c r="AC38" s="39">
        <f>IFERROR(VLOOKUP($A38,subQ,MATCH(AC$1,SUBQH,0),0),"")</f>
        <v/>
      </c>
      <c r="AD38" s="39">
        <f>IFERROR(VLOOKUP($A38,subQ,MATCH(AD$1,SUBQH,0),0),"")</f>
        <v/>
      </c>
      <c r="AE38" s="39">
        <f>IFERROR(VLOOKUP($A38,subQ,MATCH(AE$1,SUBQH,0),0),"")</f>
        <v/>
      </c>
      <c r="AF38" s="39">
        <f>IFERROR(VLOOKUP($A38,subQ,MATCH(AF$1,SUBQH,0),0),"")</f>
        <v/>
      </c>
      <c r="AG38" s="39">
        <f>IFERROR(VLOOKUP($A38,subQ,MATCH(AG$1,SUBQH,0),0),"")</f>
        <v/>
      </c>
    </row>
    <row r="39">
      <c r="A39" s="12" t="inlineStr">
        <is>
          <t>매출전사</t>
        </is>
      </c>
      <c r="D39" t="inlineStr">
        <is>
          <t>매출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18">
        <f>IFERROR(VLOOKUP($A39,subQ,MATCH(I$1,SUBQH,0),0),"")</f>
        <v/>
      </c>
      <c r="J39" s="18">
        <f>IFERROR(VLOOKUP($A39,subQ,MATCH(J$1,SUBQH,0),0),"")</f>
        <v/>
      </c>
      <c r="K39" s="18">
        <f>IFERROR(VLOOKUP($A39,subQ,MATCH(K$1,SUBQH,0),0),"")</f>
        <v/>
      </c>
      <c r="L39" s="18">
        <f>IFERROR(VLOOKUP($A39,subQ,MATCH(L$1,SUBQH,0),0),"")</f>
        <v/>
      </c>
      <c r="M39" s="18">
        <f>IFERROR(VLOOKUP($A39,subQ,MATCH(M$1,SUBQH,0),0),"")</f>
        <v/>
      </c>
      <c r="N39" s="18">
        <f>IFERROR(VLOOKUP($A39,subQ,MATCH(N$1,SUBQH,0),0),"")</f>
        <v/>
      </c>
      <c r="O39" s="18">
        <f>IFERROR(VLOOKUP($A39,subQ,MATCH(O$1,SUBQH,0),0),"")</f>
        <v/>
      </c>
      <c r="P39" s="18">
        <f>IFERROR(VLOOKUP($A39,subQ,MATCH(P$1,SUBQH,0),0),"")</f>
        <v/>
      </c>
      <c r="Q39" s="18">
        <f>IFERROR(VLOOKUP($A39,subQ,MATCH(Q$1,SUBQH,0),0),"")</f>
        <v/>
      </c>
      <c r="R39" s="18">
        <f>IFERROR(VLOOKUP($A39,subQ,MATCH(R$1,SUBQH,0),0),"")</f>
        <v/>
      </c>
      <c r="S39" s="18">
        <f>IFERROR(VLOOKUP($A39,subQ,MATCH(S$1,SUBQH,0),0),"")</f>
        <v/>
      </c>
      <c r="T39" s="18">
        <f>IFERROR(VLOOKUP($A39,subQ,MATCH(T$1,SUBQH,0),0),"")</f>
        <v/>
      </c>
      <c r="U39" s="18">
        <f>IFERROR(VLOOKUP($A39,subQ,MATCH(U$1,SUBQH,0),0),"")</f>
        <v/>
      </c>
      <c r="V39" s="18">
        <f>IFERROR(VLOOKUP($A39,subQ,MATCH(V$1,SUBQH,0),0),"")</f>
        <v/>
      </c>
      <c r="W39" s="45">
        <f>IFERROR(VLOOKUP($A39,subQ,MATCH(W$1,SUBQH,0),0),"")</f>
        <v/>
      </c>
      <c r="X39" s="20">
        <f>IFERROR(VLOOKUP($A39,subQ,MATCH(X$1,SUBQH,0),0),"")</f>
        <v/>
      </c>
      <c r="Y39" s="20">
        <f>IFERROR(VLOOKUP($A39,subQ,MATCH(Y$1,SUBQH,0),0),"")</f>
        <v/>
      </c>
      <c r="Z39" s="20">
        <f>IFERROR(VLOOKUP($A39,subQ,MATCH(Z$1,SUBQH,0),0),"")</f>
        <v/>
      </c>
      <c r="AA39" s="20">
        <f>IFERROR(VLOOKUP($A39,subQ,MATCH(AA$1,SUBQH,0),0),"")</f>
        <v/>
      </c>
      <c r="AB39" s="20">
        <f>IFERROR(VLOOKUP($A39,subQ,MATCH(AB$1,SUBQH,0),0),"")</f>
        <v/>
      </c>
      <c r="AC39" s="20">
        <f>IFERROR(VLOOKUP($A39,subQ,MATCH(AC$1,SUBQH,0),0),"")</f>
        <v/>
      </c>
      <c r="AD39" s="20">
        <f>IFERROR(VLOOKUP($A39,subQ,MATCH(AD$1,SUBQH,0),0),"")</f>
        <v/>
      </c>
      <c r="AE39" s="20">
        <f>IFERROR(VLOOKUP($A39,subQ,MATCH(AE$1,SUBQH,0),0),"")</f>
        <v/>
      </c>
      <c r="AF39" s="20">
        <f>IFERROR(VLOOKUP($A39,subQ,MATCH(AF$1,SUBQH,0),0),"")</f>
        <v/>
      </c>
      <c r="AG39" s="20">
        <f>IFERROR(VLOOKUP($A39,subQ,MATCH(AG$1,SUBQH,0),0),"")</f>
        <v/>
      </c>
    </row>
    <row r="40">
      <c r="A40" s="12" t="inlineStr">
        <is>
          <t>OP전사</t>
        </is>
      </c>
      <c r="D40" t="inlineStr">
        <is>
          <t>OP 전사(부문 미분리)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18">
        <f>IFERROR(VLOOKUP($A40,subQ,MATCH(I$1,SUBQH,0),0),"")</f>
        <v/>
      </c>
      <c r="J40" s="18">
        <f>IFERROR(VLOOKUP($A40,subQ,MATCH(J$1,SUBQH,0),0),"")</f>
        <v/>
      </c>
      <c r="K40" s="18">
        <f>IFERROR(VLOOKUP($A40,subQ,MATCH(K$1,SUBQH,0),0),"")</f>
        <v/>
      </c>
      <c r="L40" s="18">
        <f>IFERROR(VLOOKUP($A40,subQ,MATCH(L$1,SUBQH,0),0),"")</f>
        <v/>
      </c>
      <c r="M40" s="18">
        <f>IFERROR(VLOOKUP($A40,subQ,MATCH(M$1,SUBQH,0),0),"")</f>
        <v/>
      </c>
      <c r="N40" s="18">
        <f>IFERROR(VLOOKUP($A40,subQ,MATCH(N$1,SUBQH,0),0),"")</f>
        <v/>
      </c>
      <c r="O40" s="18">
        <f>IFERROR(VLOOKUP($A40,subQ,MATCH(O$1,SUBQH,0),0),"")</f>
        <v/>
      </c>
      <c r="P40" s="18">
        <f>IFERROR(VLOOKUP($A40,subQ,MATCH(P$1,SUBQH,0),0),"")</f>
        <v/>
      </c>
      <c r="Q40" s="18">
        <f>IFERROR(VLOOKUP($A40,subQ,MATCH(Q$1,SUBQH,0),0),"")</f>
        <v/>
      </c>
      <c r="R40" s="18">
        <f>IFERROR(VLOOKUP($A40,subQ,MATCH(R$1,SUBQH,0),0),"")</f>
        <v/>
      </c>
      <c r="S40" s="18">
        <f>IFERROR(VLOOKUP($A40,subQ,MATCH(S$1,SUBQH,0),0),"")</f>
        <v/>
      </c>
      <c r="T40" s="18">
        <f>IFERROR(VLOOKUP($A40,subQ,MATCH(T$1,SUBQH,0),0),"")</f>
        <v/>
      </c>
      <c r="U40" s="18">
        <f>IFERROR(VLOOKUP($A40,subQ,MATCH(U$1,SUBQH,0),0),"")</f>
        <v/>
      </c>
      <c r="V40" s="18">
        <f>IFERROR(VLOOKUP($A40,subQ,MATCH(V$1,SUBQH,0),0),"")</f>
        <v/>
      </c>
      <c r="W40" s="45">
        <f>IFERROR(VLOOKUP($A40,subQ,MATCH(W$1,SUBQH,0),0),"")</f>
        <v/>
      </c>
      <c r="X40" s="20">
        <f>IFERROR(VLOOKUP($A40,subQ,MATCH(X$1,SUBQH,0),0),"")</f>
        <v/>
      </c>
      <c r="Y40" s="20">
        <f>IFERROR(VLOOKUP($A40,subQ,MATCH(Y$1,SUBQH,0),0),"")</f>
        <v/>
      </c>
      <c r="Z40" s="20">
        <f>IFERROR(VLOOKUP($A40,subQ,MATCH(Z$1,SUBQH,0),0),"")</f>
        <v/>
      </c>
      <c r="AA40" s="20">
        <f>IFERROR(VLOOKUP($A40,subQ,MATCH(AA$1,SUBQH,0),0),"")</f>
        <v/>
      </c>
      <c r="AB40" s="20">
        <f>IFERROR(VLOOKUP($A40,subQ,MATCH(AB$1,SUBQH,0),0),"")</f>
        <v/>
      </c>
      <c r="AC40" s="20">
        <f>IFERROR(VLOOKUP($A40,subQ,MATCH(AC$1,SUBQH,0),0),"")</f>
        <v/>
      </c>
      <c r="AD40" s="20">
        <f>IFERROR(VLOOKUP($A40,subQ,MATCH(AD$1,SUBQH,0),0),"")</f>
        <v/>
      </c>
      <c r="AE40" s="20">
        <f>IFERROR(VLOOKUP($A40,subQ,MATCH(AE$1,SUBQH,0),0),"")</f>
        <v/>
      </c>
      <c r="AF40" s="20">
        <f>IFERROR(VLOOKUP($A40,subQ,MATCH(AF$1,SUBQH,0),0),"")</f>
        <v/>
      </c>
      <c r="AG40" s="20">
        <f>IFERROR(VLOOKUP($A40,subQ,MATCH(AG$1,SUBQH,0),0),"")</f>
        <v/>
      </c>
    </row>
    <row r="41">
      <c r="A41" s="12" t="inlineStr">
        <is>
          <t>NPM</t>
        </is>
      </c>
      <c r="D41" t="inlineStr">
        <is>
          <t>NPM</t>
        </is>
      </c>
      <c r="E41" s="21">
        <f>IFERROR(VLOOKUP($A41,subQ,MATCH(E$1,SUBQH,0),0),"")</f>
        <v/>
      </c>
      <c r="F41" s="21">
        <f>IFERROR(VLOOKUP($A41,subQ,MATCH(F$1,SUBQH,0),0),"")</f>
        <v/>
      </c>
      <c r="G41" s="21">
        <f>IFERROR(VLOOKUP($A41,subQ,MATCH(G$1,SUBQH,0),0),"")</f>
        <v/>
      </c>
      <c r="H41" s="21">
        <f>IFERROR(VLOOKUP($A41,subQ,MATCH(H$1,SUBQH,0),0),"")</f>
        <v/>
      </c>
      <c r="I41" s="21">
        <f>IFERROR(VLOOKUP($A41,subQ,MATCH(I$1,SUBQH,0),0),"")</f>
        <v/>
      </c>
      <c r="J41" s="21">
        <f>IFERROR(VLOOKUP($A41,subQ,MATCH(J$1,SUBQH,0),0),"")</f>
        <v/>
      </c>
      <c r="K41" s="21">
        <f>IFERROR(VLOOKUP($A41,subQ,MATCH(K$1,SUBQH,0),0),"")</f>
        <v/>
      </c>
      <c r="L41" s="21">
        <f>IFERROR(VLOOKUP($A41,subQ,MATCH(L$1,SUBQH,0),0),"")</f>
        <v/>
      </c>
      <c r="M41" s="21">
        <f>IFERROR(VLOOKUP($A41,subQ,MATCH(M$1,SUBQH,0),0),"")</f>
        <v/>
      </c>
      <c r="N41" s="21">
        <f>IFERROR(VLOOKUP($A41,subQ,MATCH(N$1,SUBQH,0),0),"")</f>
        <v/>
      </c>
      <c r="O41" s="21">
        <f>IFERROR(VLOOKUP($A41,subQ,MATCH(O$1,SUBQH,0),0),"")</f>
        <v/>
      </c>
      <c r="P41" s="21">
        <f>IFERROR(VLOOKUP($A41,subQ,MATCH(P$1,SUBQH,0),0),"")</f>
        <v/>
      </c>
      <c r="Q41" s="21">
        <f>IFERROR(VLOOKUP($A41,subQ,MATCH(Q$1,SUBQH,0),0),"")</f>
        <v/>
      </c>
      <c r="R41" s="21">
        <f>IFERROR(VLOOKUP($A41,subQ,MATCH(R$1,SUBQH,0),0),"")</f>
        <v/>
      </c>
      <c r="S41" s="21">
        <f>IFERROR(VLOOKUP($A41,subQ,MATCH(S$1,SUBQH,0),0),"")</f>
        <v/>
      </c>
      <c r="T41" s="21">
        <f>IFERROR(VLOOKUP($A41,subQ,MATCH(T$1,SUBQH,0),0),"")</f>
        <v/>
      </c>
      <c r="U41" s="21">
        <f>IFERROR(VLOOKUP($A41,subQ,MATCH(U$1,SUBQH,0),0),"")</f>
        <v/>
      </c>
      <c r="V41" s="21">
        <f>IFERROR(VLOOKUP($A41,subQ,MATCH(V$1,SUBQH,0),0),"")</f>
        <v/>
      </c>
      <c r="W41" s="46">
        <f>IFERROR(VLOOKUP($A41,subQ,MATCH(W$1,SUBQH,0),0),"")</f>
        <v/>
      </c>
      <c r="X41" s="33">
        <f>IFERROR(VLOOKUP($A41,subQ,MATCH(X$1,SUBQH,0),0),"")</f>
        <v/>
      </c>
      <c r="Y41" s="33">
        <f>IFERROR(VLOOKUP($A41,subQ,MATCH(Y$1,SUBQH,0),0),"")</f>
        <v/>
      </c>
      <c r="Z41" s="33">
        <f>IFERROR(VLOOKUP($A41,subQ,MATCH(Z$1,SUBQH,0),0),"")</f>
        <v/>
      </c>
      <c r="AA41" s="33">
        <f>IFERROR(VLOOKUP($A41,subQ,MATCH(AA$1,SUBQH,0),0),"")</f>
        <v/>
      </c>
      <c r="AB41" s="33">
        <f>IFERROR(VLOOKUP($A41,subQ,MATCH(AB$1,SUBQH,0),0),"")</f>
        <v/>
      </c>
      <c r="AC41" s="33">
        <f>IFERROR(VLOOKUP($A41,subQ,MATCH(AC$1,SUBQH,0),0),"")</f>
        <v/>
      </c>
      <c r="AD41" s="33">
        <f>IFERROR(VLOOKUP($A41,subQ,MATCH(AD$1,SUBQH,0),0),"")</f>
        <v/>
      </c>
      <c r="AE41" s="33">
        <f>IFERROR(VLOOKUP($A41,subQ,MATCH(AE$1,SUBQH,0),0),"")</f>
        <v/>
      </c>
      <c r="AF41" s="33">
        <f>IFERROR(VLOOKUP($A41,subQ,MATCH(AF$1,SUBQH,0),0),"")</f>
        <v/>
      </c>
      <c r="AG41" s="33">
        <f>IFERROR(VLOOKUP($A41,subQ,MATCH(AG$1,SUBQH,0),0),"")</f>
        <v/>
      </c>
    </row>
    <row r="42">
      <c r="A42" s="12" t="inlineStr">
        <is>
          <t>매출액 YoY</t>
        </is>
      </c>
      <c r="D42" t="inlineStr">
        <is>
          <t>매출액 YoY</t>
        </is>
      </c>
      <c r="I42" s="21">
        <f>IFERROR(I5/E5-1,"")</f>
        <v/>
      </c>
      <c r="J42" s="21">
        <f>IFERROR(J5/F5-1,"")</f>
        <v/>
      </c>
      <c r="K42" s="21">
        <f>IFERROR(K5/G5-1,"")</f>
        <v/>
      </c>
      <c r="L42" s="21">
        <f>IFERROR(L5/H5-1,"")</f>
        <v/>
      </c>
      <c r="M42" s="21">
        <f>IFERROR(M5/I5-1,"")</f>
        <v/>
      </c>
      <c r="N42" s="21">
        <f>IFERROR(N5/J5-1,"")</f>
        <v/>
      </c>
      <c r="O42" s="21">
        <f>IFERROR(O5/K5-1,"")</f>
        <v/>
      </c>
      <c r="P42" s="21">
        <f>IFERROR(P5/L5-1,"")</f>
        <v/>
      </c>
      <c r="Q42" s="21">
        <f>IFERROR(Q5/M5-1,"")</f>
        <v/>
      </c>
      <c r="R42" s="21">
        <f>IFERROR(R5/N5-1,"")</f>
        <v/>
      </c>
      <c r="S42" s="21">
        <f>IFERROR(S5/O5-1,"")</f>
        <v/>
      </c>
      <c r="T42" s="21">
        <f>IFERROR(T5/P5-1,"")</f>
        <v/>
      </c>
      <c r="U42" s="21">
        <f>IFERROR(U5/Q5-1,"")</f>
        <v/>
      </c>
      <c r="V42" s="21">
        <f>IFERROR(V5/R5-1,"")</f>
        <v/>
      </c>
      <c r="W42" s="46">
        <f>IFERROR(W5/S5-1,"")</f>
        <v/>
      </c>
      <c r="X42" s="33">
        <f>IFERROR(X5/T5-1,"")</f>
        <v/>
      </c>
      <c r="Y42" s="33">
        <f>IFERROR(Y5/U5-1,"")</f>
        <v/>
      </c>
      <c r="Z42" s="33">
        <f>IFERROR(Z5/V5-1,"")</f>
        <v/>
      </c>
      <c r="AA42" s="33">
        <f>IFERROR(AA5/W5-1,"")</f>
        <v/>
      </c>
      <c r="AB42" s="33">
        <f>IFERROR(AB5/X5-1,"")</f>
        <v/>
      </c>
      <c r="AC42" s="33">
        <f>IFERROR(AC5/Y5-1,"")</f>
        <v/>
      </c>
      <c r="AD42" s="33">
        <f>IFERROR(AD5/Z5-1,"")</f>
        <v/>
      </c>
      <c r="AE42" s="33">
        <f>IFERROR(AE5/AA5-1,"")</f>
        <v/>
      </c>
      <c r="AF42" s="33">
        <f>IFERROR(AF5/AB5-1,"")</f>
        <v/>
      </c>
      <c r="AG42" s="33">
        <f>IFERROR(AG5/AC5-1,"")</f>
        <v/>
      </c>
    </row>
    <row r="43">
      <c r="A43" s="12" t="inlineStr">
        <is>
          <t>영업이익 YoY</t>
        </is>
      </c>
      <c r="D43" t="inlineStr">
        <is>
          <t>영업이익 YoY</t>
        </is>
      </c>
      <c r="I43" s="21">
        <f>IFERROR(I9/E9-1,"")</f>
        <v/>
      </c>
      <c r="J43" s="21">
        <f>IFERROR(J9/F9-1,"")</f>
        <v/>
      </c>
      <c r="K43" s="21">
        <f>IFERROR(K9/G9-1,"")</f>
        <v/>
      </c>
      <c r="L43" s="21">
        <f>IFERROR(L9/H9-1,"")</f>
        <v/>
      </c>
      <c r="M43" s="21">
        <f>IFERROR(M9/I9-1,"")</f>
        <v/>
      </c>
      <c r="N43" s="21">
        <f>IFERROR(N9/J9-1,"")</f>
        <v/>
      </c>
      <c r="O43" s="21">
        <f>IFERROR(O9/K9-1,"")</f>
        <v/>
      </c>
      <c r="P43" s="21">
        <f>IFERROR(P9/L9-1,"")</f>
        <v/>
      </c>
      <c r="Q43" s="21">
        <f>IFERROR(Q9/M9-1,"")</f>
        <v/>
      </c>
      <c r="R43" s="21">
        <f>IFERROR(R9/N9-1,"")</f>
        <v/>
      </c>
      <c r="S43" s="21">
        <f>IFERROR(S9/O9-1,"")</f>
        <v/>
      </c>
      <c r="T43" s="21">
        <f>IFERROR(T9/P9-1,"")</f>
        <v/>
      </c>
      <c r="U43" s="21">
        <f>IFERROR(U9/Q9-1,"")</f>
        <v/>
      </c>
      <c r="V43" s="21">
        <f>IFERROR(V9/R9-1,"")</f>
        <v/>
      </c>
      <c r="W43" s="46">
        <f>IFERROR(W9/S9-1,"")</f>
        <v/>
      </c>
      <c r="X43" s="33">
        <f>IFERROR(X9/T9-1,"")</f>
        <v/>
      </c>
      <c r="Y43" s="33">
        <f>IFERROR(Y9/U9-1,"")</f>
        <v/>
      </c>
      <c r="Z43" s="33">
        <f>IFERROR(Z9/V9-1,"")</f>
        <v/>
      </c>
      <c r="AA43" s="33">
        <f>IFERROR(AA9/W9-1,"")</f>
        <v/>
      </c>
      <c r="AB43" s="33">
        <f>IFERROR(AB9/X9-1,"")</f>
        <v/>
      </c>
      <c r="AC43" s="33">
        <f>IFERROR(AC9/Y9-1,"")</f>
        <v/>
      </c>
      <c r="AD43" s="33">
        <f>IFERROR(AD9/Z9-1,"")</f>
        <v/>
      </c>
      <c r="AE43" s="33">
        <f>IFERROR(AE9/AA9-1,"")</f>
        <v/>
      </c>
      <c r="AF43" s="33">
        <f>IFERROR(AF9/AB9-1,"")</f>
        <v/>
      </c>
      <c r="AG43" s="33">
        <f>IFERROR(AG9/AC9-1,"")</f>
        <v/>
      </c>
    </row>
    <row r="44">
      <c r="A44" s="12" t="inlineStr">
        <is>
          <t>지배주주순이익 YoY</t>
        </is>
      </c>
      <c r="D44" t="inlineStr">
        <is>
          <t>지배주주순이익 YoY</t>
        </is>
      </c>
      <c r="I44" s="21">
        <f>IFERROR(I21/E21-1,"")</f>
        <v/>
      </c>
      <c r="J44" s="21">
        <f>IFERROR(J21/F21-1,"")</f>
        <v/>
      </c>
      <c r="K44" s="21">
        <f>IFERROR(K21/G21-1,"")</f>
        <v/>
      </c>
      <c r="L44" s="21">
        <f>IFERROR(L21/H21-1,"")</f>
        <v/>
      </c>
      <c r="M44" s="21">
        <f>IFERROR(M21/I21-1,"")</f>
        <v/>
      </c>
      <c r="N44" s="21">
        <f>IFERROR(N21/J21-1,"")</f>
        <v/>
      </c>
      <c r="O44" s="21">
        <f>IFERROR(O21/K21-1,"")</f>
        <v/>
      </c>
      <c r="P44" s="21">
        <f>IFERROR(P21/L21-1,"")</f>
        <v/>
      </c>
      <c r="Q44" s="21">
        <f>IFERROR(Q21/M21-1,"")</f>
        <v/>
      </c>
      <c r="R44" s="21">
        <f>IFERROR(R21/N21-1,"")</f>
        <v/>
      </c>
      <c r="S44" s="21">
        <f>IFERROR(S21/O21-1,"")</f>
        <v/>
      </c>
      <c r="T44" s="21">
        <f>IFERROR(T21/P21-1,"")</f>
        <v/>
      </c>
      <c r="U44" s="21">
        <f>IFERROR(U21/Q21-1,"")</f>
        <v/>
      </c>
      <c r="V44" s="21">
        <f>IFERROR(V21/R21-1,"")</f>
        <v/>
      </c>
      <c r="W44" s="46">
        <f>IFERROR(W21/S21-1,"")</f>
        <v/>
      </c>
      <c r="X44" s="33">
        <f>IFERROR(X21/T21-1,"")</f>
        <v/>
      </c>
      <c r="Y44" s="33">
        <f>IFERROR(Y21/U21-1,"")</f>
        <v/>
      </c>
      <c r="Z44" s="33">
        <f>IFERROR(Z21/V21-1,"")</f>
        <v/>
      </c>
      <c r="AA44" s="33">
        <f>IFERROR(AA21/W21-1,"")</f>
        <v/>
      </c>
      <c r="AB44" s="33">
        <f>IFERROR(AB21/X21-1,"")</f>
        <v/>
      </c>
      <c r="AC44" s="33">
        <f>IFERROR(AC21/Y21-1,"")</f>
        <v/>
      </c>
      <c r="AD44" s="33">
        <f>IFERROR(AD21/Z21-1,"")</f>
        <v/>
      </c>
      <c r="AE44" s="33">
        <f>IFERROR(AE21/AA21-1,"")</f>
        <v/>
      </c>
      <c r="AF44" s="33">
        <f>IFERROR(AF21/AB21-1,"")</f>
        <v/>
      </c>
      <c r="AG44" s="33">
        <f>IFERROR(AG21/AC21-1,"")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변수!D45</f>
        <v/>
      </c>
      <c r="I2" s="42" t="n"/>
    </row>
    <row r="3">
      <c r="C3" t="inlineStr">
        <is>
          <t>기준일:</t>
        </is>
      </c>
      <c r="D3" t="inlineStr">
        <is>
          <t>20261019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3">
        <f>IFERROR(VLOOKUP($A10,subQ,MATCH(J$1,SUBQH,0),0),"")</f>
        <v/>
      </c>
      <c r="K10" s="33">
        <f>IFERROR(VLOOKUP($A10,subQ,MATCH(K$1,SUBQH,0),0),"")</f>
        <v/>
      </c>
      <c r="L10" s="33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중단사업이익</t>
        </is>
      </c>
      <c r="D22" t="inlineStr">
        <is>
          <t>중단사업이익(실적만)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자산총계</t>
        </is>
      </c>
      <c r="D23" t="inlineStr">
        <is>
          <t>자산총계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부채총계</t>
        </is>
      </c>
      <c r="D24" t="inlineStr">
        <is>
          <t>부채총계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자본총계</t>
        </is>
      </c>
      <c r="D25" t="inlineStr">
        <is>
          <t>자본총계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지배주주지분</t>
        </is>
      </c>
      <c r="D26" t="inlineStr">
        <is>
          <t>지배주주지분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총차입금</t>
        </is>
      </c>
      <c r="D27" t="inlineStr">
        <is>
          <t>총차입금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순차입금</t>
        </is>
      </c>
      <c r="D28" t="inlineStr">
        <is>
          <t>순차입금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이자발생자산</t>
        </is>
      </c>
      <c r="D29" t="inlineStr">
        <is>
          <t>이자발생자산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현금및현금성자산</t>
        </is>
      </c>
      <c r="D30" t="inlineStr">
        <is>
          <t>현금및현금성자산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CAPEX</t>
        </is>
      </c>
      <c r="D31" t="inlineStr">
        <is>
          <t>CAPEX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영업활동현금흐름</t>
        </is>
      </c>
      <c r="D32" t="inlineStr">
        <is>
          <t>영업활동현금흐름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5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주식수</t>
        </is>
      </c>
      <c r="D33" t="inlineStr">
        <is>
          <t>유통주식수</t>
        </is>
      </c>
      <c r="E33" s="27">
        <f>IFERROR(VLOOKUP($A33,subQ,MATCH(E$1,SUBQH,0),0),"")</f>
        <v/>
      </c>
      <c r="F33" s="27">
        <f>IFERROR(VLOOKUP($A33,subQ,MATCH(F$1,SUBQH,0),0),"")</f>
        <v/>
      </c>
      <c r="G33" s="27">
        <f>IFERROR(VLOOKUP($A33,subQ,MATCH(G$1,SUBQH,0),0),"")</f>
        <v/>
      </c>
      <c r="H33" s="27">
        <f>IFERROR(VLOOKUP($A33,subQ,MATCH(H$1,SUBQH,0),0),"")</f>
        <v/>
      </c>
      <c r="I33" s="47">
        <f>IFERROR(VLOOKUP($A33,subQ,MATCH(I$1,SUBQH,0),0),"")</f>
        <v/>
      </c>
      <c r="J33" s="32">
        <f>IFERROR(VLOOKUP($A33,subQ,MATCH(J$1,SUBQH,0),0),"")</f>
        <v/>
      </c>
      <c r="K33" s="32">
        <f>IFERROR(VLOOKUP($A33,subQ,MATCH(K$1,SUBQH,0),0),"")</f>
        <v/>
      </c>
      <c r="L33" s="32">
        <f>IFERROR(VLOOKUP($A33,subQ,MATCH(L$1,SUBQH,0),0),"")</f>
        <v/>
      </c>
    </row>
    <row r="34">
      <c r="A34" s="12" t="inlineStr">
        <is>
          <t>EPS</t>
        </is>
      </c>
      <c r="D34" t="inlineStr">
        <is>
          <t>EPS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BPS</t>
        </is>
      </c>
      <c r="D35" t="inlineStr">
        <is>
          <t>BPS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5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DPS</t>
        </is>
      </c>
      <c r="D36" t="inlineStr">
        <is>
          <t>DPS(보통주)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45">
        <f>IFERROR(VLOOKUP($A36,subQ,MATCH(I$1,SUBQH,0),0),"")</f>
        <v/>
      </c>
      <c r="J36" s="20">
        <f>IFERROR(VLOOKUP($A36,subQ,MATCH(J$1,SUBQH,0),0),"")</f>
        <v/>
      </c>
      <c r="K36" s="20">
        <f>IFERROR(VLOOKUP($A36,subQ,MATCH(K$1,SUBQH,0),0),"")</f>
        <v/>
      </c>
      <c r="L36" s="20">
        <f>IFERROR(VLOOKUP($A36,subQ,MATCH(L$1,SUBQH,0),0),"")</f>
        <v/>
      </c>
    </row>
    <row r="37">
      <c r="A37" s="12" t="inlineStr">
        <is>
          <t>PER</t>
        </is>
      </c>
      <c r="D37" t="inlineStr">
        <is>
          <t>PER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48">
        <f>IFERROR(VLOOKUP($A37,subQ,MATCH(I$1,SUBQH,0),0),"")</f>
        <v/>
      </c>
      <c r="J37" s="39">
        <f>IFERROR(VLOOKUP($A37,subQ,MATCH(J$1,SUBQH,0),0),"")</f>
        <v/>
      </c>
      <c r="K37" s="39">
        <f>IFERROR(VLOOKUP($A37,subQ,MATCH(K$1,SUBQH,0),0),"")</f>
        <v/>
      </c>
      <c r="L37" s="39">
        <f>IFERROR(VLOOKUP($A37,subQ,MATCH(L$1,SUBQH,0),0),"")</f>
        <v/>
      </c>
    </row>
    <row r="38">
      <c r="A38" s="12" t="inlineStr">
        <is>
          <t>PBR</t>
        </is>
      </c>
      <c r="D38" t="inlineStr">
        <is>
          <t>PBR</t>
        </is>
      </c>
      <c r="E38" s="13">
        <f>IFERROR(VLOOKUP($A38,subQ,MATCH(E$1,SUBQH,0),0),"")</f>
        <v/>
      </c>
      <c r="F38" s="13">
        <f>IFERROR(VLOOKUP($A38,subQ,MATCH(F$1,SUBQH,0),0),"")</f>
        <v/>
      </c>
      <c r="G38" s="13">
        <f>IFERROR(VLOOKUP($A38,subQ,MATCH(G$1,SUBQH,0),0),"")</f>
        <v/>
      </c>
      <c r="H38" s="13">
        <f>IFERROR(VLOOKUP($A38,subQ,MATCH(H$1,SUBQH,0),0),"")</f>
        <v/>
      </c>
      <c r="I38" s="48">
        <f>IFERROR(VLOOKUP($A38,subQ,MATCH(I$1,SUBQH,0),0),"")</f>
        <v/>
      </c>
      <c r="J38" s="39">
        <f>IFERROR(VLOOKUP($A38,subQ,MATCH(J$1,SUBQH,0),0),"")</f>
        <v/>
      </c>
      <c r="K38" s="39">
        <f>IFERROR(VLOOKUP($A38,subQ,MATCH(K$1,SUBQH,0),0),"")</f>
        <v/>
      </c>
      <c r="L38" s="39">
        <f>IFERROR(VLOOKUP($A38,subQ,MATCH(L$1,SUBQH,0),0),"")</f>
        <v/>
      </c>
    </row>
    <row r="39">
      <c r="A39" s="12" t="inlineStr">
        <is>
          <t>매출전사</t>
        </is>
      </c>
      <c r="D39" t="inlineStr">
        <is>
          <t>매출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45">
        <f>IFERROR(VLOOKUP($A39,subQ,MATCH(I$1,SUBQH,0),0),"")</f>
        <v/>
      </c>
      <c r="J39" s="20">
        <f>IFERROR(VLOOKUP($A39,subQ,MATCH(J$1,SUBQH,0),0),"")</f>
        <v/>
      </c>
      <c r="K39" s="20">
        <f>IFERROR(VLOOKUP($A39,subQ,MATCH(K$1,SUBQH,0),0),"")</f>
        <v/>
      </c>
      <c r="L39" s="20">
        <f>IFERROR(VLOOKUP($A39,subQ,MATCH(L$1,SUBQH,0),0),"")</f>
        <v/>
      </c>
    </row>
    <row r="40">
      <c r="A40" s="12" t="inlineStr">
        <is>
          <t>OP전사</t>
        </is>
      </c>
      <c r="D40" t="inlineStr">
        <is>
          <t>OP 전사(부문 미분리)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45">
        <f>IFERROR(VLOOKUP($A40,subQ,MATCH(I$1,SUBQH,0),0),"")</f>
        <v/>
      </c>
      <c r="J40" s="20">
        <f>IFERROR(VLOOKUP($A40,subQ,MATCH(J$1,SUBQH,0),0),"")</f>
        <v/>
      </c>
      <c r="K40" s="20">
        <f>IFERROR(VLOOKUP($A40,subQ,MATCH(K$1,SUBQH,0),0),"")</f>
        <v/>
      </c>
      <c r="L40" s="20">
        <f>IFERROR(VLOOKUP($A40,subQ,MATCH(L$1,SUBQH,0),0),"")</f>
        <v/>
      </c>
    </row>
    <row r="41">
      <c r="A41" s="12" t="inlineStr">
        <is>
          <t>NPM</t>
        </is>
      </c>
      <c r="D41" t="inlineStr">
        <is>
          <t>NPM</t>
        </is>
      </c>
      <c r="E41" s="21">
        <f>IFERROR(VLOOKUP($A41,subQ,MATCH(E$1,SUBQH,0),0),"")</f>
        <v/>
      </c>
      <c r="F41" s="21">
        <f>IFERROR(VLOOKUP($A41,subQ,MATCH(F$1,SUBQH,0),0),"")</f>
        <v/>
      </c>
      <c r="G41" s="21">
        <f>IFERROR(VLOOKUP($A41,subQ,MATCH(G$1,SUBQH,0),0),"")</f>
        <v/>
      </c>
      <c r="H41" s="21">
        <f>IFERROR(VLOOKUP($A41,subQ,MATCH(H$1,SUBQH,0),0),"")</f>
        <v/>
      </c>
      <c r="I41" s="46">
        <f>IFERROR(VLOOKUP($A41,subQ,MATCH(I$1,SUBQH,0),0),"")</f>
        <v/>
      </c>
      <c r="J41" s="33">
        <f>IFERROR(VLOOKUP($A41,subQ,MATCH(J$1,SUBQH,0),0),"")</f>
        <v/>
      </c>
      <c r="K41" s="33">
        <f>IFERROR(VLOOKUP($A41,subQ,MATCH(K$1,SUBQH,0),0),"")</f>
        <v/>
      </c>
      <c r="L41" s="33">
        <f>IFERROR(VLOOKUP($A41,subQ,MATCH(L$1,SUBQH,0),0),"")</f>
        <v/>
      </c>
    </row>
    <row r="42">
      <c r="A42" s="12" t="inlineStr">
        <is>
          <t>매출액 YoY</t>
        </is>
      </c>
      <c r="D42" t="inlineStr">
        <is>
          <t>매출액 YoY</t>
        </is>
      </c>
      <c r="F42" s="21">
        <f>IFERROR(F5/E5-1,"")</f>
        <v/>
      </c>
      <c r="G42" s="21">
        <f>IFERROR(G5/F5-1,"")</f>
        <v/>
      </c>
      <c r="H42" s="21">
        <f>IFERROR(H5/G5-1,"")</f>
        <v/>
      </c>
      <c r="I42" s="46">
        <f>IFERROR(I5/H5-1,"")</f>
        <v/>
      </c>
      <c r="J42" s="33">
        <f>IFERROR(J5/I5-1,"")</f>
        <v/>
      </c>
      <c r="K42" s="33">
        <f>IFERROR(K5/J5-1,"")</f>
        <v/>
      </c>
      <c r="L42" s="33">
        <f>IFERROR(L5/K5-1,"")</f>
        <v/>
      </c>
    </row>
    <row r="43">
      <c r="A43" s="12" t="inlineStr">
        <is>
          <t>영업이익 YoY</t>
        </is>
      </c>
      <c r="D43" t="inlineStr">
        <is>
          <t>영업이익 YoY</t>
        </is>
      </c>
      <c r="F43" s="21">
        <f>IFERROR(F9/E9-1,"")</f>
        <v/>
      </c>
      <c r="G43" s="21">
        <f>IFERROR(G9/F9-1,"")</f>
        <v/>
      </c>
      <c r="H43" s="21">
        <f>IFERROR(H9/G9-1,"")</f>
        <v/>
      </c>
      <c r="I43" s="46">
        <f>IFERROR(I9/H9-1,"")</f>
        <v/>
      </c>
      <c r="J43" s="33">
        <f>IFERROR(J9/I9-1,"")</f>
        <v/>
      </c>
      <c r="K43" s="33">
        <f>IFERROR(K9/J9-1,"")</f>
        <v/>
      </c>
      <c r="L43" s="33">
        <f>IFERROR(L9/K9-1,"")</f>
        <v/>
      </c>
    </row>
    <row r="44">
      <c r="A44" s="12" t="inlineStr">
        <is>
          <t>지배주주순이익 YoY</t>
        </is>
      </c>
      <c r="D44" t="inlineStr">
        <is>
          <t>지배주주순이익 YoY</t>
        </is>
      </c>
      <c r="F44" s="21">
        <f>IFERROR(F21/E21-1,"")</f>
        <v/>
      </c>
      <c r="G44" s="21">
        <f>IFERROR(G21/F21-1,"")</f>
        <v/>
      </c>
      <c r="H44" s="21">
        <f>IFERROR(H21/G21-1,"")</f>
        <v/>
      </c>
      <c r="I44" s="46">
        <f>IFERROR(I21/H21-1,"")</f>
        <v/>
      </c>
      <c r="J44" s="33">
        <f>IFERROR(J21/I21-1,"")</f>
        <v/>
      </c>
      <c r="K44" s="33">
        <f>IFERROR(K21/J21-1,"")</f>
        <v/>
      </c>
      <c r="L44" s="33">
        <f>IFERROR(L21/K21-1,"")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변수!D45</f>
        <v/>
      </c>
    </row>
    <row r="2">
      <c r="B2" s="1" t="inlineStr">
        <is>
          <t>기준일</t>
        </is>
      </c>
      <c r="C2">
        <f>변수!D46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IFERROR(E7*변수!D51+F7*(1-변수!D51),"")</f>
        <v/>
      </c>
    </row>
    <row r="15">
      <c r="C15" t="inlineStr">
        <is>
          <t>적정가치 @PER_lo</t>
        </is>
      </c>
      <c r="D15" s="27">
        <f>변수!D48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변수!D49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변수!D50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변수!D47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343.3</v>
      </c>
    </row>
    <row r="30">
      <c r="C30" s="2" t="inlineStr">
        <is>
          <t>bps_latest</t>
        </is>
      </c>
    </row>
    <row r="31">
      <c r="C31" s="2" t="inlineStr">
        <is>
          <t>per_now</t>
        </is>
      </c>
      <c r="D31" t="n">
        <v>194</v>
      </c>
    </row>
    <row r="32">
      <c r="C32" s="2" t="inlineStr">
        <is>
          <t>pbr_now</t>
        </is>
      </c>
    </row>
    <row r="33">
      <c r="C33" s="2" t="inlineStr">
        <is>
          <t>roe_fwd</t>
        </is>
      </c>
    </row>
    <row r="34">
      <c r="C34" s="2" t="inlineStr">
        <is>
          <t>fair_pbr</t>
        </is>
      </c>
    </row>
    <row r="35">
      <c r="C35" s="2" t="inlineStr">
        <is>
          <t>fair_value_pbr</t>
        </is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3">
        <f>IFERROR(X5/W5-1,"")</f>
        <v/>
      </c>
      <c r="Y6" s="33">
        <f>IFERROR(Y5/X5-1,"")</f>
        <v/>
      </c>
      <c r="Z6" s="33">
        <f>IFERROR(Z5/Y5-1,"")</f>
        <v/>
      </c>
      <c r="AA6" s="33">
        <f>IFERROR(AA5/Z5-1,"")</f>
        <v/>
      </c>
      <c r="AB6" s="33">
        <f>IFERROR(AB5/AA5-1,"")</f>
        <v/>
      </c>
      <c r="AC6" s="33">
        <f>IFERROR(AC5/AB5-1,"")</f>
        <v/>
      </c>
      <c r="AD6" s="33">
        <f>IFERROR(AD5/AC5-1,"")</f>
        <v/>
      </c>
      <c r="AE6" s="33">
        <f>IFERROR(AE5/AD5-1,"")</f>
        <v/>
      </c>
      <c r="AF6" s="33">
        <f>IFERROR(AF5/AE5-1,"")</f>
        <v/>
      </c>
      <c r="AG6" s="33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3">
        <f>IFERROR(X7/W7-1,"")</f>
        <v/>
      </c>
      <c r="Y8" s="33">
        <f>IFERROR(Y7/X7-1,"")</f>
        <v/>
      </c>
      <c r="Z8" s="33">
        <f>IFERROR(Z7/Y7-1,"")</f>
        <v/>
      </c>
      <c r="AA8" s="33">
        <f>IFERROR(AA7/Z7-1,"")</f>
        <v/>
      </c>
      <c r="AB8" s="33">
        <f>IFERROR(AB7/AA7-1,"")</f>
        <v/>
      </c>
      <c r="AC8" s="33">
        <f>IFERROR(AC7/AB7-1,"")</f>
        <v/>
      </c>
      <c r="AD8" s="33">
        <f>IFERROR(AD7/AC7-1,"")</f>
        <v/>
      </c>
      <c r="AE8" s="33">
        <f>IFERROR(AE7/AD7-1,"")</f>
        <v/>
      </c>
      <c r="AF8" s="33">
        <f>IFERROR(AF7/AE7-1,"")</f>
        <v/>
      </c>
      <c r="AG8" s="33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3">
        <f>IFERROR(X9/W9-1,"")</f>
        <v/>
      </c>
      <c r="Y10" s="33">
        <f>IFERROR(Y9/X9-1,"")</f>
        <v/>
      </c>
      <c r="Z10" s="33">
        <f>IFERROR(Z9/Y9-1,"")</f>
        <v/>
      </c>
      <c r="AA10" s="33">
        <f>IFERROR(AA9/Z9-1,"")</f>
        <v/>
      </c>
      <c r="AB10" s="33">
        <f>IFERROR(AB9/AA9-1,"")</f>
        <v/>
      </c>
      <c r="AC10" s="33">
        <f>IFERROR(AC9/AB9-1,"")</f>
        <v/>
      </c>
      <c r="AD10" s="33">
        <f>IFERROR(AD9/AC9-1,"")</f>
        <v/>
      </c>
      <c r="AE10" s="33">
        <f>IFERROR(AE9/AD9-1,"")</f>
        <v/>
      </c>
      <c r="AF10" s="33">
        <f>IFERROR(AF9/AE9-1,"")</f>
        <v/>
      </c>
      <c r="AG10" s="33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3">
        <f>IFERROR(X11/W11-1,"")</f>
        <v/>
      </c>
      <c r="Y12" s="33">
        <f>IFERROR(Y11/X11-1,"")</f>
        <v/>
      </c>
      <c r="Z12" s="33">
        <f>IFERROR(Z11/Y11-1,"")</f>
        <v/>
      </c>
      <c r="AA12" s="33">
        <f>IFERROR(AA11/Z11-1,"")</f>
        <v/>
      </c>
      <c r="AB12" s="33">
        <f>IFERROR(AB11/AA11-1,"")</f>
        <v/>
      </c>
      <c r="AC12" s="33">
        <f>IFERROR(AC11/AB11-1,"")</f>
        <v/>
      </c>
      <c r="AD12" s="33">
        <f>IFERROR(AD11/AC11-1,"")</f>
        <v/>
      </c>
      <c r="AE12" s="33">
        <f>IFERROR(AE11/AD11-1,"")</f>
        <v/>
      </c>
      <c r="AF12" s="33">
        <f>IFERROR(AF11/AE11-1,"")</f>
        <v/>
      </c>
      <c r="AG12" s="33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3">
        <f>IFERROR(X13/W13-1,"")</f>
        <v/>
      </c>
      <c r="Y14" s="33">
        <f>IFERROR(Y13/X13-1,"")</f>
        <v/>
      </c>
      <c r="Z14" s="33">
        <f>IFERROR(Z13/Y13-1,"")</f>
        <v/>
      </c>
      <c r="AA14" s="33">
        <f>IFERROR(AA13/Z13-1,"")</f>
        <v/>
      </c>
      <c r="AB14" s="33">
        <f>IFERROR(AB13/AA13-1,"")</f>
        <v/>
      </c>
      <c r="AC14" s="33">
        <f>IFERROR(AC13/AB13-1,"")</f>
        <v/>
      </c>
      <c r="AD14" s="33">
        <f>IFERROR(AD13/AC13-1,"")</f>
        <v/>
      </c>
      <c r="AE14" s="33">
        <f>IFERROR(AE13/AD13-1,"")</f>
        <v/>
      </c>
      <c r="AF14" s="33">
        <f>IFERROR(AF13/AE13-1,"")</f>
        <v/>
      </c>
      <c r="AG14" s="33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변수!D58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2026-10-19T00:00:00Z</dcterms:created>
  <dcterms:modified xsi:type="dcterms:W3CDTF">2026-10-19T00:00:00Z</dcterms:modified>
</cp:coreProperties>
</file>