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BS별도!$C$5:$AO$104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모델값 역산(implied): v / 매출액
매출액 × 판관비율 12.02%(최근 4분기 중위)</t>
      </text>
    </comment>
    <comment ref="AD22" authorId="0" shapeId="0">
      <text>
        <t>모델값 역산(implied): v / 매출액
매출액 × 판관비율 12.02%(최근 4분기 중위)</t>
      </text>
    </comment>
    <comment ref="AF22" authorId="0" shapeId="0">
      <text>
        <t>모델값 역산(implied): v / 매출액
매출액 × 판관비율 12.02%(최근 4분기 중위)</t>
      </text>
    </comment>
    <comment ref="AG22" authorId="0" shapeId="0">
      <text>
        <t>모델값 역산(implied): v / 매출액
매출액 × 판관비율 12.02%(최근 4분기 중위)</t>
      </text>
    </comment>
    <comment ref="AH22" authorId="0" shapeId="0">
      <text>
        <t>모델값 역산(implied): v / 매출액
매출액 × 판관비율 12.02%(최근 4분기 중위)</t>
      </text>
    </comment>
    <comment ref="AI22" authorId="0" shapeId="0">
      <text>
        <t>모델값 역산(implied): v / 매출액
매출액 × 판관비율 12.02%(최근 4분기 중위)</t>
      </text>
    </comment>
    <comment ref="AK22" authorId="0" shapeId="0">
      <text>
        <t>모델값 역산(implied): v / 매출액
매출액 × 판관비율 12.02%(최근 4분기 중위)</t>
      </text>
    </comment>
    <comment ref="AL22" authorId="0" shapeId="0">
      <text>
        <t>모델값 역산(implied): v / 매출액
매출액 × 판관비율 12.02%(최근 4분기 중위)</t>
      </text>
    </comment>
    <comment ref="AM22" authorId="0" shapeId="0">
      <text>
        <t>모델값 역산(implied): v / 매출액
매출액 × 판관비율 12.02%(최근 4분기 중위)</t>
      </text>
    </comment>
    <comment ref="AN22" authorId="0" shapeId="0">
      <text>
        <t>모델값 역산(implied): v / 매출액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v / 전년동기 − 1
최근 8분기 OPM 중위 4.7% 유지(클립 −20~40%)</t>
      </text>
    </comment>
    <comment ref="AD24" authorId="0" shapeId="0">
      <text>
        <t>모델값 역산(implied): v / 전년동기 − 1
최근 8분기 OPM 중위 4.7% 유지(클립 −20~40%)</t>
      </text>
    </comment>
    <comment ref="AF24" authorId="0" shapeId="0">
      <text>
        <t>모델값 역산(implied): v / 전년동기 − 1
최근 8분기 OPM 중위 4.7% 유지(클립 −20~40%)</t>
      </text>
    </comment>
    <comment ref="AG24" authorId="0" shapeId="0">
      <text>
        <t>모델값 역산(implied): v / 전년동기 − 1
최근 8분기 OPM 중위 4.7% 유지(클립 −20~40%)</t>
      </text>
    </comment>
    <comment ref="AH24" authorId="0" shapeId="0">
      <text>
        <t>모델값 역산(implied): v / 전년동기 − 1
최근 8분기 OPM 중위 4.7% 유지(클립 −20~40%)</t>
      </text>
    </comment>
    <comment ref="AI24" authorId="0" shapeId="0">
      <text>
        <t>모델값 역산(implied): v / 전년동기 − 1
최근 8분기 OPM 중위 4.7% 유지(클립 −20~40%)</t>
      </text>
    </comment>
    <comment ref="AK24" authorId="0" shapeId="0">
      <text>
        <t>모델값 역산(implied): v / 전년동기 − 1
최근 8분기 OPM 중위 4.7% 유지(클립 −20~40%)</t>
      </text>
    </comment>
    <comment ref="AL24" authorId="0" shapeId="0">
      <text>
        <t>모델값 역산(implied): v / 전년동기 − 1
최근 8분기 OPM 중위 4.7% 유지(클립 −20~40%)</t>
      </text>
    </comment>
    <comment ref="AM24" authorId="0" shapeId="0">
      <text>
        <t>모델값 역산(implied): v / 전년동기 − 1
최근 8분기 OPM 중위 4.7% 유지(클립 −20~40%)</t>
      </text>
    </comment>
    <comment ref="AN24" authorId="0" shapeId="0">
      <text>
        <t>모델값 역산(implied): v / 전년동기 − 1
최근 8분기 OPM 중위 4.7% 유지(클립 −20~40%)</t>
      </text>
    </comment>
    <comment ref="AC25" authorId="0" shapeId="0">
      <text>
        <t>모델값 역산(implied): 모델 v 그대로
이자손익 = 이자발생자산 35386억 × 2.28% − 총차입금 68913억 × 5.51% (연율, CF 실측) ÷ 4; 환·평가손익 0 가정</t>
      </text>
    </comment>
    <comment ref="AD25" authorId="0" shapeId="0">
      <text>
        <t>모델값 역산(implied): 모델 v 그대로
이자손익 = 이자발생자산 36406억 × 2.28% − 총차입금 68913억 × 5.51% (연율, CF 실측) ÷ 4; 환·평가손익 0 가정</t>
      </text>
    </comment>
    <comment ref="AF25" authorId="0" shapeId="0">
      <text>
        <t>모델값 역산(implied): 모델 v 그대로
이자손익 = 이자발생자산 37798억 × 2.28% − 총차입금 68913억 × 5.51% (연율, CF 실측) ÷ 4; 환·평가손익 0 가정</t>
      </text>
    </comment>
    <comment ref="AG25" authorId="0" shapeId="0">
      <text>
        <t>모델값 역산(implied): 모델 v 그대로
이자손익 = 이자발생자산 38972억 × 2.28% − 총차입금 68913억 × 5.51% (연율, CF 실측) ÷ 4; 환·평가손익 0 가정</t>
      </text>
    </comment>
    <comment ref="AH25" authorId="0" shapeId="0">
      <text>
        <t>모델값 역산(implied): 모델 v 그대로
이자손익 = 이자발생자산 40324억 × 2.28% − 총차입금 68913억 × 5.51% (연율, CF 실측) ÷ 4; 환·평가손익 0 가정</t>
      </text>
    </comment>
    <comment ref="AI25" authorId="0" shapeId="0">
      <text>
        <t>모델값 역산(implied): 모델 v 그대로
이자손익 = 이자발생자산 41428억 × 2.28% − 총차입금 68913억 × 5.51% (연율, CF 실측) ÷ 4; 환·평가손익 0 가정</t>
      </text>
    </comment>
    <comment ref="AK25" authorId="0" shapeId="0">
      <text>
        <t>모델값 역산(implied): 모델 v 그대로
이자손익 = 이자발생자산 42922억 × 2.28% − 총차입금 68913억 × 5.51% (연율, CF 실측) ÷ 4; 환·평가손익 0 가정</t>
      </text>
    </comment>
    <comment ref="AL25" authorId="0" shapeId="0">
      <text>
        <t>모델값 역산(implied): 모델 v 그대로
이자손익 = 이자발생자산 44186억 × 2.28% − 총차입금 68913억 × 5.51% (연율, CF 실측) ÷ 4; 환·평가손익 0 가정</t>
      </text>
    </comment>
    <comment ref="AM25" authorId="0" shapeId="0">
      <text>
        <t>모델값 역산(implied): 모델 v 그대로
이자손익 = 이자발생자산 45638억 × 2.28% − 총차입금 68913억 × 5.51% (연율, CF 실측) ÷ 4; 환·평가손익 0 가정</t>
      </text>
    </comment>
    <comment ref="AN25" authorId="0" shapeId="0">
      <text>
        <t>모델값 역산(implied): 모델 v 그대로
이자손익 = 이자발생자산 46798억 × 2.28% − 총차입금 68913억 × 5.51%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34.8% → 5~27% 클립)</t>
      </text>
    </comment>
    <comment ref="AD28" authorId="0" shapeId="0">
      <text>
        <t>모델값 역산(implied): v / 세전이익
max(세전, 0) × 세율 27.0%(최근 12분기 유효세율 34.8% → 5~27% 클립)</t>
      </text>
    </comment>
    <comment ref="AF28" authorId="0" shapeId="0">
      <text>
        <t>모델값 역산(implied): v / 세전이익
max(세전, 0) × 세율 27.0%(최근 12분기 유효세율 34.8% → 5~27% 클립)</t>
      </text>
    </comment>
    <comment ref="AG28" authorId="0" shapeId="0">
      <text>
        <t>모델값 역산(implied): v / 세전이익
max(세전, 0) × 세율 27.0%(최근 12분기 유효세율 34.8% → 5~27% 클립)</t>
      </text>
    </comment>
    <comment ref="AH28" authorId="0" shapeId="0">
      <text>
        <t>모델값 역산(implied): v / 세전이익
max(세전, 0) × 세율 27.0%(최근 12분기 유효세율 34.8% → 5~27% 클립)</t>
      </text>
    </comment>
    <comment ref="AI28" authorId="0" shapeId="0">
      <text>
        <t>모델값 역산(implied): v / 세전이익
max(세전, 0) × 세율 27.0%(최근 12분기 유효세율 34.8% → 5~27% 클립)</t>
      </text>
    </comment>
    <comment ref="AK28" authorId="0" shapeId="0">
      <text>
        <t>모델값 역산(implied): v / 세전이익
max(세전, 0) × 세율 27.0%(최근 12분기 유효세율 34.8% → 5~27% 클립)</t>
      </text>
    </comment>
    <comment ref="AL28" authorId="0" shapeId="0">
      <text>
        <t>모델값 역산(implied): v / 세전이익
max(세전, 0) × 세율 27.0%(최근 12분기 유효세율 34.8% → 5~27% 클립)</t>
      </text>
    </comment>
    <comment ref="AM28" authorId="0" shapeId="0">
      <text>
        <t>모델값 역산(implied): v / 세전이익
max(세전, 0) × 세율 27.0%(최근 12분기 유효세율 34.8% → 5~27% 클립)</t>
      </text>
    </comment>
    <comment ref="AN28" authorId="0" shapeId="0">
      <text>
        <t>모델값 역산(implied): v / 세전이익
max(세전, 0) × 세율 27.0%(최근 12분기 유효세율 34.8% → 5~27% 클립)</t>
      </text>
    </comment>
    <comment ref="AC29" authorId="0" shapeId="0">
      <text>
        <t>모델값 역산(implied): v / 당기순이익
당기순이익 × (1 − 비지배 비중 60.0%, 최근 8분기 실측)</t>
      </text>
    </comment>
    <comment ref="AD29" authorId="0" shapeId="0">
      <text>
        <t>모델값 역산(implied): v / 당기순이익
당기순이익 × (1 − 비지배 비중 60.0%, 최근 8분기 실측)</t>
      </text>
    </comment>
    <comment ref="AF29" authorId="0" shapeId="0">
      <text>
        <t>모델값 역산(implied): v / 당기순이익
당기순이익 × (1 − 비지배 비중 60.0%, 최근 8분기 실측)</t>
      </text>
    </comment>
    <comment ref="AG29" authorId="0" shapeId="0">
      <text>
        <t>모델값 역산(implied): v / 당기순이익
당기순이익 × (1 − 비지배 비중 60.0%, 최근 8분기 실측)</t>
      </text>
    </comment>
    <comment ref="AH29" authorId="0" shapeId="0">
      <text>
        <t>모델값 역산(implied): v / 당기순이익
당기순이익 × (1 − 비지배 비중 60.0%, 최근 8분기 실측)</t>
      </text>
    </comment>
    <comment ref="AI29" authorId="0" shapeId="0">
      <text>
        <t>모델값 역산(implied): v / 당기순이익
당기순이익 × (1 − 비지배 비중 60.0%, 최근 8분기 실측)</t>
      </text>
    </comment>
    <comment ref="AK29" authorId="0" shapeId="0">
      <text>
        <t>모델값 역산(implied): v / 당기순이익
당기순이익 × (1 − 비지배 비중 60.0%, 최근 8분기 실측)</t>
      </text>
    </comment>
    <comment ref="AL29" authorId="0" shapeId="0">
      <text>
        <t>모델값 역산(implied): v / 당기순이익
당기순이익 × (1 − 비지배 비중 60.0%, 최근 8분기 실측)</t>
      </text>
    </comment>
    <comment ref="AM29" authorId="0" shapeId="0">
      <text>
        <t>모델값 역산(implied): v / 당기순이익
당기순이익 × (1 − 비지배 비중 60.0%, 최근 8분기 실측)</t>
      </text>
    </comment>
    <comment ref="AN29" authorId="0" shapeId="0">
      <text>
        <t>모델값 역산(implied): v / 당기순이익
당기순이익 × (1 − 비지배 비중 60.0%,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4.7% 유지(클립 −20~40%)
[yoy]</t>
      </text>
    </comment>
    <comment ref="AD10" authorId="0" shapeId="0">
      <text>
        <t>추정: 최근 8분기 OPM 중위 4.7% 유지(클립 −20~40%)
[yoy]</t>
      </text>
    </comment>
    <comment ref="AF10" authorId="0" shapeId="0">
      <text>
        <t>추정: 최근 8분기 OPM 중위 4.7% 유지(클립 −20~40%)
[yoy]</t>
      </text>
    </comment>
    <comment ref="AG10" authorId="0" shapeId="0">
      <text>
        <t>추정: 최근 8분기 OPM 중위 4.7% 유지(클립 −20~40%)
[yoy]</t>
      </text>
    </comment>
    <comment ref="AH10" authorId="0" shapeId="0">
      <text>
        <t>추정: 최근 8분기 OPM 중위 4.7% 유지(클립 −20~40%)
[yoy]</t>
      </text>
    </comment>
    <comment ref="AI10" authorId="0" shapeId="0">
      <text>
        <t>추정: 최근 8분기 OPM 중위 4.7% 유지(클립 −20~40%)
[yoy]</t>
      </text>
    </comment>
    <comment ref="AK10" authorId="0" shapeId="0">
      <text>
        <t>추정: 최근 8분기 OPM 중위 4.7% 유지(클립 −20~40%)
[yoy]</t>
      </text>
    </comment>
    <comment ref="AL10" authorId="0" shapeId="0">
      <text>
        <t>추정: 최근 8분기 OPM 중위 4.7% 유지(클립 −20~40%)
[yoy]</t>
      </text>
    </comment>
    <comment ref="AM10" authorId="0" shapeId="0">
      <text>
        <t>추정: 최근 8분기 OPM 중위 4.7% 유지(클립 −20~40%)
[yoy]</t>
      </text>
    </comment>
    <comment ref="AN10" authorId="0" shapeId="0">
      <text>
        <t>추정: 최근 8분기 OPM 중위 4.7% 유지(클립 −20~40%)
[yoy]</t>
      </text>
    </comment>
    <comment ref="AC11" authorId="0" shapeId="0">
      <text>
        <t>추정: 이자손익 = 이자발생자산 35386억 × 2.28% − 총차입금 68913억 × 5.51% (연율, CF 실측) ÷ 4; 환·평가손익 0 가정
[abs]</t>
      </text>
    </comment>
    <comment ref="AD11" authorId="0" shapeId="0">
      <text>
        <t>추정: 이자손익 = 이자발생자산 36406억 × 2.28% − 총차입금 68913억 × 5.51% (연율, CF 실측) ÷ 4; 환·평가손익 0 가정
[abs]</t>
      </text>
    </comment>
    <comment ref="AF11" authorId="0" shapeId="0">
      <text>
        <t>추정: 이자손익 = 이자발생자산 37798억 × 2.28% − 총차입금 68913억 × 5.51% (연율, CF 실측) ÷ 4; 환·평가손익 0 가정
[abs]</t>
      </text>
    </comment>
    <comment ref="AG11" authorId="0" shapeId="0">
      <text>
        <t>추정: 이자손익 = 이자발생자산 38972억 × 2.28% − 총차입금 68913억 × 5.51% (연율, CF 실측) ÷ 4; 환·평가손익 0 가정
[abs]</t>
      </text>
    </comment>
    <comment ref="AH11" authorId="0" shapeId="0">
      <text>
        <t>추정: 이자손익 = 이자발생자산 40324억 × 2.28% − 총차입금 68913억 × 5.51% (연율, CF 실측) ÷ 4; 환·평가손익 0 가정
[abs]</t>
      </text>
    </comment>
    <comment ref="AI11" authorId="0" shapeId="0">
      <text>
        <t>추정: 이자손익 = 이자발생자산 41428억 × 2.28% − 총차입금 68913억 × 5.51% (연율, CF 실측) ÷ 4; 환·평가손익 0 가정
[abs]</t>
      </text>
    </comment>
    <comment ref="AK11" authorId="0" shapeId="0">
      <text>
        <t>추정: 이자손익 = 이자발생자산 42922억 × 2.28% − 총차입금 68913억 × 5.51% (연율, CF 실측) ÷ 4; 환·평가손익 0 가정
[abs]</t>
      </text>
    </comment>
    <comment ref="AL11" authorId="0" shapeId="0">
      <text>
        <t>추정: 이자손익 = 이자발생자산 44186억 × 2.28% − 총차입금 68913억 × 5.51% (연율, CF 실측) ÷ 4; 환·평가손익 0 가정
[abs]</t>
      </text>
    </comment>
    <comment ref="AM11" authorId="0" shapeId="0">
      <text>
        <t>추정: 이자손익 = 이자발생자산 45638억 × 2.28% − 총차입금 68913억 × 5.51% (연율, CF 실측) ÷ 4; 환·평가손익 0 가정
[abs]</t>
      </text>
    </comment>
    <comment ref="AN11" authorId="0" shapeId="0">
      <text>
        <t>추정: 이자손익 = 이자발생자산 46798억 × 2.28% − 총차입금 68913억 × 5.51%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34.8% → 5~27% 클립)
[ratio]</t>
      </text>
    </comment>
    <comment ref="AD15" authorId="0" shapeId="0">
      <text>
        <t>추정: max(세전, 0) × 세율 27.0%(최근 12분기 유효세율 34.8% → 5~27% 클립)
[ratio]</t>
      </text>
    </comment>
    <comment ref="AF15" authorId="0" shapeId="0">
      <text>
        <t>추정: max(세전, 0) × 세율 27.0%(최근 12분기 유효세율 34.8% → 5~27% 클립)
[ratio]</t>
      </text>
    </comment>
    <comment ref="AG15" authorId="0" shapeId="0">
      <text>
        <t>추정: max(세전, 0) × 세율 27.0%(최근 12분기 유효세율 34.8% → 5~27% 클립)
[ratio]</t>
      </text>
    </comment>
    <comment ref="AH15" authorId="0" shapeId="0">
      <text>
        <t>추정: max(세전, 0) × 세율 27.0%(최근 12분기 유효세율 34.8% → 5~27% 클립)
[ratio]</t>
      </text>
    </comment>
    <comment ref="AI15" authorId="0" shapeId="0">
      <text>
        <t>추정: max(세전, 0) × 세율 27.0%(최근 12분기 유효세율 34.8% → 5~27% 클립)
[ratio]</t>
      </text>
    </comment>
    <comment ref="AK15" authorId="0" shapeId="0">
      <text>
        <t>추정: max(세전, 0) × 세율 27.0%(최근 12분기 유효세율 34.8% → 5~27% 클립)
[ratio]</t>
      </text>
    </comment>
    <comment ref="AL15" authorId="0" shapeId="0">
      <text>
        <t>추정: max(세전, 0) × 세율 27.0%(최근 12분기 유효세율 34.8% → 5~27% 클립)
[ratio]</t>
      </text>
    </comment>
    <comment ref="AM15" authorId="0" shapeId="0">
      <text>
        <t>추정: max(세전, 0) × 세율 27.0%(최근 12분기 유효세율 34.8% → 5~27% 클립)
[ratio]</t>
      </text>
    </comment>
    <comment ref="AN15" authorId="0" shapeId="0">
      <text>
        <t>추정: max(세전, 0) × 세율 27.0%(최근 12분기 유효세율 34.8%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60.0%, 최근 8분기 실측)
[ratio]</t>
      </text>
    </comment>
    <comment ref="AD17" authorId="0" shapeId="0">
      <text>
        <t>추정: 당기순이익 × (1 − 비지배 비중 60.0%, 최근 8분기 실측)
[ratio]</t>
      </text>
    </comment>
    <comment ref="AF17" authorId="0" shapeId="0">
      <text>
        <t>추정: 당기순이익 × (1 − 비지배 비중 60.0%, 최근 8분기 실측)
[ratio]</t>
      </text>
    </comment>
    <comment ref="AG17" authorId="0" shapeId="0">
      <text>
        <t>추정: 당기순이익 × (1 − 비지배 비중 60.0%, 최근 8분기 실측)
[ratio]</t>
      </text>
    </comment>
    <comment ref="AH17" authorId="0" shapeId="0">
      <text>
        <t>추정: 당기순이익 × (1 − 비지배 비중 60.0%, 최근 8분기 실측)
[ratio]</t>
      </text>
    </comment>
    <comment ref="AI17" authorId="0" shapeId="0">
      <text>
        <t>추정: 당기순이익 × (1 − 비지배 비중 60.0%, 최근 8분기 실측)
[ratio]</t>
      </text>
    </comment>
    <comment ref="AK17" authorId="0" shapeId="0">
      <text>
        <t>추정: 당기순이익 × (1 − 비지배 비중 60.0%, 최근 8분기 실측)
[ratio]</t>
      </text>
    </comment>
    <comment ref="AL17" authorId="0" shapeId="0">
      <text>
        <t>추정: 당기순이익 × (1 − 비지배 비중 60.0%, 최근 8분기 실측)
[ratio]</t>
      </text>
    </comment>
    <comment ref="AM17" authorId="0" shapeId="0">
      <text>
        <t>추정: 당기순이익 × (1 − 비지배 비중 60.0%, 최근 8분기 실측)
[ratio]</t>
      </text>
    </comment>
    <comment ref="AN17" authorId="0" shapeId="0">
      <text>
        <t>추정: 당기순이익 × (1 − 비지배 비중 60.0%,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추정(가정 셀 참조 불가 — 기준값 없음, 모델값 직접): 현재 종가 ÷ TTM EPS(추정 포함)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assets/models/034020.json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13.1, "op_wape_pct": 20.0,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23250</v>
      </c>
      <c r="W15" s="18" t="n">
        <v>67700</v>
      </c>
      <c r="X15" s="18" t="n">
        <v>62200</v>
      </c>
      <c r="Y15" s="18" t="n">
        <v>75800</v>
      </c>
      <c r="Z15" s="9" t="n"/>
      <c r="AA15" s="18" t="n">
        <v>91200</v>
      </c>
      <c r="AB15" s="19" t="n">
        <v>86600</v>
      </c>
      <c r="AC15" s="20" t="n">
        <v>81900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26688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74100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17422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58100</v>
      </c>
      <c r="Z17" s="9" t="n"/>
      <c r="AA17" s="18" t="n">
        <v>63500</v>
      </c>
      <c r="AB17" s="19" t="n">
        <v>79300</v>
      </c>
      <c r="AC17" s="20" t="n">
        <v>57000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24436.2</v>
      </c>
      <c r="W18" s="18" t="n">
        <v>38210</v>
      </c>
      <c r="X18" s="18" t="n">
        <v>63166.2</v>
      </c>
      <c r="Y18" s="18" t="n">
        <v>78569.5</v>
      </c>
      <c r="Z18" s="9" t="n"/>
      <c r="AA18" s="18" t="n">
        <v>95296.60000000001</v>
      </c>
      <c r="AB18" s="19" t="n">
        <v>106573.8</v>
      </c>
      <c r="AC18" s="20" t="n">
        <v>78733.89999999999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0.08734500000000001</v>
      </c>
      <c r="AD21" s="24" t="n">
        <v>0.08734500000000001</v>
      </c>
      <c r="AE21" s="25" t="n"/>
      <c r="AF21" s="24" t="n">
        <v>0.08734500000000001</v>
      </c>
      <c r="AG21" s="24" t="n">
        <v>0.08734500000000001</v>
      </c>
      <c r="AH21" s="24" t="n">
        <v>0.043672</v>
      </c>
      <c r="AI21" s="24" t="n">
        <v>0.043673</v>
      </c>
      <c r="AJ21" s="25" t="n"/>
      <c r="AK21" s="24" t="n">
        <v>0.043673</v>
      </c>
      <c r="AL21" s="24" t="n">
        <v>0.043672</v>
      </c>
      <c r="AM21" s="24" t="n">
        <v>0.021836</v>
      </c>
      <c r="AN21" s="24" t="n">
        <v>0.021836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0.120164</v>
      </c>
      <c r="AD22" s="24" t="n">
        <v>0.120165</v>
      </c>
      <c r="AE22" s="25">
        <f>IFERROR(subQ!AE8/subQ!AE5,"")</f>
        <v/>
      </c>
      <c r="AF22" s="24" t="n">
        <v>0.120164</v>
      </c>
      <c r="AG22" s="24" t="n">
        <v>0.120165</v>
      </c>
      <c r="AH22" s="24" t="n">
        <v>0.120165</v>
      </c>
      <c r="AI22" s="24" t="n">
        <v>0.120165</v>
      </c>
      <c r="AJ22" s="25">
        <f>IFERROR(subQ!AJ8/subQ!AJ5,"")</f>
        <v/>
      </c>
      <c r="AK22" s="24" t="n">
        <v>0.120164</v>
      </c>
      <c r="AL22" s="24" t="n">
        <v>0.120165</v>
      </c>
      <c r="AM22" s="24" t="n">
        <v>0.120164</v>
      </c>
      <c r="AN22" s="24" t="n">
        <v>0.120164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0.047417</v>
      </c>
      <c r="AD23" s="24" t="n">
        <v>0.047417</v>
      </c>
      <c r="AE23" s="25">
        <f>IFERROR(subQ!AE9/subQ!AE5,"")</f>
        <v/>
      </c>
      <c r="AF23" s="24" t="n">
        <v>0.047417</v>
      </c>
      <c r="AG23" s="24" t="n">
        <v>0.047417</v>
      </c>
      <c r="AH23" s="24" t="n">
        <v>0.047417</v>
      </c>
      <c r="AI23" s="24" t="n">
        <v>0.047417</v>
      </c>
      <c r="AJ23" s="25">
        <f>IFERROR(subQ!AJ9/subQ!AJ5,"")</f>
        <v/>
      </c>
      <c r="AK23" s="24" t="n">
        <v>0.047417</v>
      </c>
      <c r="AL23" s="24" t="n">
        <v>0.047417</v>
      </c>
      <c r="AM23" s="24" t="n">
        <v>0.047417</v>
      </c>
      <c r="AN23" s="24" t="n">
        <v>0.047417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0.342776</v>
      </c>
      <c r="AD24" s="24" t="n">
        <v>0.087156</v>
      </c>
      <c r="AE24" s="25" t="n"/>
      <c r="AF24" s="24" t="n">
        <v>-0.135036</v>
      </c>
      <c r="AG24" s="24" t="n">
        <v>-0.287218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-747.03</v>
      </c>
      <c r="AD25" s="29" t="n">
        <v>-741.21</v>
      </c>
      <c r="AE25" s="30">
        <f>subQ!AE11</f>
        <v/>
      </c>
      <c r="AF25" s="29" t="n">
        <v>-733.27</v>
      </c>
      <c r="AG25" s="29" t="n">
        <v>-726.5700000000001</v>
      </c>
      <c r="AH25" s="29" t="n">
        <v>-718.86</v>
      </c>
      <c r="AI25" s="29" t="n">
        <v>-712.5599999999999</v>
      </c>
      <c r="AJ25" s="30">
        <f>subQ!AJ11</f>
        <v/>
      </c>
      <c r="AK25" s="29" t="n">
        <v>-704.04</v>
      </c>
      <c r="AL25" s="29" t="n">
        <v>-696.8200000000001</v>
      </c>
      <c r="AM25" s="29" t="n">
        <v>-688.54</v>
      </c>
      <c r="AN25" s="29" t="n">
        <v>-681.92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143.3</v>
      </c>
      <c r="AD27" s="29" t="n">
        <v>143.3</v>
      </c>
      <c r="AE27" s="30">
        <f>subQ!AE13</f>
        <v/>
      </c>
      <c r="AF27" s="29" t="n">
        <v>143.3</v>
      </c>
      <c r="AG27" s="29" t="n">
        <v>143.3</v>
      </c>
      <c r="AH27" s="29" t="n">
        <v>143.3</v>
      </c>
      <c r="AI27" s="29" t="n">
        <v>143.3</v>
      </c>
      <c r="AJ27" s="30">
        <f>subQ!AJ13</f>
        <v/>
      </c>
      <c r="AK27" s="29" t="n">
        <v>143.3</v>
      </c>
      <c r="AL27" s="29" t="n">
        <v>143.3</v>
      </c>
      <c r="AM27" s="29" t="n">
        <v>143.3</v>
      </c>
      <c r="AN27" s="29" t="n">
        <v>143.3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0.270003</v>
      </c>
      <c r="AD28" s="24" t="n">
        <v>0.269998</v>
      </c>
      <c r="AE28" s="25">
        <f>IFERROR(subQ!AE15/subQ!AE14,"")</f>
        <v/>
      </c>
      <c r="AF28" s="24" t="n">
        <v>0.27</v>
      </c>
      <c r="AG28" s="24" t="n">
        <v>0.270003</v>
      </c>
      <c r="AH28" s="24" t="n">
        <v>0.269997</v>
      </c>
      <c r="AI28" s="24" t="n">
        <v>0.270002</v>
      </c>
      <c r="AJ28" s="25">
        <f>IFERROR(subQ!AJ15/subQ!AJ14,"")</f>
        <v/>
      </c>
      <c r="AK28" s="24" t="n">
        <v>0.270001</v>
      </c>
      <c r="AL28" s="24" t="n">
        <v>0.269998</v>
      </c>
      <c r="AM28" s="24" t="n">
        <v>0.27</v>
      </c>
      <c r="AN28" s="24" t="n">
        <v>0.270002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0.4</v>
      </c>
      <c r="AD29" s="24" t="n">
        <v>0.399996</v>
      </c>
      <c r="AE29" s="25">
        <f>IFERROR(subQ!AE17/subQ!AE16,"")</f>
        <v/>
      </c>
      <c r="AF29" s="24" t="n">
        <v>0.399997</v>
      </c>
      <c r="AG29" s="24" t="n">
        <v>0.400004</v>
      </c>
      <c r="AH29" s="24" t="n">
        <v>0.4</v>
      </c>
      <c r="AI29" s="24" t="n">
        <v>0.400003</v>
      </c>
      <c r="AJ29" s="25">
        <f>IFERROR(subQ!AJ17/subQ!AJ16,"")</f>
        <v/>
      </c>
      <c r="AK29" s="24" t="n">
        <v>0.400003</v>
      </c>
      <c r="AL29" s="24" t="n">
        <v>0.4</v>
      </c>
      <c r="AM29" s="24" t="n">
        <v>0.399997</v>
      </c>
      <c r="AN29" s="24" t="n">
        <v>0.399996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</v>
      </c>
      <c r="AD32" s="29" t="n">
        <v>0.01</v>
      </c>
      <c r="AE32" s="30" t="n"/>
      <c r="AF32" s="29" t="n">
        <v>0</v>
      </c>
      <c r="AG32" s="29" t="n">
        <v>-0.01</v>
      </c>
      <c r="AH32" s="29" t="n">
        <v>0.01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32" t="n"/>
      <c r="AD33" s="32" t="n"/>
      <c r="AE33" s="30" t="n"/>
      <c r="AF33" s="32" t="n"/>
      <c r="AG33" s="32" t="n"/>
      <c r="AH33" s="32" t="n"/>
      <c r="AI33" s="32" t="n"/>
      <c r="AJ33" s="30" t="n"/>
      <c r="AK33" s="32" t="n"/>
      <c r="AL33" s="32" t="n"/>
      <c r="AM33" s="32" t="n"/>
      <c r="AN33" s="32" t="n"/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-0.026447</v>
      </c>
      <c r="AD35" s="24" t="n">
        <v>-0.0371</v>
      </c>
      <c r="AE35" s="25" t="n"/>
      <c r="AF35" s="24" t="n">
        <v>-0.032455</v>
      </c>
      <c r="AG35" s="24" t="n">
        <v>-0.038674</v>
      </c>
      <c r="AH35" s="24" t="n">
        <v>-0.032841</v>
      </c>
      <c r="AI35" s="24" t="n">
        <v>-0.045931</v>
      </c>
      <c r="AJ35" s="25" t="n"/>
      <c r="AK35" s="24" t="n">
        <v>-0.040761</v>
      </c>
      <c r="AL35" s="24" t="n">
        <v>-0.048791</v>
      </c>
      <c r="AM35" s="24" t="n">
        <v>-0.040964</v>
      </c>
      <c r="AN35" s="24" t="n">
        <v>-0.057376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0.028818</v>
      </c>
      <c r="AD36" s="24" t="n">
        <v>0.038254</v>
      </c>
      <c r="AE36" s="25" t="n"/>
      <c r="AF36" s="24" t="n">
        <v>0.031036</v>
      </c>
      <c r="AG36" s="24" t="n">
        <v>0.034705</v>
      </c>
      <c r="AH36" s="24" t="n">
        <v>0.02738</v>
      </c>
      <c r="AI36" s="24" t="n">
        <v>0.03605</v>
      </c>
      <c r="AJ36" s="25" t="n"/>
      <c r="AK36" s="24" t="n">
        <v>0.02946</v>
      </c>
      <c r="AL36" s="24" t="n">
        <v>0.032859</v>
      </c>
      <c r="AM36" s="24" t="n">
        <v>0.025407</v>
      </c>
      <c r="AN36" s="24" t="n">
        <v>0.033283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24" t="n">
        <v>-0.660094</v>
      </c>
      <c r="AE42" s="25" t="n"/>
      <c r="AF42" s="24" t="n">
        <v>-0.5677759999999999</v>
      </c>
      <c r="AG42" s="24" t="n">
        <v>-0.307717</v>
      </c>
      <c r="AH42" s="24" t="n">
        <v>0.352842</v>
      </c>
      <c r="AI42" s="24" t="n">
        <v>0.243882</v>
      </c>
      <c r="AJ42" s="25" t="n"/>
      <c r="AK42" s="24" t="n">
        <v>0.443508</v>
      </c>
      <c r="AL42" s="24" t="n">
        <v>-0.07097299999999999</v>
      </c>
      <c r="AM42" s="24" t="n">
        <v>-0.06485200000000001</v>
      </c>
      <c r="AN42" s="24" t="n">
        <v>-0.05731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0.047417</v>
      </c>
      <c r="AD45" s="24" t="n">
        <v>0.047417</v>
      </c>
      <c r="AE45" s="25">
        <f>IFERROR(subQ!AE36/subQ!AE35,"")</f>
        <v/>
      </c>
      <c r="AF45" s="24" t="n">
        <v>0.047417</v>
      </c>
      <c r="AG45" s="24" t="n">
        <v>0.047417</v>
      </c>
      <c r="AH45" s="24" t="n">
        <v>0.047417</v>
      </c>
      <c r="AI45" s="24" t="n">
        <v>0.047417</v>
      </c>
      <c r="AJ45" s="25">
        <f>IFERROR(subQ!AJ36/subQ!AJ35,"")</f>
        <v/>
      </c>
      <c r="AK45" s="24" t="n">
        <v>0.047417</v>
      </c>
      <c r="AL45" s="24" t="n">
        <v>0.047417</v>
      </c>
      <c r="AM45" s="24" t="n">
        <v>0.047417</v>
      </c>
      <c r="AN45" s="24" t="n">
        <v>0.047417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3" t="n">
        <v>80500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4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171.3배가 3~40 밖(턴어라운드 왜곡))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0.1202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5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5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5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5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5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5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5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5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5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5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5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5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5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5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5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5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5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5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5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5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5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5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5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5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5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5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5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5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5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5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5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5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5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5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5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5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5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5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5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5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5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5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5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5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5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5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5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5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5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5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5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5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5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5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5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5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5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5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5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5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5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5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5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5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5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5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5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5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5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5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5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5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5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5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5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5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5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5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5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5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5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5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5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5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5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5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5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5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5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5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5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5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5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5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5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5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5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5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5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5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5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5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5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5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5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5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5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5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5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5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5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5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5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5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5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5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5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5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5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5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5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5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5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5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5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5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5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5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5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5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5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5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5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5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5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5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5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5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5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5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5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5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5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5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5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5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5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5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5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5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5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5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5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5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5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5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5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5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5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5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5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5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5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5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5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5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5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5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5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5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5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5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5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5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5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5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5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5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5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5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5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5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5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5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5" t="n">
        <v>64880.16</v>
      </c>
      <c r="G42" s="18" t="n">
        <v>66229.69</v>
      </c>
      <c r="J42" s="18" t="n">
        <v>76193.14</v>
      </c>
      <c r="K42" s="35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5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5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5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5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5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5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5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5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5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5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5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5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5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5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5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5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5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5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5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5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5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5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5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5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5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5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5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5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5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5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5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5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5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5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5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5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5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5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5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5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5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5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5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5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5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5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5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5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5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5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5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5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5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5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5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5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5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5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5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5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5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5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5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5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5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5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5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5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5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5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5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5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5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5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5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5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5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5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5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5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5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5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5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5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5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5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5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5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5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5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5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5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5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5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5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5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5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5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5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5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5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5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5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5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5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5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5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5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5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5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5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5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5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5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5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5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5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5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5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5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5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5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5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5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5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5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5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5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5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5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5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5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5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5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5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5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5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5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5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5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5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5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5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5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5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5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5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5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5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5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5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5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5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5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5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5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5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5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5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5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5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5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5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5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5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5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5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5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5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5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5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5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5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5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5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5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5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5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5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5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5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5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5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5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5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5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5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5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5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5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5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5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5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5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5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5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5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5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5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5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5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5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5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5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5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5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691487.4</v>
      </c>
      <c r="F89" s="9" t="n"/>
      <c r="G89" s="18" t="n">
        <v>-269827.27</v>
      </c>
      <c r="H89" s="18" t="n">
        <v>319975.05</v>
      </c>
      <c r="I89" s="18" t="n">
        <v>505198.46</v>
      </c>
      <c r="J89" s="18" t="n">
        <v>69731.48</v>
      </c>
      <c r="K89" s="35" t="n">
        <v>625077.72</v>
      </c>
      <c r="L89" s="18" t="n">
        <v>233046.24</v>
      </c>
      <c r="M89" s="18" t="n">
        <v>1025689.69</v>
      </c>
      <c r="N89" s="18" t="n">
        <v>153622.84</v>
      </c>
      <c r="O89" s="18" t="n">
        <v>658274.52</v>
      </c>
      <c r="P89" s="35" t="n">
        <v>2070633.29</v>
      </c>
      <c r="Q89" s="18" t="n">
        <v>344383.65</v>
      </c>
      <c r="R89" s="18" t="n">
        <v>-477065.35</v>
      </c>
      <c r="S89" s="18" t="n">
        <v>-815354.02</v>
      </c>
      <c r="T89" s="18" t="n">
        <v>1190239.72</v>
      </c>
      <c r="U89" s="35" t="n">
        <v>242204</v>
      </c>
      <c r="V89" s="18" t="n">
        <v>-572034</v>
      </c>
      <c r="W89" s="18" t="n">
        <v>-12808</v>
      </c>
      <c r="X89" s="18" t="n">
        <v>-60085</v>
      </c>
      <c r="Y89" s="18" t="n">
        <v>1396728</v>
      </c>
      <c r="Z89" s="35" t="n">
        <v>751801</v>
      </c>
      <c r="AA89" s="18" t="n">
        <v>-565522</v>
      </c>
      <c r="AB89" s="19" t="n">
        <v>-321130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18" t="n">
        <v>5643.21</v>
      </c>
      <c r="F90" s="9" t="n"/>
      <c r="G90" s="18" t="n">
        <v>2457</v>
      </c>
      <c r="H90" s="18" t="n">
        <v>3476.25</v>
      </c>
      <c r="I90" s="18" t="n">
        <v>4392.67</v>
      </c>
      <c r="J90" s="18" t="n">
        <v>7686.58</v>
      </c>
      <c r="K90" s="35" t="n">
        <v>18012.5</v>
      </c>
      <c r="L90" s="18" t="n">
        <v>7085.48</v>
      </c>
      <c r="M90" s="18" t="n">
        <v>7617.81</v>
      </c>
      <c r="N90" s="18" t="n">
        <v>19064.14</v>
      </c>
      <c r="O90" s="18" t="n">
        <v>20440.44</v>
      </c>
      <c r="P90" s="35" t="n">
        <v>54207.87</v>
      </c>
      <c r="Q90" s="18" t="n">
        <v>26476.45</v>
      </c>
      <c r="R90" s="18" t="n">
        <v>28410.11</v>
      </c>
      <c r="S90" s="18" t="n">
        <v>15668.88</v>
      </c>
      <c r="T90" s="18" t="n">
        <v>20106.56</v>
      </c>
      <c r="U90" s="35" t="n">
        <v>90662</v>
      </c>
      <c r="V90" s="18" t="n">
        <v>17413</v>
      </c>
      <c r="W90" s="18" t="n">
        <v>20101</v>
      </c>
      <c r="X90" s="18" t="n">
        <v>27264</v>
      </c>
      <c r="Y90" s="18" t="n">
        <v>23078</v>
      </c>
      <c r="Z90" s="35" t="n">
        <v>87856</v>
      </c>
      <c r="AA90" s="18" t="n">
        <v>15388</v>
      </c>
      <c r="AB90" s="19" t="n">
        <v>16171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-90503.5</v>
      </c>
      <c r="F91" s="9" t="n"/>
      <c r="G91" s="18" t="n">
        <v>-63465.11</v>
      </c>
      <c r="H91" s="18" t="n">
        <v>-71102.49000000001</v>
      </c>
      <c r="I91" s="18" t="n">
        <v>-63050.56</v>
      </c>
      <c r="J91" s="18" t="n">
        <v>-82119.42999999999</v>
      </c>
      <c r="K91" s="35" t="n">
        <v>-279737.59</v>
      </c>
      <c r="L91" s="18" t="n">
        <v>-84161.85000000001</v>
      </c>
      <c r="M91" s="18" t="n">
        <v>-88532.25</v>
      </c>
      <c r="P91" s="9" t="n"/>
      <c r="Q91" s="18" t="n">
        <v>-90670.69</v>
      </c>
      <c r="R91" s="18" t="n">
        <v>-92267.66</v>
      </c>
      <c r="S91" s="18" t="n">
        <v>-95945.89999999999</v>
      </c>
      <c r="T91" s="18" t="n">
        <v>-104145.75</v>
      </c>
      <c r="U91" s="35" t="n">
        <v>-383030</v>
      </c>
      <c r="V91" s="18" t="n">
        <v>-104168</v>
      </c>
      <c r="W91" s="18" t="n">
        <v>-82034</v>
      </c>
      <c r="X91" s="18" t="n">
        <v>-98004</v>
      </c>
      <c r="Y91" s="18" t="n">
        <v>-88103</v>
      </c>
      <c r="Z91" s="35" t="n">
        <v>-372309</v>
      </c>
      <c r="AA91" s="18" t="n">
        <v>-81236</v>
      </c>
      <c r="AB91" s="19" t="n">
        <v>-88413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G92" s="18" t="n">
        <v>78</v>
      </c>
      <c r="H92" s="18" t="n">
        <v>3691.69</v>
      </c>
      <c r="I92" s="18" t="n">
        <v>567.53</v>
      </c>
      <c r="J92" s="18" t="n">
        <v>0</v>
      </c>
      <c r="K92" s="35" t="n">
        <v>4337.22</v>
      </c>
      <c r="L92" s="18" t="n">
        <v>2014.59</v>
      </c>
      <c r="M92" s="18" t="n">
        <v>2253.2</v>
      </c>
      <c r="N92" s="18" t="n">
        <v>1791.4</v>
      </c>
      <c r="O92" s="18" t="n">
        <v>64.13</v>
      </c>
      <c r="P92" s="35" t="n">
        <v>6123.32</v>
      </c>
      <c r="Q92" s="18" t="n">
        <v>2089.81</v>
      </c>
      <c r="R92" s="18" t="n">
        <v>1131.69</v>
      </c>
      <c r="S92" s="18" t="n">
        <v>395.76</v>
      </c>
      <c r="T92" s="18" t="n">
        <v>388.74</v>
      </c>
      <c r="U92" s="35" t="n">
        <v>4006</v>
      </c>
      <c r="V92" s="18" t="n">
        <v>850</v>
      </c>
      <c r="W92" s="18" t="n">
        <v>562</v>
      </c>
      <c r="X92" s="18" t="n">
        <v>998</v>
      </c>
      <c r="Y92" s="18" t="n">
        <v>101</v>
      </c>
      <c r="Z92" s="35" t="n">
        <v>2511</v>
      </c>
      <c r="AA92" s="18" t="n">
        <v>1280</v>
      </c>
      <c r="AB92" s="19" t="n">
        <v>217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-33710.82</v>
      </c>
      <c r="F93" s="9" t="n"/>
      <c r="G93" s="18" t="n">
        <v>-16652.38</v>
      </c>
      <c r="H93" s="18" t="n">
        <v>-91112.60000000001</v>
      </c>
      <c r="I93" s="18" t="n">
        <v>-84340.59</v>
      </c>
      <c r="J93" s="18" t="n">
        <v>-107600.73</v>
      </c>
      <c r="K93" s="35" t="n">
        <v>-299706.3</v>
      </c>
      <c r="L93" s="18" t="n">
        <v>-43821.27</v>
      </c>
      <c r="M93" s="18" t="n">
        <v>-144560.16</v>
      </c>
      <c r="N93" s="18" t="n">
        <v>-64151.35</v>
      </c>
      <c r="O93" s="18" t="n">
        <v>-96545.42</v>
      </c>
      <c r="P93" s="35" t="n">
        <v>-349078.2</v>
      </c>
      <c r="Q93" s="18" t="n">
        <v>-18834.99</v>
      </c>
      <c r="R93" s="18" t="n">
        <v>-191470.92</v>
      </c>
      <c r="S93" s="18" t="n">
        <v>-85138.63</v>
      </c>
      <c r="T93" s="18" t="n">
        <v>-21511.46</v>
      </c>
      <c r="U93" s="35" t="n">
        <v>-316956</v>
      </c>
      <c r="V93" s="18" t="n">
        <v>-53768</v>
      </c>
      <c r="W93" s="18" t="n">
        <v>-143996</v>
      </c>
      <c r="X93" s="18" t="n">
        <v>603</v>
      </c>
      <c r="Y93" s="18" t="n">
        <v>-16917</v>
      </c>
      <c r="Z93" s="35" t="n">
        <v>-214078</v>
      </c>
      <c r="AA93" s="18" t="n">
        <v>-33742</v>
      </c>
      <c r="AB93" s="19" t="n">
        <v>-101241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157755.36</v>
      </c>
      <c r="F94" s="9" t="n"/>
      <c r="G94" s="18" t="n">
        <v>185500.96</v>
      </c>
      <c r="H94" s="18" t="n">
        <v>-127940.49</v>
      </c>
      <c r="I94" s="18" t="n">
        <v>-46961.04</v>
      </c>
      <c r="J94" s="18" t="n">
        <v>-81729.98</v>
      </c>
      <c r="K94" s="35" t="n">
        <v>-71130.55</v>
      </c>
      <c r="L94" s="18" t="n">
        <v>-249734.64</v>
      </c>
      <c r="M94" s="18" t="n">
        <v>-109699.58</v>
      </c>
      <c r="N94" s="18" t="n">
        <v>-217970.98</v>
      </c>
      <c r="O94" s="18" t="n">
        <v>-239223.27</v>
      </c>
      <c r="P94" s="35" t="n">
        <v>-816628.47</v>
      </c>
      <c r="Q94" s="18" t="n">
        <v>-154250.07</v>
      </c>
      <c r="R94" s="18" t="n">
        <v>-186315.7</v>
      </c>
      <c r="S94" s="18" t="n">
        <v>-125953.82</v>
      </c>
      <c r="T94" s="18" t="n">
        <v>-354879.41</v>
      </c>
      <c r="U94" s="35" t="n">
        <v>-821399</v>
      </c>
      <c r="V94" s="18" t="n">
        <v>-150166</v>
      </c>
      <c r="W94" s="18" t="n">
        <v>-106593</v>
      </c>
      <c r="X94" s="18" t="n">
        <v>-205398</v>
      </c>
      <c r="Y94" s="18" t="n">
        <v>151586</v>
      </c>
      <c r="Z94" s="35" t="n">
        <v>-310571</v>
      </c>
      <c r="AA94" s="18" t="n">
        <v>-170805</v>
      </c>
      <c r="AB94" s="19" t="n">
        <v>-349054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13564.32</v>
      </c>
      <c r="F95" s="9" t="n"/>
      <c r="G95" s="18" t="n">
        <v>3311.65</v>
      </c>
      <c r="H95" s="18" t="n">
        <v>22505.98</v>
      </c>
      <c r="J95" s="18" t="n">
        <v>5274.6</v>
      </c>
      <c r="K95" s="9" t="n"/>
      <c r="L95" s="18" t="n">
        <v>411.03</v>
      </c>
      <c r="M95" s="18" t="n">
        <v>4545</v>
      </c>
      <c r="N95" s="18" t="n">
        <v>666.09</v>
      </c>
      <c r="O95" s="18" t="n">
        <v>3260.74</v>
      </c>
      <c r="P95" s="35" t="n">
        <v>8882.860000000001</v>
      </c>
      <c r="Q95" s="18" t="n">
        <v>1098.56</v>
      </c>
      <c r="R95" s="18" t="n">
        <v>4367.51</v>
      </c>
      <c r="S95" s="18" t="n">
        <v>1173.65</v>
      </c>
      <c r="T95" s="18" t="n">
        <v>2714.28</v>
      </c>
      <c r="U95" s="35" t="n">
        <v>9354</v>
      </c>
      <c r="V95" s="18" t="n">
        <v>4383</v>
      </c>
      <c r="X95" s="18" t="n">
        <v>1769</v>
      </c>
      <c r="Y95" s="18" t="n">
        <v>3253</v>
      </c>
      <c r="Z95" s="9" t="n"/>
      <c r="AA95" s="18" t="n">
        <v>1310</v>
      </c>
      <c r="AB95" s="19" t="n">
        <v>1022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80</v>
      </c>
      <c r="F96" s="9" t="n"/>
      <c r="J96" s="18" t="n">
        <v>73.38</v>
      </c>
      <c r="K96" s="9" t="n"/>
      <c r="N96" s="18" t="n">
        <v>1681.81</v>
      </c>
      <c r="O96" s="18" t="n">
        <v>26.57</v>
      </c>
      <c r="P96" s="9" t="n"/>
      <c r="S96" s="18" t="n">
        <v>0</v>
      </c>
      <c r="T96" s="18" t="n">
        <v>1399</v>
      </c>
      <c r="U96" s="9" t="n"/>
      <c r="V96" s="18" t="n">
        <v>302</v>
      </c>
      <c r="W96" s="18" t="n">
        <v>1090</v>
      </c>
      <c r="Y96" s="18" t="n">
        <v>55</v>
      </c>
      <c r="Z96" s="9" t="n"/>
      <c r="AA96" s="18" t="n">
        <v>60</v>
      </c>
      <c r="AB96" s="19" t="n">
        <v>435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18" t="n">
        <v>111852.59</v>
      </c>
      <c r="F97" s="9" t="n"/>
      <c r="G97" s="18" t="n">
        <v>64044.24</v>
      </c>
      <c r="H97" s="18" t="n">
        <v>75168.59</v>
      </c>
      <c r="I97" s="18" t="n">
        <v>82299.78</v>
      </c>
      <c r="J97" s="18" t="n">
        <v>127191.49</v>
      </c>
      <c r="K97" s="35" t="n">
        <v>348704.1</v>
      </c>
      <c r="L97" s="18" t="n">
        <v>84735.36</v>
      </c>
      <c r="M97" s="18" t="n">
        <v>87812.61</v>
      </c>
      <c r="N97" s="18" t="n">
        <v>96794.49000000001</v>
      </c>
      <c r="O97" s="18" t="n">
        <v>126253.6</v>
      </c>
      <c r="P97" s="35" t="n">
        <v>395596.06</v>
      </c>
      <c r="Q97" s="18" t="n">
        <v>87641.41</v>
      </c>
      <c r="R97" s="18" t="n">
        <v>112202.88</v>
      </c>
      <c r="S97" s="18" t="n">
        <v>125837.54</v>
      </c>
      <c r="T97" s="18" t="n">
        <v>135815.17</v>
      </c>
      <c r="U97" s="35" t="n">
        <v>461497</v>
      </c>
      <c r="V97" s="18" t="n">
        <v>89838</v>
      </c>
      <c r="W97" s="18" t="n">
        <v>55944</v>
      </c>
      <c r="X97" s="18" t="n">
        <v>140259</v>
      </c>
      <c r="Y97" s="18" t="n">
        <v>117054</v>
      </c>
      <c r="Z97" s="35" t="n">
        <v>403095</v>
      </c>
      <c r="AA97" s="18" t="n">
        <v>115089</v>
      </c>
      <c r="AB97" s="19" t="n">
        <v>48651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183048.87</v>
      </c>
      <c r="F98" s="9" t="n"/>
      <c r="G98" s="18" t="n">
        <v>108015.16</v>
      </c>
      <c r="H98" s="18" t="n">
        <v>123777.78</v>
      </c>
      <c r="I98" s="18" t="n">
        <v>128281.83</v>
      </c>
      <c r="J98" s="18" t="n">
        <v>184636.06</v>
      </c>
      <c r="K98" s="35" t="n">
        <v>544710.83</v>
      </c>
      <c r="L98" s="18" t="n">
        <v>125145.94</v>
      </c>
      <c r="M98" s="18" t="n">
        <v>134067.78</v>
      </c>
      <c r="N98" s="18" t="n">
        <v>159386.51</v>
      </c>
      <c r="O98" s="18" t="n">
        <v>184593.07</v>
      </c>
      <c r="P98" s="35" t="n">
        <v>603193.3</v>
      </c>
      <c r="Q98" s="18" t="n">
        <v>128617.21</v>
      </c>
      <c r="R98" s="18" t="n">
        <v>161364.35</v>
      </c>
      <c r="S98" s="18" t="n">
        <v>159774.86</v>
      </c>
      <c r="T98" s="18" t="n">
        <v>203891.58</v>
      </c>
      <c r="U98" s="35" t="n">
        <v>653648</v>
      </c>
      <c r="V98" s="18" t="n">
        <v>131389</v>
      </c>
      <c r="W98" s="18" t="n">
        <v>142734</v>
      </c>
      <c r="X98" s="18" t="n">
        <v>233332</v>
      </c>
      <c r="Y98" s="18" t="n">
        <v>190656</v>
      </c>
      <c r="Z98" s="35" t="n">
        <v>698111</v>
      </c>
      <c r="AA98" s="18" t="n">
        <v>171431</v>
      </c>
      <c r="AB98" s="19" t="n">
        <v>103829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18" t="n">
        <v>71196.28</v>
      </c>
      <c r="F99" s="9" t="n"/>
      <c r="G99" s="18" t="n">
        <v>43970.92</v>
      </c>
      <c r="H99" s="18" t="n">
        <v>48609.19</v>
      </c>
      <c r="I99" s="18" t="n">
        <v>45982.05</v>
      </c>
      <c r="J99" s="18" t="n">
        <v>57444.57</v>
      </c>
      <c r="K99" s="35" t="n">
        <v>196006.73</v>
      </c>
      <c r="L99" s="18" t="n">
        <v>40410.58</v>
      </c>
      <c r="M99" s="18" t="n">
        <v>46255.17</v>
      </c>
      <c r="N99" s="18" t="n">
        <v>62592.02</v>
      </c>
      <c r="O99" s="18" t="n">
        <v>58339.47</v>
      </c>
      <c r="P99" s="35" t="n">
        <v>207597.24</v>
      </c>
      <c r="Q99" s="18" t="n">
        <v>40975.8</v>
      </c>
      <c r="R99" s="18" t="n">
        <v>49161.47</v>
      </c>
      <c r="S99" s="18" t="n">
        <v>33937.32</v>
      </c>
      <c r="T99" s="18" t="n">
        <v>68076.41</v>
      </c>
      <c r="U99" s="35" t="n">
        <v>192151</v>
      </c>
      <c r="V99" s="18" t="n">
        <v>41551</v>
      </c>
      <c r="W99" s="18" t="n">
        <v>86790</v>
      </c>
      <c r="X99" s="18" t="n">
        <v>93073</v>
      </c>
      <c r="Y99" s="18" t="n">
        <v>73602</v>
      </c>
      <c r="Z99" s="35" t="n">
        <v>295016</v>
      </c>
      <c r="AA99" s="18" t="n">
        <v>56342</v>
      </c>
      <c r="AB99" s="19" t="n">
        <v>55178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-725298.89</v>
      </c>
      <c r="F100" s="9" t="n"/>
      <c r="G100" s="18" t="n">
        <v>-261633.54</v>
      </c>
      <c r="H100" s="18" t="n">
        <v>-700634.45</v>
      </c>
      <c r="I100" s="18" t="n">
        <v>-228278.38</v>
      </c>
      <c r="J100" s="18" t="n">
        <v>58093.74</v>
      </c>
      <c r="K100" s="35" t="n">
        <v>-1132452.63</v>
      </c>
      <c r="L100" s="18" t="n">
        <v>165390.92</v>
      </c>
      <c r="M100" s="18" t="n">
        <v>200327.56</v>
      </c>
      <c r="N100" s="18" t="n">
        <v>-410177.67</v>
      </c>
      <c r="O100" s="18" t="n">
        <v>-8477.290000000001</v>
      </c>
      <c r="P100" s="35" t="n">
        <v>-52936.48</v>
      </c>
      <c r="Q100" s="18" t="n">
        <v>38177.47</v>
      </c>
      <c r="R100" s="18" t="n">
        <v>278842.46</v>
      </c>
      <c r="S100" s="18" t="n">
        <v>718708.26</v>
      </c>
      <c r="T100" s="18" t="n">
        <v>-427306.19</v>
      </c>
      <c r="U100" s="35" t="n">
        <v>608422</v>
      </c>
      <c r="V100" s="18" t="n">
        <v>420526</v>
      </c>
      <c r="W100" s="18" t="n">
        <v>-107658</v>
      </c>
      <c r="X100" s="18" t="n">
        <v>401926</v>
      </c>
      <c r="Y100" s="18" t="n">
        <v>-1002739</v>
      </c>
      <c r="Z100" s="35" t="n">
        <v>-287945</v>
      </c>
      <c r="AA100" s="18" t="n">
        <v>666065</v>
      </c>
      <c r="AB100" s="19" t="n">
        <v>76716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14988.7</v>
      </c>
      <c r="F101" s="9" t="n"/>
      <c r="G101" s="18" t="n">
        <v>110000</v>
      </c>
      <c r="H101" s="18" t="n">
        <v>80000</v>
      </c>
      <c r="I101" s="18" t="n">
        <v>149740.03</v>
      </c>
      <c r="J101" s="18" t="n">
        <v>27417.07</v>
      </c>
      <c r="K101" s="35" t="n">
        <v>367157.1</v>
      </c>
      <c r="L101" s="18" t="n">
        <v>57000</v>
      </c>
      <c r="M101" s="18" t="n">
        <v>79671.25999999999</v>
      </c>
      <c r="N101" s="18" t="n">
        <v>372527</v>
      </c>
      <c r="O101" s="18" t="n">
        <v>0</v>
      </c>
      <c r="P101" s="35" t="n">
        <v>509198.26</v>
      </c>
      <c r="Q101" s="18" t="n">
        <v>177240.29</v>
      </c>
      <c r="R101" s="18" t="n">
        <v>66844.99000000001</v>
      </c>
      <c r="S101" s="18" t="n">
        <v>229285.71</v>
      </c>
      <c r="T101" s="18" t="n">
        <v>551.01</v>
      </c>
      <c r="U101" s="35" t="n">
        <v>473922</v>
      </c>
      <c r="V101" s="18" t="n">
        <v>55736</v>
      </c>
      <c r="W101" s="18" t="n">
        <v>128006</v>
      </c>
      <c r="X101" s="18" t="n">
        <v>61729</v>
      </c>
      <c r="Y101" s="18" t="n">
        <v>40763</v>
      </c>
      <c r="Z101" s="35" t="n">
        <v>286234</v>
      </c>
      <c r="AA101" s="18" t="n">
        <v>9980</v>
      </c>
      <c r="AB101" s="19" t="n">
        <v>9982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359225.3</v>
      </c>
      <c r="F102" s="9" t="n"/>
      <c r="G102" s="18" t="n">
        <v>500000</v>
      </c>
      <c r="H102" s="18" t="n">
        <v>1409482.17</v>
      </c>
      <c r="I102" s="18" t="n">
        <v>37025.79</v>
      </c>
      <c r="J102" s="18" t="n">
        <v>619867.6899999999</v>
      </c>
      <c r="K102" s="35" t="n">
        <v>2566375.65</v>
      </c>
      <c r="L102" s="18" t="n">
        <v>342331.24</v>
      </c>
      <c r="M102" s="18" t="n">
        <v>147539.3</v>
      </c>
      <c r="N102" s="18" t="n">
        <v>16043.05</v>
      </c>
      <c r="O102" s="18" t="n">
        <v>140152.34</v>
      </c>
      <c r="P102" s="35" t="n">
        <v>646065.9300000001</v>
      </c>
      <c r="Q102" s="18" t="n">
        <v>570000</v>
      </c>
      <c r="R102" s="18" t="n">
        <v>142067.5</v>
      </c>
      <c r="S102" s="18" t="n">
        <v>483477.21</v>
      </c>
      <c r="T102" s="18" t="n">
        <v>142964.29</v>
      </c>
      <c r="U102" s="35" t="n">
        <v>1338509</v>
      </c>
      <c r="V102" s="18" t="n">
        <v>619295</v>
      </c>
      <c r="X102" s="18" t="n">
        <v>70110</v>
      </c>
      <c r="Z102" s="9" t="n"/>
      <c r="AA102" s="18" t="n">
        <v>160000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단기차입금의감소</t>
        </is>
      </c>
      <c r="E103" s="18" t="n">
        <v>287622.79</v>
      </c>
      <c r="F103" s="9" t="n"/>
      <c r="G103" s="18" t="n">
        <v>1935769.63</v>
      </c>
      <c r="H103" s="18" t="n">
        <v>241855.52</v>
      </c>
      <c r="I103" s="18" t="n">
        <v>190635.03</v>
      </c>
      <c r="J103" s="18" t="n">
        <v>28.29</v>
      </c>
      <c r="K103" s="35" t="n">
        <v>2368288.47</v>
      </c>
      <c r="L103" s="18" t="n">
        <v>22971.1</v>
      </c>
      <c r="M103" s="18" t="n">
        <v>188658.4</v>
      </c>
      <c r="N103" s="18" t="n">
        <v>17158.17</v>
      </c>
      <c r="O103" s="18" t="n">
        <v>13603.23</v>
      </c>
      <c r="P103" s="35" t="n">
        <v>242390.9</v>
      </c>
      <c r="Q103" s="18" t="n">
        <v>0</v>
      </c>
      <c r="R103" s="18" t="n">
        <v>0</v>
      </c>
      <c r="S103" s="18" t="n">
        <v>0</v>
      </c>
      <c r="T103" s="18" t="n">
        <v>0</v>
      </c>
      <c r="U103" s="35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유동성장기부채의감소</t>
        </is>
      </c>
      <c r="E104" s="18" t="n">
        <v>836013.09</v>
      </c>
      <c r="F104" s="9" t="n"/>
      <c r="G104" s="18" t="n">
        <v>346221.39</v>
      </c>
      <c r="H104" s="18" t="n">
        <v>127131.44</v>
      </c>
      <c r="I104" s="18" t="n">
        <v>12405.36</v>
      </c>
      <c r="J104" s="18" t="n">
        <v>432084.47</v>
      </c>
      <c r="K104" s="35" t="n">
        <v>917842.66</v>
      </c>
      <c r="L104" s="18" t="n">
        <v>113550.5</v>
      </c>
      <c r="M104" s="18" t="n">
        <v>15000</v>
      </c>
      <c r="N104" s="18" t="n">
        <v>504877.14</v>
      </c>
      <c r="O104" s="18" t="n">
        <v>102500</v>
      </c>
      <c r="P104" s="35" t="n">
        <v>735927.64</v>
      </c>
      <c r="Q104" s="18" t="n">
        <v>743000</v>
      </c>
      <c r="R104" s="18" t="n">
        <v>117500</v>
      </c>
      <c r="S104" s="18" t="n">
        <v>261063.36</v>
      </c>
      <c r="T104" s="18" t="n">
        <v>427399.64</v>
      </c>
      <c r="U104" s="35" t="n">
        <v>1548963</v>
      </c>
      <c r="V104" s="18" t="n">
        <v>52900</v>
      </c>
      <c r="W104" s="18" t="n">
        <v>177100</v>
      </c>
      <c r="Y104" s="18" t="n">
        <v>16250</v>
      </c>
      <c r="Z104" s="9" t="n"/>
      <c r="AA104" s="18" t="n">
        <v>153583</v>
      </c>
      <c r="AB104" s="19" t="n">
        <v>29584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23524.24</v>
      </c>
      <c r="F105" s="9" t="n"/>
      <c r="G105" s="18" t="n">
        <v>19001.42</v>
      </c>
      <c r="H105" s="18" t="n">
        <v>26700.82</v>
      </c>
      <c r="I105" s="18" t="n">
        <v>9748.52</v>
      </c>
      <c r="J105" s="18" t="n">
        <v>24055.71</v>
      </c>
      <c r="K105" s="35" t="n">
        <v>79506.47</v>
      </c>
      <c r="L105" s="18" t="n">
        <v>18610.11</v>
      </c>
      <c r="M105" s="18" t="n">
        <v>22363.11</v>
      </c>
      <c r="N105" s="18" t="n">
        <v>18010.72</v>
      </c>
      <c r="O105" s="18" t="n">
        <v>25169.71</v>
      </c>
      <c r="P105" s="35" t="n">
        <v>84153.64999999999</v>
      </c>
      <c r="Q105" s="18" t="n">
        <v>20373.78</v>
      </c>
      <c r="R105" s="18" t="n">
        <v>20760.88</v>
      </c>
      <c r="S105" s="18" t="n">
        <v>23131.57</v>
      </c>
      <c r="T105" s="18" t="n">
        <v>29800.77</v>
      </c>
      <c r="U105" s="35" t="n">
        <v>94067</v>
      </c>
      <c r="V105" s="18" t="n">
        <v>24723</v>
      </c>
      <c r="W105" s="18" t="n">
        <v>26626</v>
      </c>
      <c r="X105" s="18" t="n">
        <v>27173</v>
      </c>
      <c r="Y105" s="18" t="n">
        <v>30945</v>
      </c>
      <c r="Z105" s="35" t="n">
        <v>109467</v>
      </c>
      <c r="AA105" s="18" t="n">
        <v>25911</v>
      </c>
      <c r="AB105" s="19" t="n">
        <v>28465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자기주식의취득</t>
        </is>
      </c>
      <c r="E106" s="18" t="n">
        <v>0</v>
      </c>
      <c r="F106" s="9" t="n"/>
      <c r="K106" s="9" t="n"/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103901.2</v>
      </c>
      <c r="F107" s="9" t="n"/>
      <c r="G107" s="18" t="n">
        <v>-320352.95</v>
      </c>
      <c r="H107" s="18" t="n">
        <v>-490837.54</v>
      </c>
      <c r="I107" s="18" t="n">
        <v>369611.48</v>
      </c>
      <c r="J107" s="18" t="n">
        <v>-71187.38</v>
      </c>
      <c r="K107" s="35" t="n">
        <v>-512766.39</v>
      </c>
      <c r="L107" s="18" t="n">
        <v>196057.84</v>
      </c>
      <c r="M107" s="18" t="n">
        <v>1132627.03</v>
      </c>
      <c r="N107" s="18" t="n">
        <v>-454345.21</v>
      </c>
      <c r="O107" s="18" t="n">
        <v>350009.73</v>
      </c>
      <c r="P107" s="35" t="n">
        <v>1224349.39</v>
      </c>
      <c r="Q107" s="18" t="n">
        <v>299912.81</v>
      </c>
      <c r="R107" s="18" t="n">
        <v>-334324.58</v>
      </c>
      <c r="S107" s="18" t="n">
        <v>-298168.3</v>
      </c>
      <c r="T107" s="18" t="n">
        <v>610691.0699999999</v>
      </c>
      <c r="U107" s="35" t="n">
        <v>278111</v>
      </c>
      <c r="V107" s="18" t="n">
        <v>-288638</v>
      </c>
      <c r="W107" s="18" t="n">
        <v>-335355</v>
      </c>
      <c r="X107" s="18" t="n">
        <v>129896</v>
      </c>
      <c r="Y107" s="18" t="n">
        <v>676796</v>
      </c>
      <c r="Z107" s="35" t="n">
        <v>182699</v>
      </c>
      <c r="AA107" s="18" t="n">
        <v>9533</v>
      </c>
      <c r="AB107" s="19" t="n">
        <v>-548642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103901.2</v>
      </c>
      <c r="F108" s="9" t="n"/>
      <c r="G108" s="18" t="n">
        <v>1588251.04</v>
      </c>
      <c r="H108" s="18" t="n">
        <v>-490837.54</v>
      </c>
      <c r="I108" s="18" t="n">
        <v>369611.48</v>
      </c>
      <c r="J108" s="18" t="n">
        <v>-71187.38</v>
      </c>
      <c r="K108" s="35" t="n">
        <v>1395837.6</v>
      </c>
      <c r="L108" s="18" t="n">
        <v>1591895.43</v>
      </c>
      <c r="M108" s="18" t="n">
        <v>1132627.04</v>
      </c>
      <c r="N108" s="18" t="n">
        <v>-454345.21</v>
      </c>
      <c r="O108" s="18" t="n">
        <v>350009.72</v>
      </c>
      <c r="P108" s="35" t="n">
        <v>2620186.98</v>
      </c>
      <c r="Q108" s="18" t="n">
        <v>2920099.79</v>
      </c>
      <c r="R108" s="18" t="n">
        <v>-334324.57</v>
      </c>
      <c r="S108" s="18" t="n">
        <v>-298168.31</v>
      </c>
      <c r="T108" s="18" t="n">
        <v>610691.09</v>
      </c>
      <c r="U108" s="35" t="n">
        <v>2898298</v>
      </c>
      <c r="V108" s="18" t="n">
        <v>2609660</v>
      </c>
      <c r="W108" s="18" t="n">
        <v>-335355</v>
      </c>
      <c r="X108" s="18" t="n">
        <v>129896</v>
      </c>
      <c r="Y108" s="18" t="n">
        <v>676796</v>
      </c>
      <c r="Z108" s="35" t="n">
        <v>3080997</v>
      </c>
      <c r="AA108" s="18" t="n">
        <v>3090530</v>
      </c>
      <c r="AB108" s="19" t="n">
        <v>-548642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장기차입금의감소</t>
        </is>
      </c>
      <c r="F109" s="9" t="n"/>
      <c r="G109" s="18" t="n">
        <v>264.4</v>
      </c>
      <c r="H109" s="18" t="n">
        <v>1398398.16</v>
      </c>
      <c r="I109" s="18" t="n">
        <v>139746.7</v>
      </c>
      <c r="J109" s="18" t="n">
        <v>130625.53</v>
      </c>
      <c r="K109" s="35" t="n">
        <v>1669034.79</v>
      </c>
      <c r="L109" s="18" t="n">
        <v>68903.58</v>
      </c>
      <c r="M109" s="18" t="n">
        <v>104109.82</v>
      </c>
      <c r="N109" s="18" t="n">
        <v>213919.53</v>
      </c>
      <c r="O109" s="18" t="n">
        <v>3878.58</v>
      </c>
      <c r="P109" s="35" t="n">
        <v>390811.51</v>
      </c>
      <c r="Q109" s="18" t="n">
        <v>169156.77</v>
      </c>
      <c r="R109" s="18" t="n">
        <v>3223.79</v>
      </c>
      <c r="S109" s="18" t="n">
        <v>202808.55</v>
      </c>
      <c r="T109" s="18" t="n">
        <v>90043.89</v>
      </c>
      <c r="U109" s="35" t="n">
        <v>465233</v>
      </c>
      <c r="V109" s="18" t="n">
        <v>397326</v>
      </c>
      <c r="X109" s="18" t="n">
        <v>25737</v>
      </c>
      <c r="Y109" s="18" t="n">
        <v>382368</v>
      </c>
      <c r="Z109" s="9" t="n"/>
      <c r="AA109" s="18" t="n">
        <v>6154</v>
      </c>
      <c r="AB109" s="19" t="n">
        <v>26321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사채의감소</t>
        </is>
      </c>
      <c r="F110" s="9" t="n"/>
      <c r="I110" s="18" t="n">
        <v>11104.95</v>
      </c>
      <c r="J110" s="18" t="n">
        <v>7118.17</v>
      </c>
      <c r="K110" s="9" t="n"/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배당금지급</t>
        </is>
      </c>
      <c r="F111" s="9" t="n"/>
      <c r="I111" s="18" t="n">
        <v>32052.63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F112" s="9" t="n"/>
      <c r="K112" s="9" t="n"/>
      <c r="P112" s="9" t="n"/>
      <c r="Q112" s="18" t="n">
        <v>228125</v>
      </c>
      <c r="R112" s="18" t="n">
        <v>259807.97</v>
      </c>
      <c r="S112" s="18" t="n">
        <v>536197.23</v>
      </c>
      <c r="T112" s="18" t="n">
        <v>38738.8</v>
      </c>
      <c r="U112" s="35" t="n">
        <v>1062869</v>
      </c>
      <c r="V112" s="18" t="n">
        <v>209464</v>
      </c>
      <c r="X112" s="18" t="n">
        <v>291757</v>
      </c>
      <c r="Z112" s="9" t="n"/>
      <c r="AA112" s="18" t="n">
        <v>685152</v>
      </c>
      <c r="AB112" s="19" t="n">
        <v>331908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5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5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5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5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5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5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5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5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5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5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5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5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5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5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5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5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5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5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5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5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5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5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5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5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5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5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5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5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5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5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5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5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5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5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5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5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5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5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5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5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5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5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5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5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5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5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5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5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5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5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5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5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5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5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5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5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5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5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5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5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5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5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5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5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5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5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5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5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5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5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5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5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5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5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5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5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5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5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5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5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5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5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5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5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5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5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5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5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5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5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5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5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5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5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5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5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5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5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5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5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5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5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5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5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5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5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5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5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5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5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5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5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5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5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5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5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5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5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5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5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5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5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5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5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5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5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5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5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5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5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5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5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5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5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5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5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5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5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5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5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5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5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5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5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5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5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5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5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5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5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5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5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5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5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5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5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5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5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5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5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5" t="n">
        <v>26140.81</v>
      </c>
      <c r="G37" s="18" t="n">
        <v>26949.05</v>
      </c>
      <c r="J37" s="18" t="n">
        <v>29843.9</v>
      </c>
      <c r="K37" s="35" t="n">
        <v>29843.9</v>
      </c>
      <c r="L37" s="18" t="n">
        <v>29268.62</v>
      </c>
      <c r="M37" s="18" t="n">
        <v>27258.28</v>
      </c>
      <c r="O37" s="18" t="n">
        <v>26198.91</v>
      </c>
      <c r="P37" s="35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5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5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5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5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5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5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5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5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5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5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5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5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5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5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5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5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5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5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5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5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5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5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5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5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5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5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5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5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5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5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5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5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5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5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5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5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5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5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5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5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5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5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5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5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5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5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5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5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5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5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5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5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5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5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5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5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5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5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5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5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5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5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5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5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5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5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5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5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5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5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5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5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5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5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5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5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5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5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5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5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5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5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5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5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5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5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5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5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5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5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5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5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5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5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5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5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5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5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5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5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5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5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5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5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5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5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5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5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5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5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5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5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5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5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5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5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5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5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5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5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5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5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5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5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5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5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5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5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5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5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5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5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5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5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5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5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5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5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5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5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5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5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5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5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5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5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5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5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5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5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5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5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5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5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5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5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5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5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5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5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5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5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5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5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5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5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5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5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5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5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5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5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5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5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5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5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5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5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5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5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5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5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5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5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5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5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5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5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5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5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5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5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5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5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5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5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5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5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5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5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5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5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5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5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5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5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5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5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5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5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5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5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5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5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5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5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5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5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5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5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5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5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5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5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5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5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5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5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5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5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5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5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5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5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5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5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5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5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5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5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5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5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5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5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5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5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5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5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5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5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5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5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5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5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5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5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5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5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5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5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5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5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5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5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5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5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5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5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5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5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5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6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6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6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6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6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6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6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6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6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6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6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6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6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6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6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0.0585</v>
      </c>
      <c r="F10" s="35" t="n"/>
      <c r="G10" s="18" t="n">
        <v>0.0626</v>
      </c>
      <c r="H10" s="18" t="n">
        <v>0.0856</v>
      </c>
      <c r="I10" s="18" t="n">
        <v>0.0794</v>
      </c>
      <c r="J10" s="18" t="n">
        <v>0.0588</v>
      </c>
      <c r="K10" s="35">
        <f>SUM(G10:J10)</f>
        <v/>
      </c>
      <c r="L10" s="18" t="n">
        <v>0.0902</v>
      </c>
      <c r="M10" s="18" t="n">
        <v>0.109</v>
      </c>
      <c r="N10" s="18" t="n">
        <v>0.07489999999999999</v>
      </c>
      <c r="O10" s="18" t="n">
        <v>0.0611</v>
      </c>
      <c r="P10" s="35">
        <f>SUM(L10:O10)</f>
        <v/>
      </c>
      <c r="Q10" s="18" t="n">
        <v>0.08740000000000001</v>
      </c>
      <c r="R10" s="18" t="n">
        <v>0.0746</v>
      </c>
      <c r="S10" s="18" t="n">
        <v>0.0338</v>
      </c>
      <c r="T10" s="18" t="n">
        <v>0.0512</v>
      </c>
      <c r="U10" s="35">
        <f>SUM(Q10:T10)</f>
        <v/>
      </c>
      <c r="V10" s="18" t="n">
        <v>0.038</v>
      </c>
      <c r="W10" s="18" t="n">
        <v>0.0593</v>
      </c>
      <c r="X10" s="18" t="n">
        <v>0.0353</v>
      </c>
      <c r="Y10" s="18" t="n">
        <v>0.0436</v>
      </c>
      <c r="Z10" s="35">
        <f>SUM(V10:Y10)</f>
        <v/>
      </c>
      <c r="AA10" s="18" t="n">
        <v>0.0548</v>
      </c>
      <c r="AB10" s="19" t="n">
        <v>0.0665</v>
      </c>
      <c r="AC10" s="20">
        <f>IFERROR(X10*(1+변수!AC24),"")</f>
        <v/>
      </c>
      <c r="AD10" s="20">
        <f>IFERROR(Y10*(1+변수!AD24),"")</f>
        <v/>
      </c>
      <c r="AE10" s="36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6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6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6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6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6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6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6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6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5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5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5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5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5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6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6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6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6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6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6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5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6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6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6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6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6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6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5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5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5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5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5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6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6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6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-409.8</v>
      </c>
      <c r="F18" s="35" t="n"/>
      <c r="G18" s="18" t="n">
        <v>-5.13</v>
      </c>
      <c r="H18" s="18" t="n">
        <v>-1919.24</v>
      </c>
      <c r="I18" s="18" t="n">
        <v>716.2</v>
      </c>
      <c r="J18" s="18" t="n">
        <v>-0.47</v>
      </c>
      <c r="K18" s="35">
        <f>SUM(G18:J18)</f>
        <v/>
      </c>
      <c r="L18" s="18" t="n"/>
      <c r="M18" s="18" t="n"/>
      <c r="N18" s="18" t="n"/>
      <c r="O18" s="18" t="n"/>
      <c r="P18" s="35">
        <f>SUM(L18:O18)</f>
        <v/>
      </c>
      <c r="Q18" s="18" t="n"/>
      <c r="R18" s="18" t="n"/>
      <c r="S18" s="18" t="n"/>
      <c r="T18" s="18" t="n"/>
      <c r="U18" s="35">
        <f>SUM(Q18:T18)</f>
        <v/>
      </c>
      <c r="V18" s="18" t="n"/>
      <c r="W18" s="18" t="n"/>
      <c r="X18" s="18" t="n"/>
      <c r="Y18" s="18" t="n"/>
      <c r="Z18" s="35">
        <f>SUM(V18:Y18)</f>
        <v/>
      </c>
      <c r="AA18" s="18" t="n"/>
      <c r="AB18" s="19" t="n"/>
      <c r="AC18" s="20" t="n"/>
      <c r="AD18" s="20" t="n"/>
      <c r="AE18" s="36">
        <f>SUM(AA18:AD18)</f>
        <v/>
      </c>
      <c r="AF18" s="20" t="n"/>
      <c r="AG18" s="20" t="n"/>
      <c r="AH18" s="20" t="n"/>
      <c r="AI18" s="20" t="n"/>
      <c r="AJ18" s="36">
        <f>SUM(AF18:AI18)</f>
        <v/>
      </c>
      <c r="AK18" s="20" t="n"/>
      <c r="AL18" s="20" t="n"/>
      <c r="AM18" s="20" t="n"/>
      <c r="AN18" s="20" t="n"/>
      <c r="AO18" s="36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5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6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6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6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5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5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5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5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5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6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6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6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6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6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6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 t="n"/>
      <c r="N22" s="18">
        <f>IFERROR(VLOOKUP($D22,BS연결,MATCH(N$1,BS연결H,0),0)/100,"")</f>
        <v/>
      </c>
      <c r="O22" s="18" t="n"/>
      <c r="P22" s="35">
        <f>O22</f>
        <v/>
      </c>
      <c r="Q22" s="18" t="n"/>
      <c r="R22" s="18" t="n"/>
      <c r="S22" s="18" t="n"/>
      <c r="T22" s="18" t="n"/>
      <c r="U22" s="35">
        <f>T22</f>
        <v/>
      </c>
      <c r="V22" s="18" t="n"/>
      <c r="W22" s="18" t="n"/>
      <c r="X22" s="18" t="n"/>
      <c r="Y22" s="18" t="n"/>
      <c r="Z22" s="35">
        <f>Y22</f>
        <v/>
      </c>
      <c r="AA22" s="18" t="n"/>
      <c r="AB22" s="19" t="n"/>
      <c r="AC22" s="20" t="n"/>
      <c r="AD22" s="20" t="n"/>
      <c r="AE22" s="36">
        <f>AD22</f>
        <v/>
      </c>
      <c r="AF22" s="20" t="n"/>
      <c r="AG22" s="20" t="n"/>
      <c r="AH22" s="20" t="n"/>
      <c r="AI22" s="20" t="n"/>
      <c r="AJ22" s="36">
        <f>AI22</f>
        <v/>
      </c>
      <c r="AK22" s="20" t="n"/>
      <c r="AL22" s="20" t="n"/>
      <c r="AM22" s="20" t="n"/>
      <c r="AN22" s="20" t="n"/>
      <c r="AO22" s="36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6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6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6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6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6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6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6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6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6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6">
        <f>AD26</f>
        <v/>
      </c>
      <c r="AF26" s="20" t="n"/>
      <c r="AG26" s="20" t="n"/>
      <c r="AH26" s="20" t="n"/>
      <c r="AI26" s="20" t="n"/>
      <c r="AJ26" s="36">
        <f>AI26</f>
        <v/>
      </c>
      <c r="AK26" s="20" t="n"/>
      <c r="AL26" s="20" t="n"/>
      <c r="AM26" s="20" t="n"/>
      <c r="AN26" s="20" t="n"/>
      <c r="AO26" s="36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5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6">
        <f>SUM(AA27:AD27)</f>
        <v/>
      </c>
      <c r="AF27" s="20" t="n"/>
      <c r="AG27" s="20" t="n"/>
      <c r="AH27" s="20" t="n"/>
      <c r="AI27" s="20" t="n"/>
      <c r="AJ27" s="36">
        <f>SUM(AF27:AI27)</f>
        <v/>
      </c>
      <c r="AK27" s="20" t="n"/>
      <c r="AL27" s="20" t="n"/>
      <c r="AM27" s="20" t="n"/>
      <c r="AN27" s="20" t="n"/>
      <c r="AO27" s="36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6914.87</v>
      </c>
      <c r="F28" s="35" t="n"/>
      <c r="G28" s="18" t="n">
        <v>-2698.27</v>
      </c>
      <c r="H28" s="18" t="n">
        <v>3199.75</v>
      </c>
      <c r="I28" s="18" t="n">
        <v>5051.98</v>
      </c>
      <c r="J28" s="18" t="n">
        <v>697.3099999999999</v>
      </c>
      <c r="K28" s="35">
        <f>SUM(G28:J28)</f>
        <v/>
      </c>
      <c r="L28" s="18" t="n">
        <v>2330.46</v>
      </c>
      <c r="M28" s="18" t="n">
        <v>10256.9</v>
      </c>
      <c r="N28" s="18" t="n">
        <v>1536.23</v>
      </c>
      <c r="O28" s="18" t="n">
        <v>6582.75</v>
      </c>
      <c r="P28" s="35">
        <f>SUM(L28:O28)</f>
        <v/>
      </c>
      <c r="Q28" s="18" t="n">
        <v>3443.84</v>
      </c>
      <c r="R28" s="18" t="n">
        <v>-4770.65</v>
      </c>
      <c r="S28" s="18" t="n">
        <v>-8153.54</v>
      </c>
      <c r="T28" s="18" t="n">
        <v>11902.4</v>
      </c>
      <c r="U28" s="35">
        <f>SUM(Q28:T28)</f>
        <v/>
      </c>
      <c r="V28" s="18" t="n">
        <v>-5720.34</v>
      </c>
      <c r="W28" s="18" t="n">
        <v>-128.08</v>
      </c>
      <c r="X28" s="18" t="n">
        <v>-600.85</v>
      </c>
      <c r="Y28" s="18" t="n">
        <v>13967.28</v>
      </c>
      <c r="Z28" s="35">
        <f>SUM(V28:Y28)</f>
        <v/>
      </c>
      <c r="AA28" s="18" t="n">
        <v>-5655.22</v>
      </c>
      <c r="AB28" s="19" t="n">
        <v>-3211.3</v>
      </c>
      <c r="AC28" s="20" t="n"/>
      <c r="AD28" s="20" t="n"/>
      <c r="AE28" s="36">
        <f>SUM(AA28:AD28)</f>
        <v/>
      </c>
      <c r="AF28" s="20" t="n"/>
      <c r="AG28" s="20" t="n"/>
      <c r="AH28" s="20" t="n"/>
      <c r="AI28" s="20" t="n"/>
      <c r="AJ28" s="36">
        <f>SUM(AF28:AI28)</f>
        <v/>
      </c>
      <c r="AK28" s="20" t="n"/>
      <c r="AL28" s="20" t="n"/>
      <c r="AM28" s="20" t="n"/>
      <c r="AN28" s="20" t="n"/>
      <c r="AO28" s="36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522.125</v>
      </c>
      <c r="F29" s="27">
        <f>E29</f>
        <v/>
      </c>
      <c r="G29" s="26" t="n">
        <v>625.698</v>
      </c>
      <c r="H29" s="26" t="n">
        <v>635.197</v>
      </c>
      <c r="I29" s="26" t="n">
        <v>635.197</v>
      </c>
      <c r="J29" s="26" t="n">
        <v>638.212</v>
      </c>
      <c r="K29" s="27">
        <f>J29</f>
        <v/>
      </c>
      <c r="L29" s="26" t="n">
        <v>640.465</v>
      </c>
      <c r="M29" s="26" t="n">
        <v>640.465</v>
      </c>
      <c r="N29" s="26" t="n">
        <v>640.465</v>
      </c>
      <c r="O29" s="26" t="n">
        <v>640.465</v>
      </c>
      <c r="P29" s="27">
        <f>O29</f>
        <v/>
      </c>
      <c r="Q29" s="26" t="n">
        <v>640.465</v>
      </c>
      <c r="R29" s="26" t="n">
        <v>640.465</v>
      </c>
      <c r="S29" s="26" t="n">
        <v>640.465</v>
      </c>
      <c r="T29" s="26" t="n">
        <v>640.465</v>
      </c>
      <c r="U29" s="27">
        <f>T29</f>
        <v/>
      </c>
      <c r="V29" s="26" t="n">
        <v>640.465</v>
      </c>
      <c r="W29" s="26" t="n">
        <v>640.465</v>
      </c>
      <c r="X29" s="26" t="n">
        <v>640.465</v>
      </c>
      <c r="Y29" s="26" t="n">
        <v>640.465</v>
      </c>
      <c r="Z29" s="27">
        <f>Y29</f>
        <v/>
      </c>
      <c r="AA29" s="26" t="n">
        <v>640.465</v>
      </c>
      <c r="AB29" s="28" t="n">
        <v>639.133</v>
      </c>
      <c r="AC29" s="32">
        <f>IFERROR(AB29*(1+변수!AC40),"")</f>
        <v/>
      </c>
      <c r="AD29" s="32">
        <f>IFERROR(AC29*(1+변수!AD40),"")</f>
        <v/>
      </c>
      <c r="AE29" s="30">
        <f>AD29</f>
        <v/>
      </c>
      <c r="AF29" s="32">
        <f>IFERROR(AD29*(1+변수!AF40),"")</f>
        <v/>
      </c>
      <c r="AG29" s="32">
        <f>IFERROR(AF29*(1+변수!AG40),"")</f>
        <v/>
      </c>
      <c r="AH29" s="32">
        <f>IFERROR(AG29*(1+변수!AH40),"")</f>
        <v/>
      </c>
      <c r="AI29" s="32">
        <f>IFERROR(AH29*(1+변수!AI40),"")</f>
        <v/>
      </c>
      <c r="AJ29" s="30">
        <f>AI29</f>
        <v/>
      </c>
      <c r="AK29" s="32">
        <f>IFERROR(AI29*(1+변수!AK40),"")</f>
        <v/>
      </c>
      <c r="AL29" s="32">
        <f>IFERROR(AK29*(1+변수!AL40),"")</f>
        <v/>
      </c>
      <c r="AM29" s="32">
        <f>IFERROR(AL29*(1+변수!AM40),"")</f>
        <v/>
      </c>
      <c r="AN29" s="32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5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5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5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5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5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6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6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6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5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5">
        <f>J31</f>
        <v/>
      </c>
      <c r="L31" s="18">
        <f>IFERROR(L22*100/L29,"")</f>
        <v/>
      </c>
      <c r="M31" s="18" t="n"/>
      <c r="N31" s="18">
        <f>IFERROR(N22*100/N29,"")</f>
        <v/>
      </c>
      <c r="O31" s="18" t="n"/>
      <c r="P31" s="35">
        <f>O31</f>
        <v/>
      </c>
      <c r="Q31" s="18" t="n"/>
      <c r="R31" s="18" t="n"/>
      <c r="S31" s="18" t="n"/>
      <c r="T31" s="18" t="n"/>
      <c r="U31" s="35">
        <f>T31</f>
        <v/>
      </c>
      <c r="V31" s="18" t="n"/>
      <c r="W31" s="18" t="n"/>
      <c r="X31" s="18" t="n"/>
      <c r="Y31" s="18" t="n"/>
      <c r="Z31" s="35">
        <f>Y31</f>
        <v/>
      </c>
      <c r="AA31" s="18" t="n"/>
      <c r="AB31" s="19" t="n"/>
      <c r="AC31" s="20">
        <f>IFERROR(AC22*100/AC29,"")</f>
        <v/>
      </c>
      <c r="AD31" s="20">
        <f>IFERROR(AD22*100/AD29,"")</f>
        <v/>
      </c>
      <c r="AE31" s="36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6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6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5" t="n">
        <v>0</v>
      </c>
      <c r="G32" s="18" t="n"/>
      <c r="H32" s="18" t="n"/>
      <c r="I32" s="18" t="n"/>
      <c r="J32" s="18" t="n">
        <v>0</v>
      </c>
      <c r="K32" s="35">
        <f>SUM(G32:J32)</f>
        <v/>
      </c>
      <c r="L32" s="18" t="n"/>
      <c r="M32" s="18" t="n"/>
      <c r="N32" s="18" t="n"/>
      <c r="O32" s="18" t="n">
        <v>0</v>
      </c>
      <c r="P32" s="35">
        <f>SUM(L32:O32)</f>
        <v/>
      </c>
      <c r="Q32" s="18" t="n"/>
      <c r="R32" s="18" t="n"/>
      <c r="S32" s="18" t="n"/>
      <c r="T32" s="18" t="n">
        <v>0</v>
      </c>
      <c r="U32" s="35">
        <f>SUM(Q32:T32)</f>
        <v/>
      </c>
      <c r="V32" s="18" t="n"/>
      <c r="W32" s="18" t="n"/>
      <c r="X32" s="18" t="n"/>
      <c r="Y32" s="18" t="n">
        <v>0</v>
      </c>
      <c r="Z32" s="35">
        <f>SUM(V32:Y32)</f>
        <v/>
      </c>
      <c r="AA32" s="18" t="n"/>
      <c r="AB32" s="19" t="n"/>
      <c r="AC32" s="20" t="n"/>
      <c r="AD32" s="20" t="n">
        <v>0</v>
      </c>
      <c r="AE32" s="36">
        <f>SUM(AA32:AD32)</f>
        <v/>
      </c>
      <c r="AF32" s="20" t="n"/>
      <c r="AG32" s="20" t="n"/>
      <c r="AH32" s="20" t="n"/>
      <c r="AI32" s="20" t="n">
        <v>0</v>
      </c>
      <c r="AJ32" s="36">
        <f>SUM(AF32:AI32)</f>
        <v/>
      </c>
      <c r="AK32" s="20" t="n"/>
      <c r="AL32" s="20" t="n"/>
      <c r="AM32" s="20" t="n"/>
      <c r="AN32" s="20" t="n">
        <v>0</v>
      </c>
      <c r="AO32" s="36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5" t="n"/>
      <c r="G33" s="18" t="n"/>
      <c r="H33" s="18" t="n"/>
      <c r="I33" s="18" t="n">
        <v>175.07</v>
      </c>
      <c r="J33" s="18" t="n"/>
      <c r="K33" s="35">
        <f>SUM(G33:J33)</f>
        <v/>
      </c>
      <c r="L33" s="18" t="n"/>
      <c r="M33" s="18" t="n"/>
      <c r="N33" s="18" t="n"/>
      <c r="O33" s="18" t="n">
        <v>171.25</v>
      </c>
      <c r="P33" s="35">
        <f>SUM(L33:O33)</f>
        <v/>
      </c>
      <c r="Q33" s="18" t="n">
        <v>78.69</v>
      </c>
      <c r="R33" s="18" t="n">
        <v>72.73999999999999</v>
      </c>
      <c r="S33" s="18" t="n">
        <v>145.13</v>
      </c>
      <c r="T33" s="18" t="n">
        <v>113.39</v>
      </c>
      <c r="U33" s="35">
        <f>SUM(Q33:T33)</f>
        <v/>
      </c>
      <c r="V33" s="18" t="n"/>
      <c r="W33" s="18" t="n"/>
      <c r="X33" s="18" t="n"/>
      <c r="Y33" s="18" t="n">
        <v>593.87</v>
      </c>
      <c r="Z33" s="35">
        <f>SUM(V33:Y33)</f>
        <v/>
      </c>
      <c r="AA33" s="18" t="n">
        <v>395.42</v>
      </c>
      <c r="AB33" s="19" t="n">
        <v>376.32</v>
      </c>
      <c r="AC33" s="20" t="n">
        <v>189.32</v>
      </c>
      <c r="AD33" s="20">
        <f>IFERROR(Y33*(1+변수!AD42),"")</f>
        <v/>
      </c>
      <c r="AE33" s="36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6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6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1.87</v>
      </c>
      <c r="F34" s="35" t="n">
        <v>1.75</v>
      </c>
      <c r="G34" s="18" t="n">
        <v>1.64</v>
      </c>
      <c r="H34" s="18" t="n">
        <v>1.65</v>
      </c>
      <c r="I34" s="18" t="n">
        <v>1.47</v>
      </c>
      <c r="J34" s="18" t="n">
        <v>1.37</v>
      </c>
      <c r="K34" s="35">
        <f>SUM(G34:J34)</f>
        <v/>
      </c>
      <c r="L34" s="18" t="n">
        <v>1.42</v>
      </c>
      <c r="M34" s="18" t="n"/>
      <c r="N34" s="18" t="n">
        <v>1.47</v>
      </c>
      <c r="O34" s="18" t="n"/>
      <c r="P34" s="35">
        <f>SUM(L34:O34)</f>
        <v/>
      </c>
      <c r="Q34" s="18" t="n"/>
      <c r="R34" s="18" t="n"/>
      <c r="S34" s="18" t="n"/>
      <c r="T34" s="18" t="n"/>
      <c r="U34" s="35">
        <f>SUM(Q34:T34)</f>
        <v/>
      </c>
      <c r="V34" s="18" t="n"/>
      <c r="W34" s="18" t="n"/>
      <c r="X34" s="18" t="n"/>
      <c r="Y34" s="18" t="n"/>
      <c r="Z34" s="35">
        <f>SUM(V34:Y34)</f>
        <v/>
      </c>
      <c r="AA34" s="18" t="n"/>
      <c r="AB34" s="19" t="n"/>
      <c r="AC34" s="20" t="n"/>
      <c r="AD34" s="20" t="n"/>
      <c r="AE34" s="36">
        <f>SUM(AA34:AD34)</f>
        <v/>
      </c>
      <c r="AF34" s="20" t="n"/>
      <c r="AG34" s="20" t="n"/>
      <c r="AH34" s="20" t="n"/>
      <c r="AI34" s="20" t="n"/>
      <c r="AJ34" s="36">
        <f>SUM(AF34:AI34)</f>
        <v/>
      </c>
      <c r="AK34" s="20" t="n"/>
      <c r="AL34" s="20" t="n"/>
      <c r="AM34" s="20" t="n"/>
      <c r="AN34" s="20" t="n"/>
      <c r="AO34" s="36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21707.87</v>
      </c>
      <c r="F35" s="35" t="n"/>
      <c r="G35" s="18" t="n">
        <v>30712.85</v>
      </c>
      <c r="H35" s="18" t="n">
        <v>38346.56</v>
      </c>
      <c r="I35" s="18" t="n">
        <v>39603.24</v>
      </c>
      <c r="J35" s="18" t="n">
        <v>46217.68</v>
      </c>
      <c r="K35" s="35">
        <f>SUM(G35:J35)</f>
        <v/>
      </c>
      <c r="L35" s="18" t="n">
        <v>40410.42</v>
      </c>
      <c r="M35" s="18" t="n">
        <v>45393.62</v>
      </c>
      <c r="N35" s="18" t="n">
        <v>41549.8</v>
      </c>
      <c r="O35" s="18" t="n">
        <v>48545.04</v>
      </c>
      <c r="P35" s="35">
        <f>SUM(L35:O35)</f>
        <v/>
      </c>
      <c r="Q35" s="18" t="n">
        <v>40978.67</v>
      </c>
      <c r="R35" s="18" t="n">
        <v>41504.87</v>
      </c>
      <c r="S35" s="18" t="n">
        <v>33955.69</v>
      </c>
      <c r="T35" s="18" t="n">
        <v>45891.32</v>
      </c>
      <c r="U35" s="35">
        <f>SUM(Q35:T35)</f>
        <v/>
      </c>
      <c r="V35" s="18" t="n">
        <v>37485.74</v>
      </c>
      <c r="W35" s="18" t="n">
        <v>45690.21</v>
      </c>
      <c r="X35" s="18" t="n">
        <v>38803.5</v>
      </c>
      <c r="Y35" s="18" t="n">
        <v>48599.31</v>
      </c>
      <c r="Z35" s="35">
        <f>SUM(V35:Y35)</f>
        <v/>
      </c>
      <c r="AA35" s="18" t="n">
        <v>42611.3</v>
      </c>
      <c r="AB35" s="19" t="n">
        <v>47248.08</v>
      </c>
      <c r="AC35" s="20">
        <f>IFERROR(AC5*변수!AC44,"")</f>
        <v/>
      </c>
      <c r="AD35" s="20">
        <f>IFERROR(AD5*변수!AD44,"")</f>
        <v/>
      </c>
      <c r="AE35" s="36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6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6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1269.82</v>
      </c>
      <c r="F36" s="35" t="n"/>
      <c r="G36" s="18" t="n">
        <v>1921.4</v>
      </c>
      <c r="H36" s="18" t="n">
        <v>3283.37</v>
      </c>
      <c r="I36" s="18" t="n">
        <v>3145.69</v>
      </c>
      <c r="J36" s="18" t="n">
        <v>2717.07</v>
      </c>
      <c r="K36" s="35">
        <f>SUM(G36:J36)</f>
        <v/>
      </c>
      <c r="L36" s="18" t="n">
        <v>3645.74</v>
      </c>
      <c r="M36" s="18" t="n">
        <v>4946.5</v>
      </c>
      <c r="N36" s="18" t="n">
        <v>3113.89</v>
      </c>
      <c r="O36" s="18" t="n">
        <v>2967.04</v>
      </c>
      <c r="P36" s="35">
        <f>SUM(L36:O36)</f>
        <v/>
      </c>
      <c r="Q36" s="18" t="n">
        <v>3580.71</v>
      </c>
      <c r="R36" s="18" t="n">
        <v>3097.9</v>
      </c>
      <c r="S36" s="18" t="n">
        <v>1147.9</v>
      </c>
      <c r="T36" s="18" t="n">
        <v>2349.49</v>
      </c>
      <c r="U36" s="35">
        <f>SUM(Q36:T36)</f>
        <v/>
      </c>
      <c r="V36" s="18" t="n">
        <v>1424.75</v>
      </c>
      <c r="W36" s="18" t="n">
        <v>2711.06</v>
      </c>
      <c r="X36" s="18" t="n">
        <v>1370.59</v>
      </c>
      <c r="Y36" s="18" t="n">
        <v>2120.72</v>
      </c>
      <c r="Z36" s="35">
        <f>SUM(V36:Y36)</f>
        <v/>
      </c>
      <c r="AA36" s="18" t="n">
        <v>2335.14</v>
      </c>
      <c r="AB36" s="19" t="n">
        <v>3142.6</v>
      </c>
      <c r="AC36" s="20">
        <f>IFERROR(AC35*변수!AC45,"")</f>
        <v/>
      </c>
      <c r="AD36" s="20">
        <f>IFERROR(AD35*변수!AD45,"")</f>
        <v/>
      </c>
      <c r="AE36" s="36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6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6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2">
        <f>IFERROR(VLOOKUP($A29,subQ,MATCH(X$1,SUBQH,0),0),"")</f>
        <v/>
      </c>
      <c r="Y29" s="32">
        <f>IFERROR(VLOOKUP($A29,subQ,MATCH(Y$1,SUBQH,0),0),"")</f>
        <v/>
      </c>
      <c r="Z29" s="32">
        <f>IFERROR(VLOOKUP($A29,subQ,MATCH(Z$1,SUBQH,0),0),"")</f>
        <v/>
      </c>
      <c r="AA29" s="32">
        <f>IFERROR(VLOOKUP($A29,subQ,MATCH(AA$1,SUBQH,0),0),"")</f>
        <v/>
      </c>
      <c r="AB29" s="32">
        <f>IFERROR(VLOOKUP($A29,subQ,MATCH(AB$1,SUBQH,0),0),"")</f>
        <v/>
      </c>
      <c r="AC29" s="32">
        <f>IFERROR(VLOOKUP($A29,subQ,MATCH(AC$1,SUBQH,0),0),"")</f>
        <v/>
      </c>
      <c r="AD29" s="32">
        <f>IFERROR(VLOOKUP($A29,subQ,MATCH(AD$1,SUBQH,0),0),"")</f>
        <v/>
      </c>
      <c r="AE29" s="32">
        <f>IFERROR(VLOOKUP($A29,subQ,MATCH(AE$1,SUBQH,0),0),"")</f>
        <v/>
      </c>
      <c r="AF29" s="32">
        <f>IFERROR(VLOOKUP($A29,subQ,MATCH(AF$1,SUBQH,0),0),"")</f>
        <v/>
      </c>
      <c r="AG29" s="32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2">
        <f>IFERROR(VLOOKUP($A29,subQ,MATCH(J$1,SUBQH,0),0),"")</f>
        <v/>
      </c>
      <c r="K29" s="32">
        <f>IFERROR(VLOOKUP($A29,subQ,MATCH(K$1,SUBQH,0),0),"")</f>
        <v/>
      </c>
      <c r="L29" s="32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309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260.52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