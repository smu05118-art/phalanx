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55516억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56970억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59918억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63228억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67208억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71365억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55516억 × 비례계수 0.1262(원점회귀; 격자 lag0~4×창8/12/19×수준·YoY·4Q합 중 최대 r=0.90, n=9, 창 12)
[yoy]</t>
      </text>
    </comment>
    <comment ref="V5" authorId="0" shapeId="0">
      <text>
        <t>추정: 고객 매출 가중지수(t−3) 56970억 × 비례계수 0.1262(원점회귀; 격자 lag0~4×창8/12/19×수준·YoY·4Q합 중 최대 r=0.90, n=9, 창 12)
[yoy]</t>
      </text>
    </comment>
    <comment ref="X5" authorId="0" shapeId="0">
      <text>
        <t>추정: 고객 매출 가중지수(t−3) 59918억 × 비례계수 0.1262(원점회귀; 격자 lag0~4×창8/12/19×수준·YoY·4Q합 중 최대 r=0.90, n=9, 창 12)
[yoy]</t>
      </text>
    </comment>
    <comment ref="Y5" authorId="0" shapeId="0">
      <text>
        <t>추정: 고객 매출 가중지수(t−3) 63228억 × 비례계수 0.1262(원점회귀; 격자 lag0~4×창8/12/19×수준·YoY·4Q합 중 최대 r=0.90, n=9, 창 12)
[yoy]</t>
      </text>
    </comment>
    <comment ref="Z5" authorId="0" shapeId="0">
      <text>
        <t>추정: 고객 매출 가중지수(t−3) 67208억 × 비례계수 0.1262(원점회귀; 격자 lag0~4×창8/12/19×수준·YoY·4Q합 중 최대 r=0.90, n=9, 창 12)
[yoy]</t>
      </text>
    </comment>
    <comment ref="AA5" authorId="0" shapeId="0">
      <text>
        <t>추정: 고객 매출 가중지수(t−3) 71365억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8227억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9231억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10290억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9640억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10824억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8227억 × 2.88%(주석 이자수익 ÷ 평균 이자발생자산(2025Q3~2026Q2)) − 총차입금 0억 × 0.00%(없음) (연율) ÷ 4
[interest]</t>
      </text>
    </comment>
    <comment ref="X12" authorId="0" shapeId="0">
      <text>
        <t>추정: 이자발생자산 9231억 × 2.88%(주석 이자수익 ÷ 평균 이자발생자산(2025Q3~2026Q2)) − 총차입금 0억 × 0.00%(없음) (연율) ÷ 4
[interest]</t>
      </text>
    </comment>
    <comment ref="Y12" authorId="0" shapeId="0">
      <text>
        <t>추정: 이자발생자산 10290억 × 2.88%(주석 이자수익 ÷ 평균 이자발생자산(2025Q3~2026Q2)) − 총차입금 0억 × 0.00%(없음) (연율) ÷ 4
[interest]</t>
      </text>
    </comment>
    <comment ref="Z12" authorId="0" shapeId="0">
      <text>
        <t>추정: 이자발생자산 9640억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10824억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1345.14</v>
      </c>
      <c r="R6" s="17" t="n">
        <v>1457.21</v>
      </c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  <c r="X6" s="16" t="n">
        <v>1341.49</v>
      </c>
      <c r="Y6" s="16" t="n">
        <v>1341.49</v>
      </c>
      <c r="Z6" s="16" t="n">
        <v>1341.49</v>
      </c>
      <c r="AA6" s="16" t="n">
        <v>1341.49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1341.49</v>
      </c>
      <c r="R7" s="17" t="n">
        <v>1341.49</v>
      </c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  <c r="X7" s="16" t="n">
        <v>1341.49</v>
      </c>
      <c r="Y7" s="16" t="n">
        <v>1341.49</v>
      </c>
      <c r="Z7" s="16" t="n">
        <v>1341.49</v>
      </c>
      <c r="AA7" s="16" t="n">
        <v>1341.49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850.79</v>
      </c>
      <c r="R8" s="17" t="n">
        <v>919.21</v>
      </c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  <c r="X8" s="16" t="n">
        <v>847.7</v>
      </c>
      <c r="Y8" s="16" t="n">
        <v>847.7</v>
      </c>
      <c r="Z8" s="16" t="n">
        <v>847.7</v>
      </c>
      <c r="AA8" s="16" t="n">
        <v>847.7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847.7</v>
      </c>
      <c r="R9" s="17" t="n">
        <v>847.7</v>
      </c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  <c r="X9" s="16" t="n">
        <v>847.7</v>
      </c>
      <c r="Y9" s="16" t="n">
        <v>847.7</v>
      </c>
      <c r="Z9" s="16" t="n">
        <v>847.7</v>
      </c>
      <c r="AA9" s="16" t="n">
        <v>847.7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1509.74</v>
      </c>
      <c r="R10" s="17" t="n">
        <v>1689.95</v>
      </c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  <c r="X10" s="16" t="n">
        <v>1503.27</v>
      </c>
      <c r="Y10" s="16" t="n">
        <v>1503.27</v>
      </c>
      <c r="Z10" s="16" t="n">
        <v>1503.27</v>
      </c>
      <c r="AA10" s="16" t="n">
        <v>1503.27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1503.27</v>
      </c>
      <c r="R11" s="17" t="n">
        <v>1503.27</v>
      </c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  <c r="X11" s="16" t="n">
        <v>1503.27</v>
      </c>
      <c r="Y11" s="16" t="n">
        <v>1503.27</v>
      </c>
      <c r="Z11" s="16" t="n">
        <v>1503.27</v>
      </c>
      <c r="AA11" s="16" t="n">
        <v>1503.27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200.69</v>
      </c>
      <c r="R12" s="17" t="n">
        <v>213.75</v>
      </c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  <c r="X12" s="16" t="n">
        <v>200.46</v>
      </c>
      <c r="Y12" s="16" t="n">
        <v>200.46</v>
      </c>
      <c r="Z12" s="16" t="n">
        <v>200.46</v>
      </c>
      <c r="AA12" s="16" t="n">
        <v>200.46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200.46</v>
      </c>
      <c r="R13" s="17" t="n">
        <v>200.46</v>
      </c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  <c r="X13" s="16" t="n">
        <v>200.46</v>
      </c>
      <c r="Y13" s="16" t="n">
        <v>200.46</v>
      </c>
      <c r="Z13" s="16" t="n">
        <v>200.46</v>
      </c>
      <c r="AA13" s="16" t="n">
        <v>200.46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221000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213500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225916.7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0.228923693</v>
      </c>
      <c r="V21" s="24" t="n">
        <v>0.16993613</v>
      </c>
      <c r="W21" s="25" t="n"/>
      <c r="X21" s="24" t="n">
        <v>0.138380753</v>
      </c>
      <c r="Y21" s="24" t="n">
        <v>0.153394168</v>
      </c>
      <c r="Z21" s="24" t="n">
        <v>0.210602639</v>
      </c>
      <c r="AA21" s="24" t="n">
        <v>0.252695927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0.173154272</v>
      </c>
      <c r="V23" s="24" t="n">
        <v>0.173155483</v>
      </c>
      <c r="W23" s="25">
        <f>IFERROR(subQ!W9/subQ!W5,"")</f>
        <v/>
      </c>
      <c r="X23" s="24" t="n">
        <v>0.173155101</v>
      </c>
      <c r="Y23" s="24" t="n">
        <v>0.173154623</v>
      </c>
      <c r="Z23" s="24" t="n">
        <v>0.173155146</v>
      </c>
      <c r="AA23" s="24" t="n">
        <v>0.173155073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-0.005400648</v>
      </c>
      <c r="Q32" s="30" t="n">
        <v>0.002428809</v>
      </c>
      <c r="R32" s="31" t="n"/>
      <c r="S32" s="30" t="n">
        <v>-0.004136964</v>
      </c>
      <c r="T32" s="30" t="n">
        <v>1770.926242219</v>
      </c>
      <c r="U32" s="30" t="n">
        <v>-0.008424414999999999</v>
      </c>
      <c r="V32" s="30" t="n">
        <v>0.000129378</v>
      </c>
      <c r="W32" s="31" t="n"/>
      <c r="X32" s="30" t="n">
        <v>-0.009893094999999999</v>
      </c>
      <c r="Y32" s="30" t="n">
        <v>1770.919194507</v>
      </c>
      <c r="Z32" s="30" t="n">
        <v>-0.004373667</v>
      </c>
      <c r="AA32" s="30" t="n">
        <v>0.000518975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-0.005400648</v>
      </c>
      <c r="Q33" s="30" t="n">
        <v>0.002428809</v>
      </c>
      <c r="R33" s="31" t="n"/>
      <c r="S33" s="30" t="n">
        <v>-0.004136964</v>
      </c>
      <c r="T33" s="30" t="n">
        <v>1770.926242219</v>
      </c>
      <c r="U33" s="30" t="n">
        <v>-0.008424414999999999</v>
      </c>
      <c r="V33" s="30" t="n">
        <v>0.000129378</v>
      </c>
      <c r="W33" s="31" t="n"/>
      <c r="X33" s="30" t="n">
        <v>-0.009893094999999999</v>
      </c>
      <c r="Y33" s="30" t="n">
        <v>1770.919194507</v>
      </c>
      <c r="Z33" s="30" t="n">
        <v>-0.004373667</v>
      </c>
      <c r="AA33" s="30" t="n">
        <v>0.000518975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0.134282531</v>
      </c>
      <c r="V36" s="24" t="n">
        <v>0.122013684</v>
      </c>
      <c r="W36" s="25" t="n"/>
      <c r="X36" s="24" t="n">
        <v>0.114723002</v>
      </c>
      <c r="Y36" s="24" t="n">
        <v>-0.063201596</v>
      </c>
      <c r="Z36" s="24" t="n">
        <v>0.122820576</v>
      </c>
      <c r="AA36" s="24" t="n">
        <v>0.116454613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221000</v>
      </c>
      <c r="E44" s="2" t="inlineStr">
        <is>
          <t>원 — 네이버 정규장 종가(aik 확정종가 대조 · aik 220,000원)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0.230002233156757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0.05177168289532724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0.02881997858445603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28.03</v>
      </c>
    </row>
    <row r="32">
      <c r="C32" s="2" t="inlineStr">
        <is>
          <t>pbr_now</t>
        </is>
      </c>
      <c r="D32" t="n">
        <v>11.11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