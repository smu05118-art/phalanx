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200861억 × 비례계수 0.1120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210631억 × 비례계수 0.1120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218743억 × 비례계수 0.1120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226171억 × 비례계수 0.1120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235406억 × 비례계수 0.1120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248179억 × 비례계수 0.1120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263315억 × 비례계수 0.1120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279540억 × 비례계수 0.1120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295601억 × 비례계수 0.1120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309834억 × 비례계수 0.1120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200861억 × 비례계수 0.1120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210631억 × 비례계수 0.1120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218743억 × 비례계수 0.1120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226171억 × 비례계수 0.1120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235406억 × 비례계수 0.1120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248179억 × 비례계수 0.1120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263315억 × 비례계수 0.1120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279540억 × 비례계수 0.1120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295601억 × 비례계수 0.1120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309834억 × 비례계수 0.1120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6295억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7148억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7988억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7057억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8006억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9015억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10028억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9297억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10490억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6295억 × 2.88%(주석 이자수익 ÷ 평균 이자발생자산(2025Q3~2026Q2)) − 총차입금 0억 × 0.00%(없음) (연율) ÷ 4
[interest]</t>
      </text>
    </comment>
    <comment ref="S12" authorId="0" shapeId="0">
      <text>
        <t>추정: 이자발생자산 7148억 × 2.88%(주석 이자수익 ÷ 평균 이자발생자산(2025Q3~2026Q2)) − 총차입금 0억 × 0.00%(없음) (연율) ÷ 4
[interest]</t>
      </text>
    </comment>
    <comment ref="T12" authorId="0" shapeId="0">
      <text>
        <t>추정: 이자발생자산 7988억 × 2.88%(주석 이자수익 ÷ 평균 이자발생자산(2025Q3~2026Q2)) − 총차입금 0억 × 0.00%(없음) (연율) ÷ 4
[interest]</t>
      </text>
    </comment>
    <comment ref="U12" authorId="0" shapeId="0">
      <text>
        <t>추정: 이자발생자산 7057억 × 2.88%(주석 이자수익 ÷ 평균 이자발생자산(2025Q3~2026Q2)) − 총차입금 0억 × 0.00%(없음) (연율) ÷ 4
[interest]</t>
      </text>
    </comment>
    <comment ref="V12" authorId="0" shapeId="0">
      <text>
        <t>추정: 이자발생자산 8006억 × 2.88%(주석 이자수익 ÷ 평균 이자발생자산(2025Q3~2026Q2)) − 총차입금 0억 × 0.00%(없음) (연율) ÷ 4
[interest]</t>
      </text>
    </comment>
    <comment ref="X12" authorId="0" shapeId="0">
      <text>
        <t>추정: 이자발생자산 9015억 × 2.88%(주석 이자수익 ÷ 평균 이자발생자산(2025Q3~2026Q2)) − 총차입금 0억 × 0.00%(없음) (연율) ÷ 4
[interest]</t>
      </text>
    </comment>
    <comment ref="Y12" authorId="0" shapeId="0">
      <text>
        <t>추정: 이자발생자산 10028억 × 2.88%(주석 이자수익 ÷ 평균 이자발생자산(2025Q3~2026Q2)) − 총차입금 0억 × 0.00%(없음) (연율) ÷ 4
[interest]</t>
      </text>
    </comment>
    <comment ref="Z12" authorId="0" shapeId="0">
      <text>
        <t>추정: 이자발생자산 9297억 × 2.88%(주석 이자수익 ÷ 평균 이자발생자산(2025Q3~2026Q2)) − 총차입금 0억 × 0.00%(없음) (연율) ÷ 4
[interest]</t>
      </text>
    </comment>
    <comment ref="AA12" authorId="0" shapeId="0">
      <text>
        <t>추정: 이자발생자산 10490억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1354.78</v>
      </c>
      <c r="R6" s="17" t="n">
        <v>1460.21</v>
      </c>
      <c r="S6" s="16" t="n">
        <v>1348.28</v>
      </c>
      <c r="T6" s="16" t="n">
        <v>1348.28</v>
      </c>
      <c r="U6" s="16" t="n">
        <v>1348.28</v>
      </c>
      <c r="V6" s="16" t="n">
        <v>1348.28</v>
      </c>
      <c r="W6" s="11" t="n"/>
      <c r="X6" s="16" t="n">
        <v>1348.28</v>
      </c>
      <c r="Y6" s="16" t="n">
        <v>1348.28</v>
      </c>
      <c r="Z6" s="16" t="n">
        <v>1348.28</v>
      </c>
      <c r="AA6" s="16" t="n">
        <v>1348.28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1348.28</v>
      </c>
      <c r="R7" s="17" t="n">
        <v>1348.28</v>
      </c>
      <c r="S7" s="16" t="n">
        <v>1348.28</v>
      </c>
      <c r="T7" s="16" t="n">
        <v>1348.28</v>
      </c>
      <c r="U7" s="16" t="n">
        <v>1348.28</v>
      </c>
      <c r="V7" s="16" t="n">
        <v>1348.28</v>
      </c>
      <c r="W7" s="11" t="n"/>
      <c r="X7" s="16" t="n">
        <v>1348.28</v>
      </c>
      <c r="Y7" s="16" t="n">
        <v>1348.28</v>
      </c>
      <c r="Z7" s="16" t="n">
        <v>1348.28</v>
      </c>
      <c r="AA7" s="16" t="n">
        <v>1348.28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858.4</v>
      </c>
      <c r="R8" s="17" t="n">
        <v>921.0599999999999</v>
      </c>
      <c r="S8" s="16" t="n">
        <v>855.13</v>
      </c>
      <c r="T8" s="16" t="n">
        <v>855.13</v>
      </c>
      <c r="U8" s="16" t="n">
        <v>855.13</v>
      </c>
      <c r="V8" s="16" t="n">
        <v>855.13</v>
      </c>
      <c r="W8" s="11" t="n"/>
      <c r="X8" s="16" t="n">
        <v>855.13</v>
      </c>
      <c r="Y8" s="16" t="n">
        <v>855.13</v>
      </c>
      <c r="Z8" s="16" t="n">
        <v>855.13</v>
      </c>
      <c r="AA8" s="16" t="n">
        <v>855.13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855.13</v>
      </c>
      <c r="R9" s="17" t="n">
        <v>855.13</v>
      </c>
      <c r="S9" s="16" t="n">
        <v>855.13</v>
      </c>
      <c r="T9" s="16" t="n">
        <v>855.13</v>
      </c>
      <c r="U9" s="16" t="n">
        <v>855.13</v>
      </c>
      <c r="V9" s="16" t="n">
        <v>855.13</v>
      </c>
      <c r="W9" s="11" t="n"/>
      <c r="X9" s="16" t="n">
        <v>855.13</v>
      </c>
      <c r="Y9" s="16" t="n">
        <v>855.13</v>
      </c>
      <c r="Z9" s="16" t="n">
        <v>855.13</v>
      </c>
      <c r="AA9" s="16" t="n">
        <v>855.13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1525.7</v>
      </c>
      <c r="R10" s="17" t="n">
        <v>1694.79</v>
      </c>
      <c r="S10" s="16" t="n">
        <v>1513.44</v>
      </c>
      <c r="T10" s="16" t="n">
        <v>1513.44</v>
      </c>
      <c r="U10" s="16" t="n">
        <v>1513.44</v>
      </c>
      <c r="V10" s="16" t="n">
        <v>1513.44</v>
      </c>
      <c r="W10" s="11" t="n"/>
      <c r="X10" s="16" t="n">
        <v>1513.44</v>
      </c>
      <c r="Y10" s="16" t="n">
        <v>1513.44</v>
      </c>
      <c r="Z10" s="16" t="n">
        <v>1513.44</v>
      </c>
      <c r="AA10" s="16" t="n">
        <v>1513.44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1513.44</v>
      </c>
      <c r="R11" s="17" t="n">
        <v>1513.44</v>
      </c>
      <c r="S11" s="16" t="n">
        <v>1513.44</v>
      </c>
      <c r="T11" s="16" t="n">
        <v>1513.44</v>
      </c>
      <c r="U11" s="16" t="n">
        <v>1513.44</v>
      </c>
      <c r="V11" s="16" t="n">
        <v>1513.44</v>
      </c>
      <c r="W11" s="11" t="n"/>
      <c r="X11" s="16" t="n">
        <v>1513.44</v>
      </c>
      <c r="Y11" s="16" t="n">
        <v>1513.44</v>
      </c>
      <c r="Z11" s="16" t="n">
        <v>1513.44</v>
      </c>
      <c r="AA11" s="16" t="n">
        <v>1513.44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202.07</v>
      </c>
      <c r="R12" s="17" t="n">
        <v>214.1</v>
      </c>
      <c r="S12" s="16" t="n">
        <v>201.1</v>
      </c>
      <c r="T12" s="16" t="n">
        <v>201.1</v>
      </c>
      <c r="U12" s="16" t="n">
        <v>201.1</v>
      </c>
      <c r="V12" s="16" t="n">
        <v>201.1</v>
      </c>
      <c r="W12" s="11" t="n"/>
      <c r="X12" s="16" t="n">
        <v>201.1</v>
      </c>
      <c r="Y12" s="16" t="n">
        <v>201.1</v>
      </c>
      <c r="Z12" s="16" t="n">
        <v>201.1</v>
      </c>
      <c r="AA12" s="16" t="n">
        <v>201.1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201.1</v>
      </c>
      <c r="R13" s="17" t="n">
        <v>201.1</v>
      </c>
      <c r="S13" s="16" t="n">
        <v>201.1</v>
      </c>
      <c r="T13" s="16" t="n">
        <v>201.1</v>
      </c>
      <c r="U13" s="16" t="n">
        <v>201.1</v>
      </c>
      <c r="V13" s="16" t="n">
        <v>201.1</v>
      </c>
      <c r="W13" s="11" t="n"/>
      <c r="X13" s="16" t="n">
        <v>201.1</v>
      </c>
      <c r="Y13" s="16" t="n">
        <v>201.1</v>
      </c>
      <c r="Z13" s="16" t="n">
        <v>201.1</v>
      </c>
      <c r="AA13" s="16" t="n">
        <v>201.1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234500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229500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235750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0.134636004</v>
      </c>
      <c r="Q21" s="24" t="n">
        <v>0.189825217</v>
      </c>
      <c r="R21" s="25" t="n"/>
      <c r="S21" s="24" t="n">
        <v>0.04423936</v>
      </c>
      <c r="T21" s="24" t="n">
        <v>0.029548105</v>
      </c>
      <c r="U21" s="24" t="n">
        <v>0.171984378</v>
      </c>
      <c r="V21" s="24" t="n">
        <v>0.178261266</v>
      </c>
      <c r="W21" s="25" t="n"/>
      <c r="X21" s="24" t="n">
        <v>0.203760152</v>
      </c>
      <c r="Y21" s="24" t="n">
        <v>0.235969704</v>
      </c>
      <c r="Z21" s="24" t="n">
        <v>0.255705889</v>
      </c>
      <c r="AA21" s="24" t="n">
        <v>0.248434048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0.17315566</v>
      </c>
      <c r="Q23" s="24" t="n">
        <v>0.173155387</v>
      </c>
      <c r="R23" s="25">
        <f>IFERROR(subQ!R9/subQ!R5,"")</f>
        <v/>
      </c>
      <c r="S23" s="24" t="n">
        <v>0.173154964</v>
      </c>
      <c r="T23" s="24" t="n">
        <v>0.173154675</v>
      </c>
      <c r="U23" s="24" t="n">
        <v>0.173155688</v>
      </c>
      <c r="V23" s="24" t="n">
        <v>0.173155023</v>
      </c>
      <c r="W23" s="25">
        <f>IFERROR(subQ!W9/subQ!W5,"")</f>
        <v/>
      </c>
      <c r="X23" s="24" t="n">
        <v>0.173154587</v>
      </c>
      <c r="Y23" s="24" t="n">
        <v>0.173154646</v>
      </c>
      <c r="Z23" s="24" t="n">
        <v>0.17315455</v>
      </c>
      <c r="AA23" s="24" t="n">
        <v>0.173154998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0.001983533</v>
      </c>
      <c r="Q32" s="30" t="n">
        <v>-0.005213018</v>
      </c>
      <c r="R32" s="31" t="n"/>
      <c r="S32" s="30" t="n">
        <v>0.001290262</v>
      </c>
      <c r="T32" s="30" t="n">
        <v>1770.919533811</v>
      </c>
      <c r="U32" s="30" t="n">
        <v>-0.003161044</v>
      </c>
      <c r="V32" s="30" t="n">
        <v>0.003611012</v>
      </c>
      <c r="W32" s="31" t="n"/>
      <c r="X32" s="30" t="n">
        <v>-0.004936943</v>
      </c>
      <c r="Y32" s="30" t="n">
        <v>1770.919245137</v>
      </c>
      <c r="Z32" s="30" t="n">
        <v>-0.003109484</v>
      </c>
      <c r="AA32" s="30" t="n">
        <v>-0.005796354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0.001983533</v>
      </c>
      <c r="Q33" s="30" t="n">
        <v>-0.005213018</v>
      </c>
      <c r="R33" s="31" t="n"/>
      <c r="S33" s="30" t="n">
        <v>0.001290262</v>
      </c>
      <c r="T33" s="30" t="n">
        <v>1770.919533811</v>
      </c>
      <c r="U33" s="30" t="n">
        <v>-0.003161044</v>
      </c>
      <c r="V33" s="30" t="n">
        <v>0.003611012</v>
      </c>
      <c r="W33" s="31" t="n"/>
      <c r="X33" s="30" t="n">
        <v>-0.004936943</v>
      </c>
      <c r="Y33" s="30" t="n">
        <v>1770.919245137</v>
      </c>
      <c r="Z33" s="30" t="n">
        <v>-0.003109484</v>
      </c>
      <c r="AA33" s="30" t="n">
        <v>-0.005796354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0.146919578</v>
      </c>
      <c r="Q36" s="24" t="n">
        <v>0.135571088</v>
      </c>
      <c r="R36" s="25" t="n"/>
      <c r="S36" s="24" t="n">
        <v>0.117407763</v>
      </c>
      <c r="T36" s="24" t="n">
        <v>-0.116464063</v>
      </c>
      <c r="U36" s="24" t="n">
        <v>0.134411726</v>
      </c>
      <c r="V36" s="24" t="n">
        <v>0.126017672</v>
      </c>
      <c r="W36" s="25" t="n"/>
      <c r="X36" s="24" t="n">
        <v>0.112329338</v>
      </c>
      <c r="Y36" s="24" t="n">
        <v>-0.072895101</v>
      </c>
      <c r="Z36" s="24" t="n">
        <v>0.12839963</v>
      </c>
      <c r="AA36" s="24" t="n">
        <v>0.120339019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234500</v>
      </c>
      <c r="E44" s="2" t="inlineStr">
        <is>
          <t>원 — 네이버 정규장 종가(aik 확정종가 대조 · aik 237,000원)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0.2300007224208007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0.05177187390512976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0.02881964846545134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7449.1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31.48</v>
      </c>
    </row>
    <row r="32">
      <c r="C32" s="2" t="inlineStr">
        <is>
          <t>pbr_now</t>
        </is>
      </c>
      <c r="D32" t="n">
        <v>11.78</v>
      </c>
    </row>
    <row r="33">
      <c r="C33" s="2" t="inlineStr">
        <is>
          <t>roe_fwd</t>
        </is>
      </c>
      <c r="D33" t="n">
        <v>0.3744</v>
      </c>
    </row>
    <row r="34">
      <c r="C34" s="2" t="inlineStr">
        <is>
          <t>fair_pbr</t>
        </is>
      </c>
      <c r="D34" t="n">
        <v>4.16</v>
      </c>
    </row>
    <row r="35">
      <c r="C35" s="2" t="inlineStr">
        <is>
          <t>fair_value_pbr</t>
        </is>
      </c>
      <c r="D35" t="n">
        <v>82800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