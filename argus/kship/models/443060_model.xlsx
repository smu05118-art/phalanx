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56039억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57364억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59983억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63035억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66824억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70855억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56039억 × 비례계수 0.1262(원점회귀; 격자 lag0~4×창8/12/19×수준·YoY·4Q합 중 최대 r=0.90, n=9, 창 12)
[yoy]</t>
      </text>
    </comment>
    <comment ref="V5" authorId="0" shapeId="0">
      <text>
        <t>추정: 고객 매출 가중지수(t−3) 57364억 × 비례계수 0.1262(원점회귀; 격자 lag0~4×창8/12/19×수준·YoY·4Q합 중 최대 r=0.90, n=9, 창 12)
[yoy]</t>
      </text>
    </comment>
    <comment ref="X5" authorId="0" shapeId="0">
      <text>
        <t>추정: 고객 매출 가중지수(t−3) 59983억 × 비례계수 0.1262(원점회귀; 격자 lag0~4×창8/12/19×수준·YoY·4Q합 중 최대 r=0.90, n=9, 창 12)
[yoy]</t>
      </text>
    </comment>
    <comment ref="Y5" authorId="0" shapeId="0">
      <text>
        <t>추정: 고객 매출 가중지수(t−3) 63035억 × 비례계수 0.1262(원점회귀; 격자 lag0~4×창8/12/19×수준·YoY·4Q합 중 최대 r=0.90, n=9, 창 12)
[yoy]</t>
      </text>
    </comment>
    <comment ref="Z5" authorId="0" shapeId="0">
      <text>
        <t>추정: 고객 매출 가중지수(t−3) 66824억 × 비례계수 0.1262(원점회귀; 격자 lag0~4×창8/12/19×수준·YoY·4Q합 중 최대 r=0.90, n=9, 창 12)
[yoy]</t>
      </text>
    </comment>
    <comment ref="AA5" authorId="0" shapeId="0">
      <text>
        <t>추정: 고객 매출 가중지수(t−3) 70855억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8236억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9246억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10307억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9653억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10831억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8236억 × 2.88%(주석 이자수익 ÷ 평균 이자발생자산(2025Q3~2026Q2)) − 총차입금 0억 × 0.00%(없음) (연율) ÷ 4
[interest]</t>
      </text>
    </comment>
    <comment ref="X12" authorId="0" shapeId="0">
      <text>
        <t>추정: 이자발생자산 9246억 × 2.88%(주석 이자수익 ÷ 평균 이자발생자산(2025Q3~2026Q2)) − 총차입금 0억 × 0.00%(없음) (연율) ÷ 4
[interest]</t>
      </text>
    </comment>
    <comment ref="Y12" authorId="0" shapeId="0">
      <text>
        <t>추정: 이자발생자산 10307억 × 2.88%(주석 이자수익 ÷ 평균 이자발생자산(2025Q3~2026Q2)) − 총차입금 0억 × 0.00%(없음) (연율) ÷ 4
[interest]</t>
      </text>
    </comment>
    <comment ref="Z12" authorId="0" shapeId="0">
      <text>
        <t>추정: 이자발생자산 9653억 × 2.88%(주석 이자수익 ÷ 평균 이자발생자산(2025Q3~2026Q2)) − 총차입금 0억 × 0.00%(없음) (연율) ÷ 4
[interest]</t>
      </text>
    </comment>
    <comment ref="AA12" authorId="0" shapeId="0">
      <text>
        <t>추정: 이자발생자산 10831억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5239.23, "rev_act": 5162.05, "op_pred": 895.58, "op_act": 905.28}, {"q": "2026Q1", "rev_pred": 5317.65, "rev_act": 5746.09, "op_pred": 908.99, "op_act": 933.94}, {"q": "2026Q2", "rev_pred": 5245.03,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1337.49</v>
      </c>
      <c r="R6" s="17" t="n">
        <v>1451.19</v>
      </c>
      <c r="S6" s="16" t="n">
        <v>1324.45</v>
      </c>
      <c r="T6" s="16" t="n">
        <v>1324.45</v>
      </c>
      <c r="U6" s="16" t="n">
        <v>1324.45</v>
      </c>
      <c r="V6" s="16" t="n">
        <v>1324.45</v>
      </c>
      <c r="W6" s="11" t="n"/>
      <c r="X6" s="16" t="n">
        <v>1324.45</v>
      </c>
      <c r="Y6" s="16" t="n">
        <v>1324.45</v>
      </c>
      <c r="Z6" s="16" t="n">
        <v>1324.45</v>
      </c>
      <c r="AA6" s="16" t="n">
        <v>1324.45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1324.45</v>
      </c>
      <c r="R7" s="17" t="n">
        <v>1324.45</v>
      </c>
      <c r="S7" s="16" t="n">
        <v>1324.45</v>
      </c>
      <c r="T7" s="16" t="n">
        <v>1324.45</v>
      </c>
      <c r="U7" s="16" t="n">
        <v>1324.45</v>
      </c>
      <c r="V7" s="16" t="n">
        <v>1324.45</v>
      </c>
      <c r="W7" s="11" t="n"/>
      <c r="X7" s="16" t="n">
        <v>1324.45</v>
      </c>
      <c r="Y7" s="16" t="n">
        <v>1324.45</v>
      </c>
      <c r="Z7" s="16" t="n">
        <v>1324.45</v>
      </c>
      <c r="AA7" s="16" t="n">
        <v>1324.45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846.51</v>
      </c>
      <c r="R8" s="17" t="n">
        <v>915.5700000000001</v>
      </c>
      <c r="S8" s="16" t="n">
        <v>844.67</v>
      </c>
      <c r="T8" s="16" t="n">
        <v>844.67</v>
      </c>
      <c r="U8" s="16" t="n">
        <v>844.67</v>
      </c>
      <c r="V8" s="16" t="n">
        <v>844.67</v>
      </c>
      <c r="W8" s="11" t="n"/>
      <c r="X8" s="16" t="n">
        <v>844.67</v>
      </c>
      <c r="Y8" s="16" t="n">
        <v>844.67</v>
      </c>
      <c r="Z8" s="16" t="n">
        <v>844.67</v>
      </c>
      <c r="AA8" s="16" t="n">
        <v>844.67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844.67</v>
      </c>
      <c r="R9" s="17" t="n">
        <v>844.67</v>
      </c>
      <c r="S9" s="16" t="n">
        <v>844.67</v>
      </c>
      <c r="T9" s="16" t="n">
        <v>844.67</v>
      </c>
      <c r="U9" s="16" t="n">
        <v>844.67</v>
      </c>
      <c r="V9" s="16" t="n">
        <v>844.67</v>
      </c>
      <c r="W9" s="11" t="n"/>
      <c r="X9" s="16" t="n">
        <v>844.67</v>
      </c>
      <c r="Y9" s="16" t="n">
        <v>844.67</v>
      </c>
      <c r="Z9" s="16" t="n">
        <v>844.67</v>
      </c>
      <c r="AA9" s="16" t="n">
        <v>844.67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1500.06</v>
      </c>
      <c r="R10" s="17" t="n">
        <v>1680.5</v>
      </c>
      <c r="S10" s="16" t="n">
        <v>1482.45</v>
      </c>
      <c r="T10" s="16" t="n">
        <v>1482.45</v>
      </c>
      <c r="U10" s="16" t="n">
        <v>1482.45</v>
      </c>
      <c r="V10" s="16" t="n">
        <v>1482.45</v>
      </c>
      <c r="W10" s="11" t="n"/>
      <c r="X10" s="16" t="n">
        <v>1482.45</v>
      </c>
      <c r="Y10" s="16" t="n">
        <v>1482.45</v>
      </c>
      <c r="Z10" s="16" t="n">
        <v>1482.45</v>
      </c>
      <c r="AA10" s="16" t="n">
        <v>1482.45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1482.45</v>
      </c>
      <c r="R11" s="17" t="n">
        <v>1482.45</v>
      </c>
      <c r="S11" s="16" t="n">
        <v>1482.45</v>
      </c>
      <c r="T11" s="16" t="n">
        <v>1482.45</v>
      </c>
      <c r="U11" s="16" t="n">
        <v>1482.45</v>
      </c>
      <c r="V11" s="16" t="n">
        <v>1482.45</v>
      </c>
      <c r="W11" s="11" t="n"/>
      <c r="X11" s="16" t="n">
        <v>1482.45</v>
      </c>
      <c r="Y11" s="16" t="n">
        <v>1482.45</v>
      </c>
      <c r="Z11" s="16" t="n">
        <v>1482.45</v>
      </c>
      <c r="AA11" s="16" t="n">
        <v>1482.45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199.88</v>
      </c>
      <c r="R12" s="17" t="n">
        <v>213.06</v>
      </c>
      <c r="S12" s="16" t="n">
        <v>198.56</v>
      </c>
      <c r="T12" s="16" t="n">
        <v>198.56</v>
      </c>
      <c r="U12" s="16" t="n">
        <v>198.56</v>
      </c>
      <c r="V12" s="16" t="n">
        <v>198.56</v>
      </c>
      <c r="W12" s="11" t="n"/>
      <c r="X12" s="16" t="n">
        <v>198.56</v>
      </c>
      <c r="Y12" s="16" t="n">
        <v>198.56</v>
      </c>
      <c r="Z12" s="16" t="n">
        <v>198.56</v>
      </c>
      <c r="AA12" s="16" t="n">
        <v>198.56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198.56</v>
      </c>
      <c r="R13" s="17" t="n">
        <v>198.56</v>
      </c>
      <c r="S13" s="16" t="n">
        <v>198.56</v>
      </c>
      <c r="T13" s="16" t="n">
        <v>198.56</v>
      </c>
      <c r="U13" s="16" t="n">
        <v>198.56</v>
      </c>
      <c r="V13" s="16" t="n">
        <v>198.56</v>
      </c>
      <c r="W13" s="11" t="n"/>
      <c r="X13" s="16" t="n">
        <v>198.56</v>
      </c>
      <c r="Y13" s="16" t="n">
        <v>198.56</v>
      </c>
      <c r="Z13" s="16" t="n">
        <v>198.56</v>
      </c>
      <c r="AA13" s="16" t="n">
        <v>198.56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168000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158600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213018.8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0.240489943</v>
      </c>
      <c r="V21" s="24" t="n">
        <v>0.178038322</v>
      </c>
      <c r="W21" s="25" t="n"/>
      <c r="X21" s="24" t="n">
        <v>0.139613728</v>
      </c>
      <c r="Y21" s="24" t="n">
        <v>0.149867234</v>
      </c>
      <c r="Z21" s="24" t="n">
        <v>0.192461384</v>
      </c>
      <c r="AA21" s="24" t="n">
        <v>0.235183042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0.173154584</v>
      </c>
      <c r="V23" s="24" t="n">
        <v>0.173155288</v>
      </c>
      <c r="W23" s="25">
        <f>IFERROR(subQ!W9/subQ!W5,"")</f>
        <v/>
      </c>
      <c r="X23" s="24" t="n">
        <v>0.173155347</v>
      </c>
      <c r="Y23" s="24" t="n">
        <v>0.173155248</v>
      </c>
      <c r="Z23" s="24" t="n">
        <v>0.173155481</v>
      </c>
      <c r="AA23" s="24" t="n">
        <v>0.1731554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-0.00479287</v>
      </c>
      <c r="Q32" s="30" t="n">
        <v>0.003075121</v>
      </c>
      <c r="R32" s="31" t="n"/>
      <c r="S32" s="30" t="n">
        <v>-0.003446762</v>
      </c>
      <c r="T32" s="30" t="n">
        <v>1770.926945739</v>
      </c>
      <c r="U32" s="30" t="n">
        <v>-0.004307238</v>
      </c>
      <c r="V32" s="30" t="n">
        <v>-0.002984224</v>
      </c>
      <c r="W32" s="31" t="n"/>
      <c r="X32" s="30" t="n">
        <v>0.000145303</v>
      </c>
      <c r="Y32" s="30" t="n">
        <v>1770.913013729</v>
      </c>
      <c r="Z32" s="30" t="n">
        <v>0.001044287</v>
      </c>
      <c r="AA32" s="30" t="n">
        <v>0.005336578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-0.00479287</v>
      </c>
      <c r="Q33" s="30" t="n">
        <v>0.003075121</v>
      </c>
      <c r="R33" s="31" t="n"/>
      <c r="S33" s="30" t="n">
        <v>-0.003446762</v>
      </c>
      <c r="T33" s="30" t="n">
        <v>1770.926945739</v>
      </c>
      <c r="U33" s="30" t="n">
        <v>-0.004307238</v>
      </c>
      <c r="V33" s="30" t="n">
        <v>-0.002984224</v>
      </c>
      <c r="W33" s="31" t="n"/>
      <c r="X33" s="30" t="n">
        <v>0.000145303</v>
      </c>
      <c r="Y33" s="30" t="n">
        <v>1770.913013729</v>
      </c>
      <c r="Z33" s="30" t="n">
        <v>0.001044287</v>
      </c>
      <c r="AA33" s="30" t="n">
        <v>0.005336578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0.13549442</v>
      </c>
      <c r="V36" s="24" t="n">
        <v>0.122695759</v>
      </c>
      <c r="W36" s="25" t="n"/>
      <c r="X36" s="24" t="n">
        <v>0.114658554</v>
      </c>
      <c r="Y36" s="24" t="n">
        <v>-0.063407005</v>
      </c>
      <c r="Z36" s="24" t="n">
        <v>0.121986972</v>
      </c>
      <c r="AA36" s="24" t="n">
        <v>0.115589767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168000</v>
      </c>
      <c r="E44" s="2" t="inlineStr">
        <is>
          <t>원 — 네이버 정규장 종가(aik 확정종가 대조 · aik 201,500원)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0.2300014813858174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0.05177170588788548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0.02881982366071963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21.3</v>
      </c>
    </row>
    <row r="32">
      <c r="C32" s="2" t="inlineStr">
        <is>
          <t>pbr_now</t>
        </is>
      </c>
      <c r="D32" t="n">
        <v>8.44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