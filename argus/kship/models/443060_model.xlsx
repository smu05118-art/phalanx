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BS연결!$C$5:$AB$98</definedName>
    <definedName name="BS별도H">BS별도!$C$1:$AB$1</definedName>
    <definedName name="BS별도">BS별도!$C$5:$AB$90</definedName>
    <definedName name="SUBQH">subQ!$A$1:$AB$1</definedName>
    <definedName name="subQ">subQ!$A$5:$AB$40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P15" authorId="0" shapeId="0">
      <text>
        <t>분기 진행 중(partial) — aikstockdata/토스 일봉</t>
      </text>
    </comment>
    <comment ref="P16" authorId="0" shapeId="0">
      <text>
        <t>분기 진행 중(partial) — aikstockdata/토스 일봉</t>
      </text>
    </comment>
    <comment ref="P17" authorId="0" shapeId="0">
      <text>
        <t>분기 진행 중(partial) — aikstockdata/토스 일봉</t>
      </text>
    </comment>
    <comment ref="P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345178억 × 비례계수 0.0670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356867억 × 비례계수 0.0670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367994억 × 비례계수 0.0670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369874억 × 비례계수 0.0670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368061억 × 비례계수 0.0670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364963억 × 비례계수 0.0670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361262억 × 비례계수 0.0670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358040억 × 비례계수 0.0670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352922억 × 비례계수 0.0670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346344억 × 비례계수 0.0670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모델값 역산(implied): v / 매출액
매출액 × 판관비율 5.18%(최근 4분기 중위)</t>
      </text>
    </comment>
    <comment ref="Q22" authorId="0" shapeId="0">
      <text>
        <t>모델값 역산(implied): v / 매출액
매출액 × 판관비율 5.18%(최근 4분기 중위)</t>
      </text>
    </comment>
    <comment ref="S22" authorId="0" shapeId="0">
      <text>
        <t>모델값 역산(implied): v / 매출액
매출액 × 판관비율 5.18%(최근 4분기 중위)</t>
      </text>
    </comment>
    <comment ref="T22" authorId="0" shapeId="0">
      <text>
        <t>모델값 역산(implied): v / 매출액
매출액 × 판관비율 5.18%(최근 4분기 중위)</t>
      </text>
    </comment>
    <comment ref="U22" authorId="0" shapeId="0">
      <text>
        <t>모델값 역산(implied): v / 매출액
매출액 × 판관비율 5.18%(최근 4분기 중위)</t>
      </text>
    </comment>
    <comment ref="V22" authorId="0" shapeId="0">
      <text>
        <t>모델값 역산(implied): v / 매출액
매출액 × 판관비율 5.18%(최근 4분기 중위)</t>
      </text>
    </comment>
    <comment ref="X22" authorId="0" shapeId="0">
      <text>
        <t>모델값 역산(implied): v / 매출액
매출액 × 판관비율 5.18%(최근 4분기 중위)</t>
      </text>
    </comment>
    <comment ref="Y22" authorId="0" shapeId="0">
      <text>
        <t>모델값 역산(implied): v / 매출액
매출액 × 판관비율 5.18%(최근 4분기 중위)</t>
      </text>
    </comment>
    <comment ref="Z22" authorId="0" shapeId="0">
      <text>
        <t>모델값 역산(implied): v / 매출액
매출액 × 판관비율 5.18%(최근 4분기 중위)</t>
      </text>
    </comment>
    <comment ref="AA22" authorId="0" shapeId="0">
      <text>
        <t>모델값 역산(implied): v / 매출액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v / 전년동기 − 1
최근 8분기 OPM 중위 17.3% 유지</t>
      </text>
    </comment>
    <comment ref="Q24" authorId="0" shapeId="0">
      <text>
        <t>모델값 역산(implied): v / 전년동기 − 1
최근 8분기 OPM 중위 17.3% 유지</t>
      </text>
    </comment>
    <comment ref="S24" authorId="0" shapeId="0">
      <text>
        <t>모델값 역산(implied): v / 전년동기 − 1
최근 8분기 OPM 중위 17.3% 유지</t>
      </text>
    </comment>
    <comment ref="T24" authorId="0" shapeId="0">
      <text>
        <t>모델값 역산(implied): v / 전년동기 − 1
최근 8분기 OPM 중위 17.3% 유지</t>
      </text>
    </comment>
    <comment ref="U24" authorId="0" shapeId="0">
      <text>
        <t>모델값 역산(implied): v / 전년동기 − 1
최근 8분기 OPM 중위 17.3% 유지</t>
      </text>
    </comment>
    <comment ref="V24" authorId="0" shapeId="0">
      <text>
        <t>모델값 역산(implied): v / 전년동기 − 1
최근 8분기 OPM 중위 17.3% 유지</t>
      </text>
    </comment>
    <comment ref="X24" authorId="0" shapeId="0">
      <text>
        <t>모델값 역산(implied): v / 전년동기 − 1
최근 8분기 OPM 중위 17.3% 유지</t>
      </text>
    </comment>
    <comment ref="Y24" authorId="0" shapeId="0">
      <text>
        <t>모델값 역산(implied): v / 전년동기 − 1
최근 8분기 OPM 중위 17.3% 유지</t>
      </text>
    </comment>
    <comment ref="Z24" authorId="0" shapeId="0">
      <text>
        <t>모델값 역산(implied): v / 전년동기 − 1
최근 8분기 OPM 중위 17.3% 유지</t>
      </text>
    </comment>
    <comment ref="AA24" authorId="0" shapeId="0">
      <text>
        <t>모델값 역산(implied): v / 전년동기 − 1
최근 8분기 OPM 중위 17.3% 유지</t>
      </text>
    </comment>
    <comment ref="P25" authorId="0" shapeId="0">
      <text>
        <t>모델값 역산(implied): 모델 v 그대로
이자손익 = 이자발생자산 5489억 × 2.93% − 총차입금 0억 × 0.00% (연율, CF 실측) ÷ 4; 환·평가손익 0 가정</t>
      </text>
    </comment>
    <comment ref="Q25" authorId="0" shapeId="0">
      <text>
        <t>모델값 역산(implied): 모델 v 그대로
이자손익 = 이자발생자산 6317억 × 2.93% − 총차입금 0억 × 0.00% (연율, CF 실측) ÷ 4; 환·평가손익 0 가정</t>
      </text>
    </comment>
    <comment ref="S25" authorId="0" shapeId="0">
      <text>
        <t>모델값 역산(implied): 모델 v 그대로
이자손익 = 이자발생자산 7182억 × 2.93% − 총차입금 0억 × 0.00% (연율, CF 실측) ÷ 4; 환·평가손익 0 가정</t>
      </text>
    </comment>
    <comment ref="T25" authorId="0" shapeId="0">
      <text>
        <t>모델값 역산(implied): 모델 v 그대로
이자손익 = 이자발생자산 8028억 × 2.93% − 총차입금 0억 × 0.00% (연율, CF 실측) ÷ 4; 환·평가손익 0 가정</t>
      </text>
    </comment>
    <comment ref="U25" authorId="0" shapeId="0">
      <text>
        <t>모델값 역산(implied): 모델 v 그대로
이자손익 = 이자발생자산 7081억 × 2.93% − 총차입금 0억 × 0.00% (연율, CF 실측) ÷ 4; 환·평가손익 0 가정</t>
      </text>
    </comment>
    <comment ref="V25" authorId="0" shapeId="0">
      <text>
        <t>모델값 역산(implied): 모델 v 그대로
이자손익 = 이자발생자산 7972억 × 2.93% − 총차입금 0억 × 0.00% (연율, CF 실측) ÷ 4; 환·평가손익 0 가정</t>
      </text>
    </comment>
    <comment ref="X25" authorId="0" shapeId="0">
      <text>
        <t>모델값 역산(implied): 모델 v 그대로
이자손익 = 이자발생자산 8865억 × 2.93% − 총차입금 0억 × 0.00% (연율, CF 실측) ÷ 4; 환·평가손익 0 가정</t>
      </text>
    </comment>
    <comment ref="Y25" authorId="0" shapeId="0">
      <text>
        <t>모델값 역산(implied): 모델 v 그대로
이자손익 = 이자발생자산 9705억 × 2.93% − 총차입금 0억 × 0.00% (연율, CF 실측) ÷ 4; 환·평가손익 0 가정</t>
      </text>
    </comment>
    <comment ref="Z25" authorId="0" shapeId="0">
      <text>
        <t>모델값 역산(implied): 모델 v 그대로
이자손익 = 이자발생자산 8743억 × 2.93% − 총차입금 0억 × 0.00% (연율, CF 실측) ÷ 4; 환·평가손익 0 가정</t>
      </text>
    </comment>
    <comment ref="AA25" authorId="0" shapeId="0">
      <text>
        <t>모델값 역산(implied): 모델 v 그대로
이자손익 = 이자발생자산 9608억 × 2.93% − 총차입금 0억 × 0.00% (연율, CF 실측) ÷ 4; 환·평가손익 0 가정</t>
      </text>
    </comment>
    <comment ref="P26" authorId="0" shapeId="0">
      <text>
        <t>모델값 역산(implied): 모델 v 그대로
일회성 미가정 → 0</t>
      </text>
    </comment>
    <comment ref="Q26" authorId="0" shapeId="0">
      <text>
        <t>모델값 역산(implied): 모델 v 그대로
일회성 미가정 → 0</t>
      </text>
    </comment>
    <comment ref="S26" authorId="0" shapeId="0">
      <text>
        <t>모델값 역산(implied): 모델 v 그대로
일회성 미가정 → 0</t>
      </text>
    </comment>
    <comment ref="T26" authorId="0" shapeId="0">
      <text>
        <t>모델값 역산(implied): 모델 v 그대로
일회성 미가정 → 0</t>
      </text>
    </comment>
    <comment ref="U26" authorId="0" shapeId="0">
      <text>
        <t>모델값 역산(implied): 모델 v 그대로
일회성 미가정 → 0</t>
      </text>
    </comment>
    <comment ref="V26" authorId="0" shapeId="0">
      <text>
        <t>모델값 역산(implied): 모델 v 그대로
일회성 미가정 → 0</t>
      </text>
    </comment>
    <comment ref="X26" authorId="0" shapeId="0">
      <text>
        <t>모델값 역산(implied): 모델 v 그대로
일회성 미가정 → 0</t>
      </text>
    </comment>
    <comment ref="Y26" authorId="0" shapeId="0">
      <text>
        <t>모델값 역산(implied): 모델 v 그대로
일회성 미가정 → 0</t>
      </text>
    </comment>
    <comment ref="Z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P27" authorId="0" shapeId="0">
      <text>
        <t>모델값 역산(implied): 모델 v 그대로
최근 4분기 중위</t>
      </text>
    </comment>
    <comment ref="Q27" authorId="0" shapeId="0">
      <text>
        <t>모델값 역산(implied): 모델 v 그대로
최근 4분기 중위</t>
      </text>
    </comment>
    <comment ref="S27" authorId="0" shapeId="0">
      <text>
        <t>모델값 역산(implied): 모델 v 그대로
최근 4분기 중위</t>
      </text>
    </comment>
    <comment ref="T27" authorId="0" shapeId="0">
      <text>
        <t>모델값 역산(implied): 모델 v 그대로
최근 4분기 중위</t>
      </text>
    </comment>
    <comment ref="U27" authorId="0" shapeId="0">
      <text>
        <t>모델값 역산(implied): 모델 v 그대로
최근 4분기 중위</t>
      </text>
    </comment>
    <comment ref="V27" authorId="0" shapeId="0">
      <text>
        <t>모델값 역산(implied): 모델 v 그대로
최근 4분기 중위</t>
      </text>
    </comment>
    <comment ref="X27" authorId="0" shapeId="0">
      <text>
        <t>모델값 역산(implied): 모델 v 그대로
최근 4분기 중위</t>
      </text>
    </comment>
    <comment ref="Y27" authorId="0" shapeId="0">
      <text>
        <t>모델값 역산(implied): 모델 v 그대로
최근 4분기 중위</t>
      </text>
    </comment>
    <comment ref="Z27" authorId="0" shapeId="0">
      <text>
        <t>모델값 역산(implied): 모델 v 그대로
최근 4분기 중위</t>
      </text>
    </comment>
    <comment ref="AA27" authorId="0" shapeId="0">
      <text>
        <t>모델값 역산(implied): 모델 v 그대로
최근 4분기 중위</t>
      </text>
    </comment>
    <comment ref="P28" authorId="0" shapeId="0">
      <text>
        <t>모델값 역산(implied): v / 세전이익
max(세전, 0) × 세율 23.0%(최근 9분기 유효세율 23.0% → 5~27% 클립)</t>
      </text>
    </comment>
    <comment ref="Q28" authorId="0" shapeId="0">
      <text>
        <t>모델값 역산(implied): v / 세전이익
max(세전, 0) × 세율 23.0%(최근 9분기 유효세율 23.0% → 5~27% 클립)</t>
      </text>
    </comment>
    <comment ref="S28" authorId="0" shapeId="0">
      <text>
        <t>모델값 역산(implied): v / 세전이익
max(세전, 0) × 세율 23.0%(최근 9분기 유효세율 23.0% → 5~27% 클립)</t>
      </text>
    </comment>
    <comment ref="T28" authorId="0" shapeId="0">
      <text>
        <t>모델값 역산(implied): v / 세전이익
max(세전, 0) × 세율 23.0%(최근 9분기 유효세율 23.0% → 5~27% 클립)</t>
      </text>
    </comment>
    <comment ref="U28" authorId="0" shapeId="0">
      <text>
        <t>모델값 역산(implied): v / 세전이익
max(세전, 0) × 세율 23.0%(최근 9분기 유효세율 23.0% → 5~27% 클립)</t>
      </text>
    </comment>
    <comment ref="V28" authorId="0" shapeId="0">
      <text>
        <t>모델값 역산(implied): v / 세전이익
max(세전, 0) × 세율 23.0%(최근 9분기 유효세율 23.0% → 5~27% 클립)</t>
      </text>
    </comment>
    <comment ref="X28" authorId="0" shapeId="0">
      <text>
        <t>모델값 역산(implied): v / 세전이익
max(세전, 0) × 세율 23.0%(최근 9분기 유효세율 23.0% → 5~27% 클립)</t>
      </text>
    </comment>
    <comment ref="Y28" authorId="0" shapeId="0">
      <text>
        <t>모델값 역산(implied): v / 세전이익
max(세전, 0) × 세율 23.0%(최근 9분기 유효세율 23.0% → 5~27% 클립)</t>
      </text>
    </comment>
    <comment ref="Z28" authorId="0" shapeId="0">
      <text>
        <t>모델값 역산(implied): v / 세전이익
max(세전, 0) × 세율 23.0%(최근 9분기 유효세율 23.0% → 5~27% 클립)</t>
      </text>
    </comment>
    <comment ref="AA28" authorId="0" shapeId="0">
      <text>
        <t>모델값 역산(implied): v / 세전이익
max(세전, 0) × 세율 23.0%(최근 9분기 유효세율 23.0% → 5~27% 클립)</t>
      </text>
    </comment>
    <comment ref="P29" authorId="0" shapeId="0">
      <text>
        <t>모델값 역산(implied): v / 당기순이익
당기순이익 × (1 − 비지배 비중 0.0%, 최근 8분기 실측)</t>
      </text>
    </comment>
    <comment ref="Q29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당기순이익
당기순이익 × (1 − 비지배 비중 0.0%, 최근 8분기 실측)</t>
      </text>
    </comment>
    <comment ref="T29" authorId="0" shapeId="0">
      <text>
        <t>모델값 역산(implied): v / 당기순이익
당기순이익 × (1 − 비지배 비중 0.0%, 최근 8분기 실측)</t>
      </text>
    </comment>
    <comment ref="U29" authorId="0" shapeId="0">
      <text>
        <t>모델값 역산(implied): v / 당기순이익
당기순이익 × (1 − 비지배 비중 0.0%, 최근 8분기 실측)</t>
      </text>
    </comment>
    <comment ref="V29" authorId="0" shapeId="0">
      <text>
        <t>모델값 역산(implied): v / 당기순이익
당기순이익 × (1 − 비지배 비중 0.0%, 최근 8분기 실측)</t>
      </text>
    </comment>
    <comment ref="X29" authorId="0" shapeId="0">
      <text>
        <t>모델값 역산(implied): v / 당기순이익
당기순이익 × (1 − 비지배 비중 0.0%, 최근 8분기 실측)</t>
      </text>
    </comment>
    <comment ref="Y29" authorId="0" shapeId="0">
      <text>
        <t>모델값 역산(implied): v / 당기순이익
당기순이익 × (1 − 비지배 비중 0.0%, 최근 8분기 실측)</t>
      </text>
    </comment>
    <comment ref="Z29" authorId="0" shapeId="0">
      <text>
        <t>모델값 역산(implied): v / 당기순이익
당기순이익 × (1 − 비지배 비중 0.0%, 최근 8분기 실측)</t>
      </text>
    </comment>
    <comment ref="AA29" authorId="0" shapeId="0">
      <text>
        <t>모델값 역산(implied): v / 당기순이익
당기순이익 × (1 − 비지배 비중 0.0%, 최근 8분기 실측)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X30" authorId="0" shapeId="0">
      <text>
        <t>모델값 역산(implied): v / 전분기 − 1
마지막 실적 유지(가정)</t>
      </text>
    </comment>
    <comment ref="Y30" authorId="0" shapeId="0">
      <text>
        <t>모델값 역산(implied): v / 전분기 − 1
마지막 실적 유지(가정)</t>
      </text>
    </comment>
    <comment ref="Z30" authorId="0" shapeId="0">
      <text>
        <t>모델값 역산(implied): v / 전분기 − 1
마지막 실적 유지(가정)</t>
      </text>
    </comment>
    <comment ref="AA30" authorId="0" shapeId="0">
      <text>
        <t>모델값 역산(implied): v / 전분기 − 1
마지막 실적 유지(가정)</t>
      </text>
    </comment>
    <comment ref="P31" authorId="0" shapeId="0">
      <text>
        <t>모델값 역산(implied): 전분기 + 당기순이익 − v
전분기 + 당기순이익 − 배당(Q2 지급 가정)</t>
      </text>
    </comment>
    <comment ref="Q31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당기순이익 − v
전분기 + 당기순이익 − 배당(Q2 지급 가정)</t>
      </text>
    </comment>
    <comment ref="T31" authorId="0" shapeId="0">
      <text>
        <t>모델값 역산(implied): 전분기 + 당기순이익 − v
전분기 + 당기순이익 − 배당(Q2 지급 가정)</t>
      </text>
    </comment>
    <comment ref="U31" authorId="0" shapeId="0">
      <text>
        <t>모델값 역산(implied): 전분기 + 당기순이익 − v
전분기 + 당기순이익 − 배당(Q2 지급 가정)</t>
      </text>
    </comment>
    <comment ref="V31" authorId="0" shapeId="0">
      <text>
        <t>모델값 역산(implied): 전분기 + 당기순이익 − v
전분기 + 당기순이익 − 배당(Q2 지급 가정)</t>
      </text>
    </comment>
    <comment ref="X31" authorId="0" shapeId="0">
      <text>
        <t>모델값 역산(implied): 전분기 + 당기순이익 − v
전분기 + 당기순이익 − 배당(Q2 지급 가정)</t>
      </text>
    </comment>
    <comment ref="Y31" authorId="0" shapeId="0">
      <text>
        <t>모델값 역산(implied): 전분기 + 당기순이익 − v
전분기 + 당기순이익 − 배당(Q2 지급 가정)</t>
      </text>
    </comment>
    <comment ref="Z31" authorId="0" shapeId="0">
      <text>
        <t>모델값 역산(implied): 전분기 + 당기순이익 − v
전분기 + 당기순이익 − 배당(Q2 지급 가정)</t>
      </text>
    </comment>
    <comment ref="AA31" authorId="0" shapeId="0">
      <text>
        <t>모델값 역산(implied): 전분기 + 당기순이익 − v
전분기 + 당기순이익 − 배당(Q2 지급 가정)</t>
      </text>
    </comment>
    <comment ref="P32" authorId="0" shapeId="0">
      <text>
        <t>모델값 역산(implied): 전분기 + 지배주주순이익 − v
전분기 + 지배주주순이익 − 배당</t>
      </text>
    </comment>
    <comment ref="Q32" authorId="0" shapeId="0">
      <text>
        <t>모델값 역산(implied): 전분기 + 지배주주순이익 − v
전분기 + 지배주주순이익 − 배당</t>
      </text>
    </comment>
    <comment ref="S32" authorId="0" shapeId="0">
      <text>
        <t>모델값 역산(implied): 전분기 + 지배주주순이익 − v
전분기 + 지배주주순이익 − 배당</t>
      </text>
    </comment>
    <comment ref="T32" authorId="0" shapeId="0">
      <text>
        <t>모델값 역산(implied): 전분기 + 지배주주순이익 − v
전분기 + 지배주주순이익 − 배당</t>
      </text>
    </comment>
    <comment ref="U32" authorId="0" shapeId="0">
      <text>
        <t>모델값 역산(implied): 전분기 + 지배주주순이익 − v
전분기 + 지배주주순이익 − 배당</t>
      </text>
    </comment>
    <comment ref="V32" authorId="0" shapeId="0">
      <text>
        <t>모델값 역산(implied): 전분기 + 지배주주순이익 − v
전분기 + 지배주주순이익 − 배당</t>
      </text>
    </comment>
    <comment ref="X32" authorId="0" shapeId="0">
      <text>
        <t>모델값 역산(implied): 전분기 + 지배주주순이익 − v
전분기 + 지배주주순이익 − 배당</t>
      </text>
    </comment>
    <comment ref="Y32" authorId="0" shapeId="0">
      <text>
        <t>모델값 역산(implied): 전분기 + 지배주주순이익 − v
전분기 + 지배주주순이익 − 배당</t>
      </text>
    </comment>
    <comment ref="Z32" authorId="0" shapeId="0">
      <text>
        <t>모델값 역산(implied): 전분기 + 지배주주순이익 − v
전분기 + 지배주주순이익 − 배당</t>
      </text>
    </comment>
    <comment ref="AA32" authorId="0" shapeId="0">
      <text>
        <t>모델값 역산(implied): 전분기 + 지배주주순이익 − v
전분기 + 지배주주순이익 − 배당</t>
      </text>
    </comment>
    <comment ref="P35" authorId="0" shapeId="0">
      <text>
        <t>모델값 역산(implied): v / 전분기 − 1
전분기 + (순이익 − 배당) — 순차입금 롤과 같은 가정</t>
      </text>
    </comment>
    <comment ref="Q35" authorId="0" shapeId="0">
      <text>
        <t>모델값 역산(implied): v / 전분기 − 1
전분기 + (순이익 − 배당) — 순차입금 롤과 같은 가정</t>
      </text>
    </comment>
    <comment ref="S35" authorId="0" shapeId="0">
      <text>
        <t>모델값 역산(implied): v / 전분기 − 1
전분기 + (순이익 − 배당) — 순차입금 롤과 같은 가정</t>
      </text>
    </comment>
    <comment ref="T35" authorId="0" shapeId="0">
      <text>
        <t>모델값 역산(implied): v / 전분기 − 1
전분기 + (순이익 − 배당) — 순차입금 롤과 같은 가정</t>
      </text>
    </comment>
    <comment ref="U35" authorId="0" shapeId="0">
      <text>
        <t>모델값 역산(implied): v / 전분기 − 1
전분기 + (순이익 − 배당) — 순차입금 롤과 같은 가정</t>
      </text>
    </comment>
    <comment ref="V35" authorId="0" shapeId="0">
      <text>
        <t>모델값 역산(implied): v / 전분기 − 1
전분기 + (순이익 − 배당) — 순차입금 롤과 같은 가정</t>
      </text>
    </comment>
    <comment ref="X35" authorId="0" shapeId="0">
      <text>
        <t>모델값 역산(implied): v / 전분기 − 1
전분기 + (순이익 − 배당) — 순차입금 롤과 같은 가정</t>
      </text>
    </comment>
    <comment ref="Y35" authorId="0" shapeId="0">
      <text>
        <t>모델값 역산(implied): v / 전분기 − 1
전분기 + (순이익 − 배당) — 순차입금 롤과 같은 가정</t>
      </text>
    </comment>
    <comment ref="Z35" authorId="0" shapeId="0">
      <text>
        <t>모델값 역산(implied): v / 전분기 − 1
전분기 + (순이익 − 배당) — 순차입금 롤과 같은 가정</t>
      </text>
    </comment>
    <comment ref="AA35" authorId="0" shapeId="0">
      <text>
        <t>모델값 역산(implied): v / 전분기 − 1
전분기 + (순이익 − 배당) — 순차입금 롤과 같은 가정</t>
      </text>
    </comment>
    <comment ref="P39" authorId="0" shapeId="0">
      <text>
        <t>모델값 역산(implied): v / 전분기 − 1
유통주식수 유지 — fin.shares.common_outstanding(2026Q2)</t>
      </text>
    </comment>
    <comment ref="Q39" authorId="0" shapeId="0">
      <text>
        <t>모델값 역산(implied): v / 전분기 − 1
유통주식수 유지 — fin.shares.common_outstanding(2026Q2)</t>
      </text>
    </comment>
    <comment ref="S39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전분기 − 1
유통주식수 유지 — fin.shares.common_outstanding(2026Q2)</t>
      </text>
    </comment>
    <comment ref="U39" authorId="0" shapeId="0">
      <text>
        <t>모델값 역산(implied): v / 전분기 − 1
유통주식수 유지 — fin.shares.common_outstanding(2026Q2)</t>
      </text>
    </comment>
    <comment ref="V39" authorId="0" shapeId="0">
      <text>
        <t>모델값 역산(implied): v / 전분기 − 1
유통주식수 유지 — fin.shares.common_outstanding(2026Q2)</t>
      </text>
    </comment>
    <comment ref="X39" authorId="0" shapeId="0">
      <text>
        <t>모델값 역산(implied): v / 전분기 − 1
유통주식수 유지 — fin.shares.common_outstanding(2026Q2)</t>
      </text>
    </comment>
    <comment ref="Y39" authorId="0" shapeId="0">
      <text>
        <t>모델값 역산(implied): v / 전분기 − 1
유통주식수 유지 — fin.shares.common_outstanding(2026Q2)</t>
      </text>
    </comment>
    <comment ref="Z39" authorId="0" shapeId="0">
      <text>
        <t>모델값 역산(implied): v / 전분기 − 1
유통주식수 유지 — fin.shares.common_outstanding(2026Q2)</t>
      </text>
    </comment>
    <comment ref="AA39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전년동기 − 1
직전 결산 DPS 3,950원 유지</t>
      </text>
    </comment>
    <comment ref="V40" authorId="0" shapeId="0">
      <text>
        <t>모델값 역산(implied): v / 전년동기 − 1
직전 결산 DPS 3,950원 유지</t>
      </text>
    </comment>
    <comment ref="AA40" authorId="0" shapeId="0">
      <text>
        <t>모델값 역산(implied): v / 전년동기 − 1
직전 결산 DPS 3,950원 유지</t>
      </text>
    </comment>
    <comment ref="P41" authorId="0" shapeId="0">
      <text>
        <t>모델값 역산(implied): v / 전년동기 − 1
현재 종가 ÷ TTM EPS(추정 포함)</t>
      </text>
    </comment>
    <comment ref="Q41" authorId="0" shapeId="0">
      <text>
        <t>모델값 역산(implied): v / 전년동기 − 1
현재 종가 ÷ TTM EPS(추정 포함)</t>
      </text>
    </comment>
    <comment ref="S41" authorId="0" shapeId="0">
      <text>
        <t>모델값 역산(implied): v / 전년동기 − 1
현재 종가 ÷ TTM EPS(추정 포함)</t>
      </text>
    </comment>
    <comment ref="T41" authorId="0" shapeId="0">
      <text>
        <t>모델값 역산(implied): v / 전년동기 − 1
현재 종가 ÷ TTM EPS(추정 포함)</t>
      </text>
    </comment>
    <comment ref="U41" authorId="0" shapeId="0">
      <text>
        <t>모델값 역산(implied): v / 전년동기 − 1
현재 종가 ÷ TTM EPS(추정 포함)</t>
      </text>
    </comment>
    <comment ref="V41" authorId="0" shapeId="0">
      <text>
        <t>모델값 역산(implied): v / 전년동기 − 1
현재 종가 ÷ TTM EPS(추정 포함)</t>
      </text>
    </comment>
    <comment ref="X41" authorId="0" shapeId="0">
      <text>
        <t>모델값 역산(implied): v / 전년동기 − 1
현재 종가 ÷ TTM EPS(추정 포함)</t>
      </text>
    </comment>
    <comment ref="Y41" authorId="0" shapeId="0">
      <text>
        <t>모델값 역산(implied): v / 전년동기 − 1
현재 종가 ÷ TTM EPS(추정 포함)</t>
      </text>
    </comment>
    <comment ref="Z41" authorId="0" shapeId="0">
      <text>
        <t>모델값 역산(implied): v / 전년동기 − 1
현재 종가 ÷ TTM EPS(추정 포함)</t>
      </text>
    </comment>
    <comment ref="AA41" authorId="0" shapeId="0">
      <text>
        <t>모델값 역산(implied): v / 전년동기 − 1
현재 종가 ÷ TTM EPS(추정 포함)</t>
      </text>
    </comment>
    <comment ref="P42" authorId="0" shapeId="0">
      <text>
        <t>모델값 역산(implied): v / 전년동기 − 1
현재 종가 ÷ BPS(추정 포함)</t>
      </text>
    </comment>
    <comment ref="Q42" authorId="0" shapeId="0">
      <text>
        <t>모델값 역산(implied): v / 전년동기 − 1
현재 종가 ÷ BPS(추정 포함)</t>
      </text>
    </comment>
    <comment ref="S42" authorId="0" shapeId="0">
      <text>
        <t>모델값 역산(implied): v / 전년동기 − 1
현재 종가 ÷ BPS(추정 포함)</t>
      </text>
    </comment>
    <comment ref="T42" authorId="0" shapeId="0">
      <text>
        <t>모델값 역산(implied): v / 전년동기 − 1
현재 종가 ÷ BPS(추정 포함)</t>
      </text>
    </comment>
    <comment ref="U42" authorId="0" shapeId="0">
      <text>
        <t>모델값 역산(implied): v / 전년동기 − 1
현재 종가 ÷ BPS(추정 포함)</t>
      </text>
    </comment>
    <comment ref="V42" authorId="0" shapeId="0">
      <text>
        <t>모델값 역산(implied): v / 전년동기 − 1
현재 종가 ÷ BPS(추정 포함)</t>
      </text>
    </comment>
    <comment ref="X42" authorId="0" shapeId="0">
      <text>
        <t>모델값 역산(implied): v / 전년동기 − 1
현재 종가 ÷ BPS(추정 포함)</t>
      </text>
    </comment>
    <comment ref="Y42" authorId="0" shapeId="0">
      <text>
        <t>모델값 역산(implied): v / 전년동기 − 1
현재 종가 ÷ BPS(추정 포함)</t>
      </text>
    </comment>
    <comment ref="Z42" authorId="0" shapeId="0">
      <text>
        <t>모델값 역산(implied): v / 전년동기 − 1
현재 종가 ÷ BPS(추정 포함)</t>
      </text>
    </comment>
    <comment ref="AA42" authorId="0" shapeId="0">
      <text>
        <t>모델값 역산(implied): v / 전년동기 − 1
현재 종가 ÷ BPS(추정 포함)</t>
      </text>
    </comment>
    <comment ref="P43" authorId="0" shapeId="0">
      <text>
        <t>모델값 역산(implied): v / 매출액
= 매출액 추정(부문 미분리)</t>
      </text>
    </comment>
    <comment ref="Q43" authorId="0" shapeId="0">
      <text>
        <t>모델값 역산(implied): v / 매출액
= 매출액 추정(부문 미분리)</t>
      </text>
    </comment>
    <comment ref="S43" authorId="0" shapeId="0">
      <text>
        <t>모델값 역산(implied): v / 매출액
= 매출액 추정(부문 미분리)</t>
      </text>
    </comment>
    <comment ref="T43" authorId="0" shapeId="0">
      <text>
        <t>모델값 역산(implied): v / 매출액
= 매출액 추정(부문 미분리)</t>
      </text>
    </comment>
    <comment ref="U43" authorId="0" shapeId="0">
      <text>
        <t>모델값 역산(implied): v / 매출액
= 매출액 추정(부문 미분리)</t>
      </text>
    </comment>
    <comment ref="V43" authorId="0" shapeId="0">
      <text>
        <t>모델값 역산(implied): v / 매출액
= 매출액 추정(부문 미분리)</t>
      </text>
    </comment>
    <comment ref="X43" authorId="0" shapeId="0">
      <text>
        <t>모델값 역산(implied): v / 매출액
= 매출액 추정(부문 미분리)</t>
      </text>
    </comment>
    <comment ref="Y43" authorId="0" shapeId="0">
      <text>
        <t>모델값 역산(implied): v / 매출액
= 매출액 추정(부문 미분리)</t>
      </text>
    </comment>
    <comment ref="Z43" authorId="0" shapeId="0">
      <text>
        <t>모델값 역산(implied): v / 매출액
= 매출액 추정(부문 미분리)</t>
      </text>
    </comment>
    <comment ref="AA43" authorId="0" shapeId="0">
      <text>
        <t>모델값 역산(implied): v / 매출액
= 매출액 추정(부문 미분리)</t>
      </text>
    </comment>
    <comment ref="P44" authorId="0" shapeId="0">
      <text>
        <t>모델값 역산(implied): v / 매출전사
= 매출액 × OPM(부문 미분리)</t>
      </text>
    </comment>
    <comment ref="Q44" authorId="0" shapeId="0">
      <text>
        <t>모델값 역산(implied): v / 매출전사
= 매출액 × OPM(부문 미분리)</t>
      </text>
    </comment>
    <comment ref="S44" authorId="0" shapeId="0">
      <text>
        <t>모델값 역산(implied): v / 매출전사
= 매출액 × OPM(부문 미분리)</t>
      </text>
    </comment>
    <comment ref="T44" authorId="0" shapeId="0">
      <text>
        <t>모델값 역산(implied): v / 매출전사
= 매출액 × OPM(부문 미분리)</t>
      </text>
    </comment>
    <comment ref="U44" authorId="0" shapeId="0">
      <text>
        <t>모델값 역산(implied): v / 매출전사
= 매출액 × OPM(부문 미분리)</t>
      </text>
    </comment>
    <comment ref="V44" authorId="0" shapeId="0">
      <text>
        <t>모델값 역산(implied): v / 매출전사
= 매출액 × OPM(부문 미분리)</t>
      </text>
    </comment>
    <comment ref="X44" authorId="0" shapeId="0">
      <text>
        <t>모델값 역산(implied): v / 매출전사
= 매출액 × OPM(부문 미분리)</t>
      </text>
    </comment>
    <comment ref="Y44" authorId="0" shapeId="0">
      <text>
        <t>모델값 역산(implied): v / 매출전사
= 매출액 × OPM(부문 미분리)</t>
      </text>
    </comment>
    <comment ref="Z44" authorId="0" shapeId="0">
      <text>
        <t>모델값 역산(implied): v / 매출전사
= 매출액 × OPM(부문 미분리)</t>
      </text>
    </comment>
    <comment ref="AA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345178억 × 비례계수 0.0670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356867억 × 비례계수 0.0670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367994억 × 비례계수 0.0670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369874억 × 비례계수 0.0670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368061억 × 비례계수 0.0670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364963억 × 비례계수 0.0670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361262억 × 비례계수 0.0670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358040억 × 비례계수 0.0670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352922억 × 비례계수 0.0670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346344억 × 비례계수 0.0670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P10" authorId="0" shapeId="0">
      <text>
        <t>추정: 최근 8분기 OPM 중위 17.3% 유지
[yoy]</t>
      </text>
    </comment>
    <comment ref="Q10" authorId="0" shapeId="0">
      <text>
        <t>추정: 최근 8분기 OPM 중위 17.3% 유지
[yoy]</t>
      </text>
    </comment>
    <comment ref="S10" authorId="0" shapeId="0">
      <text>
        <t>추정: 최근 8분기 OPM 중위 17.3% 유지
[yoy]</t>
      </text>
    </comment>
    <comment ref="T10" authorId="0" shapeId="0">
      <text>
        <t>추정: 최근 8분기 OPM 중위 17.3% 유지
[yoy]</t>
      </text>
    </comment>
    <comment ref="U10" authorId="0" shapeId="0">
      <text>
        <t>추정: 최근 8분기 OPM 중위 17.3% 유지
[yoy]</t>
      </text>
    </comment>
    <comment ref="V10" authorId="0" shapeId="0">
      <text>
        <t>추정: 최근 8분기 OPM 중위 17.3% 유지
[yoy]</t>
      </text>
    </comment>
    <comment ref="X10" authorId="0" shapeId="0">
      <text>
        <t>추정: 최근 8분기 OPM 중위 17.3% 유지
[yoy]</t>
      </text>
    </comment>
    <comment ref="Y10" authorId="0" shapeId="0">
      <text>
        <t>추정: 최근 8분기 OPM 중위 17.3% 유지
[yoy]</t>
      </text>
    </comment>
    <comment ref="Z10" authorId="0" shapeId="0">
      <text>
        <t>추정: 최근 8분기 OPM 중위 17.3% 유지
[yoy]</t>
      </text>
    </comment>
    <comment ref="AA10" authorId="0" shapeId="0">
      <text>
        <t>추정: 최근 8분기 OPM 중위 17.3% 유지
[yoy]</t>
      </text>
    </comment>
    <comment ref="P11" authorId="0" shapeId="0">
      <text>
        <t>추정: 이자손익 = 이자발생자산 5489억 × 2.93% − 총차입금 0억 × 0.00% (연율, CF 실측) ÷ 4; 환·평가손익 0 가정
[abs]</t>
      </text>
    </comment>
    <comment ref="Q11" authorId="0" shapeId="0">
      <text>
        <t>추정: 이자손익 = 이자발생자산 6317억 × 2.93% − 총차입금 0억 × 0.00% (연율, CF 실측) ÷ 4; 환·평가손익 0 가정
[abs]</t>
      </text>
    </comment>
    <comment ref="S11" authorId="0" shapeId="0">
      <text>
        <t>추정: 이자손익 = 이자발생자산 7182억 × 2.93% − 총차입금 0억 × 0.00% (연율, CF 실측) ÷ 4; 환·평가손익 0 가정
[abs]</t>
      </text>
    </comment>
    <comment ref="T11" authorId="0" shapeId="0">
      <text>
        <t>추정: 이자손익 = 이자발생자산 8028억 × 2.93% − 총차입금 0억 × 0.00% (연율, CF 실측) ÷ 4; 환·평가손익 0 가정
[abs]</t>
      </text>
    </comment>
    <comment ref="U11" authorId="0" shapeId="0">
      <text>
        <t>추정: 이자손익 = 이자발생자산 7081억 × 2.93% − 총차입금 0억 × 0.00% (연율, CF 실측) ÷ 4; 환·평가손익 0 가정
[abs]</t>
      </text>
    </comment>
    <comment ref="V11" authorId="0" shapeId="0">
      <text>
        <t>추정: 이자손익 = 이자발생자산 7972억 × 2.93% − 총차입금 0억 × 0.00% (연율, CF 실측) ÷ 4; 환·평가손익 0 가정
[abs]</t>
      </text>
    </comment>
    <comment ref="X11" authorId="0" shapeId="0">
      <text>
        <t>추정: 이자손익 = 이자발생자산 8865억 × 2.93% − 총차입금 0억 × 0.00% (연율, CF 실측) ÷ 4; 환·평가손익 0 가정
[abs]</t>
      </text>
    </comment>
    <comment ref="Y11" authorId="0" shapeId="0">
      <text>
        <t>추정: 이자손익 = 이자발생자산 9705억 × 2.93% − 총차입금 0억 × 0.00% (연율, CF 실측) ÷ 4; 환·평가손익 0 가정
[abs]</t>
      </text>
    </comment>
    <comment ref="Z11" authorId="0" shapeId="0">
      <text>
        <t>추정: 이자손익 = 이자발생자산 8743억 × 2.93% − 총차입금 0억 × 0.00% (연율, CF 실측) ÷ 4; 환·평가손익 0 가정
[abs]</t>
      </text>
    </comment>
    <comment ref="AA11" authorId="0" shapeId="0">
      <text>
        <t>추정: 이자손익 = 이자발생자산 9608억 × 2.93% − 총차입금 0억 × 0.00% (연율, CF 실측) ÷ 4; 환·평가손익 0 가정
[abs]</t>
      </text>
    </comment>
    <comment ref="P12" authorId="0" shapeId="0">
      <text>
        <t>추정: 일회성 미가정 → 0
[abs]</t>
      </text>
    </comment>
    <comment ref="Q12" authorId="0" shapeId="0">
      <text>
        <t>추정: 일회성 미가정 → 0
[abs]</t>
      </text>
    </comment>
    <comment ref="S12" authorId="0" shapeId="0">
      <text>
        <t>추정: 일회성 미가정 → 0
[abs]</t>
      </text>
    </comment>
    <comment ref="T12" authorId="0" shapeId="0">
      <text>
        <t>추정: 일회성 미가정 → 0
[abs]</t>
      </text>
    </comment>
    <comment ref="U12" authorId="0" shapeId="0">
      <text>
        <t>추정: 일회성 미가정 → 0
[abs]</t>
      </text>
    </comment>
    <comment ref="V12" authorId="0" shapeId="0">
      <text>
        <t>추정: 일회성 미가정 → 0
[abs]</t>
      </text>
    </comment>
    <comment ref="X12" authorId="0" shapeId="0">
      <text>
        <t>추정: 일회성 미가정 → 0
[abs]</t>
      </text>
    </comment>
    <comment ref="Y12" authorId="0" shapeId="0">
      <text>
        <t>추정: 일회성 미가정 → 0
[abs]</t>
      </text>
    </comment>
    <comment ref="Z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P13" authorId="0" shapeId="0">
      <text>
        <t>추정: 최근 4분기 중위
[abs]</t>
      </text>
    </comment>
    <comment ref="Q13" authorId="0" shapeId="0">
      <text>
        <t>추정: 최근 4분기 중위
[abs]</t>
      </text>
    </comment>
    <comment ref="S13" authorId="0" shapeId="0">
      <text>
        <t>추정: 최근 4분기 중위
[abs]</t>
      </text>
    </comment>
    <comment ref="T13" authorId="0" shapeId="0">
      <text>
        <t>추정: 최근 4분기 중위
[abs]</t>
      </text>
    </comment>
    <comment ref="U13" authorId="0" shapeId="0">
      <text>
        <t>추정: 최근 4분기 중위
[abs]</t>
      </text>
    </comment>
    <comment ref="V13" authorId="0" shapeId="0">
      <text>
        <t>추정: 최근 4분기 중위
[abs]</t>
      </text>
    </comment>
    <comment ref="X13" authorId="0" shapeId="0">
      <text>
        <t>추정: 최근 4분기 중위
[abs]</t>
      </text>
    </comment>
    <comment ref="Y13" authorId="0" shapeId="0">
      <text>
        <t>추정: 최근 4분기 중위
[abs]</t>
      </text>
    </comment>
    <comment ref="Z13" authorId="0" shapeId="0">
      <text>
        <t>추정: 최근 4분기 중위
[abs]</t>
      </text>
    </comment>
    <comment ref="AA13" authorId="0" shapeId="0">
      <text>
        <t>추정: 최근 4분기 중위
[abs]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X14" authorId="0" shapeId="0">
      <text>
        <t>추정: 영업이익 + 금융손익 + 기타영업외 + 지분법 + 환관련(항등식)
[identity]</t>
      </text>
    </comment>
    <comment ref="Y14" authorId="0" shapeId="0">
      <text>
        <t>추정: 영업이익 + 금융손익 + 기타영업외 + 지분법 + 환관련(항등식)
[identity]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P15" authorId="0" shapeId="0">
      <text>
        <t>추정: max(세전, 0) × 세율 23.0%(최근 9분기 유효세율 23.0% → 5~27% 클립)
[ratio]</t>
      </text>
    </comment>
    <comment ref="Q15" authorId="0" shapeId="0">
      <text>
        <t>추정: max(세전, 0) × 세율 23.0%(최근 9분기 유효세율 23.0% → 5~27% 클립)
[ratio]</t>
      </text>
    </comment>
    <comment ref="S15" authorId="0" shapeId="0">
      <text>
        <t>추정: max(세전, 0) × 세율 23.0%(최근 9분기 유효세율 23.0% → 5~27% 클립)
[ratio]</t>
      </text>
    </comment>
    <comment ref="T15" authorId="0" shapeId="0">
      <text>
        <t>추정: max(세전, 0) × 세율 23.0%(최근 9분기 유효세율 23.0% → 5~27% 클립)
[ratio]</t>
      </text>
    </comment>
    <comment ref="U15" authorId="0" shapeId="0">
      <text>
        <t>추정: max(세전, 0) × 세율 23.0%(최근 9분기 유효세율 23.0% → 5~27% 클립)
[ratio]</t>
      </text>
    </comment>
    <comment ref="V15" authorId="0" shapeId="0">
      <text>
        <t>추정: max(세전, 0) × 세율 23.0%(최근 9분기 유효세율 23.0% → 5~27% 클립)
[ratio]</t>
      </text>
    </comment>
    <comment ref="X15" authorId="0" shapeId="0">
      <text>
        <t>추정: max(세전, 0) × 세율 23.0%(최근 9분기 유효세율 23.0% → 5~27% 클립)
[ratio]</t>
      </text>
    </comment>
    <comment ref="Y15" authorId="0" shapeId="0">
      <text>
        <t>추정: max(세전, 0) × 세율 23.0%(최근 9분기 유효세율 23.0% → 5~27% 클립)
[ratio]</t>
      </text>
    </comment>
    <comment ref="Z15" authorId="0" shapeId="0">
      <text>
        <t>추정: max(세전, 0) × 세율 23.0%(최근 9분기 유효세율 23.0% → 5~27% 클립)
[ratio]</t>
      </text>
    </comment>
    <comment ref="AA15" authorId="0" shapeId="0">
      <text>
        <t>추정: max(세전, 0) × 세율 23.0%(최근 9분기 유효세율 23.0% → 5~27% 클립)
[ratio]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X16" authorId="0" shapeId="0">
      <text>
        <t>추정: 세전이익 − 법인세비용(항등식)
[identity]</t>
      </text>
    </comment>
    <comment ref="Y16" authorId="0" shapeId="0">
      <text>
        <t>추정: 세전이익 − 법인세비용(항등식)
[identity]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X17" authorId="0" shapeId="0">
      <text>
        <t>추정: 당기순이익 × (1 − 비지배 비중 0.0%, 최근 8분기 실측)
[ratio]</t>
      </text>
    </comment>
    <comment ref="Y17" authorId="0" shapeId="0">
      <text>
        <t>추정: 당기순이익 × (1 − 비지배 비중 0.0%, 최근 8분기 실측)
[ratio]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X18" authorId="0" shapeId="0">
      <text>
        <t>추정: 부채총계 + 자본총계(항등식)
[identity]</t>
      </text>
    </comment>
    <comment ref="Y18" authorId="0" shapeId="0">
      <text>
        <t>추정: 부채총계 + 자본총계(항등식)
[identity]</t>
      </text>
    </comment>
    <comment ref="Z18" authorId="0" shapeId="0">
      <text>
        <t>추정: 부채총계 + 자본총계(항등식)
[identity]</t>
      </text>
    </comment>
    <comment ref="AA18" authorId="0" shapeId="0">
      <text>
        <t>추정: 부채총계 + 자본총계(항등식)
[identity]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X19" authorId="0" shapeId="0">
      <text>
        <t>추정: 마지막 실적 유지(가정)
[qoq]</t>
      </text>
    </comment>
    <comment ref="Y19" authorId="0" shapeId="0">
      <text>
        <t>추정: 마지막 실적 유지(가정)
[qoq]</t>
      </text>
    </comment>
    <comment ref="Z19" authorId="0" shapeId="0">
      <text>
        <t>추정: 마지막 실적 유지(가정)
[qoq]</t>
      </text>
    </comment>
    <comment ref="AA19" authorId="0" shapeId="0">
      <text>
        <t>추정: 마지막 실적 유지(가정)
[qoq]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X20" authorId="0" shapeId="0">
      <text>
        <t>추정: 전분기 + 당기순이익 − 배당(Q2 지급 가정)
[roll]</t>
      </text>
    </comment>
    <comment ref="Y20" authorId="0" shapeId="0">
      <text>
        <t>추정: 전분기 + 당기순이익 − 배당(Q2 지급 가정)
[roll]</t>
      </text>
    </comment>
    <comment ref="Z20" authorId="0" shapeId="0">
      <text>
        <t>추정: 전분기 + 당기순이익 − 배당(Q2 지급 가정)
[roll]</t>
      </text>
    </comment>
    <comment ref="AA20" authorId="0" shapeId="0">
      <text>
        <t>추정: 전분기 + 당기순이익 − 배당(Q2 지급 가정)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X21" authorId="0" shapeId="0">
      <text>
        <t>추정: 전분기 + 지배주주순이익 − 배당
[roll]</t>
      </text>
    </comment>
    <comment ref="Y21" authorId="0" shapeId="0">
      <text>
        <t>추정: 전분기 + 지배주주순이익 − 배당
[roll]</t>
      </text>
    </comment>
    <comment ref="Z21" authorId="0" shapeId="0">
      <text>
        <t>추정: 전분기 + 지배주주순이익 − 배당
[roll]</t>
      </text>
    </comment>
    <comment ref="AA21" authorId="0" shapeId="0">
      <text>
        <t>추정: 전분기 + 지배주주순이익 − 배당
[roll]</t>
      </text>
    </comment>
    <comment ref="P24" authorId="0" shapeId="0">
      <text>
        <t>추정: 전분기 + (순이익 − 배당) — 순차입금 롤과 같은 가정
[qoq]</t>
      </text>
    </comment>
    <comment ref="Q24" authorId="0" shapeId="0">
      <text>
        <t>추정: 전분기 + (순이익 − 배당) — 순차입금 롤과 같은 가정
[qoq]</t>
      </text>
    </comment>
    <comment ref="S24" authorId="0" shapeId="0">
      <text>
        <t>추정: 전분기 + (순이익 − 배당) — 순차입금 롤과 같은 가정
[qoq]</t>
      </text>
    </comment>
    <comment ref="T24" authorId="0" shapeId="0">
      <text>
        <t>추정: 전분기 + (순이익 − 배당) — 순차입금 롤과 같은 가정
[qoq]</t>
      </text>
    </comment>
    <comment ref="U24" authorId="0" shapeId="0">
      <text>
        <t>추정: 전분기 + (순이익 − 배당) — 순차입금 롤과 같은 가정
[qoq]</t>
      </text>
    </comment>
    <comment ref="V24" authorId="0" shapeId="0">
      <text>
        <t>추정: 전분기 + (순이익 − 배당) — 순차입금 롤과 같은 가정
[qoq]</t>
      </text>
    </comment>
    <comment ref="X24" authorId="0" shapeId="0">
      <text>
        <t>추정: 전분기 + (순이익 − 배당) — 순차입금 롤과 같은 가정
[qoq]</t>
      </text>
    </comment>
    <comment ref="Y24" authorId="0" shapeId="0">
      <text>
        <t>추정: 전분기 + (순이익 − 배당) — 순차입금 롤과 같은 가정
[qoq]</t>
      </text>
    </comment>
    <comment ref="Z24" authorId="0" shapeId="0">
      <text>
        <t>추정: 전분기 + (순이익 − 배당) — 순차입금 롤과 같은 가정
[qoq]</t>
      </text>
    </comment>
    <comment ref="AA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F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K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K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X28" authorId="0" shapeId="0">
      <text>
        <t>추정: 유통주식수 유지 — fin.shares.common_outstanding(2026Q2)
[qoq]</t>
      </text>
    </comment>
    <comment ref="Y28" authorId="0" shapeId="0">
      <text>
        <t>추정: 유통주식수 유지 — fin.shares.common_outstanding(2026Q2)
[qoq]</t>
      </text>
    </comment>
    <comment ref="Z28" authorId="0" shapeId="0">
      <text>
        <t>추정: 유통주식수 유지 — fin.shares.common_outstanding(2026Q2)
[qoq]</t>
      </text>
    </comment>
    <comment ref="AA28" authorId="0" shapeId="0">
      <text>
        <t>추정: 유통주식수 유지 — fin.shares.common_outstanding(2026Q2)
[qoq]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X29" authorId="0" shapeId="0">
      <text>
        <t>추정: 지배주주순이익 ÷ 유통주식수
[per_share]</t>
      </text>
    </comment>
    <comment ref="Y29" authorId="0" shapeId="0">
      <text>
        <t>추정: 지배주주순이익 ÷ 유통주식수
[per_share]</t>
      </text>
    </comment>
    <comment ref="Z29" authorId="0" shapeId="0">
      <text>
        <t>추정: 지배주주순이익 ÷ 유통주식수
[per_share]</t>
      </text>
    </comment>
    <comment ref="AA29" authorId="0" shapeId="0">
      <text>
        <t>추정: 지배주주순이익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X30" authorId="0" shapeId="0">
      <text>
        <t>추정: 지배주주지분 ÷ 유통주식수
[per_share]</t>
      </text>
    </comment>
    <comment ref="Y30" authorId="0" shapeId="0">
      <text>
        <t>추정: 지배주주지분 ÷ 유통주식수
[per_share]</t>
      </text>
    </comment>
    <comment ref="Z30" authorId="0" shapeId="0">
      <text>
        <t>추정: 지배주주지분 ÷ 유통주식수
[per_share]</t>
      </text>
    </comment>
    <comment ref="AA30" authorId="0" shapeId="0">
      <text>
        <t>추정: 지배주주지분 ÷ 유통주식수
[per_share]</t>
      </text>
    </comment>
    <comment ref="G31" authorId="0" shapeId="0">
      <text>
        <t>실측(계정 매핑 없음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실측(계정 매핑 없음 — 모델값 직접) — fin.dividend.dps_common(연간, Q4 에 표기)</t>
      </text>
    </comment>
    <comment ref="Q31" authorId="0" shapeId="0">
      <text>
        <t>추정: 직전 결산 DPS 3,950원 유지
[yoy]</t>
      </text>
    </comment>
    <comment ref="V31" authorId="0" shapeId="0">
      <text>
        <t>추정: 직전 결산 DPS 3,950원 유지
[yoy]</t>
      </text>
    </comment>
    <comment ref="AA31" authorId="0" shapeId="0">
      <text>
        <t>추정: 직전 결산 DPS 3,950원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K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P32" authorId="0" shapeId="0">
      <text>
        <t>추정: 현재 종가 ÷ TTM EPS(추정 포함)
[yoy]</t>
      </text>
    </comment>
    <comment ref="Q32" authorId="0" shapeId="0">
      <text>
        <t>추정: 현재 종가 ÷ TTM EPS(추정 포함)
[yoy]</t>
      </text>
    </comment>
    <comment ref="S32" authorId="0" shapeId="0">
      <text>
        <t>추정: 현재 종가 ÷ TTM EPS(추정 포함)
[yoy]</t>
      </text>
    </comment>
    <comment ref="T32" authorId="0" shapeId="0">
      <text>
        <t>추정: 현재 종가 ÷ TTM EPS(추정 포함)
[yoy]</t>
      </text>
    </comment>
    <comment ref="U32" authorId="0" shapeId="0">
      <text>
        <t>추정: 현재 종가 ÷ TTM EPS(추정 포함)
[yoy]</t>
      </text>
    </comment>
    <comment ref="V32" authorId="0" shapeId="0">
      <text>
        <t>추정: 현재 종가 ÷ TTM EPS(추정 포함)
[yoy]</t>
      </text>
    </comment>
    <comment ref="X32" authorId="0" shapeId="0">
      <text>
        <t>추정: 현재 종가 ÷ TTM EPS(추정 포함)
[yoy]</t>
      </text>
    </comment>
    <comment ref="Y32" authorId="0" shapeId="0">
      <text>
        <t>추정: 현재 종가 ÷ TTM EPS(추정 포함)
[yoy]</t>
      </text>
    </comment>
    <comment ref="Z32" authorId="0" shapeId="0">
      <text>
        <t>추정: 현재 종가 ÷ TTM EPS(추정 포함)
[yoy]</t>
      </text>
    </comment>
    <comment ref="AA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연간(actual) — 분기 미완 연도, 모델 a 값 직접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K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P33" authorId="0" shapeId="0">
      <text>
        <t>추정: 현재 종가 ÷ BPS(추정 포함)
[yoy]</t>
      </text>
    </comment>
    <comment ref="Q33" authorId="0" shapeId="0">
      <text>
        <t>추정: 현재 종가 ÷ BPS(추정 포함)
[yoy]</t>
      </text>
    </comment>
    <comment ref="S33" authorId="0" shapeId="0">
      <text>
        <t>추정: 현재 종가 ÷ BPS(추정 포함)
[yoy]</t>
      </text>
    </comment>
    <comment ref="T33" authorId="0" shapeId="0">
      <text>
        <t>추정: 현재 종가 ÷ BPS(추정 포함)
[yoy]</t>
      </text>
    </comment>
    <comment ref="U33" authorId="0" shapeId="0">
      <text>
        <t>추정: 현재 종가 ÷ BPS(추정 포함)
[yoy]</t>
      </text>
    </comment>
    <comment ref="V33" authorId="0" shapeId="0">
      <text>
        <t>추정: 현재 종가 ÷ BPS(추정 포함)
[yoy]</t>
      </text>
    </comment>
    <comment ref="X33" authorId="0" shapeId="0">
      <text>
        <t>추정: 현재 종가 ÷ BPS(추정 포함)
[yoy]</t>
      </text>
    </comment>
    <comment ref="Y33" authorId="0" shapeId="0">
      <text>
        <t>추정: 현재 종가 ÷ BPS(추정 포함)
[yoy]</t>
      </text>
    </comment>
    <comment ref="Z33" authorId="0" shapeId="0">
      <text>
        <t>추정: 현재 종가 ÷ BPS(추정 포함)
[yoy]</t>
      </text>
    </comment>
    <comment ref="AA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F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K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P34" authorId="0" shapeId="0">
      <text>
        <t>추정: = 매출액 추정(부문 미분리)
[ratio]</t>
      </text>
    </comment>
    <comment ref="Q34" authorId="0" shapeId="0">
      <text>
        <t>추정: = 매출액 추정(부문 미분리)
[ratio]</t>
      </text>
    </comment>
    <comment ref="S34" authorId="0" shapeId="0">
      <text>
        <t>추정: = 매출액 추정(부문 미분리)
[ratio]</t>
      </text>
    </comment>
    <comment ref="T34" authorId="0" shapeId="0">
      <text>
        <t>추정: = 매출액 추정(부문 미분리)
[ratio]</t>
      </text>
    </comment>
    <comment ref="U34" authorId="0" shapeId="0">
      <text>
        <t>추정: = 매출액 추정(부문 미분리)
[ratio]</t>
      </text>
    </comment>
    <comment ref="V34" authorId="0" shapeId="0">
      <text>
        <t>추정: = 매출액 추정(부문 미분리)
[ratio]</t>
      </text>
    </comment>
    <comment ref="X34" authorId="0" shapeId="0">
      <text>
        <t>추정: = 매출액 추정(부문 미분리)
[ratio]</t>
      </text>
    </comment>
    <comment ref="Y34" authorId="0" shapeId="0">
      <text>
        <t>추정: = 매출액 추정(부문 미분리)
[ratio]</t>
      </text>
    </comment>
    <comment ref="Z34" authorId="0" shapeId="0">
      <text>
        <t>추정: = 매출액 추정(부문 미분리)
[ratio]</t>
      </text>
    </comment>
    <comment ref="AA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F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K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P35" authorId="0" shapeId="0">
      <text>
        <t>추정: = 매출액 × OPM(부문 미분리)
[ratio]</t>
      </text>
    </comment>
    <comment ref="Q35" authorId="0" shapeId="0">
      <text>
        <t>추정: = 매출액 × OPM(부문 미분리)
[ratio]</t>
      </text>
    </comment>
    <comment ref="S35" authorId="0" shapeId="0">
      <text>
        <t>추정: = 매출액 × OPM(부문 미분리)
[ratio]</t>
      </text>
    </comment>
    <comment ref="T35" authorId="0" shapeId="0">
      <text>
        <t>추정: = 매출액 × OPM(부문 미분리)
[ratio]</t>
      </text>
    </comment>
    <comment ref="U35" authorId="0" shapeId="0">
      <text>
        <t>추정: = 매출액 × OPM(부문 미분리)
[ratio]</t>
      </text>
    </comment>
    <comment ref="V35" authorId="0" shapeId="0">
      <text>
        <t>추정: = 매출액 × OPM(부문 미분리)
[ratio]</t>
      </text>
    </comment>
    <comment ref="X35" authorId="0" shapeId="0">
      <text>
        <t>추정: = 매출액 × OPM(부문 미분리)
[ratio]</t>
      </text>
    </comment>
    <comment ref="Y35" authorId="0" shapeId="0">
      <text>
        <t>추정: = 매출액 × OPM(부문 미분리)
[ratio]</t>
      </text>
    </comment>
    <comment ref="Z35" authorId="0" shapeId="0">
      <text>
        <t>추정: = 매출액 × OPM(부문 미분리)
[ratio]</t>
      </text>
    </comment>
    <comment ref="AA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assets/models/443060.json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5.9, "op_wape_pct": 3.8,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5296.46, "rev_act": 5131.76, "op_pred": 905.36, "op_act": 935.96}, {"q": "2025Q4", "rev_pred": 5280.5, "rev_act": 5162.05, "op_pred": 902.64, "op_act": 905.28}, {"q": "2026Q1", "rev_pred": 5280.5, "rev_act": 5746.09, "op_pred": 902.64, "op_act": 933.94}, {"q": "2026Q2", "rev_pred": 5261.21, "rev_act": 5804.14, "op_pred": 899.34,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1419.72</v>
      </c>
      <c r="Q6" s="16" t="n">
        <v>1353.36</v>
      </c>
      <c r="R6" s="17" t="n">
        <v>1461.87</v>
      </c>
      <c r="S6" s="16" t="n">
        <v>1353.36</v>
      </c>
      <c r="T6" s="16" t="n">
        <v>1353.36</v>
      </c>
      <c r="U6" s="16" t="n">
        <v>1353.36</v>
      </c>
      <c r="V6" s="16" t="n">
        <v>1353.36</v>
      </c>
      <c r="W6" s="11" t="n"/>
      <c r="X6" s="16" t="n">
        <v>1353.36</v>
      </c>
      <c r="Y6" s="16" t="n">
        <v>1353.36</v>
      </c>
      <c r="Z6" s="16" t="n">
        <v>1353.36</v>
      </c>
      <c r="AA6" s="16" t="n">
        <v>1353.36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1353.36</v>
      </c>
      <c r="Q7" s="16" t="n">
        <v>1353.36</v>
      </c>
      <c r="R7" s="17" t="n">
        <v>1353.36</v>
      </c>
      <c r="S7" s="16" t="n">
        <v>1353.36</v>
      </c>
      <c r="T7" s="16" t="n">
        <v>1353.36</v>
      </c>
      <c r="U7" s="16" t="n">
        <v>1353.36</v>
      </c>
      <c r="V7" s="16" t="n">
        <v>1353.36</v>
      </c>
      <c r="W7" s="11" t="n"/>
      <c r="X7" s="16" t="n">
        <v>1353.36</v>
      </c>
      <c r="Y7" s="16" t="n">
        <v>1353.36</v>
      </c>
      <c r="Z7" s="16" t="n">
        <v>1353.36</v>
      </c>
      <c r="AA7" s="16" t="n">
        <v>1353.36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890.83</v>
      </c>
      <c r="Q8" s="16" t="n">
        <v>861.35</v>
      </c>
      <c r="R8" s="17" t="n">
        <v>922.02</v>
      </c>
      <c r="S8" s="16" t="n">
        <v>861.35</v>
      </c>
      <c r="T8" s="16" t="n">
        <v>861.35</v>
      </c>
      <c r="U8" s="16" t="n">
        <v>861.35</v>
      </c>
      <c r="V8" s="16" t="n">
        <v>861.35</v>
      </c>
      <c r="W8" s="11" t="n"/>
      <c r="X8" s="16" t="n">
        <v>861.35</v>
      </c>
      <c r="Y8" s="16" t="n">
        <v>861.35</v>
      </c>
      <c r="Z8" s="16" t="n">
        <v>861.35</v>
      </c>
      <c r="AA8" s="16" t="n">
        <v>861.35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861.35</v>
      </c>
      <c r="Q9" s="16" t="n">
        <v>861.35</v>
      </c>
      <c r="R9" s="17" t="n">
        <v>861.35</v>
      </c>
      <c r="S9" s="16" t="n">
        <v>861.35</v>
      </c>
      <c r="T9" s="16" t="n">
        <v>861.35</v>
      </c>
      <c r="U9" s="16" t="n">
        <v>861.35</v>
      </c>
      <c r="V9" s="16" t="n">
        <v>861.35</v>
      </c>
      <c r="W9" s="11" t="n"/>
      <c r="X9" s="16" t="n">
        <v>861.35</v>
      </c>
      <c r="Y9" s="16" t="n">
        <v>861.35</v>
      </c>
      <c r="Z9" s="16" t="n">
        <v>861.35</v>
      </c>
      <c r="AA9" s="16" t="n">
        <v>861.35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1633.4</v>
      </c>
      <c r="Q10" s="16" t="n">
        <v>1536.74</v>
      </c>
      <c r="R10" s="17" t="n">
        <v>1697.39</v>
      </c>
      <c r="S10" s="16" t="n">
        <v>1536.74</v>
      </c>
      <c r="T10" s="16" t="n">
        <v>1536.74</v>
      </c>
      <c r="U10" s="16" t="n">
        <v>1536.74</v>
      </c>
      <c r="V10" s="16" t="n">
        <v>1536.74</v>
      </c>
      <c r="W10" s="11" t="n"/>
      <c r="X10" s="16" t="n">
        <v>1536.74</v>
      </c>
      <c r="Y10" s="16" t="n">
        <v>1536.74</v>
      </c>
      <c r="Z10" s="16" t="n">
        <v>1536.74</v>
      </c>
      <c r="AA10" s="16" t="n">
        <v>1536.74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1536.74</v>
      </c>
      <c r="Q11" s="16" t="n">
        <v>1536.74</v>
      </c>
      <c r="R11" s="17" t="n">
        <v>1536.74</v>
      </c>
      <c r="S11" s="16" t="n">
        <v>1536.74</v>
      </c>
      <c r="T11" s="16" t="n">
        <v>1536.74</v>
      </c>
      <c r="U11" s="16" t="n">
        <v>1536.74</v>
      </c>
      <c r="V11" s="16" t="n">
        <v>1536.74</v>
      </c>
      <c r="W11" s="11" t="n"/>
      <c r="X11" s="16" t="n">
        <v>1536.74</v>
      </c>
      <c r="Y11" s="16" t="n">
        <v>1536.74</v>
      </c>
      <c r="Z11" s="16" t="n">
        <v>1536.74</v>
      </c>
      <c r="AA11" s="16" t="n">
        <v>1536.74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210.55</v>
      </c>
      <c r="Q12" s="16" t="n">
        <v>201.89</v>
      </c>
      <c r="R12" s="17" t="n">
        <v>214.29</v>
      </c>
      <c r="S12" s="16" t="n">
        <v>201.89</v>
      </c>
      <c r="T12" s="16" t="n">
        <v>201.89</v>
      </c>
      <c r="U12" s="16" t="n">
        <v>201.89</v>
      </c>
      <c r="V12" s="16" t="n">
        <v>201.89</v>
      </c>
      <c r="W12" s="11" t="n"/>
      <c r="X12" s="16" t="n">
        <v>201.89</v>
      </c>
      <c r="Y12" s="16" t="n">
        <v>201.89</v>
      </c>
      <c r="Z12" s="16" t="n">
        <v>201.89</v>
      </c>
      <c r="AA12" s="16" t="n">
        <v>201.89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201.89</v>
      </c>
      <c r="Q13" s="16" t="n">
        <v>201.89</v>
      </c>
      <c r="R13" s="17" t="n">
        <v>201.89</v>
      </c>
      <c r="S13" s="16" t="n">
        <v>201.89</v>
      </c>
      <c r="T13" s="16" t="n">
        <v>201.89</v>
      </c>
      <c r="U13" s="16" t="n">
        <v>201.89</v>
      </c>
      <c r="V13" s="16" t="n">
        <v>201.89</v>
      </c>
      <c r="W13" s="11" t="n"/>
      <c r="X13" s="16" t="n">
        <v>201.89</v>
      </c>
      <c r="Y13" s="16" t="n">
        <v>201.89</v>
      </c>
      <c r="Z13" s="16" t="n">
        <v>201.89</v>
      </c>
      <c r="AA13" s="16" t="n">
        <v>201.89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133900</v>
      </c>
      <c r="J15" s="18" t="n">
        <v>206000</v>
      </c>
      <c r="K15" s="18" t="n">
        <v>209000</v>
      </c>
      <c r="L15" s="18" t="n">
        <v>193000</v>
      </c>
      <c r="M15" s="9" t="n"/>
      <c r="N15" s="18" t="n">
        <v>178600</v>
      </c>
      <c r="O15" s="19" t="n">
        <v>223500</v>
      </c>
      <c r="P15" s="20" t="n">
        <v>237500</v>
      </c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260000</v>
      </c>
      <c r="M16" s="9" t="n"/>
      <c r="N16" s="18" t="n">
        <v>202000</v>
      </c>
      <c r="O16" s="19" t="n">
        <v>290500</v>
      </c>
      <c r="P16" s="20" t="n">
        <v>256500</v>
      </c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172900</v>
      </c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154943.1</v>
      </c>
      <c r="J18" s="18" t="n">
        <v>171970</v>
      </c>
      <c r="K18" s="18" t="n">
        <v>199470.8</v>
      </c>
      <c r="L18" s="18" t="n">
        <v>213669.5</v>
      </c>
      <c r="M18" s="9" t="n"/>
      <c r="N18" s="18" t="n">
        <v>180593.2</v>
      </c>
      <c r="O18" s="19" t="n">
        <v>223159</v>
      </c>
      <c r="P18" s="20" t="n">
        <v>209317.7</v>
      </c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0.166436</v>
      </c>
      <c r="Q21" s="24" t="n">
        <v>0.205937</v>
      </c>
      <c r="R21" s="25" t="n"/>
      <c r="S21" s="24" t="n">
        <v>0.050903</v>
      </c>
      <c r="T21" s="24" t="n">
        <v>0.007212</v>
      </c>
      <c r="U21" s="24" t="n">
        <v>0.066291</v>
      </c>
      <c r="V21" s="24" t="n">
        <v>0.022684</v>
      </c>
      <c r="W21" s="25" t="n"/>
      <c r="X21" s="24" t="n">
        <v>-0.018294</v>
      </c>
      <c r="Y21" s="24" t="n">
        <v>-0.031993</v>
      </c>
      <c r="Z21" s="24" t="n">
        <v>-0.04113</v>
      </c>
      <c r="AA21" s="24" t="n">
        <v>-0.051014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4" t="n">
        <v>0.051772</v>
      </c>
      <c r="Q22" s="24" t="n">
        <v>0.051773</v>
      </c>
      <c r="R22" s="25">
        <f>IFERROR(subQ!R8/subQ!R5,"")</f>
        <v/>
      </c>
      <c r="S22" s="24" t="n">
        <v>0.051772</v>
      </c>
      <c r="T22" s="24" t="n">
        <v>0.051772</v>
      </c>
      <c r="U22" s="24" t="n">
        <v>0.051771</v>
      </c>
      <c r="V22" s="24" t="n">
        <v>0.051772</v>
      </c>
      <c r="W22" s="25">
        <f>IFERROR(subQ!W8/subQ!W5,"")</f>
        <v/>
      </c>
      <c r="X22" s="24" t="n">
        <v>0.051772</v>
      </c>
      <c r="Y22" s="24" t="n">
        <v>0.051773</v>
      </c>
      <c r="Z22" s="24" t="n">
        <v>0.051772</v>
      </c>
      <c r="AA22" s="24" t="n">
        <v>0.051771</v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0.173154</v>
      </c>
      <c r="Q23" s="24" t="n">
        <v>0.173155</v>
      </c>
      <c r="R23" s="25">
        <f>IFERROR(subQ!R9/subQ!R5,"")</f>
        <v/>
      </c>
      <c r="S23" s="24" t="n">
        <v>0.173155</v>
      </c>
      <c r="T23" s="24" t="n">
        <v>0.173154</v>
      </c>
      <c r="U23" s="24" t="n">
        <v>0.173155</v>
      </c>
      <c r="V23" s="24" t="n">
        <v>0.173155</v>
      </c>
      <c r="W23" s="25">
        <f>IFERROR(subQ!W9/subQ!W5,"")</f>
        <v/>
      </c>
      <c r="X23" s="24" t="n">
        <v>0.173155</v>
      </c>
      <c r="Y23" s="24" t="n">
        <v>0.173155</v>
      </c>
      <c r="Z23" s="24" t="n">
        <v>0.173156</v>
      </c>
      <c r="AA23" s="24" t="n">
        <v>0.173154</v>
      </c>
      <c r="AB23" s="25">
        <f>IFERROR(subQ!AB9/subQ!AB5,"")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1">
        <f>IFERROR(subQ!J37/subQ!E37-1,"")</f>
        <v/>
      </c>
      <c r="K24" s="21">
        <f>IFERROR(subQ!K37/subQ!F37-1,"")</f>
        <v/>
      </c>
      <c r="L24" s="21">
        <f>IFERROR(subQ!L37/subQ!G37-1,"")</f>
        <v/>
      </c>
      <c r="M24" s="22" t="n"/>
      <c r="N24" s="21">
        <f>IFERROR(subQ!N37/subQ!I37-1,"")</f>
        <v/>
      </c>
      <c r="O24" s="23">
        <f>IFERROR(subQ!O37/subQ!J37-1,"")</f>
        <v/>
      </c>
      <c r="P24" s="24" t="n">
        <v>-0.050439</v>
      </c>
      <c r="Q24" s="24" t="n">
        <v>-0.012543</v>
      </c>
      <c r="R24" s="25" t="n"/>
      <c r="S24" s="24" t="n">
        <v>0.065846</v>
      </c>
      <c r="T24" s="24" t="n">
        <v>0.029727</v>
      </c>
      <c r="U24" s="24" t="n">
        <v>0</v>
      </c>
      <c r="V24" s="24" t="n">
        <v>0</v>
      </c>
      <c r="W24" s="25" t="n"/>
      <c r="X24" s="24" t="n">
        <v>0</v>
      </c>
      <c r="Y24" s="24" t="n">
        <v>0</v>
      </c>
      <c r="Z24" s="24" t="n">
        <v>0</v>
      </c>
      <c r="AA24" s="24" t="n">
        <v>0</v>
      </c>
      <c r="AB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6">
        <f>subQ!J11</f>
        <v/>
      </c>
      <c r="K25" s="26">
        <f>subQ!K11</f>
        <v/>
      </c>
      <c r="L25" s="26">
        <f>subQ!L11</f>
        <v/>
      </c>
      <c r="M25" s="27">
        <f>subQ!M11</f>
        <v/>
      </c>
      <c r="N25" s="26">
        <f>subQ!N11</f>
        <v/>
      </c>
      <c r="O25" s="28">
        <f>subQ!O11</f>
        <v/>
      </c>
      <c r="P25" s="29" t="n">
        <v>40.21</v>
      </c>
      <c r="Q25" s="29" t="n">
        <v>46.28</v>
      </c>
      <c r="R25" s="30">
        <f>subQ!R11</f>
        <v/>
      </c>
      <c r="S25" s="29" t="n">
        <v>52.62</v>
      </c>
      <c r="T25" s="29" t="n">
        <v>58.81</v>
      </c>
      <c r="U25" s="29" t="n">
        <v>51.88</v>
      </c>
      <c r="V25" s="29" t="n">
        <v>58.4</v>
      </c>
      <c r="W25" s="30">
        <f>subQ!W11</f>
        <v/>
      </c>
      <c r="X25" s="29" t="n">
        <v>64.95</v>
      </c>
      <c r="Y25" s="29" t="n">
        <v>71.09999999999999</v>
      </c>
      <c r="Z25" s="29" t="n">
        <v>64.05</v>
      </c>
      <c r="AA25" s="29" t="n">
        <v>70.39</v>
      </c>
      <c r="AB25" s="30">
        <f>subQ!AB11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6">
        <f>subQ!J12</f>
        <v/>
      </c>
      <c r="K26" s="26">
        <f>subQ!K12</f>
        <v/>
      </c>
      <c r="L26" s="26">
        <f>subQ!L12</f>
        <v/>
      </c>
      <c r="M26" s="27">
        <f>subQ!M12</f>
        <v/>
      </c>
      <c r="N26" s="26">
        <f>subQ!N12</f>
        <v/>
      </c>
      <c r="O26" s="28">
        <f>subQ!O12</f>
        <v/>
      </c>
      <c r="P26" s="29" t="n">
        <v>0</v>
      </c>
      <c r="Q26" s="29" t="n">
        <v>0</v>
      </c>
      <c r="R26" s="30">
        <f>subQ!R12</f>
        <v/>
      </c>
      <c r="S26" s="29" t="n">
        <v>0</v>
      </c>
      <c r="T26" s="29" t="n">
        <v>0</v>
      </c>
      <c r="U26" s="29" t="n">
        <v>0</v>
      </c>
      <c r="V26" s="29" t="n">
        <v>0</v>
      </c>
      <c r="W26" s="30">
        <f>subQ!W12</f>
        <v/>
      </c>
      <c r="X26" s="29" t="n">
        <v>0</v>
      </c>
      <c r="Y26" s="29" t="n">
        <v>0</v>
      </c>
      <c r="Z26" s="29" t="n">
        <v>0</v>
      </c>
      <c r="AA26" s="29" t="n">
        <v>0</v>
      </c>
      <c r="AB26" s="30">
        <f>subQ!AB12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6">
        <f>subQ!F13</f>
        <v/>
      </c>
      <c r="G27" s="26">
        <f>subQ!G13</f>
        <v/>
      </c>
      <c r="H27" s="27">
        <f>subQ!H13</f>
        <v/>
      </c>
      <c r="I27" s="26">
        <f>subQ!I13</f>
        <v/>
      </c>
      <c r="J27" s="26">
        <f>subQ!J13</f>
        <v/>
      </c>
      <c r="K27" s="26">
        <f>subQ!K13</f>
        <v/>
      </c>
      <c r="L27" s="26">
        <f>subQ!L13</f>
        <v/>
      </c>
      <c r="M27" s="27">
        <f>subQ!M13</f>
        <v/>
      </c>
      <c r="N27" s="26">
        <f>subQ!N13</f>
        <v/>
      </c>
      <c r="O27" s="28">
        <f>subQ!O13</f>
        <v/>
      </c>
      <c r="P27" s="29" t="n">
        <v>-0.52</v>
      </c>
      <c r="Q27" s="29" t="n">
        <v>-0.52</v>
      </c>
      <c r="R27" s="30">
        <f>subQ!R13</f>
        <v/>
      </c>
      <c r="S27" s="29" t="n">
        <v>-0.52</v>
      </c>
      <c r="T27" s="29" t="n">
        <v>-0.52</v>
      </c>
      <c r="U27" s="29" t="n">
        <v>-0.52</v>
      </c>
      <c r="V27" s="29" t="n">
        <v>-0.52</v>
      </c>
      <c r="W27" s="30">
        <f>subQ!W13</f>
        <v/>
      </c>
      <c r="X27" s="29" t="n">
        <v>-0.52</v>
      </c>
      <c r="Y27" s="29" t="n">
        <v>-0.52</v>
      </c>
      <c r="Z27" s="29" t="n">
        <v>-0.52</v>
      </c>
      <c r="AA27" s="29" t="n">
        <v>-0.52</v>
      </c>
      <c r="AB27" s="30">
        <f>subQ!AB13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1">
        <f>IFERROR(subQ!F15/subQ!F14,"")</f>
        <v/>
      </c>
      <c r="G28" s="21">
        <f>IFERROR(subQ!G15/subQ!G14,"")</f>
        <v/>
      </c>
      <c r="H28" s="22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1">
        <f>IFERROR(subQ!K15/subQ!K14,"")</f>
        <v/>
      </c>
      <c r="L28" s="21">
        <f>IFERROR(subQ!L15/subQ!L14,"")</f>
        <v/>
      </c>
      <c r="M28" s="22">
        <f>IFERROR(subQ!M15/subQ!M14,"")</f>
        <v/>
      </c>
      <c r="N28" s="21">
        <f>IFERROR(subQ!N15/subQ!N14,"")</f>
        <v/>
      </c>
      <c r="O28" s="23">
        <f>IFERROR(subQ!O15/subQ!O14,"")</f>
        <v/>
      </c>
      <c r="P28" s="24" t="n">
        <v>0.230001</v>
      </c>
      <c r="Q28" s="24" t="n">
        <v>0.230005</v>
      </c>
      <c r="R28" s="25">
        <f>IFERROR(subQ!R15/subQ!R14,"")</f>
        <v/>
      </c>
      <c r="S28" s="24" t="n">
        <v>0.229997</v>
      </c>
      <c r="T28" s="24" t="n">
        <v>0.230001</v>
      </c>
      <c r="U28" s="24" t="n">
        <v>0.230003</v>
      </c>
      <c r="V28" s="24" t="n">
        <v>0.230004</v>
      </c>
      <c r="W28" s="25">
        <f>IFERROR(subQ!W15/subQ!W14,"")</f>
        <v/>
      </c>
      <c r="X28" s="24" t="n">
        <v>0.230001</v>
      </c>
      <c r="Y28" s="24" t="n">
        <v>0.230004</v>
      </c>
      <c r="Z28" s="24" t="n">
        <v>0.229998</v>
      </c>
      <c r="AA28" s="24" t="n">
        <v>0.230002</v>
      </c>
      <c r="AB28" s="25">
        <f>IFERROR(subQ!AB15/subQ!AB14,"")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1">
        <f>IFERROR(subQ!F17/subQ!F16,"")</f>
        <v/>
      </c>
      <c r="G29" s="21">
        <f>IFERROR(subQ!G17/subQ!G16,"")</f>
        <v/>
      </c>
      <c r="H29" s="22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1">
        <f>IFERROR(subQ!K17/subQ!K16,"")</f>
        <v/>
      </c>
      <c r="L29" s="21">
        <f>IFERROR(subQ!L17/subQ!L16,"")</f>
        <v/>
      </c>
      <c r="M29" s="22">
        <f>IFERROR(subQ!M17/subQ!M16,"")</f>
        <v/>
      </c>
      <c r="N29" s="21">
        <f>IFERROR(subQ!N17/subQ!N16,"")</f>
        <v/>
      </c>
      <c r="O29" s="23">
        <f>IFERROR(subQ!O17/subQ!O16,"")</f>
        <v/>
      </c>
      <c r="P29" s="24" t="n">
        <v>1</v>
      </c>
      <c r="Q29" s="24" t="n">
        <v>1</v>
      </c>
      <c r="R29" s="25">
        <f>IFERROR(subQ!R17/subQ!R16,"")</f>
        <v/>
      </c>
      <c r="S29" s="24" t="n">
        <v>1</v>
      </c>
      <c r="T29" s="24" t="n">
        <v>1</v>
      </c>
      <c r="U29" s="24" t="n">
        <v>1</v>
      </c>
      <c r="V29" s="24" t="n">
        <v>1</v>
      </c>
      <c r="W29" s="25">
        <f>IFERROR(subQ!W17/subQ!W16,"")</f>
        <v/>
      </c>
      <c r="X29" s="24" t="n">
        <v>1</v>
      </c>
      <c r="Y29" s="24" t="n">
        <v>1</v>
      </c>
      <c r="Z29" s="24" t="n">
        <v>1</v>
      </c>
      <c r="AA29" s="24" t="n">
        <v>1</v>
      </c>
      <c r="AB29" s="25">
        <f>IFERROR(subQ!AB17/subQ!AB16,"")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1">
        <f>IFERROR(subQ!F19/subQ!E19-1,"")</f>
        <v/>
      </c>
      <c r="G30" s="21">
        <f>IFERROR(subQ!G19/subQ!F19-1,"")</f>
        <v/>
      </c>
      <c r="H30" s="22" t="n"/>
      <c r="I30" s="21">
        <f>IFERROR(subQ!I19/subQ!G19-1,"")</f>
        <v/>
      </c>
      <c r="J30" s="21">
        <f>IFERROR(subQ!J19/subQ!I19-1,"")</f>
        <v/>
      </c>
      <c r="K30" s="21">
        <f>IFERROR(subQ!K19/subQ!J19-1,"")</f>
        <v/>
      </c>
      <c r="L30" s="21">
        <f>IFERROR(subQ!L19/subQ!K19-1,"")</f>
        <v/>
      </c>
      <c r="M30" s="22" t="n"/>
      <c r="N30" s="21">
        <f>IFERROR(subQ!N19/subQ!L19-1,"")</f>
        <v/>
      </c>
      <c r="O30" s="23">
        <f>IFERROR(subQ!O19/subQ!N19-1,"")</f>
        <v/>
      </c>
      <c r="P30" s="24" t="n">
        <v>-0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  <c r="X30" s="24" t="n">
        <v>0</v>
      </c>
      <c r="Y30" s="24" t="n">
        <v>0</v>
      </c>
      <c r="Z30" s="24" t="n">
        <v>0</v>
      </c>
      <c r="AA30" s="24" t="n">
        <v>0</v>
      </c>
      <c r="AB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6">
        <f>IFERROR(subQ!E20+subQ!F16-subQ!F20,"")</f>
        <v/>
      </c>
      <c r="G31" s="26">
        <f>IFERROR(subQ!F20+subQ!G16-subQ!G20,"")</f>
        <v/>
      </c>
      <c r="H31" s="27" t="n"/>
      <c r="I31" s="26">
        <f>IFERROR(subQ!G20+subQ!I16-subQ!I20,"")</f>
        <v/>
      </c>
      <c r="J31" s="26">
        <f>IFERROR(subQ!I20+subQ!J16-subQ!J20,"")</f>
        <v/>
      </c>
      <c r="K31" s="26">
        <f>IFERROR(subQ!J20+subQ!K16-subQ!K20,"")</f>
        <v/>
      </c>
      <c r="L31" s="26">
        <f>IFERROR(subQ!K20+subQ!L16-subQ!L20,"")</f>
        <v/>
      </c>
      <c r="M31" s="27" t="n"/>
      <c r="N31" s="26">
        <f>IFERROR(subQ!L20+subQ!N16-subQ!N20,"")</f>
        <v/>
      </c>
      <c r="O31" s="28">
        <f>IFERROR(subQ!N20+subQ!O16-subQ!O20,"")</f>
        <v/>
      </c>
      <c r="P31" s="29" t="n">
        <v>-0.0036</v>
      </c>
      <c r="Q31" s="29" t="n">
        <v>0</v>
      </c>
      <c r="R31" s="30" t="n"/>
      <c r="S31" s="29" t="n">
        <v>0.01</v>
      </c>
      <c r="T31" s="29" t="n">
        <v>1770.92</v>
      </c>
      <c r="U31" s="29" t="n">
        <v>0</v>
      </c>
      <c r="V31" s="29" t="n">
        <v>-0</v>
      </c>
      <c r="W31" s="30" t="n"/>
      <c r="X31" s="29" t="n">
        <v>0</v>
      </c>
      <c r="Y31" s="29" t="n">
        <v>1770.92</v>
      </c>
      <c r="Z31" s="29" t="n">
        <v>0.01</v>
      </c>
      <c r="AA31" s="29" t="n">
        <v>-0.01</v>
      </c>
      <c r="AB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6">
        <f>IFERROR(subQ!E21+subQ!F17-subQ!F21,"")</f>
        <v/>
      </c>
      <c r="G32" s="26">
        <f>IFERROR(subQ!F21+subQ!G17-subQ!G21,"")</f>
        <v/>
      </c>
      <c r="H32" s="27" t="n"/>
      <c r="I32" s="26">
        <f>IFERROR(subQ!G21+subQ!I17-subQ!I21,"")</f>
        <v/>
      </c>
      <c r="J32" s="26">
        <f>IFERROR(subQ!I21+subQ!J17-subQ!J21,"")</f>
        <v/>
      </c>
      <c r="K32" s="26">
        <f>IFERROR(subQ!J21+subQ!K17-subQ!K21,"")</f>
        <v/>
      </c>
      <c r="L32" s="26">
        <f>IFERROR(subQ!K21+subQ!L17-subQ!L21,"")</f>
        <v/>
      </c>
      <c r="M32" s="27" t="n"/>
      <c r="N32" s="26">
        <f>IFERROR(subQ!L21+subQ!N17-subQ!N21,"")</f>
        <v/>
      </c>
      <c r="O32" s="28">
        <f>IFERROR(subQ!N21+subQ!O17-subQ!O21,"")</f>
        <v/>
      </c>
      <c r="P32" s="29" t="n">
        <v>-0.0036</v>
      </c>
      <c r="Q32" s="29" t="n">
        <v>0</v>
      </c>
      <c r="R32" s="30" t="n"/>
      <c r="S32" s="29" t="n">
        <v>0.01</v>
      </c>
      <c r="T32" s="29" t="n">
        <v>1770.92</v>
      </c>
      <c r="U32" s="29" t="n">
        <v>0</v>
      </c>
      <c r="V32" s="29" t="n">
        <v>-0</v>
      </c>
      <c r="W32" s="30" t="n"/>
      <c r="X32" s="29" t="n">
        <v>0</v>
      </c>
      <c r="Y32" s="29" t="n">
        <v>1770.92</v>
      </c>
      <c r="Z32" s="29" t="n">
        <v>0.01</v>
      </c>
      <c r="AA32" s="29" t="n">
        <v>-0.01</v>
      </c>
      <c r="AB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1">
        <f>IFERROR(subQ!F22/subQ!E22-1,"")</f>
        <v/>
      </c>
      <c r="G33" s="21">
        <f>IFERROR(subQ!G22/subQ!F22-1,"")</f>
        <v/>
      </c>
      <c r="H33" s="22" t="n"/>
      <c r="I33" s="21">
        <f>IFERROR(subQ!I22/subQ!G22-1,"")</f>
        <v/>
      </c>
      <c r="J33" s="21">
        <f>IFERROR(subQ!J22/subQ!I22-1,"")</f>
        <v/>
      </c>
      <c r="K33" s="21">
        <f>IFERROR(subQ!K22/subQ!J22-1,"")</f>
        <v/>
      </c>
      <c r="L33" s="21">
        <f>IFERROR(subQ!L22/subQ!K22-1,"")</f>
        <v/>
      </c>
      <c r="M33" s="22" t="n"/>
      <c r="N33" s="21">
        <f>IFERROR(subQ!N22/subQ!L22-1,"")</f>
        <v/>
      </c>
      <c r="O33" s="23">
        <f>IFERROR(subQ!O22/subQ!N22-1,"")</f>
        <v/>
      </c>
      <c r="P33" s="31" t="n"/>
      <c r="Q33" s="31" t="n"/>
      <c r="R33" s="25" t="n"/>
      <c r="S33" s="31" t="n"/>
      <c r="T33" s="31" t="n"/>
      <c r="U33" s="31" t="n"/>
      <c r="V33" s="31" t="n"/>
      <c r="W33" s="25" t="n"/>
      <c r="X33" s="31" t="n"/>
      <c r="Y33" s="31" t="n"/>
      <c r="Z33" s="31" t="n"/>
      <c r="AA33" s="31" t="n"/>
      <c r="AB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1">
        <f>IFERROR(subQ!J23/subQ!I23-1,"")</f>
        <v/>
      </c>
      <c r="K34" s="21">
        <f>IFERROR(subQ!K23/subQ!J23-1,"")</f>
        <v/>
      </c>
      <c r="L34" s="21">
        <f>IFERROR(subQ!L23/subQ!K23-1,"")</f>
        <v/>
      </c>
      <c r="M34" s="22" t="n"/>
      <c r="N34" s="21">
        <f>IFERROR(subQ!N23/subQ!L23-1,"")</f>
        <v/>
      </c>
      <c r="O34" s="23">
        <f>IFERROR(subQ!O23/subQ!N23-1,"")</f>
        <v/>
      </c>
      <c r="P34" s="31" t="n"/>
      <c r="Q34" s="31" t="n"/>
      <c r="R34" s="25" t="n"/>
      <c r="S34" s="31" t="n"/>
      <c r="T34" s="31" t="n"/>
      <c r="U34" s="31" t="n"/>
      <c r="V34" s="31" t="n"/>
      <c r="W34" s="25" t="n"/>
      <c r="X34" s="31" t="n"/>
      <c r="Y34" s="31" t="n"/>
      <c r="Z34" s="31" t="n"/>
      <c r="AA34" s="31" t="n"/>
      <c r="AB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1">
        <f>IFERROR(subQ!J24/subQ!I24-1,"")</f>
        <v/>
      </c>
      <c r="K35" s="21">
        <f>IFERROR(subQ!K24/subQ!J24-1,"")</f>
        <v/>
      </c>
      <c r="L35" s="21">
        <f>IFERROR(subQ!L24/subQ!K24-1,"")</f>
        <v/>
      </c>
      <c r="M35" s="22" t="n"/>
      <c r="N35" s="21">
        <f>IFERROR(subQ!N24/subQ!L24-1,"")</f>
        <v/>
      </c>
      <c r="O35" s="23">
        <f>IFERROR(subQ!O24/subQ!N24-1,"")</f>
        <v/>
      </c>
      <c r="P35" s="24" t="n">
        <v>0.150977</v>
      </c>
      <c r="Q35" s="24" t="n">
        <v>0.136961</v>
      </c>
      <c r="R35" s="25" t="n"/>
      <c r="S35" s="24" t="n">
        <v>0.117681</v>
      </c>
      <c r="T35" s="24" t="n">
        <v>-0.117915</v>
      </c>
      <c r="U35" s="24" t="n">
        <v>0.125762</v>
      </c>
      <c r="V35" s="24" t="n">
        <v>0.112069</v>
      </c>
      <c r="W35" s="25" t="n"/>
      <c r="X35" s="24" t="n">
        <v>0.094754</v>
      </c>
      <c r="Y35" s="24" t="n">
        <v>-0.09913</v>
      </c>
      <c r="Z35" s="24" t="n">
        <v>0.098926</v>
      </c>
      <c r="AA35" s="24" t="n">
        <v>0.089438</v>
      </c>
      <c r="AB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1">
        <f>IFERROR(subQ!J25/subQ!I25-1,"")</f>
        <v/>
      </c>
      <c r="K36" s="21">
        <f>IFERROR(subQ!K25/subQ!J25-1,"")</f>
        <v/>
      </c>
      <c r="L36" s="21">
        <f>IFERROR(subQ!L25/subQ!K25-1,"")</f>
        <v/>
      </c>
      <c r="M36" s="22" t="n"/>
      <c r="N36" s="21">
        <f>IFERROR(subQ!N25/subQ!L25-1,"")</f>
        <v/>
      </c>
      <c r="O36" s="23">
        <f>IFERROR(subQ!O25/subQ!N25-1,"")</f>
        <v/>
      </c>
      <c r="P36" s="31" t="n"/>
      <c r="Q36" s="31" t="n"/>
      <c r="R36" s="25" t="n"/>
      <c r="S36" s="31" t="n"/>
      <c r="T36" s="31" t="n"/>
      <c r="U36" s="31" t="n"/>
      <c r="V36" s="31" t="n"/>
      <c r="W36" s="25" t="n"/>
      <c r="X36" s="31" t="n"/>
      <c r="Y36" s="31" t="n"/>
      <c r="Z36" s="31" t="n"/>
      <c r="AA36" s="31" t="n"/>
      <c r="AB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1" t="n"/>
      <c r="G37" s="21" t="n"/>
      <c r="H37" s="22" t="n"/>
      <c r="I37" s="21" t="n"/>
      <c r="J37" s="21">
        <f>IFERROR(subQ!J26/subQ!E26-1,"")</f>
        <v/>
      </c>
      <c r="K37" s="21">
        <f>IFERROR(subQ!K26/subQ!F26-1,"")</f>
        <v/>
      </c>
      <c r="L37" s="21">
        <f>IFERROR(subQ!L26/subQ!G26-1,"")</f>
        <v/>
      </c>
      <c r="M37" s="22" t="n"/>
      <c r="N37" s="21">
        <f>IFERROR(subQ!N26/subQ!I26-1,"")</f>
        <v/>
      </c>
      <c r="O37" s="23">
        <f>IFERROR(subQ!O26/subQ!J26-1,"")</f>
        <v/>
      </c>
      <c r="P37" s="31" t="n"/>
      <c r="Q37" s="31" t="n"/>
      <c r="R37" s="25" t="n"/>
      <c r="S37" s="31" t="n"/>
      <c r="T37" s="31" t="n"/>
      <c r="U37" s="31" t="n"/>
      <c r="V37" s="31" t="n"/>
      <c r="W37" s="25" t="n"/>
      <c r="X37" s="31" t="n"/>
      <c r="Y37" s="31" t="n"/>
      <c r="Z37" s="31" t="n"/>
      <c r="AA37" s="31" t="n"/>
      <c r="AB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1" t="n"/>
      <c r="H38" s="22" t="n"/>
      <c r="I38" s="21" t="n"/>
      <c r="J38" s="21">
        <f>IFERROR(subQ!J27/subQ!E27-1,"")</f>
        <v/>
      </c>
      <c r="K38" s="21">
        <f>IFERROR(subQ!K27/subQ!F27-1,"")</f>
        <v/>
      </c>
      <c r="L38" s="21">
        <f>IFERROR(subQ!L27/subQ!G27-1,"")</f>
        <v/>
      </c>
      <c r="M38" s="22" t="n"/>
      <c r="N38" s="21">
        <f>IFERROR(subQ!N27/subQ!I27-1,"")</f>
        <v/>
      </c>
      <c r="O38" s="23">
        <f>IFERROR(subQ!O27/subQ!J27-1,"")</f>
        <v/>
      </c>
      <c r="P38" s="31" t="n"/>
      <c r="Q38" s="31" t="n"/>
      <c r="R38" s="25" t="n"/>
      <c r="S38" s="31" t="n"/>
      <c r="T38" s="31" t="n"/>
      <c r="U38" s="31" t="n"/>
      <c r="V38" s="31" t="n"/>
      <c r="W38" s="25" t="n"/>
      <c r="X38" s="31" t="n"/>
      <c r="Y38" s="31" t="n"/>
      <c r="Z38" s="31" t="n"/>
      <c r="AA38" s="31" t="n"/>
      <c r="AB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1">
        <f>IFERROR(subQ!J28/subQ!I28-1,"")</f>
        <v/>
      </c>
      <c r="K39" s="21">
        <f>IFERROR(subQ!K28/subQ!J28-1,"")</f>
        <v/>
      </c>
      <c r="L39" s="21">
        <f>IFERROR(subQ!L28/subQ!K28-1,"")</f>
        <v/>
      </c>
      <c r="M39" s="22" t="n"/>
      <c r="N39" s="21">
        <f>IFERROR(subQ!N28/subQ!L28-1,"")</f>
        <v/>
      </c>
      <c r="O39" s="23">
        <f>IFERROR(subQ!O28/subQ!N28-1,"")</f>
        <v/>
      </c>
      <c r="P39" s="24" t="n">
        <v>0</v>
      </c>
      <c r="Q39" s="24" t="n">
        <v>0</v>
      </c>
      <c r="R39" s="25" t="n"/>
      <c r="S39" s="24" t="n">
        <v>0</v>
      </c>
      <c r="T39" s="24" t="n">
        <v>0</v>
      </c>
      <c r="U39" s="24" t="n">
        <v>0</v>
      </c>
      <c r="V39" s="24" t="n">
        <v>0</v>
      </c>
      <c r="W39" s="25" t="n"/>
      <c r="X39" s="24" t="n">
        <v>0</v>
      </c>
      <c r="Y39" s="24" t="n">
        <v>0</v>
      </c>
      <c r="Z39" s="24" t="n">
        <v>0</v>
      </c>
      <c r="AA39" s="24" t="n">
        <v>0</v>
      </c>
      <c r="AB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1" t="n"/>
      <c r="H40" s="22" t="n"/>
      <c r="I40" s="21" t="n"/>
      <c r="J40" s="21">
        <f>IFERROR(subQ!J31/subQ!E31-1,"")</f>
        <v/>
      </c>
      <c r="K40" s="21">
        <f>IFERROR(subQ!K31/subQ!F31-1,"")</f>
        <v/>
      </c>
      <c r="L40" s="21">
        <f>IFERROR(subQ!L31/subQ!G31-1,"")</f>
        <v/>
      </c>
      <c r="M40" s="22" t="n"/>
      <c r="N40" s="21">
        <f>IFERROR(subQ!N31/subQ!I31-1,"")</f>
        <v/>
      </c>
      <c r="O40" s="23">
        <f>IFERROR(subQ!O31/subQ!J31-1,"")</f>
        <v/>
      </c>
      <c r="P40" s="31" t="n"/>
      <c r="Q40" s="24" t="n">
        <v>0</v>
      </c>
      <c r="R40" s="25" t="n"/>
      <c r="S40" s="31" t="n"/>
      <c r="T40" s="31" t="n"/>
      <c r="U40" s="31" t="n"/>
      <c r="V40" s="24" t="n">
        <v>0</v>
      </c>
      <c r="W40" s="25" t="n"/>
      <c r="X40" s="31" t="n"/>
      <c r="Y40" s="31" t="n"/>
      <c r="Z40" s="31" t="n"/>
      <c r="AA40" s="24" t="n">
        <v>0</v>
      </c>
      <c r="AB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1" t="n"/>
      <c r="H41" s="22" t="n"/>
      <c r="I41" s="21" t="n"/>
      <c r="J41" s="21">
        <f>IFERROR(subQ!J32/subQ!E32-1,"")</f>
        <v/>
      </c>
      <c r="K41" s="21">
        <f>IFERROR(subQ!K32/subQ!F32-1,"")</f>
        <v/>
      </c>
      <c r="L41" s="21">
        <f>IFERROR(subQ!L32/subQ!G32-1,"")</f>
        <v/>
      </c>
      <c r="M41" s="22" t="n"/>
      <c r="N41" s="21">
        <f>IFERROR(subQ!N32/subQ!I32-1,"")</f>
        <v/>
      </c>
      <c r="O41" s="23">
        <f>IFERROR(subQ!O32/subQ!J32-1,"")</f>
        <v/>
      </c>
      <c r="P41" s="24" t="n">
        <v>-0.07098500000000001</v>
      </c>
      <c r="Q41" s="24" t="n">
        <v>-0.148607</v>
      </c>
      <c r="R41" s="25" t="n"/>
      <c r="S41" s="24" t="n">
        <v>0.183083</v>
      </c>
      <c r="T41" s="24" t="n">
        <v>0.053476</v>
      </c>
      <c r="U41" s="24" t="n">
        <v>-0.014327</v>
      </c>
      <c r="V41" s="24" t="n">
        <v>0.014876</v>
      </c>
      <c r="W41" s="25" t="n"/>
      <c r="X41" s="24" t="n">
        <v>-0.022879</v>
      </c>
      <c r="Y41" s="24" t="n">
        <v>-0.019987</v>
      </c>
      <c r="Z41" s="24" t="n">
        <v>0.005168</v>
      </c>
      <c r="AA41" s="24" t="n">
        <v>0.023779</v>
      </c>
      <c r="AB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1" t="n"/>
      <c r="H42" s="22" t="n"/>
      <c r="I42" s="21" t="n"/>
      <c r="J42" s="21">
        <f>IFERROR(subQ!J33/subQ!E33-1,"")</f>
        <v/>
      </c>
      <c r="K42" s="21">
        <f>IFERROR(subQ!K33/subQ!F33-1,"")</f>
        <v/>
      </c>
      <c r="L42" s="21">
        <f>IFERROR(subQ!L33/subQ!G33-1,"")</f>
        <v/>
      </c>
      <c r="M42" s="22" t="n"/>
      <c r="N42" s="21">
        <f>IFERROR(subQ!N33/subQ!I33-1,"")</f>
        <v/>
      </c>
      <c r="O42" s="23">
        <f>IFERROR(subQ!O33/subQ!J33-1,"")</f>
        <v/>
      </c>
      <c r="P42" s="24" t="n">
        <v>-0.050611</v>
      </c>
      <c r="Q42" s="24" t="n">
        <v>-0.139535</v>
      </c>
      <c r="R42" s="25" t="n"/>
      <c r="S42" s="24" t="n">
        <v>-0.032427</v>
      </c>
      <c r="T42" s="24" t="n">
        <v>-0.099911</v>
      </c>
      <c r="U42" s="24" t="n">
        <v>-0.145221</v>
      </c>
      <c r="V42" s="24" t="n">
        <v>-0.137137</v>
      </c>
      <c r="W42" s="25" t="n"/>
      <c r="X42" s="24" t="n">
        <v>-0.127568</v>
      </c>
      <c r="Y42" s="24" t="n">
        <v>-0.136769</v>
      </c>
      <c r="Z42" s="24" t="n">
        <v>-0.125806</v>
      </c>
      <c r="AA42" s="24" t="n">
        <v>-0.114849</v>
      </c>
      <c r="AB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1">
        <f>IFERROR(subQ!F34/subQ!F5,"")</f>
        <v/>
      </c>
      <c r="G43" s="21">
        <f>IFERROR(subQ!G34/subQ!G5,"")</f>
        <v/>
      </c>
      <c r="H43" s="22">
        <f>IFERROR(subQ!H34/subQ!H5,"")</f>
        <v/>
      </c>
      <c r="I43" s="21">
        <f>IFERROR(subQ!I34/subQ!I5,"")</f>
        <v/>
      </c>
      <c r="J43" s="21">
        <f>IFERROR(subQ!J34/subQ!J5,"")</f>
        <v/>
      </c>
      <c r="K43" s="21">
        <f>IFERROR(subQ!K34/subQ!K5,"")</f>
        <v/>
      </c>
      <c r="L43" s="21">
        <f>IFERROR(subQ!L34/subQ!L5,"")</f>
        <v/>
      </c>
      <c r="M43" s="22">
        <f>IFERROR(subQ!M34/subQ!M5,"")</f>
        <v/>
      </c>
      <c r="N43" s="21">
        <f>IFERROR(subQ!N34/subQ!N5,"")</f>
        <v/>
      </c>
      <c r="O43" s="23">
        <f>IFERROR(subQ!O34/subQ!O5,"")</f>
        <v/>
      </c>
      <c r="P43" s="24" t="n">
        <v>1</v>
      </c>
      <c r="Q43" s="24" t="n">
        <v>1</v>
      </c>
      <c r="R43" s="25">
        <f>IFERROR(subQ!R34/subQ!R5,"")</f>
        <v/>
      </c>
      <c r="S43" s="24" t="n">
        <v>1</v>
      </c>
      <c r="T43" s="24" t="n">
        <v>1</v>
      </c>
      <c r="U43" s="24" t="n">
        <v>1</v>
      </c>
      <c r="V43" s="24" t="n">
        <v>1</v>
      </c>
      <c r="W43" s="25">
        <f>IFERROR(subQ!W34/subQ!W5,"")</f>
        <v/>
      </c>
      <c r="X43" s="24" t="n">
        <v>1</v>
      </c>
      <c r="Y43" s="24" t="n">
        <v>1</v>
      </c>
      <c r="Z43" s="24" t="n">
        <v>1</v>
      </c>
      <c r="AA43" s="24" t="n">
        <v>1</v>
      </c>
      <c r="AB43" s="25">
        <f>IFERROR(subQ!AB34/subQ!AB5,"")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1">
        <f>IFERROR(subQ!F35/subQ!F34,"")</f>
        <v/>
      </c>
      <c r="G44" s="21">
        <f>IFERROR(subQ!G35/subQ!G34,"")</f>
        <v/>
      </c>
      <c r="H44" s="22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1">
        <f>IFERROR(subQ!K35/subQ!K34,"")</f>
        <v/>
      </c>
      <c r="L44" s="21">
        <f>IFERROR(subQ!L35/subQ!L34,"")</f>
        <v/>
      </c>
      <c r="M44" s="22">
        <f>IFERROR(subQ!M35/subQ!M34,"")</f>
        <v/>
      </c>
      <c r="N44" s="21">
        <f>IFERROR(subQ!N35/subQ!N34,"")</f>
        <v/>
      </c>
      <c r="O44" s="23">
        <f>IFERROR(subQ!O35/subQ!O34,"")</f>
        <v/>
      </c>
      <c r="P44" s="24" t="n">
        <v>0.173154</v>
      </c>
      <c r="Q44" s="24" t="n">
        <v>0.173155</v>
      </c>
      <c r="R44" s="25">
        <f>IFERROR(subQ!R35/subQ!R34,"")</f>
        <v/>
      </c>
      <c r="S44" s="24" t="n">
        <v>0.173155</v>
      </c>
      <c r="T44" s="24" t="n">
        <v>0.173154</v>
      </c>
      <c r="U44" s="24" t="n">
        <v>0.173155</v>
      </c>
      <c r="V44" s="24" t="n">
        <v>0.173155</v>
      </c>
      <c r="W44" s="25">
        <f>IFERROR(subQ!W35/subQ!W34,"")</f>
        <v/>
      </c>
      <c r="X44" s="24" t="n">
        <v>0.173155</v>
      </c>
      <c r="Y44" s="24" t="n">
        <v>0.173155</v>
      </c>
      <c r="Z44" s="24" t="n">
        <v>0.173156</v>
      </c>
      <c r="AA44" s="24" t="n">
        <v>0.173154</v>
      </c>
      <c r="AB44" s="25">
        <f>IFERROR(subQ!AB35/subQ!AB34,"")</f>
        <v/>
      </c>
    </row>
    <row r="45"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B46" s="1" t="inlineStr">
        <is>
          <t>3. 밸류에이션·스칼라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236500</v>
      </c>
      <c r="E47" s="2" t="inlineStr">
        <is>
          <t>원 — aikstockdata(금융위 T+1)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30.8배가 캡 5~30 밖 — 턴어라운드 초기 TTM EPS 왜곡)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0.23</v>
      </c>
      <c r="E54" s="2" t="inlineStr">
        <is>
          <t>법인세율 가정(참고 — 추정 수식은 드라이버 행 참조)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0.0518</v>
      </c>
      <c r="E55" s="2" t="inlineStr">
        <is>
          <t>판관비율 가정(참고)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 가정(참고)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4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4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4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4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4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4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4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4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4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4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4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4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4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4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4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4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4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4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4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4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4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4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4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4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4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4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4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4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4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4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4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4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4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4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4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4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4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4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4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4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4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4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4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4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4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4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4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4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4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4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4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4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4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4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4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4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4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4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4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4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4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4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4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4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4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4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4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4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4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4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4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4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4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4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4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4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4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4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4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4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4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4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4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4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4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4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4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4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4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4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4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4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4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4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4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4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4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4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4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4" t="n">
        <v>0</v>
      </c>
      <c r="J57" s="18" t="n">
        <v>2712.8</v>
      </c>
      <c r="L57" s="18" t="n">
        <v>0</v>
      </c>
      <c r="M57" s="34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4" t="n">
        <v>0</v>
      </c>
      <c r="J58" s="18" t="n">
        <v>2712.8</v>
      </c>
      <c r="L58" s="18" t="n">
        <v>0</v>
      </c>
      <c r="M58" s="34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4" t="n">
        <v>0</v>
      </c>
      <c r="J59" s="18" t="n">
        <v>2712.8</v>
      </c>
      <c r="L59" s="18" t="n">
        <v>0</v>
      </c>
      <c r="M59" s="34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4" t="n">
        <v>-481416.07</v>
      </c>
      <c r="J60" s="18" t="n">
        <v>-469358.55</v>
      </c>
      <c r="L60" s="18" t="n">
        <v>-564472.8100000001</v>
      </c>
      <c r="M60" s="34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4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4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4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4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4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4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4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4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4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4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4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4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4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4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4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4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4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4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4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4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4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종속기업,공동지배기업및관계기업관련손익</t>
        </is>
      </c>
      <c r="F82" s="18" t="n">
        <v>-179.17</v>
      </c>
      <c r="G82" s="18" t="n">
        <v>-58.85</v>
      </c>
      <c r="H82" s="9" t="n"/>
      <c r="I82" s="18" t="n">
        <v>-106.5</v>
      </c>
      <c r="J82" s="18" t="n">
        <v>-61.98</v>
      </c>
      <c r="K82" s="18" t="n">
        <v>-93.95</v>
      </c>
      <c r="L82" s="18" t="n">
        <v>94.45999999999999</v>
      </c>
      <c r="M82" s="34" t="n">
        <v>-167.97</v>
      </c>
      <c r="N82" s="18" t="n">
        <v>-50.39</v>
      </c>
      <c r="O82" s="19" t="n">
        <v>-53.23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지분법관련손익</t>
        </is>
      </c>
      <c r="F83" s="18" t="n">
        <v>-179.17</v>
      </c>
      <c r="G83" s="18" t="n">
        <v>-58.85</v>
      </c>
      <c r="H83" s="9" t="n"/>
      <c r="I83" s="18" t="n">
        <v>-106.5</v>
      </c>
      <c r="J83" s="18" t="n">
        <v>-61.98</v>
      </c>
      <c r="K83" s="18" t="n">
        <v>-93.95</v>
      </c>
      <c r="L83" s="18" t="n">
        <v>94.45999999999999</v>
      </c>
      <c r="M83" s="34" t="n">
        <v>-167.97</v>
      </c>
      <c r="N83" s="18" t="n">
        <v>-50.39</v>
      </c>
      <c r="O83" s="19" t="n">
        <v>-53.23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(비지배주주지분)당기순이익</t>
        </is>
      </c>
      <c r="H84" s="9" t="n"/>
      <c r="I84" s="18" t="n">
        <v>0</v>
      </c>
      <c r="J84" s="18" t="n">
        <v>0</v>
      </c>
      <c r="K84" s="18" t="n">
        <v>0</v>
      </c>
      <c r="L84" s="18" t="n">
        <v>0</v>
      </c>
      <c r="M84" s="34" t="n">
        <v>0</v>
      </c>
      <c r="N84" s="18" t="n">
        <v>0</v>
      </c>
      <c r="O84" s="19" t="n">
        <v>0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영업활동으로인한현금흐름</t>
        </is>
      </c>
      <c r="E85" s="18" t="n">
        <v>48975.94</v>
      </c>
      <c r="F85" s="18" t="n">
        <v>80886.64</v>
      </c>
      <c r="G85" s="18" t="n">
        <v>37322.58</v>
      </c>
      <c r="H85" s="9" t="n"/>
      <c r="I85" s="18" t="n">
        <v>98176.78999999999</v>
      </c>
      <c r="J85" s="18" t="n">
        <v>57778.41</v>
      </c>
      <c r="K85" s="18" t="n">
        <v>83213.62</v>
      </c>
      <c r="L85" s="18" t="n">
        <v>84958.92999999999</v>
      </c>
      <c r="M85" s="34" t="n">
        <v>324127.75</v>
      </c>
      <c r="N85" s="18" t="n">
        <v>45323.72</v>
      </c>
      <c r="O85" s="19" t="n">
        <v>68374.59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이자수취(CF)</t>
        </is>
      </c>
      <c r="E86" s="18" t="n">
        <v>1757.68</v>
      </c>
      <c r="F86" s="18" t="n">
        <v>2957.29</v>
      </c>
      <c r="G86" s="18" t="n">
        <v>2880.29</v>
      </c>
      <c r="H86" s="9" t="n"/>
      <c r="I86" s="18" t="n">
        <v>5712.82</v>
      </c>
      <c r="J86" s="18" t="n">
        <v>3420.95</v>
      </c>
      <c r="K86" s="18" t="n">
        <v>3062.74</v>
      </c>
      <c r="L86" s="18" t="n">
        <v>4949.73</v>
      </c>
      <c r="M86" s="34" t="n">
        <v>17146.24</v>
      </c>
      <c r="N86" s="18" t="n">
        <v>3301.24</v>
      </c>
      <c r="O86" s="19" t="n">
        <v>5091.02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이자지급(CF)</t>
        </is>
      </c>
      <c r="E87" s="18" t="n">
        <v>-1604.86</v>
      </c>
      <c r="F87" s="18" t="n">
        <v>-357.88</v>
      </c>
      <c r="G87" s="18" t="n">
        <v>-463.1</v>
      </c>
      <c r="H87" s="9" t="n"/>
      <c r="I87" s="18" t="n">
        <v>-283.2</v>
      </c>
      <c r="J87" s="18" t="n">
        <v>-287.58</v>
      </c>
      <c r="K87" s="18" t="n">
        <v>-252.97</v>
      </c>
      <c r="L87" s="18" t="n">
        <v>-234.86</v>
      </c>
      <c r="M87" s="34" t="n">
        <v>-1058.61</v>
      </c>
      <c r="N87" s="18" t="n">
        <v>-244.23</v>
      </c>
      <c r="O87" s="19" t="n">
        <v>-385.24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법인세납부(CF)</t>
        </is>
      </c>
      <c r="E88" s="18" t="n">
        <v>-27169.56</v>
      </c>
      <c r="F88" s="18" t="n">
        <v>-27556.01</v>
      </c>
      <c r="G88" s="18" t="n">
        <v>-599.8200000000001</v>
      </c>
      <c r="H88" s="9" t="n"/>
      <c r="I88" s="18" t="n">
        <v>-13619.73</v>
      </c>
      <c r="J88" s="18" t="n">
        <v>-17117.81</v>
      </c>
      <c r="K88" s="18" t="n">
        <v>-17933.43</v>
      </c>
      <c r="L88" s="18" t="n">
        <v>-17646.7</v>
      </c>
      <c r="M88" s="34" t="n">
        <v>-66317.67</v>
      </c>
      <c r="N88" s="18" t="n">
        <v>-20733.94</v>
      </c>
      <c r="O88" s="19" t="n">
        <v>-27277.39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투자활동으로인한현금흐름</t>
        </is>
      </c>
      <c r="E89" s="18" t="n">
        <v>-129530.4</v>
      </c>
      <c r="F89" s="18" t="n">
        <v>-130593.67</v>
      </c>
      <c r="G89" s="18" t="n">
        <v>66259.99000000001</v>
      </c>
      <c r="H89" s="9" t="n"/>
      <c r="I89" s="18" t="n">
        <v>61238.08</v>
      </c>
      <c r="J89" s="18" t="n">
        <v>-83764.12</v>
      </c>
      <c r="K89" s="18" t="n">
        <v>37256.68</v>
      </c>
      <c r="L89" s="18" t="n">
        <v>-36051.79</v>
      </c>
      <c r="M89" s="34" t="n">
        <v>-21321.15</v>
      </c>
      <c r="N89" s="18" t="n">
        <v>6632.48</v>
      </c>
      <c r="O89" s="19" t="n">
        <v>82124.3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유형자산의증가</t>
        </is>
      </c>
      <c r="E90" s="18" t="n">
        <v>2582.99</v>
      </c>
      <c r="F90" s="18" t="n">
        <v>2598.18</v>
      </c>
      <c r="G90" s="18" t="n">
        <v>2476.77</v>
      </c>
      <c r="H90" s="9" t="n"/>
      <c r="I90" s="18" t="n">
        <v>3733.33</v>
      </c>
      <c r="J90" s="18" t="n">
        <v>5639.96</v>
      </c>
      <c r="K90" s="18" t="n">
        <v>2015.11</v>
      </c>
      <c r="L90" s="18" t="n">
        <v>5773.13</v>
      </c>
      <c r="M90" s="34" t="n">
        <v>17161.53</v>
      </c>
      <c r="N90" s="18" t="n">
        <v>4087</v>
      </c>
      <c r="O90" s="19" t="n">
        <v>2395.59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CAPEX</t>
        </is>
      </c>
      <c r="E91" s="18" t="n">
        <v>2582.99</v>
      </c>
      <c r="F91" s="18" t="n">
        <v>2598.18</v>
      </c>
      <c r="G91" s="18" t="n">
        <v>2841.47</v>
      </c>
      <c r="H91" s="9" t="n"/>
      <c r="I91" s="18" t="n">
        <v>3733.33</v>
      </c>
      <c r="J91" s="18" t="n">
        <v>5639.96</v>
      </c>
      <c r="K91" s="18" t="n">
        <v>2869.32</v>
      </c>
      <c r="L91" s="18" t="n">
        <v>5773.13</v>
      </c>
      <c r="M91" s="34" t="n">
        <v>18015.74</v>
      </c>
      <c r="N91" s="18" t="n">
        <v>4087</v>
      </c>
      <c r="O91" s="19" t="n">
        <v>2395.59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재무활동으로인한현금흐름</t>
        </is>
      </c>
      <c r="E92" s="18" t="n">
        <v>222645.97</v>
      </c>
      <c r="F92" s="18" t="n">
        <v>-47600.29</v>
      </c>
      <c r="G92" s="18" t="n">
        <v>-29541.57</v>
      </c>
      <c r="H92" s="9" t="n"/>
      <c r="I92" s="18" t="n">
        <v>-2004.31</v>
      </c>
      <c r="J92" s="18" t="n">
        <v>-151633.73</v>
      </c>
      <c r="K92" s="18" t="n">
        <v>-36248.22</v>
      </c>
      <c r="L92" s="18" t="n">
        <v>-33365.41</v>
      </c>
      <c r="M92" s="34" t="n">
        <v>-223251.67</v>
      </c>
      <c r="N92" s="18" t="n">
        <v>-2009.1</v>
      </c>
      <c r="O92" s="19" t="n">
        <v>-125996.3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리스부채의상환</t>
        </is>
      </c>
      <c r="E93" s="18" t="n">
        <v>1928.5</v>
      </c>
      <c r="F93" s="18" t="n">
        <v>1954.2</v>
      </c>
      <c r="G93" s="18" t="n">
        <v>1926.62</v>
      </c>
      <c r="H93" s="9" t="n"/>
      <c r="I93" s="18" t="n">
        <v>2002.36</v>
      </c>
      <c r="J93" s="18" t="n">
        <v>2070.3</v>
      </c>
      <c r="K93" s="18" t="n">
        <v>2011.89</v>
      </c>
      <c r="L93" s="18" t="n">
        <v>2091.22</v>
      </c>
      <c r="M93" s="34" t="n">
        <v>8175.77</v>
      </c>
      <c r="N93" s="18" t="n">
        <v>2114.11</v>
      </c>
      <c r="O93" s="19" t="n">
        <v>2706.97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현금및현금성자산의증감</t>
        </is>
      </c>
      <c r="E94" s="18" t="n">
        <v>143040.25</v>
      </c>
      <c r="F94" s="18" t="n">
        <v>-98723.36</v>
      </c>
      <c r="H94" s="9" t="n"/>
      <c r="I94" s="18" t="n">
        <v>157303.7</v>
      </c>
      <c r="J94" s="18" t="n">
        <v>-179991.87</v>
      </c>
      <c r="K94" s="18" t="n">
        <v>85532.64</v>
      </c>
      <c r="L94" s="18" t="n">
        <v>16613.5</v>
      </c>
      <c r="M94" s="34" t="n">
        <v>79457.97</v>
      </c>
      <c r="N94" s="18" t="n">
        <v>52748.77</v>
      </c>
      <c r="O94" s="19" t="n">
        <v>25767.87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기말현금및현금성자산</t>
        </is>
      </c>
      <c r="E95" s="18" t="n">
        <v>143040.25</v>
      </c>
      <c r="F95" s="18" t="n">
        <v>-98723.36</v>
      </c>
      <c r="H95" s="9" t="n"/>
      <c r="I95" s="18" t="n">
        <v>455769.77</v>
      </c>
      <c r="J95" s="18" t="n">
        <v>-179991.86</v>
      </c>
      <c r="K95" s="18" t="n">
        <v>85532.63</v>
      </c>
      <c r="L95" s="18" t="n">
        <v>16613.5</v>
      </c>
      <c r="M95" s="34" t="n">
        <v>377924.04</v>
      </c>
      <c r="N95" s="18" t="n">
        <v>430672.81</v>
      </c>
      <c r="O95" s="19" t="n">
        <v>25767.87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유형자산의감소</t>
        </is>
      </c>
      <c r="F96" s="18" t="n">
        <v>0</v>
      </c>
      <c r="G96" s="18" t="n">
        <v>0</v>
      </c>
      <c r="H96" s="9" t="n"/>
      <c r="K96" s="18" t="n">
        <v>104.72</v>
      </c>
      <c r="L96" s="18" t="n">
        <v>3.95</v>
      </c>
      <c r="M96" s="9" t="n"/>
      <c r="N96" s="18" t="n">
        <v>400.77</v>
      </c>
      <c r="O96" s="19" t="n">
        <v>0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배당금지급</t>
        </is>
      </c>
      <c r="F97" s="18" t="n">
        <v>20002.5</v>
      </c>
      <c r="G97" s="18" t="n">
        <v>0</v>
      </c>
      <c r="H97" s="9" t="n"/>
      <c r="K97" s="18" t="n">
        <v>31380.45</v>
      </c>
      <c r="L97" s="18" t="n">
        <v>31380.45</v>
      </c>
      <c r="M97" s="9" t="n"/>
      <c r="O97" s="5" t="n"/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무형자산의증가</t>
        </is>
      </c>
      <c r="H98" s="9" t="n"/>
      <c r="L98" s="18" t="n">
        <v>0</v>
      </c>
      <c r="M98" s="9" t="n"/>
      <c r="O98" s="5" t="n"/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4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4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4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4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4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4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4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4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4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4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4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4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4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4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4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4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4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4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4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4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4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4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4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4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4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4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4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4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4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4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4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4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4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4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4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4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4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4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4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4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4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4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4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4" t="n">
        <v>0</v>
      </c>
      <c r="L27" s="18" t="n">
        <v>0</v>
      </c>
      <c r="M27" s="34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4" t="n">
        <v>0</v>
      </c>
      <c r="L28" s="18" t="n">
        <v>0</v>
      </c>
      <c r="M28" s="34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4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4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4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4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4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4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4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4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4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4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4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4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4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4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4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4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4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4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4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4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4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4" t="n">
        <v>0</v>
      </c>
      <c r="L40" s="18" t="n">
        <v>0</v>
      </c>
      <c r="M40" s="34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4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4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4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4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4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4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4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4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4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4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4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4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4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4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4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4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4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4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4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4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4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4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4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4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4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4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4" t="n">
        <v>0</v>
      </c>
      <c r="L54" s="18" t="n">
        <v>0</v>
      </c>
      <c r="M54" s="34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4" t="n">
        <v>-455588.23</v>
      </c>
      <c r="L55" s="18" t="n">
        <v>-505672.22</v>
      </c>
      <c r="M55" s="34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4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4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4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4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4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4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4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4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4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4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4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4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4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4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4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4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4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4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4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4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4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4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4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4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4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4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4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4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4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4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4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4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4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4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5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4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4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5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4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4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5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4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4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5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4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4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5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0.1621</v>
      </c>
      <c r="F10" s="18" t="n">
        <v>0.1808</v>
      </c>
      <c r="G10" s="18" t="n">
        <v>0.1422</v>
      </c>
      <c r="H10" s="34" t="n"/>
      <c r="I10" s="18" t="n">
        <v>0.1709</v>
      </c>
      <c r="J10" s="18" t="n">
        <v>0.1775</v>
      </c>
      <c r="K10" s="18" t="n">
        <v>0.1824</v>
      </c>
      <c r="L10" s="18" t="n">
        <v>0.1754</v>
      </c>
      <c r="M10" s="34">
        <f>SUM(I10:L10)</f>
        <v/>
      </c>
      <c r="N10" s="18" t="n">
        <v>0.1625</v>
      </c>
      <c r="O10" s="19" t="n">
        <v>0.1682</v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  <c r="X10" s="20">
        <f>IFERROR(S10*(1+변수!X24),"")</f>
        <v/>
      </c>
      <c r="Y10" s="20">
        <f>IFERROR(T10*(1+변수!Y24),"")</f>
        <v/>
      </c>
      <c r="Z10" s="20">
        <f>IFERROR(U10*(1+변수!Z24),"")</f>
        <v/>
      </c>
      <c r="AA10" s="20">
        <f>IFERROR(V10*(1+변수!AA24),"")</f>
        <v/>
      </c>
      <c r="AB10" s="35">
        <f>SUM(X10:AA10)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4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4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  <c r="X11" s="20">
        <f>변수!X25</f>
        <v/>
      </c>
      <c r="Y11" s="20">
        <f>변수!Y25</f>
        <v/>
      </c>
      <c r="Z11" s="20">
        <f>변수!Z25</f>
        <v/>
      </c>
      <c r="AA11" s="20">
        <f>변수!AA25</f>
        <v/>
      </c>
      <c r="AB11" s="35">
        <f>SUM(X11:AA11)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4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4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  <c r="X12" s="20">
        <f>변수!X26</f>
        <v/>
      </c>
      <c r="Y12" s="20">
        <f>변수!Y26</f>
        <v/>
      </c>
      <c r="Z12" s="20">
        <f>변수!Z26</f>
        <v/>
      </c>
      <c r="AA12" s="20">
        <f>변수!AA26</f>
        <v/>
      </c>
      <c r="AB12" s="35">
        <f>SUM(X12:AA12)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18">
        <f>IFERROR(VLOOKUP($D13,BS연결,MATCH(F$1,BS연결H,0),0)/100,"")</f>
        <v/>
      </c>
      <c r="G13" s="18">
        <f>IFERROR(VLOOKUP($D13,BS연결,MATCH(G$1,BS연결H,0),0)/100,"")</f>
        <v/>
      </c>
      <c r="H13" s="34" t="n"/>
      <c r="I13" s="18">
        <f>IFERROR(VLOOKUP($D13,BS연결,MATCH(I$1,BS연결H,0),0)/100,"")</f>
        <v/>
      </c>
      <c r="J13" s="18">
        <f>IFERROR(VLOOKUP($D13,BS연결,MATCH(J$1,BS연결H,0),0)/100,"")</f>
        <v/>
      </c>
      <c r="K13" s="18">
        <f>IFERROR(VLOOKUP($D13,BS연결,MATCH(K$1,BS연결H,0),0)/100,"")</f>
        <v/>
      </c>
      <c r="L13" s="18">
        <f>IFERROR(VLOOKUP($D13,BS연결,MATCH(L$1,BS연결H,0),0)/100,"")</f>
        <v/>
      </c>
      <c r="M13" s="34">
        <f>IFERROR(VLOOKUP($D13,BS연결,MATCH(M$1,BS연결H,0),0)/100,"")</f>
        <v/>
      </c>
      <c r="N13" s="18">
        <f>IFERROR(VLOOKUP($D13,BS연결,MATCH(N$1,BS연결H,0),0)/100,"")</f>
        <v/>
      </c>
      <c r="O13" s="19">
        <f>IFERROR(VLOOKUP($D13,BS연결,MATCH(O$1,BS연결H,0),0)/100,"")</f>
        <v/>
      </c>
      <c r="P13" s="20">
        <f>변수!P27</f>
        <v/>
      </c>
      <c r="Q13" s="20">
        <f>변수!Q27</f>
        <v/>
      </c>
      <c r="R13" s="35">
        <f>SUM(N13:Q13)</f>
        <v/>
      </c>
      <c r="S13" s="20">
        <f>변수!S27</f>
        <v/>
      </c>
      <c r="T13" s="20">
        <f>변수!T27</f>
        <v/>
      </c>
      <c r="U13" s="20">
        <f>변수!U27</f>
        <v/>
      </c>
      <c r="V13" s="20">
        <f>변수!V27</f>
        <v/>
      </c>
      <c r="W13" s="35">
        <f>SUM(S13:V13)</f>
        <v/>
      </c>
      <c r="X13" s="20">
        <f>변수!X27</f>
        <v/>
      </c>
      <c r="Y13" s="20">
        <f>변수!Y27</f>
        <v/>
      </c>
      <c r="Z13" s="20">
        <f>변수!Z27</f>
        <v/>
      </c>
      <c r="AA13" s="20">
        <f>변수!AA27</f>
        <v/>
      </c>
      <c r="AB13" s="35">
        <f>SUM(X13:AA13)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18">
        <f>IFERROR(VLOOKUP($D14,BS연결,MATCH(F$1,BS연결H,0),0)/100,"")</f>
        <v/>
      </c>
      <c r="G14" s="18">
        <f>IFERROR(VLOOKUP($D14,BS연결,MATCH(G$1,BS연결H,0),0)/100,"")</f>
        <v/>
      </c>
      <c r="H14" s="34" t="n"/>
      <c r="I14" s="18">
        <f>IFERROR(VLOOKUP($D14,BS연결,MATCH(I$1,BS연결H,0),0)/100,"")</f>
        <v/>
      </c>
      <c r="J14" s="18">
        <f>IFERROR(VLOOKUP($D14,BS연결,MATCH(J$1,BS연결H,0),0)/100,"")</f>
        <v/>
      </c>
      <c r="K14" s="18">
        <f>IFERROR(VLOOKUP($D14,BS연결,MATCH(K$1,BS연결H,0),0)/100,"")</f>
        <v/>
      </c>
      <c r="L14" s="18">
        <f>IFERROR(VLOOKUP($D14,BS연결,MATCH(L$1,BS연결H,0),0)/100,"")</f>
        <v/>
      </c>
      <c r="M14" s="34">
        <f>IFERROR(VLOOKUP($D14,BS연결,MATCH(M$1,BS연결H,0),0)/100,"")</f>
        <v/>
      </c>
      <c r="N14" s="18">
        <f>IFERROR(VLOOKUP($D14,BS연결,MATCH(N$1,BS연결H,0),0)/100,"")</f>
        <v/>
      </c>
      <c r="O14" s="19">
        <f>IFERROR(VLOOKUP($D14,BS연결,MATCH(O$1,BS연결H,0),0)/100,"")</f>
        <v/>
      </c>
      <c r="P14" s="20">
        <f>IFERROR(P9+P11+P12+P13,"")</f>
        <v/>
      </c>
      <c r="Q14" s="20">
        <f>IFERROR(Q9+Q11+Q12+Q13,"")</f>
        <v/>
      </c>
      <c r="R14" s="35">
        <f>SUM(N14:Q14)</f>
        <v/>
      </c>
      <c r="S14" s="20">
        <f>IFERROR(S9+S11+S12+S13,"")</f>
        <v/>
      </c>
      <c r="T14" s="20">
        <f>IFERROR(T9+T11+T12+T13,"")</f>
        <v/>
      </c>
      <c r="U14" s="20">
        <f>IFERROR(U9+U11+U12+U13,"")</f>
        <v/>
      </c>
      <c r="V14" s="20">
        <f>IFERROR(V9+V11+V12+V13,"")</f>
        <v/>
      </c>
      <c r="W14" s="35">
        <f>SUM(S14:V14)</f>
        <v/>
      </c>
      <c r="X14" s="20">
        <f>IFERROR(X9+X11+X12+X13,"")</f>
        <v/>
      </c>
      <c r="Y14" s="20">
        <f>IFERROR(Y9+Y11+Y12+Y13,"")</f>
        <v/>
      </c>
      <c r="Z14" s="20">
        <f>IFERROR(Z9+Z11+Z12+Z13,"")</f>
        <v/>
      </c>
      <c r="AA14" s="20">
        <f>IFERROR(AA9+AA11+AA12+AA13,"")</f>
        <v/>
      </c>
      <c r="AB14" s="35">
        <f>SUM(X14:AA14)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18">
        <f>IFERROR(VLOOKUP($D15,BS연결,MATCH(F$1,BS연결H,0),0)/100,"")</f>
        <v/>
      </c>
      <c r="G15" s="18">
        <f>IFERROR(VLOOKUP($D15,BS연결,MATCH(G$1,BS연결H,0),0)/100,"")</f>
        <v/>
      </c>
      <c r="H15" s="34" t="n"/>
      <c r="I15" s="18">
        <f>IFERROR(VLOOKUP($D15,BS연결,MATCH(I$1,BS연결H,0),0)/100,"")</f>
        <v/>
      </c>
      <c r="J15" s="18">
        <f>IFERROR(VLOOKUP($D15,BS연결,MATCH(J$1,BS연결H,0),0)/100,"")</f>
        <v/>
      </c>
      <c r="K15" s="18">
        <f>IFERROR(VLOOKUP($D15,BS연결,MATCH(K$1,BS연결H,0),0)/100,"")</f>
        <v/>
      </c>
      <c r="L15" s="18">
        <f>IFERROR(VLOOKUP($D15,BS연결,MATCH(L$1,BS연결H,0),0)/100,"")</f>
        <v/>
      </c>
      <c r="M15" s="34">
        <f>IFERROR(VLOOKUP($D15,BS연결,MATCH(M$1,BS연결H,0),0)/100,"")</f>
        <v/>
      </c>
      <c r="N15" s="18">
        <f>IFERROR(VLOOKUP($D15,BS연결,MATCH(N$1,BS연결H,0),0)/100,"")</f>
        <v/>
      </c>
      <c r="O15" s="19">
        <f>IFERROR(VLOOKUP($D15,BS연결,MATCH(O$1,BS연결H,0),0)/100,"")</f>
        <v/>
      </c>
      <c r="P15" s="20">
        <f>IFERROR(P14*변수!P28,"")</f>
        <v/>
      </c>
      <c r="Q15" s="20">
        <f>IFERROR(Q14*변수!Q28,"")</f>
        <v/>
      </c>
      <c r="R15" s="35">
        <f>SUM(N15:Q15)</f>
        <v/>
      </c>
      <c r="S15" s="20">
        <f>IFERROR(S14*변수!S28,"")</f>
        <v/>
      </c>
      <c r="T15" s="20">
        <f>IFERROR(T14*변수!T28,"")</f>
        <v/>
      </c>
      <c r="U15" s="20">
        <f>IFERROR(U14*변수!U28,"")</f>
        <v/>
      </c>
      <c r="V15" s="20">
        <f>IFERROR(V14*변수!V28,"")</f>
        <v/>
      </c>
      <c r="W15" s="35">
        <f>SUM(S15:V15)</f>
        <v/>
      </c>
      <c r="X15" s="20">
        <f>IFERROR(X14*변수!X28,"")</f>
        <v/>
      </c>
      <c r="Y15" s="20">
        <f>IFERROR(Y14*변수!Y28,"")</f>
        <v/>
      </c>
      <c r="Z15" s="20">
        <f>IFERROR(Z14*변수!Z28,"")</f>
        <v/>
      </c>
      <c r="AA15" s="20">
        <f>IFERROR(AA14*변수!AA28,"")</f>
        <v/>
      </c>
      <c r="AB15" s="35">
        <f>SUM(X15:AA15)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4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4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IFERROR(P14-P15,"")</f>
        <v/>
      </c>
      <c r="Q16" s="20">
        <f>IFERROR(Q14-Q15,"")</f>
        <v/>
      </c>
      <c r="R16" s="35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5">
        <f>SUM(S16:V16)</f>
        <v/>
      </c>
      <c r="X16" s="20">
        <f>IFERROR(X14-X15,"")</f>
        <v/>
      </c>
      <c r="Y16" s="20">
        <f>IFERROR(Y14-Y15,"")</f>
        <v/>
      </c>
      <c r="Z16" s="20">
        <f>IFERROR(Z14-Z15,"")</f>
        <v/>
      </c>
      <c r="AA16" s="20">
        <f>IFERROR(AA14-AA15,"")</f>
        <v/>
      </c>
      <c r="AB16" s="35">
        <f>SUM(X16:AA16)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18">
        <f>IFERROR(VLOOKUP($D17,BS연결,MATCH(F$1,BS연결H,0),0)/100,"")</f>
        <v/>
      </c>
      <c r="G17" s="18">
        <f>IFERROR(VLOOKUP($D17,BS연결,MATCH(G$1,BS연결H,0),0)/100,"")</f>
        <v/>
      </c>
      <c r="H17" s="34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4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IFERROR(P16*변수!P29,"")</f>
        <v/>
      </c>
      <c r="Q17" s="20">
        <f>IFERROR(Q16*변수!Q29,"")</f>
        <v/>
      </c>
      <c r="R17" s="35">
        <f>SUM(N17:Q17)</f>
        <v/>
      </c>
      <c r="S17" s="20">
        <f>IFERROR(S16*변수!S29,"")</f>
        <v/>
      </c>
      <c r="T17" s="20">
        <f>IFERROR(T16*변수!T29,"")</f>
        <v/>
      </c>
      <c r="U17" s="20">
        <f>IFERROR(U16*변수!U29,"")</f>
        <v/>
      </c>
      <c r="V17" s="20">
        <f>IFERROR(V16*변수!V29,"")</f>
        <v/>
      </c>
      <c r="W17" s="35">
        <f>SUM(S17:V17)</f>
        <v/>
      </c>
      <c r="X17" s="20">
        <f>IFERROR(X16*변수!X29,"")</f>
        <v/>
      </c>
      <c r="Y17" s="20">
        <f>IFERROR(Y16*변수!Y29,"")</f>
        <v/>
      </c>
      <c r="Z17" s="20">
        <f>IFERROR(Z16*변수!Z29,"")</f>
        <v/>
      </c>
      <c r="AA17" s="20">
        <f>IFERROR(AA16*변수!AA29,"")</f>
        <v/>
      </c>
      <c r="AB17" s="35">
        <f>SUM(X17:AA17)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4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4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IFERROR(P19+P20,"")</f>
        <v/>
      </c>
      <c r="Q18" s="20">
        <f>IFERROR(Q19+Q20,"")</f>
        <v/>
      </c>
      <c r="R18" s="35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5">
        <f>V18</f>
        <v/>
      </c>
      <c r="X18" s="20">
        <f>IFERROR(X19+X20,"")</f>
        <v/>
      </c>
      <c r="Y18" s="20">
        <f>IFERROR(Y19+Y20,"")</f>
        <v/>
      </c>
      <c r="Z18" s="20">
        <f>IFERROR(Z19+Z20,"")</f>
        <v/>
      </c>
      <c r="AA18" s="20">
        <f>IFERROR(AA19+AA20,"")</f>
        <v/>
      </c>
      <c r="AB18" s="35">
        <f>AA18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4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4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IFERROR(O19*(1+변수!P30),"")</f>
        <v/>
      </c>
      <c r="Q19" s="20">
        <f>IFERROR(P19*(1+변수!Q30),"")</f>
        <v/>
      </c>
      <c r="R19" s="35">
        <f>Q19</f>
        <v/>
      </c>
      <c r="S19" s="20">
        <f>IFERROR(Q19*(1+변수!S30),"")</f>
        <v/>
      </c>
      <c r="T19" s="20">
        <f>IFERROR(S19*(1+변수!T30),"")</f>
        <v/>
      </c>
      <c r="U19" s="20">
        <f>IFERROR(T19*(1+변수!U30),"")</f>
        <v/>
      </c>
      <c r="V19" s="20">
        <f>IFERROR(U19*(1+변수!V30),"")</f>
        <v/>
      </c>
      <c r="W19" s="35">
        <f>V19</f>
        <v/>
      </c>
      <c r="X19" s="20">
        <f>IFERROR(V19*(1+변수!X30),"")</f>
        <v/>
      </c>
      <c r="Y19" s="20">
        <f>IFERROR(X19*(1+변수!Y30),"")</f>
        <v/>
      </c>
      <c r="Z19" s="20">
        <f>IFERROR(Y19*(1+변수!Z30),"")</f>
        <v/>
      </c>
      <c r="AA19" s="20">
        <f>IFERROR(Z19*(1+변수!AA30),"")</f>
        <v/>
      </c>
      <c r="AB19" s="35">
        <f>AA19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4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4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IFERROR(O20+P16-변수!P31,"")</f>
        <v/>
      </c>
      <c r="Q20" s="20">
        <f>IFERROR(P20+Q16-변수!Q31,"")</f>
        <v/>
      </c>
      <c r="R20" s="35">
        <f>Q20</f>
        <v/>
      </c>
      <c r="S20" s="20">
        <f>IFERROR(Q20+S16-변수!S31,"")</f>
        <v/>
      </c>
      <c r="T20" s="20">
        <f>IFERROR(S20+T16-변수!T31,"")</f>
        <v/>
      </c>
      <c r="U20" s="20">
        <f>IFERROR(T20+U16-변수!U31,"")</f>
        <v/>
      </c>
      <c r="V20" s="20">
        <f>IFERROR(U20+V16-변수!V31,"")</f>
        <v/>
      </c>
      <c r="W20" s="35">
        <f>V20</f>
        <v/>
      </c>
      <c r="X20" s="20">
        <f>IFERROR(V20+X16-변수!X31,"")</f>
        <v/>
      </c>
      <c r="Y20" s="20">
        <f>IFERROR(X20+Y16-변수!Y31,"")</f>
        <v/>
      </c>
      <c r="Z20" s="20">
        <f>IFERROR(Y20+Z16-변수!Z31,"")</f>
        <v/>
      </c>
      <c r="AA20" s="20">
        <f>IFERROR(Z20+AA16-변수!AA31,"")</f>
        <v/>
      </c>
      <c r="AB20" s="35">
        <f>AA20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4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4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IFERROR(O21+P17-변수!P32,"")</f>
        <v/>
      </c>
      <c r="Q21" s="20">
        <f>IFERROR(P21+Q17-변수!Q32,"")</f>
        <v/>
      </c>
      <c r="R21" s="35">
        <f>Q21</f>
        <v/>
      </c>
      <c r="S21" s="20">
        <f>IFERROR(Q21+S17-변수!S32,"")</f>
        <v/>
      </c>
      <c r="T21" s="20">
        <f>IFERROR(S21+T17-변수!T32,"")</f>
        <v/>
      </c>
      <c r="U21" s="20">
        <f>IFERROR(T21+U17-변수!U32,"")</f>
        <v/>
      </c>
      <c r="V21" s="20">
        <f>IFERROR(U21+V17-변수!V32,"")</f>
        <v/>
      </c>
      <c r="W21" s="35">
        <f>V21</f>
        <v/>
      </c>
      <c r="X21" s="20">
        <f>IFERROR(V21+X17-변수!X32,"")</f>
        <v/>
      </c>
      <c r="Y21" s="20">
        <f>IFERROR(X21+Y17-변수!Y32,"")</f>
        <v/>
      </c>
      <c r="Z21" s="20">
        <f>IFERROR(Y21+Z17-변수!Z32,"")</f>
        <v/>
      </c>
      <c r="AA21" s="20">
        <f>IFERROR(Z21+AA17-변수!AA32,"")</f>
        <v/>
      </c>
      <c r="AB21" s="35">
        <f>AA21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 t="n"/>
      <c r="F22" s="18">
        <f>IFERROR(VLOOKUP($D22,BS연결,MATCH(F$1,BS연결H,0),0)/100,"")</f>
        <v/>
      </c>
      <c r="G22" s="18">
        <f>IFERROR(VLOOKUP($D22,BS연결,MATCH(G$1,BS연결H,0),0)/100,"")</f>
        <v/>
      </c>
      <c r="H22" s="34">
        <f>IFERROR(VLOOKUP($D22,BS연결,MATCH(H$1,BS연결H,0),0)/100,"")</f>
        <v/>
      </c>
      <c r="I22" s="18" t="n"/>
      <c r="J22" s="18">
        <f>IFERROR(VLOOKUP($D22,BS연결,MATCH(J$1,BS연결H,0),0)/100,"")</f>
        <v/>
      </c>
      <c r="K22" s="18" t="n"/>
      <c r="L22" s="18">
        <f>IFERROR(VLOOKUP($D22,BS연결,MATCH(L$1,BS연결H,0),0)/100,"")</f>
        <v/>
      </c>
      <c r="M22" s="34">
        <f>IFERROR(VLOOKUP($D22,BS연결,MATCH(M$1,BS연결H,0),0)/100,"")</f>
        <v/>
      </c>
      <c r="N22" s="18" t="n"/>
      <c r="O22" s="19" t="n"/>
      <c r="P22" s="20" t="n"/>
      <c r="Q22" s="20" t="n"/>
      <c r="R22" s="35">
        <f>Q22</f>
        <v/>
      </c>
      <c r="S22" s="20" t="n"/>
      <c r="T22" s="20" t="n"/>
      <c r="U22" s="20" t="n"/>
      <c r="V22" s="20" t="n"/>
      <c r="W22" s="35">
        <f>V22</f>
        <v/>
      </c>
      <c r="X22" s="20" t="n"/>
      <c r="Y22" s="20" t="n"/>
      <c r="Z22" s="20" t="n"/>
      <c r="AA22" s="20" t="n"/>
      <c r="AB22" s="35">
        <f>AA22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 t="n"/>
      <c r="F23" s="18">
        <f>IFERROR(VLOOKUP($D23,BS연결,MATCH(F$1,BS연결H,0),0)/100,"")</f>
        <v/>
      </c>
      <c r="G23" s="18">
        <f>IFERROR(VLOOKUP($D23,BS연결,MATCH(G$1,BS연결H,0),0)/100,"")</f>
        <v/>
      </c>
      <c r="H23" s="34">
        <f>IFERROR(VLOOKUP($D23,BS연결,MATCH(H$1,BS연결H,0),0)/100,"")</f>
        <v/>
      </c>
      <c r="I23" s="18" t="n"/>
      <c r="J23" s="18">
        <f>IFERROR(VLOOKUP($D23,BS연결,MATCH(J$1,BS연결H,0),0)/100,"")</f>
        <v/>
      </c>
      <c r="K23" s="18" t="n"/>
      <c r="L23" s="18">
        <f>IFERROR(VLOOKUP($D23,BS연결,MATCH(L$1,BS연결H,0),0)/100,"")</f>
        <v/>
      </c>
      <c r="M23" s="34">
        <f>IFERROR(VLOOKUP($D23,BS연결,MATCH(M$1,BS연결H,0),0)/100,"")</f>
        <v/>
      </c>
      <c r="N23" s="18" t="n"/>
      <c r="O23" s="19" t="n"/>
      <c r="P23" s="20" t="n"/>
      <c r="Q23" s="20" t="n"/>
      <c r="R23" s="35">
        <f>Q23</f>
        <v/>
      </c>
      <c r="S23" s="20" t="n"/>
      <c r="T23" s="20" t="n"/>
      <c r="U23" s="20" t="n"/>
      <c r="V23" s="20" t="n"/>
      <c r="W23" s="35">
        <f>V23</f>
        <v/>
      </c>
      <c r="X23" s="20" t="n"/>
      <c r="Y23" s="20" t="n"/>
      <c r="Z23" s="20" t="n"/>
      <c r="AA23" s="20" t="n"/>
      <c r="AB23" s="35">
        <f>AA23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4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4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IFERROR(O24*(1+변수!P35),"")</f>
        <v/>
      </c>
      <c r="Q24" s="20">
        <f>IFERROR(P24*(1+변수!Q35),"")</f>
        <v/>
      </c>
      <c r="R24" s="35">
        <f>Q24</f>
        <v/>
      </c>
      <c r="S24" s="20">
        <f>IFERROR(Q24*(1+변수!S35),"")</f>
        <v/>
      </c>
      <c r="T24" s="20">
        <f>IFERROR(S24*(1+변수!T35),"")</f>
        <v/>
      </c>
      <c r="U24" s="20">
        <f>IFERROR(T24*(1+변수!U35),"")</f>
        <v/>
      </c>
      <c r="V24" s="20">
        <f>IFERROR(U24*(1+변수!V35),"")</f>
        <v/>
      </c>
      <c r="W24" s="35">
        <f>V24</f>
        <v/>
      </c>
      <c r="X24" s="20">
        <f>IFERROR(V24*(1+변수!X35),"")</f>
        <v/>
      </c>
      <c r="Y24" s="20">
        <f>IFERROR(X24*(1+변수!Y35),"")</f>
        <v/>
      </c>
      <c r="Z24" s="20">
        <f>IFERROR(Y24*(1+변수!Z35),"")</f>
        <v/>
      </c>
      <c r="AA24" s="20">
        <f>IFERROR(Z24*(1+변수!AA35),"")</f>
        <v/>
      </c>
      <c r="AB24" s="35">
        <f>AA24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4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4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 t="n"/>
      <c r="Q25" s="20" t="n"/>
      <c r="R25" s="35">
        <f>Q25</f>
        <v/>
      </c>
      <c r="S25" s="20" t="n"/>
      <c r="T25" s="20" t="n"/>
      <c r="U25" s="20" t="n"/>
      <c r="V25" s="20" t="n"/>
      <c r="W25" s="35">
        <f>V25</f>
        <v/>
      </c>
      <c r="X25" s="20" t="n"/>
      <c r="Y25" s="20" t="n"/>
      <c r="Z25" s="20" t="n"/>
      <c r="AA25" s="20" t="n"/>
      <c r="AB25" s="35">
        <f>AA25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>
        <f>IFERROR(VLOOKUP($D26,BS연결,MATCH(G$1,BS연결H,0),0)/100,"")</f>
        <v/>
      </c>
      <c r="H26" s="34" t="n"/>
      <c r="I26" s="18">
        <f>IFERROR(VLOOKUP($D26,BS연결,MATCH(I$1,BS연결H,0),0)/100,"")</f>
        <v/>
      </c>
      <c r="J26" s="18">
        <f>IFERROR(VLOOKUP($D26,BS연결,MATCH(J$1,BS연결H,0),0)/100,"")</f>
        <v/>
      </c>
      <c r="K26" s="18">
        <f>IFERROR(VLOOKUP($D26,BS연결,MATCH(K$1,BS연결H,0),0)/100,"")</f>
        <v/>
      </c>
      <c r="L26" s="18">
        <f>IFERROR(VLOOKUP($D26,BS연결,MATCH(L$1,BS연결H,0),0)/100,"")</f>
        <v/>
      </c>
      <c r="M26" s="34">
        <f>IFERROR(VLOOKUP($D26,BS연결,MATCH(M$1,BS연결H,0),0)/100,"")</f>
        <v/>
      </c>
      <c r="N26" s="18">
        <f>IFERROR(VLOOKUP($D26,BS연결,MATCH(N$1,BS연결H,0),0)/100,"")</f>
        <v/>
      </c>
      <c r="O26" s="19">
        <f>IFERROR(VLOOKUP($D26,BS연결,MATCH(O$1,BS연결H,0),0)/100,"")</f>
        <v/>
      </c>
      <c r="P26" s="20" t="n"/>
      <c r="Q26" s="20" t="n"/>
      <c r="R26" s="35">
        <f>SUM(N26:Q26)</f>
        <v/>
      </c>
      <c r="S26" s="20" t="n"/>
      <c r="T26" s="20" t="n"/>
      <c r="U26" s="20" t="n"/>
      <c r="V26" s="20" t="n"/>
      <c r="W26" s="35">
        <f>SUM(S26:V26)</f>
        <v/>
      </c>
      <c r="X26" s="20" t="n"/>
      <c r="Y26" s="20" t="n"/>
      <c r="Z26" s="20" t="n"/>
      <c r="AA26" s="20" t="n"/>
      <c r="AB26" s="35">
        <f>SUM(X26:AA26)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489.76</v>
      </c>
      <c r="F27" s="18" t="n">
        <v>808.87</v>
      </c>
      <c r="G27" s="18" t="n">
        <v>373.23</v>
      </c>
      <c r="H27" s="34" t="n"/>
      <c r="I27" s="18" t="n">
        <v>981.77</v>
      </c>
      <c r="J27" s="18" t="n">
        <v>577.78</v>
      </c>
      <c r="K27" s="18" t="n">
        <v>832.14</v>
      </c>
      <c r="L27" s="18" t="n">
        <v>849.59</v>
      </c>
      <c r="M27" s="34">
        <f>SUM(I27:L27)</f>
        <v/>
      </c>
      <c r="N27" s="18" t="n">
        <v>453.24</v>
      </c>
      <c r="O27" s="19" t="n">
        <v>683.75</v>
      </c>
      <c r="P27" s="20" t="n"/>
      <c r="Q27" s="20" t="n"/>
      <c r="R27" s="35">
        <f>SUM(N27:Q27)</f>
        <v/>
      </c>
      <c r="S27" s="20" t="n"/>
      <c r="T27" s="20" t="n"/>
      <c r="U27" s="20" t="n"/>
      <c r="V27" s="20" t="n"/>
      <c r="W27" s="35">
        <f>SUM(S27:V27)</f>
        <v/>
      </c>
      <c r="X27" s="20" t="n"/>
      <c r="Y27" s="20" t="n"/>
      <c r="Z27" s="20" t="n"/>
      <c r="AA27" s="20" t="n"/>
      <c r="AB27" s="35">
        <f>SUM(X27:AA27)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44.45</v>
      </c>
      <c r="F28" s="26" t="n">
        <v>44.45</v>
      </c>
      <c r="G28" s="26" t="n">
        <v>44.829</v>
      </c>
      <c r="H28" s="27">
        <f>G28</f>
        <v/>
      </c>
      <c r="I28" s="26" t="n">
        <v>44.829</v>
      </c>
      <c r="J28" s="26" t="n">
        <v>44.829</v>
      </c>
      <c r="K28" s="26" t="n">
        <v>44.829</v>
      </c>
      <c r="L28" s="26" t="n">
        <v>44.831</v>
      </c>
      <c r="M28" s="27">
        <f>L28</f>
        <v/>
      </c>
      <c r="N28" s="26" t="n">
        <v>44.831</v>
      </c>
      <c r="O28" s="28" t="n">
        <v>44.833</v>
      </c>
      <c r="P28" s="36">
        <f>IFERROR(O28*(1+변수!P39),"")</f>
        <v/>
      </c>
      <c r="Q28" s="36">
        <f>IFERROR(P28*(1+변수!Q39),"")</f>
        <v/>
      </c>
      <c r="R28" s="30">
        <f>Q28</f>
        <v/>
      </c>
      <c r="S28" s="36">
        <f>IFERROR(Q28*(1+변수!S39),"")</f>
        <v/>
      </c>
      <c r="T28" s="36">
        <f>IFERROR(S28*(1+변수!T39),"")</f>
        <v/>
      </c>
      <c r="U28" s="36">
        <f>IFERROR(T28*(1+변수!U39),"")</f>
        <v/>
      </c>
      <c r="V28" s="36">
        <f>IFERROR(U28*(1+변수!V39),"")</f>
        <v/>
      </c>
      <c r="W28" s="30">
        <f>V28</f>
        <v/>
      </c>
      <c r="X28" s="36">
        <f>IFERROR(V28*(1+변수!X39),"")</f>
        <v/>
      </c>
      <c r="Y28" s="36">
        <f>IFERROR(X28*(1+변수!Y39),"")</f>
        <v/>
      </c>
      <c r="Z28" s="36">
        <f>IFERROR(Y28*(1+변수!Z39),"")</f>
        <v/>
      </c>
      <c r="AA28" s="36">
        <f>IFERROR(Z28*(1+변수!AA39),"")</f>
        <v/>
      </c>
      <c r="AB28" s="30">
        <f>AA28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4" t="n"/>
      <c r="I29" s="18">
        <f>IFERROR(I17*100/I28,"")</f>
        <v/>
      </c>
      <c r="J29" s="18">
        <f>IFERROR(J17*100/J28,"")</f>
        <v/>
      </c>
      <c r="K29" s="18">
        <f>IFERROR(K17*100/K28,"")</f>
        <v/>
      </c>
      <c r="L29" s="18">
        <f>IFERROR(L17*100/L28,"")</f>
        <v/>
      </c>
      <c r="M29" s="34">
        <f>SUM(I29:L29)</f>
        <v/>
      </c>
      <c r="N29" s="18">
        <f>IFERROR(N17*100/N28,"")</f>
        <v/>
      </c>
      <c r="O29" s="19">
        <f>IFERROR(O17*100/O28,"")</f>
        <v/>
      </c>
      <c r="P29" s="20">
        <f>IFERROR(P17*100/P28,"")</f>
        <v/>
      </c>
      <c r="Q29" s="20">
        <f>IFERROR(Q17*100/Q28,"")</f>
        <v/>
      </c>
      <c r="R29" s="35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5">
        <f>SUM(S29:V29)</f>
        <v/>
      </c>
      <c r="X29" s="20">
        <f>IFERROR(X17*100/X28,"")</f>
        <v/>
      </c>
      <c r="Y29" s="20">
        <f>IFERROR(Y17*100/Y28,"")</f>
        <v/>
      </c>
      <c r="Z29" s="20">
        <f>IFERROR(Z17*100/Z28,"")</f>
        <v/>
      </c>
      <c r="AA29" s="20">
        <f>IFERROR(AA17*100/AA28,"")</f>
        <v/>
      </c>
      <c r="AB29" s="35">
        <f>SUM(X29:AA29)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4">
        <f>G30</f>
        <v/>
      </c>
      <c r="I30" s="18">
        <f>IFERROR(I21*100/I28,"")</f>
        <v/>
      </c>
      <c r="J30" s="18">
        <f>IFERROR(J21*100/J28,"")</f>
        <v/>
      </c>
      <c r="K30" s="18">
        <f>IFERROR(K21*100/K28,"")</f>
        <v/>
      </c>
      <c r="L30" s="18">
        <f>IFERROR(L21*100/L28,"")</f>
        <v/>
      </c>
      <c r="M30" s="34">
        <f>L30</f>
        <v/>
      </c>
      <c r="N30" s="18">
        <f>IFERROR(N21*100/N28,"")</f>
        <v/>
      </c>
      <c r="O30" s="19">
        <f>IFERROR(O21*100/O28,"")</f>
        <v/>
      </c>
      <c r="P30" s="20">
        <f>IFERROR(P21*100/P28,"")</f>
        <v/>
      </c>
      <c r="Q30" s="20">
        <f>IFERROR(Q21*100/Q28,"")</f>
        <v/>
      </c>
      <c r="R30" s="35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5">
        <f>V30</f>
        <v/>
      </c>
      <c r="X30" s="20">
        <f>IFERROR(X21*100/X28,"")</f>
        <v/>
      </c>
      <c r="Y30" s="20">
        <f>IFERROR(Y21*100/Y28,"")</f>
        <v/>
      </c>
      <c r="Z30" s="20">
        <f>IFERROR(Z21*100/Z28,"")</f>
        <v/>
      </c>
      <c r="AA30" s="20">
        <f>IFERROR(AA21*100/AA28,"")</f>
        <v/>
      </c>
      <c r="AB30" s="35">
        <f>AA30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3150</v>
      </c>
      <c r="H31" s="34" t="n">
        <v>3150</v>
      </c>
      <c r="I31" s="18" t="n"/>
      <c r="J31" s="18" t="n"/>
      <c r="K31" s="18" t="n"/>
      <c r="L31" s="18" t="n">
        <v>3950</v>
      </c>
      <c r="M31" s="34">
        <f>SUM(I31:L31)</f>
        <v/>
      </c>
      <c r="N31" s="18" t="n"/>
      <c r="O31" s="19" t="n"/>
      <c r="P31" s="20" t="n"/>
      <c r="Q31" s="20">
        <f>IFERROR(L31*(1+변수!Q40),"")</f>
        <v/>
      </c>
      <c r="R31" s="35">
        <f>SUM(N31:Q31)</f>
        <v/>
      </c>
      <c r="S31" s="20" t="n"/>
      <c r="T31" s="20" t="n"/>
      <c r="U31" s="20" t="n"/>
      <c r="V31" s="20">
        <f>IFERROR(Q31*(1+변수!V40),"")</f>
        <v/>
      </c>
      <c r="W31" s="35">
        <f>SUM(S31:V31)</f>
        <v/>
      </c>
      <c r="X31" s="20" t="n"/>
      <c r="Y31" s="20" t="n"/>
      <c r="Z31" s="20" t="n"/>
      <c r="AA31" s="20">
        <f>IFERROR(V31*(1+변수!AA40),"")</f>
        <v/>
      </c>
      <c r="AB31" s="35">
        <f>SUM(X31:AA31)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18" t="n"/>
      <c r="H32" s="34" t="n"/>
      <c r="I32" s="18" t="n">
        <v>28.02</v>
      </c>
      <c r="J32" s="18" t="n">
        <v>31.63</v>
      </c>
      <c r="K32" s="18" t="n">
        <v>33.81</v>
      </c>
      <c r="L32" s="18" t="n">
        <v>35.53</v>
      </c>
      <c r="M32" s="34">
        <f>SUM(I32:L32)</f>
        <v/>
      </c>
      <c r="N32" s="18" t="n">
        <v>26.6</v>
      </c>
      <c r="O32" s="19" t="n">
        <v>29.92</v>
      </c>
      <c r="P32" s="20">
        <f>IFERROR(K32*(1+변수!P41),"")</f>
        <v/>
      </c>
      <c r="Q32" s="20">
        <f>IFERROR(L32*(1+변수!Q41),"")</f>
        <v/>
      </c>
      <c r="R32" s="35">
        <f>SUM(N32:Q32)</f>
        <v/>
      </c>
      <c r="S32" s="20">
        <f>IFERROR(N32*(1+변수!S41),"")</f>
        <v/>
      </c>
      <c r="T32" s="20">
        <f>IFERROR(O32*(1+변수!T41),"")</f>
        <v/>
      </c>
      <c r="U32" s="20">
        <f>IFERROR(P32*(1+변수!U41),"")</f>
        <v/>
      </c>
      <c r="V32" s="20">
        <f>IFERROR(Q32*(1+변수!V41),"")</f>
        <v/>
      </c>
      <c r="W32" s="35">
        <f>SUM(S32:V32)</f>
        <v/>
      </c>
      <c r="X32" s="20">
        <f>IFERROR(S32*(1+변수!X41),"")</f>
        <v/>
      </c>
      <c r="Y32" s="20">
        <f>IFERROR(T32*(1+변수!Y41),"")</f>
        <v/>
      </c>
      <c r="Z32" s="20">
        <f>IFERROR(U32*(1+변수!Z41),"")</f>
        <v/>
      </c>
      <c r="AA32" s="20">
        <f>IFERROR(V32*(1+변수!AA41),"")</f>
        <v/>
      </c>
      <c r="AB32" s="35">
        <f>SUM(X32:AA32)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10.52</v>
      </c>
      <c r="F33" s="18" t="n">
        <v>7.72</v>
      </c>
      <c r="G33" s="18" t="n">
        <v>7.89</v>
      </c>
      <c r="H33" s="34" t="n">
        <v>9.35</v>
      </c>
      <c r="I33" s="18" t="n">
        <v>9.710000000000001</v>
      </c>
      <c r="J33" s="18" t="n">
        <v>10.59</v>
      </c>
      <c r="K33" s="18" t="n">
        <v>11.46</v>
      </c>
      <c r="L33" s="18" t="n">
        <v>11.61</v>
      </c>
      <c r="M33" s="34">
        <f>SUM(I33:L33)</f>
        <v/>
      </c>
      <c r="N33" s="18" t="n">
        <v>9.56</v>
      </c>
      <c r="O33" s="19" t="n">
        <v>11.21</v>
      </c>
      <c r="P33" s="20">
        <f>IFERROR(K33*(1+변수!P42),"")</f>
        <v/>
      </c>
      <c r="Q33" s="20">
        <f>IFERROR(L33*(1+변수!Q42),"")</f>
        <v/>
      </c>
      <c r="R33" s="35">
        <f>SUM(N33:Q33)</f>
        <v/>
      </c>
      <c r="S33" s="20">
        <f>IFERROR(N33*(1+변수!S42),"")</f>
        <v/>
      </c>
      <c r="T33" s="20">
        <f>IFERROR(O33*(1+변수!T42),"")</f>
        <v/>
      </c>
      <c r="U33" s="20">
        <f>IFERROR(P33*(1+변수!U42),"")</f>
        <v/>
      </c>
      <c r="V33" s="20">
        <f>IFERROR(Q33*(1+변수!V42),"")</f>
        <v/>
      </c>
      <c r="W33" s="35">
        <f>SUM(S33:V33)</f>
        <v/>
      </c>
      <c r="X33" s="20">
        <f>IFERROR(S33*(1+변수!X42),"")</f>
        <v/>
      </c>
      <c r="Y33" s="20">
        <f>IFERROR(T33*(1+변수!Y42),"")</f>
        <v/>
      </c>
      <c r="Z33" s="20">
        <f>IFERROR(U33*(1+변수!Z42),"")</f>
        <v/>
      </c>
      <c r="AA33" s="20">
        <f>IFERROR(V33*(1+변수!AA42),"")</f>
        <v/>
      </c>
      <c r="AB33" s="35">
        <f>SUM(X33:AA33)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4378.55</v>
      </c>
      <c r="F34" s="18" t="n">
        <v>4612.61</v>
      </c>
      <c r="G34" s="18" t="n">
        <v>4633.73</v>
      </c>
      <c r="H34" s="34" t="n"/>
      <c r="I34" s="18" t="n">
        <v>4855.98</v>
      </c>
      <c r="J34" s="18" t="n">
        <v>4677.22</v>
      </c>
      <c r="K34" s="18" t="n">
        <v>5131.76</v>
      </c>
      <c r="L34" s="18" t="n">
        <v>5162.05</v>
      </c>
      <c r="M34" s="34">
        <f>SUM(I34:L34)</f>
        <v/>
      </c>
      <c r="N34" s="18" t="n">
        <v>5746.09</v>
      </c>
      <c r="O34" s="19" t="n">
        <v>5804.14</v>
      </c>
      <c r="P34" s="20">
        <f>IFERROR(P5*변수!P43,"")</f>
        <v/>
      </c>
      <c r="Q34" s="20">
        <f>IFERROR(Q5*변수!Q43,"")</f>
        <v/>
      </c>
      <c r="R34" s="35">
        <f>SUM(N34:Q34)</f>
        <v/>
      </c>
      <c r="S34" s="20">
        <f>IFERROR(S5*변수!S43,"")</f>
        <v/>
      </c>
      <c r="T34" s="20">
        <f>IFERROR(T5*변수!T43,"")</f>
        <v/>
      </c>
      <c r="U34" s="20">
        <f>IFERROR(U5*변수!U43,"")</f>
        <v/>
      </c>
      <c r="V34" s="20">
        <f>IFERROR(V5*변수!V43,"")</f>
        <v/>
      </c>
      <c r="W34" s="35">
        <f>SUM(S34:V34)</f>
        <v/>
      </c>
      <c r="X34" s="20">
        <f>IFERROR(X5*변수!X43,"")</f>
        <v/>
      </c>
      <c r="Y34" s="20">
        <f>IFERROR(Y5*변수!Y43,"")</f>
        <v/>
      </c>
      <c r="Z34" s="20">
        <f>IFERROR(Z5*변수!Z43,"")</f>
        <v/>
      </c>
      <c r="AA34" s="20">
        <f>IFERROR(AA5*변수!AA43,"")</f>
        <v/>
      </c>
      <c r="AB34" s="35">
        <f>SUM(X34:AA34)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709.86</v>
      </c>
      <c r="F35" s="18" t="n">
        <v>833.83</v>
      </c>
      <c r="G35" s="18" t="n">
        <v>658.79</v>
      </c>
      <c r="H35" s="34" t="n"/>
      <c r="I35" s="18" t="n">
        <v>830.0700000000001</v>
      </c>
      <c r="J35" s="18" t="n">
        <v>830.1</v>
      </c>
      <c r="K35" s="18" t="n">
        <v>935.96</v>
      </c>
      <c r="L35" s="18" t="n">
        <v>905.28</v>
      </c>
      <c r="M35" s="34">
        <f>SUM(I35:L35)</f>
        <v/>
      </c>
      <c r="N35" s="18" t="n">
        <v>933.9400000000001</v>
      </c>
      <c r="O35" s="19" t="n">
        <v>976.25</v>
      </c>
      <c r="P35" s="20">
        <f>IFERROR(P34*변수!P44,"")</f>
        <v/>
      </c>
      <c r="Q35" s="20">
        <f>IFERROR(Q34*변수!Q44,"")</f>
        <v/>
      </c>
      <c r="R35" s="35">
        <f>SUM(N35:Q35)</f>
        <v/>
      </c>
      <c r="S35" s="20">
        <f>IFERROR(S34*변수!S44,"")</f>
        <v/>
      </c>
      <c r="T35" s="20">
        <f>IFERROR(T34*변수!T44,"")</f>
        <v/>
      </c>
      <c r="U35" s="20">
        <f>IFERROR(U34*변수!U44,"")</f>
        <v/>
      </c>
      <c r="V35" s="20">
        <f>IFERROR(V34*변수!V44,"")</f>
        <v/>
      </c>
      <c r="W35" s="35">
        <f>SUM(S35:V35)</f>
        <v/>
      </c>
      <c r="X35" s="20">
        <f>IFERROR(X34*변수!X44,"")</f>
        <v/>
      </c>
      <c r="Y35" s="20">
        <f>IFERROR(Y34*변수!Y44,"")</f>
        <v/>
      </c>
      <c r="Z35" s="20">
        <f>IFERROR(Z34*변수!Z44,"")</f>
        <v/>
      </c>
      <c r="AA35" s="20">
        <f>IFERROR(AA34*변수!AA44,"")</f>
        <v/>
      </c>
      <c r="AB35" s="35">
        <f>SUM(X35:AA35)</f>
        <v/>
      </c>
    </row>
    <row r="36">
      <c r="B36" s="2" t="inlineStr">
        <is>
          <t>비율(참고)</t>
        </is>
      </c>
      <c r="H36" s="9" t="n"/>
      <c r="M36" s="9" t="n"/>
      <c r="O36" s="5" t="n"/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1">
        <f>IFERROR(F9/F5,"")</f>
        <v/>
      </c>
      <c r="G37" s="21">
        <f>IFERROR(G9/G5,"")</f>
        <v/>
      </c>
      <c r="H37" s="22">
        <f>IFERROR(H9/H5,"")</f>
        <v/>
      </c>
      <c r="I37" s="21">
        <f>IFERROR(I9/I5,"")</f>
        <v/>
      </c>
      <c r="J37" s="21">
        <f>IFERROR(J9/J5,"")</f>
        <v/>
      </c>
      <c r="K37" s="21">
        <f>IFERROR(K9/K5,"")</f>
        <v/>
      </c>
      <c r="L37" s="21">
        <f>IFERROR(L9/L5,"")</f>
        <v/>
      </c>
      <c r="M37" s="22">
        <f>IFERROR(M9/M5,"")</f>
        <v/>
      </c>
      <c r="N37" s="21">
        <f>IFERROR(N9/N5,"")</f>
        <v/>
      </c>
      <c r="O37" s="23">
        <f>IFERROR(O9/O5,"")</f>
        <v/>
      </c>
      <c r="P37" s="31">
        <f>IFERROR(P9/P5,"")</f>
        <v/>
      </c>
      <c r="Q37" s="31">
        <f>IFERROR(Q9/Q5,"")</f>
        <v/>
      </c>
      <c r="R37" s="25">
        <f>IFERROR(R9/R5,"")</f>
        <v/>
      </c>
      <c r="S37" s="31">
        <f>IFERROR(S9/S5,"")</f>
        <v/>
      </c>
      <c r="T37" s="31">
        <f>IFERROR(T9/T5,"")</f>
        <v/>
      </c>
      <c r="U37" s="31">
        <f>IFERROR(U9/U5,"")</f>
        <v/>
      </c>
      <c r="V37" s="31">
        <f>IFERROR(V9/V5,"")</f>
        <v/>
      </c>
      <c r="W37" s="25">
        <f>IFERROR(W9/W5,"")</f>
        <v/>
      </c>
      <c r="X37" s="31">
        <f>IFERROR(X9/X5,"")</f>
        <v/>
      </c>
      <c r="Y37" s="31">
        <f>IFERROR(Y9/Y5,"")</f>
        <v/>
      </c>
      <c r="Z37" s="31">
        <f>IFERROR(Z9/Z5,"")</f>
        <v/>
      </c>
      <c r="AA37" s="31">
        <f>IFERROR(AA9/AA5,"")</f>
        <v/>
      </c>
      <c r="AB37" s="25">
        <f>IFERROR(AB9/AB5,"")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3">
        <f>IFERROR(O17/O5,"")</f>
        <v/>
      </c>
      <c r="P38" s="31">
        <f>IFERROR(P17/P5,"")</f>
        <v/>
      </c>
      <c r="Q38" s="31">
        <f>IFERROR(Q17/Q5,"")</f>
        <v/>
      </c>
      <c r="R38" s="25">
        <f>IFERROR(R17/R5,"")</f>
        <v/>
      </c>
      <c r="S38" s="31">
        <f>IFERROR(S17/S5,"")</f>
        <v/>
      </c>
      <c r="T38" s="31">
        <f>IFERROR(T17/T5,"")</f>
        <v/>
      </c>
      <c r="U38" s="31">
        <f>IFERROR(U17/U5,"")</f>
        <v/>
      </c>
      <c r="V38" s="31">
        <f>IFERROR(V17/V5,"")</f>
        <v/>
      </c>
      <c r="W38" s="25">
        <f>IFERROR(W17/W5,"")</f>
        <v/>
      </c>
      <c r="X38" s="31">
        <f>IFERROR(X17/X5,"")</f>
        <v/>
      </c>
      <c r="Y38" s="31">
        <f>IFERROR(Y17/Y5,"")</f>
        <v/>
      </c>
      <c r="Z38" s="31">
        <f>IFERROR(Z17/Z5,"")</f>
        <v/>
      </c>
      <c r="AA38" s="31">
        <f>IFERROR(AA17/AA5,"")</f>
        <v/>
      </c>
      <c r="AB38" s="25">
        <f>IFERROR(AB17/AB5,"")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3">
        <f>IFERROR(O6/O5,"")</f>
        <v/>
      </c>
      <c r="P39" s="31">
        <f>IFERROR(P6/P5,"")</f>
        <v/>
      </c>
      <c r="Q39" s="31">
        <f>IFERROR(Q6/Q5,"")</f>
        <v/>
      </c>
      <c r="R39" s="25">
        <f>IFERROR(R6/R5,"")</f>
        <v/>
      </c>
      <c r="S39" s="31">
        <f>IFERROR(S6/S5,"")</f>
        <v/>
      </c>
      <c r="T39" s="31">
        <f>IFERROR(T6/T5,"")</f>
        <v/>
      </c>
      <c r="U39" s="31">
        <f>IFERROR(U6/U5,"")</f>
        <v/>
      </c>
      <c r="V39" s="31">
        <f>IFERROR(V6/V5,"")</f>
        <v/>
      </c>
      <c r="W39" s="25">
        <f>IFERROR(W6/W5,"")</f>
        <v/>
      </c>
      <c r="X39" s="31">
        <f>IFERROR(X6/X5,"")</f>
        <v/>
      </c>
      <c r="Y39" s="31">
        <f>IFERROR(Y6/Y5,"")</f>
        <v/>
      </c>
      <c r="Z39" s="31">
        <f>IFERROR(Z6/Z5,"")</f>
        <v/>
      </c>
      <c r="AA39" s="31">
        <f>IFERROR(AA6/AA5,"")</f>
        <v/>
      </c>
      <c r="AB39" s="25">
        <f>IFERROR(AB6/AB5,"")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3">
        <f>IFERROR(O8/O5,"")</f>
        <v/>
      </c>
      <c r="P40" s="31">
        <f>IFERROR(P8/P5,"")</f>
        <v/>
      </c>
      <c r="Q40" s="31">
        <f>IFERROR(Q8/Q5,"")</f>
        <v/>
      </c>
      <c r="R40" s="25">
        <f>IFERROR(R8/R5,"")</f>
        <v/>
      </c>
      <c r="S40" s="31">
        <f>IFERROR(S8/S5,"")</f>
        <v/>
      </c>
      <c r="T40" s="31">
        <f>IFERROR(T8/T5,"")</f>
        <v/>
      </c>
      <c r="U40" s="31">
        <f>IFERROR(U8/U5,"")</f>
        <v/>
      </c>
      <c r="V40" s="31">
        <f>IFERROR(V8/V5,"")</f>
        <v/>
      </c>
      <c r="W40" s="25">
        <f>IFERROR(W8/W5,"")</f>
        <v/>
      </c>
      <c r="X40" s="31">
        <f>IFERROR(X8/X5,"")</f>
        <v/>
      </c>
      <c r="Y40" s="31">
        <f>IFERROR(Y8/Y5,"")</f>
        <v/>
      </c>
      <c r="Z40" s="31">
        <f>IFERROR(Z8/Z5,"")</f>
        <v/>
      </c>
      <c r="AA40" s="31">
        <f>IFERROR(AA8/AA5,"")</f>
        <v/>
      </c>
      <c r="AB40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7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M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39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0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1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1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1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1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1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2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  <c r="T10" s="31">
        <f>IFERROR(VLOOKUP($A10,subQ,MATCH(T$1,SUBQH,0),0),"")</f>
        <v/>
      </c>
      <c r="U10" s="31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1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1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1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1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1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1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1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1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1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1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1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1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1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1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1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1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1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43">
        <f>IFERROR(VLOOKUP($A28,subQ,MATCH(M$1,SUBQH,0),0),"")</f>
        <v/>
      </c>
      <c r="N28" s="36">
        <f>IFERROR(VLOOKUP($A28,subQ,MATCH(N$1,SUBQH,0),0),"")</f>
        <v/>
      </c>
      <c r="O28" s="36">
        <f>IFERROR(VLOOKUP($A28,subQ,MATCH(O$1,SUBQH,0),0),"")</f>
        <v/>
      </c>
      <c r="P28" s="36">
        <f>IFERROR(VLOOKUP($A28,subQ,MATCH(P$1,SUBQH,0),0),"")</f>
        <v/>
      </c>
      <c r="Q28" s="36">
        <f>IFERROR(VLOOKUP($A28,subQ,MATCH(Q$1,SUBQH,0),0),"")</f>
        <v/>
      </c>
      <c r="R28" s="36">
        <f>IFERROR(VLOOKUP($A28,subQ,MATCH(R$1,SUBQH,0),0),"")</f>
        <v/>
      </c>
      <c r="S28" s="36">
        <f>IFERROR(VLOOKUP($A28,subQ,MATCH(S$1,SUBQH,0),0),"")</f>
        <v/>
      </c>
      <c r="T28" s="36">
        <f>IFERROR(VLOOKUP($A28,subQ,MATCH(T$1,SUBQH,0),0),"")</f>
        <v/>
      </c>
      <c r="U28" s="36">
        <f>IFERROR(VLOOKUP($A28,subQ,MATCH(U$1,SUBQH,0),0),"")</f>
        <v/>
      </c>
      <c r="V28" s="36">
        <f>IFERROR(VLOOKUP($A28,subQ,MATCH(V$1,SUBQH,0),0),"")</f>
        <v/>
      </c>
      <c r="W28" s="36">
        <f>IFERROR(VLOOKUP($A28,subQ,MATCH(W$1,SUBQH,0),0),"")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1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1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1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41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1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1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1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42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  <c r="T36" s="31">
        <f>IFERROR(VLOOKUP($A36,subQ,MATCH(T$1,SUBQH,0),0),"")</f>
        <v/>
      </c>
      <c r="U36" s="31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42">
        <f>IFERROR(VLOOKUP($A37,subQ,MATCH(M$1,SUBQH,0),0),"")</f>
        <v/>
      </c>
      <c r="N37" s="31">
        <f>IFERROR(VLOOKUP($A37,subQ,MATCH(N$1,SUBQH,0),0),"")</f>
        <v/>
      </c>
      <c r="O37" s="31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  <c r="S37" s="31">
        <f>IFERROR(VLOOKUP($A37,subQ,MATCH(S$1,SUBQH,0),0),"")</f>
        <v/>
      </c>
      <c r="T37" s="31">
        <f>IFERROR(VLOOKUP($A37,subQ,MATCH(T$1,SUBQH,0),0),"")</f>
        <v/>
      </c>
      <c r="U37" s="31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42">
        <f>IFERROR(M5/I5-1,"")</f>
        <v/>
      </c>
      <c r="N38" s="31">
        <f>IFERROR(N5/J5-1,"")</f>
        <v/>
      </c>
      <c r="O38" s="31">
        <f>IFERROR(O5/K5-1,"")</f>
        <v/>
      </c>
      <c r="P38" s="31">
        <f>IFERROR(P5/L5-1,"")</f>
        <v/>
      </c>
      <c r="Q38" s="31">
        <f>IFERROR(Q5/M5-1,"")</f>
        <v/>
      </c>
      <c r="R38" s="31">
        <f>IFERROR(R5/N5-1,"")</f>
        <v/>
      </c>
      <c r="S38" s="31">
        <f>IFERROR(S5/O5-1,"")</f>
        <v/>
      </c>
      <c r="T38" s="31">
        <f>IFERROR(T5/P5-1,"")</f>
        <v/>
      </c>
      <c r="U38" s="31">
        <f>IFERROR(U5/Q5-1,"")</f>
        <v/>
      </c>
      <c r="V38" s="31">
        <f>IFERROR(V5/R5-1,"")</f>
        <v/>
      </c>
      <c r="W38" s="31">
        <f>IFERROR(W5/S5-1,"")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42">
        <f>IFERROR(M9/I9-1,"")</f>
        <v/>
      </c>
      <c r="N39" s="31">
        <f>IFERROR(N9/J9-1,"")</f>
        <v/>
      </c>
      <c r="O39" s="31">
        <f>IFERROR(O9/K9-1,"")</f>
        <v/>
      </c>
      <c r="P39" s="31">
        <f>IFERROR(P9/L9-1,"")</f>
        <v/>
      </c>
      <c r="Q39" s="31">
        <f>IFERROR(Q9/M9-1,"")</f>
        <v/>
      </c>
      <c r="R39" s="31">
        <f>IFERROR(R9/N9-1,"")</f>
        <v/>
      </c>
      <c r="S39" s="31">
        <f>IFERROR(S9/O9-1,"")</f>
        <v/>
      </c>
      <c r="T39" s="31">
        <f>IFERROR(T9/P9-1,"")</f>
        <v/>
      </c>
      <c r="U39" s="31">
        <f>IFERROR(U9/Q9-1,"")</f>
        <v/>
      </c>
      <c r="V39" s="31">
        <f>IFERROR(V9/R9-1,"")</f>
        <v/>
      </c>
      <c r="W39" s="31">
        <f>IFERROR(W9/S9-1,"")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42">
        <f>IFERROR(M17/I17-1,"")</f>
        <v/>
      </c>
      <c r="N40" s="31">
        <f>IFERROR(N17/J17-1,"")</f>
        <v/>
      </c>
      <c r="O40" s="31">
        <f>IFERROR(O17/K17-1,"")</f>
        <v/>
      </c>
      <c r="P40" s="31">
        <f>IFERROR(P17/L17-1,"")</f>
        <v/>
      </c>
      <c r="Q40" s="31">
        <f>IFERROR(Q17/M17-1,"")</f>
        <v/>
      </c>
      <c r="R40" s="31">
        <f>IFERROR(R17/N17-1,"")</f>
        <v/>
      </c>
      <c r="S40" s="31">
        <f>IFERROR(S17/O17-1,"")</f>
        <v/>
      </c>
      <c r="T40" s="31">
        <f>IFERROR(T17/P17-1,"")</f>
        <v/>
      </c>
      <c r="U40" s="31">
        <f>IFERROR(U17/Q17-1,"")</f>
        <v/>
      </c>
      <c r="V40" s="31">
        <f>IFERROR(V17/R17-1,"")</f>
        <v/>
      </c>
      <c r="W40" s="31">
        <f>IFERROR(W17/S17-1,"")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37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변수!D47</f>
        <v/>
      </c>
      <c r="F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39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0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1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1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1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1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1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2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  <c r="I10" s="31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1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41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41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41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41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41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41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41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41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41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41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41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41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41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41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41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41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43">
        <f>IFERROR(VLOOKUP($A28,subQ,MATCH(F$1,SUBQH,0),0),"")</f>
        <v/>
      </c>
      <c r="G28" s="36">
        <f>IFERROR(VLOOKUP($A28,subQ,MATCH(G$1,SUBQH,0),0),"")</f>
        <v/>
      </c>
      <c r="H28" s="36">
        <f>IFERROR(VLOOKUP($A28,subQ,MATCH(H$1,SUBQH,0),0),"")</f>
        <v/>
      </c>
      <c r="I28" s="36">
        <f>IFERROR(VLOOKUP($A28,subQ,MATCH(I$1,SUBQH,0),0),"")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41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41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41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41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41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41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41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42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  <c r="I36" s="31">
        <f>IFERROR(VLOOKUP($A36,subQ,MATCH(I$1,SUBQH,0),0),"")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42">
        <f>IFERROR(VLOOKUP($A37,subQ,MATCH(F$1,SUBQH,0),0),"")</f>
        <v/>
      </c>
      <c r="G37" s="31">
        <f>IFERROR(VLOOKUP($A37,subQ,MATCH(G$1,SUBQH,0),0),"")</f>
        <v/>
      </c>
      <c r="H37" s="31">
        <f>IFERROR(VLOOKUP($A37,subQ,MATCH(H$1,SUBQH,0),0),"")</f>
        <v/>
      </c>
      <c r="I37" s="31">
        <f>IFERROR(VLOOKUP($A37,subQ,MATCH(I$1,SUBQH,0),0),"")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42">
        <f>IFERROR(F5/E5-1,"")</f>
        <v/>
      </c>
      <c r="G38" s="31">
        <f>IFERROR(G5/F5-1,"")</f>
        <v/>
      </c>
      <c r="H38" s="31">
        <f>IFERROR(H5/G5-1,"")</f>
        <v/>
      </c>
      <c r="I38" s="31">
        <f>IFERROR(I5/H5-1,"")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42">
        <f>IFERROR(F9/E9-1,"")</f>
        <v/>
      </c>
      <c r="G39" s="31">
        <f>IFERROR(G9/F9-1,"")</f>
        <v/>
      </c>
      <c r="H39" s="31">
        <f>IFERROR(H9/G9-1,"")</f>
        <v/>
      </c>
      <c r="I39" s="31">
        <f>IFERROR(I9/H9-1,"")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42">
        <f>IFERROR(F17/E17-1,"")</f>
        <v/>
      </c>
      <c r="G40" s="31">
        <f>IFERROR(G17/F17-1,"")</f>
        <v/>
      </c>
      <c r="H40" s="31">
        <f>IFERROR(H17/G17-1,"")</f>
        <v/>
      </c>
      <c r="I40" s="31">
        <f>IFERROR(I17/H17-1,"")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7502.1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31.52</v>
      </c>
    </row>
    <row r="32">
      <c r="C32" s="2" t="inlineStr">
        <is>
          <t>pbr_now</t>
        </is>
      </c>
      <c r="D32" t="n">
        <v>11.89</v>
      </c>
    </row>
    <row r="33">
      <c r="C33" s="2" t="inlineStr">
        <is>
          <t>roe_fwd</t>
        </is>
      </c>
      <c r="D33" t="n">
        <v>0.377</v>
      </c>
    </row>
    <row r="34">
      <c r="C34" s="2" t="inlineStr">
        <is>
          <t>fair_pbr</t>
        </is>
      </c>
      <c r="D34" t="n">
        <v>4.19</v>
      </c>
    </row>
    <row r="35">
      <c r="C35" s="2" t="inlineStr">
        <is>
          <t>fair_value_pbr</t>
        </is>
      </c>
      <c r="D35" t="n">
        <v>83400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  <c r="T5" s="45">
        <f>IFERROR(VLOOKUP($D5,환율,MATCH(T$1,변수H,0),0),"")</f>
        <v/>
      </c>
      <c r="U5" s="45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  <c r="T6" s="31">
        <f>IFERROR(T5/S5-1,"")</f>
        <v/>
      </c>
      <c r="U6" s="31">
        <f>IFERROR(U5/T5-1,"")</f>
        <v/>
      </c>
      <c r="V6" s="31">
        <f>IFERROR(V5/U5-1,"")</f>
        <v/>
      </c>
      <c r="W6" s="31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  <c r="T7" s="45">
        <f>IFERROR(VLOOKUP($D7,환율,MATCH(T$1,변수H,0),0),"")</f>
        <v/>
      </c>
      <c r="U7" s="45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  <c r="T8" s="31">
        <f>IFERROR(T7/S7-1,"")</f>
        <v/>
      </c>
      <c r="U8" s="31">
        <f>IFERROR(U7/T7-1,"")</f>
        <v/>
      </c>
      <c r="V8" s="31">
        <f>IFERROR(V7/U7-1,"")</f>
        <v/>
      </c>
      <c r="W8" s="31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  <c r="T9" s="45">
        <f>IFERROR(VLOOKUP($D9,환율,MATCH(T$1,변수H,0),0),"")</f>
        <v/>
      </c>
      <c r="U9" s="45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  <c r="T10" s="31">
        <f>IFERROR(T9/S9-1,"")</f>
        <v/>
      </c>
      <c r="U10" s="31">
        <f>IFERROR(U9/T9-1,"")</f>
        <v/>
      </c>
      <c r="V10" s="31">
        <f>IFERROR(V9/U9-1,"")</f>
        <v/>
      </c>
      <c r="W10" s="31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  <c r="T11" s="45">
        <f>IFERROR(VLOOKUP($D11,환율,MATCH(T$1,변수H,0),0),"")</f>
        <v/>
      </c>
      <c r="U11" s="45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  <c r="T12" s="31">
        <f>IFERROR(T11/S11-1,"")</f>
        <v/>
      </c>
      <c r="U12" s="31">
        <f>IFERROR(U11/T11-1,"")</f>
        <v/>
      </c>
      <c r="V12" s="31">
        <f>IFERROR(V11/U11-1,"")</f>
        <v/>
      </c>
      <c r="W12" s="31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  <c r="T13" s="45">
        <f>IFERROR(VLOOKUP($D13,환율,MATCH(T$1,변수H,0),0),"")</f>
        <v/>
      </c>
      <c r="U13" s="45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  <c r="T14" s="31">
        <f>IFERROR(T13/S13-1,"")</f>
        <v/>
      </c>
      <c r="U14" s="31">
        <f>IFERROR(U13/T13-1,"")</f>
        <v/>
      </c>
      <c r="V14" s="31">
        <f>IFERROR(V13/U13-1,"")</f>
        <v/>
      </c>
      <c r="W14" s="31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