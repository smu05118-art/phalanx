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55521억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56959억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59908억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63218억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67199억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71356억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55521억 × 비례계수 0.1262(원점회귀; 격자 lag0~4×창8/12/19×수준·YoY·4Q합 중 최대 r=0.90, n=9, 창 12)
[yoy]</t>
      </text>
    </comment>
    <comment ref="V5" authorId="0" shapeId="0">
      <text>
        <t>추정: 고객 매출 가중지수(t−3) 56959억 × 비례계수 0.1262(원점회귀; 격자 lag0~4×창8/12/19×수준·YoY·4Q합 중 최대 r=0.90, n=9, 창 12)
[yoy]</t>
      </text>
    </comment>
    <comment ref="X5" authorId="0" shapeId="0">
      <text>
        <t>추정: 고객 매출 가중지수(t−3) 59908억 × 비례계수 0.1262(원점회귀; 격자 lag0~4×창8/12/19×수준·YoY·4Q합 중 최대 r=0.90, n=9, 창 12)
[yoy]</t>
      </text>
    </comment>
    <comment ref="Y5" authorId="0" shapeId="0">
      <text>
        <t>추정: 고객 매출 가중지수(t−3) 63218억 × 비례계수 0.1262(원점회귀; 격자 lag0~4×창8/12/19×수준·YoY·4Q합 중 최대 r=0.90, n=9, 창 12)
[yoy]</t>
      </text>
    </comment>
    <comment ref="Z5" authorId="0" shapeId="0">
      <text>
        <t>추정: 고객 매출 가중지수(t−3) 67199억 × 비례계수 0.1262(원점회귀; 격자 lag0~4×창8/12/19×수준·YoY·4Q합 중 최대 r=0.90, n=9, 창 12)
[yoy]</t>
      </text>
    </comment>
    <comment ref="AA5" authorId="0" shapeId="0">
      <text>
        <t>추정: 고객 매출 가중지수(t−3) 71356억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9639억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10823억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9639억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10823억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1346.2</v>
      </c>
      <c r="R6" s="17" t="n">
        <v>1458.38</v>
      </c>
      <c r="S6" s="16" t="n">
        <v>1338.69</v>
      </c>
      <c r="T6" s="16" t="n">
        <v>1338.69</v>
      </c>
      <c r="U6" s="16" t="n">
        <v>1338.69</v>
      </c>
      <c r="V6" s="16" t="n">
        <v>1338.69</v>
      </c>
      <c r="W6" s="11" t="n"/>
      <c r="X6" s="16" t="n">
        <v>1338.69</v>
      </c>
      <c r="Y6" s="16" t="n">
        <v>1338.69</v>
      </c>
      <c r="Z6" s="16" t="n">
        <v>1338.69</v>
      </c>
      <c r="AA6" s="16" t="n">
        <v>1338.69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1338.69</v>
      </c>
      <c r="R7" s="17" t="n">
        <v>1338.69</v>
      </c>
      <c r="S7" s="16" t="n">
        <v>1338.69</v>
      </c>
      <c r="T7" s="16" t="n">
        <v>1338.69</v>
      </c>
      <c r="U7" s="16" t="n">
        <v>1338.69</v>
      </c>
      <c r="V7" s="16" t="n">
        <v>1338.69</v>
      </c>
      <c r="W7" s="11" t="n"/>
      <c r="X7" s="16" t="n">
        <v>1338.69</v>
      </c>
      <c r="Y7" s="16" t="n">
        <v>1338.69</v>
      </c>
      <c r="Z7" s="16" t="n">
        <v>1338.69</v>
      </c>
      <c r="AA7" s="16" t="n">
        <v>1338.69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851.8099999999999</v>
      </c>
      <c r="R8" s="17" t="n">
        <v>919.9299999999999</v>
      </c>
      <c r="S8" s="16" t="n">
        <v>846.04</v>
      </c>
      <c r="T8" s="16" t="n">
        <v>846.04</v>
      </c>
      <c r="U8" s="16" t="n">
        <v>846.04</v>
      </c>
      <c r="V8" s="16" t="n">
        <v>846.04</v>
      </c>
      <c r="W8" s="11" t="n"/>
      <c r="X8" s="16" t="n">
        <v>846.04</v>
      </c>
      <c r="Y8" s="16" t="n">
        <v>846.04</v>
      </c>
      <c r="Z8" s="16" t="n">
        <v>846.04</v>
      </c>
      <c r="AA8" s="16" t="n">
        <v>846.04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846.04</v>
      </c>
      <c r="R9" s="17" t="n">
        <v>846.04</v>
      </c>
      <c r="S9" s="16" t="n">
        <v>846.04</v>
      </c>
      <c r="T9" s="16" t="n">
        <v>846.04</v>
      </c>
      <c r="U9" s="16" t="n">
        <v>846.04</v>
      </c>
      <c r="V9" s="16" t="n">
        <v>846.04</v>
      </c>
      <c r="W9" s="11" t="n"/>
      <c r="X9" s="16" t="n">
        <v>846.04</v>
      </c>
      <c r="Y9" s="16" t="n">
        <v>846.04</v>
      </c>
      <c r="Z9" s="16" t="n">
        <v>846.04</v>
      </c>
      <c r="AA9" s="16" t="n">
        <v>846.04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1512.43</v>
      </c>
      <c r="R10" s="17" t="n">
        <v>1691.86</v>
      </c>
      <c r="S10" s="16" t="n">
        <v>1496.26</v>
      </c>
      <c r="T10" s="16" t="n">
        <v>1496.26</v>
      </c>
      <c r="U10" s="16" t="n">
        <v>1496.26</v>
      </c>
      <c r="V10" s="16" t="n">
        <v>1496.26</v>
      </c>
      <c r="W10" s="11" t="n"/>
      <c r="X10" s="16" t="n">
        <v>1496.26</v>
      </c>
      <c r="Y10" s="16" t="n">
        <v>1496.26</v>
      </c>
      <c r="Z10" s="16" t="n">
        <v>1496.26</v>
      </c>
      <c r="AA10" s="16" t="n">
        <v>1496.26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1496.26</v>
      </c>
      <c r="R11" s="17" t="n">
        <v>1496.26</v>
      </c>
      <c r="S11" s="16" t="n">
        <v>1496.26</v>
      </c>
      <c r="T11" s="16" t="n">
        <v>1496.26</v>
      </c>
      <c r="U11" s="16" t="n">
        <v>1496.26</v>
      </c>
      <c r="V11" s="16" t="n">
        <v>1496.26</v>
      </c>
      <c r="W11" s="11" t="n"/>
      <c r="X11" s="16" t="n">
        <v>1496.26</v>
      </c>
      <c r="Y11" s="16" t="n">
        <v>1496.26</v>
      </c>
      <c r="Z11" s="16" t="n">
        <v>1496.26</v>
      </c>
      <c r="AA11" s="16" t="n">
        <v>1496.26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200.79</v>
      </c>
      <c r="R12" s="17" t="n">
        <v>213.89</v>
      </c>
      <c r="S12" s="16" t="n">
        <v>199.67</v>
      </c>
      <c r="T12" s="16" t="n">
        <v>199.67</v>
      </c>
      <c r="U12" s="16" t="n">
        <v>199.67</v>
      </c>
      <c r="V12" s="16" t="n">
        <v>199.67</v>
      </c>
      <c r="W12" s="11" t="n"/>
      <c r="X12" s="16" t="n">
        <v>199.67</v>
      </c>
      <c r="Y12" s="16" t="n">
        <v>199.67</v>
      </c>
      <c r="Z12" s="16" t="n">
        <v>199.67</v>
      </c>
      <c r="AA12" s="16" t="n">
        <v>199.67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199.67</v>
      </c>
      <c r="R13" s="17" t="n">
        <v>199.67</v>
      </c>
      <c r="S13" s="16" t="n">
        <v>199.67</v>
      </c>
      <c r="T13" s="16" t="n">
        <v>199.67</v>
      </c>
      <c r="U13" s="16" t="n">
        <v>199.67</v>
      </c>
      <c r="V13" s="16" t="n">
        <v>199.67</v>
      </c>
      <c r="W13" s="11" t="n"/>
      <c r="X13" s="16" t="n">
        <v>199.67</v>
      </c>
      <c r="Y13" s="16" t="n">
        <v>199.67</v>
      </c>
      <c r="Z13" s="16" t="n">
        <v>199.67</v>
      </c>
      <c r="AA13" s="16" t="n">
        <v>199.67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220000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227300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0.22901315</v>
      </c>
      <c r="V21" s="24" t="n">
        <v>0.169719702</v>
      </c>
      <c r="W21" s="25" t="n"/>
      <c r="X21" s="24" t="n">
        <v>0.138182032</v>
      </c>
      <c r="Y21" s="24" t="n">
        <v>0.15321204</v>
      </c>
      <c r="Z21" s="24" t="n">
        <v>0.21034183</v>
      </c>
      <c r="AA21" s="24" t="n">
        <v>0.252766332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0.173154514</v>
      </c>
      <c r="V23" s="24" t="n">
        <v>0.173155524</v>
      </c>
      <c r="W23" s="25">
        <f>IFERROR(subQ!W9/subQ!W5,"")</f>
        <v/>
      </c>
      <c r="X23" s="24" t="n">
        <v>0.173154911</v>
      </c>
      <c r="Y23" s="24" t="n">
        <v>0.173154394</v>
      </c>
      <c r="Z23" s="24" t="n">
        <v>0.173155089</v>
      </c>
      <c r="AA23" s="24" t="n">
        <v>0.173155169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-0.004177373</v>
      </c>
      <c r="Q32" s="30" t="n">
        <v>0.003790107</v>
      </c>
      <c r="R32" s="31" t="n"/>
      <c r="S32" s="30" t="n">
        <v>-0.002624778</v>
      </c>
      <c r="T32" s="30" t="n">
        <v>1770.927891224</v>
      </c>
      <c r="U32" s="30" t="n">
        <v>-0.007557966</v>
      </c>
      <c r="V32" s="30" t="n">
        <v>-0.004887568</v>
      </c>
      <c r="W32" s="31" t="n"/>
      <c r="X32" s="30" t="n">
        <v>0.004248666</v>
      </c>
      <c r="Y32" s="30" t="n">
        <v>1770.920259884</v>
      </c>
      <c r="Z32" s="30" t="n">
        <v>-0.006632587</v>
      </c>
      <c r="AA32" s="30" t="n">
        <v>0.005268755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-0.004177373</v>
      </c>
      <c r="Q33" s="30" t="n">
        <v>0.003790107</v>
      </c>
      <c r="R33" s="31" t="n"/>
      <c r="S33" s="30" t="n">
        <v>-0.002624778</v>
      </c>
      <c r="T33" s="30" t="n">
        <v>1770.927891224</v>
      </c>
      <c r="U33" s="30" t="n">
        <v>-0.007557966</v>
      </c>
      <c r="V33" s="30" t="n">
        <v>-0.004887568</v>
      </c>
      <c r="W33" s="31" t="n"/>
      <c r="X33" s="30" t="n">
        <v>0.004248666</v>
      </c>
      <c r="Y33" s="30" t="n">
        <v>1770.920259884</v>
      </c>
      <c r="Z33" s="30" t="n">
        <v>-0.006632587</v>
      </c>
      <c r="AA33" s="30" t="n">
        <v>0.005268755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0.134292182</v>
      </c>
      <c r="V36" s="24" t="n">
        <v>0.121990767</v>
      </c>
      <c r="W36" s="25" t="n"/>
      <c r="X36" s="24" t="n">
        <v>0.114705952</v>
      </c>
      <c r="Y36" s="24" t="n">
        <v>-0.063220809</v>
      </c>
      <c r="Z36" s="24" t="n">
        <v>0.122809839</v>
      </c>
      <c r="AA36" s="24" t="n">
        <v>0.116446501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220000</v>
      </c>
      <c r="E44" s="2" t="inlineStr">
        <is>
          <t>원 — 네이버 정규장 종가(aik 확정종가 대조 · aik 226,500원)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0.2300016484088297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0.05177166530673166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0.02882056843497378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27.9</v>
      </c>
    </row>
    <row r="32">
      <c r="C32" s="2" t="inlineStr">
        <is>
          <t>pbr_now</t>
        </is>
      </c>
      <c r="D32" t="n">
        <v>11.06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