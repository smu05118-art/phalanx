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 매출 가중지수(t−3) 45175억 × 비례계수 0.1262(원점회귀; 격자 lag0~4×창8/12/19×수준·YoY·4Q합 중 최대 r=0.90, n=9, 창 12)</t>
      </text>
    </comment>
    <comment ref="Q21" authorId="0" shapeId="0">
      <text>
        <t>모델값 역산(implied): v / 전년동기 − 1
고객 매출 가중지수(t−3) 48694억 × 비례계수 0.1262(원점회귀; 격자 lag0~4×창8/12/19×수준·YoY·4Q합 중 최대 r=0.90, n=9, 창 12)</t>
      </text>
    </comment>
    <comment ref="S21" authorId="0" shapeId="0">
      <text>
        <t>모델값 역산(implied): v / 전년동기 − 1
고객 매출 가중지수(t−3) 52634억 × 비례계수 0.1262(원점회귀; 격자 lag0~4×창8/12/19×수준·YoY·4Q합 중 최대 r=0.90, n=9, 창 12)</t>
      </text>
    </comment>
    <comment ref="T21" authorId="0" shapeId="0">
      <text>
        <t>모델값 역산(implied): v / 전년동기 − 1
고객 매출 가중지수(t−3) 54819억 × 비례계수 0.1262(원점회귀; 격자 lag0~4×창8/12/19×수준·YoY·4Q합 중 최대 r=0.90, n=9, 창 12)</t>
      </text>
    </comment>
    <comment ref="U21" authorId="0" shapeId="0">
      <text>
        <t>모델값 역산(implied): v / 전년동기 − 1
고객 매출 가중지수(t−3) 55510억 × 비례계수 0.1262(원점회귀; 격자 lag0~4×창8/12/19×수준·YoY·4Q합 중 최대 r=0.90, n=9, 창 12)</t>
      </text>
    </comment>
    <comment ref="V21" authorId="0" shapeId="0">
      <text>
        <t>모델값 역산(implied): v / 전년동기 − 1
고객 매출 가중지수(t−3) 56969억 × 비례계수 0.1262(원점회귀; 격자 lag0~4×창8/12/19×수준·YoY·4Q합 중 최대 r=0.90, n=9, 창 12)</t>
      </text>
    </comment>
    <comment ref="X21" authorId="0" shapeId="0">
      <text>
        <t>모델값 역산(implied): v / 전년동기 − 1
고객 매출 가중지수(t−3) 59916억 × 비례계수 0.1262(원점회귀; 격자 lag0~4×창8/12/19×수준·YoY·4Q합 중 최대 r=0.90, n=9, 창 12)</t>
      </text>
    </comment>
    <comment ref="Y21" authorId="0" shapeId="0">
      <text>
        <t>모델값 역산(implied): v / 전년동기 − 1
고객 매출 가중지수(t−3) 63222억 × 비례계수 0.1262(원점회귀; 격자 lag0~4×창8/12/19×수준·YoY·4Q합 중 최대 r=0.90, n=9, 창 12)</t>
      </text>
    </comment>
    <comment ref="Z21" authorId="0" shapeId="0">
      <text>
        <t>모델값 역산(implied): v / 전년동기 − 1
고객 매출 가중지수(t−3) 67202억 × 비례계수 0.1262(원점회귀; 격자 lag0~4×창8/12/19×수준·YoY·4Q합 중 최대 r=0.90, n=9, 창 12)</t>
      </text>
    </comment>
    <comment ref="AA21" authorId="0" shapeId="0">
      <text>
        <t>모델값 역산(implied): v / 전년동기 − 1
고객 매출 가중지수(t−3) 71359억 × 비례계수 0.1262(원점회귀; 격자 lag0~4×창8/12/19×수준·YoY·4Q합 중 최대 r=0.90, n=9, 창 12)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 매출 가중지수(t−3) 45175억 × 비례계수 0.1262(원점회귀; 격자 lag0~4×창8/12/19×수준·YoY·4Q합 중 최대 r=0.90, n=9, 창 12)
[yoy]</t>
      </text>
    </comment>
    <comment ref="Q5" authorId="0" shapeId="0">
      <text>
        <t>추정: 고객 매출 가중지수(t−3) 48694억 × 비례계수 0.1262(원점회귀; 격자 lag0~4×창8/12/19×수준·YoY·4Q합 중 최대 r=0.90, n=9, 창 12)
[yoy]</t>
      </text>
    </comment>
    <comment ref="S5" authorId="0" shapeId="0">
      <text>
        <t>추정: 고객 매출 가중지수(t−3) 52634억 × 비례계수 0.1262(원점회귀; 격자 lag0~4×창8/12/19×수준·YoY·4Q합 중 최대 r=0.90, n=9, 창 12)
[yoy]</t>
      </text>
    </comment>
    <comment ref="T5" authorId="0" shapeId="0">
      <text>
        <t>추정: 고객 매출 가중지수(t−3) 54819억 × 비례계수 0.1262(원점회귀; 격자 lag0~4×창8/12/19×수준·YoY·4Q합 중 최대 r=0.90, n=9, 창 12)
[yoy]</t>
      </text>
    </comment>
    <comment ref="U5" authorId="0" shapeId="0">
      <text>
        <t>추정: 고객 매출 가중지수(t−3) 55510억 × 비례계수 0.1262(원점회귀; 격자 lag0~4×창8/12/19×수준·YoY·4Q합 중 최대 r=0.90, n=9, 창 12)
[yoy]</t>
      </text>
    </comment>
    <comment ref="V5" authorId="0" shapeId="0">
      <text>
        <t>추정: 고객 매출 가중지수(t−3) 56969억 × 비례계수 0.1262(원점회귀; 격자 lag0~4×창8/12/19×수준·YoY·4Q합 중 최대 r=0.90, n=9, 창 12)
[yoy]</t>
      </text>
    </comment>
    <comment ref="X5" authorId="0" shapeId="0">
      <text>
        <t>추정: 고객 매출 가중지수(t−3) 59916억 × 비례계수 0.1262(원점회귀; 격자 lag0~4×창8/12/19×수준·YoY·4Q합 중 최대 r=0.90, n=9, 창 12)
[yoy]</t>
      </text>
    </comment>
    <comment ref="Y5" authorId="0" shapeId="0">
      <text>
        <t>추정: 고객 매출 가중지수(t−3) 63222억 × 비례계수 0.1262(원점회귀; 격자 lag0~4×창8/12/19×수준·YoY·4Q합 중 최대 r=0.90, n=9, 창 12)
[yoy]</t>
      </text>
    </comment>
    <comment ref="Z5" authorId="0" shapeId="0">
      <text>
        <t>추정: 고객 매출 가중지수(t−3) 67202억 × 비례계수 0.1262(원점회귀; 격자 lag0~4×창8/12/19×수준·YoY·4Q합 중 최대 r=0.90, n=9, 창 12)
[yoy]</t>
      </text>
    </comment>
    <comment ref="AA5" authorId="0" shapeId="0">
      <text>
        <t>추정: 고객 매출 가중지수(t−3) 71359억 × 비례계수 0.1262(원점회귀; 격자 lag0~4×창8/12/19×수준·YoY·4Q합 중 최대 r=0.90, n=9, 창 12)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6279억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7133억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8057억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7253억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8227억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9231억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10290억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9639억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10823억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6279억 × 2.88%(주석 이자수익 ÷ 평균 이자발생자산(2025Q3~2026Q2)) − 총차입금 0억 × 0.00%(없음) (연율) ÷ 4
[interest]</t>
      </text>
    </comment>
    <comment ref="S12" authorId="0" shapeId="0">
      <text>
        <t>추정: 이자발생자산 7133억 × 2.88%(주석 이자수익 ÷ 평균 이자발생자산(2025Q3~2026Q2)) − 총차입금 0억 × 0.00%(없음) (연율) ÷ 4
[interest]</t>
      </text>
    </comment>
    <comment ref="T12" authorId="0" shapeId="0">
      <text>
        <t>추정: 이자발생자산 8057억 × 2.88%(주석 이자수익 ÷ 평균 이자발생자산(2025Q3~2026Q2)) − 총차입금 0억 × 0.00%(없음) (연율) ÷ 4
[interest]</t>
      </text>
    </comment>
    <comment ref="U12" authorId="0" shapeId="0">
      <text>
        <t>추정: 이자발생자산 7253억 × 2.88%(주석 이자수익 ÷ 평균 이자발생자산(2025Q3~2026Q2)) − 총차입금 0억 × 0.00%(없음) (연율) ÷ 4
[interest]</t>
      </text>
    </comment>
    <comment ref="V12" authorId="0" shapeId="0">
      <text>
        <t>추정: 이자발생자산 8227억 × 2.88%(주석 이자수익 ÷ 평균 이자발생자산(2025Q3~2026Q2)) − 총차입금 0억 × 0.00%(없음) (연율) ÷ 4
[interest]</t>
      </text>
    </comment>
    <comment ref="X12" authorId="0" shapeId="0">
      <text>
        <t>추정: 이자발생자산 9231억 × 2.88%(주석 이자수익 ÷ 평균 이자발생자산(2025Q3~2026Q2)) − 총차입금 0억 × 0.00%(없음) (연율) ÷ 4
[interest]</t>
      </text>
    </comment>
    <comment ref="Y12" authorId="0" shapeId="0">
      <text>
        <t>추정: 이자발생자산 10290억 × 2.88%(주석 이자수익 ÷ 평균 이자발생자산(2025Q3~2026Q2)) − 총차입금 0억 × 0.00%(없음) (연율) ÷ 4
[interest]</t>
      </text>
    </comment>
    <comment ref="Z12" authorId="0" shapeId="0">
      <text>
        <t>추정: 이자발생자산 9639억 × 2.88%(주석 이자수익 ÷ 평균 이자발생자산(2025Q3~2026Q2)) − 총차입금 0억 × 0.00%(없음) (연율) ÷ 4
[interest]</t>
      </text>
    </comment>
    <comment ref="AA12" authorId="0" shapeId="0">
      <text>
        <t>추정: 이자발생자산 10823억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5239.23, "rev_act": 5162.05, "op_pred": 895.58, "op_act": 905.28}, {"q": "2026Q1", "rev_pred": 5317.65, "rev_act": 5746.09, "op_pred": 908.99, "op_act": 933.94}, {"q": "2026Q2", "rev_pred": 5245.03,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1343.39</v>
      </c>
      <c r="R6" s="17" t="n">
        <v>1456.01</v>
      </c>
      <c r="S6" s="16" t="n">
        <v>1341.45</v>
      </c>
      <c r="T6" s="16" t="n">
        <v>1341.45</v>
      </c>
      <c r="U6" s="16" t="n">
        <v>1341.45</v>
      </c>
      <c r="V6" s="16" t="n">
        <v>1341.45</v>
      </c>
      <c r="W6" s="11" t="n"/>
      <c r="X6" s="16" t="n">
        <v>1341.45</v>
      </c>
      <c r="Y6" s="16" t="n">
        <v>1341.45</v>
      </c>
      <c r="Z6" s="16" t="n">
        <v>1341.45</v>
      </c>
      <c r="AA6" s="16" t="n">
        <v>1341.45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1341.45</v>
      </c>
      <c r="R7" s="17" t="n">
        <v>1341.45</v>
      </c>
      <c r="S7" s="16" t="n">
        <v>1341.45</v>
      </c>
      <c r="T7" s="16" t="n">
        <v>1341.45</v>
      </c>
      <c r="U7" s="16" t="n">
        <v>1341.45</v>
      </c>
      <c r="V7" s="16" t="n">
        <v>1341.45</v>
      </c>
      <c r="W7" s="11" t="n"/>
      <c r="X7" s="16" t="n">
        <v>1341.45</v>
      </c>
      <c r="Y7" s="16" t="n">
        <v>1341.45</v>
      </c>
      <c r="Z7" s="16" t="n">
        <v>1341.45</v>
      </c>
      <c r="AA7" s="16" t="n">
        <v>1341.45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849.39</v>
      </c>
      <c r="R8" s="17" t="n">
        <v>918.46</v>
      </c>
      <c r="S8" s="16" t="n">
        <v>848.37</v>
      </c>
      <c r="T8" s="16" t="n">
        <v>848.37</v>
      </c>
      <c r="U8" s="16" t="n">
        <v>848.37</v>
      </c>
      <c r="V8" s="16" t="n">
        <v>848.37</v>
      </c>
      <c r="W8" s="11" t="n"/>
      <c r="X8" s="16" t="n">
        <v>848.37</v>
      </c>
      <c r="Y8" s="16" t="n">
        <v>848.37</v>
      </c>
      <c r="Z8" s="16" t="n">
        <v>848.37</v>
      </c>
      <c r="AA8" s="16" t="n">
        <v>848.37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848.37</v>
      </c>
      <c r="R9" s="17" t="n">
        <v>848.37</v>
      </c>
      <c r="S9" s="16" t="n">
        <v>848.37</v>
      </c>
      <c r="T9" s="16" t="n">
        <v>848.37</v>
      </c>
      <c r="U9" s="16" t="n">
        <v>848.37</v>
      </c>
      <c r="V9" s="16" t="n">
        <v>848.37</v>
      </c>
      <c r="W9" s="11" t="n"/>
      <c r="X9" s="16" t="n">
        <v>848.37</v>
      </c>
      <c r="Y9" s="16" t="n">
        <v>848.37</v>
      </c>
      <c r="Z9" s="16" t="n">
        <v>848.37</v>
      </c>
      <c r="AA9" s="16" t="n">
        <v>848.37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1506.62</v>
      </c>
      <c r="R10" s="17" t="n">
        <v>1688.01</v>
      </c>
      <c r="S10" s="16" t="n">
        <v>1500.82</v>
      </c>
      <c r="T10" s="16" t="n">
        <v>1500.82</v>
      </c>
      <c r="U10" s="16" t="n">
        <v>1500.82</v>
      </c>
      <c r="V10" s="16" t="n">
        <v>1500.82</v>
      </c>
      <c r="W10" s="11" t="n"/>
      <c r="X10" s="16" t="n">
        <v>1500.82</v>
      </c>
      <c r="Y10" s="16" t="n">
        <v>1500.82</v>
      </c>
      <c r="Z10" s="16" t="n">
        <v>1500.82</v>
      </c>
      <c r="AA10" s="16" t="n">
        <v>1500.82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1500.82</v>
      </c>
      <c r="R11" s="17" t="n">
        <v>1500.82</v>
      </c>
      <c r="S11" s="16" t="n">
        <v>1500.82</v>
      </c>
      <c r="T11" s="16" t="n">
        <v>1500.82</v>
      </c>
      <c r="U11" s="16" t="n">
        <v>1500.82</v>
      </c>
      <c r="V11" s="16" t="n">
        <v>1500.82</v>
      </c>
      <c r="W11" s="11" t="n"/>
      <c r="X11" s="16" t="n">
        <v>1500.82</v>
      </c>
      <c r="Y11" s="16" t="n">
        <v>1500.82</v>
      </c>
      <c r="Z11" s="16" t="n">
        <v>1500.82</v>
      </c>
      <c r="AA11" s="16" t="n">
        <v>1500.82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200.49</v>
      </c>
      <c r="R12" s="17" t="n">
        <v>213.61</v>
      </c>
      <c r="S12" s="16" t="n">
        <v>200.4</v>
      </c>
      <c r="T12" s="16" t="n">
        <v>200.4</v>
      </c>
      <c r="U12" s="16" t="n">
        <v>200.4</v>
      </c>
      <c r="V12" s="16" t="n">
        <v>200.4</v>
      </c>
      <c r="W12" s="11" t="n"/>
      <c r="X12" s="16" t="n">
        <v>200.4</v>
      </c>
      <c r="Y12" s="16" t="n">
        <v>200.4</v>
      </c>
      <c r="Z12" s="16" t="n">
        <v>200.4</v>
      </c>
      <c r="AA12" s="16" t="n">
        <v>200.4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200.4</v>
      </c>
      <c r="R13" s="17" t="n">
        <v>200.4</v>
      </c>
      <c r="S13" s="16" t="n">
        <v>200.4</v>
      </c>
      <c r="T13" s="16" t="n">
        <v>200.4</v>
      </c>
      <c r="U13" s="16" t="n">
        <v>200.4</v>
      </c>
      <c r="V13" s="16" t="n">
        <v>200.4</v>
      </c>
      <c r="W13" s="11" t="n"/>
      <c r="X13" s="16" t="n">
        <v>200.4</v>
      </c>
      <c r="Y13" s="16" t="n">
        <v>200.4</v>
      </c>
      <c r="Z13" s="16" t="n">
        <v>200.4</v>
      </c>
      <c r="AA13" s="16" t="n">
        <v>200.4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220500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212500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224750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0.110938482</v>
      </c>
      <c r="Q21" s="24" t="n">
        <v>0.190466435</v>
      </c>
      <c r="R21" s="25" t="n"/>
      <c r="S21" s="24" t="n">
        <v>0.155998897</v>
      </c>
      <c r="T21" s="24" t="n">
        <v>0.191940847</v>
      </c>
      <c r="U21" s="24" t="n">
        <v>0.22877109</v>
      </c>
      <c r="V21" s="24" t="n">
        <v>0.169927993</v>
      </c>
      <c r="W21" s="25" t="n"/>
      <c r="X21" s="24" t="n">
        <v>0.1383386</v>
      </c>
      <c r="Y21" s="24" t="n">
        <v>0.153282867</v>
      </c>
      <c r="Z21" s="24" t="n">
        <v>0.210643069</v>
      </c>
      <c r="AA21" s="24" t="n">
        <v>0.252596147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0.173155215</v>
      </c>
      <c r="Q23" s="24" t="n">
        <v>0.173154876</v>
      </c>
      <c r="R23" s="25">
        <f>IFERROR(subQ!R9/subQ!R5,"")</f>
        <v/>
      </c>
      <c r="S23" s="24" t="n">
        <v>0.173155468</v>
      </c>
      <c r="T23" s="24" t="n">
        <v>0.173155117</v>
      </c>
      <c r="U23" s="24" t="n">
        <v>0.173154364</v>
      </c>
      <c r="V23" s="24" t="n">
        <v>0.173155296</v>
      </c>
      <c r="W23" s="25">
        <f>IFERROR(subQ!W9/subQ!W5,"")</f>
        <v/>
      </c>
      <c r="X23" s="24" t="n">
        <v>0.1731549</v>
      </c>
      <c r="Y23" s="24" t="n">
        <v>0.17315504</v>
      </c>
      <c r="Z23" s="24" t="n">
        <v>0.173155538</v>
      </c>
      <c r="AA23" s="24" t="n">
        <v>0.173155635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-0.00419878</v>
      </c>
      <c r="Q32" s="30" t="n">
        <v>0.003755719</v>
      </c>
      <c r="R32" s="31" t="n"/>
      <c r="S32" s="30" t="n">
        <v>-0.002672736</v>
      </c>
      <c r="T32" s="30" t="n">
        <v>1770.92782165</v>
      </c>
      <c r="U32" s="30" t="n">
        <v>-0.012402979</v>
      </c>
      <c r="V32" s="30" t="n">
        <v>0.003390182</v>
      </c>
      <c r="W32" s="31" t="n"/>
      <c r="X32" s="30" t="n">
        <v>0.002701825</v>
      </c>
      <c r="Y32" s="30" t="n">
        <v>1770.92011337</v>
      </c>
      <c r="Z32" s="30" t="n">
        <v>-0.004059379</v>
      </c>
      <c r="AA32" s="30" t="n">
        <v>0.000450722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-0.00419878</v>
      </c>
      <c r="Q33" s="30" t="n">
        <v>0.003755719</v>
      </c>
      <c r="R33" s="31" t="n"/>
      <c r="S33" s="30" t="n">
        <v>-0.002672736</v>
      </c>
      <c r="T33" s="30" t="n">
        <v>1770.92782165</v>
      </c>
      <c r="U33" s="30" t="n">
        <v>-0.012402979</v>
      </c>
      <c r="V33" s="30" t="n">
        <v>0.003390182</v>
      </c>
      <c r="W33" s="31" t="n"/>
      <c r="X33" s="30" t="n">
        <v>0.002701825</v>
      </c>
      <c r="Y33" s="30" t="n">
        <v>1770.92011337</v>
      </c>
      <c r="Z33" s="30" t="n">
        <v>-0.004059379</v>
      </c>
      <c r="AA33" s="30" t="n">
        <v>0.000450722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0.14396437</v>
      </c>
      <c r="Q36" s="24" t="n">
        <v>0.135978646</v>
      </c>
      <c r="R36" s="25" t="n"/>
      <c r="S36" s="24" t="n">
        <v>0.129660318</v>
      </c>
      <c r="T36" s="24" t="n">
        <v>-0.099812966</v>
      </c>
      <c r="U36" s="24" t="n">
        <v>0.134265987</v>
      </c>
      <c r="V36" s="24" t="n">
        <v>0.122015464</v>
      </c>
      <c r="W36" s="25" t="n"/>
      <c r="X36" s="24" t="n">
        <v>0.11472016</v>
      </c>
      <c r="Y36" s="24" t="n">
        <v>-0.063213269</v>
      </c>
      <c r="Z36" s="24" t="n">
        <v>0.122813642</v>
      </c>
      <c r="AA36" s="24" t="n">
        <v>0.116448431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220500</v>
      </c>
      <c r="E44" s="2" t="inlineStr">
        <is>
          <t>원 — 네이버 정규장 종가(aik 확정종가 대조 · aik 220,500원)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20261014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0.2300014964362788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0.05177171368669529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0.02882040056762839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7885.8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27.96</v>
      </c>
    </row>
    <row r="32">
      <c r="C32" s="2" t="inlineStr">
        <is>
          <t>pbr_now</t>
        </is>
      </c>
      <c r="D32" t="n">
        <v>11.08</v>
      </c>
    </row>
    <row r="33">
      <c r="C33" s="2" t="inlineStr">
        <is>
          <t>roe_fwd</t>
        </is>
      </c>
      <c r="D33" t="n">
        <v>0.3963</v>
      </c>
    </row>
    <row r="34">
      <c r="C34" s="2" t="inlineStr">
        <is>
          <t>fair_pbr</t>
        </is>
      </c>
      <c r="D34" t="n">
        <v>4.4</v>
      </c>
    </row>
    <row r="35">
      <c r="C35" s="2" t="inlineStr">
        <is>
          <t>fair_value_pbr</t>
        </is>
      </c>
      <c r="D35" t="n">
        <v>87600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