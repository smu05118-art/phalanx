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변수!$C$1:$AB$1</definedName>
    <definedName name="환율">변수!$C$6:$AB$13</definedName>
    <definedName name="BS연결H">BS연결!$C$1:$AB$1</definedName>
    <definedName name="BS연결">BS연결!$C$5:$AB$107</definedName>
    <definedName name="BS별도H">BS별도!$C$1:$AB$1</definedName>
    <definedName name="BS별도">BS별도!$C$5:$AB$90</definedName>
    <definedName name="SUBQH">subQ!$A$1:$AB$1</definedName>
    <definedName name="subQ">subQ!$A$5:$AB$43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P6" authorId="0" shapeId="0">
      <text>
        <t>모델 assumptions.fx — 가정 — 마지막 ECB 관측치를 2028Q4 까지 평평하게 둔다. 선도환율·컨센서스 아님.</t>
      </text>
    </comment>
    <comment ref="Q6" authorId="0" shapeId="0">
      <text>
        <t>모델 assumptions.fx — 가정 — 마지막 ECB 관측치를 2028Q4 까지 평평하게 둔다. 선도환율·컨센서스 아님.</t>
      </text>
    </comment>
    <comment ref="S6" authorId="0" shapeId="0">
      <text>
        <t>모델 assumptions.fx — 가정 — 마지막 ECB 관측치를 2028Q4 까지 평평하게 둔다. 선도환율·컨센서스 아님.</t>
      </text>
    </comment>
    <comment ref="T6" authorId="0" shapeId="0">
      <text>
        <t>모델 assumptions.fx — 가정 — 마지막 ECB 관측치를 2028Q4 까지 평평하게 둔다. 선도환율·컨센서스 아님.</t>
      </text>
    </comment>
    <comment ref="U6" authorId="0" shapeId="0">
      <text>
        <t>모델 assumptions.fx — 가정 — 마지막 ECB 관측치를 2028Q4 까지 평평하게 둔다. 선도환율·컨센서스 아님.</t>
      </text>
    </comment>
    <comment ref="V6" authorId="0" shapeId="0">
      <text>
        <t>모델 assumptions.fx — 가정 — 마지막 ECB 관측치를 2028Q4 까지 평평하게 둔다. 선도환율·컨센서스 아님.</t>
      </text>
    </comment>
    <comment ref="X6" authorId="0" shapeId="0">
      <text>
        <t>모델 assumptions.fx — 가정 — 마지막 ECB 관측치를 2028Q4 까지 평평하게 둔다. 선도환율·컨센서스 아님.</t>
      </text>
    </comment>
    <comment ref="Y6" authorId="0" shapeId="0">
      <text>
        <t>모델 assumptions.fx — 가정 — 마지막 ECB 관측치를 2028Q4 까지 평평하게 둔다. 선도환율·컨센서스 아님.</t>
      </text>
    </comment>
    <comment ref="Z6" authorId="0" shapeId="0">
      <text>
        <t>모델 assumptions.fx — 가정 — 마지막 ECB 관측치를 2028Q4 까지 평평하게 둔다. 선도환율·컨센서스 아님.</t>
      </text>
    </comment>
    <comment ref="AA6" authorId="0" shapeId="0">
      <text>
        <t>모델 assumptions.fx — 가정 — 마지막 ECB 관측치를 2028Q4 까지 평평하게 둔다. 선도환율·컨센서스 아님.</t>
      </text>
    </comment>
    <comment ref="P7" authorId="0" shapeId="0">
      <text>
        <t>모델 assumptions.fx — 가정 — 마지막 ECB 관측치를 2028Q4 까지 평평하게 둔다. 선도환율·컨센서스 아님.</t>
      </text>
    </comment>
    <comment ref="Q7" authorId="0" shapeId="0">
      <text>
        <t>모델 assumptions.fx — 가정 — 마지막 ECB 관측치를 2028Q4 까지 평평하게 둔다. 선도환율·컨센서스 아님.</t>
      </text>
    </comment>
    <comment ref="S7" authorId="0" shapeId="0">
      <text>
        <t>모델 assumptions.fx — 가정 — 마지막 ECB 관측치를 2028Q4 까지 평평하게 둔다. 선도환율·컨센서스 아님.</t>
      </text>
    </comment>
    <comment ref="T7" authorId="0" shapeId="0">
      <text>
        <t>모델 assumptions.fx — 가정 — 마지막 ECB 관측치를 2028Q4 까지 평평하게 둔다. 선도환율·컨센서스 아님.</t>
      </text>
    </comment>
    <comment ref="U7" authorId="0" shapeId="0">
      <text>
        <t>모델 assumptions.fx — 가정 — 마지막 ECB 관측치를 2028Q4 까지 평평하게 둔다. 선도환율·컨센서스 아님.</t>
      </text>
    </comment>
    <comment ref="V7" authorId="0" shapeId="0">
      <text>
        <t>모델 assumptions.fx — 가정 — 마지막 ECB 관측치를 2028Q4 까지 평평하게 둔다. 선도환율·컨센서스 아님.</t>
      </text>
    </comment>
    <comment ref="X7" authorId="0" shapeId="0">
      <text>
        <t>모델 assumptions.fx — 가정 — 마지막 ECB 관측치를 2028Q4 까지 평평하게 둔다. 선도환율·컨센서스 아님.</t>
      </text>
    </comment>
    <comment ref="Y7" authorId="0" shapeId="0">
      <text>
        <t>모델 assumptions.fx — 가정 — 마지막 ECB 관측치를 2028Q4 까지 평평하게 둔다. 선도환율·컨센서스 아님.</t>
      </text>
    </comment>
    <comment ref="Z7" authorId="0" shapeId="0">
      <text>
        <t>모델 assumptions.fx — 가정 — 마지막 ECB 관측치를 2028Q4 까지 평평하게 둔다. 선도환율·컨센서스 아님.</t>
      </text>
    </comment>
    <comment ref="AA7" authorId="0" shapeId="0">
      <text>
        <t>모델 assumptions.fx — 가정 — 마지막 ECB 관측치를 2028Q4 까지 평평하게 둔다. 선도환율·컨센서스 아님.</t>
      </text>
    </comment>
    <comment ref="Q8" authorId="0" shapeId="0">
      <text>
        <t>fx.json quarters(partial — 분기 진행 중 실측 평균)</t>
      </text>
    </comment>
    <comment ref="S8" authorId="0" shapeId="0">
      <text>
        <t>fx.json forward(flat_last_end) — 가정</t>
      </text>
    </comment>
    <comment ref="T8" authorId="0" shapeId="0">
      <text>
        <t>fx.json forward(flat_last_end) — 가정</t>
      </text>
    </comment>
    <comment ref="U8" authorId="0" shapeId="0">
      <text>
        <t>fx.json forward(flat_last_end) — 가정</t>
      </text>
    </comment>
    <comment ref="V8" authorId="0" shapeId="0">
      <text>
        <t>fx.json forward(flat_last_end) — 가정</t>
      </text>
    </comment>
    <comment ref="X8" authorId="0" shapeId="0">
      <text>
        <t>fx.json forward(flat_last_end) — 가정</t>
      </text>
    </comment>
    <comment ref="Y8" authorId="0" shapeId="0">
      <text>
        <t>fx.json forward(flat_last_end) — 가정</t>
      </text>
    </comment>
    <comment ref="Z8" authorId="0" shapeId="0">
      <text>
        <t>fx.json forward(flat_last_end) — 가정</t>
      </text>
    </comment>
    <comment ref="AA8" authorId="0" shapeId="0">
      <text>
        <t>fx.json forward(flat_last_end) — 가정</t>
      </text>
    </comment>
    <comment ref="Q9" authorId="0" shapeId="0">
      <text>
        <t>fx.json quarters(partial — 분기 진행 중 실측 평균)</t>
      </text>
    </comment>
    <comment ref="S9" authorId="0" shapeId="0">
      <text>
        <t>fx.json forward(flat_last_end) — 가정</t>
      </text>
    </comment>
    <comment ref="T9" authorId="0" shapeId="0">
      <text>
        <t>fx.json forward(flat_last_end) — 가정</t>
      </text>
    </comment>
    <comment ref="U9" authorId="0" shapeId="0">
      <text>
        <t>fx.json forward(flat_last_end) — 가정</t>
      </text>
    </comment>
    <comment ref="V9" authorId="0" shapeId="0">
      <text>
        <t>fx.json forward(flat_last_end) — 가정</t>
      </text>
    </comment>
    <comment ref="X9" authorId="0" shapeId="0">
      <text>
        <t>fx.json forward(flat_last_end) — 가정</t>
      </text>
    </comment>
    <comment ref="Y9" authorId="0" shapeId="0">
      <text>
        <t>fx.json forward(flat_last_end) — 가정</t>
      </text>
    </comment>
    <comment ref="Z9" authorId="0" shapeId="0">
      <text>
        <t>fx.json forward(flat_last_end) — 가정</t>
      </text>
    </comment>
    <comment ref="AA9" authorId="0" shapeId="0">
      <text>
        <t>fx.json forward(flat_last_end) — 가정</t>
      </text>
    </comment>
    <comment ref="Q10" authorId="0" shapeId="0">
      <text>
        <t>fx.json quarters(partial — 분기 진행 중 실측 평균)</t>
      </text>
    </comment>
    <comment ref="S10" authorId="0" shapeId="0">
      <text>
        <t>fx.json forward(flat_last_end) — 가정</t>
      </text>
    </comment>
    <comment ref="T10" authorId="0" shapeId="0">
      <text>
        <t>fx.json forward(flat_last_end) — 가정</t>
      </text>
    </comment>
    <comment ref="U10" authorId="0" shapeId="0">
      <text>
        <t>fx.json forward(flat_last_end) — 가정</t>
      </text>
    </comment>
    <comment ref="V10" authorId="0" shapeId="0">
      <text>
        <t>fx.json forward(flat_last_end) — 가정</t>
      </text>
    </comment>
    <comment ref="X10" authorId="0" shapeId="0">
      <text>
        <t>fx.json forward(flat_last_end) — 가정</t>
      </text>
    </comment>
    <comment ref="Y10" authorId="0" shapeId="0">
      <text>
        <t>fx.json forward(flat_last_end) — 가정</t>
      </text>
    </comment>
    <comment ref="Z10" authorId="0" shapeId="0">
      <text>
        <t>fx.json forward(flat_last_end) — 가정</t>
      </text>
    </comment>
    <comment ref="AA10" authorId="0" shapeId="0">
      <text>
        <t>fx.json forward(flat_last_end) — 가정</t>
      </text>
    </comment>
    <comment ref="Q11" authorId="0" shapeId="0">
      <text>
        <t>fx.json quarters(partial — 분기 진행 중 실측 평균)</t>
      </text>
    </comment>
    <comment ref="S11" authorId="0" shapeId="0">
      <text>
        <t>fx.json forward(flat_last_end) — 가정</t>
      </text>
    </comment>
    <comment ref="T11" authorId="0" shapeId="0">
      <text>
        <t>fx.json forward(flat_last_end) — 가정</t>
      </text>
    </comment>
    <comment ref="U11" authorId="0" shapeId="0">
      <text>
        <t>fx.json forward(flat_last_end) — 가정</t>
      </text>
    </comment>
    <comment ref="V11" authorId="0" shapeId="0">
      <text>
        <t>fx.json forward(flat_last_end) — 가정</t>
      </text>
    </comment>
    <comment ref="X11" authorId="0" shapeId="0">
      <text>
        <t>fx.json forward(flat_last_end) — 가정</t>
      </text>
    </comment>
    <comment ref="Y11" authorId="0" shapeId="0">
      <text>
        <t>fx.json forward(flat_last_end) — 가정</t>
      </text>
    </comment>
    <comment ref="Z11" authorId="0" shapeId="0">
      <text>
        <t>fx.json forward(flat_last_end) — 가정</t>
      </text>
    </comment>
    <comment ref="AA11" authorId="0" shapeId="0">
      <text>
        <t>fx.json forward(flat_last_end) — 가정</t>
      </text>
    </comment>
    <comment ref="Q12" authorId="0" shapeId="0">
      <text>
        <t>fx.json quarters(partial — 분기 진행 중 실측 평균)</t>
      </text>
    </comment>
    <comment ref="S12" authorId="0" shapeId="0">
      <text>
        <t>fx.json forward(flat_last_end) — 가정</t>
      </text>
    </comment>
    <comment ref="T12" authorId="0" shapeId="0">
      <text>
        <t>fx.json forward(flat_last_end) — 가정</t>
      </text>
    </comment>
    <comment ref="U12" authorId="0" shapeId="0">
      <text>
        <t>fx.json forward(flat_last_end) — 가정</t>
      </text>
    </comment>
    <comment ref="V12" authorId="0" shapeId="0">
      <text>
        <t>fx.json forward(flat_last_end) — 가정</t>
      </text>
    </comment>
    <comment ref="X12" authorId="0" shapeId="0">
      <text>
        <t>fx.json forward(flat_last_end) — 가정</t>
      </text>
    </comment>
    <comment ref="Y12" authorId="0" shapeId="0">
      <text>
        <t>fx.json forward(flat_last_end) — 가정</t>
      </text>
    </comment>
    <comment ref="Z12" authorId="0" shapeId="0">
      <text>
        <t>fx.json forward(flat_last_end) — 가정</t>
      </text>
    </comment>
    <comment ref="AA12" authorId="0" shapeId="0">
      <text>
        <t>fx.json forward(flat_last_end) — 가정</t>
      </text>
    </comment>
    <comment ref="Q13" authorId="0" shapeId="0">
      <text>
        <t>fx.json quarters(partial — 분기 진행 중 실측 평균)</t>
      </text>
    </comment>
    <comment ref="S13" authorId="0" shapeId="0">
      <text>
        <t>fx.json forward(flat_last_end) — 가정</t>
      </text>
    </comment>
    <comment ref="T13" authorId="0" shapeId="0">
      <text>
        <t>fx.json forward(flat_last_end) — 가정</t>
      </text>
    </comment>
    <comment ref="U13" authorId="0" shapeId="0">
      <text>
        <t>fx.json forward(flat_last_end) — 가정</t>
      </text>
    </comment>
    <comment ref="V13" authorId="0" shapeId="0">
      <text>
        <t>fx.json forward(flat_last_end) — 가정</t>
      </text>
    </comment>
    <comment ref="X13" authorId="0" shapeId="0">
      <text>
        <t>fx.json forward(flat_last_end) — 가정</t>
      </text>
    </comment>
    <comment ref="Y13" authorId="0" shapeId="0">
      <text>
        <t>fx.json forward(flat_last_end) — 가정</t>
      </text>
    </comment>
    <comment ref="Z13" authorId="0" shapeId="0">
      <text>
        <t>fx.json forward(flat_last_end) — 가정</t>
      </text>
    </comment>
    <comment ref="AA13" authorId="0" shapeId="0">
      <text>
        <t>fx.json forward(flat_last_end) — 가정</t>
      </text>
    </comment>
    <comment ref="Q15" authorId="0" shapeId="0">
      <text>
        <t>분기 진행 중(partial) — aikstockdata/토스 일봉</t>
      </text>
    </comment>
    <comment ref="Q16" authorId="0" shapeId="0">
      <text>
        <t>분기 진행 중(partial) — aikstockdata/토스 일봉</t>
      </text>
    </comment>
    <comment ref="Q17" authorId="0" shapeId="0">
      <text>
        <t>분기 진행 중(partial) — aikstockdata/토스 일봉</t>
      </text>
    </comment>
    <comment ref="Q18" authorId="0" shapeId="0">
      <text>
        <t>분기 진행 중(partial) — aikstockdata/토스 일봉</t>
      </text>
    </comment>
    <comment ref="P21" authorId="0" shapeId="0">
      <text>
        <t>모델값 역산(implied): v / 전년동기 − 1
고객 매출 가중지수(t−3) 45175억 × 비례계수 0.1262(원점회귀; 격자 lag0~4×창8/12/19×수준·YoY·4Q합 중 최대 r=0.90, n=9, 창 12)</t>
      </text>
    </comment>
    <comment ref="Q21" authorId="0" shapeId="0">
      <text>
        <t>모델값 역산(implied): v / 전년동기 − 1
고객 매출 가중지수(t−3) 48694억 × 비례계수 0.1262(원점회귀; 격자 lag0~4×창8/12/19×수준·YoY·4Q합 중 최대 r=0.90, n=9, 창 12)</t>
      </text>
    </comment>
    <comment ref="S21" authorId="0" shapeId="0">
      <text>
        <t>모델값 역산(implied): v / 전년동기 − 1
고객 매출 가중지수(t−3) 52634억 × 비례계수 0.1262(원점회귀; 격자 lag0~4×창8/12/19×수준·YoY·4Q합 중 최대 r=0.90, n=9, 창 12)</t>
      </text>
    </comment>
    <comment ref="T21" authorId="0" shapeId="0">
      <text>
        <t>모델값 역산(implied): v / 전년동기 − 1
고객 매출 가중지수(t−3) 54819억 × 비례계수 0.1262(원점회귀; 격자 lag0~4×창8/12/19×수준·YoY·4Q합 중 최대 r=0.90, n=9, 창 12)</t>
      </text>
    </comment>
    <comment ref="U21" authorId="0" shapeId="0">
      <text>
        <t>모델값 역산(implied): v / 전년동기 − 1
고객 매출 가중지수(t−3) 55510억 × 비례계수 0.1262(원점회귀; 격자 lag0~4×창8/12/19×수준·YoY·4Q합 중 최대 r=0.90, n=9, 창 12)</t>
      </text>
    </comment>
    <comment ref="V21" authorId="0" shapeId="0">
      <text>
        <t>모델값 역산(implied): v / 전년동기 − 1
고객 매출 가중지수(t−3) 56938억 × 비례계수 0.1262(원점회귀; 격자 lag0~4×창8/12/19×수준·YoY·4Q합 중 최대 r=0.90, n=9, 창 12)</t>
      </text>
    </comment>
    <comment ref="X21" authorId="0" shapeId="0">
      <text>
        <t>모델값 역산(implied): v / 전년동기 − 1
고객 매출 가중지수(t−3) 59885억 × 비례계수 0.1262(원점회귀; 격자 lag0~4×창8/12/19×수준·YoY·4Q합 중 최대 r=0.90, n=9, 창 12)</t>
      </text>
    </comment>
    <comment ref="Y21" authorId="0" shapeId="0">
      <text>
        <t>모델값 역산(implied): v / 전년동기 − 1
고객 매출 가중지수(t−3) 63192억 × 비례계수 0.1262(원점회귀; 격자 lag0~4×창8/12/19×수준·YoY·4Q합 중 최대 r=0.90, n=9, 창 12)</t>
      </text>
    </comment>
    <comment ref="Z21" authorId="0" shapeId="0">
      <text>
        <t>모델값 역산(implied): v / 전년동기 − 1
고객 매출 가중지수(t−3) 67174억 × 비례계수 0.1262(원점회귀; 격자 lag0~4×창8/12/19×수준·YoY·4Q합 중 최대 r=0.90, n=9, 창 12)</t>
      </text>
    </comment>
    <comment ref="AA21" authorId="0" shapeId="0">
      <text>
        <t>모델값 역산(implied): v / 전년동기 − 1
고객 매출 가중지수(t−3) 71332억 × 비례계수 0.1262(원점회귀; 격자 lag0~4×창8/12/19×수준·YoY·4Q합 중 최대 r=0.90, n=9, 창 12)</t>
      </text>
    </comment>
    <comment ref="P22" authorId="0" shapeId="0">
      <text>
        <t>3절 스칼라 '판관비율' 참조 — 숫자로 덮어쓰면 이 분기만 바뀐다
매출액 × 판관비율 5.18%(최근 4분기 중위)</t>
      </text>
    </comment>
    <comment ref="Q22" authorId="0" shapeId="0">
      <text>
        <t>3절 스칼라 '판관비율' 참조 — 숫자로 덮어쓰면 이 분기만 바뀐다
매출액 × 판관비율 5.18%(최근 4분기 중위)</t>
      </text>
    </comment>
    <comment ref="S22" authorId="0" shapeId="0">
      <text>
        <t>3절 스칼라 '판관비율' 참조 — 숫자로 덮어쓰면 이 분기만 바뀐다
매출액 × 판관비율 5.18%(최근 4분기 중위)</t>
      </text>
    </comment>
    <comment ref="T22" authorId="0" shapeId="0">
      <text>
        <t>3절 스칼라 '판관비율' 참조 — 숫자로 덮어쓰면 이 분기만 바뀐다
매출액 × 판관비율 5.18%(최근 4분기 중위)</t>
      </text>
    </comment>
    <comment ref="U22" authorId="0" shapeId="0">
      <text>
        <t>3절 스칼라 '판관비율' 참조 — 숫자로 덮어쓰면 이 분기만 바뀐다
매출액 × 판관비율 5.18%(최근 4분기 중위)</t>
      </text>
    </comment>
    <comment ref="V22" authorId="0" shapeId="0">
      <text>
        <t>3절 스칼라 '판관비율' 참조 — 숫자로 덮어쓰면 이 분기만 바뀐다
매출액 × 판관비율 5.18%(최근 4분기 중위)</t>
      </text>
    </comment>
    <comment ref="X22" authorId="0" shapeId="0">
      <text>
        <t>3절 스칼라 '판관비율' 참조 — 숫자로 덮어쓰면 이 분기만 바뀐다
매출액 × 판관비율 5.18%(최근 4분기 중위)</t>
      </text>
    </comment>
    <comment ref="Y22" authorId="0" shapeId="0">
      <text>
        <t>3절 스칼라 '판관비율' 참조 — 숫자로 덮어쓰면 이 분기만 바뀐다
매출액 × 판관비율 5.18%(최근 4분기 중위)</t>
      </text>
    </comment>
    <comment ref="Z22" authorId="0" shapeId="0">
      <text>
        <t>3절 스칼라 '판관비율' 참조 — 숫자로 덮어쓰면 이 분기만 바뀐다
매출액 × 판관비율 5.18%(최근 4분기 중위)</t>
      </text>
    </comment>
    <comment ref="AA22" authorId="0" shapeId="0">
      <text>
        <t>3절 스칼라 '판관비율' 참조 — 숫자로 덮어쓰면 이 분기만 바뀐다
매출액 × 판관비율 5.18%(최근 4분기 중위)</t>
      </text>
    </comment>
    <comment ref="P23" authorId="0" shapeId="0">
      <text>
        <t>모델값 역산(implied): v / 매출액
매출액 × OPM(최근 8분기 OPM 중위 17.3% 유지)</t>
      </text>
    </comment>
    <comment ref="Q23" authorId="0" shapeId="0">
      <text>
        <t>모델값 역산(implied): v / 매출액
매출액 × OPM(최근 8분기 OPM 중위 17.3% 유지)</t>
      </text>
    </comment>
    <comment ref="S23" authorId="0" shapeId="0">
      <text>
        <t>모델값 역산(implied): v / 매출액
매출액 × OPM(최근 8분기 OPM 중위 17.3% 유지)</t>
      </text>
    </comment>
    <comment ref="T23" authorId="0" shapeId="0">
      <text>
        <t>모델값 역산(implied): v / 매출액
매출액 × OPM(최근 8분기 OPM 중위 17.3% 유지)</t>
      </text>
    </comment>
    <comment ref="U23" authorId="0" shapeId="0">
      <text>
        <t>모델값 역산(implied): v / 매출액
매출액 × OPM(최근 8분기 OPM 중위 17.3% 유지)</t>
      </text>
    </comment>
    <comment ref="V23" authorId="0" shapeId="0">
      <text>
        <t>모델값 역산(implied): v / 매출액
매출액 × OPM(최근 8분기 OPM 중위 17.3% 유지)</t>
      </text>
    </comment>
    <comment ref="X23" authorId="0" shapeId="0">
      <text>
        <t>모델값 역산(implied): v / 매출액
매출액 × OPM(최근 8분기 OPM 중위 17.3% 유지)</t>
      </text>
    </comment>
    <comment ref="Y23" authorId="0" shapeId="0">
      <text>
        <t>모델값 역산(implied): v / 매출액
매출액 × OPM(최근 8분기 OPM 중위 17.3% 유지)</t>
      </text>
    </comment>
    <comment ref="Z23" authorId="0" shapeId="0">
      <text>
        <t>모델값 역산(implied): v / 매출액
매출액 × OPM(최근 8분기 OPM 중위 17.3% 유지)</t>
      </text>
    </comment>
    <comment ref="AA23" authorId="0" shapeId="0">
      <text>
        <t>모델값 역산(implied): v / 매출액
매출액 × OPM(최근 8분기 OPM 중위 17.3% 유지)</t>
      </text>
    </comment>
    <comment ref="P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Q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S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T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U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V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X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Y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Z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A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P25" authorId="0" shapeId="0">
      <text>
        <t>모델값 역산(implied): 모델 v 그대로
파생상품 평가·거래손익 0 가정</t>
      </text>
    </comment>
    <comment ref="Q25" authorId="0" shapeId="0">
      <text>
        <t>모델값 역산(implied): 모델 v 그대로
파생상품 평가·거래손익 0 가정</t>
      </text>
    </comment>
    <comment ref="S25" authorId="0" shapeId="0">
      <text>
        <t>모델값 역산(implied): 모델 v 그대로
파생상품 평가·거래손익 0 가정</t>
      </text>
    </comment>
    <comment ref="T25" authorId="0" shapeId="0">
      <text>
        <t>모델값 역산(implied): 모델 v 그대로
파생상품 평가·거래손익 0 가정</t>
      </text>
    </comment>
    <comment ref="U25" authorId="0" shapeId="0">
      <text>
        <t>모델값 역산(implied): 모델 v 그대로
파생상품 평가·거래손익 0 가정</t>
      </text>
    </comment>
    <comment ref="V25" authorId="0" shapeId="0">
      <text>
        <t>모델값 역산(implied): 모델 v 그대로
파생상품 평가·거래손익 0 가정</t>
      </text>
    </comment>
    <comment ref="X25" authorId="0" shapeId="0">
      <text>
        <t>모델값 역산(implied): 모델 v 그대로
파생상품 평가·거래손익 0 가정</t>
      </text>
    </comment>
    <comment ref="Y25" authorId="0" shapeId="0">
      <text>
        <t>모델값 역산(implied): 모델 v 그대로
파생상품 평가·거래손익 0 가정</t>
      </text>
    </comment>
    <comment ref="Z25" authorId="0" shapeId="0">
      <text>
        <t>모델값 역산(implied): 모델 v 그대로
파생상품 평가·거래손익 0 가정</t>
      </text>
    </comment>
    <comment ref="AA25" authorId="0" shapeId="0">
      <text>
        <t>모델값 역산(implied): 모델 v 그대로
파생상품 평가·거래손익 0 가정</t>
      </text>
    </comment>
    <comment ref="P26" authorId="0" shapeId="0">
      <text>
        <t>모델값 역산(implied): 모델 v 그대로
최근 4분기(2025Q3~2026Q2) 잔차 중위</t>
      </text>
    </comment>
    <comment ref="Q26" authorId="0" shapeId="0">
      <text>
        <t>모델값 역산(implied): 모델 v 그대로
최근 4분기(2025Q3~2026Q2) 잔차 중위</t>
      </text>
    </comment>
    <comment ref="S26" authorId="0" shapeId="0">
      <text>
        <t>모델값 역산(implied): 모델 v 그대로
최근 4분기(2025Q3~2026Q2) 잔차 중위</t>
      </text>
    </comment>
    <comment ref="T26" authorId="0" shapeId="0">
      <text>
        <t>모델값 역산(implied): 모델 v 그대로
최근 4분기(2025Q3~2026Q2) 잔차 중위</t>
      </text>
    </comment>
    <comment ref="U26" authorId="0" shapeId="0">
      <text>
        <t>모델값 역산(implied): 모델 v 그대로
최근 4분기(2025Q3~2026Q2) 잔차 중위</t>
      </text>
    </comment>
    <comment ref="V26" authorId="0" shapeId="0">
      <text>
        <t>모델값 역산(implied): 모델 v 그대로
최근 4분기(2025Q3~2026Q2) 잔차 중위</t>
      </text>
    </comment>
    <comment ref="X26" authorId="0" shapeId="0">
      <text>
        <t>모델값 역산(implied): 모델 v 그대로
최근 4분기(2025Q3~2026Q2) 잔차 중위</t>
      </text>
    </comment>
    <comment ref="Y26" authorId="0" shapeId="0">
      <text>
        <t>모델값 역산(implied): 모델 v 그대로
최근 4분기(2025Q3~2026Q2) 잔차 중위</t>
      </text>
    </comment>
    <comment ref="Z26" authorId="0" shapeId="0">
      <text>
        <t>모델값 역산(implied): 모델 v 그대로
최근 4분기(2025Q3~2026Q2) 잔차 중위</t>
      </text>
    </comment>
    <comment ref="AA26" authorId="0" shapeId="0">
      <text>
        <t>모델값 역산(implied): 모델 v 그대로
최근 4분기(2025Q3~2026Q2) 잔차 중위</t>
      </text>
    </comment>
    <comment ref="P27" authorId="0" shapeId="0">
      <text>
        <t>모델값 역산(implied): 모델 v 그대로
일회성 미가정 → 0</t>
      </text>
    </comment>
    <comment ref="Q27" authorId="0" shapeId="0">
      <text>
        <t>모델값 역산(implied): 모델 v 그대로
일회성 미가정 → 0</t>
      </text>
    </comment>
    <comment ref="S27" authorId="0" shapeId="0">
      <text>
        <t>모델값 역산(implied): 모델 v 그대로
일회성 미가정 → 0</t>
      </text>
    </comment>
    <comment ref="T27" authorId="0" shapeId="0">
      <text>
        <t>모델값 역산(implied): 모델 v 그대로
일회성 미가정 → 0</t>
      </text>
    </comment>
    <comment ref="U27" authorId="0" shapeId="0">
      <text>
        <t>모델값 역산(implied): 모델 v 그대로
일회성 미가정 → 0</t>
      </text>
    </comment>
    <comment ref="V27" authorId="0" shapeId="0">
      <text>
        <t>모델값 역산(implied): 모델 v 그대로
일회성 미가정 → 0</t>
      </text>
    </comment>
    <comment ref="X27" authorId="0" shapeId="0">
      <text>
        <t>모델값 역산(implied): 모델 v 그대로
일회성 미가정 → 0</t>
      </text>
    </comment>
    <comment ref="Y27" authorId="0" shapeId="0">
      <text>
        <t>모델값 역산(implied): 모델 v 그대로
일회성 미가정 → 0</t>
      </text>
    </comment>
    <comment ref="Z27" authorId="0" shapeId="0">
      <text>
        <t>모델값 역산(implied): 모델 v 그대로
일회성 미가정 → 0</t>
      </text>
    </comment>
    <comment ref="AA27" authorId="0" shapeId="0">
      <text>
        <t>모델값 역산(implied): 모델 v 그대로
일회성 미가정 → 0</t>
      </text>
    </comment>
    <comment ref="P28" authorId="0" shapeId="0">
      <text>
        <t>모델값 역산(implied): 모델 v 그대로
최근 4분기 중위</t>
      </text>
    </comment>
    <comment ref="Q28" authorId="0" shapeId="0">
      <text>
        <t>모델값 역산(implied): 모델 v 그대로
최근 4분기 중위</t>
      </text>
    </comment>
    <comment ref="S28" authorId="0" shapeId="0">
      <text>
        <t>모델값 역산(implied): 모델 v 그대로
최근 4분기 중위</t>
      </text>
    </comment>
    <comment ref="T28" authorId="0" shapeId="0">
      <text>
        <t>모델값 역산(implied): 모델 v 그대로
최근 4분기 중위</t>
      </text>
    </comment>
    <comment ref="U28" authorId="0" shapeId="0">
      <text>
        <t>모델값 역산(implied): 모델 v 그대로
최근 4분기 중위</t>
      </text>
    </comment>
    <comment ref="V28" authorId="0" shapeId="0">
      <text>
        <t>모델값 역산(implied): 모델 v 그대로
최근 4분기 중위</t>
      </text>
    </comment>
    <comment ref="X28" authorId="0" shapeId="0">
      <text>
        <t>모델값 역산(implied): 모델 v 그대로
최근 4분기 중위</t>
      </text>
    </comment>
    <comment ref="Y28" authorId="0" shapeId="0">
      <text>
        <t>모델값 역산(implied): 모델 v 그대로
최근 4분기 중위</t>
      </text>
    </comment>
    <comment ref="Z28" authorId="0" shapeId="0">
      <text>
        <t>모델값 역산(implied): 모델 v 그대로
최근 4분기 중위</t>
      </text>
    </comment>
    <comment ref="AA28" authorId="0" shapeId="0">
      <text>
        <t>모델값 역산(implied): 모델 v 그대로
최근 4분기 중위</t>
      </text>
    </comment>
    <comment ref="P29" authorId="0" shapeId="0">
      <text>
        <t>3절 스칼라 '세율' 참조 — 숫자로 덮어쓰면 이 분기만 바뀐다
max(세전, 0) × 세율 23.0%(최근 9분기 유효세율 23.0%(5~27% 안 — 그대로))</t>
      </text>
    </comment>
    <comment ref="Q29" authorId="0" shapeId="0">
      <text>
        <t>3절 스칼라 '세율' 참조 — 숫자로 덮어쓰면 이 분기만 바뀐다
max(세전, 0) × 세율 23.0%(최근 9분기 유효세율 23.0%(5~27% 안 — 그대로))</t>
      </text>
    </comment>
    <comment ref="S29" authorId="0" shapeId="0">
      <text>
        <t>3절 스칼라 '세율' 참조 — 숫자로 덮어쓰면 이 분기만 바뀐다
max(세전, 0) × 세율 23.0%(최근 9분기 유효세율 23.0%(5~27% 안 — 그대로))</t>
      </text>
    </comment>
    <comment ref="T29" authorId="0" shapeId="0">
      <text>
        <t>3절 스칼라 '세율' 참조 — 숫자로 덮어쓰면 이 분기만 바뀐다
max(세전, 0) × 세율 23.0%(최근 9분기 유효세율 23.0%(5~27% 안 — 그대로))</t>
      </text>
    </comment>
    <comment ref="U29" authorId="0" shapeId="0">
      <text>
        <t>3절 스칼라 '세율' 참조 — 숫자로 덮어쓰면 이 분기만 바뀐다
max(세전, 0) × 세율 23.0%(최근 9분기 유효세율 23.0%(5~27% 안 — 그대로))</t>
      </text>
    </comment>
    <comment ref="V29" authorId="0" shapeId="0">
      <text>
        <t>3절 스칼라 '세율' 참조 — 숫자로 덮어쓰면 이 분기만 바뀐다
max(세전, 0) × 세율 23.0%(최근 9분기 유효세율 23.0%(5~27% 안 — 그대로))</t>
      </text>
    </comment>
    <comment ref="X29" authorId="0" shapeId="0">
      <text>
        <t>3절 스칼라 '세율' 참조 — 숫자로 덮어쓰면 이 분기만 바뀐다
max(세전, 0) × 세율 23.0%(최근 9분기 유효세율 23.0%(5~27% 안 — 그대로))</t>
      </text>
    </comment>
    <comment ref="Y29" authorId="0" shapeId="0">
      <text>
        <t>3절 스칼라 '세율' 참조 — 숫자로 덮어쓰면 이 분기만 바뀐다
max(세전, 0) × 세율 23.0%(최근 9분기 유효세율 23.0%(5~27% 안 — 그대로))</t>
      </text>
    </comment>
    <comment ref="Z29" authorId="0" shapeId="0">
      <text>
        <t>3절 스칼라 '세율' 참조 — 숫자로 덮어쓰면 이 분기만 바뀐다
max(세전, 0) × 세율 23.0%(최근 9분기 유효세율 23.0%(5~27% 안 — 그대로))</t>
      </text>
    </comment>
    <comment ref="AA29" authorId="0" shapeId="0">
      <text>
        <t>3절 스칼라 '세율' 참조 — 숫자로 덮어쓰면 이 분기만 바뀐다
max(세전, 0) × 세율 23.0%(최근 9분기 유효세율 23.0%(5~27% 안 — 그대로))</t>
      </text>
    </comment>
    <comment ref="P30" authorId="0" shapeId="0">
      <text>
        <t>3절 스칼라 '지배주주비중' 참조 — 숫자로 덮어쓰면 이 분기만 바뀐다
당기순이익 × (1 − 비지배 비중 0.0%, 최근 8분기 실측)</t>
      </text>
    </comment>
    <comment ref="Q30" authorId="0" shapeId="0">
      <text>
        <t>3절 스칼라 '지배주주비중' 참조 — 숫자로 덮어쓰면 이 분기만 바뀐다
당기순이익 × (1 − 비지배 비중 0.0%, 최근 8분기 실측)</t>
      </text>
    </comment>
    <comment ref="S30" authorId="0" shapeId="0">
      <text>
        <t>3절 스칼라 '지배주주비중' 참조 — 숫자로 덮어쓰면 이 분기만 바뀐다
당기순이익 × (1 − 비지배 비중 0.0%, 최근 8분기 실측)</t>
      </text>
    </comment>
    <comment ref="T30" authorId="0" shapeId="0">
      <text>
        <t>3절 스칼라 '지배주주비중' 참조 — 숫자로 덮어쓰면 이 분기만 바뀐다
당기순이익 × (1 − 비지배 비중 0.0%, 최근 8분기 실측)</t>
      </text>
    </comment>
    <comment ref="U30" authorId="0" shapeId="0">
      <text>
        <t>3절 스칼라 '지배주주비중' 참조 — 숫자로 덮어쓰면 이 분기만 바뀐다
당기순이익 × (1 − 비지배 비중 0.0%, 최근 8분기 실측)</t>
      </text>
    </comment>
    <comment ref="V30" authorId="0" shapeId="0">
      <text>
        <t>3절 스칼라 '지배주주비중' 참조 — 숫자로 덮어쓰면 이 분기만 바뀐다
당기순이익 × (1 − 비지배 비중 0.0%, 최근 8분기 실측)</t>
      </text>
    </comment>
    <comment ref="X30" authorId="0" shapeId="0">
      <text>
        <t>3절 스칼라 '지배주주비중' 참조 — 숫자로 덮어쓰면 이 분기만 바뀐다
당기순이익 × (1 − 비지배 비중 0.0%, 최근 8분기 실측)</t>
      </text>
    </comment>
    <comment ref="Y30" authorId="0" shapeId="0">
      <text>
        <t>3절 스칼라 '지배주주비중' 참조 — 숫자로 덮어쓰면 이 분기만 바뀐다
당기순이익 × (1 − 비지배 비중 0.0%, 최근 8분기 실측)</t>
      </text>
    </comment>
    <comment ref="Z30" authorId="0" shapeId="0">
      <text>
        <t>3절 스칼라 '지배주주비중' 참조 — 숫자로 덮어쓰면 이 분기만 바뀐다
당기순이익 × (1 − 비지배 비중 0.0%, 최근 8분기 실측)</t>
      </text>
    </comment>
    <comment ref="AA30" authorId="0" shapeId="0">
      <text>
        <t>3절 스칼라 '지배주주비중' 참조 — 숫자로 덮어쓰면 이 분기만 바뀐다
당기순이익 × (1 − 비지배 비중 0.0%, 최근 8분기 실측)</t>
      </text>
    </comment>
    <comment ref="P31" authorId="0" shapeId="0">
      <text>
        <t>모델값 역산(implied): v / 전분기 − 1
마지막 실적 유지(가정)</t>
      </text>
    </comment>
    <comment ref="Q31" authorId="0" shapeId="0">
      <text>
        <t>모델값 역산(implied): v / 전분기 − 1
마지막 실적 유지(가정)</t>
      </text>
    </comment>
    <comment ref="S31" authorId="0" shapeId="0">
      <text>
        <t>모델값 역산(implied): v / 전분기 − 1
마지막 실적 유지(가정)</t>
      </text>
    </comment>
    <comment ref="T31" authorId="0" shapeId="0">
      <text>
        <t>모델값 역산(implied): v / 전분기 − 1
마지막 실적 유지(가정)</t>
      </text>
    </comment>
    <comment ref="U31" authorId="0" shapeId="0">
      <text>
        <t>모델값 역산(implied): v / 전분기 − 1
마지막 실적 유지(가정)</t>
      </text>
    </comment>
    <comment ref="V31" authorId="0" shapeId="0">
      <text>
        <t>모델값 역산(implied): v / 전분기 − 1
마지막 실적 유지(가정)</t>
      </text>
    </comment>
    <comment ref="X31" authorId="0" shapeId="0">
      <text>
        <t>모델값 역산(implied): v / 전분기 − 1
마지막 실적 유지(가정)</t>
      </text>
    </comment>
    <comment ref="Y31" authorId="0" shapeId="0">
      <text>
        <t>모델값 역산(implied): v / 전분기 − 1
마지막 실적 유지(가정)</t>
      </text>
    </comment>
    <comment ref="Z31" authorId="0" shapeId="0">
      <text>
        <t>모델값 역산(implied): v / 전분기 − 1
마지막 실적 유지(가정)</t>
      </text>
    </comment>
    <comment ref="AA31" authorId="0" shapeId="0">
      <text>
        <t>모델값 역산(implied): v / 전분기 − 1
마지막 실적 유지(가정)</t>
      </text>
    </comment>
    <comment ref="P32" authorId="0" shapeId="0">
      <text>
        <t>모델값 역산(implied): 전분기(시트값) + 당기순이익(시트 수식값) − v
전분기 + 당기순이익 − 배당(Q2 지급 가정)</t>
      </text>
    </comment>
    <comment ref="Q32" authorId="0" shapeId="0">
      <text>
        <t>모델값 역산(implied): 전분기(시트값) + 당기순이익(시트 수식값) − v
전분기 + 당기순이익 − 배당(Q2 지급 가정)</t>
      </text>
    </comment>
    <comment ref="S32" authorId="0" shapeId="0">
      <text>
        <t>모델값 역산(implied): 전분기(시트값) + 당기순이익(시트 수식값) − v
전분기 + 당기순이익 − 배당(Q2 지급 가정)</t>
      </text>
    </comment>
    <comment ref="T32" authorId="0" shapeId="0">
      <text>
        <t>모델값 역산(implied): 전분기(시트값) + 당기순이익(시트 수식값) − v
전분기 + 당기순이익 − 배당(Q2 지급 가정)</t>
      </text>
    </comment>
    <comment ref="U32" authorId="0" shapeId="0">
      <text>
        <t>모델값 역산(implied): 전분기(시트값) + 당기순이익(시트 수식값) − v
전분기 + 당기순이익 − 배당(Q2 지급 가정)</t>
      </text>
    </comment>
    <comment ref="V32" authorId="0" shapeId="0">
      <text>
        <t>모델값 역산(implied): 전분기(시트값) + 당기순이익(시트 수식값) − v
전분기 + 당기순이익 − 배당(Q2 지급 가정)</t>
      </text>
    </comment>
    <comment ref="X32" authorId="0" shapeId="0">
      <text>
        <t>모델값 역산(implied): 전분기(시트값) + 당기순이익(시트 수식값) − v
전분기 + 당기순이익 − 배당(Q2 지급 가정)</t>
      </text>
    </comment>
    <comment ref="Y32" authorId="0" shapeId="0">
      <text>
        <t>모델값 역산(implied): 전분기(시트값) + 당기순이익(시트 수식값) − v
전분기 + 당기순이익 − 배당(Q2 지급 가정)</t>
      </text>
    </comment>
    <comment ref="Z32" authorId="0" shapeId="0">
      <text>
        <t>모델값 역산(implied): 전분기(시트값) + 당기순이익(시트 수식값) − v
전분기 + 당기순이익 − 배당(Q2 지급 가정)</t>
      </text>
    </comment>
    <comment ref="AA32" authorId="0" shapeId="0">
      <text>
        <t>모델값 역산(implied): 전분기(시트값) + 당기순이익(시트 수식값) − v
전분기 + 당기순이익 − 배당(Q2 지급 가정)</t>
      </text>
    </comment>
    <comment ref="P33" authorId="0" shapeId="0">
      <text>
        <t>모델값 역산(implied): 전분기(시트값) + 지배주주순이익(시트 수식값) − v
전분기 + 지배주주순이익 − 배당</t>
      </text>
    </comment>
    <comment ref="Q33" authorId="0" shapeId="0">
      <text>
        <t>모델값 역산(implied): 전분기(시트값) + 지배주주순이익(시트 수식값) − v
전분기 + 지배주주순이익 − 배당</t>
      </text>
    </comment>
    <comment ref="S33" authorId="0" shapeId="0">
      <text>
        <t>모델값 역산(implied): 전분기(시트값) + 지배주주순이익(시트 수식값) − v
전분기 + 지배주주순이익 − 배당</t>
      </text>
    </comment>
    <comment ref="T33" authorId="0" shapeId="0">
      <text>
        <t>모델값 역산(implied): 전분기(시트값) + 지배주주순이익(시트 수식값) − v
전분기 + 지배주주순이익 − 배당</t>
      </text>
    </comment>
    <comment ref="U33" authorId="0" shapeId="0">
      <text>
        <t>모델값 역산(implied): 전분기(시트값) + 지배주주순이익(시트 수식값) − v
전분기 + 지배주주순이익 − 배당</t>
      </text>
    </comment>
    <comment ref="V33" authorId="0" shapeId="0">
      <text>
        <t>모델값 역산(implied): 전분기(시트값) + 지배주주순이익(시트 수식값) − v
전분기 + 지배주주순이익 − 배당</t>
      </text>
    </comment>
    <comment ref="X33" authorId="0" shapeId="0">
      <text>
        <t>모델값 역산(implied): 전분기(시트값) + 지배주주순이익(시트 수식값) − v
전분기 + 지배주주순이익 − 배당</t>
      </text>
    </comment>
    <comment ref="Y33" authorId="0" shapeId="0">
      <text>
        <t>모델값 역산(implied): 전분기(시트값) + 지배주주순이익(시트 수식값) − v
전분기 + 지배주주순이익 − 배당</t>
      </text>
    </comment>
    <comment ref="Z33" authorId="0" shapeId="0">
      <text>
        <t>모델값 역산(implied): 전분기(시트값) + 지배주주순이익(시트 수식값) − v
전분기 + 지배주주순이익 − 배당</t>
      </text>
    </comment>
    <comment ref="AA33" authorId="0" shapeId="0">
      <text>
        <t>모델값 역산(implied): 전분기(시트값) + 지배주주순이익(시트 수식값) − v
전분기 + 지배주주순이익 − 배당</t>
      </text>
    </comment>
    <comment ref="P36" authorId="0" shapeId="0">
      <text>
        <t>모델값 역산(implied): v / 전분기 − 1
전분기 + FCF 근사 — 순차입금 롤과 같은 가정</t>
      </text>
    </comment>
    <comment ref="Q36" authorId="0" shapeId="0">
      <text>
        <t>모델값 역산(implied): v / 전분기 − 1
전분기 + FCF 근사 — 순차입금 롤과 같은 가정</t>
      </text>
    </comment>
    <comment ref="S36" authorId="0" shapeId="0">
      <text>
        <t>모델값 역산(implied): v / 전분기 − 1
전분기 + FCF 근사 — 순차입금 롤과 같은 가정</t>
      </text>
    </comment>
    <comment ref="T36" authorId="0" shapeId="0">
      <text>
        <t>모델값 역산(implied): v / 전분기 − 1
전분기 + FCF 근사 — 순차입금 롤과 같은 가정</t>
      </text>
    </comment>
    <comment ref="U36" authorId="0" shapeId="0">
      <text>
        <t>모델값 역산(implied): v / 전분기 − 1
전분기 + FCF 근사 — 순차입금 롤과 같은 가정</t>
      </text>
    </comment>
    <comment ref="V36" authorId="0" shapeId="0">
      <text>
        <t>모델값 역산(implied): v / 전분기 − 1
전분기 + FCF 근사 — 순차입금 롤과 같은 가정</t>
      </text>
    </comment>
    <comment ref="X36" authorId="0" shapeId="0">
      <text>
        <t>모델값 역산(implied): v / 전분기 − 1
전분기 + FCF 근사 — 순차입금 롤과 같은 가정</t>
      </text>
    </comment>
    <comment ref="Y36" authorId="0" shapeId="0">
      <text>
        <t>모델값 역산(implied): v / 전분기 − 1
전분기 + FCF 근사 — 순차입금 롤과 같은 가정</t>
      </text>
    </comment>
    <comment ref="Z36" authorId="0" shapeId="0">
      <text>
        <t>모델값 역산(implied): v / 전분기 − 1
전분기 + FCF 근사 — 순차입금 롤과 같은 가정</t>
      </text>
    </comment>
    <comment ref="AA36" authorId="0" shapeId="0">
      <text>
        <t>모델값 역산(implied): v / 전분기 − 1
전분기 + FCF 근사 — 순차입금 롤과 같은 가정</t>
      </text>
    </comment>
    <comment ref="P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Q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S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T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U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V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X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Y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Z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A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P40" authorId="0" shapeId="0">
      <text>
        <t>모델값 역산(implied): v / 전분기 − 1
유통주식수 유지 — fin.shares.common_outstanding(2026Q2)</t>
      </text>
    </comment>
    <comment ref="Q40" authorId="0" shapeId="0">
      <text>
        <t>모델값 역산(implied): v / 전분기 − 1
유통주식수 유지 — fin.shares.common_outstanding(2026Q2)</t>
      </text>
    </comment>
    <comment ref="S40" authorId="0" shapeId="0">
      <text>
        <t>모델값 역산(implied): v / 전분기 − 1
유통주식수 유지 — fin.shares.common_outstanding(2026Q2)</t>
      </text>
    </comment>
    <comment ref="T40" authorId="0" shapeId="0">
      <text>
        <t>모델값 역산(implied): v / 전분기 − 1
유통주식수 유지 — fin.shares.common_outstanding(2026Q2)</t>
      </text>
    </comment>
    <comment ref="U40" authorId="0" shapeId="0">
      <text>
        <t>모델값 역산(implied): v / 전분기 − 1
유통주식수 유지 — fin.shares.common_outstanding(2026Q2)</t>
      </text>
    </comment>
    <comment ref="V40" authorId="0" shapeId="0">
      <text>
        <t>모델값 역산(implied): v / 전분기 − 1
유통주식수 유지 — fin.shares.common_outstanding(2026Q2)</t>
      </text>
    </comment>
    <comment ref="X40" authorId="0" shapeId="0">
      <text>
        <t>모델값 역산(implied): v / 전분기 − 1
유통주식수 유지 — fin.shares.common_outstanding(2026Q2)</t>
      </text>
    </comment>
    <comment ref="Y40" authorId="0" shapeId="0">
      <text>
        <t>모델값 역산(implied): v / 전분기 − 1
유통주식수 유지 — fin.shares.common_outstanding(2026Q2)</t>
      </text>
    </comment>
    <comment ref="Z40" authorId="0" shapeId="0">
      <text>
        <t>모델값 역산(implied): v / 전분기 − 1
유통주식수 유지 — fin.shares.common_outstanding(2026Q2)</t>
      </text>
    </comment>
    <comment ref="AA40" authorId="0" shapeId="0">
      <text>
        <t>모델값 역산(implied): v / 전분기 − 1
유통주식수 유지 — fin.shares.common_outstanding(2026Q2)</t>
      </text>
    </comment>
    <comment ref="Q41" authorId="0" shapeId="0">
      <text>
        <t>모델값 역산(implied): 모델 v 그대로
직전 결산 DPS 3,950원 유지</t>
      </text>
    </comment>
    <comment ref="V41" authorId="0" shapeId="0">
      <text>
        <t>모델값 역산(implied): 모델 v 그대로
직전 결산 DPS 3,950원 유지</t>
      </text>
    </comment>
    <comment ref="AA41" authorId="0" shapeId="0">
      <text>
        <t>모델값 역산(implied): 모델 v 그대로
직전 결산 DPS 3,950원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P5" authorId="0" shapeId="0">
      <text>
        <t>추정: 고객 매출 가중지수(t−3) 45175억 × 비례계수 0.1262(원점회귀; 격자 lag0~4×창8/12/19×수준·YoY·4Q합 중 최대 r=0.90, n=9, 창 12)
[yoy]</t>
      </text>
    </comment>
    <comment ref="Q5" authorId="0" shapeId="0">
      <text>
        <t>추정: 고객 매출 가중지수(t−3) 48694억 × 비례계수 0.1262(원점회귀; 격자 lag0~4×창8/12/19×수준·YoY·4Q합 중 최대 r=0.90, n=9, 창 12)
[yoy]</t>
      </text>
    </comment>
    <comment ref="S5" authorId="0" shapeId="0">
      <text>
        <t>추정: 고객 매출 가중지수(t−3) 52634억 × 비례계수 0.1262(원점회귀; 격자 lag0~4×창8/12/19×수준·YoY·4Q합 중 최대 r=0.90, n=9, 창 12)
[yoy]</t>
      </text>
    </comment>
    <comment ref="T5" authorId="0" shapeId="0">
      <text>
        <t>추정: 고객 매출 가중지수(t−3) 54819억 × 비례계수 0.1262(원점회귀; 격자 lag0~4×창8/12/19×수준·YoY·4Q합 중 최대 r=0.90, n=9, 창 12)
[yoy]</t>
      </text>
    </comment>
    <comment ref="U5" authorId="0" shapeId="0">
      <text>
        <t>추정: 고객 매출 가중지수(t−3) 55510억 × 비례계수 0.1262(원점회귀; 격자 lag0~4×창8/12/19×수준·YoY·4Q합 중 최대 r=0.90, n=9, 창 12)
[yoy]</t>
      </text>
    </comment>
    <comment ref="V5" authorId="0" shapeId="0">
      <text>
        <t>추정: 고객 매출 가중지수(t−3) 56938억 × 비례계수 0.1262(원점회귀; 격자 lag0~4×창8/12/19×수준·YoY·4Q합 중 최대 r=0.90, n=9, 창 12)
[yoy]</t>
      </text>
    </comment>
    <comment ref="X5" authorId="0" shapeId="0">
      <text>
        <t>추정: 고객 매출 가중지수(t−3) 59885억 × 비례계수 0.1262(원점회귀; 격자 lag0~4×창8/12/19×수준·YoY·4Q합 중 최대 r=0.90, n=9, 창 12)
[yoy]</t>
      </text>
    </comment>
    <comment ref="Y5" authorId="0" shapeId="0">
      <text>
        <t>추정: 고객 매출 가중지수(t−3) 63192억 × 비례계수 0.1262(원점회귀; 격자 lag0~4×창8/12/19×수준·YoY·4Q합 중 최대 r=0.90, n=9, 창 12)
[yoy]</t>
      </text>
    </comment>
    <comment ref="Z5" authorId="0" shapeId="0">
      <text>
        <t>추정: 고객 매출 가중지수(t−3) 67174억 × 비례계수 0.1262(원점회귀; 격자 lag0~4×창8/12/19×수준·YoY·4Q합 중 최대 r=0.90, n=9, 창 12)
[yoy]</t>
      </text>
    </comment>
    <comment ref="AA5" authorId="0" shapeId="0">
      <text>
        <t>추정: 고객 매출 가중지수(t−3) 71332억 × 비례계수 0.1262(원점회귀; 격자 lag0~4×창8/12/19×수준·YoY·4Q합 중 최대 r=0.90, n=9, 창 12)
[yoy]</t>
      </text>
    </comment>
    <comment ref="P6" authorId="0" shapeId="0">
      <text>
        <t>추정: 매출액 − 매출총이익(항등식)
[identity]</t>
      </text>
    </comment>
    <comment ref="Q6" authorId="0" shapeId="0">
      <text>
        <t>추정: 매출액 − 매출총이익(항등식)
[identity]</t>
      </text>
    </comment>
    <comment ref="S6" authorId="0" shapeId="0">
      <text>
        <t>추정: 매출액 − 매출총이익(항등식)
[identity]</t>
      </text>
    </comment>
    <comment ref="T6" authorId="0" shapeId="0">
      <text>
        <t>추정: 매출액 − 매출총이익(항등식)
[identity]</t>
      </text>
    </comment>
    <comment ref="U6" authorId="0" shapeId="0">
      <text>
        <t>추정: 매출액 − 매출총이익(항등식)
[identity]</t>
      </text>
    </comment>
    <comment ref="V6" authorId="0" shapeId="0">
      <text>
        <t>추정: 매출액 − 매출총이익(항등식)
[identity]</t>
      </text>
    </comment>
    <comment ref="X6" authorId="0" shapeId="0">
      <text>
        <t>추정: 매출액 − 매출총이익(항등식)
[identity]</t>
      </text>
    </comment>
    <comment ref="Y6" authorId="0" shapeId="0">
      <text>
        <t>추정: 매출액 − 매출총이익(항등식)
[identity]</t>
      </text>
    </comment>
    <comment ref="Z6" authorId="0" shapeId="0">
      <text>
        <t>추정: 매출액 − 매출총이익(항등식)
[identity]</t>
      </text>
    </comment>
    <comment ref="AA6" authorId="0" shapeId="0">
      <text>
        <t>추정: 매출액 − 매출총이익(항등식)
[identity]</t>
      </text>
    </comment>
    <comment ref="P7" authorId="0" shapeId="0">
      <text>
        <t>추정: 영업이익 + 판관비 − 기타영업손익(항등식)
[identity]</t>
      </text>
    </comment>
    <comment ref="Q7" authorId="0" shapeId="0">
      <text>
        <t>추정: 영업이익 + 판관비 − 기타영업손익(항등식)
[identity]</t>
      </text>
    </comment>
    <comment ref="S7" authorId="0" shapeId="0">
      <text>
        <t>추정: 영업이익 + 판관비 − 기타영업손익(항등식)
[identity]</t>
      </text>
    </comment>
    <comment ref="T7" authorId="0" shapeId="0">
      <text>
        <t>추정: 영업이익 + 판관비 − 기타영업손익(항등식)
[identity]</t>
      </text>
    </comment>
    <comment ref="U7" authorId="0" shapeId="0">
      <text>
        <t>추정: 영업이익 + 판관비 − 기타영업손익(항등식)
[identity]</t>
      </text>
    </comment>
    <comment ref="V7" authorId="0" shapeId="0">
      <text>
        <t>추정: 영업이익 + 판관비 − 기타영업손익(항등식)
[identity]</t>
      </text>
    </comment>
    <comment ref="X7" authorId="0" shapeId="0">
      <text>
        <t>추정: 영업이익 + 판관비 − 기타영업손익(항등식)
[identity]</t>
      </text>
    </comment>
    <comment ref="Y7" authorId="0" shapeId="0">
      <text>
        <t>추정: 영업이익 + 판관비 − 기타영업손익(항등식)
[identity]</t>
      </text>
    </comment>
    <comment ref="Z7" authorId="0" shapeId="0">
      <text>
        <t>추정: 영업이익 + 판관비 − 기타영업손익(항등식)
[identity]</t>
      </text>
    </comment>
    <comment ref="AA7" authorId="0" shapeId="0">
      <text>
        <t>추정: 영업이익 + 판관비 − 기타영업손익(항등식)
[identity]</t>
      </text>
    </comment>
    <comment ref="P8" authorId="0" shapeId="0">
      <text>
        <t>추정: 매출액 × 판관비율 5.18%(최근 4분기 중위)
[ratio]</t>
      </text>
    </comment>
    <comment ref="Q8" authorId="0" shapeId="0">
      <text>
        <t>추정: 매출액 × 판관비율 5.18%(최근 4분기 중위)
[ratio]</t>
      </text>
    </comment>
    <comment ref="S8" authorId="0" shapeId="0">
      <text>
        <t>추정: 매출액 × 판관비율 5.18%(최근 4분기 중위)
[ratio]</t>
      </text>
    </comment>
    <comment ref="T8" authorId="0" shapeId="0">
      <text>
        <t>추정: 매출액 × 판관비율 5.18%(최근 4분기 중위)
[ratio]</t>
      </text>
    </comment>
    <comment ref="U8" authorId="0" shapeId="0">
      <text>
        <t>추정: 매출액 × 판관비율 5.18%(최근 4분기 중위)
[ratio]</t>
      </text>
    </comment>
    <comment ref="V8" authorId="0" shapeId="0">
      <text>
        <t>추정: 매출액 × 판관비율 5.18%(최근 4분기 중위)
[ratio]</t>
      </text>
    </comment>
    <comment ref="X8" authorId="0" shapeId="0">
      <text>
        <t>추정: 매출액 × 판관비율 5.18%(최근 4분기 중위)
[ratio]</t>
      </text>
    </comment>
    <comment ref="Y8" authorId="0" shapeId="0">
      <text>
        <t>추정: 매출액 × 판관비율 5.18%(최근 4분기 중위)
[ratio]</t>
      </text>
    </comment>
    <comment ref="Z8" authorId="0" shapeId="0">
      <text>
        <t>추정: 매출액 × 판관비율 5.18%(최근 4분기 중위)
[ratio]</t>
      </text>
    </comment>
    <comment ref="AA8" authorId="0" shapeId="0">
      <text>
        <t>추정: 매출액 × 판관비율 5.18%(최근 4분기 중위)
[ratio]</t>
      </text>
    </comment>
    <comment ref="P9" authorId="0" shapeId="0">
      <text>
        <t>추정: 매출액 × OPM(최근 8분기 OPM 중위 17.3% 유지)
[ratio]</t>
      </text>
    </comment>
    <comment ref="Q9" authorId="0" shapeId="0">
      <text>
        <t>추정: 매출액 × OPM(최근 8분기 OPM 중위 17.3% 유지)
[ratio]</t>
      </text>
    </comment>
    <comment ref="S9" authorId="0" shapeId="0">
      <text>
        <t>추정: 매출액 × OPM(최근 8분기 OPM 중위 17.3% 유지)
[ratio]</t>
      </text>
    </comment>
    <comment ref="T9" authorId="0" shapeId="0">
      <text>
        <t>추정: 매출액 × OPM(최근 8분기 OPM 중위 17.3% 유지)
[ratio]</t>
      </text>
    </comment>
    <comment ref="U9" authorId="0" shapeId="0">
      <text>
        <t>추정: 매출액 × OPM(최근 8분기 OPM 중위 17.3% 유지)
[ratio]</t>
      </text>
    </comment>
    <comment ref="V9" authorId="0" shapeId="0">
      <text>
        <t>추정: 매출액 × OPM(최근 8분기 OPM 중위 17.3% 유지)
[ratio]</t>
      </text>
    </comment>
    <comment ref="X9" authorId="0" shapeId="0">
      <text>
        <t>추정: 매출액 × OPM(최근 8분기 OPM 중위 17.3% 유지)
[ratio]</t>
      </text>
    </comment>
    <comment ref="Y9" authorId="0" shapeId="0">
      <text>
        <t>추정: 매출액 × OPM(최근 8분기 OPM 중위 17.3% 유지)
[ratio]</t>
      </text>
    </comment>
    <comment ref="Z9" authorId="0" shapeId="0">
      <text>
        <t>추정: 매출액 × OPM(최근 8분기 OPM 중위 17.3% 유지)
[ratio]</t>
      </text>
    </comment>
    <comment ref="AA9" authorId="0" shapeId="0">
      <text>
        <t>추정: 매출액 × OPM(최근 8분기 OPM 중위 17.3% 유지)
[ratio]</t>
      </text>
    </comment>
    <comment ref="P10" authorId="0" shapeId="0">
      <text>
        <t>추정: 최근 8분기 OPM 중위 17.3% 유지
[divide]</t>
      </text>
    </comment>
    <comment ref="Q10" authorId="0" shapeId="0">
      <text>
        <t>추정: 최근 8분기 OPM 중위 17.3% 유지
[divide]</t>
      </text>
    </comment>
    <comment ref="S10" authorId="0" shapeId="0">
      <text>
        <t>추정: 최근 8분기 OPM 중위 17.3% 유지
[divide]</t>
      </text>
    </comment>
    <comment ref="T10" authorId="0" shapeId="0">
      <text>
        <t>추정: 최근 8분기 OPM 중위 17.3% 유지
[divide]</t>
      </text>
    </comment>
    <comment ref="U10" authorId="0" shapeId="0">
      <text>
        <t>추정: 최근 8분기 OPM 중위 17.3% 유지
[divide]</t>
      </text>
    </comment>
    <comment ref="V10" authorId="0" shapeId="0">
      <text>
        <t>추정: 최근 8분기 OPM 중위 17.3% 유지
[divide]</t>
      </text>
    </comment>
    <comment ref="X10" authorId="0" shapeId="0">
      <text>
        <t>추정: 최근 8분기 OPM 중위 17.3% 유지
[divide]</t>
      </text>
    </comment>
    <comment ref="Y10" authorId="0" shapeId="0">
      <text>
        <t>추정: 최근 8분기 OPM 중위 17.3% 유지
[divide]</t>
      </text>
    </comment>
    <comment ref="Z10" authorId="0" shapeId="0">
      <text>
        <t>추정: 최근 8분기 OPM 중위 17.3% 유지
[divide]</t>
      </text>
    </comment>
    <comment ref="AA10" authorId="0" shapeId="0">
      <text>
        <t>추정: 최근 8분기 OPM 중위 17.3% 유지
[divide]</t>
      </text>
    </comment>
    <comment ref="P11" authorId="0" shapeId="0">
      <text>
        <t>추정: 이자손익 + 외환손익 0 + 파생상품손익 0 + 기타금융손익 +0.00억(최근 4분기(2025Q3~2026Q2) 잔차 중위) (항등식); 이자손익 = 이자발생자산 5489억 × 2.88%(주석 이자수익 ÷ 평균 이자발생자산(2025Q3~2026Q2)) − 총차입금 0억 × 0.00%(없음) (연율) ÷ 4; 환율 효과는 환관련손익 행 별도
[identity]</t>
      </text>
    </comment>
    <comment ref="Q11" authorId="0" shapeId="0">
      <text>
        <t>추정: 이자손익 + 외환손익 0 + 파생상품손익 0 + 기타금융손익 +0.00억(최근 4분기(2025Q3~2026Q2) 잔차 중위) (항등식); 이자손익 = 이자발생자산 6279억 × 2.88%(주석 이자수익 ÷ 평균 이자발생자산(2025Q3~2026Q2)) − 총차입금 0억 × 0.00%(없음) (연율) ÷ 4; 환율 효과는 환관련손익 행 별도
[identity]</t>
      </text>
    </comment>
    <comment ref="S11" authorId="0" shapeId="0">
      <text>
        <t>추정: 이자손익 + 외환손익 0 + 파생상품손익 0 + 기타금융손익 +0.00억(최근 4분기(2025Q3~2026Q2) 잔차 중위) (항등식); 이자손익 = 이자발생자산 7133억 × 2.88%(주석 이자수익 ÷ 평균 이자발생자산(2025Q3~2026Q2)) − 총차입금 0억 × 0.00%(없음) (연율) ÷ 4; 환율 효과는 환관련손익 행 별도
[identity]</t>
      </text>
    </comment>
    <comment ref="T11" authorId="0" shapeId="0">
      <text>
        <t>추정: 이자손익 + 외환손익 0 + 파생상품손익 0 + 기타금융손익 +0.00억(최근 4분기(2025Q3~2026Q2) 잔차 중위) (항등식); 이자손익 = 이자발생자산 8057억 × 2.88%(주석 이자수익 ÷ 평균 이자발생자산(2025Q3~2026Q2)) − 총차입금 0억 × 0.00%(없음) (연율) ÷ 4; 환율 효과는 환관련손익 행 별도
[identity]</t>
      </text>
    </comment>
    <comment ref="U11" authorId="0" shapeId="0">
      <text>
        <t>추정: 이자손익 + 외환손익 0 + 파생상품손익 0 + 기타금융손익 +0.00억(최근 4분기(2025Q3~2026Q2) 잔차 중위) (항등식); 이자손익 = 이자발생자산 7253억 × 2.88%(주석 이자수익 ÷ 평균 이자발생자산(2025Q3~2026Q2)) − 총차입금 0억 × 0.00%(없음) (연율) ÷ 4; 환율 효과는 환관련손익 행 별도
[identity]</t>
      </text>
    </comment>
    <comment ref="V11" authorId="0" shapeId="0">
      <text>
        <t>추정: 이자손익 + 외환손익 0 + 파생상품손익 0 + 기타금융손익 +0.00억(최근 4분기(2025Q3~2026Q2) 잔차 중위) (항등식); 이자손익 = 이자발생자산 8227억 × 2.88%(주석 이자수익 ÷ 평균 이자발생자산(2025Q3~2026Q2)) − 총차입금 0억 × 0.00%(없음) (연율) ÷ 4; 환율 효과는 환관련손익 행 별도
[identity]</t>
      </text>
    </comment>
    <comment ref="X11" authorId="0" shapeId="0">
      <text>
        <t>추정: 이자손익 + 외환손익 0 + 파생상품손익 0 + 기타금융손익 +0.00억(최근 4분기(2025Q3~2026Q2) 잔차 중위) (항등식); 이자손익 = 이자발생자산 9230억 × 2.88%(주석 이자수익 ÷ 평균 이자발생자산(2025Q3~2026Q2)) − 총차입금 0억 × 0.00%(없음) (연율) ÷ 4; 환율 효과는 환관련손익 행 별도
[identity]</t>
      </text>
    </comment>
    <comment ref="Y11" authorId="0" shapeId="0">
      <text>
        <t>추정: 이자손익 + 외환손익 0 + 파생상품손익 0 + 기타금융손익 +0.00억(최근 4분기(2025Q3~2026Q2) 잔차 중위) (항등식); 이자손익 = 이자발생자산 10289억 × 2.88%(주석 이자수익 ÷ 평균 이자발생자산(2025Q3~2026Q2)) − 총차입금 0억 × 0.00%(없음) (연율) ÷ 4; 환율 효과는 환관련손익 행 별도
[identity]</t>
      </text>
    </comment>
    <comment ref="Z11" authorId="0" shapeId="0">
      <text>
        <t>추정: 이자손익 + 외환손익 0 + 파생상품손익 0 + 기타금융손익 +0.00억(최근 4분기(2025Q3~2026Q2) 잔차 중위) (항등식); 이자손익 = 이자발생자산 9638억 × 2.88%(주석 이자수익 ÷ 평균 이자발생자산(2025Q3~2026Q2)) − 총차입금 0억 × 0.00%(없음) (연율) ÷ 4; 환율 효과는 환관련손익 행 별도
[identity]</t>
      </text>
    </comment>
    <comment ref="AA11" authorId="0" shapeId="0">
      <text>
        <t>추정: 이자손익 + 외환손익 0 + 파생상품손익 0 + 기타금융손익 +0.00억(최근 4분기(2025Q3~2026Q2) 잔차 중위) (항등식); 이자손익 = 이자발생자산 10821억 × 2.88%(주석 이자수익 ÷ 평균 이자발생자산(2025Q3~2026Q2)) − 총차입금 0억 × 0.00%(없음) (연율) ÷ 4; 환율 효과는 환관련손익 행 별도
[identity]</t>
      </text>
    </comment>
    <comment ref="P12" authorId="0" shapeId="0">
      <text>
        <t>추정: 이자발생자산 5489억 × 2.88%(주석 이자수익 ÷ 평균 이자발생자산(2025Q3~2026Q2)) − 총차입금 0억 × 0.00%(없음) (연율) ÷ 4
[interest]</t>
      </text>
    </comment>
    <comment ref="Q12" authorId="0" shapeId="0">
      <text>
        <t>추정: 이자발생자산 6279억 × 2.88%(주석 이자수익 ÷ 평균 이자발생자산(2025Q3~2026Q2)) − 총차입금 0억 × 0.00%(없음) (연율) ÷ 4
[interest]</t>
      </text>
    </comment>
    <comment ref="S12" authorId="0" shapeId="0">
      <text>
        <t>추정: 이자발생자산 7133억 × 2.88%(주석 이자수익 ÷ 평균 이자발생자산(2025Q3~2026Q2)) − 총차입금 0억 × 0.00%(없음) (연율) ÷ 4
[interest]</t>
      </text>
    </comment>
    <comment ref="T12" authorId="0" shapeId="0">
      <text>
        <t>추정: 이자발생자산 8057억 × 2.88%(주석 이자수익 ÷ 평균 이자발생자산(2025Q3~2026Q2)) − 총차입금 0억 × 0.00%(없음) (연율) ÷ 4
[interest]</t>
      </text>
    </comment>
    <comment ref="U12" authorId="0" shapeId="0">
      <text>
        <t>추정: 이자발생자산 7253억 × 2.88%(주석 이자수익 ÷ 평균 이자발생자산(2025Q3~2026Q2)) − 총차입금 0억 × 0.00%(없음) (연율) ÷ 4
[interest]</t>
      </text>
    </comment>
    <comment ref="V12" authorId="0" shapeId="0">
      <text>
        <t>추정: 이자발생자산 8227억 × 2.88%(주석 이자수익 ÷ 평균 이자발생자산(2025Q3~2026Q2)) − 총차입금 0억 × 0.00%(없음) (연율) ÷ 4
[interest]</t>
      </text>
    </comment>
    <comment ref="X12" authorId="0" shapeId="0">
      <text>
        <t>추정: 이자발생자산 9230억 × 2.88%(주석 이자수익 ÷ 평균 이자발생자산(2025Q3~2026Q2)) − 총차입금 0억 × 0.00%(없음) (연율) ÷ 4
[interest]</t>
      </text>
    </comment>
    <comment ref="Y12" authorId="0" shapeId="0">
      <text>
        <t>추정: 이자발생자산 10289억 × 2.88%(주석 이자수익 ÷ 평균 이자발생자산(2025Q3~2026Q2)) − 총차입금 0억 × 0.00%(없음) (연율) ÷ 4
[interest]</t>
      </text>
    </comment>
    <comment ref="Z12" authorId="0" shapeId="0">
      <text>
        <t>추정: 이자발생자산 9638억 × 2.88%(주석 이자수익 ÷ 평균 이자발생자산(2025Q3~2026Q2)) − 총차입금 0억 × 0.00%(없음) (연율) ÷ 4
[interest]</t>
      </text>
    </comment>
    <comment ref="AA12" authorId="0" shapeId="0">
      <text>
        <t>추정: 이자발생자산 10821억 × 2.88%(주석 이자수익 ÷ 평균 이자발생자산(2025Q3~2026Q2)) − 총차입금 0억 × 0.00%(없음) (연율) ÷ 4
[interest]</t>
      </text>
    </comment>
    <comment ref="E13" authorId="0" shapeId="0">
      <text>
        <t>BS 계정 합·차: +외환차익 -외환차손 +외화환산이익 -외화환산손실</t>
      </text>
    </comment>
    <comment ref="F13" authorId="0" shapeId="0">
      <text>
        <t>BS 계정 합·차: +외환차익 -외환차손 +외화환산이익 -외화환산손실</t>
      </text>
    </comment>
    <comment ref="G13" authorId="0" shapeId="0">
      <text>
        <t>BS 계정 합·차: +외환차익 -외환차손 +외화환산이익 -외화환산손실</t>
      </text>
    </comment>
    <comment ref="I13" authorId="0" shapeId="0">
      <text>
        <t>BS 계정 합·차: +외환차익 -외환차손 +외화환산이익 -외화환산손실</t>
      </text>
    </comment>
    <comment ref="J13" authorId="0" shapeId="0">
      <text>
        <t>BS 계정 합·차: +외환차익 -외환차손 +외화환산이익 -외화환산손실</t>
      </text>
    </comment>
    <comment ref="K13" authorId="0" shapeId="0">
      <text>
        <t>BS 계정 합·차: +외환차익 -외환차손 +외화환산이익 -외화환산손실</t>
      </text>
    </comment>
    <comment ref="L13" authorId="0" shapeId="0">
      <text>
        <t>BS 계정 합·차: +외환차익 -외환차손 +외화환산이익 -외화환산손실</t>
      </text>
    </comment>
    <comment ref="N13" authorId="0" shapeId="0">
      <text>
        <t>BS 계정 합·차: +외환차익 -외환차손 +외화환산이익 -외화환산손실</t>
      </text>
    </comment>
    <comment ref="O13" authorId="0" shapeId="0">
      <text>
        <t>BS 계정 합·차: +외환차익 -외환차손 +외화환산이익 -외화환산손실</t>
      </text>
    </comment>
    <comment ref="P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Q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S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T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U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V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X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Y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Z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A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F14" authorId="0" shapeId="0">
      <text>
        <t>BS 계정 합·차: +파생상품이익 -파생상품손실</t>
      </text>
    </comment>
    <comment ref="J14" authorId="0" shapeId="0">
      <text>
        <t>BS 계정 합·차: +파생상품이익 -파생상품손실</t>
      </text>
    </comment>
    <comment ref="K14" authorId="0" shapeId="0">
      <text>
        <t>BS 계정 합·차: +파생상품이익 -파생상품손실</t>
      </text>
    </comment>
    <comment ref="L14" authorId="0" shapeId="0">
      <text>
        <t>BS 계정 합·차: +파생상품이익 -파생상품손실</t>
      </text>
    </comment>
    <comment ref="N14" authorId="0" shapeId="0">
      <text>
        <t>BS 계정 합·차: +파생상품이익 -파생상품손실</t>
      </text>
    </comment>
    <comment ref="O14" authorId="0" shapeId="0">
      <text>
        <t>BS 계정 합·차: +파생상품이익 -파생상품손실</t>
      </text>
    </comment>
    <comment ref="P14" authorId="0" shapeId="0">
      <text>
        <t>추정: 파생상품 평가·거래손익 0 가정
[abs]</t>
      </text>
    </comment>
    <comment ref="Q14" authorId="0" shapeId="0">
      <text>
        <t>추정: 파생상품 평가·거래손익 0 가정
[abs]</t>
      </text>
    </comment>
    <comment ref="S14" authorId="0" shapeId="0">
      <text>
        <t>추정: 파생상품 평가·거래손익 0 가정
[abs]</t>
      </text>
    </comment>
    <comment ref="T14" authorId="0" shapeId="0">
      <text>
        <t>추정: 파생상품 평가·거래손익 0 가정
[abs]</t>
      </text>
    </comment>
    <comment ref="U14" authorId="0" shapeId="0">
      <text>
        <t>추정: 파생상품 평가·거래손익 0 가정
[abs]</t>
      </text>
    </comment>
    <comment ref="V14" authorId="0" shapeId="0">
      <text>
        <t>추정: 파생상품 평가·거래손익 0 가정
[abs]</t>
      </text>
    </comment>
    <comment ref="X14" authorId="0" shapeId="0">
      <text>
        <t>추정: 파생상품 평가·거래손익 0 가정
[abs]</t>
      </text>
    </comment>
    <comment ref="Y14" authorId="0" shapeId="0">
      <text>
        <t>추정: 파생상품 평가·거래손익 0 가정
[abs]</t>
      </text>
    </comment>
    <comment ref="Z14" authorId="0" shapeId="0">
      <text>
        <t>추정: 파생상품 평가·거래손익 0 가정
[abs]</t>
      </text>
    </comment>
    <comment ref="AA14" authorId="0" shapeId="0">
      <text>
        <t>추정: 파생상품 평가·거래손익 0 가정
[abs]</t>
      </text>
    </comment>
    <comment ref="P15" authorId="0" shapeId="0">
      <text>
        <t>추정: 최근 4분기(2025Q3~2026Q2) 잔차 중위
[abs]</t>
      </text>
    </comment>
    <comment ref="Q15" authorId="0" shapeId="0">
      <text>
        <t>추정: 최근 4분기(2025Q3~2026Q2) 잔차 중위
[abs]</t>
      </text>
    </comment>
    <comment ref="S15" authorId="0" shapeId="0">
      <text>
        <t>추정: 최근 4분기(2025Q3~2026Q2) 잔차 중위
[abs]</t>
      </text>
    </comment>
    <comment ref="T15" authorId="0" shapeId="0">
      <text>
        <t>추정: 최근 4분기(2025Q3~2026Q2) 잔차 중위
[abs]</t>
      </text>
    </comment>
    <comment ref="U15" authorId="0" shapeId="0">
      <text>
        <t>추정: 최근 4분기(2025Q3~2026Q2) 잔차 중위
[abs]</t>
      </text>
    </comment>
    <comment ref="V15" authorId="0" shapeId="0">
      <text>
        <t>추정: 최근 4분기(2025Q3~2026Q2) 잔차 중위
[abs]</t>
      </text>
    </comment>
    <comment ref="X15" authorId="0" shapeId="0">
      <text>
        <t>추정: 최근 4분기(2025Q3~2026Q2) 잔차 중위
[abs]</t>
      </text>
    </comment>
    <comment ref="Y15" authorId="0" shapeId="0">
      <text>
        <t>추정: 최근 4분기(2025Q3~2026Q2) 잔차 중위
[abs]</t>
      </text>
    </comment>
    <comment ref="Z15" authorId="0" shapeId="0">
      <text>
        <t>추정: 최근 4분기(2025Q3~2026Q2) 잔차 중위
[abs]</t>
      </text>
    </comment>
    <comment ref="AA15" authorId="0" shapeId="0">
      <text>
        <t>추정: 최근 4분기(2025Q3~2026Q2) 잔차 중위
[abs]</t>
      </text>
    </comment>
    <comment ref="P16" authorId="0" shapeId="0">
      <text>
        <t>추정: 일회성 미가정 → 0
[abs]</t>
      </text>
    </comment>
    <comment ref="Q16" authorId="0" shapeId="0">
      <text>
        <t>추정: 일회성 미가정 → 0
[abs]</t>
      </text>
    </comment>
    <comment ref="S16" authorId="0" shapeId="0">
      <text>
        <t>추정: 일회성 미가정 → 0
[abs]</t>
      </text>
    </comment>
    <comment ref="T16" authorId="0" shapeId="0">
      <text>
        <t>추정: 일회성 미가정 → 0
[abs]</t>
      </text>
    </comment>
    <comment ref="U16" authorId="0" shapeId="0">
      <text>
        <t>추정: 일회성 미가정 → 0
[abs]</t>
      </text>
    </comment>
    <comment ref="V16" authorId="0" shapeId="0">
      <text>
        <t>추정: 일회성 미가정 → 0
[abs]</t>
      </text>
    </comment>
    <comment ref="X16" authorId="0" shapeId="0">
      <text>
        <t>추정: 일회성 미가정 → 0
[abs]</t>
      </text>
    </comment>
    <comment ref="Y16" authorId="0" shapeId="0">
      <text>
        <t>추정: 일회성 미가정 → 0
[abs]</t>
      </text>
    </comment>
    <comment ref="Z16" authorId="0" shapeId="0">
      <text>
        <t>추정: 일회성 미가정 → 0
[abs]</t>
      </text>
    </comment>
    <comment ref="AA16" authorId="0" shapeId="0">
      <text>
        <t>추정: 일회성 미가정 → 0
[abs]</t>
      </text>
    </comment>
    <comment ref="P17" authorId="0" shapeId="0">
      <text>
        <t>추정: 최근 4분기 중위
[abs]</t>
      </text>
    </comment>
    <comment ref="Q17" authorId="0" shapeId="0">
      <text>
        <t>추정: 최근 4분기 중위
[abs]</t>
      </text>
    </comment>
    <comment ref="S17" authorId="0" shapeId="0">
      <text>
        <t>추정: 최근 4분기 중위
[abs]</t>
      </text>
    </comment>
    <comment ref="T17" authorId="0" shapeId="0">
      <text>
        <t>추정: 최근 4분기 중위
[abs]</t>
      </text>
    </comment>
    <comment ref="U17" authorId="0" shapeId="0">
      <text>
        <t>추정: 최근 4분기 중위
[abs]</t>
      </text>
    </comment>
    <comment ref="V17" authorId="0" shapeId="0">
      <text>
        <t>추정: 최근 4분기 중위
[abs]</t>
      </text>
    </comment>
    <comment ref="X17" authorId="0" shapeId="0">
      <text>
        <t>추정: 최근 4분기 중위
[abs]</t>
      </text>
    </comment>
    <comment ref="Y17" authorId="0" shapeId="0">
      <text>
        <t>추정: 최근 4분기 중위
[abs]</t>
      </text>
    </comment>
    <comment ref="Z17" authorId="0" shapeId="0">
      <text>
        <t>추정: 최근 4분기 중위
[abs]</t>
      </text>
    </comment>
    <comment ref="AA17" authorId="0" shapeId="0">
      <text>
        <t>추정: 최근 4분기 중위
[abs]</t>
      </text>
    </comment>
    <comment ref="P18" authorId="0" shapeId="0">
      <text>
        <t>추정: 영업이익 + 금융손익 + 기타영업외 + 지분법 + 환관련(항등식)
[identity]</t>
      </text>
    </comment>
    <comment ref="Q18" authorId="0" shapeId="0">
      <text>
        <t>추정: 영업이익 + 금융손익 + 기타영업외 + 지분법 + 환관련(항등식)
[identity]</t>
      </text>
    </comment>
    <comment ref="S18" authorId="0" shapeId="0">
      <text>
        <t>추정: 영업이익 + 금융손익 + 기타영업외 + 지분법 + 환관련(항등식)
[identity]</t>
      </text>
    </comment>
    <comment ref="T18" authorId="0" shapeId="0">
      <text>
        <t>추정: 영업이익 + 금융손익 + 기타영업외 + 지분법 + 환관련(항등식)
[identity]</t>
      </text>
    </comment>
    <comment ref="U18" authorId="0" shapeId="0">
      <text>
        <t>추정: 영업이익 + 금융손익 + 기타영업외 + 지분법 + 환관련(항등식)
[identity]</t>
      </text>
    </comment>
    <comment ref="V18" authorId="0" shapeId="0">
      <text>
        <t>추정: 영업이익 + 금융손익 + 기타영업외 + 지분법 + 환관련(항등식)
[identity]</t>
      </text>
    </comment>
    <comment ref="X18" authorId="0" shapeId="0">
      <text>
        <t>추정: 영업이익 + 금융손익 + 기타영업외 + 지분법 + 환관련(항등식)
[identity]</t>
      </text>
    </comment>
    <comment ref="Y18" authorId="0" shapeId="0">
      <text>
        <t>추정: 영업이익 + 금융손익 + 기타영업외 + 지분법 + 환관련(항등식)
[identity]</t>
      </text>
    </comment>
    <comment ref="Z18" authorId="0" shapeId="0">
      <text>
        <t>추정: 영업이익 + 금융손익 + 기타영업외 + 지분법 + 환관련(항등식)
[identity]</t>
      </text>
    </comment>
    <comment ref="AA18" authorId="0" shapeId="0">
      <text>
        <t>추정: 영업이익 + 금융손익 + 기타영업외 + 지분법 + 환관련(항등식)
[identity]</t>
      </text>
    </comment>
    <comment ref="P19" authorId="0" shapeId="0">
      <text>
        <t>추정: max(세전, 0) × 세율 23.0%(최근 9분기 유효세율 23.0%(5~27% 안 — 그대로))
[tax]</t>
      </text>
    </comment>
    <comment ref="Q19" authorId="0" shapeId="0">
      <text>
        <t>추정: max(세전, 0) × 세율 23.0%(최근 9분기 유효세율 23.0%(5~27% 안 — 그대로))
[tax]</t>
      </text>
    </comment>
    <comment ref="S19" authorId="0" shapeId="0">
      <text>
        <t>추정: max(세전, 0) × 세율 23.0%(최근 9분기 유효세율 23.0%(5~27% 안 — 그대로))
[tax]</t>
      </text>
    </comment>
    <comment ref="T19" authorId="0" shapeId="0">
      <text>
        <t>추정: max(세전, 0) × 세율 23.0%(최근 9분기 유효세율 23.0%(5~27% 안 — 그대로))
[tax]</t>
      </text>
    </comment>
    <comment ref="U19" authorId="0" shapeId="0">
      <text>
        <t>추정: max(세전, 0) × 세율 23.0%(최근 9분기 유효세율 23.0%(5~27% 안 — 그대로))
[tax]</t>
      </text>
    </comment>
    <comment ref="V19" authorId="0" shapeId="0">
      <text>
        <t>추정: max(세전, 0) × 세율 23.0%(최근 9분기 유효세율 23.0%(5~27% 안 — 그대로))
[tax]</t>
      </text>
    </comment>
    <comment ref="X19" authorId="0" shapeId="0">
      <text>
        <t>추정: max(세전, 0) × 세율 23.0%(최근 9분기 유효세율 23.0%(5~27% 안 — 그대로))
[tax]</t>
      </text>
    </comment>
    <comment ref="Y19" authorId="0" shapeId="0">
      <text>
        <t>추정: max(세전, 0) × 세율 23.0%(최근 9분기 유효세율 23.0%(5~27% 안 — 그대로))
[tax]</t>
      </text>
    </comment>
    <comment ref="Z19" authorId="0" shapeId="0">
      <text>
        <t>추정: max(세전, 0) × 세율 23.0%(최근 9분기 유효세율 23.0%(5~27% 안 — 그대로))
[tax]</t>
      </text>
    </comment>
    <comment ref="AA19" authorId="0" shapeId="0">
      <text>
        <t>추정: max(세전, 0) × 세율 23.0%(최근 9분기 유효세율 23.0%(5~27% 안 — 그대로))
[tax]</t>
      </text>
    </comment>
    <comment ref="P20" authorId="0" shapeId="0">
      <text>
        <t>추정: 세전이익 − 법인세비용(항등식)
[identity]</t>
      </text>
    </comment>
    <comment ref="Q20" authorId="0" shapeId="0">
      <text>
        <t>추정: 세전이익 − 법인세비용(항등식)
[identity]</t>
      </text>
    </comment>
    <comment ref="S20" authorId="0" shapeId="0">
      <text>
        <t>추정: 세전이익 − 법인세비용(항등식)
[identity]</t>
      </text>
    </comment>
    <comment ref="T20" authorId="0" shapeId="0">
      <text>
        <t>추정: 세전이익 − 법인세비용(항등식)
[identity]</t>
      </text>
    </comment>
    <comment ref="U20" authorId="0" shapeId="0">
      <text>
        <t>추정: 세전이익 − 법인세비용(항등식)
[identity]</t>
      </text>
    </comment>
    <comment ref="V20" authorId="0" shapeId="0">
      <text>
        <t>추정: 세전이익 − 법인세비용(항등식)
[identity]</t>
      </text>
    </comment>
    <comment ref="X20" authorId="0" shapeId="0">
      <text>
        <t>추정: 세전이익 − 법인세비용(항등식)
[identity]</t>
      </text>
    </comment>
    <comment ref="Y20" authorId="0" shapeId="0">
      <text>
        <t>추정: 세전이익 − 법인세비용(항등식)
[identity]</t>
      </text>
    </comment>
    <comment ref="Z20" authorId="0" shapeId="0">
      <text>
        <t>추정: 세전이익 − 법인세비용(항등식)
[identity]</t>
      </text>
    </comment>
    <comment ref="AA20" authorId="0" shapeId="0">
      <text>
        <t>추정: 세전이익 − 법인세비용(항등식)
[identity]</t>
      </text>
    </comment>
    <comment ref="P21" authorId="0" shapeId="0">
      <text>
        <t>추정: 당기순이익 × (1 − 비지배 비중 0.0%, 최근 8분기 실측)
[ratio]</t>
      </text>
    </comment>
    <comment ref="Q21" authorId="0" shapeId="0">
      <text>
        <t>추정: 당기순이익 × (1 − 비지배 비중 0.0%, 최근 8분기 실측)
[ratio]</t>
      </text>
    </comment>
    <comment ref="S21" authorId="0" shapeId="0">
      <text>
        <t>추정: 당기순이익 × (1 − 비지배 비중 0.0%, 최근 8분기 실측)
[ratio]</t>
      </text>
    </comment>
    <comment ref="T21" authorId="0" shapeId="0">
      <text>
        <t>추정: 당기순이익 × (1 − 비지배 비중 0.0%, 최근 8분기 실측)
[ratio]</t>
      </text>
    </comment>
    <comment ref="U21" authorId="0" shapeId="0">
      <text>
        <t>추정: 당기순이익 × (1 − 비지배 비중 0.0%, 최근 8분기 실측)
[ratio]</t>
      </text>
    </comment>
    <comment ref="V21" authorId="0" shapeId="0">
      <text>
        <t>추정: 당기순이익 × (1 − 비지배 비중 0.0%, 최근 8분기 실측)
[ratio]</t>
      </text>
    </comment>
    <comment ref="X21" authorId="0" shapeId="0">
      <text>
        <t>추정: 당기순이익 × (1 − 비지배 비중 0.0%, 최근 8분기 실측)
[ratio]</t>
      </text>
    </comment>
    <comment ref="Y21" authorId="0" shapeId="0">
      <text>
        <t>추정: 당기순이익 × (1 − 비지배 비중 0.0%, 최근 8분기 실측)
[ratio]</t>
      </text>
    </comment>
    <comment ref="Z21" authorId="0" shapeId="0">
      <text>
        <t>추정: 당기순이익 × (1 − 비지배 비중 0.0%, 최근 8분기 실측)
[ratio]</t>
      </text>
    </comment>
    <comment ref="AA21" authorId="0" shapeId="0">
      <text>
        <t>추정: 당기순이익 × (1 − 비지배 비중 0.0%, 최근 8분기 실측)
[ratio]</t>
      </text>
    </comment>
    <comment ref="P22" authorId="0" shapeId="0">
      <text>
        <t>추정: 부채총계 + 자본총계(항등식)
[identity]</t>
      </text>
    </comment>
    <comment ref="Q22" authorId="0" shapeId="0">
      <text>
        <t>추정: 부채총계 + 자본총계(항등식)
[identity]</t>
      </text>
    </comment>
    <comment ref="S22" authorId="0" shapeId="0">
      <text>
        <t>추정: 부채총계 + 자본총계(항등식)
[identity]</t>
      </text>
    </comment>
    <comment ref="T22" authorId="0" shapeId="0">
      <text>
        <t>추정: 부채총계 + 자본총계(항등식)
[identity]</t>
      </text>
    </comment>
    <comment ref="U22" authorId="0" shapeId="0">
      <text>
        <t>추정: 부채총계 + 자본총계(항등식)
[identity]</t>
      </text>
    </comment>
    <comment ref="V22" authorId="0" shapeId="0">
      <text>
        <t>추정: 부채총계 + 자본총계(항등식)
[identity]</t>
      </text>
    </comment>
    <comment ref="X22" authorId="0" shapeId="0">
      <text>
        <t>추정: 부채총계 + 자본총계(항등식)
[identity]</t>
      </text>
    </comment>
    <comment ref="Y22" authorId="0" shapeId="0">
      <text>
        <t>추정: 부채총계 + 자본총계(항등식)
[identity]</t>
      </text>
    </comment>
    <comment ref="Z22" authorId="0" shapeId="0">
      <text>
        <t>추정: 부채총계 + 자본총계(항등식)
[identity]</t>
      </text>
    </comment>
    <comment ref="AA22" authorId="0" shapeId="0">
      <text>
        <t>추정: 부채총계 + 자본총계(항등식)
[identity]</t>
      </text>
    </comment>
    <comment ref="P23" authorId="0" shapeId="0">
      <text>
        <t>추정: 마지막 실적 유지(가정)
[qoq]</t>
      </text>
    </comment>
    <comment ref="Q23" authorId="0" shapeId="0">
      <text>
        <t>추정: 마지막 실적 유지(가정)
[qoq]</t>
      </text>
    </comment>
    <comment ref="S23" authorId="0" shapeId="0">
      <text>
        <t>추정: 마지막 실적 유지(가정)
[qoq]</t>
      </text>
    </comment>
    <comment ref="T23" authorId="0" shapeId="0">
      <text>
        <t>추정: 마지막 실적 유지(가정)
[qoq]</t>
      </text>
    </comment>
    <comment ref="U23" authorId="0" shapeId="0">
      <text>
        <t>추정: 마지막 실적 유지(가정)
[qoq]</t>
      </text>
    </comment>
    <comment ref="V23" authorId="0" shapeId="0">
      <text>
        <t>추정: 마지막 실적 유지(가정)
[qoq]</t>
      </text>
    </comment>
    <comment ref="X23" authorId="0" shapeId="0">
      <text>
        <t>추정: 마지막 실적 유지(가정)
[qoq]</t>
      </text>
    </comment>
    <comment ref="Y23" authorId="0" shapeId="0">
      <text>
        <t>추정: 마지막 실적 유지(가정)
[qoq]</t>
      </text>
    </comment>
    <comment ref="Z23" authorId="0" shapeId="0">
      <text>
        <t>추정: 마지막 실적 유지(가정)
[qoq]</t>
      </text>
    </comment>
    <comment ref="AA23" authorId="0" shapeId="0">
      <text>
        <t>추정: 마지막 실적 유지(가정)
[qoq]</t>
      </text>
    </comment>
    <comment ref="P24" authorId="0" shapeId="0">
      <text>
        <t>추정: 전분기 + 당기순이익 − 배당(Q2 지급 가정)
[roll]</t>
      </text>
    </comment>
    <comment ref="Q24" authorId="0" shapeId="0">
      <text>
        <t>추정: 전분기 + 당기순이익 − 배당(Q2 지급 가정)
[roll]</t>
      </text>
    </comment>
    <comment ref="S24" authorId="0" shapeId="0">
      <text>
        <t>추정: 전분기 + 당기순이익 − 배당(Q2 지급 가정)
[roll]</t>
      </text>
    </comment>
    <comment ref="T24" authorId="0" shapeId="0">
      <text>
        <t>추정: 전분기 + 당기순이익 − 배당(Q2 지급 가정)
[roll]</t>
      </text>
    </comment>
    <comment ref="U24" authorId="0" shapeId="0">
      <text>
        <t>추정: 전분기 + 당기순이익 − 배당(Q2 지급 가정)
[roll]</t>
      </text>
    </comment>
    <comment ref="V24" authorId="0" shapeId="0">
      <text>
        <t>추정: 전분기 + 당기순이익 − 배당(Q2 지급 가정)
[roll]</t>
      </text>
    </comment>
    <comment ref="X24" authorId="0" shapeId="0">
      <text>
        <t>추정: 전분기 + 당기순이익 − 배당(Q2 지급 가정)
[roll]</t>
      </text>
    </comment>
    <comment ref="Y24" authorId="0" shapeId="0">
      <text>
        <t>추정: 전분기 + 당기순이익 − 배당(Q2 지급 가정)
[roll]</t>
      </text>
    </comment>
    <comment ref="Z24" authorId="0" shapeId="0">
      <text>
        <t>추정: 전분기 + 당기순이익 − 배당(Q2 지급 가정)
[roll]</t>
      </text>
    </comment>
    <comment ref="AA24" authorId="0" shapeId="0">
      <text>
        <t>추정: 전분기 + 당기순이익 − 배당(Q2 지급 가정)
[roll]</t>
      </text>
    </comment>
    <comment ref="P25" authorId="0" shapeId="0">
      <text>
        <t>추정: 전분기 + 지배주주순이익 − 배당
[roll]</t>
      </text>
    </comment>
    <comment ref="Q25" authorId="0" shapeId="0">
      <text>
        <t>추정: 전분기 + 지배주주순이익 − 배당
[roll]</t>
      </text>
    </comment>
    <comment ref="S25" authorId="0" shapeId="0">
      <text>
        <t>추정: 전분기 + 지배주주순이익 − 배당
[roll]</t>
      </text>
    </comment>
    <comment ref="T25" authorId="0" shapeId="0">
      <text>
        <t>추정: 전분기 + 지배주주순이익 − 배당
[roll]</t>
      </text>
    </comment>
    <comment ref="U25" authorId="0" shapeId="0">
      <text>
        <t>추정: 전분기 + 지배주주순이익 − 배당
[roll]</t>
      </text>
    </comment>
    <comment ref="V25" authorId="0" shapeId="0">
      <text>
        <t>추정: 전분기 + 지배주주순이익 − 배당
[roll]</t>
      </text>
    </comment>
    <comment ref="X25" authorId="0" shapeId="0">
      <text>
        <t>추정: 전분기 + 지배주주순이익 − 배당
[roll]</t>
      </text>
    </comment>
    <comment ref="Y25" authorId="0" shapeId="0">
      <text>
        <t>추정: 전분기 + 지배주주순이익 − 배당
[roll]</t>
      </text>
    </comment>
    <comment ref="Z25" authorId="0" shapeId="0">
      <text>
        <t>추정: 전분기 + 지배주주순이익 − 배당
[roll]</t>
      </text>
    </comment>
    <comment ref="AA25" authorId="0" shapeId="0">
      <text>
        <t>추정: 전분기 + 지배주주순이익 − 배당
[roll]</t>
      </text>
    </comment>
    <comment ref="P28" authorId="0" shapeId="0">
      <text>
        <t>추정: 전분기 + FCF 근사 — 순차입금 롤과 같은 가정
[qoq]</t>
      </text>
    </comment>
    <comment ref="Q28" authorId="0" shapeId="0">
      <text>
        <t>추정: 전분기 + FCF 근사 — 순차입금 롤과 같은 가정
[qoq]</t>
      </text>
    </comment>
    <comment ref="S28" authorId="0" shapeId="0">
      <text>
        <t>추정: 전분기 + FCF 근사 — 순차입금 롤과 같은 가정
[qoq]</t>
      </text>
    </comment>
    <comment ref="T28" authorId="0" shapeId="0">
      <text>
        <t>추정: 전분기 + FCF 근사 — 순차입금 롤과 같은 가정
[qoq]</t>
      </text>
    </comment>
    <comment ref="U28" authorId="0" shapeId="0">
      <text>
        <t>추정: 전분기 + FCF 근사 — 순차입금 롤과 같은 가정
[qoq]</t>
      </text>
    </comment>
    <comment ref="V28" authorId="0" shapeId="0">
      <text>
        <t>추정: 전분기 + FCF 근사 — 순차입금 롤과 같은 가정
[qoq]</t>
      </text>
    </comment>
    <comment ref="X28" authorId="0" shapeId="0">
      <text>
        <t>추정: 전분기 + FCF 근사 — 순차입금 롤과 같은 가정
[qoq]</t>
      </text>
    </comment>
    <comment ref="Y28" authorId="0" shapeId="0">
      <text>
        <t>추정: 전분기 + FCF 근사 — 순차입금 롤과 같은 가정
[qoq]</t>
      </text>
    </comment>
    <comment ref="Z28" authorId="0" shapeId="0">
      <text>
        <t>추정: 전분기 + FCF 근사 — 순차입금 롤과 같은 가정
[qoq]</t>
      </text>
    </comment>
    <comment ref="AA28" authorId="0" shapeId="0">
      <text>
        <t>추정: 전분기 + FCF 근사 — 순차입금 롤과 같은 가정
[qoq]</t>
      </text>
    </comment>
    <comment ref="P30" authorId="0" shapeId="0">
      <text>
        <t>추정: 최근 4분기(2025Q3~2026Q2) CAPEX 중위 유지 — 순차입금 롤에 미반영(감가상각비 없음 → CAPEX≈감가 가정)
[yoy]</t>
      </text>
    </comment>
    <comment ref="Q30" authorId="0" shapeId="0">
      <text>
        <t>추정: 최근 4분기(2025Q3~2026Q2) CAPEX 중위 유지 — 순차입금 롤에 미반영(감가상각비 없음 → CAPEX≈감가 가정)
[yoy]</t>
      </text>
    </comment>
    <comment ref="S30" authorId="0" shapeId="0">
      <text>
        <t>추정: 최근 4분기(2025Q3~2026Q2) CAPEX 중위 유지 — 순차입금 롤에 미반영(감가상각비 없음 → CAPEX≈감가 가정)
[yoy]</t>
      </text>
    </comment>
    <comment ref="T30" authorId="0" shapeId="0">
      <text>
        <t>추정: 최근 4분기(2025Q3~2026Q2) CAPEX 중위 유지 — 순차입금 롤에 미반영(감가상각비 없음 → CAPEX≈감가 가정)
[yoy]</t>
      </text>
    </comment>
    <comment ref="U30" authorId="0" shapeId="0">
      <text>
        <t>추정: 최근 4분기(2025Q3~2026Q2) CAPEX 중위 유지 — 순차입금 롤에 미반영(감가상각비 없음 → CAPEX≈감가 가정)
[yoy]</t>
      </text>
    </comment>
    <comment ref="V30" authorId="0" shapeId="0">
      <text>
        <t>추정: 최근 4분기(2025Q3~2026Q2) CAPEX 중위 유지 — 순차입금 롤에 미반영(감가상각비 없음 → CAPEX≈감가 가정)
[yoy]</t>
      </text>
    </comment>
    <comment ref="X30" authorId="0" shapeId="0">
      <text>
        <t>추정: 최근 4분기(2025Q3~2026Q2) CAPEX 중위 유지 — 순차입금 롤에 미반영(감가상각비 없음 → CAPEX≈감가 가정)
[yoy]</t>
      </text>
    </comment>
    <comment ref="Y30" authorId="0" shapeId="0">
      <text>
        <t>추정: 최근 4분기(2025Q3~2026Q2) CAPEX 중위 유지 — 순차입금 롤에 미반영(감가상각비 없음 → CAPEX≈감가 가정)
[yoy]</t>
      </text>
    </comment>
    <comment ref="Z30" authorId="0" shapeId="0">
      <text>
        <t>추정: 최근 4분기(2025Q3~2026Q2) CAPEX 중위 유지 — 순차입금 롤에 미반영(감가상각비 없음 → CAPEX≈감가 가정)
[yoy]</t>
      </text>
    </comment>
    <comment ref="AA30" authorId="0" shapeId="0">
      <text>
        <t>추정: 최근 4분기(2025Q3~2026Q2) CAPEX 중위 유지 — 순차입금 롤에 미반영(감가상각비 없음 → CAPEX≈감가 가정)
[yoy]</t>
      </text>
    </comment>
    <comment ref="E32" authorId="0" shapeId="0">
      <text>
        <t>실측(계정 매핑 없음(파생·부문·시세 행) — 모델값 직접) — fin.shares.common_outstanding</t>
      </text>
    </comment>
    <comment ref="F32" authorId="0" shapeId="0">
      <text>
        <t>실측(계정 매핑 없음(파생·부문·시세 행) — 모델값 직접) — fin.shares.common_outstanding</t>
      </text>
    </comment>
    <comment ref="G32" authorId="0" shapeId="0">
      <text>
        <t>실측(계정 매핑 없음(파생·부문·시세 행) — 모델값 직접) — fin.shares.common_outstanding</t>
      </text>
    </comment>
    <comment ref="I32" authorId="0" shapeId="0">
      <text>
        <t>실측(계정 매핑 없음(파생·부문·시세 행) — 모델값 직접) — fin.shares.common_outstanding</t>
      </text>
    </comment>
    <comment ref="J32" authorId="0" shapeId="0">
      <text>
        <t>실측(계정 매핑 없음(파생·부문·시세 행) — 모델값 직접) — fin.shares.common_outstanding</t>
      </text>
    </comment>
    <comment ref="K32" authorId="0" shapeId="0">
      <text>
        <t>실측(계정 매핑 없음(파생·부문·시세 행) — 모델값 직접) — fin.shares.common_outstanding</t>
      </text>
    </comment>
    <comment ref="L32" authorId="0" shapeId="0">
      <text>
        <t>실측(계정 매핑 없음(파생·부문·시세 행) — 모델값 직접) — fin.shares.common_outstanding</t>
      </text>
    </comment>
    <comment ref="N32" authorId="0" shapeId="0">
      <text>
        <t>실측(계정 매핑 없음(파생·부문·시세 행) — 모델값 직접) — fin.shares.common_outstanding</t>
      </text>
    </comment>
    <comment ref="O32" authorId="0" shapeId="0">
      <text>
        <t>실측(계정 매핑 없음(파생·부문·시세 행) — 모델값 직접) — fin.shares.common_outstanding</t>
      </text>
    </comment>
    <comment ref="P32" authorId="0" shapeId="0">
      <text>
        <t>추정: 유통주식수 유지 — fin.shares.common_outstanding(2026Q2)
[qoq]</t>
      </text>
    </comment>
    <comment ref="Q32" authorId="0" shapeId="0">
      <text>
        <t>추정: 유통주식수 유지 — fin.shares.common_outstanding(2026Q2)
[qoq]</t>
      </text>
    </comment>
    <comment ref="S32" authorId="0" shapeId="0">
      <text>
        <t>추정: 유통주식수 유지 — fin.shares.common_outstanding(2026Q2)
[qoq]</t>
      </text>
    </comment>
    <comment ref="T32" authorId="0" shapeId="0">
      <text>
        <t>추정: 유통주식수 유지 — fin.shares.common_outstanding(2026Q2)
[qoq]</t>
      </text>
    </comment>
    <comment ref="U32" authorId="0" shapeId="0">
      <text>
        <t>추정: 유통주식수 유지 — fin.shares.common_outstanding(2026Q2)
[qoq]</t>
      </text>
    </comment>
    <comment ref="V32" authorId="0" shapeId="0">
      <text>
        <t>추정: 유통주식수 유지 — fin.shares.common_outstanding(2026Q2)
[qoq]</t>
      </text>
    </comment>
    <comment ref="X32" authorId="0" shapeId="0">
      <text>
        <t>추정: 유통주식수 유지 — fin.shares.common_outstanding(2026Q2)
[qoq]</t>
      </text>
    </comment>
    <comment ref="Y32" authorId="0" shapeId="0">
      <text>
        <t>추정: 유통주식수 유지 — fin.shares.common_outstanding(2026Q2)
[qoq]</t>
      </text>
    </comment>
    <comment ref="Z32" authorId="0" shapeId="0">
      <text>
        <t>추정: 유통주식수 유지 — fin.shares.common_outstanding(2026Q2)
[qoq]</t>
      </text>
    </comment>
    <comment ref="AA32" authorId="0" shapeId="0">
      <text>
        <t>추정: 유통주식수 유지 — fin.shares.common_outstanding(2026Q2)
[qoq]</t>
      </text>
    </comment>
    <comment ref="P33" authorId="0" shapeId="0">
      <text>
        <t>추정: 지배주주순이익 ÷ 유통주식수
[per_share]</t>
      </text>
    </comment>
    <comment ref="Q33" authorId="0" shapeId="0">
      <text>
        <t>추정: 지배주주순이익 ÷ 유통주식수
[per_share]</t>
      </text>
    </comment>
    <comment ref="S33" authorId="0" shapeId="0">
      <text>
        <t>추정: 지배주주순이익 ÷ 유통주식수
[per_share]</t>
      </text>
    </comment>
    <comment ref="T33" authorId="0" shapeId="0">
      <text>
        <t>추정: 지배주주순이익 ÷ 유통주식수
[per_share]</t>
      </text>
    </comment>
    <comment ref="U33" authorId="0" shapeId="0">
      <text>
        <t>추정: 지배주주순이익 ÷ 유통주식수
[per_share]</t>
      </text>
    </comment>
    <comment ref="V33" authorId="0" shapeId="0">
      <text>
        <t>추정: 지배주주순이익 ÷ 유통주식수
[per_share]</t>
      </text>
    </comment>
    <comment ref="X33" authorId="0" shapeId="0">
      <text>
        <t>추정: 지배주주순이익 ÷ 유통주식수
[per_share]</t>
      </text>
    </comment>
    <comment ref="Y33" authorId="0" shapeId="0">
      <text>
        <t>추정: 지배주주순이익 ÷ 유통주식수
[per_share]</t>
      </text>
    </comment>
    <comment ref="Z33" authorId="0" shapeId="0">
      <text>
        <t>추정: 지배주주순이익 ÷ 유통주식수
[per_share]</t>
      </text>
    </comment>
    <comment ref="AA33" authorId="0" shapeId="0">
      <text>
        <t>추정: 지배주주순이익 ÷ 유통주식수
[per_share]</t>
      </text>
    </comment>
    <comment ref="P34" authorId="0" shapeId="0">
      <text>
        <t>추정: 지배주주지분 ÷ 유통주식수
[per_share]</t>
      </text>
    </comment>
    <comment ref="Q34" authorId="0" shapeId="0">
      <text>
        <t>추정: 지배주주지분 ÷ 유통주식수
[per_share]</t>
      </text>
    </comment>
    <comment ref="S34" authorId="0" shapeId="0">
      <text>
        <t>추정: 지배주주지분 ÷ 유통주식수
[per_share]</t>
      </text>
    </comment>
    <comment ref="T34" authorId="0" shapeId="0">
      <text>
        <t>추정: 지배주주지분 ÷ 유통주식수
[per_share]</t>
      </text>
    </comment>
    <comment ref="U34" authorId="0" shapeId="0">
      <text>
        <t>추정: 지배주주지분 ÷ 유통주식수
[per_share]</t>
      </text>
    </comment>
    <comment ref="V34" authorId="0" shapeId="0">
      <text>
        <t>추정: 지배주주지분 ÷ 유통주식수
[per_share]</t>
      </text>
    </comment>
    <comment ref="X34" authorId="0" shapeId="0">
      <text>
        <t>추정: 지배주주지분 ÷ 유통주식수
[per_share]</t>
      </text>
    </comment>
    <comment ref="Y34" authorId="0" shapeId="0">
      <text>
        <t>추정: 지배주주지분 ÷ 유통주식수
[per_share]</t>
      </text>
    </comment>
    <comment ref="Z34" authorId="0" shapeId="0">
      <text>
        <t>추정: 지배주주지분 ÷ 유통주식수
[per_share]</t>
      </text>
    </comment>
    <comment ref="AA34" authorId="0" shapeId="0">
      <text>
        <t>추정: 지배주주지분 ÷ 유통주식수
[per_share]</t>
      </text>
    </comment>
    <comment ref="G35" authorId="0" shapeId="0">
      <text>
        <t>실측(계정 매핑 없음(파생·부문·시세 행) — 모델값 직접) — fin.dividend.dps_common(연간, Q4 에 표기)</t>
      </text>
    </comment>
    <comment ref="H35" authorId="0" shapeId="0">
      <text>
        <t>연간(actual) — 분기 미완 연도, 모델 a 값 직접</t>
      </text>
    </comment>
    <comment ref="L35" authorId="0" shapeId="0">
      <text>
        <t>실측(계정 매핑 없음(파생·부문·시세 행) — 모델값 직접) — fin.dividend.dps_common(연간, Q4 에 표기)</t>
      </text>
    </comment>
    <comment ref="Q35" authorId="0" shapeId="0">
      <text>
        <t>추정: 직전 결산 DPS 3,950원 유지
[abs]</t>
      </text>
    </comment>
    <comment ref="V35" authorId="0" shapeId="0">
      <text>
        <t>추정: 직전 결산 DPS 3,950원 유지
[abs]</t>
      </text>
    </comment>
    <comment ref="AA35" authorId="0" shapeId="0">
      <text>
        <t>추정: 직전 결산 DPS 3,950원 유지
[abs]</t>
      </text>
    </comment>
    <comment ref="P36" authorId="0" shapeId="0">
      <text>
        <t>추정: 현재 종가 ÷ TTM EPS(추정 포함)
[valuation]</t>
      </text>
    </comment>
    <comment ref="Q36" authorId="0" shapeId="0">
      <text>
        <t>추정: 현재 종가 ÷ TTM EPS(추정 포함)
[valuation]</t>
      </text>
    </comment>
    <comment ref="S36" authorId="0" shapeId="0">
      <text>
        <t>추정: 현재 종가 ÷ TTM EPS(추정 포함)
[valuation]</t>
      </text>
    </comment>
    <comment ref="T36" authorId="0" shapeId="0">
      <text>
        <t>추정: 현재 종가 ÷ TTM EPS(추정 포함)
[valuation]</t>
      </text>
    </comment>
    <comment ref="U36" authorId="0" shapeId="0">
      <text>
        <t>추정: 현재 종가 ÷ TTM EPS(추정 포함)
[valuation]</t>
      </text>
    </comment>
    <comment ref="V36" authorId="0" shapeId="0">
      <text>
        <t>추정: 현재 종가 ÷ TTM EPS(추정 포함)
[valuation]</t>
      </text>
    </comment>
    <comment ref="X36" authorId="0" shapeId="0">
      <text>
        <t>추정: 현재 종가 ÷ TTM EPS(추정 포함)
[valuation]</t>
      </text>
    </comment>
    <comment ref="Y36" authorId="0" shapeId="0">
      <text>
        <t>추정: 현재 종가 ÷ TTM EPS(추정 포함)
[valuation]</t>
      </text>
    </comment>
    <comment ref="Z36" authorId="0" shapeId="0">
      <text>
        <t>추정: 현재 종가 ÷ TTM EPS(추정 포함)
[valuation]</t>
      </text>
    </comment>
    <comment ref="AA36" authorId="0" shapeId="0">
      <text>
        <t>추정: 현재 종가 ÷ TTM EPS(추정 포함)
[valuation]</t>
      </text>
    </comment>
    <comment ref="P37" authorId="0" shapeId="0">
      <text>
        <t>추정: 현재 종가 ÷ BPS(추정 포함)
[valuation]</t>
      </text>
    </comment>
    <comment ref="Q37" authorId="0" shapeId="0">
      <text>
        <t>추정: 현재 종가 ÷ BPS(추정 포함)
[valuation]</t>
      </text>
    </comment>
    <comment ref="S37" authorId="0" shapeId="0">
      <text>
        <t>추정: 현재 종가 ÷ BPS(추정 포함)
[valuation]</t>
      </text>
    </comment>
    <comment ref="T37" authorId="0" shapeId="0">
      <text>
        <t>추정: 현재 종가 ÷ BPS(추정 포함)
[valuation]</t>
      </text>
    </comment>
    <comment ref="U37" authorId="0" shapeId="0">
      <text>
        <t>추정: 현재 종가 ÷ BPS(추정 포함)
[valuation]</t>
      </text>
    </comment>
    <comment ref="V37" authorId="0" shapeId="0">
      <text>
        <t>추정: 현재 종가 ÷ BPS(추정 포함)
[valuation]</t>
      </text>
    </comment>
    <comment ref="X37" authorId="0" shapeId="0">
      <text>
        <t>추정: 현재 종가 ÷ BPS(추정 포함)
[valuation]</t>
      </text>
    </comment>
    <comment ref="Y37" authorId="0" shapeId="0">
      <text>
        <t>추정: 현재 종가 ÷ BPS(추정 포함)
[valuation]</t>
      </text>
    </comment>
    <comment ref="Z37" authorId="0" shapeId="0">
      <text>
        <t>추정: 현재 종가 ÷ BPS(추정 포함)
[valuation]</t>
      </text>
    </comment>
    <comment ref="AA37" authorId="0" shapeId="0">
      <text>
        <t>추정: 현재 종가 ÷ BPS(추정 포함)
[valuation]</t>
      </text>
    </comment>
    <comment ref="E38" authorId="0" shapeId="0">
      <text>
        <t>실측(계정 매핑 없음(파생·부문·시세 행) — 모델값 직접) — = 매출액(부문 미분리)</t>
      </text>
    </comment>
    <comment ref="F38" authorId="0" shapeId="0">
      <text>
        <t>실측(계정 매핑 없음(파생·부문·시세 행) — 모델값 직접) — = 매출액(부문 미분리)</t>
      </text>
    </comment>
    <comment ref="G38" authorId="0" shapeId="0">
      <text>
        <t>실측(계정 매핑 없음(파생·부문·시세 행) — 모델값 직접) — = 매출액(부문 미분리)</t>
      </text>
    </comment>
    <comment ref="I38" authorId="0" shapeId="0">
      <text>
        <t>실측(계정 매핑 없음(파생·부문·시세 행) — 모델값 직접) — = 매출액(부문 미분리)</t>
      </text>
    </comment>
    <comment ref="J38" authorId="0" shapeId="0">
      <text>
        <t>실측(계정 매핑 없음(파생·부문·시세 행) — 모델값 직접) — = 매출액(부문 미분리)</t>
      </text>
    </comment>
    <comment ref="K38" authorId="0" shapeId="0">
      <text>
        <t>실측(계정 매핑 없음(파생·부문·시세 행) — 모델값 직접) — = 매출액(부문 미분리)</t>
      </text>
    </comment>
    <comment ref="L38" authorId="0" shapeId="0">
      <text>
        <t>실측(계정 매핑 없음(파생·부문·시세 행) — 모델값 직접) — = 매출액(부문 미분리)</t>
      </text>
    </comment>
    <comment ref="N38" authorId="0" shapeId="0">
      <text>
        <t>실측(계정 매핑 없음(파생·부문·시세 행) — 모델값 직접) — = 매출액(부문 미분리)</t>
      </text>
    </comment>
    <comment ref="O38" authorId="0" shapeId="0">
      <text>
        <t>실측(계정 매핑 없음(파생·부문·시세 행) — 모델값 직접) — = 매출액(부문 미분리)</t>
      </text>
    </comment>
    <comment ref="P38" authorId="0" shapeId="0">
      <text>
        <t>추정: = 매출액 추정(부문 미분리)
[identity]</t>
      </text>
    </comment>
    <comment ref="Q38" authorId="0" shapeId="0">
      <text>
        <t>추정: = 매출액 추정(부문 미분리)
[identity]</t>
      </text>
    </comment>
    <comment ref="S38" authorId="0" shapeId="0">
      <text>
        <t>추정: = 매출액 추정(부문 미분리)
[identity]</t>
      </text>
    </comment>
    <comment ref="T38" authorId="0" shapeId="0">
      <text>
        <t>추정: = 매출액 추정(부문 미분리)
[identity]</t>
      </text>
    </comment>
    <comment ref="U38" authorId="0" shapeId="0">
      <text>
        <t>추정: = 매출액 추정(부문 미분리)
[identity]</t>
      </text>
    </comment>
    <comment ref="V38" authorId="0" shapeId="0">
      <text>
        <t>추정: = 매출액 추정(부문 미분리)
[identity]</t>
      </text>
    </comment>
    <comment ref="X38" authorId="0" shapeId="0">
      <text>
        <t>추정: = 매출액 추정(부문 미분리)
[identity]</t>
      </text>
    </comment>
    <comment ref="Y38" authorId="0" shapeId="0">
      <text>
        <t>추정: = 매출액 추정(부문 미분리)
[identity]</t>
      </text>
    </comment>
    <comment ref="Z38" authorId="0" shapeId="0">
      <text>
        <t>추정: = 매출액 추정(부문 미분리)
[identity]</t>
      </text>
    </comment>
    <comment ref="AA38" authorId="0" shapeId="0">
      <text>
        <t>추정: = 매출액 추정(부문 미분리)
[identity]</t>
      </text>
    </comment>
    <comment ref="E39" authorId="0" shapeId="0">
      <text>
        <t>실측(계정 매핑 없음(파생·부문·시세 행) — 모델값 직접) — = 영업이익(부문 미분리)</t>
      </text>
    </comment>
    <comment ref="F39" authorId="0" shapeId="0">
      <text>
        <t>실측(계정 매핑 없음(파생·부문·시세 행) — 모델값 직접) — = 영업이익(부문 미분리)</t>
      </text>
    </comment>
    <comment ref="G39" authorId="0" shapeId="0">
      <text>
        <t>실측(계정 매핑 없음(파생·부문·시세 행) — 모델값 직접) — = 영업이익(부문 미분리)</t>
      </text>
    </comment>
    <comment ref="I39" authorId="0" shapeId="0">
      <text>
        <t>실측(계정 매핑 없음(파생·부문·시세 행) — 모델값 직접) — = 영업이익(부문 미분리)</t>
      </text>
    </comment>
    <comment ref="J39" authorId="0" shapeId="0">
      <text>
        <t>실측(계정 매핑 없음(파생·부문·시세 행) — 모델값 직접) — = 영업이익(부문 미분리)</t>
      </text>
    </comment>
    <comment ref="K39" authorId="0" shapeId="0">
      <text>
        <t>실측(계정 매핑 없음(파생·부문·시세 행) — 모델값 직접) — = 영업이익(부문 미분리)</t>
      </text>
    </comment>
    <comment ref="L39" authorId="0" shapeId="0">
      <text>
        <t>실측(계정 매핑 없음(파생·부문·시세 행) — 모델값 직접) — = 영업이익(부문 미분리)</t>
      </text>
    </comment>
    <comment ref="N39" authorId="0" shapeId="0">
      <text>
        <t>실측(계정 매핑 없음(파생·부문·시세 행) — 모델값 직접) — = 영업이익(부문 미분리)</t>
      </text>
    </comment>
    <comment ref="O39" authorId="0" shapeId="0">
      <text>
        <t>실측(계정 매핑 없음(파생·부문·시세 행) — 모델값 직접) — = 영업이익(부문 미분리)</t>
      </text>
    </comment>
    <comment ref="P39" authorId="0" shapeId="0">
      <text>
        <t>추정: = 매출액 × OPM(부문 미분리)
[identity]</t>
      </text>
    </comment>
    <comment ref="Q39" authorId="0" shapeId="0">
      <text>
        <t>추정: = 매출액 × OPM(부문 미분리)
[identity]</t>
      </text>
    </comment>
    <comment ref="S39" authorId="0" shapeId="0">
      <text>
        <t>추정: = 매출액 × OPM(부문 미분리)
[identity]</t>
      </text>
    </comment>
    <comment ref="T39" authorId="0" shapeId="0">
      <text>
        <t>추정: = 매출액 × OPM(부문 미분리)
[identity]</t>
      </text>
    </comment>
    <comment ref="U39" authorId="0" shapeId="0">
      <text>
        <t>추정: = 매출액 × OPM(부문 미분리)
[identity]</t>
      </text>
    </comment>
    <comment ref="V39" authorId="0" shapeId="0">
      <text>
        <t>추정: = 매출액 × OPM(부문 미분리)
[identity]</t>
      </text>
    </comment>
    <comment ref="X39" authorId="0" shapeId="0">
      <text>
        <t>추정: = 매출액 × OPM(부문 미분리)
[identity]</t>
      </text>
    </comment>
    <comment ref="Y39" authorId="0" shapeId="0">
      <text>
        <t>추정: = 매출액 × OPM(부문 미분리)
[identity]</t>
      </text>
    </comment>
    <comment ref="Z39" authorId="0" shapeId="0">
      <text>
        <t>추정: = 매출액 × OPM(부문 미분리)
[identity]</t>
      </text>
    </comment>
    <comment ref="AA39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HD현대마린솔루션(443060) 실적 모델 — ARGUS 한국조선</t>
        </is>
      </c>
    </row>
    <row r="2">
      <c r="A2" t="inlineStr">
        <is>
          <t>기준 분기 2026Q2 · 마지막 실적 2026Q2 · 생성 2026-10-13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23.00% — 법인세 = MAX(세전,0) × 세율, 추정 전 분기 연결(Σ법인세/Σmax(세전,0) 역산, 재현 오차 ≤ 0.05억). 모델 가정 23.00% · 근거: 최근 9분기 유효세율 23.0%(5~27% 안 — 그대로)</t>
        </is>
      </c>
    </row>
    <row r="23">
      <c r="A23" t="inlineStr">
        <is>
          <t>· 판관비율 5.18%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2.88% / 부채 0.00% — 이자손익 = (전분기 이자발생자산 × 자산이자율 − 전분기 총차입금 × 부채이자율)/4, 최소자승 역산(모델 assumptions [0.0288, None] 는 4자리 반올림이라 그대로 쓰면 ±1억 어긋남) · 출처: {"asset": "주석 이자수익 ÷ 평균 이자발생자산(2025Q3~2026Q2)", "debt": null}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세율, 판관비율, 지배주주비중, 이자율 · 연결 안 된 가정(모델값·분기별 역산 그대로): 없음</t>
        </is>
      </c>
    </row>
    <row r="28">
      <c r="A28" t="inlineStr">
        <is>
          <t>· 밸류에이션 — PER 밴드 10.0/15.0/20.0배(sector_default(레퍼런스 TP_PE PB 예시 10/15/20배; 과거 PER 중위 30.8배가 캡 5~30 밖 — 턴어라운드 초기 TTM EPS 왜곡))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assets/models/443060.json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감가상각비가 face·CF 에 없음(주석 미파싱) → EBITDA·EV/EBITDA 미산출 / 금융손익 실적→추정 단절: 최근 4분기 실적 +116/+75/+264/+125(중위 +120억) → 추정 2026Q3 +40억(차 -81억, -67%) — 추정은 이자손익 + 기타금융 중위, 외환·파생 평가손익 0 가정(환율 효과는 환관련손익 행). 값은 바꾸지 않음 — 지배NI·EPS 해석 시 참고</t>
        </is>
      </c>
    </row>
    <row r="34">
      <c r="A34" t="inlineStr">
        <is>
          <t>백테스트: {"freeze": "2025Q2", "horizon": 4, "revenue_wape_pct": 5.3, "op_wape_pct": 4.2, "n": 4, "note": "단일 회사 4분기 — 통계 아님", "driver_at_freeze": "customer_yard_revenue_weighted", "selection_oos_at_freeze": {"freeze": "2024Q2", "n": 4, "wape_link": null, "wape_trend": null, "adopted": "undetermined", "decision": "undetermined", "note": "동결 2024Q2 이전 실적 1분기(&lt;8) 또는 이후 실측 4분기 → OOS 비교 불가(undetermined), 유의성 조건만으로 채택"},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5231.84, "rev_act": 5131.76, "op_pred": 894.32, "op_act": 935.96}, {"q": "2025Q4", "rev_pred": 5239.23, "rev_act": 5162.05, "op_pred": 895.58, "op_act": 905.28}, {"q": "2026Q1", "rev_pred": 5317.65, "rev_act": 5746.09, "op_pred": 908.99, "op_act": 933.94}, {"q": "2026Q2", "rev_pred": 5245.03, "rev_act": 5804.14, "op_pred": 896.57, "op_act": 976.25}]}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C1" s="2" t="inlineStr">
        <is>
          <t>이름: 변수H</t>
        </is>
      </c>
      <c r="E1" s="3" t="inlineStr">
        <is>
          <t>2Q24</t>
        </is>
      </c>
      <c r="F1" s="3" t="inlineStr">
        <is>
          <t>3Q24</t>
        </is>
      </c>
      <c r="G1" s="3" t="inlineStr">
        <is>
          <t>4Q24</t>
        </is>
      </c>
      <c r="H1" s="3" t="n">
        <v>2024</v>
      </c>
      <c r="I1" s="3" t="inlineStr">
        <is>
          <t>1Q25</t>
        </is>
      </c>
      <c r="J1" s="3" t="inlineStr">
        <is>
          <t>2Q25</t>
        </is>
      </c>
      <c r="K1" s="3" t="inlineStr">
        <is>
          <t>3Q25</t>
        </is>
      </c>
      <c r="L1" s="3" t="inlineStr">
        <is>
          <t>4Q25</t>
        </is>
      </c>
      <c r="M1" s="3" t="n">
        <v>2025</v>
      </c>
      <c r="N1" s="3" t="inlineStr">
        <is>
          <t>1Q26</t>
        </is>
      </c>
      <c r="O1" s="4" t="inlineStr">
        <is>
          <t>2Q26</t>
        </is>
      </c>
      <c r="P1" s="3" t="inlineStr">
        <is>
          <t>3Q26</t>
        </is>
      </c>
      <c r="Q1" s="3" t="inlineStr">
        <is>
          <t>4Q26</t>
        </is>
      </c>
      <c r="R1" s="3" t="n">
        <v>2026</v>
      </c>
      <c r="S1" s="3" t="inlineStr">
        <is>
          <t>1Q27</t>
        </is>
      </c>
      <c r="T1" s="3" t="inlineStr">
        <is>
          <t>2Q27</t>
        </is>
      </c>
      <c r="U1" s="3" t="inlineStr">
        <is>
          <t>3Q27</t>
        </is>
      </c>
      <c r="V1" s="3" t="inlineStr">
        <is>
          <t>4Q27</t>
        </is>
      </c>
      <c r="W1" s="3" t="n">
        <v>2027</v>
      </c>
      <c r="X1" s="3" t="inlineStr">
        <is>
          <t>1Q28</t>
        </is>
      </c>
      <c r="Y1" s="3" t="inlineStr">
        <is>
          <t>2Q28</t>
        </is>
      </c>
      <c r="Z1" s="3" t="inlineStr">
        <is>
          <t>3Q28</t>
        </is>
      </c>
      <c r="AA1" s="3" t="inlineStr">
        <is>
          <t>4Q28</t>
        </is>
      </c>
      <c r="AB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O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6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</row>
    <row r="4">
      <c r="E4" s="7" t="inlineStr">
        <is>
          <t>2024.06</t>
        </is>
      </c>
      <c r="F4" s="7" t="inlineStr">
        <is>
          <t>2024.09</t>
        </is>
      </c>
      <c r="G4" s="7" t="inlineStr">
        <is>
          <t>2024.12</t>
        </is>
      </c>
      <c r="H4" s="7" t="inlineStr">
        <is>
          <t>2024.12A</t>
        </is>
      </c>
      <c r="I4" s="7" t="inlineStr">
        <is>
          <t>2025.03</t>
        </is>
      </c>
      <c r="J4" s="7" t="inlineStr">
        <is>
          <t>2025.06</t>
        </is>
      </c>
      <c r="K4" s="7" t="inlineStr">
        <is>
          <t>2025.09</t>
        </is>
      </c>
      <c r="L4" s="7" t="inlineStr">
        <is>
          <t>2025.12</t>
        </is>
      </c>
      <c r="M4" s="7" t="inlineStr">
        <is>
          <t>2025.12A</t>
        </is>
      </c>
      <c r="N4" s="7" t="inlineStr">
        <is>
          <t>2026.03</t>
        </is>
      </c>
      <c r="O4" s="8" t="inlineStr">
        <is>
          <t>2026.06</t>
        </is>
      </c>
      <c r="P4" s="7" t="inlineStr">
        <is>
          <t>2026.09</t>
        </is>
      </c>
      <c r="Q4" s="7" t="inlineStr">
        <is>
          <t>2026.12</t>
        </is>
      </c>
      <c r="R4" s="7" t="inlineStr">
        <is>
          <t>2026.12A</t>
        </is>
      </c>
      <c r="S4" s="7" t="inlineStr">
        <is>
          <t>2027.03</t>
        </is>
      </c>
      <c r="T4" s="7" t="inlineStr">
        <is>
          <t>2027.06</t>
        </is>
      </c>
      <c r="U4" s="7" t="inlineStr">
        <is>
          <t>2027.09</t>
        </is>
      </c>
      <c r="V4" s="7" t="inlineStr">
        <is>
          <t>2027.12</t>
        </is>
      </c>
      <c r="W4" s="7" t="inlineStr">
        <is>
          <t>2027.12A</t>
        </is>
      </c>
      <c r="X4" s="7" t="inlineStr">
        <is>
          <t>2028.03</t>
        </is>
      </c>
      <c r="Y4" s="7" t="inlineStr">
        <is>
          <t>2028.06</t>
        </is>
      </c>
      <c r="Z4" s="7" t="inlineStr">
        <is>
          <t>2028.09</t>
        </is>
      </c>
      <c r="AA4" s="7" t="inlineStr">
        <is>
          <t>2028.12</t>
        </is>
      </c>
      <c r="AB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H5" s="9" t="n"/>
      <c r="M5" s="9" t="n"/>
      <c r="O5" s="5" t="n"/>
      <c r="P5" s="10" t="n"/>
      <c r="Q5" s="10" t="n"/>
      <c r="R5" s="11" t="n"/>
      <c r="S5" s="10" t="n"/>
      <c r="T5" s="10" t="n"/>
      <c r="U5" s="10" t="n"/>
      <c r="V5" s="10" t="n"/>
      <c r="W5" s="11" t="n"/>
      <c r="X5" s="10" t="n"/>
      <c r="Y5" s="10" t="n"/>
      <c r="Z5" s="10" t="n"/>
      <c r="AA5" s="10" t="n"/>
      <c r="AB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1371.28</v>
      </c>
      <c r="F6" s="13" t="n">
        <v>1356.22</v>
      </c>
      <c r="G6" s="13" t="n">
        <v>1396.3</v>
      </c>
      <c r="H6" s="14" t="n">
        <v>1363.53</v>
      </c>
      <c r="I6" s="13" t="n">
        <v>1452.28</v>
      </c>
      <c r="J6" s="13" t="n">
        <v>1398.52</v>
      </c>
      <c r="K6" s="13" t="n">
        <v>1386.95</v>
      </c>
      <c r="L6" s="13" t="n">
        <v>1449.19</v>
      </c>
      <c r="M6" s="14" t="n">
        <v>1421.52</v>
      </c>
      <c r="N6" s="13" t="n">
        <v>1466.12</v>
      </c>
      <c r="O6" s="15" t="n">
        <v>1501.75</v>
      </c>
      <c r="P6" s="16" t="n">
        <v>1418.75</v>
      </c>
      <c r="Q6" s="16" t="n">
        <v>1343.63</v>
      </c>
      <c r="R6" s="17" t="n">
        <v>1456.58</v>
      </c>
      <c r="S6" s="16" t="n">
        <v>1333.09</v>
      </c>
      <c r="T6" s="16" t="n">
        <v>1333.09</v>
      </c>
      <c r="U6" s="16" t="n">
        <v>1333.09</v>
      </c>
      <c r="V6" s="16" t="n">
        <v>1333.09</v>
      </c>
      <c r="W6" s="11" t="n"/>
      <c r="X6" s="16" t="n">
        <v>1333.09</v>
      </c>
      <c r="Y6" s="16" t="n">
        <v>1333.09</v>
      </c>
      <c r="Z6" s="16" t="n">
        <v>1333.09</v>
      </c>
      <c r="AA6" s="16" t="n">
        <v>1333.09</v>
      </c>
      <c r="AB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1377.73</v>
      </c>
      <c r="F7" s="13" t="n">
        <v>1312.17</v>
      </c>
      <c r="G7" s="13" t="n">
        <v>1474.78</v>
      </c>
      <c r="H7" s="14" t="n">
        <v>1474.78</v>
      </c>
      <c r="I7" s="13" t="n">
        <v>1474.54</v>
      </c>
      <c r="J7" s="13" t="n">
        <v>1355.13</v>
      </c>
      <c r="K7" s="13" t="n">
        <v>1403.67</v>
      </c>
      <c r="L7" s="13" t="n">
        <v>1444.2</v>
      </c>
      <c r="M7" s="14" t="n">
        <v>1444.2</v>
      </c>
      <c r="N7" s="13" t="n">
        <v>1524.8</v>
      </c>
      <c r="O7" s="15" t="n">
        <v>1550.89</v>
      </c>
      <c r="P7" s="16" t="n">
        <v>1355.4</v>
      </c>
      <c r="Q7" s="16" t="n">
        <v>1333.09</v>
      </c>
      <c r="R7" s="17" t="n">
        <v>1333.09</v>
      </c>
      <c r="S7" s="16" t="n">
        <v>1333.09</v>
      </c>
      <c r="T7" s="16" t="n">
        <v>1333.09</v>
      </c>
      <c r="U7" s="16" t="n">
        <v>1333.09</v>
      </c>
      <c r="V7" s="16" t="n">
        <v>1333.09</v>
      </c>
      <c r="W7" s="11" t="n"/>
      <c r="X7" s="16" t="n">
        <v>1333.09</v>
      </c>
      <c r="Y7" s="16" t="n">
        <v>1333.09</v>
      </c>
      <c r="Z7" s="16" t="n">
        <v>1333.09</v>
      </c>
      <c r="AA7" s="16" t="n">
        <v>1333.09</v>
      </c>
      <c r="AB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880.14</v>
      </c>
      <c r="F8" s="13" t="n">
        <v>909.35</v>
      </c>
      <c r="G8" s="13" t="n">
        <v>917.25</v>
      </c>
      <c r="H8" s="14" t="n">
        <v>900.92</v>
      </c>
      <c r="I8" s="13" t="n">
        <v>952.59</v>
      </c>
      <c r="J8" s="13" t="n">
        <v>967.92</v>
      </c>
      <c r="K8" s="13" t="n">
        <v>940.3200000000001</v>
      </c>
      <c r="L8" s="13" t="n">
        <v>940.77</v>
      </c>
      <c r="M8" s="14" t="n">
        <v>950.17</v>
      </c>
      <c r="N8" s="13" t="n">
        <v>934.39</v>
      </c>
      <c r="O8" s="15" t="n">
        <v>942.16</v>
      </c>
      <c r="P8" s="16" t="n">
        <v>890.41</v>
      </c>
      <c r="Q8" s="16" t="n">
        <v>849.51</v>
      </c>
      <c r="R8" s="17" t="n">
        <v>918.8099999999999</v>
      </c>
      <c r="S8" s="16" t="n">
        <v>840.54</v>
      </c>
      <c r="T8" s="16" t="n">
        <v>840.54</v>
      </c>
      <c r="U8" s="16" t="n">
        <v>840.54</v>
      </c>
      <c r="V8" s="16" t="n">
        <v>840.54</v>
      </c>
      <c r="W8" s="11" t="n"/>
      <c r="X8" s="16" t="n">
        <v>840.54</v>
      </c>
      <c r="Y8" s="16" t="n">
        <v>840.54</v>
      </c>
      <c r="Z8" s="16" t="n">
        <v>840.54</v>
      </c>
      <c r="AA8" s="16" t="n">
        <v>840.54</v>
      </c>
      <c r="AB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857.76</v>
      </c>
      <c r="F9" s="13" t="n">
        <v>919.21</v>
      </c>
      <c r="G9" s="13" t="n">
        <v>939.65</v>
      </c>
      <c r="H9" s="14" t="n">
        <v>939.65</v>
      </c>
      <c r="I9" s="13" t="n">
        <v>986.84</v>
      </c>
      <c r="J9" s="13" t="n">
        <v>938.85</v>
      </c>
      <c r="K9" s="13" t="n">
        <v>948.49</v>
      </c>
      <c r="L9" s="13" t="n">
        <v>921.8099999999999</v>
      </c>
      <c r="M9" s="14" t="n">
        <v>921.8099999999999</v>
      </c>
      <c r="N9" s="13" t="n">
        <v>955.99</v>
      </c>
      <c r="O9" s="15" t="n">
        <v>954.75</v>
      </c>
      <c r="P9" s="16" t="n">
        <v>863.3099999999999</v>
      </c>
      <c r="Q9" s="16" t="n">
        <v>840.54</v>
      </c>
      <c r="R9" s="17" t="n">
        <v>840.54</v>
      </c>
      <c r="S9" s="16" t="n">
        <v>840.54</v>
      </c>
      <c r="T9" s="16" t="n">
        <v>840.54</v>
      </c>
      <c r="U9" s="16" t="n">
        <v>840.54</v>
      </c>
      <c r="V9" s="16" t="n">
        <v>840.54</v>
      </c>
      <c r="W9" s="11" t="n"/>
      <c r="X9" s="16" t="n">
        <v>840.54</v>
      </c>
      <c r="Y9" s="16" t="n">
        <v>840.54</v>
      </c>
      <c r="Z9" s="16" t="n">
        <v>840.54</v>
      </c>
      <c r="AA9" s="16" t="n">
        <v>840.54</v>
      </c>
      <c r="AB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1476.42</v>
      </c>
      <c r="F10" s="13" t="n">
        <v>1489.3</v>
      </c>
      <c r="G10" s="13" t="n">
        <v>1490.78</v>
      </c>
      <c r="H10" s="14" t="n">
        <v>1475.4</v>
      </c>
      <c r="I10" s="13" t="n">
        <v>1528.33</v>
      </c>
      <c r="J10" s="13" t="n">
        <v>1585.13</v>
      </c>
      <c r="K10" s="13" t="n">
        <v>1620.04</v>
      </c>
      <c r="L10" s="13" t="n">
        <v>1686.02</v>
      </c>
      <c r="M10" s="14" t="n">
        <v>1605.45</v>
      </c>
      <c r="N10" s="13" t="n">
        <v>1715.47</v>
      </c>
      <c r="O10" s="15" t="n">
        <v>1746.09</v>
      </c>
      <c r="P10" s="16" t="n">
        <v>1631.97</v>
      </c>
      <c r="Q10" s="16" t="n">
        <v>1507.34</v>
      </c>
      <c r="R10" s="17" t="n">
        <v>1688.95</v>
      </c>
      <c r="S10" s="16" t="n">
        <v>1490.54</v>
      </c>
      <c r="T10" s="16" t="n">
        <v>1490.54</v>
      </c>
      <c r="U10" s="16" t="n">
        <v>1490.54</v>
      </c>
      <c r="V10" s="16" t="n">
        <v>1490.54</v>
      </c>
      <c r="W10" s="11" t="n"/>
      <c r="X10" s="16" t="n">
        <v>1490.54</v>
      </c>
      <c r="Y10" s="16" t="n">
        <v>1490.54</v>
      </c>
      <c r="Z10" s="16" t="n">
        <v>1490.54</v>
      </c>
      <c r="AA10" s="16" t="n">
        <v>1490.54</v>
      </c>
      <c r="AB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1474.86</v>
      </c>
      <c r="F11" s="13" t="n">
        <v>1469.1</v>
      </c>
      <c r="G11" s="13" t="n">
        <v>1532.14</v>
      </c>
      <c r="H11" s="14" t="n">
        <v>1532.14</v>
      </c>
      <c r="I11" s="13" t="n">
        <v>1594.72</v>
      </c>
      <c r="J11" s="13" t="n">
        <v>1588.22</v>
      </c>
      <c r="K11" s="13" t="n">
        <v>1648.04</v>
      </c>
      <c r="L11" s="13" t="n">
        <v>1696.94</v>
      </c>
      <c r="M11" s="14" t="n">
        <v>1696.94</v>
      </c>
      <c r="N11" s="13" t="n">
        <v>1753.21</v>
      </c>
      <c r="O11" s="15" t="n">
        <v>1767.09</v>
      </c>
      <c r="P11" s="16" t="n">
        <v>1539.06</v>
      </c>
      <c r="Q11" s="16" t="n">
        <v>1490.54</v>
      </c>
      <c r="R11" s="17" t="n">
        <v>1490.54</v>
      </c>
      <c r="S11" s="16" t="n">
        <v>1490.54</v>
      </c>
      <c r="T11" s="16" t="n">
        <v>1490.54</v>
      </c>
      <c r="U11" s="16" t="n">
        <v>1490.54</v>
      </c>
      <c r="V11" s="16" t="n">
        <v>1490.54</v>
      </c>
      <c r="W11" s="11" t="n"/>
      <c r="X11" s="16" t="n">
        <v>1490.54</v>
      </c>
      <c r="Y11" s="16" t="n">
        <v>1490.54</v>
      </c>
      <c r="Z11" s="16" t="n">
        <v>1490.54</v>
      </c>
      <c r="AA11" s="16" t="n">
        <v>1490.54</v>
      </c>
      <c r="AB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189.35</v>
      </c>
      <c r="F12" s="13" t="n">
        <v>189.24</v>
      </c>
      <c r="G12" s="13" t="n">
        <v>194.24</v>
      </c>
      <c r="H12" s="14" t="n">
        <v>189.49</v>
      </c>
      <c r="I12" s="13" t="n">
        <v>199.63</v>
      </c>
      <c r="J12" s="13" t="n">
        <v>193.41</v>
      </c>
      <c r="K12" s="13" t="n">
        <v>193.79</v>
      </c>
      <c r="L12" s="13" t="n">
        <v>204.38</v>
      </c>
      <c r="M12" s="14" t="n">
        <v>197.8</v>
      </c>
      <c r="N12" s="13" t="n">
        <v>211.75</v>
      </c>
      <c r="O12" s="15" t="n">
        <v>220.8</v>
      </c>
      <c r="P12" s="16" t="n">
        <v>210.43</v>
      </c>
      <c r="Q12" s="16" t="n">
        <v>200.5</v>
      </c>
      <c r="R12" s="17" t="n">
        <v>213.68</v>
      </c>
      <c r="S12" s="16" t="n">
        <v>199.18</v>
      </c>
      <c r="T12" s="16" t="n">
        <v>199.18</v>
      </c>
      <c r="U12" s="16" t="n">
        <v>199.18</v>
      </c>
      <c r="V12" s="16" t="n">
        <v>199.18</v>
      </c>
      <c r="W12" s="11" t="n"/>
      <c r="X12" s="16" t="n">
        <v>199.18</v>
      </c>
      <c r="Y12" s="16" t="n">
        <v>199.18</v>
      </c>
      <c r="Z12" s="16" t="n">
        <v>199.18</v>
      </c>
      <c r="AA12" s="16" t="n">
        <v>199.18</v>
      </c>
      <c r="AB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189.7</v>
      </c>
      <c r="F13" s="13" t="n">
        <v>187.12</v>
      </c>
      <c r="G13" s="13" t="n">
        <v>202.04</v>
      </c>
      <c r="H13" s="14" t="n">
        <v>202.04</v>
      </c>
      <c r="I13" s="13" t="n">
        <v>203.3</v>
      </c>
      <c r="J13" s="13" t="n">
        <v>189.14</v>
      </c>
      <c r="K13" s="13" t="n">
        <v>197.16</v>
      </c>
      <c r="L13" s="13" t="n">
        <v>206.28</v>
      </c>
      <c r="M13" s="14" t="n">
        <v>206.28</v>
      </c>
      <c r="N13" s="13" t="n">
        <v>220.97</v>
      </c>
      <c r="O13" s="15" t="n">
        <v>228.56</v>
      </c>
      <c r="P13" s="16" t="n">
        <v>202.16</v>
      </c>
      <c r="Q13" s="16" t="n">
        <v>199.18</v>
      </c>
      <c r="R13" s="17" t="n">
        <v>199.18</v>
      </c>
      <c r="S13" s="16" t="n">
        <v>199.18</v>
      </c>
      <c r="T13" s="16" t="n">
        <v>199.18</v>
      </c>
      <c r="U13" s="16" t="n">
        <v>199.18</v>
      </c>
      <c r="V13" s="16" t="n">
        <v>199.18</v>
      </c>
      <c r="W13" s="11" t="n"/>
      <c r="X13" s="16" t="n">
        <v>199.18</v>
      </c>
      <c r="Y13" s="16" t="n">
        <v>199.18</v>
      </c>
      <c r="Z13" s="16" t="n">
        <v>199.18</v>
      </c>
      <c r="AA13" s="16" t="n">
        <v>199.18</v>
      </c>
      <c r="AB13" s="11" t="n"/>
    </row>
    <row r="14">
      <c r="B14" s="1" t="inlineStr">
        <is>
          <t>1b. 종가</t>
        </is>
      </c>
      <c r="H14" s="9" t="n"/>
      <c r="M14" s="9" t="n"/>
      <c r="O14" s="5" t="n"/>
      <c r="P14" s="10" t="n"/>
      <c r="Q14" s="10" t="n"/>
      <c r="R14" s="11" t="n"/>
      <c r="S14" s="10" t="n"/>
      <c r="T14" s="10" t="n"/>
      <c r="U14" s="10" t="n"/>
      <c r="V14" s="10" t="n"/>
      <c r="W14" s="11" t="n"/>
      <c r="X14" s="10" t="n"/>
      <c r="Y14" s="10" t="n"/>
      <c r="Z14" s="10" t="n"/>
      <c r="AA14" s="10" t="n"/>
      <c r="AB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130000</v>
      </c>
      <c r="F15" s="18" t="n">
        <v>103700</v>
      </c>
      <c r="G15" s="18" t="n">
        <v>161400</v>
      </c>
      <c r="H15" s="9" t="n"/>
      <c r="I15" s="18" t="n">
        <v>133800</v>
      </c>
      <c r="J15" s="18" t="n">
        <v>205500</v>
      </c>
      <c r="K15" s="18" t="n">
        <v>210000</v>
      </c>
      <c r="L15" s="18" t="n">
        <v>193500</v>
      </c>
      <c r="M15" s="9" t="n"/>
      <c r="N15" s="18" t="n">
        <v>179600</v>
      </c>
      <c r="O15" s="19" t="n">
        <v>224500</v>
      </c>
      <c r="P15" s="20" t="n">
        <v>237500</v>
      </c>
      <c r="Q15" s="20" t="n">
        <v>226000</v>
      </c>
      <c r="R15" s="11" t="n"/>
      <c r="S15" s="10" t="n"/>
      <c r="T15" s="10" t="n"/>
      <c r="U15" s="10" t="n"/>
      <c r="V15" s="10" t="n"/>
      <c r="W15" s="11" t="n"/>
      <c r="X15" s="10" t="n"/>
      <c r="Y15" s="10" t="n"/>
      <c r="Z15" s="10" t="n"/>
      <c r="AA15" s="10" t="n"/>
      <c r="AB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207500</v>
      </c>
      <c r="F16" s="18" t="n">
        <v>145000</v>
      </c>
      <c r="G16" s="18" t="n">
        <v>164800</v>
      </c>
      <c r="H16" s="9" t="n"/>
      <c r="I16" s="18" t="n">
        <v>199600</v>
      </c>
      <c r="J16" s="18" t="n">
        <v>215000</v>
      </c>
      <c r="K16" s="18" t="n">
        <v>227500</v>
      </c>
      <c r="L16" s="18" t="n">
        <v>257000</v>
      </c>
      <c r="M16" s="9" t="n"/>
      <c r="N16" s="18" t="n">
        <v>202000</v>
      </c>
      <c r="O16" s="19" t="n">
        <v>287000</v>
      </c>
      <c r="P16" s="20" t="n">
        <v>254000</v>
      </c>
      <c r="Q16" s="20" t="n">
        <v>240500</v>
      </c>
      <c r="R16" s="11" t="n"/>
      <c r="S16" s="10" t="n"/>
      <c r="T16" s="10" t="n"/>
      <c r="U16" s="10" t="n"/>
      <c r="V16" s="10" t="n"/>
      <c r="W16" s="11" t="n"/>
      <c r="X16" s="10" t="n"/>
      <c r="Y16" s="10" t="n"/>
      <c r="Z16" s="10" t="n"/>
      <c r="AA16" s="10" t="n"/>
      <c r="AB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111500</v>
      </c>
      <c r="F17" s="18" t="n">
        <v>99500</v>
      </c>
      <c r="G17" s="18" t="n">
        <v>101900</v>
      </c>
      <c r="H17" s="9" t="n"/>
      <c r="I17" s="18" t="n">
        <v>126200</v>
      </c>
      <c r="J17" s="18" t="n">
        <v>135000</v>
      </c>
      <c r="K17" s="18" t="n">
        <v>174600</v>
      </c>
      <c r="L17" s="18" t="n">
        <v>179600</v>
      </c>
      <c r="M17" s="9" t="n"/>
      <c r="N17" s="18" t="n">
        <v>158000</v>
      </c>
      <c r="O17" s="19" t="n">
        <v>170000</v>
      </c>
      <c r="P17" s="20" t="n">
        <v>175000</v>
      </c>
      <c r="Q17" s="20" t="n">
        <v>212500</v>
      </c>
      <c r="R17" s="11" t="n"/>
      <c r="S17" s="10" t="n"/>
      <c r="T17" s="10" t="n"/>
      <c r="U17" s="10" t="n"/>
      <c r="V17" s="10" t="n"/>
      <c r="W17" s="11" t="n"/>
      <c r="X17" s="10" t="n"/>
      <c r="Y17" s="10" t="n"/>
      <c r="Z17" s="10" t="n"/>
      <c r="AA17" s="10" t="n"/>
      <c r="AB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150119.4</v>
      </c>
      <c r="F18" s="18" t="n">
        <v>116051.6</v>
      </c>
      <c r="G18" s="18" t="n">
        <v>136139.3</v>
      </c>
      <c r="H18" s="9" t="n"/>
      <c r="I18" s="18" t="n">
        <v>154941.4</v>
      </c>
      <c r="J18" s="18" t="n">
        <v>172028.3</v>
      </c>
      <c r="K18" s="18" t="n">
        <v>199518.5</v>
      </c>
      <c r="L18" s="18" t="n">
        <v>213530.5</v>
      </c>
      <c r="M18" s="9" t="n"/>
      <c r="N18" s="18" t="n">
        <v>180433.9</v>
      </c>
      <c r="O18" s="19" t="n">
        <v>224118</v>
      </c>
      <c r="P18" s="20" t="n">
        <v>209638.7</v>
      </c>
      <c r="Q18" s="20" t="n">
        <v>225357.1</v>
      </c>
      <c r="R18" s="11" t="n"/>
      <c r="S18" s="10" t="n"/>
      <c r="T18" s="10" t="n"/>
      <c r="U18" s="10" t="n"/>
      <c r="V18" s="10" t="n"/>
      <c r="W18" s="11" t="n"/>
      <c r="X18" s="10" t="n"/>
      <c r="Y18" s="10" t="n"/>
      <c r="Z18" s="10" t="n"/>
      <c r="AA18" s="10" t="n"/>
      <c r="AB18" s="11" t="n"/>
    </row>
    <row r="19">
      <c r="H19" s="9" t="n"/>
      <c r="M19" s="9" t="n"/>
      <c r="O19" s="5" t="n"/>
      <c r="P19" s="10" t="n"/>
      <c r="Q19" s="10" t="n"/>
      <c r="R19" s="11" t="n"/>
      <c r="S19" s="10" t="n"/>
      <c r="T19" s="10" t="n"/>
      <c r="U19" s="10" t="n"/>
      <c r="V19" s="10" t="n"/>
      <c r="W19" s="11" t="n"/>
      <c r="X19" s="10" t="n"/>
      <c r="Y19" s="10" t="n"/>
      <c r="Z19" s="10" t="n"/>
      <c r="AA19" s="10" t="n"/>
      <c r="AB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H20" s="9" t="n"/>
      <c r="M20" s="9" t="n"/>
      <c r="O20" s="5" t="n"/>
      <c r="P20" s="10" t="n"/>
      <c r="Q20" s="10" t="n"/>
      <c r="R20" s="11" t="n"/>
      <c r="S20" s="10" t="n"/>
      <c r="T20" s="10" t="n"/>
      <c r="U20" s="10" t="n"/>
      <c r="V20" s="10" t="n"/>
      <c r="W20" s="11" t="n"/>
      <c r="X20" s="10" t="n"/>
      <c r="Y20" s="10" t="n"/>
      <c r="Z20" s="10" t="n"/>
      <c r="AA20" s="10" t="n"/>
      <c r="AB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1" t="n"/>
      <c r="G21" s="21" t="n"/>
      <c r="H21" s="22" t="n"/>
      <c r="I21" s="21" t="n"/>
      <c r="J21" s="21">
        <f>IFERROR(subQ!J5/subQ!E5-1,"")</f>
        <v/>
      </c>
      <c r="K21" s="21">
        <f>IFERROR(subQ!K5/subQ!F5-1,"")</f>
        <v/>
      </c>
      <c r="L21" s="21">
        <f>IFERROR(subQ!L5/subQ!G5-1,"")</f>
        <v/>
      </c>
      <c r="M21" s="22" t="n"/>
      <c r="N21" s="21">
        <f>IFERROR(subQ!N5/subQ!I5-1,"")</f>
        <v/>
      </c>
      <c r="O21" s="23">
        <f>IFERROR(subQ!O5/subQ!J5-1,"")</f>
        <v/>
      </c>
      <c r="P21" s="24" t="n">
        <v>0.110938482</v>
      </c>
      <c r="Q21" s="24" t="n">
        <v>0.190466435</v>
      </c>
      <c r="R21" s="25" t="n"/>
      <c r="S21" s="24" t="n">
        <v>0.155998897</v>
      </c>
      <c r="T21" s="24" t="n">
        <v>0.191940847</v>
      </c>
      <c r="U21" s="24" t="n">
        <v>0.228790385</v>
      </c>
      <c r="V21" s="24" t="n">
        <v>0.169281966</v>
      </c>
      <c r="W21" s="25" t="n"/>
      <c r="X21" s="24" t="n">
        <v>0.137745447</v>
      </c>
      <c r="Y21" s="24" t="n">
        <v>0.152736482</v>
      </c>
      <c r="Z21" s="24" t="n">
        <v>0.210105889</v>
      </c>
      <c r="AA21" s="24" t="n">
        <v>0.252806682</v>
      </c>
      <c r="AB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1">
        <f>IFERROR(subQ!F8/subQ!F5,"")</f>
        <v/>
      </c>
      <c r="G22" s="21">
        <f>IFERROR(subQ!G8/subQ!G5,"")</f>
        <v/>
      </c>
      <c r="H22" s="22">
        <f>IFERROR(subQ!H8/subQ!H5,"")</f>
        <v/>
      </c>
      <c r="I22" s="21">
        <f>IFERROR(subQ!I8/subQ!I5,"")</f>
        <v/>
      </c>
      <c r="J22" s="21">
        <f>IFERROR(subQ!J8/subQ!J5,"")</f>
        <v/>
      </c>
      <c r="K22" s="21">
        <f>IFERROR(subQ!K8/subQ!K5,"")</f>
        <v/>
      </c>
      <c r="L22" s="21">
        <f>IFERROR(subQ!L8/subQ!L5,"")</f>
        <v/>
      </c>
      <c r="M22" s="22">
        <f>IFERROR(subQ!M8/subQ!M5,"")</f>
        <v/>
      </c>
      <c r="N22" s="21">
        <f>IFERROR(subQ!N8/subQ!N5,"")</f>
        <v/>
      </c>
      <c r="O22" s="23">
        <f>IFERROR(subQ!O8/subQ!O5,"")</f>
        <v/>
      </c>
      <c r="P22" s="26">
        <f>$D$52</f>
        <v/>
      </c>
      <c r="Q22" s="26">
        <f>$D$52</f>
        <v/>
      </c>
      <c r="R22" s="25">
        <f>IFERROR(subQ!R8/subQ!R5,"")</f>
        <v/>
      </c>
      <c r="S22" s="26">
        <f>$D$52</f>
        <v/>
      </c>
      <c r="T22" s="26">
        <f>$D$52</f>
        <v/>
      </c>
      <c r="U22" s="26">
        <f>$D$52</f>
        <v/>
      </c>
      <c r="V22" s="26">
        <f>$D$52</f>
        <v/>
      </c>
      <c r="W22" s="25">
        <f>IFERROR(subQ!W8/subQ!W5,"")</f>
        <v/>
      </c>
      <c r="X22" s="26">
        <f>$D$52</f>
        <v/>
      </c>
      <c r="Y22" s="26">
        <f>$D$52</f>
        <v/>
      </c>
      <c r="Z22" s="26">
        <f>$D$52</f>
        <v/>
      </c>
      <c r="AA22" s="26">
        <f>$D$52</f>
        <v/>
      </c>
      <c r="AB22" s="25">
        <f>IFERROR(subQ!AB8/subQ!AB5,"")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1">
        <f>IFERROR(subQ!F9/subQ!F5,"")</f>
        <v/>
      </c>
      <c r="G23" s="21">
        <f>IFERROR(subQ!G9/subQ!G5,"")</f>
        <v/>
      </c>
      <c r="H23" s="22">
        <f>IFERROR(subQ!H9/subQ!H5,"")</f>
        <v/>
      </c>
      <c r="I23" s="21">
        <f>IFERROR(subQ!I9/subQ!I5,"")</f>
        <v/>
      </c>
      <c r="J23" s="21">
        <f>IFERROR(subQ!J9/subQ!J5,"")</f>
        <v/>
      </c>
      <c r="K23" s="21">
        <f>IFERROR(subQ!K9/subQ!K5,"")</f>
        <v/>
      </c>
      <c r="L23" s="21">
        <f>IFERROR(subQ!L9/subQ!L5,"")</f>
        <v/>
      </c>
      <c r="M23" s="22">
        <f>IFERROR(subQ!M9/subQ!M5,"")</f>
        <v/>
      </c>
      <c r="N23" s="21">
        <f>IFERROR(subQ!N9/subQ!N5,"")</f>
        <v/>
      </c>
      <c r="O23" s="23">
        <f>IFERROR(subQ!O9/subQ!O5,"")</f>
        <v/>
      </c>
      <c r="P23" s="24" t="n">
        <v>0.173155215</v>
      </c>
      <c r="Q23" s="24" t="n">
        <v>0.173154876</v>
      </c>
      <c r="R23" s="25">
        <f>IFERROR(subQ!R9/subQ!R5,"")</f>
        <v/>
      </c>
      <c r="S23" s="24" t="n">
        <v>0.173155468</v>
      </c>
      <c r="T23" s="24" t="n">
        <v>0.173155117</v>
      </c>
      <c r="U23" s="24" t="n">
        <v>0.1731545</v>
      </c>
      <c r="V23" s="24" t="n">
        <v>0.173154938</v>
      </c>
      <c r="W23" s="25">
        <f>IFERROR(subQ!W9/subQ!W5,"")</f>
        <v/>
      </c>
      <c r="X23" s="24" t="n">
        <v>0.173155195</v>
      </c>
      <c r="Y23" s="24" t="n">
        <v>0.173155608</v>
      </c>
      <c r="Z23" s="24" t="n">
        <v>0.173155368</v>
      </c>
      <c r="AA23" s="24" t="n">
        <v>0.173155537</v>
      </c>
      <c r="AB23" s="25">
        <f>IFERROR(subQ!AB9/subQ!AB5,"")</f>
        <v/>
      </c>
    </row>
    <row r="24">
      <c r="A24" s="12" t="inlineStr">
        <is>
          <t>drv:외환손익</t>
        </is>
      </c>
      <c r="B24" s="2" t="inlineStr">
        <is>
          <t>abs</t>
        </is>
      </c>
      <c r="C24" t="inlineStr">
        <is>
          <t>외환손익 (가정, 억원)</t>
        </is>
      </c>
      <c r="E24" s="27">
        <f>subQ!E13</f>
        <v/>
      </c>
      <c r="F24" s="27">
        <f>subQ!F13</f>
        <v/>
      </c>
      <c r="G24" s="27">
        <f>subQ!G13</f>
        <v/>
      </c>
      <c r="H24" s="28">
        <f>subQ!H13</f>
        <v/>
      </c>
      <c r="I24" s="27">
        <f>subQ!I13</f>
        <v/>
      </c>
      <c r="J24" s="27">
        <f>subQ!J13</f>
        <v/>
      </c>
      <c r="K24" s="27">
        <f>subQ!K13</f>
        <v/>
      </c>
      <c r="L24" s="27">
        <f>subQ!L13</f>
        <v/>
      </c>
      <c r="M24" s="28">
        <f>subQ!M13</f>
        <v/>
      </c>
      <c r="N24" s="27">
        <f>subQ!N13</f>
        <v/>
      </c>
      <c r="O24" s="29">
        <f>subQ!O13</f>
        <v/>
      </c>
      <c r="P24" s="30" t="n">
        <v>0</v>
      </c>
      <c r="Q24" s="30" t="n">
        <v>0</v>
      </c>
      <c r="R24" s="31">
        <f>subQ!R13</f>
        <v/>
      </c>
      <c r="S24" s="30" t="n">
        <v>0</v>
      </c>
      <c r="T24" s="30" t="n">
        <v>0</v>
      </c>
      <c r="U24" s="30" t="n">
        <v>0</v>
      </c>
      <c r="V24" s="30" t="n">
        <v>0</v>
      </c>
      <c r="W24" s="31">
        <f>subQ!W13</f>
        <v/>
      </c>
      <c r="X24" s="30" t="n">
        <v>0</v>
      </c>
      <c r="Y24" s="30" t="n">
        <v>0</v>
      </c>
      <c r="Z24" s="30" t="n">
        <v>0</v>
      </c>
      <c r="AA24" s="30" t="n">
        <v>0</v>
      </c>
      <c r="AB24" s="31">
        <f>subQ!AB13</f>
        <v/>
      </c>
    </row>
    <row r="25">
      <c r="A25" s="12" t="inlineStr">
        <is>
          <t>drv:파생상품손익</t>
        </is>
      </c>
      <c r="B25" s="2" t="inlineStr">
        <is>
          <t>abs</t>
        </is>
      </c>
      <c r="C25" t="inlineStr">
        <is>
          <t>파생상품손익 (가정, 억원)</t>
        </is>
      </c>
      <c r="E25" s="27">
        <f>subQ!E14</f>
        <v/>
      </c>
      <c r="F25" s="27">
        <f>subQ!F14</f>
        <v/>
      </c>
      <c r="G25" s="27">
        <f>subQ!G14</f>
        <v/>
      </c>
      <c r="H25" s="28">
        <f>subQ!H14</f>
        <v/>
      </c>
      <c r="I25" s="27">
        <f>subQ!I14</f>
        <v/>
      </c>
      <c r="J25" s="27">
        <f>subQ!J14</f>
        <v/>
      </c>
      <c r="K25" s="27">
        <f>subQ!K14</f>
        <v/>
      </c>
      <c r="L25" s="27">
        <f>subQ!L14</f>
        <v/>
      </c>
      <c r="M25" s="28">
        <f>subQ!M14</f>
        <v/>
      </c>
      <c r="N25" s="27">
        <f>subQ!N14</f>
        <v/>
      </c>
      <c r="O25" s="29">
        <f>subQ!O14</f>
        <v/>
      </c>
      <c r="P25" s="30" t="n">
        <v>0</v>
      </c>
      <c r="Q25" s="30" t="n">
        <v>0</v>
      </c>
      <c r="R25" s="31">
        <f>subQ!R14</f>
        <v/>
      </c>
      <c r="S25" s="30" t="n">
        <v>0</v>
      </c>
      <c r="T25" s="30" t="n">
        <v>0</v>
      </c>
      <c r="U25" s="30" t="n">
        <v>0</v>
      </c>
      <c r="V25" s="30" t="n">
        <v>0</v>
      </c>
      <c r="W25" s="31">
        <f>subQ!W14</f>
        <v/>
      </c>
      <c r="X25" s="30" t="n">
        <v>0</v>
      </c>
      <c r="Y25" s="30" t="n">
        <v>0</v>
      </c>
      <c r="Z25" s="30" t="n">
        <v>0</v>
      </c>
      <c r="AA25" s="30" t="n">
        <v>0</v>
      </c>
      <c r="AB25" s="31">
        <f>subQ!AB14</f>
        <v/>
      </c>
    </row>
    <row r="26">
      <c r="A26" s="12" t="inlineStr">
        <is>
          <t>drv:기타금융손익</t>
        </is>
      </c>
      <c r="B26" s="2" t="inlineStr">
        <is>
          <t>abs</t>
        </is>
      </c>
      <c r="C26" t="inlineStr">
        <is>
          <t>기타금융손익 (가정, 억원)</t>
        </is>
      </c>
      <c r="E26" s="27">
        <f>subQ!E15</f>
        <v/>
      </c>
      <c r="F26" s="27">
        <f>subQ!F15</f>
        <v/>
      </c>
      <c r="G26" s="27">
        <f>subQ!G15</f>
        <v/>
      </c>
      <c r="H26" s="28">
        <f>subQ!H15</f>
        <v/>
      </c>
      <c r="I26" s="27">
        <f>subQ!I15</f>
        <v/>
      </c>
      <c r="J26" s="27">
        <f>subQ!J15</f>
        <v/>
      </c>
      <c r="K26" s="27">
        <f>subQ!K15</f>
        <v/>
      </c>
      <c r="L26" s="27">
        <f>subQ!L15</f>
        <v/>
      </c>
      <c r="M26" s="28">
        <f>subQ!M15</f>
        <v/>
      </c>
      <c r="N26" s="27">
        <f>subQ!N15</f>
        <v/>
      </c>
      <c r="O26" s="29">
        <f>subQ!O15</f>
        <v/>
      </c>
      <c r="P26" s="30" t="n">
        <v>0</v>
      </c>
      <c r="Q26" s="30" t="n">
        <v>0</v>
      </c>
      <c r="R26" s="31">
        <f>subQ!R15</f>
        <v/>
      </c>
      <c r="S26" s="30" t="n">
        <v>0</v>
      </c>
      <c r="T26" s="30" t="n">
        <v>0</v>
      </c>
      <c r="U26" s="30" t="n">
        <v>0</v>
      </c>
      <c r="V26" s="30" t="n">
        <v>0</v>
      </c>
      <c r="W26" s="31">
        <f>subQ!W15</f>
        <v/>
      </c>
      <c r="X26" s="30" t="n">
        <v>0</v>
      </c>
      <c r="Y26" s="30" t="n">
        <v>0</v>
      </c>
      <c r="Z26" s="30" t="n">
        <v>0</v>
      </c>
      <c r="AA26" s="30" t="n">
        <v>0</v>
      </c>
      <c r="AB26" s="31">
        <f>subQ!AB15</f>
        <v/>
      </c>
    </row>
    <row r="27">
      <c r="A27" s="12" t="inlineStr">
        <is>
          <t>drv:기타영업외손익</t>
        </is>
      </c>
      <c r="B27" s="2" t="inlineStr">
        <is>
          <t>abs</t>
        </is>
      </c>
      <c r="C27" t="inlineStr">
        <is>
          <t>기타영업외손익 (가정, 억원)</t>
        </is>
      </c>
      <c r="E27" s="27">
        <f>subQ!E16</f>
        <v/>
      </c>
      <c r="F27" s="27">
        <f>subQ!F16</f>
        <v/>
      </c>
      <c r="G27" s="27">
        <f>subQ!G16</f>
        <v/>
      </c>
      <c r="H27" s="28">
        <f>subQ!H16</f>
        <v/>
      </c>
      <c r="I27" s="27">
        <f>subQ!I16</f>
        <v/>
      </c>
      <c r="J27" s="27">
        <f>subQ!J16</f>
        <v/>
      </c>
      <c r="K27" s="27">
        <f>subQ!K16</f>
        <v/>
      </c>
      <c r="L27" s="27">
        <f>subQ!L16</f>
        <v/>
      </c>
      <c r="M27" s="28">
        <f>subQ!M16</f>
        <v/>
      </c>
      <c r="N27" s="27">
        <f>subQ!N16</f>
        <v/>
      </c>
      <c r="O27" s="29">
        <f>subQ!O16</f>
        <v/>
      </c>
      <c r="P27" s="30" t="n">
        <v>0</v>
      </c>
      <c r="Q27" s="30" t="n">
        <v>0</v>
      </c>
      <c r="R27" s="31">
        <f>subQ!R16</f>
        <v/>
      </c>
      <c r="S27" s="30" t="n">
        <v>0</v>
      </c>
      <c r="T27" s="30" t="n">
        <v>0</v>
      </c>
      <c r="U27" s="30" t="n">
        <v>0</v>
      </c>
      <c r="V27" s="30" t="n">
        <v>0</v>
      </c>
      <c r="W27" s="31">
        <f>subQ!W16</f>
        <v/>
      </c>
      <c r="X27" s="30" t="n">
        <v>0</v>
      </c>
      <c r="Y27" s="30" t="n">
        <v>0</v>
      </c>
      <c r="Z27" s="30" t="n">
        <v>0</v>
      </c>
      <c r="AA27" s="30" t="n">
        <v>0</v>
      </c>
      <c r="AB27" s="31">
        <f>subQ!AB16</f>
        <v/>
      </c>
    </row>
    <row r="28">
      <c r="A28" s="12" t="inlineStr">
        <is>
          <t>drv:지분법손익</t>
        </is>
      </c>
      <c r="B28" s="2" t="inlineStr">
        <is>
          <t>abs</t>
        </is>
      </c>
      <c r="C28" t="inlineStr">
        <is>
          <t>지분법손익 (가정, 억원)</t>
        </is>
      </c>
      <c r="E28" s="27">
        <f>subQ!E17</f>
        <v/>
      </c>
      <c r="F28" s="27">
        <f>subQ!F17</f>
        <v/>
      </c>
      <c r="G28" s="27">
        <f>subQ!G17</f>
        <v/>
      </c>
      <c r="H28" s="28">
        <f>subQ!H17</f>
        <v/>
      </c>
      <c r="I28" s="27">
        <f>subQ!I17</f>
        <v/>
      </c>
      <c r="J28" s="27">
        <f>subQ!J17</f>
        <v/>
      </c>
      <c r="K28" s="27">
        <f>subQ!K17</f>
        <v/>
      </c>
      <c r="L28" s="27">
        <f>subQ!L17</f>
        <v/>
      </c>
      <c r="M28" s="28">
        <f>subQ!M17</f>
        <v/>
      </c>
      <c r="N28" s="27">
        <f>subQ!N17</f>
        <v/>
      </c>
      <c r="O28" s="29">
        <f>subQ!O17</f>
        <v/>
      </c>
      <c r="P28" s="30" t="n">
        <v>-0.52</v>
      </c>
      <c r="Q28" s="30" t="n">
        <v>-0.52</v>
      </c>
      <c r="R28" s="31">
        <f>subQ!R17</f>
        <v/>
      </c>
      <c r="S28" s="30" t="n">
        <v>-0.52</v>
      </c>
      <c r="T28" s="30" t="n">
        <v>-0.52</v>
      </c>
      <c r="U28" s="30" t="n">
        <v>-0.52</v>
      </c>
      <c r="V28" s="30" t="n">
        <v>-0.52</v>
      </c>
      <c r="W28" s="31">
        <f>subQ!W17</f>
        <v/>
      </c>
      <c r="X28" s="30" t="n">
        <v>-0.52</v>
      </c>
      <c r="Y28" s="30" t="n">
        <v>-0.52</v>
      </c>
      <c r="Z28" s="30" t="n">
        <v>-0.52</v>
      </c>
      <c r="AA28" s="30" t="n">
        <v>-0.52</v>
      </c>
      <c r="AB28" s="31">
        <f>subQ!AB17</f>
        <v/>
      </c>
    </row>
    <row r="29">
      <c r="A29" s="12" t="inlineStr">
        <is>
          <t>drv:법인세비용</t>
        </is>
      </c>
      <c r="B29" s="2" t="inlineStr">
        <is>
          <t>tax</t>
        </is>
      </c>
      <c r="C29" t="inlineStr">
        <is>
          <t>법인세율(/세전) — 법인세 = MAX(세전,0) × 세율</t>
        </is>
      </c>
      <c r="E29" s="21">
        <f>IFERROR(subQ!E19/subQ!E18,"")</f>
        <v/>
      </c>
      <c r="F29" s="21">
        <f>IFERROR(subQ!F19/subQ!F18,"")</f>
        <v/>
      </c>
      <c r="G29" s="21">
        <f>IFERROR(subQ!G19/subQ!G18,"")</f>
        <v/>
      </c>
      <c r="H29" s="22">
        <f>IFERROR(subQ!H19/subQ!H18,"")</f>
        <v/>
      </c>
      <c r="I29" s="21">
        <f>IFERROR(subQ!I19/subQ!I18,"")</f>
        <v/>
      </c>
      <c r="J29" s="21">
        <f>IFERROR(subQ!J19/subQ!J18,"")</f>
        <v/>
      </c>
      <c r="K29" s="21">
        <f>IFERROR(subQ!K19/subQ!K18,"")</f>
        <v/>
      </c>
      <c r="L29" s="21">
        <f>IFERROR(subQ!L19/subQ!L18,"")</f>
        <v/>
      </c>
      <c r="M29" s="22">
        <f>IFERROR(subQ!M19/subQ!M18,"")</f>
        <v/>
      </c>
      <c r="N29" s="21">
        <f>IFERROR(subQ!N19/subQ!N18,"")</f>
        <v/>
      </c>
      <c r="O29" s="23">
        <f>IFERROR(subQ!O19/subQ!O18,"")</f>
        <v/>
      </c>
      <c r="P29" s="26">
        <f>$D$51</f>
        <v/>
      </c>
      <c r="Q29" s="26">
        <f>$D$51</f>
        <v/>
      </c>
      <c r="R29" s="25">
        <f>IFERROR(subQ!R19/subQ!R18,"")</f>
        <v/>
      </c>
      <c r="S29" s="26">
        <f>$D$51</f>
        <v/>
      </c>
      <c r="T29" s="26">
        <f>$D$51</f>
        <v/>
      </c>
      <c r="U29" s="26">
        <f>$D$51</f>
        <v/>
      </c>
      <c r="V29" s="26">
        <f>$D$51</f>
        <v/>
      </c>
      <c r="W29" s="25">
        <f>IFERROR(subQ!W19/subQ!W18,"")</f>
        <v/>
      </c>
      <c r="X29" s="26">
        <f>$D$51</f>
        <v/>
      </c>
      <c r="Y29" s="26">
        <f>$D$51</f>
        <v/>
      </c>
      <c r="Z29" s="26">
        <f>$D$51</f>
        <v/>
      </c>
      <c r="AA29" s="26">
        <f>$D$51</f>
        <v/>
      </c>
      <c r="AB29" s="25">
        <f>IFERROR(subQ!AB19/subQ!AB18,"")</f>
        <v/>
      </c>
    </row>
    <row r="30">
      <c r="A30" s="12" t="inlineStr">
        <is>
          <t>drv:지배주주순이익</t>
        </is>
      </c>
      <c r="B30" s="2" t="inlineStr">
        <is>
          <t>ratio</t>
        </is>
      </c>
      <c r="C30" t="inlineStr">
        <is>
          <t>지배주주 비중(/당기순이익)</t>
        </is>
      </c>
      <c r="E30" s="21">
        <f>IFERROR(subQ!E21/subQ!E20,"")</f>
        <v/>
      </c>
      <c r="F30" s="21">
        <f>IFERROR(subQ!F21/subQ!F20,"")</f>
        <v/>
      </c>
      <c r="G30" s="21">
        <f>IFERROR(subQ!G21/subQ!G20,"")</f>
        <v/>
      </c>
      <c r="H30" s="22">
        <f>IFERROR(subQ!H21/subQ!H20,"")</f>
        <v/>
      </c>
      <c r="I30" s="21">
        <f>IFERROR(subQ!I21/subQ!I20,"")</f>
        <v/>
      </c>
      <c r="J30" s="21">
        <f>IFERROR(subQ!J21/subQ!J20,"")</f>
        <v/>
      </c>
      <c r="K30" s="21">
        <f>IFERROR(subQ!K21/subQ!K20,"")</f>
        <v/>
      </c>
      <c r="L30" s="21">
        <f>IFERROR(subQ!L21/subQ!L20,"")</f>
        <v/>
      </c>
      <c r="M30" s="22">
        <f>IFERROR(subQ!M21/subQ!M20,"")</f>
        <v/>
      </c>
      <c r="N30" s="21">
        <f>IFERROR(subQ!N21/subQ!N20,"")</f>
        <v/>
      </c>
      <c r="O30" s="23">
        <f>IFERROR(subQ!O21/subQ!O20,"")</f>
        <v/>
      </c>
      <c r="P30" s="26">
        <f>$D$53</f>
        <v/>
      </c>
      <c r="Q30" s="26">
        <f>$D$53</f>
        <v/>
      </c>
      <c r="R30" s="25">
        <f>IFERROR(subQ!R21/subQ!R20,"")</f>
        <v/>
      </c>
      <c r="S30" s="26">
        <f>$D$53</f>
        <v/>
      </c>
      <c r="T30" s="26">
        <f>$D$53</f>
        <v/>
      </c>
      <c r="U30" s="26">
        <f>$D$53</f>
        <v/>
      </c>
      <c r="V30" s="26">
        <f>$D$53</f>
        <v/>
      </c>
      <c r="W30" s="25">
        <f>IFERROR(subQ!W21/subQ!W20,"")</f>
        <v/>
      </c>
      <c r="X30" s="26">
        <f>$D$53</f>
        <v/>
      </c>
      <c r="Y30" s="26">
        <f>$D$53</f>
        <v/>
      </c>
      <c r="Z30" s="26">
        <f>$D$53</f>
        <v/>
      </c>
      <c r="AA30" s="26">
        <f>$D$53</f>
        <v/>
      </c>
      <c r="AB30" s="25">
        <f>IFERROR(subQ!AB21/subQ!AB20,"")</f>
        <v/>
      </c>
    </row>
    <row r="31">
      <c r="A31" s="12" t="inlineStr">
        <is>
          <t>drv:부채총계</t>
        </is>
      </c>
      <c r="B31" s="2" t="inlineStr">
        <is>
          <t>qoq</t>
        </is>
      </c>
      <c r="C31" t="inlineStr">
        <is>
          <t>부채총계 QoQ</t>
        </is>
      </c>
      <c r="E31" s="21" t="n"/>
      <c r="F31" s="21">
        <f>IFERROR(subQ!F23/subQ!E23-1,"")</f>
        <v/>
      </c>
      <c r="G31" s="21">
        <f>IFERROR(subQ!G23/subQ!F23-1,"")</f>
        <v/>
      </c>
      <c r="H31" s="22" t="n"/>
      <c r="I31" s="21">
        <f>IFERROR(subQ!I23/subQ!G23-1,"")</f>
        <v/>
      </c>
      <c r="J31" s="21">
        <f>IFERROR(subQ!J23/subQ!I23-1,"")</f>
        <v/>
      </c>
      <c r="K31" s="21">
        <f>IFERROR(subQ!K23/subQ!J23-1,"")</f>
        <v/>
      </c>
      <c r="L31" s="21">
        <f>IFERROR(subQ!L23/subQ!K23-1,"")</f>
        <v/>
      </c>
      <c r="M31" s="22" t="n"/>
      <c r="N31" s="21">
        <f>IFERROR(subQ!N23/subQ!L23-1,"")</f>
        <v/>
      </c>
      <c r="O31" s="23">
        <f>IFERROR(subQ!O23/subQ!N23-1,"")</f>
        <v/>
      </c>
      <c r="P31" s="24" t="n">
        <v>-4.81e-07</v>
      </c>
      <c r="Q31" s="24" t="n">
        <v>0</v>
      </c>
      <c r="R31" s="25" t="n"/>
      <c r="S31" s="24" t="n">
        <v>0</v>
      </c>
      <c r="T31" s="24" t="n">
        <v>0</v>
      </c>
      <c r="U31" s="24" t="n">
        <v>0</v>
      </c>
      <c r="V31" s="24" t="n">
        <v>0</v>
      </c>
      <c r="W31" s="25" t="n"/>
      <c r="X31" s="24" t="n">
        <v>0</v>
      </c>
      <c r="Y31" s="24" t="n">
        <v>0</v>
      </c>
      <c r="Z31" s="24" t="n">
        <v>0</v>
      </c>
      <c r="AA31" s="24" t="n">
        <v>0</v>
      </c>
      <c r="AB31" s="25" t="n"/>
    </row>
    <row r="32">
      <c r="A32" s="12" t="inlineStr">
        <is>
          <t>drv:자본총계</t>
        </is>
      </c>
      <c r="B32" s="2" t="inlineStr">
        <is>
          <t>roll</t>
        </is>
      </c>
      <c r="C32" t="inlineStr">
        <is>
          <t>자본총계 기타변동(배당 등, 억원)</t>
        </is>
      </c>
      <c r="E32" s="27" t="n"/>
      <c r="F32" s="27">
        <f>IFERROR(subQ!E24+subQ!F20-subQ!F24,"")</f>
        <v/>
      </c>
      <c r="G32" s="27">
        <f>IFERROR(subQ!F24+subQ!G20-subQ!G24,"")</f>
        <v/>
      </c>
      <c r="H32" s="28" t="n"/>
      <c r="I32" s="27">
        <f>IFERROR(subQ!G24+subQ!I20-subQ!I24,"")</f>
        <v/>
      </c>
      <c r="J32" s="27">
        <f>IFERROR(subQ!I24+subQ!J20-subQ!J24,"")</f>
        <v/>
      </c>
      <c r="K32" s="27">
        <f>IFERROR(subQ!J24+subQ!K20-subQ!K24,"")</f>
        <v/>
      </c>
      <c r="L32" s="27">
        <f>IFERROR(subQ!K24+subQ!L20-subQ!L24,"")</f>
        <v/>
      </c>
      <c r="M32" s="28" t="n"/>
      <c r="N32" s="27">
        <f>IFERROR(subQ!L24+subQ!N20-subQ!N24,"")</f>
        <v/>
      </c>
      <c r="O32" s="29">
        <f>IFERROR(subQ!N24+subQ!O20-subQ!O24,"")</f>
        <v/>
      </c>
      <c r="P32" s="30" t="n">
        <v>-0.005273056</v>
      </c>
      <c r="Q32" s="30" t="n">
        <v>0.00258669</v>
      </c>
      <c r="R32" s="31" t="n"/>
      <c r="S32" s="30" t="n">
        <v>-0.003946904</v>
      </c>
      <c r="T32" s="30" t="n">
        <v>1770.926475464</v>
      </c>
      <c r="U32" s="30" t="n">
        <v>-0.008338569000000001</v>
      </c>
      <c r="V32" s="30" t="n">
        <v>-0.009190603</v>
      </c>
      <c r="W32" s="31" t="n"/>
      <c r="X32" s="30" t="n">
        <v>0.004733472</v>
      </c>
      <c r="Y32" s="30" t="n">
        <v>1770.922265675</v>
      </c>
      <c r="Z32" s="30" t="n">
        <v>0.000603265</v>
      </c>
      <c r="AA32" s="30" t="n">
        <v>-0.004683931</v>
      </c>
      <c r="AB32" s="31" t="n"/>
    </row>
    <row r="33">
      <c r="A33" s="12" t="inlineStr">
        <is>
          <t>drv:지배주주지분</t>
        </is>
      </c>
      <c r="B33" s="2" t="inlineStr">
        <is>
          <t>roll</t>
        </is>
      </c>
      <c r="C33" t="inlineStr">
        <is>
          <t>지배주주지분 기타변동(배당 등, 억원)</t>
        </is>
      </c>
      <c r="E33" s="27" t="n"/>
      <c r="F33" s="27">
        <f>IFERROR(subQ!E25+subQ!F21-subQ!F25,"")</f>
        <v/>
      </c>
      <c r="G33" s="27">
        <f>IFERROR(subQ!F25+subQ!G21-subQ!G25,"")</f>
        <v/>
      </c>
      <c r="H33" s="28" t="n"/>
      <c r="I33" s="27">
        <f>IFERROR(subQ!G25+subQ!I21-subQ!I25,"")</f>
        <v/>
      </c>
      <c r="J33" s="27">
        <f>IFERROR(subQ!I25+subQ!J21-subQ!J25,"")</f>
        <v/>
      </c>
      <c r="K33" s="27">
        <f>IFERROR(subQ!J25+subQ!K21-subQ!K25,"")</f>
        <v/>
      </c>
      <c r="L33" s="27">
        <f>IFERROR(subQ!K25+subQ!L21-subQ!L25,"")</f>
        <v/>
      </c>
      <c r="M33" s="28" t="n"/>
      <c r="N33" s="27">
        <f>IFERROR(subQ!L25+subQ!N21-subQ!N25,"")</f>
        <v/>
      </c>
      <c r="O33" s="29">
        <f>IFERROR(subQ!N25+subQ!O21-subQ!O25,"")</f>
        <v/>
      </c>
      <c r="P33" s="30" t="n">
        <v>-0.005273056</v>
      </c>
      <c r="Q33" s="30" t="n">
        <v>0.00258669</v>
      </c>
      <c r="R33" s="31" t="n"/>
      <c r="S33" s="30" t="n">
        <v>-0.003946904</v>
      </c>
      <c r="T33" s="30" t="n">
        <v>1770.926475464</v>
      </c>
      <c r="U33" s="30" t="n">
        <v>-0.008338569000000001</v>
      </c>
      <c r="V33" s="30" t="n">
        <v>-0.009190603</v>
      </c>
      <c r="W33" s="31" t="n"/>
      <c r="X33" s="30" t="n">
        <v>0.004733472</v>
      </c>
      <c r="Y33" s="30" t="n">
        <v>1770.922265675</v>
      </c>
      <c r="Z33" s="30" t="n">
        <v>0.000603265</v>
      </c>
      <c r="AA33" s="30" t="n">
        <v>-0.004683931</v>
      </c>
      <c r="AB33" s="31" t="n"/>
    </row>
    <row r="34">
      <c r="A34" s="12" t="inlineStr">
        <is>
          <t>drv:총차입금</t>
        </is>
      </c>
      <c r="B34" s="2" t="inlineStr">
        <is>
          <t>qoq</t>
        </is>
      </c>
      <c r="C34" t="inlineStr">
        <is>
          <t>총차입금 QoQ</t>
        </is>
      </c>
      <c r="E34" s="21" t="n"/>
      <c r="F34" s="21">
        <f>IFERROR(subQ!F26/subQ!E26-1,"")</f>
        <v/>
      </c>
      <c r="G34" s="21">
        <f>IFERROR(subQ!G26/subQ!F26-1,"")</f>
        <v/>
      </c>
      <c r="H34" s="22" t="n"/>
      <c r="I34" s="21">
        <f>IFERROR(subQ!I26/subQ!G26-1,"")</f>
        <v/>
      </c>
      <c r="J34" s="21">
        <f>IFERROR(subQ!J26/subQ!I26-1,"")</f>
        <v/>
      </c>
      <c r="K34" s="21">
        <f>IFERROR(subQ!K26/subQ!J26-1,"")</f>
        <v/>
      </c>
      <c r="L34" s="21">
        <f>IFERROR(subQ!L26/subQ!K26-1,"")</f>
        <v/>
      </c>
      <c r="M34" s="22" t="n"/>
      <c r="N34" s="21">
        <f>IFERROR(subQ!N26/subQ!L26-1,"")</f>
        <v/>
      </c>
      <c r="O34" s="23">
        <f>IFERROR(subQ!O26/subQ!N26-1,"")</f>
        <v/>
      </c>
      <c r="P34" s="32" t="n"/>
      <c r="Q34" s="32" t="n"/>
      <c r="R34" s="25" t="n"/>
      <c r="S34" s="32" t="n"/>
      <c r="T34" s="32" t="n"/>
      <c r="U34" s="32" t="n"/>
      <c r="V34" s="32" t="n"/>
      <c r="W34" s="25" t="n"/>
      <c r="X34" s="32" t="n"/>
      <c r="Y34" s="32" t="n"/>
      <c r="Z34" s="32" t="n"/>
      <c r="AA34" s="32" t="n"/>
      <c r="AB34" s="25" t="n"/>
    </row>
    <row r="35">
      <c r="A35" s="12" t="inlineStr">
        <is>
          <t>drv:순차입금</t>
        </is>
      </c>
      <c r="B35" s="2" t="inlineStr">
        <is>
          <t>qoq</t>
        </is>
      </c>
      <c r="C35" t="inlineStr">
        <is>
          <t>순차입금 QoQ</t>
        </is>
      </c>
      <c r="E35" s="21" t="n"/>
      <c r="F35" s="21">
        <f>IFERROR(subQ!F27/subQ!E27-1,"")</f>
        <v/>
      </c>
      <c r="G35" s="21">
        <f>IFERROR(subQ!G27/subQ!F27-1,"")</f>
        <v/>
      </c>
      <c r="H35" s="22" t="n"/>
      <c r="I35" s="21">
        <f>IFERROR(subQ!I27/subQ!G27-1,"")</f>
        <v/>
      </c>
      <c r="J35" s="21">
        <f>IFERROR(subQ!J27/subQ!I27-1,"")</f>
        <v/>
      </c>
      <c r="K35" s="21">
        <f>IFERROR(subQ!K27/subQ!J27-1,"")</f>
        <v/>
      </c>
      <c r="L35" s="21">
        <f>IFERROR(subQ!L27/subQ!K27-1,"")</f>
        <v/>
      </c>
      <c r="M35" s="22" t="n"/>
      <c r="N35" s="21">
        <f>IFERROR(subQ!N27/subQ!L27-1,"")</f>
        <v/>
      </c>
      <c r="O35" s="23">
        <f>IFERROR(subQ!O27/subQ!N27-1,"")</f>
        <v/>
      </c>
      <c r="P35" s="32" t="n"/>
      <c r="Q35" s="32" t="n"/>
      <c r="R35" s="25" t="n"/>
      <c r="S35" s="32" t="n"/>
      <c r="T35" s="32" t="n"/>
      <c r="U35" s="32" t="n"/>
      <c r="V35" s="32" t="n"/>
      <c r="W35" s="25" t="n"/>
      <c r="X35" s="32" t="n"/>
      <c r="Y35" s="32" t="n"/>
      <c r="Z35" s="32" t="n"/>
      <c r="AA35" s="32" t="n"/>
      <c r="AB35" s="25" t="n"/>
    </row>
    <row r="36">
      <c r="A36" s="12" t="inlineStr">
        <is>
          <t>drv:이자발생자산</t>
        </is>
      </c>
      <c r="B36" s="2" t="inlineStr">
        <is>
          <t>qoq</t>
        </is>
      </c>
      <c r="C36" t="inlineStr">
        <is>
          <t>이자발생자산 QoQ</t>
        </is>
      </c>
      <c r="E36" s="21" t="n"/>
      <c r="F36" s="21">
        <f>IFERROR(subQ!F28/subQ!E28-1,"")</f>
        <v/>
      </c>
      <c r="G36" s="21">
        <f>IFERROR(subQ!G28/subQ!F28-1,"")</f>
        <v/>
      </c>
      <c r="H36" s="22" t="n"/>
      <c r="I36" s="21">
        <f>IFERROR(subQ!I28/subQ!G28-1,"")</f>
        <v/>
      </c>
      <c r="J36" s="21">
        <f>IFERROR(subQ!J28/subQ!I28-1,"")</f>
        <v/>
      </c>
      <c r="K36" s="21">
        <f>IFERROR(subQ!K28/subQ!J28-1,"")</f>
        <v/>
      </c>
      <c r="L36" s="21">
        <f>IFERROR(subQ!L28/subQ!K28-1,"")</f>
        <v/>
      </c>
      <c r="M36" s="22" t="n"/>
      <c r="N36" s="21">
        <f>IFERROR(subQ!N28/subQ!L28-1,"")</f>
        <v/>
      </c>
      <c r="O36" s="23">
        <f>IFERROR(subQ!O28/subQ!N28-1,"")</f>
        <v/>
      </c>
      <c r="P36" s="24" t="n">
        <v>0.14396437</v>
      </c>
      <c r="Q36" s="24" t="n">
        <v>0.135978646</v>
      </c>
      <c r="R36" s="25" t="n"/>
      <c r="S36" s="24" t="n">
        <v>0.129660318</v>
      </c>
      <c r="T36" s="24" t="n">
        <v>-0.099812966</v>
      </c>
      <c r="U36" s="24" t="n">
        <v>0.134268744</v>
      </c>
      <c r="V36" s="24" t="n">
        <v>0.12194953</v>
      </c>
      <c r="W36" s="25" t="n"/>
      <c r="X36" s="24" t="n">
        <v>0.114670287</v>
      </c>
      <c r="Y36" s="24" t="n">
        <v>-0.063269228</v>
      </c>
      <c r="Z36" s="24" t="n">
        <v>0.122781515</v>
      </c>
      <c r="AA36" s="24" t="n">
        <v>0.116427982</v>
      </c>
      <c r="AB36" s="25" t="n"/>
    </row>
    <row r="37">
      <c r="A37" s="12" t="inlineStr">
        <is>
          <t>drv:현금및현금성자산</t>
        </is>
      </c>
      <c r="B37" s="2" t="inlineStr">
        <is>
          <t>qoq</t>
        </is>
      </c>
      <c r="C37" t="inlineStr">
        <is>
          <t>현금및현금성자산 QoQ</t>
        </is>
      </c>
      <c r="E37" s="21" t="n"/>
      <c r="F37" s="21">
        <f>IFERROR(subQ!F29/subQ!E29-1,"")</f>
        <v/>
      </c>
      <c r="G37" s="21">
        <f>IFERROR(subQ!G29/subQ!F29-1,"")</f>
        <v/>
      </c>
      <c r="H37" s="22" t="n"/>
      <c r="I37" s="21">
        <f>IFERROR(subQ!I29/subQ!G29-1,"")</f>
        <v/>
      </c>
      <c r="J37" s="21">
        <f>IFERROR(subQ!J29/subQ!I29-1,"")</f>
        <v/>
      </c>
      <c r="K37" s="21">
        <f>IFERROR(subQ!K29/subQ!J29-1,"")</f>
        <v/>
      </c>
      <c r="L37" s="21">
        <f>IFERROR(subQ!L29/subQ!K29-1,"")</f>
        <v/>
      </c>
      <c r="M37" s="22" t="n"/>
      <c r="N37" s="21">
        <f>IFERROR(subQ!N29/subQ!L29-1,"")</f>
        <v/>
      </c>
      <c r="O37" s="23">
        <f>IFERROR(subQ!O29/subQ!N29-1,"")</f>
        <v/>
      </c>
      <c r="P37" s="32" t="n"/>
      <c r="Q37" s="32" t="n"/>
      <c r="R37" s="25" t="n"/>
      <c r="S37" s="32" t="n"/>
      <c r="T37" s="32" t="n"/>
      <c r="U37" s="32" t="n"/>
      <c r="V37" s="32" t="n"/>
      <c r="W37" s="25" t="n"/>
      <c r="X37" s="32" t="n"/>
      <c r="Y37" s="32" t="n"/>
      <c r="Z37" s="32" t="n"/>
      <c r="AA37" s="32" t="n"/>
      <c r="AB37" s="25" t="n"/>
    </row>
    <row r="38">
      <c r="A38" s="12" t="inlineStr">
        <is>
          <t>drv:CAPEX</t>
        </is>
      </c>
      <c r="B38" s="2" t="inlineStr">
        <is>
          <t>yoy</t>
        </is>
      </c>
      <c r="C38" t="inlineStr">
        <is>
          <t>CAPEX YoY</t>
        </is>
      </c>
      <c r="E38" s="21" t="n"/>
      <c r="F38" s="21" t="n"/>
      <c r="G38" s="21" t="n"/>
      <c r="H38" s="22" t="n"/>
      <c r="I38" s="21" t="n"/>
      <c r="J38" s="21">
        <f>IFERROR(subQ!J30/subQ!E30-1,"")</f>
        <v/>
      </c>
      <c r="K38" s="21">
        <f>IFERROR(subQ!K30/subQ!F30-1,"")</f>
        <v/>
      </c>
      <c r="L38" s="21">
        <f>IFERROR(subQ!L30/subQ!G30-1,"")</f>
        <v/>
      </c>
      <c r="M38" s="22" t="n"/>
      <c r="N38" s="21">
        <f>IFERROR(subQ!N30/subQ!I30-1,"")</f>
        <v/>
      </c>
      <c r="O38" s="23">
        <f>IFERROR(subQ!O30/subQ!J30-1,"")</f>
        <v/>
      </c>
      <c r="P38" s="24" t="n">
        <v>0.212133885</v>
      </c>
      <c r="Q38" s="24" t="n">
        <v>-0.39755384</v>
      </c>
      <c r="R38" s="25" t="n"/>
      <c r="S38" s="24" t="n">
        <v>-0.149009053</v>
      </c>
      <c r="T38" s="24" t="n">
        <v>0.451834412</v>
      </c>
      <c r="U38" s="24" t="n">
        <v>0</v>
      </c>
      <c r="V38" s="24" t="n">
        <v>0</v>
      </c>
      <c r="W38" s="25" t="n"/>
      <c r="X38" s="24" t="n">
        <v>0</v>
      </c>
      <c r="Y38" s="24" t="n">
        <v>0</v>
      </c>
      <c r="Z38" s="24" t="n">
        <v>0</v>
      </c>
      <c r="AA38" s="24" t="n">
        <v>0</v>
      </c>
      <c r="AB38" s="25" t="n"/>
    </row>
    <row r="39">
      <c r="A39" s="12" t="inlineStr">
        <is>
          <t>drv:영업활동현금흐름</t>
        </is>
      </c>
      <c r="B39" s="2" t="inlineStr">
        <is>
          <t>yoy</t>
        </is>
      </c>
      <c r="C39" t="inlineStr">
        <is>
          <t>영업활동현금흐름 YoY</t>
        </is>
      </c>
      <c r="E39" s="21" t="n"/>
      <c r="F39" s="21" t="n"/>
      <c r="G39" s="21" t="n"/>
      <c r="H39" s="22" t="n"/>
      <c r="I39" s="21" t="n"/>
      <c r="J39" s="21">
        <f>IFERROR(subQ!J31/subQ!E31-1,"")</f>
        <v/>
      </c>
      <c r="K39" s="21">
        <f>IFERROR(subQ!K31/subQ!F31-1,"")</f>
        <v/>
      </c>
      <c r="L39" s="21">
        <f>IFERROR(subQ!L31/subQ!G31-1,"")</f>
        <v/>
      </c>
      <c r="M39" s="22" t="n"/>
      <c r="N39" s="21">
        <f>IFERROR(subQ!N31/subQ!I31-1,"")</f>
        <v/>
      </c>
      <c r="O39" s="23">
        <f>IFERROR(subQ!O31/subQ!J31-1,"")</f>
        <v/>
      </c>
      <c r="P39" s="32" t="n"/>
      <c r="Q39" s="32" t="n"/>
      <c r="R39" s="25" t="n"/>
      <c r="S39" s="32" t="n"/>
      <c r="T39" s="32" t="n"/>
      <c r="U39" s="32" t="n"/>
      <c r="V39" s="32" t="n"/>
      <c r="W39" s="25" t="n"/>
      <c r="X39" s="32" t="n"/>
      <c r="Y39" s="32" t="n"/>
      <c r="Z39" s="32" t="n"/>
      <c r="AA39" s="32" t="n"/>
      <c r="AB39" s="25" t="n"/>
    </row>
    <row r="40">
      <c r="A40" s="12" t="inlineStr">
        <is>
          <t>drv:주식수</t>
        </is>
      </c>
      <c r="B40" s="2" t="inlineStr">
        <is>
          <t>qoq</t>
        </is>
      </c>
      <c r="C40" t="inlineStr">
        <is>
          <t>주식수 QoQ</t>
        </is>
      </c>
      <c r="E40" s="21" t="n"/>
      <c r="F40" s="21">
        <f>IFERROR(subQ!F32/subQ!E32-1,"")</f>
        <v/>
      </c>
      <c r="G40" s="21">
        <f>IFERROR(subQ!G32/subQ!F32-1,"")</f>
        <v/>
      </c>
      <c r="H40" s="22" t="n"/>
      <c r="I40" s="21">
        <f>IFERROR(subQ!I32/subQ!G32-1,"")</f>
        <v/>
      </c>
      <c r="J40" s="21">
        <f>IFERROR(subQ!J32/subQ!I32-1,"")</f>
        <v/>
      </c>
      <c r="K40" s="21">
        <f>IFERROR(subQ!K32/subQ!J32-1,"")</f>
        <v/>
      </c>
      <c r="L40" s="21">
        <f>IFERROR(subQ!L32/subQ!K32-1,"")</f>
        <v/>
      </c>
      <c r="M40" s="22" t="n"/>
      <c r="N40" s="21">
        <f>IFERROR(subQ!N32/subQ!L32-1,"")</f>
        <v/>
      </c>
      <c r="O40" s="23">
        <f>IFERROR(subQ!O32/subQ!N32-1,"")</f>
        <v/>
      </c>
      <c r="P40" s="24" t="n">
        <v>0</v>
      </c>
      <c r="Q40" s="24" t="n">
        <v>0</v>
      </c>
      <c r="R40" s="25" t="n"/>
      <c r="S40" s="24" t="n">
        <v>0</v>
      </c>
      <c r="T40" s="24" t="n">
        <v>0</v>
      </c>
      <c r="U40" s="24" t="n">
        <v>0</v>
      </c>
      <c r="V40" s="24" t="n">
        <v>0</v>
      </c>
      <c r="W40" s="25" t="n"/>
      <c r="X40" s="24" t="n">
        <v>0</v>
      </c>
      <c r="Y40" s="24" t="n">
        <v>0</v>
      </c>
      <c r="Z40" s="24" t="n">
        <v>0</v>
      </c>
      <c r="AA40" s="24" t="n">
        <v>0</v>
      </c>
      <c r="AB40" s="25" t="n"/>
    </row>
    <row r="41">
      <c r="A41" s="12" t="inlineStr">
        <is>
          <t>drv:DPS</t>
        </is>
      </c>
      <c r="B41" s="2" t="inlineStr">
        <is>
          <t>abs</t>
        </is>
      </c>
      <c r="C41" t="inlineStr">
        <is>
          <t>DPS (가정, 원)</t>
        </is>
      </c>
      <c r="E41" s="27">
        <f>subQ!E35</f>
        <v/>
      </c>
      <c r="F41" s="27">
        <f>subQ!F35</f>
        <v/>
      </c>
      <c r="G41" s="27">
        <f>subQ!G35</f>
        <v/>
      </c>
      <c r="H41" s="28">
        <f>subQ!H35</f>
        <v/>
      </c>
      <c r="I41" s="27">
        <f>subQ!I35</f>
        <v/>
      </c>
      <c r="J41" s="27">
        <f>subQ!J35</f>
        <v/>
      </c>
      <c r="K41" s="27">
        <f>subQ!K35</f>
        <v/>
      </c>
      <c r="L41" s="27">
        <f>subQ!L35</f>
        <v/>
      </c>
      <c r="M41" s="28">
        <f>subQ!M35</f>
        <v/>
      </c>
      <c r="N41" s="27">
        <f>subQ!N35</f>
        <v/>
      </c>
      <c r="O41" s="29">
        <f>subQ!O35</f>
        <v/>
      </c>
      <c r="P41" s="33" t="n"/>
      <c r="Q41" s="30" t="n">
        <v>3950</v>
      </c>
      <c r="R41" s="31">
        <f>subQ!R35</f>
        <v/>
      </c>
      <c r="S41" s="33" t="n"/>
      <c r="T41" s="33" t="n"/>
      <c r="U41" s="33" t="n"/>
      <c r="V41" s="30" t="n">
        <v>3950</v>
      </c>
      <c r="W41" s="31">
        <f>subQ!W35</f>
        <v/>
      </c>
      <c r="X41" s="33" t="n"/>
      <c r="Y41" s="33" t="n"/>
      <c r="Z41" s="33" t="n"/>
      <c r="AA41" s="30" t="n">
        <v>3950</v>
      </c>
      <c r="AB41" s="31">
        <f>subQ!AB35</f>
        <v/>
      </c>
    </row>
    <row r="42">
      <c r="H42" s="9" t="n"/>
      <c r="M42" s="9" t="n"/>
      <c r="O42" s="5" t="n"/>
      <c r="P42" s="10" t="n"/>
      <c r="Q42" s="10" t="n"/>
      <c r="R42" s="11" t="n"/>
      <c r="S42" s="10" t="n"/>
      <c r="T42" s="10" t="n"/>
      <c r="U42" s="10" t="n"/>
      <c r="V42" s="10" t="n"/>
      <c r="W42" s="11" t="n"/>
      <c r="X42" s="10" t="n"/>
      <c r="Y42" s="10" t="n"/>
      <c r="Z42" s="10" t="n"/>
      <c r="AA42" s="10" t="n"/>
      <c r="AB42" s="11" t="n"/>
    </row>
    <row r="43">
      <c r="B43" s="1" t="inlineStr">
        <is>
          <t>3. 밸류에이션·스칼라</t>
        </is>
      </c>
      <c r="C43" s="2" t="inlineStr">
        <is>
          <t>노란 셀 = 가정. '연결' 표시는 추정 전 분기 수식이 이 셀을 참조한다는 뜻</t>
        </is>
      </c>
      <c r="H43" s="9" t="n"/>
      <c r="M43" s="9" t="n"/>
      <c r="O43" s="5" t="n"/>
      <c r="P43" s="10" t="n"/>
      <c r="Q43" s="10" t="n"/>
      <c r="R43" s="11" t="n"/>
      <c r="S43" s="10" t="n"/>
      <c r="T43" s="10" t="n"/>
      <c r="U43" s="10" t="n"/>
      <c r="V43" s="10" t="n"/>
      <c r="W43" s="11" t="n"/>
      <c r="X43" s="10" t="n"/>
      <c r="Y43" s="10" t="n"/>
      <c r="Z43" s="10" t="n"/>
      <c r="AA43" s="10" t="n"/>
      <c r="AB43" s="11" t="n"/>
    </row>
    <row r="44">
      <c r="A44" s="12" t="inlineStr">
        <is>
          <t>sc:종가</t>
        </is>
      </c>
      <c r="C44" t="inlineStr">
        <is>
          <t>종가</t>
        </is>
      </c>
      <c r="D44" s="34" t="n">
        <v>226000</v>
      </c>
      <c r="E44" s="2" t="inlineStr">
        <is>
          <t>원 — 네이버 정규장 종가(aik 확정종가 대조 · aik 219,500원)</t>
        </is>
      </c>
      <c r="H44" s="9" t="n"/>
      <c r="M44" s="9" t="n"/>
      <c r="O44" s="5" t="n"/>
      <c r="P44" s="10" t="n"/>
      <c r="Q44" s="10" t="n"/>
      <c r="R44" s="11" t="n"/>
      <c r="S44" s="10" t="n"/>
      <c r="T44" s="10" t="n"/>
      <c r="U44" s="10" t="n"/>
      <c r="V44" s="10" t="n"/>
      <c r="W44" s="11" t="n"/>
      <c r="X44" s="10" t="n"/>
      <c r="Y44" s="10" t="n"/>
      <c r="Z44" s="10" t="n"/>
      <c r="AA44" s="10" t="n"/>
      <c r="AB44" s="11" t="n"/>
    </row>
    <row r="45">
      <c r="A45" s="12" t="inlineStr">
        <is>
          <t>sc:기준일</t>
        </is>
      </c>
      <c r="C45" t="inlineStr">
        <is>
          <t>기준일</t>
        </is>
      </c>
      <c r="D45" s="35" t="inlineStr">
        <is>
          <t>20261013</t>
        </is>
      </c>
      <c r="E45" s="2" t="inlineStr">
        <is>
          <t>종가 기준일</t>
        </is>
      </c>
      <c r="H45" s="9" t="n"/>
      <c r="M45" s="9" t="n"/>
      <c r="O45" s="5" t="n"/>
      <c r="P45" s="10" t="n"/>
      <c r="Q45" s="10" t="n"/>
      <c r="R45" s="11" t="n"/>
      <c r="S45" s="10" t="n"/>
      <c r="T45" s="10" t="n"/>
      <c r="U45" s="10" t="n"/>
      <c r="V45" s="10" t="n"/>
      <c r="W45" s="11" t="n"/>
      <c r="X45" s="10" t="n"/>
      <c r="Y45" s="10" t="n"/>
      <c r="Z45" s="10" t="n"/>
      <c r="AA45" s="10" t="n"/>
      <c r="AB45" s="11" t="n"/>
    </row>
    <row r="46">
      <c r="A46" s="12" t="inlineStr">
        <is>
          <t>sc:COE</t>
        </is>
      </c>
      <c r="C46" t="inlineStr">
        <is>
          <t>COE</t>
        </is>
      </c>
      <c r="D46" s="24" t="n">
        <v>0.09</v>
      </c>
      <c r="E46" s="2" t="inlineStr">
        <is>
          <t>자기자본비용(가정) — TP 적정 PBR = ROE/COE</t>
        </is>
      </c>
      <c r="H46" s="9" t="n"/>
      <c r="M46" s="9" t="n"/>
      <c r="O46" s="5" t="n"/>
      <c r="P46" s="10" t="n"/>
      <c r="Q46" s="10" t="n"/>
      <c r="R46" s="11" t="n"/>
      <c r="S46" s="10" t="n"/>
      <c r="T46" s="10" t="n"/>
      <c r="U46" s="10" t="n"/>
      <c r="V46" s="10" t="n"/>
      <c r="W46" s="11" t="n"/>
      <c r="X46" s="10" t="n"/>
      <c r="Y46" s="10" t="n"/>
      <c r="Z46" s="10" t="n"/>
      <c r="AA46" s="10" t="n"/>
      <c r="AB46" s="11" t="n"/>
    </row>
    <row r="47">
      <c r="A47" s="12" t="inlineStr">
        <is>
          <t>sc:PER_lo</t>
        </is>
      </c>
      <c r="C47" t="inlineStr">
        <is>
          <t>PER_lo</t>
        </is>
      </c>
      <c r="D47" s="30" t="n">
        <v>10</v>
      </c>
      <c r="E47" s="2" t="inlineStr">
        <is>
          <t>PER 밴드 하단(배) — sector_default(레퍼런스 TP_PE PB 예시 10/15/20배; 과거 PER 중위 30.8배가 캡 5~30 밖 — 턴어라운드 초기 TTM EPS 왜곡)</t>
        </is>
      </c>
      <c r="H47" s="9" t="n"/>
      <c r="M47" s="9" t="n"/>
      <c r="O47" s="5" t="n"/>
      <c r="P47" s="10" t="n"/>
      <c r="Q47" s="10" t="n"/>
      <c r="R47" s="11" t="n"/>
      <c r="S47" s="10" t="n"/>
      <c r="T47" s="10" t="n"/>
      <c r="U47" s="10" t="n"/>
      <c r="V47" s="10" t="n"/>
      <c r="W47" s="11" t="n"/>
      <c r="X47" s="10" t="n"/>
      <c r="Y47" s="10" t="n"/>
      <c r="Z47" s="10" t="n"/>
      <c r="AA47" s="10" t="n"/>
      <c r="AB47" s="11" t="n"/>
    </row>
    <row r="48">
      <c r="A48" s="12" t="inlineStr">
        <is>
          <t>sc:PER_mid</t>
        </is>
      </c>
      <c r="C48" t="inlineStr">
        <is>
          <t>PER_mid</t>
        </is>
      </c>
      <c r="D48" s="30" t="n">
        <v>15</v>
      </c>
      <c r="E48" s="2" t="inlineStr">
        <is>
          <t>PER 밴드 중단(배)</t>
        </is>
      </c>
      <c r="H48" s="9" t="n"/>
      <c r="M48" s="9" t="n"/>
      <c r="O48" s="5" t="n"/>
      <c r="P48" s="10" t="n"/>
      <c r="Q48" s="10" t="n"/>
      <c r="R48" s="11" t="n"/>
      <c r="S48" s="10" t="n"/>
      <c r="T48" s="10" t="n"/>
      <c r="U48" s="10" t="n"/>
      <c r="V48" s="10" t="n"/>
      <c r="W48" s="11" t="n"/>
      <c r="X48" s="10" t="n"/>
      <c r="Y48" s="10" t="n"/>
      <c r="Z48" s="10" t="n"/>
      <c r="AA48" s="10" t="n"/>
      <c r="AB48" s="11" t="n"/>
    </row>
    <row r="49">
      <c r="A49" s="12" t="inlineStr">
        <is>
          <t>sc:PER_hi</t>
        </is>
      </c>
      <c r="C49" t="inlineStr">
        <is>
          <t>PER_hi</t>
        </is>
      </c>
      <c r="D49" s="30" t="n">
        <v>20</v>
      </c>
      <c r="E49" s="2" t="inlineStr">
        <is>
          <t>PER 밴드 상단(배)</t>
        </is>
      </c>
      <c r="H49" s="9" t="n"/>
      <c r="M49" s="9" t="n"/>
      <c r="O49" s="5" t="n"/>
      <c r="P49" s="10" t="n"/>
      <c r="Q49" s="10" t="n"/>
      <c r="R49" s="11" t="n"/>
      <c r="S49" s="10" t="n"/>
      <c r="T49" s="10" t="n"/>
      <c r="U49" s="10" t="n"/>
      <c r="V49" s="10" t="n"/>
      <c r="W49" s="11" t="n"/>
      <c r="X49" s="10" t="n"/>
      <c r="Y49" s="10" t="n"/>
      <c r="Z49" s="10" t="n"/>
      <c r="AA49" s="10" t="n"/>
      <c r="AB49" s="11" t="n"/>
    </row>
    <row r="50">
      <c r="A50" s="12" t="inlineStr">
        <is>
          <t>sc:EPS_Y1가중</t>
        </is>
      </c>
      <c r="C50" t="inlineStr">
        <is>
          <t>EPS_Y1가중</t>
        </is>
      </c>
      <c r="D50" s="24" t="n">
        <v>0.5</v>
      </c>
      <c r="E50" s="2" t="inlineStr">
        <is>
          <t>12M fwd EPS = FY(last_actual연도)E × w + FY+1E × (1−w) — 기준 분기 2Q 이면 0.5(가정)</t>
        </is>
      </c>
      <c r="H50" s="9" t="n"/>
      <c r="M50" s="9" t="n"/>
      <c r="O50" s="5" t="n"/>
      <c r="P50" s="10" t="n"/>
      <c r="Q50" s="10" t="n"/>
      <c r="R50" s="11" t="n"/>
      <c r="S50" s="10" t="n"/>
      <c r="T50" s="10" t="n"/>
      <c r="U50" s="10" t="n"/>
      <c r="V50" s="10" t="n"/>
      <c r="W50" s="11" t="n"/>
      <c r="X50" s="10" t="n"/>
      <c r="Y50" s="10" t="n"/>
      <c r="Z50" s="10" t="n"/>
      <c r="AA50" s="10" t="n"/>
      <c r="AB50" s="11" t="n"/>
    </row>
    <row r="51">
      <c r="A51" s="12" t="inlineStr">
        <is>
          <t>sc:세율</t>
        </is>
      </c>
      <c r="C51" t="inlineStr">
        <is>
          <t>세율</t>
        </is>
      </c>
      <c r="D51" s="36" t="n">
        <v>0.2300024161673508</v>
      </c>
      <c r="E51" s="2" t="inlineStr">
        <is>
          <t>연결 — 법인세 = MAX(세전,0) × 세율(역산, 재현 오차 ≤ 0.05억 · 모델 assumptions 0.23) · 최근 9분기 유효세율 23.0%(5~27% 안 — 그대로)</t>
        </is>
      </c>
      <c r="H51" s="9" t="n"/>
      <c r="M51" s="9" t="n"/>
      <c r="O51" s="5" t="n"/>
      <c r="P51" s="10" t="n"/>
      <c r="Q51" s="10" t="n"/>
      <c r="R51" s="11" t="n"/>
      <c r="S51" s="10" t="n"/>
      <c r="T51" s="10" t="n"/>
      <c r="U51" s="10" t="n"/>
      <c r="V51" s="10" t="n"/>
      <c r="W51" s="11" t="n"/>
      <c r="X51" s="10" t="n"/>
      <c r="Y51" s="10" t="n"/>
      <c r="Z51" s="10" t="n"/>
      <c r="AA51" s="10" t="n"/>
      <c r="AB51" s="11" t="n"/>
    </row>
    <row r="52">
      <c r="A52" s="12" t="inlineStr">
        <is>
          <t>sc:판관비율</t>
        </is>
      </c>
      <c r="C52" t="inlineStr">
        <is>
          <t>판관비율</t>
        </is>
      </c>
      <c r="D52" s="36" t="n">
        <v>0.0517716665564884</v>
      </c>
      <c r="E52" s="2" t="inlineStr">
        <is>
          <t>연결 — 판관비 = 매출액 × 판관비율(역산, 재현 오차 ≤ 0.05억 · 모델 assumptions 0.0518)</t>
        </is>
      </c>
      <c r="H52" s="9" t="n"/>
      <c r="M52" s="9" t="n"/>
      <c r="O52" s="5" t="n"/>
      <c r="P52" s="10" t="n"/>
      <c r="Q52" s="10" t="n"/>
      <c r="R52" s="11" t="n"/>
      <c r="S52" s="10" t="n"/>
      <c r="T52" s="10" t="n"/>
      <c r="U52" s="10" t="n"/>
      <c r="V52" s="10" t="n"/>
      <c r="W52" s="11" t="n"/>
      <c r="X52" s="10" t="n"/>
      <c r="Y52" s="10" t="n"/>
      <c r="Z52" s="10" t="n"/>
      <c r="AA52" s="10" t="n"/>
      <c r="AB52" s="11" t="n"/>
    </row>
    <row r="53">
      <c r="A53" s="12" t="inlineStr">
        <is>
          <t>sc:지배주주비중</t>
        </is>
      </c>
      <c r="C53" t="inlineStr">
        <is>
          <t>지배주주비중</t>
        </is>
      </c>
      <c r="D53" s="36" t="n">
        <v>1</v>
      </c>
      <c r="E53" s="2" t="inlineStr">
        <is>
          <t>연결 — 지배주주순이익 = 당기순이익 × 비중(역산, 재현 오차 ≤ 0.05억)</t>
        </is>
      </c>
      <c r="H53" s="9" t="n"/>
      <c r="M53" s="9" t="n"/>
      <c r="O53" s="5" t="n"/>
      <c r="P53" s="10" t="n"/>
      <c r="Q53" s="10" t="n"/>
      <c r="R53" s="11" t="n"/>
      <c r="S53" s="10" t="n"/>
      <c r="T53" s="10" t="n"/>
      <c r="U53" s="10" t="n"/>
      <c r="V53" s="10" t="n"/>
      <c r="W53" s="11" t="n"/>
      <c r="X53" s="10" t="n"/>
      <c r="Y53" s="10" t="n"/>
      <c r="Z53" s="10" t="n"/>
      <c r="AA53" s="10" t="n"/>
      <c r="AB53" s="11" t="n"/>
    </row>
    <row r="54">
      <c r="A54" s="12" t="inlineStr">
        <is>
          <t>sc:이자율_자산</t>
        </is>
      </c>
      <c r="C54" t="inlineStr">
        <is>
          <t>이자율_자산</t>
        </is>
      </c>
      <c r="D54" s="36" t="n">
        <v>0.02882027709879875</v>
      </c>
      <c r="E54" s="2" t="inlineStr">
        <is>
          <t>연결 — 이자손익 = (전분기 이자발생자산 × 자산이자율 − 전분기 총차입금 × 부채이자율)/4(역산, 재현 오차 ≤ 0.05억 · 모델 assumptions 0.0288)</t>
        </is>
      </c>
      <c r="H54" s="9" t="n"/>
      <c r="M54" s="9" t="n"/>
      <c r="O54" s="5" t="n"/>
      <c r="P54" s="10" t="n"/>
      <c r="Q54" s="10" t="n"/>
      <c r="R54" s="11" t="n"/>
      <c r="S54" s="10" t="n"/>
      <c r="T54" s="10" t="n"/>
      <c r="U54" s="10" t="n"/>
      <c r="V54" s="10" t="n"/>
      <c r="W54" s="11" t="n"/>
      <c r="X54" s="10" t="n"/>
      <c r="Y54" s="10" t="n"/>
      <c r="Z54" s="10" t="n"/>
      <c r="AA54" s="10" t="n"/>
      <c r="AB54" s="11" t="n"/>
    </row>
    <row r="55">
      <c r="A55" s="12" t="inlineStr">
        <is>
          <t>sc:이자율_부채</t>
        </is>
      </c>
      <c r="C55" t="inlineStr">
        <is>
          <t>이자율_부채</t>
        </is>
      </c>
      <c r="D55" s="36" t="n">
        <v>0</v>
      </c>
      <c r="E55" s="2" t="inlineStr">
        <is>
          <t>연결 — 같은 수식의 부채 쪽(총차입금 행이 없으면 0)(역산, 재현 오차 ≤ 0.05억)</t>
        </is>
      </c>
      <c r="H55" s="9" t="n"/>
      <c r="M55" s="9" t="n"/>
      <c r="O55" s="5" t="n"/>
      <c r="P55" s="10" t="n"/>
      <c r="Q55" s="10" t="n"/>
      <c r="R55" s="11" t="n"/>
      <c r="S55" s="10" t="n"/>
      <c r="T55" s="10" t="n"/>
      <c r="U55" s="10" t="n"/>
      <c r="V55" s="10" t="n"/>
      <c r="W55" s="11" t="n"/>
      <c r="X55" s="10" t="n"/>
      <c r="Y55" s="10" t="n"/>
      <c r="Z55" s="10" t="n"/>
      <c r="AA55" s="10" t="n"/>
      <c r="AB55" s="11" t="n"/>
    </row>
    <row r="56">
      <c r="A56" s="12" t="inlineStr">
        <is>
          <t>sc:배당성향</t>
        </is>
      </c>
      <c r="C56" t="inlineStr">
        <is>
          <t>배당성향</t>
        </is>
      </c>
      <c r="D56" s="24" t="n">
        <v>0.6569</v>
      </c>
      <c r="E56" s="2" t="inlineStr">
        <is>
          <t>배당성향(참고 — 모델은 직전 DPS 유지·Q2 지급 가정)</t>
        </is>
      </c>
      <c r="H56" s="9" t="n"/>
      <c r="M56" s="9" t="n"/>
      <c r="O56" s="5" t="n"/>
      <c r="P56" s="10" t="n"/>
      <c r="Q56" s="10" t="n"/>
      <c r="R56" s="11" t="n"/>
      <c r="S56" s="10" t="n"/>
      <c r="T56" s="10" t="n"/>
      <c r="U56" s="10" t="n"/>
      <c r="V56" s="10" t="n"/>
      <c r="W56" s="11" t="n"/>
      <c r="X56" s="10" t="n"/>
      <c r="Y56" s="10" t="n"/>
      <c r="Z56" s="10" t="n"/>
      <c r="AA56" s="10" t="n"/>
      <c r="AB56" s="11" t="n"/>
    </row>
    <row r="57">
      <c r="A57" s="12" t="inlineStr">
        <is>
          <t>sc:외화순노출_백만$</t>
        </is>
      </c>
      <c r="C57" t="inlineStr">
        <is>
          <t>외화순노출_백만$</t>
        </is>
      </c>
      <c r="D57" s="30" t="n"/>
      <c r="E57" s="2" t="inlineStr">
        <is>
          <t>외화 순노출 × Δ기말환율 (외화 시트 방식) — 외화 순노출 미공시(face) → 0 + 표기</t>
        </is>
      </c>
      <c r="H57" s="9" t="n"/>
      <c r="M57" s="9" t="n"/>
      <c r="O57" s="5" t="n"/>
      <c r="P57" s="10" t="n"/>
      <c r="Q57" s="10" t="n"/>
      <c r="R57" s="11" t="n"/>
      <c r="S57" s="10" t="n"/>
      <c r="T57" s="10" t="n"/>
      <c r="U57" s="10" t="n"/>
      <c r="V57" s="10" t="n"/>
      <c r="W57" s="11" t="n"/>
      <c r="X57" s="10" t="n"/>
      <c r="Y57" s="10" t="n"/>
      <c r="Z57" s="10" t="n"/>
      <c r="AA57" s="10" t="n"/>
      <c r="AB57" s="11" t="n"/>
    </row>
    <row r="58">
      <c r="A58" s="12" t="inlineStr">
        <is>
          <t>sc:헤지비율</t>
        </is>
      </c>
      <c r="C58" t="inlineStr">
        <is>
          <t>헤지비율</t>
        </is>
      </c>
      <c r="D58" s="24" t="n"/>
      <c r="E58" s="2" t="inlineStr">
        <is>
          <t>sls 없음</t>
        </is>
      </c>
      <c r="H58" s="9" t="n"/>
      <c r="M58" s="9" t="n"/>
      <c r="O58" s="5" t="n"/>
      <c r="P58" s="10" t="n"/>
      <c r="Q58" s="10" t="n"/>
      <c r="R58" s="11" t="n"/>
      <c r="S58" s="10" t="n"/>
      <c r="T58" s="10" t="n"/>
      <c r="U58" s="10" t="n"/>
      <c r="V58" s="10" t="n"/>
      <c r="W58" s="11" t="n"/>
      <c r="X58" s="10" t="n"/>
      <c r="Y58" s="10" t="n"/>
      <c r="Z58" s="10" t="n"/>
      <c r="AA58" s="10" t="n"/>
      <c r="AB58" s="11" t="n"/>
    </row>
    <row r="59">
      <c r="A59" s="12" t="inlineStr">
        <is>
          <t>sc:헤지환율_약정</t>
        </is>
      </c>
      <c r="C59" t="inlineStr">
        <is>
          <t>헤지환율_약정</t>
        </is>
      </c>
      <c r="D59" s="16" t="n"/>
      <c r="E59" s="2" t="inlineStr">
        <is>
          <t>sls 없음</t>
        </is>
      </c>
      <c r="H59" s="9" t="n"/>
      <c r="M59" s="9" t="n"/>
      <c r="O59" s="5" t="n"/>
      <c r="P59" s="10" t="n"/>
      <c r="Q59" s="10" t="n"/>
      <c r="R59" s="11" t="n"/>
      <c r="S59" s="10" t="n"/>
      <c r="T59" s="10" t="n"/>
      <c r="U59" s="10" t="n"/>
      <c r="V59" s="10" t="n"/>
      <c r="W59" s="11" t="n"/>
      <c r="X59" s="10" t="n"/>
      <c r="Y59" s="10" t="n"/>
      <c r="Z59" s="10" t="n"/>
      <c r="AA59" s="10" t="n"/>
      <c r="AB59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0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2Q24</t>
        </is>
      </c>
      <c r="F1" s="3" t="inlineStr">
        <is>
          <t>3Q24</t>
        </is>
      </c>
      <c r="G1" s="3" t="inlineStr">
        <is>
          <t>4Q24</t>
        </is>
      </c>
      <c r="H1" s="3" t="n">
        <v>2024</v>
      </c>
      <c r="I1" s="3" t="inlineStr">
        <is>
          <t>1Q25</t>
        </is>
      </c>
      <c r="J1" s="3" t="inlineStr">
        <is>
          <t>2Q25</t>
        </is>
      </c>
      <c r="K1" s="3" t="inlineStr">
        <is>
          <t>3Q25</t>
        </is>
      </c>
      <c r="L1" s="3" t="inlineStr">
        <is>
          <t>4Q25</t>
        </is>
      </c>
      <c r="M1" s="3" t="n">
        <v>2025</v>
      </c>
      <c r="N1" s="3" t="inlineStr">
        <is>
          <t>1Q26</t>
        </is>
      </c>
      <c r="O1" s="4" t="inlineStr">
        <is>
          <t>2Q26</t>
        </is>
      </c>
      <c r="P1" s="3" t="inlineStr">
        <is>
          <t>3Q26</t>
        </is>
      </c>
      <c r="Q1" s="3" t="inlineStr">
        <is>
          <t>4Q26</t>
        </is>
      </c>
      <c r="R1" s="3" t="n">
        <v>2026</v>
      </c>
      <c r="S1" s="3" t="inlineStr">
        <is>
          <t>1Q27</t>
        </is>
      </c>
      <c r="T1" s="3" t="inlineStr">
        <is>
          <t>2Q27</t>
        </is>
      </c>
      <c r="U1" s="3" t="inlineStr">
        <is>
          <t>3Q27</t>
        </is>
      </c>
      <c r="V1" s="3" t="inlineStr">
        <is>
          <t>4Q27</t>
        </is>
      </c>
      <c r="W1" s="3" t="n">
        <v>2027</v>
      </c>
      <c r="X1" s="3" t="inlineStr">
        <is>
          <t>1Q28</t>
        </is>
      </c>
      <c r="Y1" s="3" t="inlineStr">
        <is>
          <t>2Q28</t>
        </is>
      </c>
      <c r="Z1" s="3" t="inlineStr">
        <is>
          <t>3Q28</t>
        </is>
      </c>
      <c r="AA1" s="3" t="inlineStr">
        <is>
          <t>4Q28</t>
        </is>
      </c>
      <c r="AB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O2" s="5" t="n"/>
    </row>
    <row r="3">
      <c r="B3" t="inlineStr">
        <is>
          <t>HD현대마린솔루션(연)</t>
        </is>
      </c>
      <c r="C3" s="2" t="inlineStr">
        <is>
          <t>UPDATE: 26-10-13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6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2024.06</t>
        </is>
      </c>
      <c r="F4" s="7" t="inlineStr">
        <is>
          <t>2024.09</t>
        </is>
      </c>
      <c r="G4" s="7" t="inlineStr">
        <is>
          <t>2024.12</t>
        </is>
      </c>
      <c r="H4" s="7" t="inlineStr">
        <is>
          <t>2024.12A</t>
        </is>
      </c>
      <c r="I4" s="7" t="inlineStr">
        <is>
          <t>2025.03</t>
        </is>
      </c>
      <c r="J4" s="7" t="inlineStr">
        <is>
          <t>2025.06</t>
        </is>
      </c>
      <c r="K4" s="7" t="inlineStr">
        <is>
          <t>2025.09</t>
        </is>
      </c>
      <c r="L4" s="7" t="inlineStr">
        <is>
          <t>2025.12</t>
        </is>
      </c>
      <c r="M4" s="7" t="inlineStr">
        <is>
          <t>2025.12A</t>
        </is>
      </c>
      <c r="N4" s="7" t="inlineStr">
        <is>
          <t>2026.03</t>
        </is>
      </c>
      <c r="O4" s="8" t="inlineStr">
        <is>
          <t>2026.06</t>
        </is>
      </c>
      <c r="P4" s="7" t="inlineStr">
        <is>
          <t>2026.09</t>
        </is>
      </c>
      <c r="Q4" s="7" t="inlineStr">
        <is>
          <t>2026.12</t>
        </is>
      </c>
      <c r="R4" s="7" t="inlineStr">
        <is>
          <t>2026.12A</t>
        </is>
      </c>
      <c r="S4" s="7" t="inlineStr">
        <is>
          <t>2027.03</t>
        </is>
      </c>
      <c r="T4" s="7" t="inlineStr">
        <is>
          <t>2027.06</t>
        </is>
      </c>
      <c r="U4" s="7" t="inlineStr">
        <is>
          <t>2027.09</t>
        </is>
      </c>
      <c r="V4" s="7" t="inlineStr">
        <is>
          <t>2027.12</t>
        </is>
      </c>
      <c r="W4" s="7" t="inlineStr">
        <is>
          <t>2027.12A</t>
        </is>
      </c>
      <c r="X4" s="7" t="inlineStr">
        <is>
          <t>2028.03</t>
        </is>
      </c>
      <c r="Y4" s="7" t="inlineStr">
        <is>
          <t>2028.06</t>
        </is>
      </c>
      <c r="Z4" s="7" t="inlineStr">
        <is>
          <t>2028.09</t>
        </is>
      </c>
      <c r="AA4" s="7" t="inlineStr">
        <is>
          <t>2028.12</t>
        </is>
      </c>
      <c r="AB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1014908.47</v>
      </c>
      <c r="F5" s="18" t="n">
        <v>1023380.82</v>
      </c>
      <c r="G5" s="18" t="n">
        <v>1075525.92</v>
      </c>
      <c r="H5" s="37" t="n">
        <v>1075525.92</v>
      </c>
      <c r="I5" s="18" t="n">
        <v>1151124.22</v>
      </c>
      <c r="J5" s="18" t="n">
        <v>1033004.12</v>
      </c>
      <c r="K5" s="18" t="n">
        <v>1087815.92</v>
      </c>
      <c r="L5" s="18" t="n">
        <v>1186808.81</v>
      </c>
      <c r="M5" s="37" t="n">
        <v>1186808.81</v>
      </c>
      <c r="N5" s="18" t="n">
        <v>1305046.82</v>
      </c>
      <c r="O5" s="19" t="n">
        <v>1288784.6</v>
      </c>
      <c r="P5" s="10" t="n"/>
      <c r="Q5" s="10" t="n"/>
      <c r="R5" s="11" t="n"/>
      <c r="S5" s="10" t="n"/>
      <c r="T5" s="10" t="n"/>
      <c r="U5" s="10" t="n"/>
      <c r="V5" s="10" t="n"/>
      <c r="W5" s="11" t="n"/>
      <c r="X5" s="10" t="n"/>
      <c r="Y5" s="10" t="n"/>
      <c r="Z5" s="10" t="n"/>
      <c r="AA5" s="10" t="n"/>
      <c r="AB5" s="11" t="n"/>
    </row>
    <row r="6">
      <c r="A6" t="n">
        <v>1</v>
      </c>
      <c r="C6" t="inlineStr">
        <is>
          <t>현금및현금성자산</t>
        </is>
      </c>
      <c r="E6" s="18" t="n">
        <v>320728.9</v>
      </c>
      <c r="F6" s="18" t="n">
        <v>222005.54</v>
      </c>
      <c r="G6" s="18" t="n">
        <v>298466.07</v>
      </c>
      <c r="H6" s="37" t="n">
        <v>298466.07</v>
      </c>
      <c r="I6" s="18" t="n">
        <v>455769.77</v>
      </c>
      <c r="J6" s="18" t="n">
        <v>275777.91</v>
      </c>
      <c r="K6" s="18" t="n">
        <v>361310.54</v>
      </c>
      <c r="L6" s="18" t="n">
        <v>377924.04</v>
      </c>
      <c r="M6" s="37" t="n">
        <v>377924.04</v>
      </c>
      <c r="N6" s="18" t="n">
        <v>430672.81</v>
      </c>
      <c r="O6" s="19" t="n">
        <v>456440.68</v>
      </c>
      <c r="P6" s="10" t="n"/>
      <c r="Q6" s="10" t="n"/>
      <c r="R6" s="11" t="n"/>
      <c r="S6" s="10" t="n"/>
      <c r="T6" s="10" t="n"/>
      <c r="U6" s="10" t="n"/>
      <c r="V6" s="10" t="n"/>
      <c r="W6" s="11" t="n"/>
      <c r="X6" s="10" t="n"/>
      <c r="Y6" s="10" t="n"/>
      <c r="Z6" s="10" t="n"/>
      <c r="AA6" s="10" t="n"/>
      <c r="AB6" s="11" t="n"/>
    </row>
    <row r="7">
      <c r="A7" t="n">
        <v>1</v>
      </c>
      <c r="C7" t="inlineStr">
        <is>
          <t>단기금융상품</t>
        </is>
      </c>
      <c r="E7" s="18" t="n">
        <v>127000</v>
      </c>
      <c r="F7" s="18" t="n">
        <v>252000</v>
      </c>
      <c r="G7" s="18" t="n">
        <v>182950</v>
      </c>
      <c r="H7" s="37" t="n">
        <v>182950</v>
      </c>
      <c r="I7" s="18" t="n">
        <v>117950</v>
      </c>
      <c r="J7" s="18" t="n">
        <v>196250</v>
      </c>
      <c r="K7" s="18" t="n">
        <v>156250</v>
      </c>
      <c r="L7" s="18" t="n">
        <v>186250</v>
      </c>
      <c r="M7" s="37" t="n">
        <v>186250</v>
      </c>
      <c r="N7" s="18" t="n">
        <v>175800</v>
      </c>
      <c r="O7" s="19" t="n">
        <v>91300</v>
      </c>
      <c r="P7" s="10" t="n"/>
      <c r="Q7" s="10" t="n"/>
      <c r="R7" s="11" t="n"/>
      <c r="S7" s="10" t="n"/>
      <c r="T7" s="10" t="n"/>
      <c r="U7" s="10" t="n"/>
      <c r="V7" s="10" t="n"/>
      <c r="W7" s="11" t="n"/>
      <c r="X7" s="10" t="n"/>
      <c r="Y7" s="10" t="n"/>
      <c r="Z7" s="10" t="n"/>
      <c r="AA7" s="10" t="n"/>
      <c r="AB7" s="11" t="n"/>
    </row>
    <row r="8">
      <c r="A8" t="n">
        <v>1</v>
      </c>
      <c r="C8" t="inlineStr">
        <is>
          <t>단기금융자산</t>
        </is>
      </c>
      <c r="E8" s="18" t="n">
        <v>127035.26</v>
      </c>
      <c r="F8" s="18" t="n">
        <v>252000</v>
      </c>
      <c r="G8" s="18" t="n">
        <v>182950</v>
      </c>
      <c r="H8" s="37" t="n">
        <v>182950</v>
      </c>
      <c r="I8" s="18" t="n">
        <v>117950</v>
      </c>
      <c r="J8" s="18" t="n">
        <v>196293.44</v>
      </c>
      <c r="K8" s="18" t="n">
        <v>156356.89</v>
      </c>
      <c r="L8" s="18" t="n">
        <v>186548.77</v>
      </c>
      <c r="M8" s="37" t="n">
        <v>186548.77</v>
      </c>
      <c r="N8" s="18" t="n">
        <v>176429.82</v>
      </c>
      <c r="O8" s="19" t="n">
        <v>91813.83</v>
      </c>
      <c r="P8" s="10" t="n"/>
      <c r="Q8" s="10" t="n"/>
      <c r="R8" s="11" t="n"/>
      <c r="S8" s="10" t="n"/>
      <c r="T8" s="10" t="n"/>
      <c r="U8" s="10" t="n"/>
      <c r="V8" s="10" t="n"/>
      <c r="W8" s="11" t="n"/>
      <c r="X8" s="10" t="n"/>
      <c r="Y8" s="10" t="n"/>
      <c r="Z8" s="10" t="n"/>
      <c r="AA8" s="10" t="n"/>
      <c r="AB8" s="11" t="n"/>
    </row>
    <row r="9">
      <c r="A9" t="n">
        <v>1</v>
      </c>
      <c r="C9" t="inlineStr">
        <is>
          <t>매출채권및기타채권</t>
        </is>
      </c>
      <c r="E9" s="18" t="n">
        <v>243155.53</v>
      </c>
      <c r="F9" s="18" t="n">
        <v>227269.49</v>
      </c>
      <c r="G9" s="18" t="n">
        <v>262855.9</v>
      </c>
      <c r="H9" s="37" t="n">
        <v>262855.9</v>
      </c>
      <c r="I9" s="18" t="n">
        <v>277282.77</v>
      </c>
      <c r="J9" s="18" t="n">
        <v>253016.46</v>
      </c>
      <c r="K9" s="18" t="n">
        <v>267872.37</v>
      </c>
      <c r="L9" s="18" t="n">
        <v>317784.36</v>
      </c>
      <c r="M9" s="37" t="n">
        <v>317784.36</v>
      </c>
      <c r="N9" s="18" t="n">
        <v>388551.16</v>
      </c>
      <c r="O9" s="19" t="n">
        <v>407057.37</v>
      </c>
      <c r="P9" s="10" t="n"/>
      <c r="Q9" s="10" t="n"/>
      <c r="R9" s="11" t="n"/>
      <c r="S9" s="10" t="n"/>
      <c r="T9" s="10" t="n"/>
      <c r="U9" s="10" t="n"/>
      <c r="V9" s="10" t="n"/>
      <c r="W9" s="11" t="n"/>
      <c r="X9" s="10" t="n"/>
      <c r="Y9" s="10" t="n"/>
      <c r="Z9" s="10" t="n"/>
      <c r="AA9" s="10" t="n"/>
      <c r="AB9" s="11" t="n"/>
    </row>
    <row r="10">
      <c r="A10" t="n">
        <v>1</v>
      </c>
      <c r="C10" t="inlineStr">
        <is>
          <t>계약자산</t>
        </is>
      </c>
      <c r="E10" s="18" t="n">
        <v>10836.09</v>
      </c>
      <c r="F10" s="18" t="n">
        <v>9541.129999999999</v>
      </c>
      <c r="G10" s="18" t="n">
        <v>16841.28</v>
      </c>
      <c r="H10" s="37" t="n">
        <v>16841.28</v>
      </c>
      <c r="I10" s="18" t="n">
        <v>7717.35</v>
      </c>
      <c r="J10" s="18" t="n">
        <v>4832.41</v>
      </c>
      <c r="K10" s="18" t="n">
        <v>6050.73</v>
      </c>
      <c r="L10" s="18" t="n">
        <v>7395.13</v>
      </c>
      <c r="M10" s="37" t="n">
        <v>7395.13</v>
      </c>
      <c r="N10" s="18" t="n">
        <v>6018.45</v>
      </c>
      <c r="O10" s="19" t="n">
        <v>11279.42</v>
      </c>
      <c r="P10" s="10" t="n"/>
      <c r="Q10" s="10" t="n"/>
      <c r="R10" s="11" t="n"/>
      <c r="S10" s="10" t="n"/>
      <c r="T10" s="10" t="n"/>
      <c r="U10" s="10" t="n"/>
      <c r="V10" s="10" t="n"/>
      <c r="W10" s="11" t="n"/>
      <c r="X10" s="10" t="n"/>
      <c r="Y10" s="10" t="n"/>
      <c r="Z10" s="10" t="n"/>
      <c r="AA10" s="10" t="n"/>
      <c r="AB10" s="11" t="n"/>
    </row>
    <row r="11">
      <c r="A11" t="n">
        <v>1</v>
      </c>
      <c r="C11" t="inlineStr">
        <is>
          <t>재고자산</t>
        </is>
      </c>
      <c r="E11" s="18" t="n">
        <v>254656.63</v>
      </c>
      <c r="F11" s="18" t="n">
        <v>248671.94</v>
      </c>
      <c r="G11" s="18" t="n">
        <v>273426.86</v>
      </c>
      <c r="H11" s="37" t="n">
        <v>273426.86</v>
      </c>
      <c r="I11" s="18" t="n">
        <v>254700.3</v>
      </c>
      <c r="J11" s="18" t="n">
        <v>261585.98</v>
      </c>
      <c r="K11" s="18" t="n">
        <v>263800.98</v>
      </c>
      <c r="L11" s="18" t="n">
        <v>270685.74</v>
      </c>
      <c r="M11" s="37" t="n">
        <v>270685.74</v>
      </c>
      <c r="N11" s="18" t="n">
        <v>273514.24</v>
      </c>
      <c r="O11" s="19" t="n">
        <v>290071.86</v>
      </c>
      <c r="P11" s="10" t="n"/>
      <c r="Q11" s="10" t="n"/>
      <c r="R11" s="11" t="n"/>
      <c r="S11" s="10" t="n"/>
      <c r="T11" s="10" t="n"/>
      <c r="U11" s="10" t="n"/>
      <c r="V11" s="10" t="n"/>
      <c r="W11" s="11" t="n"/>
      <c r="X11" s="10" t="n"/>
      <c r="Y11" s="10" t="n"/>
      <c r="Z11" s="10" t="n"/>
      <c r="AA11" s="10" t="n"/>
      <c r="AB11" s="11" t="n"/>
    </row>
    <row r="12">
      <c r="A12" t="n">
        <v>1</v>
      </c>
      <c r="C12" t="inlineStr">
        <is>
          <t>유동확정계약자산</t>
        </is>
      </c>
      <c r="E12" s="18" t="n">
        <v>35.26</v>
      </c>
      <c r="H12" s="9" t="n"/>
      <c r="J12" s="18" t="n">
        <v>43.44</v>
      </c>
      <c r="K12" s="18" t="n">
        <v>106.89</v>
      </c>
      <c r="L12" s="18" t="n">
        <v>213.33</v>
      </c>
      <c r="M12" s="37" t="n">
        <v>213.33</v>
      </c>
      <c r="N12" s="18" t="n">
        <v>557.3</v>
      </c>
      <c r="O12" s="19" t="n">
        <v>489.24</v>
      </c>
      <c r="P12" s="10" t="n"/>
      <c r="Q12" s="10" t="n"/>
      <c r="R12" s="11" t="n"/>
      <c r="S12" s="10" t="n"/>
      <c r="T12" s="10" t="n"/>
      <c r="U12" s="10" t="n"/>
      <c r="V12" s="10" t="n"/>
      <c r="W12" s="11" t="n"/>
      <c r="X12" s="10" t="n"/>
      <c r="Y12" s="10" t="n"/>
      <c r="Z12" s="10" t="n"/>
      <c r="AA12" s="10" t="n"/>
      <c r="AB12" s="11" t="n"/>
    </row>
    <row r="13">
      <c r="A13" t="n">
        <v>1</v>
      </c>
      <c r="C13" t="inlineStr">
        <is>
          <t>당기법인세자산(선급법인세)</t>
        </is>
      </c>
      <c r="E13" s="18" t="n">
        <v>1087.2</v>
      </c>
      <c r="F13" s="18" t="n">
        <v>105.27</v>
      </c>
      <c r="G13" s="18" t="n">
        <v>747.65</v>
      </c>
      <c r="H13" s="37" t="n">
        <v>747.65</v>
      </c>
      <c r="I13" s="18" t="n">
        <v>694.24</v>
      </c>
      <c r="J13" s="18" t="n">
        <v>647.61</v>
      </c>
      <c r="K13" s="18" t="n">
        <v>429.38</v>
      </c>
      <c r="L13" s="18" t="n">
        <v>0</v>
      </c>
      <c r="M13" s="37" t="n">
        <v>0</v>
      </c>
      <c r="N13" s="18" t="n">
        <v>1231.96</v>
      </c>
      <c r="O13" s="19" t="n">
        <v>633.95</v>
      </c>
      <c r="P13" s="10" t="n"/>
      <c r="Q13" s="10" t="n"/>
      <c r="R13" s="11" t="n"/>
      <c r="S13" s="10" t="n"/>
      <c r="T13" s="10" t="n"/>
      <c r="U13" s="10" t="n"/>
      <c r="V13" s="10" t="n"/>
      <c r="W13" s="11" t="n"/>
      <c r="X13" s="10" t="n"/>
      <c r="Y13" s="10" t="n"/>
      <c r="Z13" s="10" t="n"/>
      <c r="AA13" s="10" t="n"/>
      <c r="AB13" s="11" t="n"/>
    </row>
    <row r="14">
      <c r="A14" t="n">
        <v>1</v>
      </c>
      <c r="C14" t="inlineStr">
        <is>
          <t>기타유동자산</t>
        </is>
      </c>
      <c r="E14" s="18" t="n">
        <v>57408.85</v>
      </c>
      <c r="F14" s="18" t="n">
        <v>63787.44</v>
      </c>
      <c r="G14" s="18" t="n">
        <v>40238.15</v>
      </c>
      <c r="H14" s="37" t="n">
        <v>40238.15</v>
      </c>
      <c r="I14" s="18" t="n">
        <v>37009.78</v>
      </c>
      <c r="J14" s="18" t="n">
        <v>40850.32</v>
      </c>
      <c r="K14" s="18" t="n">
        <v>31995.04</v>
      </c>
      <c r="L14" s="18" t="n">
        <v>26470.78</v>
      </c>
      <c r="M14" s="37" t="n">
        <v>26470.78</v>
      </c>
      <c r="N14" s="18" t="n">
        <v>28628.38</v>
      </c>
      <c r="O14" s="19" t="n">
        <v>31487.5</v>
      </c>
      <c r="P14" s="10" t="n"/>
      <c r="Q14" s="10" t="n"/>
      <c r="R14" s="11" t="n"/>
      <c r="S14" s="10" t="n"/>
      <c r="T14" s="10" t="n"/>
      <c r="U14" s="10" t="n"/>
      <c r="V14" s="10" t="n"/>
      <c r="W14" s="11" t="n"/>
      <c r="X14" s="10" t="n"/>
      <c r="Y14" s="10" t="n"/>
      <c r="Z14" s="10" t="n"/>
      <c r="AA14" s="10" t="n"/>
      <c r="AB14" s="11" t="n"/>
    </row>
    <row r="15">
      <c r="A15" t="n">
        <v>1</v>
      </c>
      <c r="C15" t="inlineStr">
        <is>
          <t>비유동자산</t>
        </is>
      </c>
      <c r="E15" s="18" t="n">
        <v>67598</v>
      </c>
      <c r="F15" s="18" t="n">
        <v>69071.57000000001</v>
      </c>
      <c r="G15" s="18" t="n">
        <v>76702.05</v>
      </c>
      <c r="H15" s="37" t="n">
        <v>76702.05</v>
      </c>
      <c r="I15" s="18" t="n">
        <v>82828.82000000001</v>
      </c>
      <c r="J15" s="18" t="n">
        <v>87144.2</v>
      </c>
      <c r="K15" s="18" t="n">
        <v>85312.89999999999</v>
      </c>
      <c r="L15" s="18" t="n">
        <v>85511.25</v>
      </c>
      <c r="M15" s="37" t="n">
        <v>85511.25</v>
      </c>
      <c r="N15" s="18" t="n">
        <v>93730.46000000001</v>
      </c>
      <c r="O15" s="19" t="n">
        <v>102758.28</v>
      </c>
      <c r="P15" s="10" t="n"/>
      <c r="Q15" s="10" t="n"/>
      <c r="R15" s="11" t="n"/>
      <c r="S15" s="10" t="n"/>
      <c r="T15" s="10" t="n"/>
      <c r="U15" s="10" t="n"/>
      <c r="V15" s="10" t="n"/>
      <c r="W15" s="11" t="n"/>
      <c r="X15" s="10" t="n"/>
      <c r="Y15" s="10" t="n"/>
      <c r="Z15" s="10" t="n"/>
      <c r="AA15" s="10" t="n"/>
      <c r="AB15" s="11" t="n"/>
    </row>
    <row r="16">
      <c r="A16" t="n">
        <v>1</v>
      </c>
      <c r="C16" t="inlineStr">
        <is>
          <t>장기금융자산</t>
        </is>
      </c>
      <c r="E16" s="18" t="n">
        <v>2</v>
      </c>
      <c r="F16" s="18" t="n">
        <v>2</v>
      </c>
      <c r="G16" s="18" t="n">
        <v>2</v>
      </c>
      <c r="H16" s="37" t="n">
        <v>2</v>
      </c>
      <c r="I16" s="18" t="n">
        <v>2</v>
      </c>
      <c r="J16" s="18" t="n">
        <v>2</v>
      </c>
      <c r="K16" s="18" t="n">
        <v>2</v>
      </c>
      <c r="L16" s="18" t="n">
        <v>560.54</v>
      </c>
      <c r="M16" s="37" t="n">
        <v>560.54</v>
      </c>
      <c r="N16" s="18" t="n">
        <v>592.9400000000001</v>
      </c>
      <c r="O16" s="19" t="n">
        <v>606.99</v>
      </c>
      <c r="P16" s="10" t="n"/>
      <c r="Q16" s="10" t="n"/>
      <c r="R16" s="11" t="n"/>
      <c r="S16" s="10" t="n"/>
      <c r="T16" s="10" t="n"/>
      <c r="U16" s="10" t="n"/>
      <c r="V16" s="10" t="n"/>
      <c r="W16" s="11" t="n"/>
      <c r="X16" s="10" t="n"/>
      <c r="Y16" s="10" t="n"/>
      <c r="Z16" s="10" t="n"/>
      <c r="AA16" s="10" t="n"/>
      <c r="AB16" s="11" t="n"/>
    </row>
    <row r="17">
      <c r="A17" t="n">
        <v>1</v>
      </c>
      <c r="C17" t="inlineStr">
        <is>
          <t>투자자산</t>
        </is>
      </c>
      <c r="E17" s="18" t="n">
        <v>72.70999999999999</v>
      </c>
      <c r="F17" s="18" t="n">
        <v>2832.84</v>
      </c>
      <c r="G17" s="18" t="n">
        <v>2982.29</v>
      </c>
      <c r="H17" s="37" t="n">
        <v>2982.29</v>
      </c>
      <c r="I17" s="18" t="n">
        <v>2892.68</v>
      </c>
      <c r="J17" s="18" t="n">
        <v>2615.47</v>
      </c>
      <c r="K17" s="18" t="n">
        <v>2552.46</v>
      </c>
      <c r="L17" s="18" t="n">
        <v>3222.17</v>
      </c>
      <c r="M17" s="37" t="n">
        <v>3222.17</v>
      </c>
      <c r="N17" s="18" t="n">
        <v>3238.47</v>
      </c>
      <c r="O17" s="19" t="n">
        <v>3130.38</v>
      </c>
      <c r="P17" s="10" t="n"/>
      <c r="Q17" s="10" t="n"/>
      <c r="R17" s="11" t="n"/>
      <c r="S17" s="10" t="n"/>
      <c r="T17" s="10" t="n"/>
      <c r="U17" s="10" t="n"/>
      <c r="V17" s="10" t="n"/>
      <c r="W17" s="11" t="n"/>
      <c r="X17" s="10" t="n"/>
      <c r="Y17" s="10" t="n"/>
      <c r="Z17" s="10" t="n"/>
      <c r="AA17" s="10" t="n"/>
      <c r="AB17" s="11" t="n"/>
    </row>
    <row r="18">
      <c r="A18" t="n">
        <v>1</v>
      </c>
      <c r="C18" t="inlineStr">
        <is>
          <t>장기매출채권및기타채권</t>
        </is>
      </c>
      <c r="E18" s="18" t="n">
        <v>4868.61</v>
      </c>
      <c r="F18" s="18" t="n">
        <v>4857.01</v>
      </c>
      <c r="G18" s="18" t="n">
        <v>9789.41</v>
      </c>
      <c r="H18" s="37" t="n">
        <v>9789.41</v>
      </c>
      <c r="I18" s="18" t="n">
        <v>9876.6</v>
      </c>
      <c r="J18" s="18" t="n">
        <v>9229.940000000001</v>
      </c>
      <c r="K18" s="18" t="n">
        <v>9277.959999999999</v>
      </c>
      <c r="L18" s="18" t="n">
        <v>6634.93</v>
      </c>
      <c r="M18" s="37" t="n">
        <v>6634.93</v>
      </c>
      <c r="N18" s="18" t="n">
        <v>6986.41</v>
      </c>
      <c r="O18" s="19" t="n">
        <v>10276.98</v>
      </c>
      <c r="P18" s="10" t="n"/>
      <c r="Q18" s="10" t="n"/>
      <c r="R18" s="11" t="n"/>
      <c r="S18" s="10" t="n"/>
      <c r="T18" s="10" t="n"/>
      <c r="U18" s="10" t="n"/>
      <c r="V18" s="10" t="n"/>
      <c r="W18" s="11" t="n"/>
      <c r="X18" s="10" t="n"/>
      <c r="Y18" s="10" t="n"/>
      <c r="Z18" s="10" t="n"/>
      <c r="AA18" s="10" t="n"/>
      <c r="AB18" s="11" t="n"/>
    </row>
    <row r="19">
      <c r="A19" t="n">
        <v>1</v>
      </c>
      <c r="C19" t="inlineStr">
        <is>
          <t>유형자산</t>
        </is>
      </c>
      <c r="E19" s="18" t="n">
        <v>13789.95</v>
      </c>
      <c r="F19" s="18" t="n">
        <v>15349.27</v>
      </c>
      <c r="G19" s="18" t="n">
        <v>19580.72</v>
      </c>
      <c r="H19" s="37" t="n">
        <v>19580.72</v>
      </c>
      <c r="I19" s="18" t="n">
        <v>20263.56</v>
      </c>
      <c r="J19" s="18" t="n">
        <v>23907.9</v>
      </c>
      <c r="K19" s="18" t="n">
        <v>26058.1</v>
      </c>
      <c r="L19" s="18" t="n">
        <v>29559.68</v>
      </c>
      <c r="M19" s="37" t="n">
        <v>29559.68</v>
      </c>
      <c r="N19" s="18" t="n">
        <v>32192.13</v>
      </c>
      <c r="O19" s="19" t="n">
        <v>33525.24</v>
      </c>
      <c r="P19" s="10" t="n"/>
      <c r="Q19" s="10" t="n"/>
      <c r="R19" s="11" t="n"/>
      <c r="S19" s="10" t="n"/>
      <c r="T19" s="10" t="n"/>
      <c r="U19" s="10" t="n"/>
      <c r="V19" s="10" t="n"/>
      <c r="W19" s="11" t="n"/>
      <c r="X19" s="10" t="n"/>
      <c r="Y19" s="10" t="n"/>
      <c r="Z19" s="10" t="n"/>
      <c r="AA19" s="10" t="n"/>
      <c r="AB19" s="11" t="n"/>
    </row>
    <row r="20">
      <c r="A20" t="n">
        <v>1</v>
      </c>
      <c r="C20" t="inlineStr">
        <is>
          <t>사용권자산</t>
        </is>
      </c>
      <c r="E20" s="18" t="n">
        <v>22118.95</v>
      </c>
      <c r="F20" s="18" t="n">
        <v>21076.12</v>
      </c>
      <c r="G20" s="18" t="n">
        <v>19891.23</v>
      </c>
      <c r="H20" s="37" t="n">
        <v>19891.23</v>
      </c>
      <c r="I20" s="18" t="n">
        <v>22420.14</v>
      </c>
      <c r="J20" s="18" t="n">
        <v>20311.08</v>
      </c>
      <c r="K20" s="18" t="n">
        <v>18560.43</v>
      </c>
      <c r="L20" s="18" t="n">
        <v>16938.19</v>
      </c>
      <c r="M20" s="37" t="n">
        <v>16938.19</v>
      </c>
      <c r="N20" s="18" t="n">
        <v>23768.32</v>
      </c>
      <c r="O20" s="19" t="n">
        <v>28131.79</v>
      </c>
      <c r="P20" s="10" t="n"/>
      <c r="Q20" s="10" t="n"/>
      <c r="R20" s="11" t="n"/>
      <c r="S20" s="10" t="n"/>
      <c r="T20" s="10" t="n"/>
      <c r="U20" s="10" t="n"/>
      <c r="V20" s="10" t="n"/>
      <c r="W20" s="11" t="n"/>
      <c r="X20" s="10" t="n"/>
      <c r="Y20" s="10" t="n"/>
      <c r="Z20" s="10" t="n"/>
      <c r="AA20" s="10" t="n"/>
      <c r="AB20" s="11" t="n"/>
    </row>
    <row r="21">
      <c r="A21" t="n">
        <v>1</v>
      </c>
      <c r="C21" t="inlineStr">
        <is>
          <t>기타비유동자산</t>
        </is>
      </c>
      <c r="E21" s="18" t="n">
        <v>25681.93</v>
      </c>
      <c r="F21" s="18" t="n">
        <v>23799.17</v>
      </c>
      <c r="G21" s="18" t="n">
        <v>24309.78</v>
      </c>
      <c r="H21" s="37" t="n">
        <v>24309.78</v>
      </c>
      <c r="I21" s="18" t="n">
        <v>25830.15</v>
      </c>
      <c r="J21" s="18" t="n">
        <v>22601.96</v>
      </c>
      <c r="K21" s="18" t="n">
        <v>20000.36</v>
      </c>
      <c r="L21" s="18" t="n">
        <v>23464.21</v>
      </c>
      <c r="M21" s="37" t="n">
        <v>23464.21</v>
      </c>
      <c r="N21" s="18" t="n">
        <v>28968.55</v>
      </c>
      <c r="O21" s="19" t="n">
        <v>31987.34</v>
      </c>
      <c r="P21" s="10" t="n"/>
      <c r="Q21" s="10" t="n"/>
      <c r="R21" s="11" t="n"/>
      <c r="S21" s="10" t="n"/>
      <c r="T21" s="10" t="n"/>
      <c r="U21" s="10" t="n"/>
      <c r="V21" s="10" t="n"/>
      <c r="W21" s="11" t="n"/>
      <c r="X21" s="10" t="n"/>
      <c r="Y21" s="10" t="n"/>
      <c r="Z21" s="10" t="n"/>
      <c r="AA21" s="10" t="n"/>
      <c r="AB21" s="11" t="n"/>
    </row>
    <row r="22">
      <c r="A22" t="n">
        <v>1</v>
      </c>
      <c r="C22" t="inlineStr">
        <is>
          <t>무형자산</t>
        </is>
      </c>
      <c r="E22" s="18" t="n">
        <v>4136.67</v>
      </c>
      <c r="F22" s="18" t="n">
        <v>4136.67</v>
      </c>
      <c r="G22" s="18" t="n">
        <v>4529.71</v>
      </c>
      <c r="H22" s="37" t="n">
        <v>4529.71</v>
      </c>
      <c r="I22" s="18" t="n">
        <v>4520.65</v>
      </c>
      <c r="J22" s="18" t="n">
        <v>4486.19</v>
      </c>
      <c r="K22" s="18" t="n">
        <v>5346.38</v>
      </c>
      <c r="L22" s="18" t="n">
        <v>5080.84</v>
      </c>
      <c r="M22" s="37" t="n">
        <v>5080.84</v>
      </c>
      <c r="N22" s="18" t="n">
        <v>5094.13</v>
      </c>
      <c r="O22" s="19" t="n">
        <v>5094.62</v>
      </c>
      <c r="P22" s="10" t="n"/>
      <c r="Q22" s="10" t="n"/>
      <c r="R22" s="11" t="n"/>
      <c r="S22" s="10" t="n"/>
      <c r="T22" s="10" t="n"/>
      <c r="U22" s="10" t="n"/>
      <c r="V22" s="10" t="n"/>
      <c r="W22" s="11" t="n"/>
      <c r="X22" s="10" t="n"/>
      <c r="Y22" s="10" t="n"/>
      <c r="Z22" s="10" t="n"/>
      <c r="AA22" s="10" t="n"/>
      <c r="AB22" s="11" t="n"/>
    </row>
    <row r="23">
      <c r="A23" t="n">
        <v>1</v>
      </c>
      <c r="C23" t="inlineStr">
        <is>
          <t>이연법인세자산</t>
        </is>
      </c>
      <c r="E23" s="18" t="n">
        <v>19048.13</v>
      </c>
      <c r="F23" s="18" t="n">
        <v>18096.61</v>
      </c>
      <c r="G23" s="18" t="n">
        <v>15510.14</v>
      </c>
      <c r="H23" s="37" t="n">
        <v>15510.14</v>
      </c>
      <c r="I23" s="18" t="n">
        <v>19445.19</v>
      </c>
      <c r="J23" s="18" t="n">
        <v>24302.74</v>
      </c>
      <c r="K23" s="18" t="n">
        <v>22077.64</v>
      </c>
      <c r="L23" s="18" t="n">
        <v>17549.43</v>
      </c>
      <c r="M23" s="37" t="n">
        <v>17549.43</v>
      </c>
      <c r="N23" s="18" t="n">
        <v>17250.77</v>
      </c>
      <c r="O23" s="19" t="n">
        <v>18743.72</v>
      </c>
      <c r="P23" s="10" t="n"/>
      <c r="Q23" s="10" t="n"/>
      <c r="R23" s="11" t="n"/>
      <c r="S23" s="10" t="n"/>
      <c r="T23" s="10" t="n"/>
      <c r="U23" s="10" t="n"/>
      <c r="V23" s="10" t="n"/>
      <c r="W23" s="11" t="n"/>
      <c r="X23" s="10" t="n"/>
      <c r="Y23" s="10" t="n"/>
      <c r="Z23" s="10" t="n"/>
      <c r="AA23" s="10" t="n"/>
      <c r="AB23" s="11" t="n"/>
    </row>
    <row r="24">
      <c r="A24" t="n">
        <v>1</v>
      </c>
      <c r="C24" t="inlineStr">
        <is>
          <t>비유동확정계약자산</t>
        </is>
      </c>
      <c r="E24" s="18" t="n">
        <v>70.70999999999999</v>
      </c>
      <c r="G24" s="18" t="n">
        <v>218.31</v>
      </c>
      <c r="H24" s="37" t="n">
        <v>218.31</v>
      </c>
      <c r="I24" s="18" t="n">
        <v>235.2</v>
      </c>
      <c r="J24" s="18" t="n">
        <v>19.97</v>
      </c>
      <c r="K24" s="18" t="n">
        <v>50.92</v>
      </c>
      <c r="L24" s="18" t="n">
        <v>18.73</v>
      </c>
      <c r="M24" s="37" t="n">
        <v>18.73</v>
      </c>
      <c r="N24" s="18" t="n">
        <v>94.59999999999999</v>
      </c>
      <c r="O24" s="19" t="n">
        <v>24.41</v>
      </c>
      <c r="P24" s="10" t="n"/>
      <c r="Q24" s="10" t="n"/>
      <c r="R24" s="11" t="n"/>
      <c r="S24" s="10" t="n"/>
      <c r="T24" s="10" t="n"/>
      <c r="U24" s="10" t="n"/>
      <c r="V24" s="10" t="n"/>
      <c r="W24" s="11" t="n"/>
      <c r="X24" s="10" t="n"/>
      <c r="Y24" s="10" t="n"/>
      <c r="Z24" s="10" t="n"/>
      <c r="AA24" s="10" t="n"/>
      <c r="AB24" s="11" t="n"/>
    </row>
    <row r="25">
      <c r="A25" t="n">
        <v>1</v>
      </c>
      <c r="C25" t="inlineStr">
        <is>
          <t>자산총계</t>
        </is>
      </c>
      <c r="E25" s="18" t="n">
        <v>1082506.46</v>
      </c>
      <c r="F25" s="18" t="n">
        <v>1092452.39</v>
      </c>
      <c r="G25" s="18" t="n">
        <v>1152227.97</v>
      </c>
      <c r="H25" s="37" t="n">
        <v>1152227.97</v>
      </c>
      <c r="I25" s="18" t="n">
        <v>1233953.04</v>
      </c>
      <c r="J25" s="18" t="n">
        <v>1120148.32</v>
      </c>
      <c r="K25" s="18" t="n">
        <v>1173128.82</v>
      </c>
      <c r="L25" s="18" t="n">
        <v>1272320.06</v>
      </c>
      <c r="M25" s="37" t="n">
        <v>1272320.06</v>
      </c>
      <c r="N25" s="18" t="n">
        <v>1398777.28</v>
      </c>
      <c r="O25" s="19" t="n">
        <v>1391542.88</v>
      </c>
      <c r="P25" s="10" t="n"/>
      <c r="Q25" s="10" t="n"/>
      <c r="R25" s="11" t="n"/>
      <c r="S25" s="10" t="n"/>
      <c r="T25" s="10" t="n"/>
      <c r="U25" s="10" t="n"/>
      <c r="V25" s="10" t="n"/>
      <c r="W25" s="11" t="n"/>
      <c r="X25" s="10" t="n"/>
      <c r="Y25" s="10" t="n"/>
      <c r="Z25" s="10" t="n"/>
      <c r="AA25" s="10" t="n"/>
      <c r="AB25" s="11" t="n"/>
    </row>
    <row r="26">
      <c r="A26" t="n">
        <v>1</v>
      </c>
      <c r="C26" t="inlineStr">
        <is>
          <t>유동부채</t>
        </is>
      </c>
      <c r="E26" s="18" t="n">
        <v>410848.05</v>
      </c>
      <c r="F26" s="18" t="n">
        <v>385699.29</v>
      </c>
      <c r="G26" s="18" t="n">
        <v>342617.75</v>
      </c>
      <c r="H26" s="37" t="n">
        <v>342617.75</v>
      </c>
      <c r="I26" s="18" t="n">
        <v>476464.19</v>
      </c>
      <c r="J26" s="18" t="n">
        <v>354776.17</v>
      </c>
      <c r="K26" s="18" t="n">
        <v>352862.86</v>
      </c>
      <c r="L26" s="18" t="n">
        <v>408739.5</v>
      </c>
      <c r="M26" s="37" t="n">
        <v>408739.5</v>
      </c>
      <c r="N26" s="18" t="n">
        <v>505489.89</v>
      </c>
      <c r="O26" s="19" t="n">
        <v>444266.97</v>
      </c>
      <c r="P26" s="10" t="n"/>
      <c r="Q26" s="10" t="n"/>
      <c r="R26" s="11" t="n"/>
      <c r="S26" s="10" t="n"/>
      <c r="T26" s="10" t="n"/>
      <c r="U26" s="10" t="n"/>
      <c r="V26" s="10" t="n"/>
      <c r="W26" s="11" t="n"/>
      <c r="X26" s="10" t="n"/>
      <c r="Y26" s="10" t="n"/>
      <c r="Z26" s="10" t="n"/>
      <c r="AA26" s="10" t="n"/>
      <c r="AB26" s="11" t="n"/>
    </row>
    <row r="27">
      <c r="A27" t="n">
        <v>1</v>
      </c>
      <c r="C27" t="inlineStr">
        <is>
          <t>기타유동금융부채</t>
        </is>
      </c>
      <c r="E27" s="18" t="n">
        <v>71969.14999999999</v>
      </c>
      <c r="H27" s="9" t="n"/>
      <c r="M27" s="9" t="n"/>
      <c r="O27" s="5" t="n"/>
      <c r="P27" s="10" t="n"/>
      <c r="Q27" s="10" t="n"/>
      <c r="R27" s="11" t="n"/>
      <c r="S27" s="10" t="n"/>
      <c r="T27" s="10" t="n"/>
      <c r="U27" s="10" t="n"/>
      <c r="V27" s="10" t="n"/>
      <c r="W27" s="11" t="n"/>
      <c r="X27" s="10" t="n"/>
      <c r="Y27" s="10" t="n"/>
      <c r="Z27" s="10" t="n"/>
      <c r="AA27" s="10" t="n"/>
      <c r="AB27" s="11" t="n"/>
    </row>
    <row r="28">
      <c r="A28" t="n">
        <v>1</v>
      </c>
      <c r="C28" t="inlineStr">
        <is>
          <t>단기금융부채</t>
        </is>
      </c>
      <c r="E28" s="18" t="n">
        <v>79885.46000000001</v>
      </c>
      <c r="F28" s="18" t="n">
        <v>8024.92</v>
      </c>
      <c r="G28" s="18" t="n">
        <v>8088.06</v>
      </c>
      <c r="H28" s="37" t="n">
        <v>8088.06</v>
      </c>
      <c r="I28" s="18" t="n">
        <v>8466.280000000001</v>
      </c>
      <c r="J28" s="18" t="n">
        <v>8353.32</v>
      </c>
      <c r="K28" s="18" t="n">
        <v>8389.48</v>
      </c>
      <c r="L28" s="18" t="n">
        <v>8299.700000000001</v>
      </c>
      <c r="M28" s="37" t="n">
        <v>8299.700000000001</v>
      </c>
      <c r="N28" s="18" t="n">
        <v>10960.63</v>
      </c>
      <c r="O28" s="19" t="n">
        <v>11416.07</v>
      </c>
      <c r="P28" s="10" t="n"/>
      <c r="Q28" s="10" t="n"/>
      <c r="R28" s="11" t="n"/>
      <c r="S28" s="10" t="n"/>
      <c r="T28" s="10" t="n"/>
      <c r="U28" s="10" t="n"/>
      <c r="V28" s="10" t="n"/>
      <c r="W28" s="11" t="n"/>
      <c r="X28" s="10" t="n"/>
      <c r="Y28" s="10" t="n"/>
      <c r="Z28" s="10" t="n"/>
      <c r="AA28" s="10" t="n"/>
      <c r="AB28" s="11" t="n"/>
    </row>
    <row r="29">
      <c r="A29" t="n">
        <v>1</v>
      </c>
      <c r="C29" t="inlineStr">
        <is>
          <t>매입채무및기타채무</t>
        </is>
      </c>
      <c r="E29" s="18" t="n">
        <v>183448.5</v>
      </c>
      <c r="F29" s="18" t="n">
        <v>177611.75</v>
      </c>
      <c r="G29" s="18" t="n">
        <v>183849.01</v>
      </c>
      <c r="H29" s="37" t="n">
        <v>183849.01</v>
      </c>
      <c r="I29" s="18" t="n">
        <v>302370.43</v>
      </c>
      <c r="J29" s="18" t="n">
        <v>182483.75</v>
      </c>
      <c r="K29" s="18" t="n">
        <v>178618.63</v>
      </c>
      <c r="L29" s="18" t="n">
        <v>214355.71</v>
      </c>
      <c r="M29" s="37" t="n">
        <v>214355.71</v>
      </c>
      <c r="N29" s="18" t="n">
        <v>302219.4</v>
      </c>
      <c r="O29" s="19" t="n">
        <v>222496.16</v>
      </c>
      <c r="P29" s="10" t="n"/>
      <c r="Q29" s="10" t="n"/>
      <c r="R29" s="11" t="n"/>
      <c r="S29" s="10" t="n"/>
      <c r="T29" s="10" t="n"/>
      <c r="U29" s="10" t="n"/>
      <c r="V29" s="10" t="n"/>
      <c r="W29" s="11" t="n"/>
      <c r="X29" s="10" t="n"/>
      <c r="Y29" s="10" t="n"/>
      <c r="Z29" s="10" t="n"/>
      <c r="AA29" s="10" t="n"/>
      <c r="AB29" s="11" t="n"/>
    </row>
    <row r="30">
      <c r="A30" t="n">
        <v>1</v>
      </c>
      <c r="C30" t="inlineStr">
        <is>
          <t>계약부채</t>
        </is>
      </c>
      <c r="E30" s="18" t="n">
        <v>95913.92</v>
      </c>
      <c r="F30" s="18" t="n">
        <v>114205.86</v>
      </c>
      <c r="G30" s="18" t="n">
        <v>104218.76</v>
      </c>
      <c r="H30" s="37" t="n">
        <v>104218.76</v>
      </c>
      <c r="I30" s="18" t="n">
        <v>108976.81</v>
      </c>
      <c r="J30" s="18" t="n">
        <v>102249.13</v>
      </c>
      <c r="K30" s="18" t="n">
        <v>107939.46</v>
      </c>
      <c r="L30" s="18" t="n">
        <v>125761.29</v>
      </c>
      <c r="M30" s="37" t="n">
        <v>125761.29</v>
      </c>
      <c r="N30" s="18" t="n">
        <v>128742.85</v>
      </c>
      <c r="O30" s="19" t="n">
        <v>145289.83</v>
      </c>
      <c r="P30" s="10" t="n"/>
      <c r="Q30" s="10" t="n"/>
      <c r="R30" s="11" t="n"/>
      <c r="S30" s="10" t="n"/>
      <c r="T30" s="10" t="n"/>
      <c r="U30" s="10" t="n"/>
      <c r="V30" s="10" t="n"/>
      <c r="W30" s="11" t="n"/>
      <c r="X30" s="10" t="n"/>
      <c r="Y30" s="10" t="n"/>
      <c r="Z30" s="10" t="n"/>
      <c r="AA30" s="10" t="n"/>
      <c r="AB30" s="11" t="n"/>
    </row>
    <row r="31">
      <c r="A31" t="n">
        <v>1</v>
      </c>
      <c r="C31" t="inlineStr">
        <is>
          <t>선수금</t>
        </is>
      </c>
      <c r="E31" s="18" t="n">
        <v>889.5599999999999</v>
      </c>
      <c r="F31" s="18" t="n">
        <v>689.15</v>
      </c>
      <c r="G31" s="18" t="n">
        <v>795.6</v>
      </c>
      <c r="H31" s="37" t="n">
        <v>795.6</v>
      </c>
      <c r="I31" s="18" t="n">
        <v>538.72</v>
      </c>
      <c r="J31" s="18" t="n">
        <v>248.48</v>
      </c>
      <c r="K31" s="18" t="n">
        <v>264.06</v>
      </c>
      <c r="L31" s="18" t="n">
        <v>2407.87</v>
      </c>
      <c r="M31" s="37" t="n">
        <v>2407.87</v>
      </c>
      <c r="N31" s="18" t="n">
        <v>1446.15</v>
      </c>
      <c r="O31" s="19" t="n">
        <v>2131.44</v>
      </c>
      <c r="P31" s="10" t="n"/>
      <c r="Q31" s="10" t="n"/>
      <c r="R31" s="11" t="n"/>
      <c r="S31" s="10" t="n"/>
      <c r="T31" s="10" t="n"/>
      <c r="U31" s="10" t="n"/>
      <c r="V31" s="10" t="n"/>
      <c r="W31" s="11" t="n"/>
      <c r="X31" s="10" t="n"/>
      <c r="Y31" s="10" t="n"/>
      <c r="Z31" s="10" t="n"/>
      <c r="AA31" s="10" t="n"/>
      <c r="AB31" s="11" t="n"/>
    </row>
    <row r="32">
      <c r="A32" t="n">
        <v>1</v>
      </c>
      <c r="C32" t="inlineStr">
        <is>
          <t>기타유동부채</t>
        </is>
      </c>
      <c r="E32" s="18" t="n">
        <v>889.5599999999999</v>
      </c>
      <c r="F32" s="18" t="n">
        <v>689.15</v>
      </c>
      <c r="G32" s="18" t="n">
        <v>795.6</v>
      </c>
      <c r="H32" s="37" t="n">
        <v>795.6</v>
      </c>
      <c r="I32" s="18" t="n">
        <v>538.72</v>
      </c>
      <c r="J32" s="18" t="n">
        <v>248.48</v>
      </c>
      <c r="K32" s="18" t="n">
        <v>264.06</v>
      </c>
      <c r="L32" s="18" t="n">
        <v>2407.87</v>
      </c>
      <c r="M32" s="37" t="n">
        <v>2407.87</v>
      </c>
      <c r="N32" s="18" t="n">
        <v>1446.15</v>
      </c>
      <c r="O32" s="19" t="n">
        <v>2131.44</v>
      </c>
      <c r="P32" s="10" t="n"/>
      <c r="Q32" s="10" t="n"/>
      <c r="R32" s="11" t="n"/>
      <c r="S32" s="10" t="n"/>
      <c r="T32" s="10" t="n"/>
      <c r="U32" s="10" t="n"/>
      <c r="V32" s="10" t="n"/>
      <c r="W32" s="11" t="n"/>
      <c r="X32" s="10" t="n"/>
      <c r="Y32" s="10" t="n"/>
      <c r="Z32" s="10" t="n"/>
      <c r="AA32" s="10" t="n"/>
      <c r="AB32" s="11" t="n"/>
    </row>
    <row r="33">
      <c r="A33" t="n">
        <v>1</v>
      </c>
      <c r="C33" t="inlineStr">
        <is>
          <t>유동리스부채</t>
        </is>
      </c>
      <c r="E33" s="18" t="n">
        <v>7881.05</v>
      </c>
      <c r="F33" s="18" t="n">
        <v>8024.92</v>
      </c>
      <c r="G33" s="18" t="n">
        <v>8088.06</v>
      </c>
      <c r="H33" s="37" t="n">
        <v>8088.06</v>
      </c>
      <c r="I33" s="18" t="n">
        <v>8466.280000000001</v>
      </c>
      <c r="J33" s="18" t="n">
        <v>8309.879999999999</v>
      </c>
      <c r="K33" s="18" t="n">
        <v>8282.59</v>
      </c>
      <c r="L33" s="18" t="n">
        <v>7980.6</v>
      </c>
      <c r="M33" s="37" t="n">
        <v>7980.6</v>
      </c>
      <c r="N33" s="18" t="n">
        <v>10454.12</v>
      </c>
      <c r="O33" s="19" t="n">
        <v>11005.38</v>
      </c>
      <c r="P33" s="10" t="n"/>
      <c r="Q33" s="10" t="n"/>
      <c r="R33" s="11" t="n"/>
      <c r="S33" s="10" t="n"/>
      <c r="T33" s="10" t="n"/>
      <c r="U33" s="10" t="n"/>
      <c r="V33" s="10" t="n"/>
      <c r="W33" s="11" t="n"/>
      <c r="X33" s="10" t="n"/>
      <c r="Y33" s="10" t="n"/>
      <c r="Z33" s="10" t="n"/>
      <c r="AA33" s="10" t="n"/>
      <c r="AB33" s="11" t="n"/>
    </row>
    <row r="34">
      <c r="A34" t="n">
        <v>1</v>
      </c>
      <c r="C34" t="inlineStr">
        <is>
          <t>리스부채</t>
        </is>
      </c>
      <c r="E34" s="18" t="n">
        <v>22619.47</v>
      </c>
      <c r="F34" s="18" t="n">
        <v>21660.38</v>
      </c>
      <c r="G34" s="18" t="n">
        <v>20551.84</v>
      </c>
      <c r="H34" s="37" t="n">
        <v>20551.84</v>
      </c>
      <c r="I34" s="18" t="n">
        <v>22896.14</v>
      </c>
      <c r="J34" s="18" t="n">
        <v>21196.65</v>
      </c>
      <c r="K34" s="18" t="n">
        <v>19480.47</v>
      </c>
      <c r="L34" s="18" t="n">
        <v>17912.1</v>
      </c>
      <c r="M34" s="37" t="n">
        <v>17912.1</v>
      </c>
      <c r="N34" s="18" t="n">
        <v>25246.21</v>
      </c>
      <c r="O34" s="19" t="n">
        <v>33234.54</v>
      </c>
      <c r="P34" s="10" t="n"/>
      <c r="Q34" s="10" t="n"/>
      <c r="R34" s="11" t="n"/>
      <c r="S34" s="10" t="n"/>
      <c r="T34" s="10" t="n"/>
      <c r="U34" s="10" t="n"/>
      <c r="V34" s="10" t="n"/>
      <c r="W34" s="11" t="n"/>
      <c r="X34" s="10" t="n"/>
      <c r="Y34" s="10" t="n"/>
      <c r="Z34" s="10" t="n"/>
      <c r="AA34" s="10" t="n"/>
      <c r="AB34" s="11" t="n"/>
    </row>
    <row r="35">
      <c r="A35" t="n">
        <v>1</v>
      </c>
      <c r="C35" t="inlineStr">
        <is>
          <t>단기충당부채</t>
        </is>
      </c>
      <c r="E35" s="18" t="n">
        <v>10709.57</v>
      </c>
      <c r="F35" s="18" t="n">
        <v>9597.34</v>
      </c>
      <c r="G35" s="18" t="n">
        <v>11061.71</v>
      </c>
      <c r="H35" s="37" t="n">
        <v>11061.71</v>
      </c>
      <c r="I35" s="18" t="n">
        <v>10708.91</v>
      </c>
      <c r="J35" s="18" t="n">
        <v>10462.45</v>
      </c>
      <c r="K35" s="18" t="n">
        <v>4571.28</v>
      </c>
      <c r="L35" s="18" t="n">
        <v>3584.78</v>
      </c>
      <c r="M35" s="37" t="n">
        <v>3584.78</v>
      </c>
      <c r="N35" s="18" t="n">
        <v>6164</v>
      </c>
      <c r="O35" s="19" t="n">
        <v>7558.12</v>
      </c>
      <c r="P35" s="10" t="n"/>
      <c r="Q35" s="10" t="n"/>
      <c r="R35" s="11" t="n"/>
      <c r="S35" s="10" t="n"/>
      <c r="T35" s="10" t="n"/>
      <c r="U35" s="10" t="n"/>
      <c r="V35" s="10" t="n"/>
      <c r="W35" s="11" t="n"/>
      <c r="X35" s="10" t="n"/>
      <c r="Y35" s="10" t="n"/>
      <c r="Z35" s="10" t="n"/>
      <c r="AA35" s="10" t="n"/>
      <c r="AB35" s="11" t="n"/>
    </row>
    <row r="36">
      <c r="A36" t="n">
        <v>1</v>
      </c>
      <c r="C36" t="inlineStr">
        <is>
          <t>당기법인세부채(미지급법인세)</t>
        </is>
      </c>
      <c r="E36" s="18" t="n">
        <v>40001.02</v>
      </c>
      <c r="F36" s="18" t="n">
        <v>29250.68</v>
      </c>
      <c r="G36" s="18" t="n">
        <v>34604.6</v>
      </c>
      <c r="H36" s="37" t="n">
        <v>34604.6</v>
      </c>
      <c r="I36" s="18" t="n">
        <v>45403.04</v>
      </c>
      <c r="J36" s="18" t="n">
        <v>48266.24</v>
      </c>
      <c r="K36" s="18" t="n">
        <v>53079.96</v>
      </c>
      <c r="L36" s="18" t="n">
        <v>54330.15</v>
      </c>
      <c r="M36" s="37" t="n">
        <v>54330.15</v>
      </c>
      <c r="N36" s="18" t="n">
        <v>55956.87</v>
      </c>
      <c r="O36" s="19" t="n">
        <v>55375.34</v>
      </c>
      <c r="P36" s="10" t="n"/>
      <c r="Q36" s="10" t="n"/>
      <c r="R36" s="11" t="n"/>
      <c r="S36" s="10" t="n"/>
      <c r="T36" s="10" t="n"/>
      <c r="U36" s="10" t="n"/>
      <c r="V36" s="10" t="n"/>
      <c r="W36" s="11" t="n"/>
      <c r="X36" s="10" t="n"/>
      <c r="Y36" s="10" t="n"/>
      <c r="Z36" s="10" t="n"/>
      <c r="AA36" s="10" t="n"/>
      <c r="AB36" s="11" t="n"/>
    </row>
    <row r="37">
      <c r="A37" t="n">
        <v>1</v>
      </c>
      <c r="C37" t="inlineStr">
        <is>
          <t>단기파생상품부채</t>
        </is>
      </c>
      <c r="E37" s="18" t="n">
        <v>35.26</v>
      </c>
      <c r="H37" s="9" t="n"/>
      <c r="J37" s="18" t="n">
        <v>43.44</v>
      </c>
      <c r="K37" s="18" t="n">
        <v>106.89</v>
      </c>
      <c r="L37" s="18" t="n">
        <v>319.1</v>
      </c>
      <c r="M37" s="37" t="n">
        <v>319.1</v>
      </c>
      <c r="N37" s="18" t="n">
        <v>506.51</v>
      </c>
      <c r="O37" s="19" t="n">
        <v>410.69</v>
      </c>
      <c r="P37" s="10" t="n"/>
      <c r="Q37" s="10" t="n"/>
      <c r="R37" s="11" t="n"/>
      <c r="S37" s="10" t="n"/>
      <c r="T37" s="10" t="n"/>
      <c r="U37" s="10" t="n"/>
      <c r="V37" s="10" t="n"/>
      <c r="W37" s="11" t="n"/>
      <c r="X37" s="10" t="n"/>
      <c r="Y37" s="10" t="n"/>
      <c r="Z37" s="10" t="n"/>
      <c r="AA37" s="10" t="n"/>
      <c r="AB37" s="11" t="n"/>
    </row>
    <row r="38">
      <c r="A38" t="n">
        <v>1</v>
      </c>
      <c r="C38" t="inlineStr">
        <is>
          <t>비유동부채</t>
        </is>
      </c>
      <c r="E38" s="18" t="n">
        <v>37196.98</v>
      </c>
      <c r="F38" s="18" t="n">
        <v>38504.91</v>
      </c>
      <c r="G38" s="18" t="n">
        <v>36075.66</v>
      </c>
      <c r="H38" s="37" t="n">
        <v>36075.66</v>
      </c>
      <c r="I38" s="18" t="n">
        <v>41878.19</v>
      </c>
      <c r="J38" s="18" t="n">
        <v>37092.66</v>
      </c>
      <c r="K38" s="18" t="n">
        <v>39681.78</v>
      </c>
      <c r="L38" s="18" t="n">
        <v>38855.71</v>
      </c>
      <c r="M38" s="37" t="n">
        <v>38855.71</v>
      </c>
      <c r="N38" s="18" t="n">
        <v>46250.24</v>
      </c>
      <c r="O38" s="19" t="n">
        <v>55159.28</v>
      </c>
      <c r="P38" s="10" t="n"/>
      <c r="Q38" s="10" t="n"/>
      <c r="R38" s="11" t="n"/>
      <c r="S38" s="10" t="n"/>
      <c r="T38" s="10" t="n"/>
      <c r="U38" s="10" t="n"/>
      <c r="V38" s="10" t="n"/>
      <c r="W38" s="11" t="n"/>
      <c r="X38" s="10" t="n"/>
      <c r="Y38" s="10" t="n"/>
      <c r="Z38" s="10" t="n"/>
      <c r="AA38" s="10" t="n"/>
      <c r="AB38" s="11" t="n"/>
    </row>
    <row r="39">
      <c r="A39" t="n">
        <v>1</v>
      </c>
      <c r="C39" t="inlineStr">
        <is>
          <t>비유동계약부채</t>
        </is>
      </c>
      <c r="E39" s="18" t="n">
        <v>16135.27</v>
      </c>
      <c r="F39" s="18" t="n">
        <v>18256.33</v>
      </c>
      <c r="G39" s="18" t="n">
        <v>18419.11</v>
      </c>
      <c r="H39" s="37" t="n">
        <v>18419.11</v>
      </c>
      <c r="I39" s="18" t="n">
        <v>22174.95</v>
      </c>
      <c r="J39" s="18" t="n">
        <v>19829.47</v>
      </c>
      <c r="K39" s="18" t="n">
        <v>23925.66</v>
      </c>
      <c r="L39" s="18" t="n">
        <v>24569.15</v>
      </c>
      <c r="M39" s="37" t="n">
        <v>24569.15</v>
      </c>
      <c r="N39" s="18" t="n">
        <v>27291.57</v>
      </c>
      <c r="O39" s="19" t="n">
        <v>28561.81</v>
      </c>
      <c r="P39" s="10" t="n"/>
      <c r="Q39" s="10" t="n"/>
      <c r="R39" s="11" t="n"/>
      <c r="S39" s="10" t="n"/>
      <c r="T39" s="10" t="n"/>
      <c r="U39" s="10" t="n"/>
      <c r="V39" s="10" t="n"/>
      <c r="W39" s="11" t="n"/>
      <c r="X39" s="10" t="n"/>
      <c r="Y39" s="10" t="n"/>
      <c r="Z39" s="10" t="n"/>
      <c r="AA39" s="10" t="n"/>
      <c r="AB39" s="11" t="n"/>
    </row>
    <row r="40">
      <c r="A40" t="n">
        <v>1</v>
      </c>
      <c r="C40" t="inlineStr">
        <is>
          <t>확정급여부채</t>
        </is>
      </c>
      <c r="E40" s="18" t="n">
        <v>863.8</v>
      </c>
      <c r="F40" s="18" t="n">
        <v>996.5</v>
      </c>
      <c r="G40" s="18" t="n">
        <v>32.94</v>
      </c>
      <c r="H40" s="37" t="n">
        <v>32.94</v>
      </c>
      <c r="I40" s="18" t="n">
        <v>43.18</v>
      </c>
      <c r="J40" s="18" t="n">
        <v>47.55</v>
      </c>
      <c r="K40" s="18" t="n">
        <v>188.27</v>
      </c>
      <c r="L40" s="18" t="n">
        <v>82.2</v>
      </c>
      <c r="M40" s="37" t="n">
        <v>82.2</v>
      </c>
      <c r="N40" s="18" t="n">
        <v>83.08</v>
      </c>
      <c r="O40" s="19" t="n">
        <v>84.62</v>
      </c>
      <c r="P40" s="10" t="n"/>
      <c r="Q40" s="10" t="n"/>
      <c r="R40" s="11" t="n"/>
      <c r="S40" s="10" t="n"/>
      <c r="T40" s="10" t="n"/>
      <c r="U40" s="10" t="n"/>
      <c r="V40" s="10" t="n"/>
      <c r="W40" s="11" t="n"/>
      <c r="X40" s="10" t="n"/>
      <c r="Y40" s="10" t="n"/>
      <c r="Z40" s="10" t="n"/>
      <c r="AA40" s="10" t="n"/>
      <c r="AB40" s="11" t="n"/>
    </row>
    <row r="41">
      <c r="A41" t="n">
        <v>1</v>
      </c>
      <c r="C41" t="inlineStr">
        <is>
          <t>비유동리스부채</t>
        </is>
      </c>
      <c r="E41" s="18" t="n">
        <v>14738.42</v>
      </c>
      <c r="F41" s="18" t="n">
        <v>13635.46</v>
      </c>
      <c r="G41" s="18" t="n">
        <v>12463.78</v>
      </c>
      <c r="H41" s="37" t="n">
        <v>12463.78</v>
      </c>
      <c r="I41" s="18" t="n">
        <v>14429.86</v>
      </c>
      <c r="J41" s="18" t="n">
        <v>12886.77</v>
      </c>
      <c r="K41" s="18" t="n">
        <v>11197.88</v>
      </c>
      <c r="L41" s="18" t="n">
        <v>9931.5</v>
      </c>
      <c r="M41" s="37" t="n">
        <v>9931.5</v>
      </c>
      <c r="N41" s="18" t="n">
        <v>14792.09</v>
      </c>
      <c r="O41" s="19" t="n">
        <v>22229.16</v>
      </c>
      <c r="P41" s="10" t="n"/>
      <c r="Q41" s="10" t="n"/>
      <c r="R41" s="11" t="n"/>
      <c r="S41" s="10" t="n"/>
      <c r="T41" s="10" t="n"/>
      <c r="U41" s="10" t="n"/>
      <c r="V41" s="10" t="n"/>
      <c r="W41" s="11" t="n"/>
      <c r="X41" s="10" t="n"/>
      <c r="Y41" s="10" t="n"/>
      <c r="Z41" s="10" t="n"/>
      <c r="AA41" s="10" t="n"/>
      <c r="AB41" s="11" t="n"/>
    </row>
    <row r="42">
      <c r="A42" t="n">
        <v>1</v>
      </c>
      <c r="C42" t="inlineStr">
        <is>
          <t>장기금융부채</t>
        </is>
      </c>
      <c r="E42" s="18" t="n">
        <v>14809.13</v>
      </c>
      <c r="F42" s="18" t="n">
        <v>13645.47</v>
      </c>
      <c r="G42" s="18" t="n">
        <v>12682.09</v>
      </c>
      <c r="H42" s="37" t="n">
        <v>12682.09</v>
      </c>
      <c r="I42" s="18" t="n">
        <v>14665.06</v>
      </c>
      <c r="J42" s="18" t="n">
        <v>12906.74</v>
      </c>
      <c r="K42" s="18" t="n">
        <v>11248.8</v>
      </c>
      <c r="L42" s="18" t="n">
        <v>9991.799999999999</v>
      </c>
      <c r="M42" s="37" t="n">
        <v>9991.799999999999</v>
      </c>
      <c r="N42" s="18" t="n">
        <v>15021.08</v>
      </c>
      <c r="O42" s="19" t="n">
        <v>22624.54</v>
      </c>
      <c r="P42" s="10" t="n"/>
      <c r="Q42" s="10" t="n"/>
      <c r="R42" s="11" t="n"/>
      <c r="S42" s="10" t="n"/>
      <c r="T42" s="10" t="n"/>
      <c r="U42" s="10" t="n"/>
      <c r="V42" s="10" t="n"/>
      <c r="W42" s="11" t="n"/>
      <c r="X42" s="10" t="n"/>
      <c r="Y42" s="10" t="n"/>
      <c r="Z42" s="10" t="n"/>
      <c r="AA42" s="10" t="n"/>
      <c r="AB42" s="11" t="n"/>
    </row>
    <row r="43">
      <c r="A43" t="n">
        <v>1</v>
      </c>
      <c r="C43" t="inlineStr">
        <is>
          <t>장기충당부채</t>
        </is>
      </c>
      <c r="E43" s="18" t="n">
        <v>4858.6</v>
      </c>
      <c r="F43" s="18" t="n">
        <v>4984.62</v>
      </c>
      <c r="G43" s="18" t="n">
        <v>4234.19</v>
      </c>
      <c r="H43" s="37" t="n">
        <v>4234.19</v>
      </c>
      <c r="I43" s="18" t="n">
        <v>4210.59</v>
      </c>
      <c r="J43" s="18" t="n">
        <v>3447.49</v>
      </c>
      <c r="K43" s="18" t="n">
        <v>3357.34</v>
      </c>
      <c r="L43" s="18" t="n">
        <v>3186.84</v>
      </c>
      <c r="M43" s="37" t="n">
        <v>3186.84</v>
      </c>
      <c r="N43" s="18" t="n">
        <v>2709.84</v>
      </c>
      <c r="O43" s="19" t="n">
        <v>2642.49</v>
      </c>
      <c r="P43" s="10" t="n"/>
      <c r="Q43" s="10" t="n"/>
      <c r="R43" s="11" t="n"/>
      <c r="S43" s="10" t="n"/>
      <c r="T43" s="10" t="n"/>
      <c r="U43" s="10" t="n"/>
      <c r="V43" s="10" t="n"/>
      <c r="W43" s="11" t="n"/>
      <c r="X43" s="10" t="n"/>
      <c r="Y43" s="10" t="n"/>
      <c r="Z43" s="10" t="n"/>
      <c r="AA43" s="10" t="n"/>
      <c r="AB43" s="11" t="n"/>
    </row>
    <row r="44">
      <c r="A44" t="n">
        <v>1</v>
      </c>
      <c r="C44" t="inlineStr">
        <is>
          <t>장기파생상품부채</t>
        </is>
      </c>
      <c r="E44" s="18" t="n">
        <v>70.70999999999999</v>
      </c>
      <c r="F44" s="18" t="n">
        <v>10.01</v>
      </c>
      <c r="G44" s="18" t="n">
        <v>218.31</v>
      </c>
      <c r="H44" s="37" t="n">
        <v>218.31</v>
      </c>
      <c r="I44" s="18" t="n">
        <v>235.2</v>
      </c>
      <c r="J44" s="18" t="n">
        <v>19.97</v>
      </c>
      <c r="K44" s="18" t="n">
        <v>50.92</v>
      </c>
      <c r="L44" s="18" t="n">
        <v>60.3</v>
      </c>
      <c r="M44" s="37" t="n">
        <v>60.3</v>
      </c>
      <c r="N44" s="18" t="n">
        <v>228.99</v>
      </c>
      <c r="O44" s="19" t="n">
        <v>395.38</v>
      </c>
      <c r="P44" s="10" t="n"/>
      <c r="Q44" s="10" t="n"/>
      <c r="R44" s="11" t="n"/>
      <c r="S44" s="10" t="n"/>
      <c r="T44" s="10" t="n"/>
      <c r="U44" s="10" t="n"/>
      <c r="V44" s="10" t="n"/>
      <c r="W44" s="11" t="n"/>
      <c r="X44" s="10" t="n"/>
      <c r="Y44" s="10" t="n"/>
      <c r="Z44" s="10" t="n"/>
      <c r="AA44" s="10" t="n"/>
      <c r="AB44" s="11" t="n"/>
    </row>
    <row r="45">
      <c r="A45" t="n">
        <v>1</v>
      </c>
      <c r="C45" t="inlineStr">
        <is>
          <t>부채총계</t>
        </is>
      </c>
      <c r="E45" s="18" t="n">
        <v>448045.03</v>
      </c>
      <c r="F45" s="18" t="n">
        <v>424204.2</v>
      </c>
      <c r="G45" s="18" t="n">
        <v>378693.41</v>
      </c>
      <c r="H45" s="37" t="n">
        <v>378693.41</v>
      </c>
      <c r="I45" s="18" t="n">
        <v>518342.38</v>
      </c>
      <c r="J45" s="18" t="n">
        <v>391868.84</v>
      </c>
      <c r="K45" s="18" t="n">
        <v>392544.64</v>
      </c>
      <c r="L45" s="18" t="n">
        <v>447595.2</v>
      </c>
      <c r="M45" s="37" t="n">
        <v>447595.2</v>
      </c>
      <c r="N45" s="18" t="n">
        <v>551740.14</v>
      </c>
      <c r="O45" s="19" t="n">
        <v>499426.24</v>
      </c>
      <c r="P45" s="10" t="n"/>
      <c r="Q45" s="10" t="n"/>
      <c r="R45" s="11" t="n"/>
      <c r="S45" s="10" t="n"/>
      <c r="T45" s="10" t="n"/>
      <c r="U45" s="10" t="n"/>
      <c r="V45" s="10" t="n"/>
      <c r="W45" s="11" t="n"/>
      <c r="X45" s="10" t="n"/>
      <c r="Y45" s="10" t="n"/>
      <c r="Z45" s="10" t="n"/>
      <c r="AA45" s="10" t="n"/>
      <c r="AB45" s="11" t="n"/>
    </row>
    <row r="46">
      <c r="A46" t="n">
        <v>1</v>
      </c>
      <c r="C46" t="inlineStr">
        <is>
          <t>지배주주지분</t>
        </is>
      </c>
      <c r="E46" s="18" t="n">
        <v>634461.4399999999</v>
      </c>
      <c r="F46" s="18" t="n">
        <v>668248.1899999999</v>
      </c>
      <c r="G46" s="18" t="n">
        <v>773534.5600000001</v>
      </c>
      <c r="H46" s="37" t="n">
        <v>773534.5600000001</v>
      </c>
      <c r="I46" s="18" t="n">
        <v>715610.66</v>
      </c>
      <c r="J46" s="18" t="n">
        <v>728279.49</v>
      </c>
      <c r="K46" s="18" t="n">
        <v>780584.1800000001</v>
      </c>
      <c r="L46" s="18" t="n">
        <v>824724.86</v>
      </c>
      <c r="M46" s="37" t="n">
        <v>824724.86</v>
      </c>
      <c r="N46" s="18" t="n">
        <v>847037.15</v>
      </c>
      <c r="O46" s="19" t="n">
        <v>892116.64</v>
      </c>
      <c r="P46" s="10" t="n"/>
      <c r="Q46" s="10" t="n"/>
      <c r="R46" s="11" t="n"/>
      <c r="S46" s="10" t="n"/>
      <c r="T46" s="10" t="n"/>
      <c r="U46" s="10" t="n"/>
      <c r="V46" s="10" t="n"/>
      <c r="W46" s="11" t="n"/>
      <c r="X46" s="10" t="n"/>
      <c r="Y46" s="10" t="n"/>
      <c r="Z46" s="10" t="n"/>
      <c r="AA46" s="10" t="n"/>
      <c r="AB46" s="11" t="n"/>
    </row>
    <row r="47">
      <c r="A47" t="n">
        <v>1</v>
      </c>
      <c r="C47" t="inlineStr">
        <is>
          <t>자본금</t>
        </is>
      </c>
      <c r="E47" s="18" t="n">
        <v>22225</v>
      </c>
      <c r="F47" s="18" t="n">
        <v>22225</v>
      </c>
      <c r="G47" s="18" t="n">
        <v>22225</v>
      </c>
      <c r="H47" s="37" t="n">
        <v>22225</v>
      </c>
      <c r="I47" s="18" t="n">
        <v>22414.6</v>
      </c>
      <c r="J47" s="18" t="n">
        <v>22414.6</v>
      </c>
      <c r="K47" s="18" t="n">
        <v>22414.6</v>
      </c>
      <c r="L47" s="18" t="n">
        <v>22414.6</v>
      </c>
      <c r="M47" s="37" t="n">
        <v>22414.6</v>
      </c>
      <c r="N47" s="18" t="n">
        <v>22415.67</v>
      </c>
      <c r="O47" s="19" t="n">
        <v>22416.73</v>
      </c>
      <c r="P47" s="10" t="n"/>
      <c r="Q47" s="10" t="n"/>
      <c r="R47" s="11" t="n"/>
      <c r="S47" s="10" t="n"/>
      <c r="T47" s="10" t="n"/>
      <c r="U47" s="10" t="n"/>
      <c r="V47" s="10" t="n"/>
      <c r="W47" s="11" t="n"/>
      <c r="X47" s="10" t="n"/>
      <c r="Y47" s="10" t="n"/>
      <c r="Z47" s="10" t="n"/>
      <c r="AA47" s="10" t="n"/>
      <c r="AB47" s="11" t="n"/>
    </row>
    <row r="48">
      <c r="A48" t="n">
        <v>1</v>
      </c>
      <c r="C48" t="inlineStr">
        <is>
          <t>자본잉여금</t>
        </is>
      </c>
      <c r="E48" s="18" t="n">
        <v>384624.03</v>
      </c>
      <c r="F48" s="18" t="n">
        <v>384624.03</v>
      </c>
      <c r="G48" s="18" t="n">
        <v>384624.03</v>
      </c>
      <c r="H48" s="37" t="n">
        <v>384624.03</v>
      </c>
      <c r="I48" s="18" t="n">
        <v>404355.79</v>
      </c>
      <c r="J48" s="18" t="n">
        <v>404355.79</v>
      </c>
      <c r="K48" s="18" t="n">
        <v>404355.79</v>
      </c>
      <c r="L48" s="18" t="n">
        <v>404355.79</v>
      </c>
      <c r="M48" s="37" t="n">
        <v>404355.79</v>
      </c>
      <c r="N48" s="18" t="n">
        <v>404468.57</v>
      </c>
      <c r="O48" s="19" t="n">
        <v>404584.72</v>
      </c>
      <c r="P48" s="10" t="n"/>
      <c r="Q48" s="10" t="n"/>
      <c r="R48" s="11" t="n"/>
      <c r="S48" s="10" t="n"/>
      <c r="T48" s="10" t="n"/>
      <c r="U48" s="10" t="n"/>
      <c r="V48" s="10" t="n"/>
      <c r="W48" s="11" t="n"/>
      <c r="X48" s="10" t="n"/>
      <c r="Y48" s="10" t="n"/>
      <c r="Z48" s="10" t="n"/>
      <c r="AA48" s="10" t="n"/>
      <c r="AB48" s="11" t="n"/>
    </row>
    <row r="49">
      <c r="A49" t="n">
        <v>1</v>
      </c>
      <c r="C49" t="inlineStr">
        <is>
          <t>기타자본</t>
        </is>
      </c>
      <c r="E49" s="18" t="n">
        <v>778.17</v>
      </c>
      <c r="F49" s="18" t="n">
        <v>891.45</v>
      </c>
      <c r="G49" s="18" t="n">
        <v>29503.67</v>
      </c>
      <c r="H49" s="37" t="n">
        <v>29503.67</v>
      </c>
      <c r="I49" s="18" t="n">
        <v>9580.360000000001</v>
      </c>
      <c r="J49" s="18" t="n">
        <v>9580.360000000001</v>
      </c>
      <c r="K49" s="18" t="n">
        <v>9580.360000000001</v>
      </c>
      <c r="L49" s="18" t="n">
        <v>9763.879999999999</v>
      </c>
      <c r="M49" s="37" t="n">
        <v>9763.879999999999</v>
      </c>
      <c r="N49" s="18" t="n">
        <v>9826.65</v>
      </c>
      <c r="O49" s="19" t="n">
        <v>9708.200000000001</v>
      </c>
      <c r="P49" s="10" t="n"/>
      <c r="Q49" s="10" t="n"/>
      <c r="R49" s="11" t="n"/>
      <c r="S49" s="10" t="n"/>
      <c r="T49" s="10" t="n"/>
      <c r="U49" s="10" t="n"/>
      <c r="V49" s="10" t="n"/>
      <c r="W49" s="11" t="n"/>
      <c r="X49" s="10" t="n"/>
      <c r="Y49" s="10" t="n"/>
      <c r="Z49" s="10" t="n"/>
      <c r="AA49" s="10" t="n"/>
      <c r="AB49" s="11" t="n"/>
    </row>
    <row r="50">
      <c r="A50" t="n">
        <v>1</v>
      </c>
      <c r="C50" t="inlineStr">
        <is>
          <t>기타포괄이익누계액</t>
        </is>
      </c>
      <c r="E50" s="18" t="n">
        <v>7471.43</v>
      </c>
      <c r="F50" s="18" t="n">
        <v>2618.23</v>
      </c>
      <c r="G50" s="18" t="n">
        <v>13654.79</v>
      </c>
      <c r="H50" s="37" t="n">
        <v>13654.79</v>
      </c>
      <c r="I50" s="18" t="n">
        <v>13453.52</v>
      </c>
      <c r="J50" s="18" t="n">
        <v>4505.74</v>
      </c>
      <c r="K50" s="18" t="n">
        <v>8439.139999999999</v>
      </c>
      <c r="L50" s="18" t="n">
        <v>11158.53</v>
      </c>
      <c r="M50" s="37" t="n">
        <v>11158.53</v>
      </c>
      <c r="N50" s="18" t="n">
        <v>18093.46</v>
      </c>
      <c r="O50" s="19" t="n">
        <v>20517.29</v>
      </c>
      <c r="P50" s="10" t="n"/>
      <c r="Q50" s="10" t="n"/>
      <c r="R50" s="11" t="n"/>
      <c r="S50" s="10" t="n"/>
      <c r="T50" s="10" t="n"/>
      <c r="U50" s="10" t="n"/>
      <c r="V50" s="10" t="n"/>
      <c r="W50" s="11" t="n"/>
      <c r="X50" s="10" t="n"/>
      <c r="Y50" s="10" t="n"/>
      <c r="Z50" s="10" t="n"/>
      <c r="AA50" s="10" t="n"/>
      <c r="AB50" s="11" t="n"/>
    </row>
    <row r="51">
      <c r="A51" t="n">
        <v>1</v>
      </c>
      <c r="C51" t="inlineStr">
        <is>
          <t>이익잉여금</t>
        </is>
      </c>
      <c r="E51" s="18" t="n">
        <v>219362.81</v>
      </c>
      <c r="F51" s="18" t="n">
        <v>257889.48</v>
      </c>
      <c r="G51" s="18" t="n">
        <v>323527.07</v>
      </c>
      <c r="H51" s="37" t="n">
        <v>323527.07</v>
      </c>
      <c r="I51" s="18" t="n">
        <v>265806.39</v>
      </c>
      <c r="J51" s="18" t="n">
        <v>287423</v>
      </c>
      <c r="K51" s="18" t="n">
        <v>335794.28</v>
      </c>
      <c r="L51" s="18" t="n">
        <v>377032.05</v>
      </c>
      <c r="M51" s="37" t="n">
        <v>377032.05</v>
      </c>
      <c r="N51" s="18" t="n">
        <v>392232.79</v>
      </c>
      <c r="O51" s="19" t="n">
        <v>434889.69</v>
      </c>
      <c r="P51" s="10" t="n"/>
      <c r="Q51" s="10" t="n"/>
      <c r="R51" s="11" t="n"/>
      <c r="S51" s="10" t="n"/>
      <c r="T51" s="10" t="n"/>
      <c r="U51" s="10" t="n"/>
      <c r="V51" s="10" t="n"/>
      <c r="W51" s="11" t="n"/>
      <c r="X51" s="10" t="n"/>
      <c r="Y51" s="10" t="n"/>
      <c r="Z51" s="10" t="n"/>
      <c r="AA51" s="10" t="n"/>
      <c r="AB51" s="11" t="n"/>
    </row>
    <row r="52">
      <c r="A52" t="n">
        <v>1</v>
      </c>
      <c r="C52" t="inlineStr">
        <is>
          <t>자본총계</t>
        </is>
      </c>
      <c r="E52" s="18" t="n">
        <v>634461.4399999999</v>
      </c>
      <c r="F52" s="18" t="n">
        <v>668248.1899999999</v>
      </c>
      <c r="G52" s="18" t="n">
        <v>773534.5600000001</v>
      </c>
      <c r="H52" s="37" t="n">
        <v>773534.5600000001</v>
      </c>
      <c r="I52" s="18" t="n">
        <v>715610.66</v>
      </c>
      <c r="J52" s="18" t="n">
        <v>728279.49</v>
      </c>
      <c r="K52" s="18" t="n">
        <v>780584.1800000001</v>
      </c>
      <c r="L52" s="18" t="n">
        <v>824724.86</v>
      </c>
      <c r="M52" s="37" t="n">
        <v>824724.86</v>
      </c>
      <c r="N52" s="18" t="n">
        <v>847037.15</v>
      </c>
      <c r="O52" s="19" t="n">
        <v>892116.64</v>
      </c>
      <c r="P52" s="10" t="n"/>
      <c r="Q52" s="10" t="n"/>
      <c r="R52" s="11" t="n"/>
      <c r="S52" s="10" t="n"/>
      <c r="T52" s="10" t="n"/>
      <c r="U52" s="10" t="n"/>
      <c r="V52" s="10" t="n"/>
      <c r="W52" s="11" t="n"/>
      <c r="X52" s="10" t="n"/>
      <c r="Y52" s="10" t="n"/>
      <c r="Z52" s="10" t="n"/>
      <c r="AA52" s="10" t="n"/>
      <c r="AB52" s="11" t="n"/>
    </row>
    <row r="53">
      <c r="A53" t="n">
        <v>1</v>
      </c>
      <c r="C53" t="inlineStr">
        <is>
          <t>부채와자본총계</t>
        </is>
      </c>
      <c r="E53" s="18" t="n">
        <v>1082506.46</v>
      </c>
      <c r="F53" s="18" t="n">
        <v>1092452.39</v>
      </c>
      <c r="G53" s="18" t="n">
        <v>1152227.97</v>
      </c>
      <c r="H53" s="37" t="n">
        <v>1152227.97</v>
      </c>
      <c r="I53" s="18" t="n">
        <v>1233953.04</v>
      </c>
      <c r="J53" s="18" t="n">
        <v>1120148.32</v>
      </c>
      <c r="K53" s="18" t="n">
        <v>1173128.82</v>
      </c>
      <c r="L53" s="18" t="n">
        <v>1272320.06</v>
      </c>
      <c r="M53" s="37" t="n">
        <v>1272320.06</v>
      </c>
      <c r="N53" s="18" t="n">
        <v>1398777.28</v>
      </c>
      <c r="O53" s="19" t="n">
        <v>1391542.88</v>
      </c>
      <c r="P53" s="10" t="n"/>
      <c r="Q53" s="10" t="n"/>
      <c r="R53" s="11" t="n"/>
      <c r="S53" s="10" t="n"/>
      <c r="T53" s="10" t="n"/>
      <c r="U53" s="10" t="n"/>
      <c r="V53" s="10" t="n"/>
      <c r="W53" s="11" t="n"/>
      <c r="X53" s="10" t="n"/>
      <c r="Y53" s="10" t="n"/>
      <c r="Z53" s="10" t="n"/>
      <c r="AA53" s="10" t="n"/>
      <c r="AB53" s="11" t="n"/>
    </row>
    <row r="54">
      <c r="A54" t="n">
        <v>1</v>
      </c>
      <c r="C54" t="inlineStr">
        <is>
          <t>이자발생자산</t>
        </is>
      </c>
      <c r="E54" s="18" t="n">
        <v>447766.16</v>
      </c>
      <c r="F54" s="18" t="n">
        <v>474007.54</v>
      </c>
      <c r="G54" s="18" t="n">
        <v>481418.07</v>
      </c>
      <c r="H54" s="37" t="n">
        <v>481418.07</v>
      </c>
      <c r="I54" s="18" t="n">
        <v>573721.77</v>
      </c>
      <c r="J54" s="18" t="n">
        <v>472073.35</v>
      </c>
      <c r="K54" s="18" t="n">
        <v>517669.43</v>
      </c>
      <c r="L54" s="18" t="n">
        <v>565033.35</v>
      </c>
      <c r="M54" s="37" t="n">
        <v>565033.35</v>
      </c>
      <c r="N54" s="18" t="n">
        <v>607695.5699999999</v>
      </c>
      <c r="O54" s="19" t="n">
        <v>548861.5</v>
      </c>
      <c r="P54" s="10" t="n"/>
      <c r="Q54" s="10" t="n"/>
      <c r="R54" s="11" t="n"/>
      <c r="S54" s="10" t="n"/>
      <c r="T54" s="10" t="n"/>
      <c r="U54" s="10" t="n"/>
      <c r="V54" s="10" t="n"/>
      <c r="W54" s="11" t="n"/>
      <c r="X54" s="10" t="n"/>
      <c r="Y54" s="10" t="n"/>
      <c r="Z54" s="10" t="n"/>
      <c r="AA54" s="10" t="n"/>
      <c r="AB54" s="11" t="n"/>
    </row>
    <row r="55">
      <c r="A55" t="n">
        <v>1</v>
      </c>
      <c r="C55" t="inlineStr">
        <is>
          <t>종속기업및관계기업투자</t>
        </is>
      </c>
      <c r="F55" s="18" t="n">
        <v>2820.83</v>
      </c>
      <c r="G55" s="18" t="n">
        <v>2761.98</v>
      </c>
      <c r="H55" s="37" t="n">
        <v>2761.98</v>
      </c>
      <c r="I55" s="18" t="n">
        <v>2655.48</v>
      </c>
      <c r="J55" s="18" t="n">
        <v>2593.5</v>
      </c>
      <c r="K55" s="18" t="n">
        <v>2499.54</v>
      </c>
      <c r="L55" s="18" t="n">
        <v>2601.33</v>
      </c>
      <c r="M55" s="37" t="n">
        <v>2601.33</v>
      </c>
      <c r="N55" s="18" t="n">
        <v>2550.93</v>
      </c>
      <c r="O55" s="19" t="n">
        <v>2497.71</v>
      </c>
      <c r="P55" s="10" t="n"/>
      <c r="Q55" s="10" t="n"/>
      <c r="R55" s="11" t="n"/>
      <c r="S55" s="10" t="n"/>
      <c r="T55" s="10" t="n"/>
      <c r="U55" s="10" t="n"/>
      <c r="V55" s="10" t="n"/>
      <c r="W55" s="11" t="n"/>
      <c r="X55" s="10" t="n"/>
      <c r="Y55" s="10" t="n"/>
      <c r="Z55" s="10" t="n"/>
      <c r="AA55" s="10" t="n"/>
      <c r="AB55" s="11" t="n"/>
    </row>
    <row r="56">
      <c r="A56" t="n">
        <v>1</v>
      </c>
      <c r="C56" t="inlineStr">
        <is>
          <t>비유동파생상품자산</t>
        </is>
      </c>
      <c r="F56" s="18" t="n">
        <v>10.01</v>
      </c>
      <c r="H56" s="9" t="n"/>
      <c r="L56" s="18" t="n">
        <v>41.57</v>
      </c>
      <c r="M56" s="37" t="n">
        <v>41.57</v>
      </c>
      <c r="N56" s="18" t="n">
        <v>0</v>
      </c>
      <c r="O56" s="19" t="n">
        <v>1.27</v>
      </c>
      <c r="P56" s="10" t="n"/>
      <c r="Q56" s="10" t="n"/>
      <c r="R56" s="11" t="n"/>
      <c r="S56" s="10" t="n"/>
      <c r="T56" s="10" t="n"/>
      <c r="U56" s="10" t="n"/>
      <c r="V56" s="10" t="n"/>
      <c r="W56" s="11" t="n"/>
      <c r="X56" s="10" t="n"/>
      <c r="Y56" s="10" t="n"/>
      <c r="Z56" s="10" t="n"/>
      <c r="AA56" s="10" t="n"/>
      <c r="AB56" s="11" t="n"/>
    </row>
    <row r="57">
      <c r="A57" t="n">
        <v>1</v>
      </c>
      <c r="C57" t="inlineStr">
        <is>
          <t>단기차입금</t>
        </is>
      </c>
      <c r="F57" s="18" t="n">
        <v>46319.6</v>
      </c>
      <c r="G57" s="18" t="n">
        <v>0</v>
      </c>
      <c r="H57" s="37" t="n">
        <v>0</v>
      </c>
      <c r="J57" s="18" t="n">
        <v>2712.8</v>
      </c>
      <c r="L57" s="18" t="n">
        <v>0</v>
      </c>
      <c r="M57" s="37" t="n">
        <v>0</v>
      </c>
      <c r="O57" s="5" t="n"/>
      <c r="P57" s="10" t="n"/>
      <c r="Q57" s="10" t="n"/>
      <c r="R57" s="11" t="n"/>
      <c r="S57" s="10" t="n"/>
      <c r="T57" s="10" t="n"/>
      <c r="U57" s="10" t="n"/>
      <c r="V57" s="10" t="n"/>
      <c r="W57" s="11" t="n"/>
      <c r="X57" s="10" t="n"/>
      <c r="Y57" s="10" t="n"/>
      <c r="Z57" s="10" t="n"/>
      <c r="AA57" s="10" t="n"/>
      <c r="AB57" s="11" t="n"/>
    </row>
    <row r="58">
      <c r="A58" t="n">
        <v>1</v>
      </c>
      <c r="C58" t="inlineStr">
        <is>
          <t>단기금융부채(face)</t>
        </is>
      </c>
      <c r="F58" s="18" t="n">
        <v>46319.6</v>
      </c>
      <c r="G58" s="18" t="n">
        <v>0</v>
      </c>
      <c r="H58" s="37" t="n">
        <v>0</v>
      </c>
      <c r="J58" s="18" t="n">
        <v>2712.8</v>
      </c>
      <c r="L58" s="18" t="n">
        <v>0</v>
      </c>
      <c r="M58" s="37" t="n">
        <v>0</v>
      </c>
      <c r="O58" s="5" t="n"/>
      <c r="P58" s="10" t="n"/>
      <c r="Q58" s="10" t="n"/>
      <c r="R58" s="11" t="n"/>
      <c r="S58" s="10" t="n"/>
      <c r="T58" s="10" t="n"/>
      <c r="U58" s="10" t="n"/>
      <c r="V58" s="10" t="n"/>
      <c r="W58" s="11" t="n"/>
      <c r="X58" s="10" t="n"/>
      <c r="Y58" s="10" t="n"/>
      <c r="Z58" s="10" t="n"/>
      <c r="AA58" s="10" t="n"/>
      <c r="AB58" s="11" t="n"/>
    </row>
    <row r="59">
      <c r="A59" t="n">
        <v>1</v>
      </c>
      <c r="C59" t="inlineStr">
        <is>
          <t>총차입금</t>
        </is>
      </c>
      <c r="F59" s="18" t="n">
        <v>46319.6</v>
      </c>
      <c r="G59" s="18" t="n">
        <v>0</v>
      </c>
      <c r="H59" s="37" t="n">
        <v>0</v>
      </c>
      <c r="J59" s="18" t="n">
        <v>2712.8</v>
      </c>
      <c r="L59" s="18" t="n">
        <v>0</v>
      </c>
      <c r="M59" s="37" t="n">
        <v>0</v>
      </c>
      <c r="O59" s="5" t="n"/>
      <c r="P59" s="10" t="n"/>
      <c r="Q59" s="10" t="n"/>
      <c r="R59" s="11" t="n"/>
      <c r="S59" s="10" t="n"/>
      <c r="T59" s="10" t="n"/>
      <c r="U59" s="10" t="n"/>
      <c r="V59" s="10" t="n"/>
      <c r="W59" s="11" t="n"/>
      <c r="X59" s="10" t="n"/>
      <c r="Y59" s="10" t="n"/>
      <c r="Z59" s="10" t="n"/>
      <c r="AA59" s="10" t="n"/>
      <c r="AB59" s="11" t="n"/>
    </row>
    <row r="60">
      <c r="A60" t="n">
        <v>1</v>
      </c>
      <c r="C60" t="inlineStr">
        <is>
          <t>순차입금</t>
        </is>
      </c>
      <c r="F60" s="18" t="n">
        <v>-427685.94</v>
      </c>
      <c r="G60" s="18" t="n">
        <v>-481416.07</v>
      </c>
      <c r="H60" s="37" t="n">
        <v>-481416.07</v>
      </c>
      <c r="J60" s="18" t="n">
        <v>-469358.55</v>
      </c>
      <c r="L60" s="18" t="n">
        <v>-564472.8100000001</v>
      </c>
      <c r="M60" s="37" t="n">
        <v>-564472.8100000001</v>
      </c>
      <c r="O60" s="5" t="n"/>
      <c r="P60" s="10" t="n"/>
      <c r="Q60" s="10" t="n"/>
      <c r="R60" s="11" t="n"/>
      <c r="S60" s="10" t="n"/>
      <c r="T60" s="10" t="n"/>
      <c r="U60" s="10" t="n"/>
      <c r="V60" s="10" t="n"/>
      <c r="W60" s="11" t="n"/>
      <c r="X60" s="10" t="n"/>
      <c r="Y60" s="10" t="n"/>
      <c r="Z60" s="10" t="n"/>
      <c r="AA60" s="10" t="n"/>
      <c r="AB60" s="11" t="n"/>
    </row>
    <row r="61">
      <c r="A61" t="n">
        <v>1</v>
      </c>
      <c r="C61" t="inlineStr">
        <is>
          <t>비지배주주지분</t>
        </is>
      </c>
      <c r="G61" s="18" t="n">
        <v>0</v>
      </c>
      <c r="H61" s="37" t="n">
        <v>0</v>
      </c>
      <c r="I61" s="18" t="n">
        <v>0</v>
      </c>
      <c r="J61" s="18" t="n">
        <v>0</v>
      </c>
      <c r="K61" s="18" t="n">
        <v>0</v>
      </c>
      <c r="L61" s="18" t="n">
        <v>0</v>
      </c>
      <c r="M61" s="37" t="n">
        <v>0</v>
      </c>
      <c r="N61" s="18" t="n">
        <v>0</v>
      </c>
      <c r="O61" s="19" t="n">
        <v>0</v>
      </c>
      <c r="P61" s="10" t="n"/>
      <c r="Q61" s="10" t="n"/>
      <c r="R61" s="11" t="n"/>
      <c r="S61" s="10" t="n"/>
      <c r="T61" s="10" t="n"/>
      <c r="U61" s="10" t="n"/>
      <c r="V61" s="10" t="n"/>
      <c r="W61" s="11" t="n"/>
      <c r="X61" s="10" t="n"/>
      <c r="Y61" s="10" t="n"/>
      <c r="Z61" s="10" t="n"/>
      <c r="AA61" s="10" t="n"/>
      <c r="AB61" s="11" t="n"/>
    </row>
    <row r="62">
      <c r="A62" t="n">
        <v>1</v>
      </c>
      <c r="C62" t="inlineStr">
        <is>
          <t>유동파생상품자산</t>
        </is>
      </c>
      <c r="H62" s="9" t="n"/>
      <c r="L62" s="18" t="n">
        <v>85.44</v>
      </c>
      <c r="M62" s="37" t="n">
        <v>85.44</v>
      </c>
      <c r="N62" s="18" t="n">
        <v>72.52</v>
      </c>
      <c r="O62" s="19" t="n">
        <v>24.59</v>
      </c>
      <c r="P62" s="10" t="n"/>
      <c r="Q62" s="10" t="n"/>
      <c r="R62" s="11" t="n"/>
      <c r="S62" s="10" t="n"/>
      <c r="T62" s="10" t="n"/>
      <c r="U62" s="10" t="n"/>
      <c r="V62" s="10" t="n"/>
      <c r="W62" s="11" t="n"/>
      <c r="X62" s="10" t="n"/>
      <c r="Y62" s="10" t="n"/>
      <c r="Z62" s="10" t="n"/>
      <c r="AA62" s="10" t="n"/>
      <c r="AB62" s="11" t="n"/>
    </row>
    <row r="63">
      <c r="A63" t="n">
        <v>1</v>
      </c>
      <c r="C63" t="inlineStr">
        <is>
          <t>이연법인세부채</t>
        </is>
      </c>
      <c r="H63" s="9" t="n"/>
      <c r="L63" s="18" t="n">
        <v>3.62</v>
      </c>
      <c r="M63" s="37" t="n">
        <v>3.62</v>
      </c>
      <c r="N63" s="18" t="n">
        <v>3.62</v>
      </c>
      <c r="O63" s="19" t="n">
        <v>0</v>
      </c>
      <c r="P63" s="10" t="n"/>
      <c r="Q63" s="10" t="n"/>
      <c r="R63" s="11" t="n"/>
      <c r="S63" s="10" t="n"/>
      <c r="T63" s="10" t="n"/>
      <c r="U63" s="10" t="n"/>
      <c r="V63" s="10" t="n"/>
      <c r="W63" s="11" t="n"/>
      <c r="X63" s="10" t="n"/>
      <c r="Y63" s="10" t="n"/>
      <c r="Z63" s="10" t="n"/>
      <c r="AA63" s="10" t="n"/>
      <c r="AB63" s="11" t="n"/>
    </row>
    <row r="64">
      <c r="A64" t="n">
        <v>1</v>
      </c>
      <c r="C64" t="inlineStr">
        <is>
          <t>장기매입채무및기타채무</t>
        </is>
      </c>
      <c r="H64" s="9" t="n"/>
      <c r="M64" s="9" t="n"/>
      <c r="O64" s="19" t="n">
        <v>1245.82</v>
      </c>
      <c r="P64" s="10" t="n"/>
      <c r="Q64" s="10" t="n"/>
      <c r="R64" s="11" t="n"/>
      <c r="S64" s="10" t="n"/>
      <c r="T64" s="10" t="n"/>
      <c r="U64" s="10" t="n"/>
      <c r="V64" s="10" t="n"/>
      <c r="W64" s="11" t="n"/>
      <c r="X64" s="10" t="n"/>
      <c r="Y64" s="10" t="n"/>
      <c r="Z64" s="10" t="n"/>
      <c r="AA64" s="10" t="n"/>
      <c r="AB64" s="11" t="n"/>
    </row>
    <row r="65">
      <c r="A65" t="n">
        <v>1</v>
      </c>
      <c r="C65" t="inlineStr">
        <is>
          <t>매출액(수익)</t>
        </is>
      </c>
      <c r="E65" s="18" t="n">
        <v>437855.16</v>
      </c>
      <c r="F65" s="18" t="n">
        <v>461261.44</v>
      </c>
      <c r="G65" s="18" t="n">
        <v>463372.92</v>
      </c>
      <c r="H65" s="9" t="n"/>
      <c r="I65" s="18" t="n">
        <v>485597.83</v>
      </c>
      <c r="J65" s="18" t="n">
        <v>467721.57</v>
      </c>
      <c r="K65" s="18" t="n">
        <v>513176.03</v>
      </c>
      <c r="L65" s="18" t="n">
        <v>516205.23</v>
      </c>
      <c r="M65" s="37" t="n">
        <v>1982700.66</v>
      </c>
      <c r="N65" s="18" t="n">
        <v>574608.6800000001</v>
      </c>
      <c r="O65" s="19" t="n">
        <v>580413.87</v>
      </c>
      <c r="P65" s="10" t="n"/>
      <c r="Q65" s="10" t="n"/>
      <c r="R65" s="11" t="n"/>
      <c r="S65" s="10" t="n"/>
      <c r="T65" s="10" t="n"/>
      <c r="U65" s="10" t="n"/>
      <c r="V65" s="10" t="n"/>
      <c r="W65" s="11" t="n"/>
      <c r="X65" s="10" t="n"/>
      <c r="Y65" s="10" t="n"/>
      <c r="Z65" s="10" t="n"/>
      <c r="AA65" s="10" t="n"/>
      <c r="AB65" s="11" t="n"/>
    </row>
    <row r="66">
      <c r="A66" t="n">
        <v>1</v>
      </c>
      <c r="C66" t="inlineStr">
        <is>
          <t>매출원가</t>
        </is>
      </c>
      <c r="E66" s="18" t="n">
        <v>343798</v>
      </c>
      <c r="F66" s="18" t="n">
        <v>355933.42</v>
      </c>
      <c r="G66" s="18" t="n">
        <v>373085.99</v>
      </c>
      <c r="H66" s="9" t="n"/>
      <c r="I66" s="18" t="n">
        <v>377587.18</v>
      </c>
      <c r="J66" s="18" t="n">
        <v>358744.49</v>
      </c>
      <c r="K66" s="18" t="n">
        <v>394984.81</v>
      </c>
      <c r="L66" s="18" t="n">
        <v>396532.14</v>
      </c>
      <c r="M66" s="37" t="n">
        <v>1527848.62</v>
      </c>
      <c r="N66" s="18" t="n">
        <v>453444.73</v>
      </c>
      <c r="O66" s="19" t="n">
        <v>450741.36</v>
      </c>
      <c r="P66" s="10" t="n"/>
      <c r="Q66" s="10" t="n"/>
      <c r="R66" s="11" t="n"/>
      <c r="S66" s="10" t="n"/>
      <c r="T66" s="10" t="n"/>
      <c r="U66" s="10" t="n"/>
      <c r="V66" s="10" t="n"/>
      <c r="W66" s="11" t="n"/>
      <c r="X66" s="10" t="n"/>
      <c r="Y66" s="10" t="n"/>
      <c r="Z66" s="10" t="n"/>
      <c r="AA66" s="10" t="n"/>
      <c r="AB66" s="11" t="n"/>
    </row>
    <row r="67">
      <c r="A67" t="n">
        <v>1</v>
      </c>
      <c r="C67" t="inlineStr">
        <is>
          <t>매출총이익</t>
        </is>
      </c>
      <c r="E67" s="18" t="n">
        <v>94057.16</v>
      </c>
      <c r="F67" s="18" t="n">
        <v>105328.02</v>
      </c>
      <c r="G67" s="18" t="n">
        <v>90286.94</v>
      </c>
      <c r="H67" s="9" t="n"/>
      <c r="I67" s="18" t="n">
        <v>108010.65</v>
      </c>
      <c r="J67" s="18" t="n">
        <v>108977.08</v>
      </c>
      <c r="K67" s="18" t="n">
        <v>118191.21</v>
      </c>
      <c r="L67" s="18" t="n">
        <v>119673.1</v>
      </c>
      <c r="M67" s="37" t="n">
        <v>454852.04</v>
      </c>
      <c r="N67" s="18" t="n">
        <v>121163.95</v>
      </c>
      <c r="O67" s="19" t="n">
        <v>129672.51</v>
      </c>
      <c r="P67" s="10" t="n"/>
      <c r="Q67" s="10" t="n"/>
      <c r="R67" s="11" t="n"/>
      <c r="S67" s="10" t="n"/>
      <c r="T67" s="10" t="n"/>
      <c r="U67" s="10" t="n"/>
      <c r="V67" s="10" t="n"/>
      <c r="W67" s="11" t="n"/>
      <c r="X67" s="10" t="n"/>
      <c r="Y67" s="10" t="n"/>
      <c r="Z67" s="10" t="n"/>
      <c r="AA67" s="10" t="n"/>
      <c r="AB67" s="11" t="n"/>
    </row>
    <row r="68">
      <c r="A68" t="n">
        <v>1</v>
      </c>
      <c r="C68" t="inlineStr">
        <is>
          <t>판관비</t>
        </is>
      </c>
      <c r="E68" s="18" t="n">
        <v>23071.29</v>
      </c>
      <c r="F68" s="18" t="n">
        <v>21944.67</v>
      </c>
      <c r="G68" s="18" t="n">
        <v>24407.77</v>
      </c>
      <c r="H68" s="9" t="n"/>
      <c r="I68" s="18" t="n">
        <v>25003.82</v>
      </c>
      <c r="J68" s="18" t="n">
        <v>25967.15</v>
      </c>
      <c r="K68" s="18" t="n">
        <v>24594.9</v>
      </c>
      <c r="L68" s="18" t="n">
        <v>29144.83</v>
      </c>
      <c r="M68" s="37" t="n">
        <v>104710.7</v>
      </c>
      <c r="N68" s="18" t="n">
        <v>27770.37</v>
      </c>
      <c r="O68" s="19" t="n">
        <v>32047.23</v>
      </c>
      <c r="P68" s="10" t="n"/>
      <c r="Q68" s="10" t="n"/>
      <c r="R68" s="11" t="n"/>
      <c r="S68" s="10" t="n"/>
      <c r="T68" s="10" t="n"/>
      <c r="U68" s="10" t="n"/>
      <c r="V68" s="10" t="n"/>
      <c r="W68" s="11" t="n"/>
      <c r="X68" s="10" t="n"/>
      <c r="Y68" s="10" t="n"/>
      <c r="Z68" s="10" t="n"/>
      <c r="AA68" s="10" t="n"/>
      <c r="AB68" s="11" t="n"/>
    </row>
    <row r="69">
      <c r="A69" t="n">
        <v>1</v>
      </c>
      <c r="C69" t="inlineStr">
        <is>
          <t>영업이익</t>
        </is>
      </c>
      <c r="E69" s="18" t="n">
        <v>70985.87</v>
      </c>
      <c r="F69" s="18" t="n">
        <v>83383.35000000001</v>
      </c>
      <c r="G69" s="18" t="n">
        <v>65879.17</v>
      </c>
      <c r="H69" s="9" t="n"/>
      <c r="I69" s="18" t="n">
        <v>83006.83</v>
      </c>
      <c r="J69" s="18" t="n">
        <v>83009.94</v>
      </c>
      <c r="K69" s="18" t="n">
        <v>93596.31</v>
      </c>
      <c r="L69" s="18" t="n">
        <v>90528.25999999999</v>
      </c>
      <c r="M69" s="37" t="n">
        <v>350141.34</v>
      </c>
      <c r="N69" s="18" t="n">
        <v>93393.58</v>
      </c>
      <c r="O69" s="19" t="n">
        <v>97625.28999999999</v>
      </c>
      <c r="P69" s="10" t="n"/>
      <c r="Q69" s="10" t="n"/>
      <c r="R69" s="11" t="n"/>
      <c r="S69" s="10" t="n"/>
      <c r="T69" s="10" t="n"/>
      <c r="U69" s="10" t="n"/>
      <c r="V69" s="10" t="n"/>
      <c r="W69" s="11" t="n"/>
      <c r="X69" s="10" t="n"/>
      <c r="Y69" s="10" t="n"/>
      <c r="Z69" s="10" t="n"/>
      <c r="AA69" s="10" t="n"/>
      <c r="AB69" s="11" t="n"/>
    </row>
    <row r="70">
      <c r="A70" t="n">
        <v>1</v>
      </c>
      <c r="C70" t="inlineStr">
        <is>
          <t>금융수익</t>
        </is>
      </c>
      <c r="E70" s="18" t="n">
        <v>10729.36</v>
      </c>
      <c r="F70" s="18" t="n">
        <v>9314.790000000001</v>
      </c>
      <c r="G70" s="18" t="n">
        <v>29108.74</v>
      </c>
      <c r="H70" s="9" t="n"/>
      <c r="I70" s="18" t="n">
        <v>15766.25</v>
      </c>
      <c r="J70" s="18" t="n">
        <v>16252.42</v>
      </c>
      <c r="K70" s="18" t="n">
        <v>14361.17</v>
      </c>
      <c r="L70" s="18" t="n">
        <v>22340.71</v>
      </c>
      <c r="M70" s="37" t="n">
        <v>68720.55</v>
      </c>
      <c r="N70" s="18" t="n">
        <v>48083.69</v>
      </c>
      <c r="O70" s="19" t="n">
        <v>32300.56</v>
      </c>
      <c r="P70" s="10" t="n"/>
      <c r="Q70" s="10" t="n"/>
      <c r="R70" s="11" t="n"/>
      <c r="S70" s="10" t="n"/>
      <c r="T70" s="10" t="n"/>
      <c r="U70" s="10" t="n"/>
      <c r="V70" s="10" t="n"/>
      <c r="W70" s="11" t="n"/>
      <c r="X70" s="10" t="n"/>
      <c r="Y70" s="10" t="n"/>
      <c r="Z70" s="10" t="n"/>
      <c r="AA70" s="10" t="n"/>
      <c r="AB70" s="11" t="n"/>
    </row>
    <row r="71">
      <c r="A71" t="n">
        <v>1</v>
      </c>
      <c r="C71" t="inlineStr">
        <is>
          <t>금융비용</t>
        </is>
      </c>
      <c r="E71" s="18" t="n">
        <v>4267.17</v>
      </c>
      <c r="F71" s="18" t="n">
        <v>14714.4</v>
      </c>
      <c r="G71" s="18" t="n">
        <v>8263.26</v>
      </c>
      <c r="H71" s="9" t="n"/>
      <c r="I71" s="18" t="n">
        <v>13365.85</v>
      </c>
      <c r="J71" s="18" t="n">
        <v>29691.85</v>
      </c>
      <c r="K71" s="18" t="n">
        <v>2751.97</v>
      </c>
      <c r="L71" s="18" t="n">
        <v>14820.65</v>
      </c>
      <c r="M71" s="37" t="n">
        <v>60630.32</v>
      </c>
      <c r="N71" s="18" t="n">
        <v>21640.25</v>
      </c>
      <c r="O71" s="19" t="n">
        <v>19834.16</v>
      </c>
      <c r="P71" s="10" t="n"/>
      <c r="Q71" s="10" t="n"/>
      <c r="R71" s="11" t="n"/>
      <c r="S71" s="10" t="n"/>
      <c r="T71" s="10" t="n"/>
      <c r="U71" s="10" t="n"/>
      <c r="V71" s="10" t="n"/>
      <c r="W71" s="11" t="n"/>
      <c r="X71" s="10" t="n"/>
      <c r="Y71" s="10" t="n"/>
      <c r="Z71" s="10" t="n"/>
      <c r="AA71" s="10" t="n"/>
      <c r="AB71" s="11" t="n"/>
    </row>
    <row r="72">
      <c r="A72" t="n">
        <v>1</v>
      </c>
      <c r="C72" t="inlineStr">
        <is>
          <t>기타영업외수익</t>
        </is>
      </c>
      <c r="E72" s="18" t="n">
        <v>214.76</v>
      </c>
      <c r="F72" s="18" t="n">
        <v>-6.59</v>
      </c>
      <c r="G72" s="18" t="n">
        <v>424.72</v>
      </c>
      <c r="H72" s="9" t="n"/>
      <c r="I72" s="18" t="n">
        <v>450.71</v>
      </c>
      <c r="J72" s="18" t="n">
        <v>105.87</v>
      </c>
      <c r="K72" s="18" t="n">
        <v>120.39</v>
      </c>
      <c r="L72" s="18" t="n">
        <v>453.13</v>
      </c>
      <c r="M72" s="37" t="n">
        <v>1130.1</v>
      </c>
      <c r="N72" s="18" t="n">
        <v>786.79</v>
      </c>
      <c r="O72" s="19" t="n">
        <v>277.24</v>
      </c>
      <c r="P72" s="10" t="n"/>
      <c r="Q72" s="10" t="n"/>
      <c r="R72" s="11" t="n"/>
      <c r="S72" s="10" t="n"/>
      <c r="T72" s="10" t="n"/>
      <c r="U72" s="10" t="n"/>
      <c r="V72" s="10" t="n"/>
      <c r="W72" s="11" t="n"/>
      <c r="X72" s="10" t="n"/>
      <c r="Y72" s="10" t="n"/>
      <c r="Z72" s="10" t="n"/>
      <c r="AA72" s="10" t="n"/>
      <c r="AB72" s="11" t="n"/>
    </row>
    <row r="73">
      <c r="A73" t="n">
        <v>1</v>
      </c>
      <c r="C73" t="inlineStr">
        <is>
          <t>기타영업외비용</t>
        </is>
      </c>
      <c r="E73" s="18" t="n">
        <v>719.5</v>
      </c>
      <c r="F73" s="18" t="n">
        <v>482.05</v>
      </c>
      <c r="G73" s="18" t="n">
        <v>774.8099999999999</v>
      </c>
      <c r="H73" s="9" t="n"/>
      <c r="I73" s="18" t="n">
        <v>1874.73</v>
      </c>
      <c r="J73" s="18" t="n">
        <v>1333.61</v>
      </c>
      <c r="K73" s="18" t="n">
        <v>284.74</v>
      </c>
      <c r="L73" s="18" t="n">
        <v>898.52</v>
      </c>
      <c r="M73" s="37" t="n">
        <v>4391.6</v>
      </c>
      <c r="N73" s="18" t="n">
        <v>1016.39</v>
      </c>
      <c r="O73" s="19" t="n">
        <v>1440.7</v>
      </c>
      <c r="P73" s="10" t="n"/>
      <c r="Q73" s="10" t="n"/>
      <c r="R73" s="11" t="n"/>
      <c r="S73" s="10" t="n"/>
      <c r="T73" s="10" t="n"/>
      <c r="U73" s="10" t="n"/>
      <c r="V73" s="10" t="n"/>
      <c r="W73" s="11" t="n"/>
      <c r="X73" s="10" t="n"/>
      <c r="Y73" s="10" t="n"/>
      <c r="Z73" s="10" t="n"/>
      <c r="AA73" s="10" t="n"/>
      <c r="AB73" s="11" t="n"/>
    </row>
    <row r="74">
      <c r="A74" t="n">
        <v>1</v>
      </c>
      <c r="C74" t="inlineStr">
        <is>
          <t>법인세비용차감전계속사업이익</t>
        </is>
      </c>
      <c r="E74" s="18" t="n">
        <v>76943.32000000001</v>
      </c>
      <c r="F74" s="18" t="n">
        <v>77315.92</v>
      </c>
      <c r="G74" s="18" t="n">
        <v>86315.71000000001</v>
      </c>
      <c r="H74" s="9" t="n"/>
      <c r="I74" s="18" t="n">
        <v>83876.71000000001</v>
      </c>
      <c r="J74" s="18" t="n">
        <v>68280.8</v>
      </c>
      <c r="K74" s="18" t="n">
        <v>104947.2</v>
      </c>
      <c r="L74" s="18" t="n">
        <v>97697.39</v>
      </c>
      <c r="M74" s="37" t="n">
        <v>354802.1</v>
      </c>
      <c r="N74" s="18" t="n">
        <v>119557.03</v>
      </c>
      <c r="O74" s="19" t="n">
        <v>108874.99</v>
      </c>
      <c r="P74" s="10" t="n"/>
      <c r="Q74" s="10" t="n"/>
      <c r="R74" s="11" t="n"/>
      <c r="S74" s="10" t="n"/>
      <c r="T74" s="10" t="n"/>
      <c r="U74" s="10" t="n"/>
      <c r="V74" s="10" t="n"/>
      <c r="W74" s="11" t="n"/>
      <c r="X74" s="10" t="n"/>
      <c r="Y74" s="10" t="n"/>
      <c r="Z74" s="10" t="n"/>
      <c r="AA74" s="10" t="n"/>
      <c r="AB74" s="11" t="n"/>
    </row>
    <row r="75">
      <c r="A75" t="n">
        <v>1</v>
      </c>
      <c r="C75" t="inlineStr">
        <is>
          <t>법인세비용</t>
        </is>
      </c>
      <c r="E75" s="18" t="n">
        <v>20264.12</v>
      </c>
      <c r="F75" s="18" t="n">
        <v>18786.76</v>
      </c>
      <c r="G75" s="18" t="n">
        <v>17908.97</v>
      </c>
      <c r="H75" s="9" t="n"/>
      <c r="I75" s="18" t="n">
        <v>20558.52</v>
      </c>
      <c r="J75" s="18" t="n">
        <v>15283.74</v>
      </c>
      <c r="K75" s="18" t="n">
        <v>25195.47</v>
      </c>
      <c r="L75" s="18" t="n">
        <v>24193.08</v>
      </c>
      <c r="M75" s="37" t="n">
        <v>85230.81</v>
      </c>
      <c r="N75" s="18" t="n">
        <v>21418.32</v>
      </c>
      <c r="O75" s="19" t="n">
        <v>25867.98</v>
      </c>
      <c r="P75" s="10" t="n"/>
      <c r="Q75" s="10" t="n"/>
      <c r="R75" s="11" t="n"/>
      <c r="S75" s="10" t="n"/>
      <c r="T75" s="10" t="n"/>
      <c r="U75" s="10" t="n"/>
      <c r="V75" s="10" t="n"/>
      <c r="W75" s="11" t="n"/>
      <c r="X75" s="10" t="n"/>
      <c r="Y75" s="10" t="n"/>
      <c r="Z75" s="10" t="n"/>
      <c r="AA75" s="10" t="n"/>
      <c r="AB75" s="11" t="n"/>
    </row>
    <row r="76">
      <c r="A76" t="n">
        <v>1</v>
      </c>
      <c r="C76" t="inlineStr">
        <is>
          <t>당기순이익</t>
        </is>
      </c>
      <c r="E76" s="18" t="n">
        <v>56679.2</v>
      </c>
      <c r="F76" s="18" t="n">
        <v>58529.17</v>
      </c>
      <c r="G76" s="18" t="n">
        <v>68406.75</v>
      </c>
      <c r="H76" s="9" t="n"/>
      <c r="I76" s="18" t="n">
        <v>63318.19</v>
      </c>
      <c r="J76" s="18" t="n">
        <v>52997.05</v>
      </c>
      <c r="K76" s="18" t="n">
        <v>79751.73</v>
      </c>
      <c r="L76" s="18" t="n">
        <v>73504.32000000001</v>
      </c>
      <c r="M76" s="37" t="n">
        <v>269571.29</v>
      </c>
      <c r="N76" s="18" t="n">
        <v>98138.71000000001</v>
      </c>
      <c r="O76" s="19" t="n">
        <v>83007.00999999999</v>
      </c>
      <c r="P76" s="10" t="n"/>
      <c r="Q76" s="10" t="n"/>
      <c r="R76" s="11" t="n"/>
      <c r="S76" s="10" t="n"/>
      <c r="T76" s="10" t="n"/>
      <c r="U76" s="10" t="n"/>
      <c r="V76" s="10" t="n"/>
      <c r="W76" s="11" t="n"/>
      <c r="X76" s="10" t="n"/>
      <c r="Y76" s="10" t="n"/>
      <c r="Z76" s="10" t="n"/>
      <c r="AA76" s="10" t="n"/>
      <c r="AB76" s="11" t="n"/>
    </row>
    <row r="77">
      <c r="A77" t="n">
        <v>1</v>
      </c>
      <c r="C77" t="inlineStr">
        <is>
          <t>총포괄손익</t>
        </is>
      </c>
      <c r="E77" s="18" t="n">
        <v>59471.81</v>
      </c>
      <c r="F77" s="18" t="n">
        <v>53675.97</v>
      </c>
      <c r="G77" s="18" t="n">
        <v>76674.14999999999</v>
      </c>
      <c r="H77" s="9" t="n"/>
      <c r="I77" s="18" t="n">
        <v>63116.91</v>
      </c>
      <c r="J77" s="18" t="n">
        <v>44049.27</v>
      </c>
      <c r="K77" s="18" t="n">
        <v>83685.14</v>
      </c>
      <c r="L77" s="18" t="n">
        <v>75337.61</v>
      </c>
      <c r="M77" s="37" t="n">
        <v>266188.93</v>
      </c>
      <c r="N77" s="18" t="n">
        <v>105073.64</v>
      </c>
      <c r="O77" s="19" t="n">
        <v>85430.84</v>
      </c>
      <c r="P77" s="10" t="n"/>
      <c r="Q77" s="10" t="n"/>
      <c r="R77" s="11" t="n"/>
      <c r="S77" s="10" t="n"/>
      <c r="T77" s="10" t="n"/>
      <c r="U77" s="10" t="n"/>
      <c r="V77" s="10" t="n"/>
      <c r="W77" s="11" t="n"/>
      <c r="X77" s="10" t="n"/>
      <c r="Y77" s="10" t="n"/>
      <c r="Z77" s="10" t="n"/>
      <c r="AA77" s="10" t="n"/>
      <c r="AB77" s="11" t="n"/>
    </row>
    <row r="78">
      <c r="A78" t="n">
        <v>1</v>
      </c>
      <c r="C78" t="inlineStr">
        <is>
          <t>(지배주주지분)당기순이익</t>
        </is>
      </c>
      <c r="E78" s="18" t="n">
        <v>56679.2</v>
      </c>
      <c r="F78" s="18" t="n">
        <v>58529.17</v>
      </c>
      <c r="G78" s="18" t="n">
        <v>68406.75</v>
      </c>
      <c r="H78" s="9" t="n"/>
      <c r="I78" s="18" t="n">
        <v>63318.19</v>
      </c>
      <c r="J78" s="18" t="n">
        <v>52997.05</v>
      </c>
      <c r="K78" s="18" t="n">
        <v>79751.73</v>
      </c>
      <c r="L78" s="18" t="n">
        <v>73504.32000000001</v>
      </c>
      <c r="M78" s="37" t="n">
        <v>269571.29</v>
      </c>
      <c r="N78" s="18" t="n">
        <v>98138.71000000001</v>
      </c>
      <c r="O78" s="19" t="n">
        <v>83007.00999999999</v>
      </c>
      <c r="P78" s="10" t="n"/>
      <c r="Q78" s="10" t="n"/>
      <c r="R78" s="11" t="n"/>
      <c r="S78" s="10" t="n"/>
      <c r="T78" s="10" t="n"/>
      <c r="U78" s="10" t="n"/>
      <c r="V78" s="10" t="n"/>
      <c r="W78" s="11" t="n"/>
      <c r="X78" s="10" t="n"/>
      <c r="Y78" s="10" t="n"/>
      <c r="Z78" s="10" t="n"/>
      <c r="AA78" s="10" t="n"/>
      <c r="AB78" s="11" t="n"/>
    </row>
    <row r="79">
      <c r="A79" t="n">
        <v>1</v>
      </c>
      <c r="C79" t="inlineStr">
        <is>
          <t>금융손익</t>
        </is>
      </c>
      <c r="E79" s="18" t="n">
        <v>6462.19</v>
      </c>
      <c r="F79" s="18" t="n">
        <v>-5399.61</v>
      </c>
      <c r="G79" s="18" t="n">
        <v>20845.48</v>
      </c>
      <c r="H79" s="9" t="n"/>
      <c r="I79" s="18" t="n">
        <v>2400.4</v>
      </c>
      <c r="J79" s="18" t="n">
        <v>-13439.43</v>
      </c>
      <c r="K79" s="18" t="n">
        <v>11609.2</v>
      </c>
      <c r="L79" s="18" t="n">
        <v>7520.06</v>
      </c>
      <c r="M79" s="37" t="n">
        <v>8090.23</v>
      </c>
      <c r="N79" s="18" t="n">
        <v>26443.44</v>
      </c>
      <c r="O79" s="19" t="n">
        <v>12466.4</v>
      </c>
      <c r="P79" s="10" t="n"/>
      <c r="Q79" s="10" t="n"/>
      <c r="R79" s="11" t="n"/>
      <c r="S79" s="10" t="n"/>
      <c r="T79" s="10" t="n"/>
      <c r="U79" s="10" t="n"/>
      <c r="V79" s="10" t="n"/>
      <c r="W79" s="11" t="n"/>
      <c r="X79" s="10" t="n"/>
      <c r="Y79" s="10" t="n"/>
      <c r="Z79" s="10" t="n"/>
      <c r="AA79" s="10" t="n"/>
      <c r="AB79" s="11" t="n"/>
    </row>
    <row r="80">
      <c r="A80" t="n">
        <v>1</v>
      </c>
      <c r="C80" t="inlineStr">
        <is>
          <t>기타영업외손익</t>
        </is>
      </c>
      <c r="E80" s="18" t="n">
        <v>-504.74</v>
      </c>
      <c r="F80" s="18" t="n">
        <v>-488.64</v>
      </c>
      <c r="G80" s="18" t="n">
        <v>-350.09</v>
      </c>
      <c r="H80" s="9" t="n"/>
      <c r="I80" s="18" t="n">
        <v>-1424.02</v>
      </c>
      <c r="J80" s="18" t="n">
        <v>-1227.74</v>
      </c>
      <c r="K80" s="18" t="n">
        <v>-164.35</v>
      </c>
      <c r="L80" s="18" t="n">
        <v>-445.39</v>
      </c>
      <c r="M80" s="37" t="n">
        <v>-3261.5</v>
      </c>
      <c r="N80" s="18" t="n">
        <v>-229.6</v>
      </c>
      <c r="O80" s="19" t="n">
        <v>-1163.46</v>
      </c>
      <c r="P80" s="10" t="n"/>
      <c r="Q80" s="10" t="n"/>
      <c r="R80" s="11" t="n"/>
      <c r="S80" s="10" t="n"/>
      <c r="T80" s="10" t="n"/>
      <c r="U80" s="10" t="n"/>
      <c r="V80" s="10" t="n"/>
      <c r="W80" s="11" t="n"/>
      <c r="X80" s="10" t="n"/>
      <c r="Y80" s="10" t="n"/>
      <c r="Z80" s="10" t="n"/>
      <c r="AA80" s="10" t="n"/>
      <c r="AB80" s="11" t="n"/>
    </row>
    <row r="81">
      <c r="A81" t="n">
        <v>1</v>
      </c>
      <c r="C81" t="inlineStr">
        <is>
          <t>계속사업이익</t>
        </is>
      </c>
      <c r="E81" s="18" t="n">
        <v>56679.2</v>
      </c>
      <c r="F81" s="18" t="n">
        <v>58529.17</v>
      </c>
      <c r="G81" s="18" t="n">
        <v>68406.75</v>
      </c>
      <c r="H81" s="9" t="n"/>
      <c r="I81" s="18" t="n">
        <v>63318.19</v>
      </c>
      <c r="J81" s="18" t="n">
        <v>52997.05</v>
      </c>
      <c r="K81" s="18" t="n">
        <v>79751.73</v>
      </c>
      <c r="L81" s="18" t="n">
        <v>73504.32000000001</v>
      </c>
      <c r="M81" s="37" t="n">
        <v>269571.29</v>
      </c>
      <c r="N81" s="18" t="n">
        <v>98138.71000000001</v>
      </c>
      <c r="O81" s="19" t="n">
        <v>83007.00999999999</v>
      </c>
      <c r="P81" s="10" t="n"/>
      <c r="Q81" s="10" t="n"/>
      <c r="R81" s="11" t="n"/>
      <c r="S81" s="10" t="n"/>
      <c r="T81" s="10" t="n"/>
      <c r="U81" s="10" t="n"/>
      <c r="V81" s="10" t="n"/>
      <c r="W81" s="11" t="n"/>
      <c r="X81" s="10" t="n"/>
      <c r="Y81" s="10" t="n"/>
      <c r="Z81" s="10" t="n"/>
      <c r="AA81" s="10" t="n"/>
      <c r="AB81" s="11" t="n"/>
    </row>
    <row r="82">
      <c r="A82" t="n">
        <v>1</v>
      </c>
      <c r="C82" t="inlineStr">
        <is>
          <t>이자수익</t>
        </is>
      </c>
      <c r="E82" s="18" t="n">
        <v>2989.88</v>
      </c>
      <c r="F82" s="18" t="n">
        <v>3783.72</v>
      </c>
      <c r="G82" s="18" t="n">
        <v>4065.54</v>
      </c>
      <c r="H82" s="9" t="n"/>
      <c r="I82" s="18" t="n">
        <v>4504.18</v>
      </c>
      <c r="J82" s="18" t="n">
        <v>3748.16</v>
      </c>
      <c r="K82" s="18" t="n">
        <v>3717.53</v>
      </c>
      <c r="L82" s="18" t="n">
        <v>3971.72</v>
      </c>
      <c r="M82" s="37" t="n">
        <v>15941.59</v>
      </c>
      <c r="N82" s="18" t="n">
        <v>4317.85</v>
      </c>
      <c r="O82" s="19" t="n">
        <v>4126.78</v>
      </c>
      <c r="P82" s="10" t="n"/>
      <c r="Q82" s="10" t="n"/>
      <c r="R82" s="11" t="n"/>
      <c r="S82" s="10" t="n"/>
      <c r="T82" s="10" t="n"/>
      <c r="U82" s="10" t="n"/>
      <c r="V82" s="10" t="n"/>
      <c r="W82" s="11" t="n"/>
      <c r="X82" s="10" t="n"/>
      <c r="Y82" s="10" t="n"/>
      <c r="Z82" s="10" t="n"/>
      <c r="AA82" s="10" t="n"/>
      <c r="AB82" s="11" t="n"/>
    </row>
    <row r="83">
      <c r="A83" t="n">
        <v>1</v>
      </c>
      <c r="C83" t="inlineStr">
        <is>
          <t>이자비용</t>
        </is>
      </c>
      <c r="E83" s="18" t="n">
        <v>1669.17</v>
      </c>
      <c r="F83" s="18" t="n">
        <v>452.57</v>
      </c>
      <c r="G83" s="18" t="n">
        <v>324.3</v>
      </c>
      <c r="H83" s="9" t="n"/>
      <c r="I83" s="18" t="n">
        <v>283.67</v>
      </c>
      <c r="J83" s="18" t="n">
        <v>288.03</v>
      </c>
      <c r="K83" s="18" t="n">
        <v>253.42</v>
      </c>
      <c r="L83" s="18" t="n">
        <v>235.19</v>
      </c>
      <c r="M83" s="37" t="n">
        <v>1060.31</v>
      </c>
      <c r="N83" s="18" t="n">
        <v>244.72</v>
      </c>
      <c r="O83" s="19" t="n">
        <v>388.31</v>
      </c>
      <c r="P83" s="10" t="n"/>
      <c r="Q83" s="10" t="n"/>
      <c r="R83" s="11" t="n"/>
      <c r="S83" s="10" t="n"/>
      <c r="T83" s="10" t="n"/>
      <c r="U83" s="10" t="n"/>
      <c r="V83" s="10" t="n"/>
      <c r="W83" s="11" t="n"/>
      <c r="X83" s="10" t="n"/>
      <c r="Y83" s="10" t="n"/>
      <c r="Z83" s="10" t="n"/>
      <c r="AA83" s="10" t="n"/>
      <c r="AB83" s="11" t="n"/>
    </row>
    <row r="84">
      <c r="A84" t="n">
        <v>1</v>
      </c>
      <c r="C84" t="inlineStr">
        <is>
          <t>외환차익</t>
        </is>
      </c>
      <c r="E84" s="18" t="n">
        <v>11295.61</v>
      </c>
      <c r="F84" s="18" t="n">
        <v>7270.66</v>
      </c>
      <c r="G84" s="18" t="n">
        <v>17681.73</v>
      </c>
      <c r="H84" s="9" t="n"/>
      <c r="I84" s="18" t="n">
        <v>9396.469999999999</v>
      </c>
      <c r="J84" s="18" t="n">
        <v>13149.5</v>
      </c>
      <c r="K84" s="18" t="n">
        <v>9674.16</v>
      </c>
      <c r="L84" s="18" t="n">
        <v>18271.09</v>
      </c>
      <c r="M84" s="37" t="n">
        <v>50491.22</v>
      </c>
      <c r="N84" s="18" t="n">
        <v>36494.26</v>
      </c>
      <c r="O84" s="19" t="n">
        <v>27247.3</v>
      </c>
      <c r="P84" s="10" t="n"/>
      <c r="Q84" s="10" t="n"/>
      <c r="R84" s="11" t="n"/>
      <c r="S84" s="10" t="n"/>
      <c r="T84" s="10" t="n"/>
      <c r="U84" s="10" t="n"/>
      <c r="V84" s="10" t="n"/>
      <c r="W84" s="11" t="n"/>
      <c r="X84" s="10" t="n"/>
      <c r="Y84" s="10" t="n"/>
      <c r="Z84" s="10" t="n"/>
      <c r="AA84" s="10" t="n"/>
      <c r="AB84" s="11" t="n"/>
    </row>
    <row r="85">
      <c r="A85" t="n">
        <v>1</v>
      </c>
      <c r="C85" t="inlineStr">
        <is>
          <t>외환차손</t>
        </is>
      </c>
      <c r="E85" s="18" t="n">
        <v>2519.08</v>
      </c>
      <c r="F85" s="18" t="n">
        <v>10965.01</v>
      </c>
      <c r="G85" s="18" t="n">
        <v>8802.219999999999</v>
      </c>
      <c r="H85" s="9" t="n"/>
      <c r="I85" s="18" t="n">
        <v>12027.59</v>
      </c>
      <c r="J85" s="18" t="n">
        <v>24655.56</v>
      </c>
      <c r="K85" s="18" t="n">
        <v>6372.05</v>
      </c>
      <c r="L85" s="18" t="n">
        <v>11599.55</v>
      </c>
      <c r="M85" s="37" t="n">
        <v>54654.75</v>
      </c>
      <c r="N85" s="18" t="n">
        <v>19419.61</v>
      </c>
      <c r="O85" s="19" t="n">
        <v>16857.99</v>
      </c>
      <c r="P85" s="10" t="n"/>
      <c r="Q85" s="10" t="n"/>
      <c r="R85" s="11" t="n"/>
      <c r="S85" s="10" t="n"/>
      <c r="T85" s="10" t="n"/>
      <c r="U85" s="10" t="n"/>
      <c r="V85" s="10" t="n"/>
      <c r="W85" s="11" t="n"/>
      <c r="X85" s="10" t="n"/>
      <c r="Y85" s="10" t="n"/>
      <c r="Z85" s="10" t="n"/>
      <c r="AA85" s="10" t="n"/>
      <c r="AB85" s="11" t="n"/>
    </row>
    <row r="86">
      <c r="A86" t="n">
        <v>1</v>
      </c>
      <c r="C86" t="inlineStr">
        <is>
          <t>외화환산이익</t>
        </is>
      </c>
      <c r="E86" s="18" t="n">
        <v>-3556.13</v>
      </c>
      <c r="F86" s="18" t="n">
        <v>-1750.59</v>
      </c>
      <c r="G86" s="18" t="n">
        <v>7371.48</v>
      </c>
      <c r="H86" s="9" t="n"/>
      <c r="I86" s="18" t="n">
        <v>1865.6</v>
      </c>
      <c r="J86" s="18" t="n">
        <v>-800.12</v>
      </c>
      <c r="K86" s="18" t="n">
        <v>1063.88</v>
      </c>
      <c r="L86" s="18" t="n">
        <v>31.38</v>
      </c>
      <c r="M86" s="37" t="n">
        <v>2160.74</v>
      </c>
      <c r="N86" s="18" t="n">
        <v>7231.88</v>
      </c>
      <c r="O86" s="19" t="n">
        <v>934.97</v>
      </c>
      <c r="P86" s="10" t="n"/>
      <c r="Q86" s="10" t="n"/>
      <c r="R86" s="11" t="n"/>
      <c r="S86" s="10" t="n"/>
      <c r="T86" s="10" t="n"/>
      <c r="U86" s="10" t="n"/>
      <c r="V86" s="10" t="n"/>
      <c r="W86" s="11" t="n"/>
      <c r="X86" s="10" t="n"/>
      <c r="Y86" s="10" t="n"/>
      <c r="Z86" s="10" t="n"/>
      <c r="AA86" s="10" t="n"/>
      <c r="AB86" s="11" t="n"/>
    </row>
    <row r="87">
      <c r="A87" t="n">
        <v>1</v>
      </c>
      <c r="C87" t="inlineStr">
        <is>
          <t>외화환산손실</t>
        </is>
      </c>
      <c r="E87" s="18" t="n">
        <v>-27.06</v>
      </c>
      <c r="F87" s="18" t="n">
        <v>3402.79</v>
      </c>
      <c r="G87" s="18" t="n">
        <v>-1081.57</v>
      </c>
      <c r="H87" s="9" t="n"/>
      <c r="I87" s="18" t="n">
        <v>1037.71</v>
      </c>
      <c r="J87" s="18" t="n">
        <v>4765.15</v>
      </c>
      <c r="K87" s="18" t="n">
        <v>-3873.49</v>
      </c>
      <c r="L87" s="18" t="n">
        <v>2972.15</v>
      </c>
      <c r="M87" s="37" t="n">
        <v>4901.52</v>
      </c>
      <c r="N87" s="18" t="n">
        <v>1416.18</v>
      </c>
      <c r="O87" s="19" t="n">
        <v>2421.5</v>
      </c>
      <c r="P87" s="10" t="n"/>
      <c r="Q87" s="10" t="n"/>
      <c r="R87" s="11" t="n"/>
      <c r="S87" s="10" t="n"/>
      <c r="T87" s="10" t="n"/>
      <c r="U87" s="10" t="n"/>
      <c r="V87" s="10" t="n"/>
      <c r="W87" s="11" t="n"/>
      <c r="X87" s="10" t="n"/>
      <c r="Y87" s="10" t="n"/>
      <c r="Z87" s="10" t="n"/>
      <c r="AA87" s="10" t="n"/>
      <c r="AB87" s="11" t="n"/>
    </row>
    <row r="88">
      <c r="A88" t="n">
        <v>1</v>
      </c>
      <c r="C88" t="inlineStr">
        <is>
          <t>파생상품손실</t>
        </is>
      </c>
      <c r="E88" s="18" t="n">
        <v>105.98</v>
      </c>
      <c r="F88" s="18" t="n">
        <v>-105.98</v>
      </c>
      <c r="H88" s="9" t="n"/>
      <c r="I88" s="18" t="n">
        <v>16.89</v>
      </c>
      <c r="J88" s="18" t="n">
        <v>-16.89</v>
      </c>
      <c r="K88" s="18" t="n">
        <v>0</v>
      </c>
      <c r="L88" s="18" t="n">
        <v>13.74</v>
      </c>
      <c r="M88" s="37" t="n">
        <v>13.74</v>
      </c>
      <c r="N88" s="18" t="n">
        <v>559.73</v>
      </c>
      <c r="O88" s="19" t="n">
        <v>166.36</v>
      </c>
      <c r="P88" s="10" t="n"/>
      <c r="Q88" s="10" t="n"/>
      <c r="R88" s="11" t="n"/>
      <c r="S88" s="10" t="n"/>
      <c r="T88" s="10" t="n"/>
      <c r="U88" s="10" t="n"/>
      <c r="V88" s="10" t="n"/>
      <c r="W88" s="11" t="n"/>
      <c r="X88" s="10" t="n"/>
      <c r="Y88" s="10" t="n"/>
      <c r="Z88" s="10" t="n"/>
      <c r="AA88" s="10" t="n"/>
      <c r="AB88" s="11" t="n"/>
    </row>
    <row r="89">
      <c r="A89" t="n">
        <v>1</v>
      </c>
      <c r="C89" t="inlineStr">
        <is>
          <t>이자손익</t>
        </is>
      </c>
      <c r="E89" s="18" t="n">
        <v>1320.71</v>
      </c>
      <c r="F89" s="18" t="n">
        <v>3331.15</v>
      </c>
      <c r="G89" s="18" t="n">
        <v>3741.24</v>
      </c>
      <c r="H89" s="9" t="n"/>
      <c r="I89" s="18" t="n">
        <v>4220.51</v>
      </c>
      <c r="J89" s="18" t="n">
        <v>3460.13</v>
      </c>
      <c r="K89" s="18" t="n">
        <v>3464.11</v>
      </c>
      <c r="L89" s="18" t="n">
        <v>3736.53</v>
      </c>
      <c r="M89" s="37" t="n">
        <v>14881.28</v>
      </c>
      <c r="N89" s="18" t="n">
        <v>4073.13</v>
      </c>
      <c r="O89" s="19" t="n">
        <v>3738.47</v>
      </c>
      <c r="P89" s="10" t="n"/>
      <c r="Q89" s="10" t="n"/>
      <c r="R89" s="11" t="n"/>
      <c r="S89" s="10" t="n"/>
      <c r="T89" s="10" t="n"/>
      <c r="U89" s="10" t="n"/>
      <c r="V89" s="10" t="n"/>
      <c r="W89" s="11" t="n"/>
      <c r="X89" s="10" t="n"/>
      <c r="Y89" s="10" t="n"/>
      <c r="Z89" s="10" t="n"/>
      <c r="AA89" s="10" t="n"/>
      <c r="AB89" s="11" t="n"/>
    </row>
    <row r="90">
      <c r="A90" t="n">
        <v>1</v>
      </c>
      <c r="C90" t="inlineStr">
        <is>
          <t>종속기업,공동지배기업및관계기업관련손익</t>
        </is>
      </c>
      <c r="F90" s="18" t="n">
        <v>-179.17</v>
      </c>
      <c r="G90" s="18" t="n">
        <v>-58.85</v>
      </c>
      <c r="H90" s="9" t="n"/>
      <c r="I90" s="18" t="n">
        <v>-106.5</v>
      </c>
      <c r="J90" s="18" t="n">
        <v>-61.98</v>
      </c>
      <c r="K90" s="18" t="n">
        <v>-93.95</v>
      </c>
      <c r="L90" s="18" t="n">
        <v>94.45999999999999</v>
      </c>
      <c r="M90" s="37" t="n">
        <v>-167.97</v>
      </c>
      <c r="N90" s="18" t="n">
        <v>-50.39</v>
      </c>
      <c r="O90" s="19" t="n">
        <v>-53.23</v>
      </c>
      <c r="P90" s="10" t="n"/>
      <c r="Q90" s="10" t="n"/>
      <c r="R90" s="11" t="n"/>
      <c r="S90" s="10" t="n"/>
      <c r="T90" s="10" t="n"/>
      <c r="U90" s="10" t="n"/>
      <c r="V90" s="10" t="n"/>
      <c r="W90" s="11" t="n"/>
      <c r="X90" s="10" t="n"/>
      <c r="Y90" s="10" t="n"/>
      <c r="Z90" s="10" t="n"/>
      <c r="AA90" s="10" t="n"/>
      <c r="AB90" s="11" t="n"/>
    </row>
    <row r="91">
      <c r="A91" t="n">
        <v>1</v>
      </c>
      <c r="C91" t="inlineStr">
        <is>
          <t>지분법관련손익</t>
        </is>
      </c>
      <c r="F91" s="18" t="n">
        <v>-179.17</v>
      </c>
      <c r="G91" s="18" t="n">
        <v>-58.85</v>
      </c>
      <c r="H91" s="9" t="n"/>
      <c r="I91" s="18" t="n">
        <v>-106.5</v>
      </c>
      <c r="J91" s="18" t="n">
        <v>-61.98</v>
      </c>
      <c r="K91" s="18" t="n">
        <v>-93.95</v>
      </c>
      <c r="L91" s="18" t="n">
        <v>94.45999999999999</v>
      </c>
      <c r="M91" s="37" t="n">
        <v>-167.97</v>
      </c>
      <c r="N91" s="18" t="n">
        <v>-50.39</v>
      </c>
      <c r="O91" s="19" t="n">
        <v>-53.23</v>
      </c>
      <c r="P91" s="10" t="n"/>
      <c r="Q91" s="10" t="n"/>
      <c r="R91" s="11" t="n"/>
      <c r="S91" s="10" t="n"/>
      <c r="T91" s="10" t="n"/>
      <c r="U91" s="10" t="n"/>
      <c r="V91" s="10" t="n"/>
      <c r="W91" s="11" t="n"/>
      <c r="X91" s="10" t="n"/>
      <c r="Y91" s="10" t="n"/>
      <c r="Z91" s="10" t="n"/>
      <c r="AA91" s="10" t="n"/>
      <c r="AB91" s="11" t="n"/>
    </row>
    <row r="92">
      <c r="A92" t="n">
        <v>1</v>
      </c>
      <c r="C92" t="inlineStr">
        <is>
          <t>파생상품이익</t>
        </is>
      </c>
      <c r="F92" s="18" t="n">
        <v>11</v>
      </c>
      <c r="G92" s="18" t="n">
        <v>-10.02</v>
      </c>
      <c r="H92" s="9" t="n"/>
      <c r="J92" s="18" t="n">
        <v>154.89</v>
      </c>
      <c r="K92" s="18" t="n">
        <v>-94.39</v>
      </c>
      <c r="L92" s="18" t="n">
        <v>66.51000000000001</v>
      </c>
      <c r="M92" s="9" t="n"/>
      <c r="N92" s="18" t="n">
        <v>39.71</v>
      </c>
      <c r="O92" s="19" t="n">
        <v>-8.49</v>
      </c>
      <c r="P92" s="10" t="n"/>
      <c r="Q92" s="10" t="n"/>
      <c r="R92" s="11" t="n"/>
      <c r="S92" s="10" t="n"/>
      <c r="T92" s="10" t="n"/>
      <c r="U92" s="10" t="n"/>
      <c r="V92" s="10" t="n"/>
      <c r="W92" s="11" t="n"/>
      <c r="X92" s="10" t="n"/>
      <c r="Y92" s="10" t="n"/>
      <c r="Z92" s="10" t="n"/>
      <c r="AA92" s="10" t="n"/>
      <c r="AB92" s="11" t="n"/>
    </row>
    <row r="93">
      <c r="A93" t="n">
        <v>1</v>
      </c>
      <c r="C93" t="inlineStr">
        <is>
          <t>(비지배주주지분)당기순이익</t>
        </is>
      </c>
      <c r="H93" s="9" t="n"/>
      <c r="I93" s="18" t="n">
        <v>0</v>
      </c>
      <c r="J93" s="18" t="n">
        <v>0</v>
      </c>
      <c r="K93" s="18" t="n">
        <v>0</v>
      </c>
      <c r="L93" s="18" t="n">
        <v>0</v>
      </c>
      <c r="M93" s="37" t="n">
        <v>0</v>
      </c>
      <c r="N93" s="18" t="n">
        <v>0</v>
      </c>
      <c r="O93" s="19" t="n">
        <v>0</v>
      </c>
      <c r="P93" s="10" t="n"/>
      <c r="Q93" s="10" t="n"/>
      <c r="R93" s="11" t="n"/>
      <c r="S93" s="10" t="n"/>
      <c r="T93" s="10" t="n"/>
      <c r="U93" s="10" t="n"/>
      <c r="V93" s="10" t="n"/>
      <c r="W93" s="11" t="n"/>
      <c r="X93" s="10" t="n"/>
      <c r="Y93" s="10" t="n"/>
      <c r="Z93" s="10" t="n"/>
      <c r="AA93" s="10" t="n"/>
      <c r="AB93" s="11" t="n"/>
    </row>
    <row r="94">
      <c r="A94" t="n">
        <v>1</v>
      </c>
      <c r="C94" t="inlineStr">
        <is>
          <t>영업활동으로인한현금흐름</t>
        </is>
      </c>
      <c r="E94" s="18" t="n">
        <v>48975.94</v>
      </c>
      <c r="F94" s="18" t="n">
        <v>80886.64</v>
      </c>
      <c r="G94" s="18" t="n">
        <v>37322.58</v>
      </c>
      <c r="H94" s="9" t="n"/>
      <c r="I94" s="18" t="n">
        <v>98176.78999999999</v>
      </c>
      <c r="J94" s="18" t="n">
        <v>57778.41</v>
      </c>
      <c r="K94" s="18" t="n">
        <v>83213.62</v>
      </c>
      <c r="L94" s="18" t="n">
        <v>84958.92999999999</v>
      </c>
      <c r="M94" s="37" t="n">
        <v>324127.75</v>
      </c>
      <c r="N94" s="18" t="n">
        <v>45323.72</v>
      </c>
      <c r="O94" s="19" t="n">
        <v>68374.59</v>
      </c>
      <c r="P94" s="10" t="n"/>
      <c r="Q94" s="10" t="n"/>
      <c r="R94" s="11" t="n"/>
      <c r="S94" s="10" t="n"/>
      <c r="T94" s="10" t="n"/>
      <c r="U94" s="10" t="n"/>
      <c r="V94" s="10" t="n"/>
      <c r="W94" s="11" t="n"/>
      <c r="X94" s="10" t="n"/>
      <c r="Y94" s="10" t="n"/>
      <c r="Z94" s="10" t="n"/>
      <c r="AA94" s="10" t="n"/>
      <c r="AB94" s="11" t="n"/>
    </row>
    <row r="95">
      <c r="A95" t="n">
        <v>1</v>
      </c>
      <c r="C95" t="inlineStr">
        <is>
          <t>이자수취(CF)</t>
        </is>
      </c>
      <c r="E95" s="18" t="n">
        <v>1757.68</v>
      </c>
      <c r="F95" s="18" t="n">
        <v>2957.29</v>
      </c>
      <c r="G95" s="18" t="n">
        <v>2880.29</v>
      </c>
      <c r="H95" s="9" t="n"/>
      <c r="I95" s="18" t="n">
        <v>5712.82</v>
      </c>
      <c r="J95" s="18" t="n">
        <v>3420.95</v>
      </c>
      <c r="K95" s="18" t="n">
        <v>3062.74</v>
      </c>
      <c r="L95" s="18" t="n">
        <v>4949.73</v>
      </c>
      <c r="M95" s="37" t="n">
        <v>17146.24</v>
      </c>
      <c r="N95" s="18" t="n">
        <v>3301.24</v>
      </c>
      <c r="O95" s="19" t="n">
        <v>5091.02</v>
      </c>
      <c r="P95" s="10" t="n"/>
      <c r="Q95" s="10" t="n"/>
      <c r="R95" s="11" t="n"/>
      <c r="S95" s="10" t="n"/>
      <c r="T95" s="10" t="n"/>
      <c r="U95" s="10" t="n"/>
      <c r="V95" s="10" t="n"/>
      <c r="W95" s="11" t="n"/>
      <c r="X95" s="10" t="n"/>
      <c r="Y95" s="10" t="n"/>
      <c r="Z95" s="10" t="n"/>
      <c r="AA95" s="10" t="n"/>
      <c r="AB95" s="11" t="n"/>
    </row>
    <row r="96">
      <c r="A96" t="n">
        <v>1</v>
      </c>
      <c r="C96" t="inlineStr">
        <is>
          <t>이자지급(CF)</t>
        </is>
      </c>
      <c r="E96" s="18" t="n">
        <v>-1604.86</v>
      </c>
      <c r="F96" s="18" t="n">
        <v>-357.88</v>
      </c>
      <c r="G96" s="18" t="n">
        <v>-463.1</v>
      </c>
      <c r="H96" s="9" t="n"/>
      <c r="I96" s="18" t="n">
        <v>-283.2</v>
      </c>
      <c r="J96" s="18" t="n">
        <v>-287.58</v>
      </c>
      <c r="K96" s="18" t="n">
        <v>-252.97</v>
      </c>
      <c r="L96" s="18" t="n">
        <v>-234.86</v>
      </c>
      <c r="M96" s="37" t="n">
        <v>-1058.61</v>
      </c>
      <c r="N96" s="18" t="n">
        <v>-244.23</v>
      </c>
      <c r="O96" s="19" t="n">
        <v>-385.24</v>
      </c>
      <c r="P96" s="10" t="n"/>
      <c r="Q96" s="10" t="n"/>
      <c r="R96" s="11" t="n"/>
      <c r="S96" s="10" t="n"/>
      <c r="T96" s="10" t="n"/>
      <c r="U96" s="10" t="n"/>
      <c r="V96" s="10" t="n"/>
      <c r="W96" s="11" t="n"/>
      <c r="X96" s="10" t="n"/>
      <c r="Y96" s="10" t="n"/>
      <c r="Z96" s="10" t="n"/>
      <c r="AA96" s="10" t="n"/>
      <c r="AB96" s="11" t="n"/>
    </row>
    <row r="97">
      <c r="A97" t="n">
        <v>1</v>
      </c>
      <c r="C97" t="inlineStr">
        <is>
          <t>법인세납부(CF)</t>
        </is>
      </c>
      <c r="E97" s="18" t="n">
        <v>-27169.56</v>
      </c>
      <c r="F97" s="18" t="n">
        <v>-27556.01</v>
      </c>
      <c r="G97" s="18" t="n">
        <v>-599.8200000000001</v>
      </c>
      <c r="H97" s="9" t="n"/>
      <c r="I97" s="18" t="n">
        <v>-13619.73</v>
      </c>
      <c r="J97" s="18" t="n">
        <v>-17117.81</v>
      </c>
      <c r="K97" s="18" t="n">
        <v>-17933.43</v>
      </c>
      <c r="L97" s="18" t="n">
        <v>-17646.7</v>
      </c>
      <c r="M97" s="37" t="n">
        <v>-66317.67</v>
      </c>
      <c r="N97" s="18" t="n">
        <v>-20733.94</v>
      </c>
      <c r="O97" s="19" t="n">
        <v>-27277.39</v>
      </c>
      <c r="P97" s="10" t="n"/>
      <c r="Q97" s="10" t="n"/>
      <c r="R97" s="11" t="n"/>
      <c r="S97" s="10" t="n"/>
      <c r="T97" s="10" t="n"/>
      <c r="U97" s="10" t="n"/>
      <c r="V97" s="10" t="n"/>
      <c r="W97" s="11" t="n"/>
      <c r="X97" s="10" t="n"/>
      <c r="Y97" s="10" t="n"/>
      <c r="Z97" s="10" t="n"/>
      <c r="AA97" s="10" t="n"/>
      <c r="AB97" s="11" t="n"/>
    </row>
    <row r="98">
      <c r="A98" t="n">
        <v>1</v>
      </c>
      <c r="C98" t="inlineStr">
        <is>
          <t>투자활동으로인한현금흐름</t>
        </is>
      </c>
      <c r="E98" s="18" t="n">
        <v>-129530.4</v>
      </c>
      <c r="F98" s="18" t="n">
        <v>-130593.67</v>
      </c>
      <c r="G98" s="18" t="n">
        <v>66259.99000000001</v>
      </c>
      <c r="H98" s="9" t="n"/>
      <c r="I98" s="18" t="n">
        <v>61238.08</v>
      </c>
      <c r="J98" s="18" t="n">
        <v>-83764.12</v>
      </c>
      <c r="K98" s="18" t="n">
        <v>37256.68</v>
      </c>
      <c r="L98" s="18" t="n">
        <v>-36051.79</v>
      </c>
      <c r="M98" s="37" t="n">
        <v>-21321.15</v>
      </c>
      <c r="N98" s="18" t="n">
        <v>6632.48</v>
      </c>
      <c r="O98" s="19" t="n">
        <v>82124.3</v>
      </c>
      <c r="P98" s="10" t="n"/>
      <c r="Q98" s="10" t="n"/>
      <c r="R98" s="11" t="n"/>
      <c r="S98" s="10" t="n"/>
      <c r="T98" s="10" t="n"/>
      <c r="U98" s="10" t="n"/>
      <c r="V98" s="10" t="n"/>
      <c r="W98" s="11" t="n"/>
      <c r="X98" s="10" t="n"/>
      <c r="Y98" s="10" t="n"/>
      <c r="Z98" s="10" t="n"/>
      <c r="AA98" s="10" t="n"/>
      <c r="AB98" s="11" t="n"/>
    </row>
    <row r="99">
      <c r="A99" t="n">
        <v>1</v>
      </c>
      <c r="C99" t="inlineStr">
        <is>
          <t>유형자산의증가</t>
        </is>
      </c>
      <c r="E99" s="18" t="n">
        <v>2582.99</v>
      </c>
      <c r="F99" s="18" t="n">
        <v>2598.18</v>
      </c>
      <c r="G99" s="18" t="n">
        <v>2476.77</v>
      </c>
      <c r="H99" s="9" t="n"/>
      <c r="I99" s="18" t="n">
        <v>3733.33</v>
      </c>
      <c r="J99" s="18" t="n">
        <v>5639.96</v>
      </c>
      <c r="K99" s="18" t="n">
        <v>2015.11</v>
      </c>
      <c r="L99" s="18" t="n">
        <v>5773.13</v>
      </c>
      <c r="M99" s="37" t="n">
        <v>17161.53</v>
      </c>
      <c r="N99" s="18" t="n">
        <v>4087</v>
      </c>
      <c r="O99" s="19" t="n">
        <v>2395.59</v>
      </c>
      <c r="P99" s="10" t="n"/>
      <c r="Q99" s="10" t="n"/>
      <c r="R99" s="11" t="n"/>
      <c r="S99" s="10" t="n"/>
      <c r="T99" s="10" t="n"/>
      <c r="U99" s="10" t="n"/>
      <c r="V99" s="10" t="n"/>
      <c r="W99" s="11" t="n"/>
      <c r="X99" s="10" t="n"/>
      <c r="Y99" s="10" t="n"/>
      <c r="Z99" s="10" t="n"/>
      <c r="AA99" s="10" t="n"/>
      <c r="AB99" s="11" t="n"/>
    </row>
    <row r="100">
      <c r="A100" t="n">
        <v>1</v>
      </c>
      <c r="C100" t="inlineStr">
        <is>
          <t>CAPEX</t>
        </is>
      </c>
      <c r="E100" s="18" t="n">
        <v>2582.99</v>
      </c>
      <c r="F100" s="18" t="n">
        <v>2598.18</v>
      </c>
      <c r="G100" s="18" t="n">
        <v>2841.47</v>
      </c>
      <c r="H100" s="9" t="n"/>
      <c r="I100" s="18" t="n">
        <v>3733.33</v>
      </c>
      <c r="J100" s="18" t="n">
        <v>5639.96</v>
      </c>
      <c r="K100" s="18" t="n">
        <v>2869.32</v>
      </c>
      <c r="L100" s="18" t="n">
        <v>5773.13</v>
      </c>
      <c r="M100" s="37" t="n">
        <v>18015.74</v>
      </c>
      <c r="N100" s="18" t="n">
        <v>4087</v>
      </c>
      <c r="O100" s="19" t="n">
        <v>2395.59</v>
      </c>
      <c r="P100" s="10" t="n"/>
      <c r="Q100" s="10" t="n"/>
      <c r="R100" s="11" t="n"/>
      <c r="S100" s="10" t="n"/>
      <c r="T100" s="10" t="n"/>
      <c r="U100" s="10" t="n"/>
      <c r="V100" s="10" t="n"/>
      <c r="W100" s="11" t="n"/>
      <c r="X100" s="10" t="n"/>
      <c r="Y100" s="10" t="n"/>
      <c r="Z100" s="10" t="n"/>
      <c r="AA100" s="10" t="n"/>
      <c r="AB100" s="11" t="n"/>
    </row>
    <row r="101">
      <c r="A101" t="n">
        <v>1</v>
      </c>
      <c r="C101" t="inlineStr">
        <is>
          <t>재무활동으로인한현금흐름</t>
        </is>
      </c>
      <c r="E101" s="18" t="n">
        <v>222645.97</v>
      </c>
      <c r="F101" s="18" t="n">
        <v>-47600.29</v>
      </c>
      <c r="G101" s="18" t="n">
        <v>-29541.57</v>
      </c>
      <c r="H101" s="9" t="n"/>
      <c r="I101" s="18" t="n">
        <v>-2004.31</v>
      </c>
      <c r="J101" s="18" t="n">
        <v>-151633.73</v>
      </c>
      <c r="K101" s="18" t="n">
        <v>-36248.22</v>
      </c>
      <c r="L101" s="18" t="n">
        <v>-33365.41</v>
      </c>
      <c r="M101" s="37" t="n">
        <v>-223251.67</v>
      </c>
      <c r="N101" s="18" t="n">
        <v>-2009.1</v>
      </c>
      <c r="O101" s="19" t="n">
        <v>-125996.3</v>
      </c>
      <c r="P101" s="10" t="n"/>
      <c r="Q101" s="10" t="n"/>
      <c r="R101" s="11" t="n"/>
      <c r="S101" s="10" t="n"/>
      <c r="T101" s="10" t="n"/>
      <c r="U101" s="10" t="n"/>
      <c r="V101" s="10" t="n"/>
      <c r="W101" s="11" t="n"/>
      <c r="X101" s="10" t="n"/>
      <c r="Y101" s="10" t="n"/>
      <c r="Z101" s="10" t="n"/>
      <c r="AA101" s="10" t="n"/>
      <c r="AB101" s="11" t="n"/>
    </row>
    <row r="102">
      <c r="A102" t="n">
        <v>1</v>
      </c>
      <c r="C102" t="inlineStr">
        <is>
          <t>리스부채의상환</t>
        </is>
      </c>
      <c r="E102" s="18" t="n">
        <v>1928.5</v>
      </c>
      <c r="F102" s="18" t="n">
        <v>1954.2</v>
      </c>
      <c r="G102" s="18" t="n">
        <v>1926.62</v>
      </c>
      <c r="H102" s="9" t="n"/>
      <c r="I102" s="18" t="n">
        <v>2002.36</v>
      </c>
      <c r="J102" s="18" t="n">
        <v>2070.3</v>
      </c>
      <c r="K102" s="18" t="n">
        <v>2011.89</v>
      </c>
      <c r="L102" s="18" t="n">
        <v>2091.22</v>
      </c>
      <c r="M102" s="37" t="n">
        <v>8175.77</v>
      </c>
      <c r="N102" s="18" t="n">
        <v>2114.11</v>
      </c>
      <c r="O102" s="19" t="n">
        <v>2706.97</v>
      </c>
      <c r="P102" s="10" t="n"/>
      <c r="Q102" s="10" t="n"/>
      <c r="R102" s="11" t="n"/>
      <c r="S102" s="10" t="n"/>
      <c r="T102" s="10" t="n"/>
      <c r="U102" s="10" t="n"/>
      <c r="V102" s="10" t="n"/>
      <c r="W102" s="11" t="n"/>
      <c r="X102" s="10" t="n"/>
      <c r="Y102" s="10" t="n"/>
      <c r="Z102" s="10" t="n"/>
      <c r="AA102" s="10" t="n"/>
      <c r="AB102" s="11" t="n"/>
    </row>
    <row r="103">
      <c r="A103" t="n">
        <v>1</v>
      </c>
      <c r="C103" t="inlineStr">
        <is>
          <t>현금및현금성자산의증감</t>
        </is>
      </c>
      <c r="E103" s="18" t="n">
        <v>143040.25</v>
      </c>
      <c r="F103" s="18" t="n">
        <v>-98723.36</v>
      </c>
      <c r="H103" s="9" t="n"/>
      <c r="I103" s="18" t="n">
        <v>157303.7</v>
      </c>
      <c r="J103" s="18" t="n">
        <v>-179991.87</v>
      </c>
      <c r="K103" s="18" t="n">
        <v>85532.64</v>
      </c>
      <c r="L103" s="18" t="n">
        <v>16613.5</v>
      </c>
      <c r="M103" s="37" t="n">
        <v>79457.97</v>
      </c>
      <c r="N103" s="18" t="n">
        <v>52748.77</v>
      </c>
      <c r="O103" s="19" t="n">
        <v>25767.87</v>
      </c>
      <c r="P103" s="10" t="n"/>
      <c r="Q103" s="10" t="n"/>
      <c r="R103" s="11" t="n"/>
      <c r="S103" s="10" t="n"/>
      <c r="T103" s="10" t="n"/>
      <c r="U103" s="10" t="n"/>
      <c r="V103" s="10" t="n"/>
      <c r="W103" s="11" t="n"/>
      <c r="X103" s="10" t="n"/>
      <c r="Y103" s="10" t="n"/>
      <c r="Z103" s="10" t="n"/>
      <c r="AA103" s="10" t="n"/>
      <c r="AB103" s="11" t="n"/>
    </row>
    <row r="104">
      <c r="A104" t="n">
        <v>1</v>
      </c>
      <c r="C104" t="inlineStr">
        <is>
          <t>기말현금및현금성자산</t>
        </is>
      </c>
      <c r="E104" s="18" t="n">
        <v>143040.25</v>
      </c>
      <c r="F104" s="18" t="n">
        <v>-98723.36</v>
      </c>
      <c r="H104" s="9" t="n"/>
      <c r="I104" s="18" t="n">
        <v>455769.77</v>
      </c>
      <c r="J104" s="18" t="n">
        <v>-179991.86</v>
      </c>
      <c r="K104" s="18" t="n">
        <v>85532.63</v>
      </c>
      <c r="L104" s="18" t="n">
        <v>16613.5</v>
      </c>
      <c r="M104" s="37" t="n">
        <v>377924.04</v>
      </c>
      <c r="N104" s="18" t="n">
        <v>430672.81</v>
      </c>
      <c r="O104" s="19" t="n">
        <v>25767.87</v>
      </c>
      <c r="P104" s="10" t="n"/>
      <c r="Q104" s="10" t="n"/>
      <c r="R104" s="11" t="n"/>
      <c r="S104" s="10" t="n"/>
      <c r="T104" s="10" t="n"/>
      <c r="U104" s="10" t="n"/>
      <c r="V104" s="10" t="n"/>
      <c r="W104" s="11" t="n"/>
      <c r="X104" s="10" t="n"/>
      <c r="Y104" s="10" t="n"/>
      <c r="Z104" s="10" t="n"/>
      <c r="AA104" s="10" t="n"/>
      <c r="AB104" s="11" t="n"/>
    </row>
    <row r="105">
      <c r="A105" t="n">
        <v>1</v>
      </c>
      <c r="C105" t="inlineStr">
        <is>
          <t>유형자산의감소</t>
        </is>
      </c>
      <c r="F105" s="18" t="n">
        <v>0</v>
      </c>
      <c r="G105" s="18" t="n">
        <v>0</v>
      </c>
      <c r="H105" s="9" t="n"/>
      <c r="K105" s="18" t="n">
        <v>104.72</v>
      </c>
      <c r="L105" s="18" t="n">
        <v>3.95</v>
      </c>
      <c r="M105" s="9" t="n"/>
      <c r="N105" s="18" t="n">
        <v>400.77</v>
      </c>
      <c r="O105" s="19" t="n">
        <v>0</v>
      </c>
      <c r="P105" s="10" t="n"/>
      <c r="Q105" s="10" t="n"/>
      <c r="R105" s="11" t="n"/>
      <c r="S105" s="10" t="n"/>
      <c r="T105" s="10" t="n"/>
      <c r="U105" s="10" t="n"/>
      <c r="V105" s="10" t="n"/>
      <c r="W105" s="11" t="n"/>
      <c r="X105" s="10" t="n"/>
      <c r="Y105" s="10" t="n"/>
      <c r="Z105" s="10" t="n"/>
      <c r="AA105" s="10" t="n"/>
      <c r="AB105" s="11" t="n"/>
    </row>
    <row r="106">
      <c r="A106" t="n">
        <v>1</v>
      </c>
      <c r="C106" t="inlineStr">
        <is>
          <t>배당금지급</t>
        </is>
      </c>
      <c r="F106" s="18" t="n">
        <v>20002.5</v>
      </c>
      <c r="G106" s="18" t="n">
        <v>0</v>
      </c>
      <c r="H106" s="9" t="n"/>
      <c r="K106" s="18" t="n">
        <v>31380.45</v>
      </c>
      <c r="L106" s="18" t="n">
        <v>31380.45</v>
      </c>
      <c r="M106" s="9" t="n"/>
      <c r="O106" s="5" t="n"/>
      <c r="P106" s="10" t="n"/>
      <c r="Q106" s="10" t="n"/>
      <c r="R106" s="11" t="n"/>
      <c r="S106" s="10" t="n"/>
      <c r="T106" s="10" t="n"/>
      <c r="U106" s="10" t="n"/>
      <c r="V106" s="10" t="n"/>
      <c r="W106" s="11" t="n"/>
      <c r="X106" s="10" t="n"/>
      <c r="Y106" s="10" t="n"/>
      <c r="Z106" s="10" t="n"/>
      <c r="AA106" s="10" t="n"/>
      <c r="AB106" s="11" t="n"/>
    </row>
    <row r="107">
      <c r="A107" t="n">
        <v>1</v>
      </c>
      <c r="C107" t="inlineStr">
        <is>
          <t>무형자산의증가</t>
        </is>
      </c>
      <c r="H107" s="9" t="n"/>
      <c r="L107" s="18" t="n">
        <v>0</v>
      </c>
      <c r="M107" s="9" t="n"/>
      <c r="O107" s="5" t="n"/>
      <c r="P107" s="10" t="n"/>
      <c r="Q107" s="10" t="n"/>
      <c r="R107" s="11" t="n"/>
      <c r="S107" s="10" t="n"/>
      <c r="T107" s="10" t="n"/>
      <c r="U107" s="10" t="n"/>
      <c r="V107" s="10" t="n"/>
      <c r="W107" s="11" t="n"/>
      <c r="X107" s="10" t="n"/>
      <c r="Y107" s="10" t="n"/>
      <c r="Z107" s="10" t="n"/>
      <c r="AA107" s="10" t="n"/>
      <c r="AB107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9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2Q24</t>
        </is>
      </c>
      <c r="F1" s="3" t="inlineStr">
        <is>
          <t>3Q24</t>
        </is>
      </c>
      <c r="G1" s="3" t="inlineStr">
        <is>
          <t>4Q24</t>
        </is>
      </c>
      <c r="H1" s="3" t="n">
        <v>2024</v>
      </c>
      <c r="I1" s="3" t="inlineStr">
        <is>
          <t>1Q25</t>
        </is>
      </c>
      <c r="J1" s="3" t="inlineStr">
        <is>
          <t>2Q25</t>
        </is>
      </c>
      <c r="K1" s="3" t="inlineStr">
        <is>
          <t>3Q25</t>
        </is>
      </c>
      <c r="L1" s="3" t="inlineStr">
        <is>
          <t>4Q25</t>
        </is>
      </c>
      <c r="M1" s="3" t="n">
        <v>2025</v>
      </c>
      <c r="N1" s="3" t="inlineStr">
        <is>
          <t>1Q26</t>
        </is>
      </c>
      <c r="O1" s="4" t="inlineStr">
        <is>
          <t>2Q26</t>
        </is>
      </c>
      <c r="P1" s="3" t="inlineStr">
        <is>
          <t>3Q26</t>
        </is>
      </c>
      <c r="Q1" s="3" t="inlineStr">
        <is>
          <t>4Q26</t>
        </is>
      </c>
      <c r="R1" s="3" t="n">
        <v>2026</v>
      </c>
      <c r="S1" s="3" t="inlineStr">
        <is>
          <t>1Q27</t>
        </is>
      </c>
      <c r="T1" s="3" t="inlineStr">
        <is>
          <t>2Q27</t>
        </is>
      </c>
      <c r="U1" s="3" t="inlineStr">
        <is>
          <t>3Q27</t>
        </is>
      </c>
      <c r="V1" s="3" t="inlineStr">
        <is>
          <t>4Q27</t>
        </is>
      </c>
      <c r="W1" s="3" t="n">
        <v>2027</v>
      </c>
      <c r="X1" s="3" t="inlineStr">
        <is>
          <t>1Q28</t>
        </is>
      </c>
      <c r="Y1" s="3" t="inlineStr">
        <is>
          <t>2Q28</t>
        </is>
      </c>
      <c r="Z1" s="3" t="inlineStr">
        <is>
          <t>3Q28</t>
        </is>
      </c>
      <c r="AA1" s="3" t="inlineStr">
        <is>
          <t>4Q28</t>
        </is>
      </c>
      <c r="AB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O2" s="5" t="n"/>
    </row>
    <row r="3">
      <c r="B3" t="inlineStr">
        <is>
          <t>HD현대마린솔루션(별)</t>
        </is>
      </c>
      <c r="C3" s="2" t="inlineStr">
        <is>
          <t>UPDATE: 26-10-13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6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2024.06</t>
        </is>
      </c>
      <c r="F4" s="7" t="inlineStr">
        <is>
          <t>2024.09</t>
        </is>
      </c>
      <c r="G4" s="7" t="inlineStr">
        <is>
          <t>2024.12</t>
        </is>
      </c>
      <c r="H4" s="7" t="inlineStr">
        <is>
          <t>2024.12A</t>
        </is>
      </c>
      <c r="I4" s="7" t="inlineStr">
        <is>
          <t>2025.03</t>
        </is>
      </c>
      <c r="J4" s="7" t="inlineStr">
        <is>
          <t>2025.06</t>
        </is>
      </c>
      <c r="K4" s="7" t="inlineStr">
        <is>
          <t>2025.09</t>
        </is>
      </c>
      <c r="L4" s="7" t="inlineStr">
        <is>
          <t>2025.12</t>
        </is>
      </c>
      <c r="M4" s="7" t="inlineStr">
        <is>
          <t>2025.12A</t>
        </is>
      </c>
      <c r="N4" s="7" t="inlineStr">
        <is>
          <t>2026.03</t>
        </is>
      </c>
      <c r="O4" s="8" t="inlineStr">
        <is>
          <t>2026.06</t>
        </is>
      </c>
      <c r="P4" s="7" t="inlineStr">
        <is>
          <t>2026.09</t>
        </is>
      </c>
      <c r="Q4" s="7" t="inlineStr">
        <is>
          <t>2026.12</t>
        </is>
      </c>
      <c r="R4" s="7" t="inlineStr">
        <is>
          <t>2026.12A</t>
        </is>
      </c>
      <c r="S4" s="7" t="inlineStr">
        <is>
          <t>2027.03</t>
        </is>
      </c>
      <c r="T4" s="7" t="inlineStr">
        <is>
          <t>2027.06</t>
        </is>
      </c>
      <c r="U4" s="7" t="inlineStr">
        <is>
          <t>2027.09</t>
        </is>
      </c>
      <c r="V4" s="7" t="inlineStr">
        <is>
          <t>2027.12</t>
        </is>
      </c>
      <c r="W4" s="7" t="inlineStr">
        <is>
          <t>2027.12A</t>
        </is>
      </c>
      <c r="X4" s="7" t="inlineStr">
        <is>
          <t>2028.03</t>
        </is>
      </c>
      <c r="Y4" s="7" t="inlineStr">
        <is>
          <t>2028.06</t>
        </is>
      </c>
      <c r="Z4" s="7" t="inlineStr">
        <is>
          <t>2028.09</t>
        </is>
      </c>
      <c r="AA4" s="7" t="inlineStr">
        <is>
          <t>2028.12</t>
        </is>
      </c>
      <c r="AB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883902.77</v>
      </c>
      <c r="F5" s="18" t="n">
        <v>880210.4300000001</v>
      </c>
      <c r="G5" s="18" t="n">
        <v>910176.47</v>
      </c>
      <c r="H5" s="37" t="n">
        <v>910176.47</v>
      </c>
      <c r="I5" s="18" t="n">
        <v>974324.86</v>
      </c>
      <c r="J5" s="18" t="n">
        <v>868596.21</v>
      </c>
      <c r="K5" s="18" t="n">
        <v>905002.35</v>
      </c>
      <c r="L5" s="18" t="n">
        <v>989677.1800000001</v>
      </c>
      <c r="M5" s="37" t="n">
        <v>989677.1800000001</v>
      </c>
      <c r="N5" s="18" t="n">
        <v>1049311.18</v>
      </c>
      <c r="O5" s="19" t="n">
        <v>1055321.56</v>
      </c>
      <c r="P5" s="10" t="n"/>
      <c r="Q5" s="10" t="n"/>
      <c r="R5" s="11" t="n"/>
      <c r="S5" s="10" t="n"/>
      <c r="T5" s="10" t="n"/>
      <c r="U5" s="10" t="n"/>
      <c r="V5" s="10" t="n"/>
      <c r="W5" s="11" t="n"/>
      <c r="X5" s="10" t="n"/>
      <c r="Y5" s="10" t="n"/>
      <c r="Z5" s="10" t="n"/>
      <c r="AA5" s="10" t="n"/>
      <c r="AB5" s="11" t="n"/>
    </row>
    <row r="6">
      <c r="A6" t="n">
        <v>1</v>
      </c>
      <c r="C6" t="inlineStr">
        <is>
          <t>현금및현금성자산</t>
        </is>
      </c>
      <c r="E6" s="18" t="n">
        <v>285853.89</v>
      </c>
      <c r="F6" s="18" t="n">
        <v>200840.24</v>
      </c>
      <c r="G6" s="18" t="n">
        <v>272638.23</v>
      </c>
      <c r="H6" s="37" t="n">
        <v>272638.23</v>
      </c>
      <c r="I6" s="18" t="n">
        <v>429223.17</v>
      </c>
      <c r="J6" s="18" t="n">
        <v>238214.98</v>
      </c>
      <c r="K6" s="18" t="n">
        <v>319812.06</v>
      </c>
      <c r="L6" s="18" t="n">
        <v>319123.45</v>
      </c>
      <c r="M6" s="37" t="n">
        <v>319123.45</v>
      </c>
      <c r="N6" s="18" t="n">
        <v>376504.38</v>
      </c>
      <c r="O6" s="19" t="n">
        <v>396609.2</v>
      </c>
      <c r="P6" s="10" t="n"/>
      <c r="Q6" s="10" t="n"/>
      <c r="R6" s="11" t="n"/>
      <c r="S6" s="10" t="n"/>
      <c r="T6" s="10" t="n"/>
      <c r="U6" s="10" t="n"/>
      <c r="V6" s="10" t="n"/>
      <c r="W6" s="11" t="n"/>
      <c r="X6" s="10" t="n"/>
      <c r="Y6" s="10" t="n"/>
      <c r="Z6" s="10" t="n"/>
      <c r="AA6" s="10" t="n"/>
      <c r="AB6" s="11" t="n"/>
    </row>
    <row r="7">
      <c r="A7" t="n">
        <v>1</v>
      </c>
      <c r="C7" t="inlineStr">
        <is>
          <t>단기금융상품</t>
        </is>
      </c>
      <c r="E7" s="18" t="n">
        <v>127000</v>
      </c>
      <c r="F7" s="18" t="n">
        <v>252000</v>
      </c>
      <c r="G7" s="18" t="n">
        <v>182950</v>
      </c>
      <c r="H7" s="37" t="n">
        <v>182950</v>
      </c>
      <c r="I7" s="18" t="n">
        <v>117950</v>
      </c>
      <c r="J7" s="18" t="n">
        <v>196250</v>
      </c>
      <c r="K7" s="18" t="n">
        <v>156250</v>
      </c>
      <c r="L7" s="18" t="n">
        <v>186250</v>
      </c>
      <c r="M7" s="37" t="n">
        <v>186250</v>
      </c>
      <c r="N7" s="18" t="n">
        <v>175800</v>
      </c>
      <c r="O7" s="19" t="n">
        <v>91300</v>
      </c>
      <c r="P7" s="10" t="n"/>
      <c r="Q7" s="10" t="n"/>
      <c r="R7" s="11" t="n"/>
      <c r="S7" s="10" t="n"/>
      <c r="T7" s="10" t="n"/>
      <c r="U7" s="10" t="n"/>
      <c r="V7" s="10" t="n"/>
      <c r="W7" s="11" t="n"/>
      <c r="X7" s="10" t="n"/>
      <c r="Y7" s="10" t="n"/>
      <c r="Z7" s="10" t="n"/>
      <c r="AA7" s="10" t="n"/>
      <c r="AB7" s="11" t="n"/>
    </row>
    <row r="8">
      <c r="A8" t="n">
        <v>1</v>
      </c>
      <c r="C8" t="inlineStr">
        <is>
          <t>단기금융자산</t>
        </is>
      </c>
      <c r="E8" s="18" t="n">
        <v>127035.26</v>
      </c>
      <c r="F8" s="18" t="n">
        <v>252000</v>
      </c>
      <c r="G8" s="18" t="n">
        <v>182950</v>
      </c>
      <c r="H8" s="37" t="n">
        <v>182950</v>
      </c>
      <c r="I8" s="18" t="n">
        <v>117950</v>
      </c>
      <c r="J8" s="18" t="n">
        <v>196293.44</v>
      </c>
      <c r="K8" s="18" t="n">
        <v>156356.89</v>
      </c>
      <c r="L8" s="18" t="n">
        <v>186548.77</v>
      </c>
      <c r="M8" s="37" t="n">
        <v>186548.77</v>
      </c>
      <c r="N8" s="18" t="n">
        <v>176429.82</v>
      </c>
      <c r="O8" s="19" t="n">
        <v>91813.83</v>
      </c>
      <c r="P8" s="10" t="n"/>
      <c r="Q8" s="10" t="n"/>
      <c r="R8" s="11" t="n"/>
      <c r="S8" s="10" t="n"/>
      <c r="T8" s="10" t="n"/>
      <c r="U8" s="10" t="n"/>
      <c r="V8" s="10" t="n"/>
      <c r="W8" s="11" t="n"/>
      <c r="X8" s="10" t="n"/>
      <c r="Y8" s="10" t="n"/>
      <c r="Z8" s="10" t="n"/>
      <c r="AA8" s="10" t="n"/>
      <c r="AB8" s="11" t="n"/>
    </row>
    <row r="9">
      <c r="A9" t="n">
        <v>1</v>
      </c>
      <c r="C9" t="inlineStr">
        <is>
          <t>매출채권및기타채권</t>
        </is>
      </c>
      <c r="E9" s="18" t="n">
        <v>225993.18</v>
      </c>
      <c r="F9" s="18" t="n">
        <v>163445.61</v>
      </c>
      <c r="G9" s="18" t="n">
        <v>191556.89</v>
      </c>
      <c r="H9" s="37" t="n">
        <v>191556.89</v>
      </c>
      <c r="I9" s="18" t="n">
        <v>191705.93</v>
      </c>
      <c r="J9" s="18" t="n">
        <v>193598.11</v>
      </c>
      <c r="K9" s="18" t="n">
        <v>191606.26</v>
      </c>
      <c r="L9" s="18" t="n">
        <v>241307.48</v>
      </c>
      <c r="M9" s="37" t="n">
        <v>241307.48</v>
      </c>
      <c r="N9" s="18" t="n">
        <v>251127.62</v>
      </c>
      <c r="O9" s="19" t="n">
        <v>284745.36</v>
      </c>
      <c r="P9" s="10" t="n"/>
      <c r="Q9" s="10" t="n"/>
      <c r="R9" s="11" t="n"/>
      <c r="S9" s="10" t="n"/>
      <c r="T9" s="10" t="n"/>
      <c r="U9" s="10" t="n"/>
      <c r="V9" s="10" t="n"/>
      <c r="W9" s="11" t="n"/>
      <c r="X9" s="10" t="n"/>
      <c r="Y9" s="10" t="n"/>
      <c r="Z9" s="10" t="n"/>
      <c r="AA9" s="10" t="n"/>
      <c r="AB9" s="11" t="n"/>
    </row>
    <row r="10">
      <c r="A10" t="n">
        <v>1</v>
      </c>
      <c r="C10" t="inlineStr">
        <is>
          <t>계약자산</t>
        </is>
      </c>
      <c r="E10" s="18" t="n">
        <v>10836.09</v>
      </c>
      <c r="F10" s="18" t="n">
        <v>9541.129999999999</v>
      </c>
      <c r="G10" s="18" t="n">
        <v>16841.28</v>
      </c>
      <c r="H10" s="37" t="n">
        <v>16841.28</v>
      </c>
      <c r="I10" s="18" t="n">
        <v>7156.34</v>
      </c>
      <c r="J10" s="18" t="n">
        <v>4113.18</v>
      </c>
      <c r="K10" s="18" t="n">
        <v>5202.97</v>
      </c>
      <c r="L10" s="18" t="n">
        <v>6532.76</v>
      </c>
      <c r="M10" s="37" t="n">
        <v>6532.76</v>
      </c>
      <c r="N10" s="18" t="n">
        <v>5112.66</v>
      </c>
      <c r="O10" s="19" t="n">
        <v>10356.81</v>
      </c>
      <c r="P10" s="10" t="n"/>
      <c r="Q10" s="10" t="n"/>
      <c r="R10" s="11" t="n"/>
      <c r="S10" s="10" t="n"/>
      <c r="T10" s="10" t="n"/>
      <c r="U10" s="10" t="n"/>
      <c r="V10" s="10" t="n"/>
      <c r="W10" s="11" t="n"/>
      <c r="X10" s="10" t="n"/>
      <c r="Y10" s="10" t="n"/>
      <c r="Z10" s="10" t="n"/>
      <c r="AA10" s="10" t="n"/>
      <c r="AB10" s="11" t="n"/>
    </row>
    <row r="11">
      <c r="A11" t="n">
        <v>1</v>
      </c>
      <c r="C11" t="inlineStr">
        <is>
          <t>재고자산</t>
        </is>
      </c>
      <c r="E11" s="18" t="n">
        <v>189657.6</v>
      </c>
      <c r="F11" s="18" t="n">
        <v>200278.84</v>
      </c>
      <c r="G11" s="18" t="n">
        <v>210805.46</v>
      </c>
      <c r="H11" s="37" t="n">
        <v>210805.46</v>
      </c>
      <c r="I11" s="18" t="n">
        <v>198823.9</v>
      </c>
      <c r="J11" s="18" t="n">
        <v>209709.43</v>
      </c>
      <c r="K11" s="18" t="n">
        <v>210830.11</v>
      </c>
      <c r="L11" s="18" t="n">
        <v>216226.45</v>
      </c>
      <c r="M11" s="37" t="n">
        <v>216226.45</v>
      </c>
      <c r="N11" s="18" t="n">
        <v>221624.56</v>
      </c>
      <c r="O11" s="19" t="n">
        <v>247693.29</v>
      </c>
      <c r="P11" s="10" t="n"/>
      <c r="Q11" s="10" t="n"/>
      <c r="R11" s="11" t="n"/>
      <c r="S11" s="10" t="n"/>
      <c r="T11" s="10" t="n"/>
      <c r="U11" s="10" t="n"/>
      <c r="V11" s="10" t="n"/>
      <c r="W11" s="11" t="n"/>
      <c r="X11" s="10" t="n"/>
      <c r="Y11" s="10" t="n"/>
      <c r="Z11" s="10" t="n"/>
      <c r="AA11" s="10" t="n"/>
      <c r="AB11" s="11" t="n"/>
    </row>
    <row r="12">
      <c r="A12" t="n">
        <v>1</v>
      </c>
      <c r="C12" t="inlineStr">
        <is>
          <t>유동확정계약자산</t>
        </is>
      </c>
      <c r="E12" s="18" t="n">
        <v>35.26</v>
      </c>
      <c r="H12" s="9" t="n"/>
      <c r="J12" s="18" t="n">
        <v>43.44</v>
      </c>
      <c r="K12" s="18" t="n">
        <v>106.89</v>
      </c>
      <c r="L12" s="18" t="n">
        <v>213.33</v>
      </c>
      <c r="M12" s="37" t="n">
        <v>213.33</v>
      </c>
      <c r="N12" s="18" t="n">
        <v>557.3</v>
      </c>
      <c r="O12" s="19" t="n">
        <v>489.24</v>
      </c>
      <c r="P12" s="10" t="n"/>
      <c r="Q12" s="10" t="n"/>
      <c r="R12" s="11" t="n"/>
      <c r="S12" s="10" t="n"/>
      <c r="T12" s="10" t="n"/>
      <c r="U12" s="10" t="n"/>
      <c r="V12" s="10" t="n"/>
      <c r="W12" s="11" t="n"/>
      <c r="X12" s="10" t="n"/>
      <c r="Y12" s="10" t="n"/>
      <c r="Z12" s="10" t="n"/>
      <c r="AA12" s="10" t="n"/>
      <c r="AB12" s="11" t="n"/>
    </row>
    <row r="13">
      <c r="A13" t="n">
        <v>1</v>
      </c>
      <c r="C13" t="inlineStr">
        <is>
          <t>기타유동자산</t>
        </is>
      </c>
      <c r="E13" s="18" t="n">
        <v>44526.75</v>
      </c>
      <c r="F13" s="18" t="n">
        <v>54104.61</v>
      </c>
      <c r="G13" s="18" t="n">
        <v>35384.62</v>
      </c>
      <c r="H13" s="37" t="n">
        <v>35384.62</v>
      </c>
      <c r="I13" s="18" t="n">
        <v>29465.52</v>
      </c>
      <c r="J13" s="18" t="n">
        <v>26667.07</v>
      </c>
      <c r="K13" s="18" t="n">
        <v>21194.06</v>
      </c>
      <c r="L13" s="18" t="n">
        <v>19938.27</v>
      </c>
      <c r="M13" s="37" t="n">
        <v>19938.27</v>
      </c>
      <c r="N13" s="18" t="n">
        <v>18512.14</v>
      </c>
      <c r="O13" s="19" t="n">
        <v>24103.07</v>
      </c>
      <c r="P13" s="10" t="n"/>
      <c r="Q13" s="10" t="n"/>
      <c r="R13" s="11" t="n"/>
      <c r="S13" s="10" t="n"/>
      <c r="T13" s="10" t="n"/>
      <c r="U13" s="10" t="n"/>
      <c r="V13" s="10" t="n"/>
      <c r="W13" s="11" t="n"/>
      <c r="X13" s="10" t="n"/>
      <c r="Y13" s="10" t="n"/>
      <c r="Z13" s="10" t="n"/>
      <c r="AA13" s="10" t="n"/>
      <c r="AB13" s="11" t="n"/>
    </row>
    <row r="14">
      <c r="A14" t="n">
        <v>1</v>
      </c>
      <c r="C14" t="inlineStr">
        <is>
          <t>비유동자산</t>
        </is>
      </c>
      <c r="E14" s="18" t="n">
        <v>113406.01</v>
      </c>
      <c r="F14" s="18" t="n">
        <v>116897.55</v>
      </c>
      <c r="G14" s="18" t="n">
        <v>122729.23</v>
      </c>
      <c r="H14" s="37" t="n">
        <v>122729.23</v>
      </c>
      <c r="I14" s="18" t="n">
        <v>125912.5</v>
      </c>
      <c r="J14" s="18" t="n">
        <v>130211.83</v>
      </c>
      <c r="K14" s="18" t="n">
        <v>129353.66</v>
      </c>
      <c r="L14" s="18" t="n">
        <v>128390.47</v>
      </c>
      <c r="M14" s="37" t="n">
        <v>128390.47</v>
      </c>
      <c r="N14" s="18" t="n">
        <v>137624.68</v>
      </c>
      <c r="O14" s="19" t="n">
        <v>138512</v>
      </c>
      <c r="P14" s="10" t="n"/>
      <c r="Q14" s="10" t="n"/>
      <c r="R14" s="11" t="n"/>
      <c r="S14" s="10" t="n"/>
      <c r="T14" s="10" t="n"/>
      <c r="U14" s="10" t="n"/>
      <c r="V14" s="10" t="n"/>
      <c r="W14" s="11" t="n"/>
      <c r="X14" s="10" t="n"/>
      <c r="Y14" s="10" t="n"/>
      <c r="Z14" s="10" t="n"/>
      <c r="AA14" s="10" t="n"/>
      <c r="AB14" s="11" t="n"/>
    </row>
    <row r="15">
      <c r="A15" t="n">
        <v>1</v>
      </c>
      <c r="C15" t="inlineStr">
        <is>
          <t>종속기업및관계기업투자</t>
        </is>
      </c>
      <c r="E15" s="18" t="n">
        <v>68755.33</v>
      </c>
      <c r="F15" s="18" t="n">
        <v>71770.06</v>
      </c>
      <c r="G15" s="18" t="n">
        <v>71784.78999999999</v>
      </c>
      <c r="H15" s="37" t="n">
        <v>71784.78999999999</v>
      </c>
      <c r="I15" s="18" t="n">
        <v>71784.78999999999</v>
      </c>
      <c r="J15" s="18" t="n">
        <v>71784.78999999999</v>
      </c>
      <c r="K15" s="18" t="n">
        <v>71784.78999999999</v>
      </c>
      <c r="L15" s="18" t="n">
        <v>71784.78999999999</v>
      </c>
      <c r="M15" s="37" t="n">
        <v>71784.78999999999</v>
      </c>
      <c r="N15" s="18" t="n">
        <v>71784.78999999999</v>
      </c>
      <c r="O15" s="19" t="n">
        <v>71784.78999999999</v>
      </c>
      <c r="P15" s="10" t="n"/>
      <c r="Q15" s="10" t="n"/>
      <c r="R15" s="11" t="n"/>
      <c r="S15" s="10" t="n"/>
      <c r="T15" s="10" t="n"/>
      <c r="U15" s="10" t="n"/>
      <c r="V15" s="10" t="n"/>
      <c r="W15" s="11" t="n"/>
      <c r="X15" s="10" t="n"/>
      <c r="Y15" s="10" t="n"/>
      <c r="Z15" s="10" t="n"/>
      <c r="AA15" s="10" t="n"/>
      <c r="AB15" s="11" t="n"/>
    </row>
    <row r="16">
      <c r="A16" t="n">
        <v>1</v>
      </c>
      <c r="C16" t="inlineStr">
        <is>
          <t>투자자산</t>
        </is>
      </c>
      <c r="E16" s="18" t="n">
        <v>68828.03999999999</v>
      </c>
      <c r="F16" s="18" t="n">
        <v>71782.07000000001</v>
      </c>
      <c r="G16" s="18" t="n">
        <v>72005.10000000001</v>
      </c>
      <c r="H16" s="37" t="n">
        <v>72005.10000000001</v>
      </c>
      <c r="I16" s="18" t="n">
        <v>72021.99000000001</v>
      </c>
      <c r="J16" s="18" t="n">
        <v>71806.75999999999</v>
      </c>
      <c r="K16" s="18" t="n">
        <v>71837.71000000001</v>
      </c>
      <c r="L16" s="18" t="n">
        <v>71847.09</v>
      </c>
      <c r="M16" s="37" t="n">
        <v>71847.09</v>
      </c>
      <c r="N16" s="18" t="n">
        <v>71881.39</v>
      </c>
      <c r="O16" s="19" t="n">
        <v>71812.47</v>
      </c>
      <c r="P16" s="10" t="n"/>
      <c r="Q16" s="10" t="n"/>
      <c r="R16" s="11" t="n"/>
      <c r="S16" s="10" t="n"/>
      <c r="T16" s="10" t="n"/>
      <c r="U16" s="10" t="n"/>
      <c r="V16" s="10" t="n"/>
      <c r="W16" s="11" t="n"/>
      <c r="X16" s="10" t="n"/>
      <c r="Y16" s="10" t="n"/>
      <c r="Z16" s="10" t="n"/>
      <c r="AA16" s="10" t="n"/>
      <c r="AB16" s="11" t="n"/>
    </row>
    <row r="17">
      <c r="A17" t="n">
        <v>1</v>
      </c>
      <c r="C17" t="inlineStr">
        <is>
          <t>장기금융자산</t>
        </is>
      </c>
      <c r="E17" s="18" t="n">
        <v>2</v>
      </c>
      <c r="F17" s="18" t="n">
        <v>2</v>
      </c>
      <c r="G17" s="18" t="n">
        <v>2</v>
      </c>
      <c r="H17" s="37" t="n">
        <v>2</v>
      </c>
      <c r="I17" s="18" t="n">
        <v>2</v>
      </c>
      <c r="J17" s="18" t="n">
        <v>2</v>
      </c>
      <c r="K17" s="18" t="n">
        <v>2</v>
      </c>
      <c r="L17" s="18" t="n">
        <v>2</v>
      </c>
      <c r="M17" s="37" t="n">
        <v>2</v>
      </c>
      <c r="N17" s="18" t="n">
        <v>2</v>
      </c>
      <c r="O17" s="19" t="n">
        <v>2</v>
      </c>
      <c r="P17" s="10" t="n"/>
      <c r="Q17" s="10" t="n"/>
      <c r="R17" s="11" t="n"/>
      <c r="S17" s="10" t="n"/>
      <c r="T17" s="10" t="n"/>
      <c r="U17" s="10" t="n"/>
      <c r="V17" s="10" t="n"/>
      <c r="W17" s="11" t="n"/>
      <c r="X17" s="10" t="n"/>
      <c r="Y17" s="10" t="n"/>
      <c r="Z17" s="10" t="n"/>
      <c r="AA17" s="10" t="n"/>
      <c r="AB17" s="11" t="n"/>
    </row>
    <row r="18">
      <c r="A18" t="n">
        <v>1</v>
      </c>
      <c r="C18" t="inlineStr">
        <is>
          <t>장기매출채권및기타채권</t>
        </is>
      </c>
      <c r="E18" s="18" t="n">
        <v>3829.19</v>
      </c>
      <c r="F18" s="18" t="n">
        <v>3829.19</v>
      </c>
      <c r="G18" s="18" t="n">
        <v>8656.309999999999</v>
      </c>
      <c r="H18" s="37" t="n">
        <v>8656.309999999999</v>
      </c>
      <c r="I18" s="18" t="n">
        <v>8723.030000000001</v>
      </c>
      <c r="J18" s="18" t="n">
        <v>8270.98</v>
      </c>
      <c r="K18" s="18" t="n">
        <v>8292.85</v>
      </c>
      <c r="L18" s="18" t="n">
        <v>5664.76</v>
      </c>
      <c r="M18" s="37" t="n">
        <v>5664.76</v>
      </c>
      <c r="N18" s="18" t="n">
        <v>5966.28</v>
      </c>
      <c r="O18" s="19" t="n">
        <v>6026.32</v>
      </c>
      <c r="P18" s="10" t="n"/>
      <c r="Q18" s="10" t="n"/>
      <c r="R18" s="11" t="n"/>
      <c r="S18" s="10" t="n"/>
      <c r="T18" s="10" t="n"/>
      <c r="U18" s="10" t="n"/>
      <c r="V18" s="10" t="n"/>
      <c r="W18" s="11" t="n"/>
      <c r="X18" s="10" t="n"/>
      <c r="Y18" s="10" t="n"/>
      <c r="Z18" s="10" t="n"/>
      <c r="AA18" s="10" t="n"/>
      <c r="AB18" s="11" t="n"/>
    </row>
    <row r="19">
      <c r="A19" t="n">
        <v>1</v>
      </c>
      <c r="C19" t="inlineStr">
        <is>
          <t>유형자산</t>
        </is>
      </c>
      <c r="E19" s="18" t="n">
        <v>10786.46</v>
      </c>
      <c r="F19" s="18" t="n">
        <v>12226.03</v>
      </c>
      <c r="G19" s="18" t="n">
        <v>16325.7</v>
      </c>
      <c r="H19" s="37" t="n">
        <v>16325.7</v>
      </c>
      <c r="I19" s="18" t="n">
        <v>17187.75</v>
      </c>
      <c r="J19" s="18" t="n">
        <v>21089.43</v>
      </c>
      <c r="K19" s="18" t="n">
        <v>23343.75</v>
      </c>
      <c r="L19" s="18" t="n">
        <v>26611.29</v>
      </c>
      <c r="M19" s="37" t="n">
        <v>26611.29</v>
      </c>
      <c r="N19" s="18" t="n">
        <v>28670.08</v>
      </c>
      <c r="O19" s="19" t="n">
        <v>29282.61</v>
      </c>
      <c r="P19" s="10" t="n"/>
      <c r="Q19" s="10" t="n"/>
      <c r="R19" s="11" t="n"/>
      <c r="S19" s="10" t="n"/>
      <c r="T19" s="10" t="n"/>
      <c r="U19" s="10" t="n"/>
      <c r="V19" s="10" t="n"/>
      <c r="W19" s="11" t="n"/>
      <c r="X19" s="10" t="n"/>
      <c r="Y19" s="10" t="n"/>
      <c r="Z19" s="10" t="n"/>
      <c r="AA19" s="10" t="n"/>
      <c r="AB19" s="11" t="n"/>
    </row>
    <row r="20">
      <c r="A20" t="n">
        <v>1</v>
      </c>
      <c r="C20" t="inlineStr">
        <is>
          <t>사용권자산</t>
        </is>
      </c>
      <c r="E20" s="18" t="n">
        <v>14817.13</v>
      </c>
      <c r="F20" s="18" t="n">
        <v>13526.69</v>
      </c>
      <c r="G20" s="18" t="n">
        <v>12275.12</v>
      </c>
      <c r="H20" s="37" t="n">
        <v>12275.12</v>
      </c>
      <c r="I20" s="18" t="n">
        <v>12345.91</v>
      </c>
      <c r="J20" s="18" t="n">
        <v>11000.6</v>
      </c>
      <c r="K20" s="18" t="n">
        <v>9674.26</v>
      </c>
      <c r="L20" s="18" t="n">
        <v>8476.559999999999</v>
      </c>
      <c r="M20" s="37" t="n">
        <v>8476.559999999999</v>
      </c>
      <c r="N20" s="18" t="n">
        <v>15616.04</v>
      </c>
      <c r="O20" s="19" t="n">
        <v>13602.2</v>
      </c>
      <c r="P20" s="10" t="n"/>
      <c r="Q20" s="10" t="n"/>
      <c r="R20" s="11" t="n"/>
      <c r="S20" s="10" t="n"/>
      <c r="T20" s="10" t="n"/>
      <c r="U20" s="10" t="n"/>
      <c r="V20" s="10" t="n"/>
      <c r="W20" s="11" t="n"/>
      <c r="X20" s="10" t="n"/>
      <c r="Y20" s="10" t="n"/>
      <c r="Z20" s="10" t="n"/>
      <c r="AA20" s="10" t="n"/>
      <c r="AB20" s="11" t="n"/>
    </row>
    <row r="21">
      <c r="A21" t="n">
        <v>1</v>
      </c>
      <c r="C21" t="inlineStr">
        <is>
          <t>기타비유동자산</t>
        </is>
      </c>
      <c r="E21" s="18" t="n">
        <v>18380.11</v>
      </c>
      <c r="F21" s="18" t="n">
        <v>16249.74</v>
      </c>
      <c r="G21" s="18" t="n">
        <v>16471.14</v>
      </c>
      <c r="H21" s="37" t="n">
        <v>16471.14</v>
      </c>
      <c r="I21" s="18" t="n">
        <v>15719.03</v>
      </c>
      <c r="J21" s="18" t="n">
        <v>13291.48</v>
      </c>
      <c r="K21" s="18" t="n">
        <v>11114.19</v>
      </c>
      <c r="L21" s="18" t="n">
        <v>14412.73</v>
      </c>
      <c r="M21" s="37" t="n">
        <v>14412.73</v>
      </c>
      <c r="N21" s="18" t="n">
        <v>20414.2</v>
      </c>
      <c r="O21" s="19" t="n">
        <v>17242.33</v>
      </c>
      <c r="P21" s="10" t="n"/>
      <c r="Q21" s="10" t="n"/>
      <c r="R21" s="11" t="n"/>
      <c r="S21" s="10" t="n"/>
      <c r="T21" s="10" t="n"/>
      <c r="U21" s="10" t="n"/>
      <c r="V21" s="10" t="n"/>
      <c r="W21" s="11" t="n"/>
      <c r="X21" s="10" t="n"/>
      <c r="Y21" s="10" t="n"/>
      <c r="Z21" s="10" t="n"/>
      <c r="AA21" s="10" t="n"/>
      <c r="AB21" s="11" t="n"/>
    </row>
    <row r="22">
      <c r="A22" t="n">
        <v>1</v>
      </c>
      <c r="C22" t="inlineStr">
        <is>
          <t>무형자산</t>
        </is>
      </c>
      <c r="E22" s="18" t="n">
        <v>4136.67</v>
      </c>
      <c r="F22" s="18" t="n">
        <v>4136.67</v>
      </c>
      <c r="G22" s="18" t="n">
        <v>4136.67</v>
      </c>
      <c r="H22" s="37" t="n">
        <v>4136.67</v>
      </c>
      <c r="I22" s="18" t="n">
        <v>4136.67</v>
      </c>
      <c r="J22" s="18" t="n">
        <v>4136.67</v>
      </c>
      <c r="K22" s="18" t="n">
        <v>4990.88</v>
      </c>
      <c r="L22" s="18" t="n">
        <v>4723.02</v>
      </c>
      <c r="M22" s="37" t="n">
        <v>4723.02</v>
      </c>
      <c r="N22" s="18" t="n">
        <v>4723.02</v>
      </c>
      <c r="O22" s="19" t="n">
        <v>4723.02</v>
      </c>
      <c r="P22" s="10" t="n"/>
      <c r="Q22" s="10" t="n"/>
      <c r="R22" s="11" t="n"/>
      <c r="S22" s="10" t="n"/>
      <c r="T22" s="10" t="n"/>
      <c r="U22" s="10" t="n"/>
      <c r="V22" s="10" t="n"/>
      <c r="W22" s="11" t="n"/>
      <c r="X22" s="10" t="n"/>
      <c r="Y22" s="10" t="n"/>
      <c r="Z22" s="10" t="n"/>
      <c r="AA22" s="10" t="n"/>
      <c r="AB22" s="11" t="n"/>
    </row>
    <row r="23">
      <c r="A23" t="n">
        <v>1</v>
      </c>
      <c r="C23" t="inlineStr">
        <is>
          <t>이연법인세자산</t>
        </is>
      </c>
      <c r="E23" s="18" t="n">
        <v>7445.53</v>
      </c>
      <c r="F23" s="18" t="n">
        <v>8673.860000000001</v>
      </c>
      <c r="G23" s="18" t="n">
        <v>5134.31</v>
      </c>
      <c r="H23" s="37" t="n">
        <v>5134.31</v>
      </c>
      <c r="I23" s="18" t="n">
        <v>8124.04</v>
      </c>
      <c r="J23" s="18" t="n">
        <v>11616.52</v>
      </c>
      <c r="K23" s="18" t="n">
        <v>9774.290000000001</v>
      </c>
      <c r="L23" s="18" t="n">
        <v>5131.59</v>
      </c>
      <c r="M23" s="37" t="n">
        <v>5131.59</v>
      </c>
      <c r="N23" s="18" t="n">
        <v>5969.71</v>
      </c>
      <c r="O23" s="19" t="n">
        <v>9425.26</v>
      </c>
      <c r="P23" s="10" t="n"/>
      <c r="Q23" s="10" t="n"/>
      <c r="R23" s="11" t="n"/>
      <c r="S23" s="10" t="n"/>
      <c r="T23" s="10" t="n"/>
      <c r="U23" s="10" t="n"/>
      <c r="V23" s="10" t="n"/>
      <c r="W23" s="11" t="n"/>
      <c r="X23" s="10" t="n"/>
      <c r="Y23" s="10" t="n"/>
      <c r="Z23" s="10" t="n"/>
      <c r="AA23" s="10" t="n"/>
      <c r="AB23" s="11" t="n"/>
    </row>
    <row r="24">
      <c r="A24" t="n">
        <v>1</v>
      </c>
      <c r="C24" t="inlineStr">
        <is>
          <t>비유동확정계약자산</t>
        </is>
      </c>
      <c r="E24" s="18" t="n">
        <v>70.70999999999999</v>
      </c>
      <c r="G24" s="18" t="n">
        <v>218.31</v>
      </c>
      <c r="H24" s="37" t="n">
        <v>218.31</v>
      </c>
      <c r="I24" s="18" t="n">
        <v>235.2</v>
      </c>
      <c r="J24" s="18" t="n">
        <v>19.97</v>
      </c>
      <c r="K24" s="18" t="n">
        <v>50.92</v>
      </c>
      <c r="L24" s="18" t="n">
        <v>18.73</v>
      </c>
      <c r="M24" s="37" t="n">
        <v>18.73</v>
      </c>
      <c r="N24" s="18" t="n">
        <v>94.59999999999999</v>
      </c>
      <c r="O24" s="19" t="n">
        <v>24.41</v>
      </c>
      <c r="P24" s="10" t="n"/>
      <c r="Q24" s="10" t="n"/>
      <c r="R24" s="11" t="n"/>
      <c r="S24" s="10" t="n"/>
      <c r="T24" s="10" t="n"/>
      <c r="U24" s="10" t="n"/>
      <c r="V24" s="10" t="n"/>
      <c r="W24" s="11" t="n"/>
      <c r="X24" s="10" t="n"/>
      <c r="Y24" s="10" t="n"/>
      <c r="Z24" s="10" t="n"/>
      <c r="AA24" s="10" t="n"/>
      <c r="AB24" s="11" t="n"/>
    </row>
    <row r="25">
      <c r="A25" t="n">
        <v>1</v>
      </c>
      <c r="C25" t="inlineStr">
        <is>
          <t>자산총계</t>
        </is>
      </c>
      <c r="E25" s="18" t="n">
        <v>997308.78</v>
      </c>
      <c r="F25" s="18" t="n">
        <v>997107.98</v>
      </c>
      <c r="G25" s="18" t="n">
        <v>1032905.71</v>
      </c>
      <c r="H25" s="37" t="n">
        <v>1032905.71</v>
      </c>
      <c r="I25" s="18" t="n">
        <v>1100237.35</v>
      </c>
      <c r="J25" s="18" t="n">
        <v>998808.05</v>
      </c>
      <c r="K25" s="18" t="n">
        <v>1034356.01</v>
      </c>
      <c r="L25" s="18" t="n">
        <v>1118067.65</v>
      </c>
      <c r="M25" s="37" t="n">
        <v>1118067.65</v>
      </c>
      <c r="N25" s="18" t="n">
        <v>1186935.86</v>
      </c>
      <c r="O25" s="19" t="n">
        <v>1193833.56</v>
      </c>
      <c r="P25" s="10" t="n"/>
      <c r="Q25" s="10" t="n"/>
      <c r="R25" s="11" t="n"/>
      <c r="S25" s="10" t="n"/>
      <c r="T25" s="10" t="n"/>
      <c r="U25" s="10" t="n"/>
      <c r="V25" s="10" t="n"/>
      <c r="W25" s="11" t="n"/>
      <c r="X25" s="10" t="n"/>
      <c r="Y25" s="10" t="n"/>
      <c r="Z25" s="10" t="n"/>
      <c r="AA25" s="10" t="n"/>
      <c r="AB25" s="11" t="n"/>
    </row>
    <row r="26">
      <c r="A26" t="n">
        <v>1</v>
      </c>
      <c r="C26" t="inlineStr">
        <is>
          <t>유동부채</t>
        </is>
      </c>
      <c r="E26" s="18" t="n">
        <v>345766.94</v>
      </c>
      <c r="F26" s="18" t="n">
        <v>322220.38</v>
      </c>
      <c r="G26" s="18" t="n">
        <v>268406.21</v>
      </c>
      <c r="H26" s="37" t="n">
        <v>268406.21</v>
      </c>
      <c r="I26" s="18" t="n">
        <v>397732.5</v>
      </c>
      <c r="J26" s="18" t="n">
        <v>280432.11</v>
      </c>
      <c r="K26" s="18" t="n">
        <v>276178.67</v>
      </c>
      <c r="L26" s="18" t="n">
        <v>318980.37</v>
      </c>
      <c r="M26" s="37" t="n">
        <v>318980.37</v>
      </c>
      <c r="N26" s="18" t="n">
        <v>378260.11</v>
      </c>
      <c r="O26" s="19" t="n">
        <v>357626.6</v>
      </c>
      <c r="P26" s="10" t="n"/>
      <c r="Q26" s="10" t="n"/>
      <c r="R26" s="11" t="n"/>
      <c r="S26" s="10" t="n"/>
      <c r="T26" s="10" t="n"/>
      <c r="U26" s="10" t="n"/>
      <c r="V26" s="10" t="n"/>
      <c r="W26" s="11" t="n"/>
      <c r="X26" s="10" t="n"/>
      <c r="Y26" s="10" t="n"/>
      <c r="Z26" s="10" t="n"/>
      <c r="AA26" s="10" t="n"/>
      <c r="AB26" s="11" t="n"/>
    </row>
    <row r="27">
      <c r="A27" t="n">
        <v>1</v>
      </c>
      <c r="C27" t="inlineStr">
        <is>
          <t>단기차입금</t>
        </is>
      </c>
      <c r="E27" s="18" t="n">
        <v>70579.95</v>
      </c>
      <c r="F27" s="18" t="n">
        <v>45000</v>
      </c>
      <c r="G27" s="18" t="n">
        <v>0</v>
      </c>
      <c r="H27" s="37" t="n">
        <v>0</v>
      </c>
      <c r="L27" s="18" t="n">
        <v>0</v>
      </c>
      <c r="M27" s="37" t="n">
        <v>0</v>
      </c>
      <c r="O27" s="5" t="n"/>
      <c r="P27" s="10" t="n"/>
      <c r="Q27" s="10" t="n"/>
      <c r="R27" s="11" t="n"/>
      <c r="S27" s="10" t="n"/>
      <c r="T27" s="10" t="n"/>
      <c r="U27" s="10" t="n"/>
      <c r="V27" s="10" t="n"/>
      <c r="W27" s="11" t="n"/>
      <c r="X27" s="10" t="n"/>
      <c r="Y27" s="10" t="n"/>
      <c r="Z27" s="10" t="n"/>
      <c r="AA27" s="10" t="n"/>
      <c r="AB27" s="11" t="n"/>
    </row>
    <row r="28">
      <c r="A28" t="n">
        <v>1</v>
      </c>
      <c r="C28" t="inlineStr">
        <is>
          <t>단기금융부채(face)</t>
        </is>
      </c>
      <c r="E28" s="18" t="n">
        <v>70579.95</v>
      </c>
      <c r="F28" s="18" t="n">
        <v>45000</v>
      </c>
      <c r="G28" s="18" t="n">
        <v>0</v>
      </c>
      <c r="H28" s="37" t="n">
        <v>0</v>
      </c>
      <c r="L28" s="18" t="n">
        <v>0</v>
      </c>
      <c r="M28" s="37" t="n">
        <v>0</v>
      </c>
      <c r="O28" s="5" t="n"/>
      <c r="P28" s="10" t="n"/>
      <c r="Q28" s="10" t="n"/>
      <c r="R28" s="11" t="n"/>
      <c r="S28" s="10" t="n"/>
      <c r="T28" s="10" t="n"/>
      <c r="U28" s="10" t="n"/>
      <c r="V28" s="10" t="n"/>
      <c r="W28" s="11" t="n"/>
      <c r="X28" s="10" t="n"/>
      <c r="Y28" s="10" t="n"/>
      <c r="Z28" s="10" t="n"/>
      <c r="AA28" s="10" t="n"/>
      <c r="AB28" s="11" t="n"/>
    </row>
    <row r="29">
      <c r="A29" t="n">
        <v>1</v>
      </c>
      <c r="C29" t="inlineStr">
        <is>
          <t>매입채무및기타채무</t>
        </is>
      </c>
      <c r="E29" s="18" t="n">
        <v>142879.04</v>
      </c>
      <c r="F29" s="18" t="n">
        <v>137133.49</v>
      </c>
      <c r="G29" s="18" t="n">
        <v>147234.14</v>
      </c>
      <c r="H29" s="37" t="n">
        <v>147234.14</v>
      </c>
      <c r="I29" s="18" t="n">
        <v>258148.19</v>
      </c>
      <c r="J29" s="18" t="n">
        <v>142505.89</v>
      </c>
      <c r="K29" s="18" t="n">
        <v>136626.63</v>
      </c>
      <c r="L29" s="18" t="n">
        <v>164544.94</v>
      </c>
      <c r="M29" s="37" t="n">
        <v>164544.94</v>
      </c>
      <c r="N29" s="18" t="n">
        <v>221736.64</v>
      </c>
      <c r="O29" s="19" t="n">
        <v>179476.26</v>
      </c>
      <c r="P29" s="10" t="n"/>
      <c r="Q29" s="10" t="n"/>
      <c r="R29" s="11" t="n"/>
      <c r="S29" s="10" t="n"/>
      <c r="T29" s="10" t="n"/>
      <c r="U29" s="10" t="n"/>
      <c r="V29" s="10" t="n"/>
      <c r="W29" s="11" t="n"/>
      <c r="X29" s="10" t="n"/>
      <c r="Y29" s="10" t="n"/>
      <c r="Z29" s="10" t="n"/>
      <c r="AA29" s="10" t="n"/>
      <c r="AB29" s="11" t="n"/>
    </row>
    <row r="30">
      <c r="A30" t="n">
        <v>1</v>
      </c>
      <c r="C30" t="inlineStr">
        <is>
          <t>계약부채</t>
        </is>
      </c>
      <c r="E30" s="18" t="n">
        <v>77525.73</v>
      </c>
      <c r="F30" s="18" t="n">
        <v>98254.99000000001</v>
      </c>
      <c r="G30" s="18" t="n">
        <v>74075.07000000001</v>
      </c>
      <c r="H30" s="37" t="n">
        <v>74075.07000000001</v>
      </c>
      <c r="I30" s="18" t="n">
        <v>80555.69</v>
      </c>
      <c r="J30" s="18" t="n">
        <v>75889.60000000001</v>
      </c>
      <c r="K30" s="18" t="n">
        <v>79748.48</v>
      </c>
      <c r="L30" s="18" t="n">
        <v>91659.55</v>
      </c>
      <c r="M30" s="37" t="n">
        <v>91659.55</v>
      </c>
      <c r="N30" s="18" t="n">
        <v>88644.2</v>
      </c>
      <c r="O30" s="19" t="n">
        <v>109172.54</v>
      </c>
      <c r="P30" s="10" t="n"/>
      <c r="Q30" s="10" t="n"/>
      <c r="R30" s="11" t="n"/>
      <c r="S30" s="10" t="n"/>
      <c r="T30" s="10" t="n"/>
      <c r="U30" s="10" t="n"/>
      <c r="V30" s="10" t="n"/>
      <c r="W30" s="11" t="n"/>
      <c r="X30" s="10" t="n"/>
      <c r="Y30" s="10" t="n"/>
      <c r="Z30" s="10" t="n"/>
      <c r="AA30" s="10" t="n"/>
      <c r="AB30" s="11" t="n"/>
    </row>
    <row r="31">
      <c r="A31" t="n">
        <v>1</v>
      </c>
      <c r="C31" t="inlineStr">
        <is>
          <t>선수금</t>
        </is>
      </c>
      <c r="E31" s="18" t="n">
        <v>889.5599999999999</v>
      </c>
      <c r="F31" s="18" t="n">
        <v>689.15</v>
      </c>
      <c r="G31" s="18" t="n">
        <v>795.6</v>
      </c>
      <c r="H31" s="37" t="n">
        <v>795.6</v>
      </c>
      <c r="I31" s="18" t="n">
        <v>538.72</v>
      </c>
      <c r="J31" s="18" t="n">
        <v>248.48</v>
      </c>
      <c r="K31" s="18" t="n">
        <v>264.06</v>
      </c>
      <c r="L31" s="18" t="n">
        <v>2367.19</v>
      </c>
      <c r="M31" s="37" t="n">
        <v>2367.19</v>
      </c>
      <c r="N31" s="18" t="n">
        <v>1446.15</v>
      </c>
      <c r="O31" s="19" t="n">
        <v>2131.44</v>
      </c>
      <c r="P31" s="10" t="n"/>
      <c r="Q31" s="10" t="n"/>
      <c r="R31" s="11" t="n"/>
      <c r="S31" s="10" t="n"/>
      <c r="T31" s="10" t="n"/>
      <c r="U31" s="10" t="n"/>
      <c r="V31" s="10" t="n"/>
      <c r="W31" s="11" t="n"/>
      <c r="X31" s="10" t="n"/>
      <c r="Y31" s="10" t="n"/>
      <c r="Z31" s="10" t="n"/>
      <c r="AA31" s="10" t="n"/>
      <c r="AB31" s="11" t="n"/>
    </row>
    <row r="32">
      <c r="A32" t="n">
        <v>1</v>
      </c>
      <c r="C32" t="inlineStr">
        <is>
          <t>기타유동부채</t>
        </is>
      </c>
      <c r="E32" s="18" t="n">
        <v>889.5599999999999</v>
      </c>
      <c r="F32" s="18" t="n">
        <v>689.15</v>
      </c>
      <c r="G32" s="18" t="n">
        <v>795.6</v>
      </c>
      <c r="H32" s="37" t="n">
        <v>795.6</v>
      </c>
      <c r="I32" s="18" t="n">
        <v>538.72</v>
      </c>
      <c r="J32" s="18" t="n">
        <v>248.48</v>
      </c>
      <c r="K32" s="18" t="n">
        <v>264.06</v>
      </c>
      <c r="L32" s="18" t="n">
        <v>2367.19</v>
      </c>
      <c r="M32" s="37" t="n">
        <v>2367.19</v>
      </c>
      <c r="N32" s="18" t="n">
        <v>1446.15</v>
      </c>
      <c r="O32" s="19" t="n">
        <v>2131.44</v>
      </c>
      <c r="P32" s="10" t="n"/>
      <c r="Q32" s="10" t="n"/>
      <c r="R32" s="11" t="n"/>
      <c r="S32" s="10" t="n"/>
      <c r="T32" s="10" t="n"/>
      <c r="U32" s="10" t="n"/>
      <c r="V32" s="10" t="n"/>
      <c r="W32" s="11" t="n"/>
      <c r="X32" s="10" t="n"/>
      <c r="Y32" s="10" t="n"/>
      <c r="Z32" s="10" t="n"/>
      <c r="AA32" s="10" t="n"/>
      <c r="AB32" s="11" t="n"/>
    </row>
    <row r="33">
      <c r="A33" t="n">
        <v>1</v>
      </c>
      <c r="C33" t="inlineStr">
        <is>
          <t>유동리스부채</t>
        </is>
      </c>
      <c r="E33" s="18" t="n">
        <v>5463.72</v>
      </c>
      <c r="F33" s="18" t="n">
        <v>5354.16</v>
      </c>
      <c r="G33" s="18" t="n">
        <v>5270.37</v>
      </c>
      <c r="H33" s="37" t="n">
        <v>5270.37</v>
      </c>
      <c r="I33" s="18" t="n">
        <v>5558.17</v>
      </c>
      <c r="J33" s="18" t="n">
        <v>5386</v>
      </c>
      <c r="K33" s="18" t="n">
        <v>5248.64</v>
      </c>
      <c r="L33" s="18" t="n">
        <v>5226.06</v>
      </c>
      <c r="M33" s="37" t="n">
        <v>5226.06</v>
      </c>
      <c r="N33" s="18" t="n">
        <v>7734.53</v>
      </c>
      <c r="O33" s="19" t="n">
        <v>6774</v>
      </c>
      <c r="P33" s="10" t="n"/>
      <c r="Q33" s="10" t="n"/>
      <c r="R33" s="11" t="n"/>
      <c r="S33" s="10" t="n"/>
      <c r="T33" s="10" t="n"/>
      <c r="U33" s="10" t="n"/>
      <c r="V33" s="10" t="n"/>
      <c r="W33" s="11" t="n"/>
      <c r="X33" s="10" t="n"/>
      <c r="Y33" s="10" t="n"/>
      <c r="Z33" s="10" t="n"/>
      <c r="AA33" s="10" t="n"/>
      <c r="AB33" s="11" t="n"/>
    </row>
    <row r="34">
      <c r="A34" t="n">
        <v>1</v>
      </c>
      <c r="C34" t="inlineStr">
        <is>
          <t>리스부채</t>
        </is>
      </c>
      <c r="E34" s="18" t="n">
        <v>15043.29</v>
      </c>
      <c r="F34" s="18" t="n">
        <v>13809.92</v>
      </c>
      <c r="G34" s="18" t="n">
        <v>12600.15</v>
      </c>
      <c r="H34" s="37" t="n">
        <v>12600.15</v>
      </c>
      <c r="I34" s="18" t="n">
        <v>12438.54</v>
      </c>
      <c r="J34" s="18" t="n">
        <v>11110.17</v>
      </c>
      <c r="K34" s="18" t="n">
        <v>9767.860000000001</v>
      </c>
      <c r="L34" s="18" t="n">
        <v>8597.18</v>
      </c>
      <c r="M34" s="37" t="n">
        <v>8597.18</v>
      </c>
      <c r="N34" s="18" t="n">
        <v>16254.62</v>
      </c>
      <c r="O34" s="19" t="n">
        <v>14244.04</v>
      </c>
      <c r="P34" s="10" t="n"/>
      <c r="Q34" s="10" t="n"/>
      <c r="R34" s="11" t="n"/>
      <c r="S34" s="10" t="n"/>
      <c r="T34" s="10" t="n"/>
      <c r="U34" s="10" t="n"/>
      <c r="V34" s="10" t="n"/>
      <c r="W34" s="11" t="n"/>
      <c r="X34" s="10" t="n"/>
      <c r="Y34" s="10" t="n"/>
      <c r="Z34" s="10" t="n"/>
      <c r="AA34" s="10" t="n"/>
      <c r="AB34" s="11" t="n"/>
    </row>
    <row r="35">
      <c r="A35" t="n">
        <v>1</v>
      </c>
      <c r="C35" t="inlineStr">
        <is>
          <t>단기금융부채</t>
        </is>
      </c>
      <c r="E35" s="18" t="n">
        <v>5498.98</v>
      </c>
      <c r="F35" s="18" t="n">
        <v>5354.16</v>
      </c>
      <c r="G35" s="18" t="n">
        <v>5270.37</v>
      </c>
      <c r="H35" s="37" t="n">
        <v>5270.37</v>
      </c>
      <c r="I35" s="18" t="n">
        <v>5558.17</v>
      </c>
      <c r="J35" s="18" t="n">
        <v>5429.44</v>
      </c>
      <c r="K35" s="18" t="n">
        <v>5355.53</v>
      </c>
      <c r="L35" s="18" t="n">
        <v>5545.16</v>
      </c>
      <c r="M35" s="37" t="n">
        <v>5545.16</v>
      </c>
      <c r="N35" s="18" t="n">
        <v>8241.040000000001</v>
      </c>
      <c r="O35" s="19" t="n">
        <v>7184.69</v>
      </c>
      <c r="P35" s="10" t="n"/>
      <c r="Q35" s="10" t="n"/>
      <c r="R35" s="11" t="n"/>
      <c r="S35" s="10" t="n"/>
      <c r="T35" s="10" t="n"/>
      <c r="U35" s="10" t="n"/>
      <c r="V35" s="10" t="n"/>
      <c r="W35" s="11" t="n"/>
      <c r="X35" s="10" t="n"/>
      <c r="Y35" s="10" t="n"/>
      <c r="Z35" s="10" t="n"/>
      <c r="AA35" s="10" t="n"/>
      <c r="AB35" s="11" t="n"/>
    </row>
    <row r="36">
      <c r="A36" t="n">
        <v>1</v>
      </c>
      <c r="C36" t="inlineStr">
        <is>
          <t>단기충당부채</t>
        </is>
      </c>
      <c r="E36" s="18" t="n">
        <v>10709.57</v>
      </c>
      <c r="F36" s="18" t="n">
        <v>9597.34</v>
      </c>
      <c r="G36" s="18" t="n">
        <v>11061.71</v>
      </c>
      <c r="H36" s="37" t="n">
        <v>11061.71</v>
      </c>
      <c r="I36" s="18" t="n">
        <v>10708.91</v>
      </c>
      <c r="J36" s="18" t="n">
        <v>10462.45</v>
      </c>
      <c r="K36" s="18" t="n">
        <v>4571.28</v>
      </c>
      <c r="L36" s="18" t="n">
        <v>3584.78</v>
      </c>
      <c r="M36" s="37" t="n">
        <v>3584.78</v>
      </c>
      <c r="N36" s="18" t="n">
        <v>6164</v>
      </c>
      <c r="O36" s="19" t="n">
        <v>7558.12</v>
      </c>
      <c r="P36" s="10" t="n"/>
      <c r="Q36" s="10" t="n"/>
      <c r="R36" s="11" t="n"/>
      <c r="S36" s="10" t="n"/>
      <c r="T36" s="10" t="n"/>
      <c r="U36" s="10" t="n"/>
      <c r="V36" s="10" t="n"/>
      <c r="W36" s="11" t="n"/>
      <c r="X36" s="10" t="n"/>
      <c r="Y36" s="10" t="n"/>
      <c r="Z36" s="10" t="n"/>
      <c r="AA36" s="10" t="n"/>
      <c r="AB36" s="11" t="n"/>
    </row>
    <row r="37">
      <c r="A37" t="n">
        <v>1</v>
      </c>
      <c r="C37" t="inlineStr">
        <is>
          <t>당기법인세부채(미지급법인세)</t>
        </is>
      </c>
      <c r="E37" s="18" t="n">
        <v>37684.1</v>
      </c>
      <c r="F37" s="18" t="n">
        <v>26191.25</v>
      </c>
      <c r="G37" s="18" t="n">
        <v>29969.32</v>
      </c>
      <c r="H37" s="37" t="n">
        <v>29969.32</v>
      </c>
      <c r="I37" s="18" t="n">
        <v>42222.82</v>
      </c>
      <c r="J37" s="18" t="n">
        <v>45896.24</v>
      </c>
      <c r="K37" s="18" t="n">
        <v>49612.7</v>
      </c>
      <c r="L37" s="18" t="n">
        <v>51278.74</v>
      </c>
      <c r="M37" s="37" t="n">
        <v>51278.74</v>
      </c>
      <c r="N37" s="18" t="n">
        <v>52028.09</v>
      </c>
      <c r="O37" s="19" t="n">
        <v>52103.55</v>
      </c>
      <c r="P37" s="10" t="n"/>
      <c r="Q37" s="10" t="n"/>
      <c r="R37" s="11" t="n"/>
      <c r="S37" s="10" t="n"/>
      <c r="T37" s="10" t="n"/>
      <c r="U37" s="10" t="n"/>
      <c r="V37" s="10" t="n"/>
      <c r="W37" s="11" t="n"/>
      <c r="X37" s="10" t="n"/>
      <c r="Y37" s="10" t="n"/>
      <c r="Z37" s="10" t="n"/>
      <c r="AA37" s="10" t="n"/>
      <c r="AB37" s="11" t="n"/>
    </row>
    <row r="38">
      <c r="A38" t="n">
        <v>1</v>
      </c>
      <c r="C38" t="inlineStr">
        <is>
          <t>단기파생상품부채</t>
        </is>
      </c>
      <c r="E38" s="18" t="n">
        <v>35.26</v>
      </c>
      <c r="H38" s="9" t="n"/>
      <c r="J38" s="18" t="n">
        <v>43.44</v>
      </c>
      <c r="K38" s="18" t="n">
        <v>106.89</v>
      </c>
      <c r="L38" s="18" t="n">
        <v>319.1</v>
      </c>
      <c r="M38" s="37" t="n">
        <v>319.1</v>
      </c>
      <c r="N38" s="18" t="n">
        <v>506.51</v>
      </c>
      <c r="O38" s="19" t="n">
        <v>410.69</v>
      </c>
      <c r="P38" s="10" t="n"/>
      <c r="Q38" s="10" t="n"/>
      <c r="R38" s="11" t="n"/>
      <c r="S38" s="10" t="n"/>
      <c r="T38" s="10" t="n"/>
      <c r="U38" s="10" t="n"/>
      <c r="V38" s="10" t="n"/>
      <c r="W38" s="11" t="n"/>
      <c r="X38" s="10" t="n"/>
      <c r="Y38" s="10" t="n"/>
      <c r="Z38" s="10" t="n"/>
      <c r="AA38" s="10" t="n"/>
      <c r="AB38" s="11" t="n"/>
    </row>
    <row r="39">
      <c r="A39" t="n">
        <v>1</v>
      </c>
      <c r="C39" t="inlineStr">
        <is>
          <t>비유동부채</t>
        </is>
      </c>
      <c r="E39" s="18" t="n">
        <v>15341.06</v>
      </c>
      <c r="F39" s="18" t="n">
        <v>14325.45</v>
      </c>
      <c r="G39" s="18" t="n">
        <v>12119.13</v>
      </c>
      <c r="H39" s="37" t="n">
        <v>12119.13</v>
      </c>
      <c r="I39" s="18" t="n">
        <v>11730.62</v>
      </c>
      <c r="J39" s="18" t="n">
        <v>9694.190000000001</v>
      </c>
      <c r="K39" s="18" t="n">
        <v>8515.049999999999</v>
      </c>
      <c r="L39" s="18" t="n">
        <v>7254.11</v>
      </c>
      <c r="M39" s="37" t="n">
        <v>7254.11</v>
      </c>
      <c r="N39" s="18" t="n">
        <v>12278.46</v>
      </c>
      <c r="O39" s="19" t="n">
        <v>11170.22</v>
      </c>
      <c r="P39" s="10" t="n"/>
      <c r="Q39" s="10" t="n"/>
      <c r="R39" s="11" t="n"/>
      <c r="S39" s="10" t="n"/>
      <c r="T39" s="10" t="n"/>
      <c r="U39" s="10" t="n"/>
      <c r="V39" s="10" t="n"/>
      <c r="W39" s="11" t="n"/>
      <c r="X39" s="10" t="n"/>
      <c r="Y39" s="10" t="n"/>
      <c r="Z39" s="10" t="n"/>
      <c r="AA39" s="10" t="n"/>
      <c r="AB39" s="11" t="n"/>
    </row>
    <row r="40">
      <c r="A40" t="n">
        <v>1</v>
      </c>
      <c r="C40" t="inlineStr">
        <is>
          <t>확정급여부채</t>
        </is>
      </c>
      <c r="E40" s="18" t="n">
        <v>570.72</v>
      </c>
      <c r="F40" s="18" t="n">
        <v>570.72</v>
      </c>
      <c r="G40" s="18" t="n">
        <v>0</v>
      </c>
      <c r="H40" s="37" t="n">
        <v>0</v>
      </c>
      <c r="L40" s="18" t="n">
        <v>0</v>
      </c>
      <c r="M40" s="37" t="n">
        <v>0</v>
      </c>
      <c r="O40" s="5" t="n"/>
      <c r="P40" s="10" t="n"/>
      <c r="Q40" s="10" t="n"/>
      <c r="R40" s="11" t="n"/>
      <c r="S40" s="10" t="n"/>
      <c r="T40" s="10" t="n"/>
      <c r="U40" s="10" t="n"/>
      <c r="V40" s="10" t="n"/>
      <c r="W40" s="11" t="n"/>
      <c r="X40" s="10" t="n"/>
      <c r="Y40" s="10" t="n"/>
      <c r="Z40" s="10" t="n"/>
      <c r="AA40" s="10" t="n"/>
      <c r="AB40" s="11" t="n"/>
    </row>
    <row r="41">
      <c r="A41" t="n">
        <v>1</v>
      </c>
      <c r="C41" t="inlineStr">
        <is>
          <t>비유동리스부채</t>
        </is>
      </c>
      <c r="E41" s="18" t="n">
        <v>9579.57</v>
      </c>
      <c r="F41" s="18" t="n">
        <v>8455.76</v>
      </c>
      <c r="G41" s="18" t="n">
        <v>7329.78</v>
      </c>
      <c r="H41" s="37" t="n">
        <v>7329.78</v>
      </c>
      <c r="I41" s="18" t="n">
        <v>6880.37</v>
      </c>
      <c r="J41" s="18" t="n">
        <v>5724.17</v>
      </c>
      <c r="K41" s="18" t="n">
        <v>4519.22</v>
      </c>
      <c r="L41" s="18" t="n">
        <v>3371.12</v>
      </c>
      <c r="M41" s="37" t="n">
        <v>3371.12</v>
      </c>
      <c r="N41" s="18" t="n">
        <v>8520.09</v>
      </c>
      <c r="O41" s="19" t="n">
        <v>7470.04</v>
      </c>
      <c r="P41" s="10" t="n"/>
      <c r="Q41" s="10" t="n"/>
      <c r="R41" s="11" t="n"/>
      <c r="S41" s="10" t="n"/>
      <c r="T41" s="10" t="n"/>
      <c r="U41" s="10" t="n"/>
      <c r="V41" s="10" t="n"/>
      <c r="W41" s="11" t="n"/>
      <c r="X41" s="10" t="n"/>
      <c r="Y41" s="10" t="n"/>
      <c r="Z41" s="10" t="n"/>
      <c r="AA41" s="10" t="n"/>
      <c r="AB41" s="11" t="n"/>
    </row>
    <row r="42">
      <c r="A42" t="n">
        <v>1</v>
      </c>
      <c r="C42" t="inlineStr">
        <is>
          <t>장기금융부채</t>
        </is>
      </c>
      <c r="E42" s="18" t="n">
        <v>9650.280000000001</v>
      </c>
      <c r="F42" s="18" t="n">
        <v>8465.77</v>
      </c>
      <c r="G42" s="18" t="n">
        <v>7548.09</v>
      </c>
      <c r="H42" s="37" t="n">
        <v>7548.09</v>
      </c>
      <c r="I42" s="18" t="n">
        <v>7115.57</v>
      </c>
      <c r="J42" s="18" t="n">
        <v>5744.14</v>
      </c>
      <c r="K42" s="18" t="n">
        <v>4570.14</v>
      </c>
      <c r="L42" s="18" t="n">
        <v>3431.42</v>
      </c>
      <c r="M42" s="37" t="n">
        <v>3431.42</v>
      </c>
      <c r="N42" s="18" t="n">
        <v>8749.08</v>
      </c>
      <c r="O42" s="19" t="n">
        <v>7865.42</v>
      </c>
      <c r="P42" s="10" t="n"/>
      <c r="Q42" s="10" t="n"/>
      <c r="R42" s="11" t="n"/>
      <c r="S42" s="10" t="n"/>
      <c r="T42" s="10" t="n"/>
      <c r="U42" s="10" t="n"/>
      <c r="V42" s="10" t="n"/>
      <c r="W42" s="11" t="n"/>
      <c r="X42" s="10" t="n"/>
      <c r="Y42" s="10" t="n"/>
      <c r="Z42" s="10" t="n"/>
      <c r="AA42" s="10" t="n"/>
      <c r="AB42" s="11" t="n"/>
    </row>
    <row r="43">
      <c r="A43" t="n">
        <v>1</v>
      </c>
      <c r="C43" t="inlineStr">
        <is>
          <t>장기충당부채</t>
        </is>
      </c>
      <c r="E43" s="18" t="n">
        <v>4775.05</v>
      </c>
      <c r="F43" s="18" t="n">
        <v>4874.35</v>
      </c>
      <c r="G43" s="18" t="n">
        <v>4110.89</v>
      </c>
      <c r="H43" s="37" t="n">
        <v>4110.89</v>
      </c>
      <c r="I43" s="18" t="n">
        <v>4087.12</v>
      </c>
      <c r="J43" s="18" t="n">
        <v>3332.86</v>
      </c>
      <c r="K43" s="18" t="n">
        <v>3238.37</v>
      </c>
      <c r="L43" s="18" t="n">
        <v>3064.77</v>
      </c>
      <c r="M43" s="37" t="n">
        <v>3064.77</v>
      </c>
      <c r="N43" s="18" t="n">
        <v>2671.6</v>
      </c>
      <c r="O43" s="19" t="n">
        <v>2350.57</v>
      </c>
      <c r="P43" s="10" t="n"/>
      <c r="Q43" s="10" t="n"/>
      <c r="R43" s="11" t="n"/>
      <c r="S43" s="10" t="n"/>
      <c r="T43" s="10" t="n"/>
      <c r="U43" s="10" t="n"/>
      <c r="V43" s="10" t="n"/>
      <c r="W43" s="11" t="n"/>
      <c r="X43" s="10" t="n"/>
      <c r="Y43" s="10" t="n"/>
      <c r="Z43" s="10" t="n"/>
      <c r="AA43" s="10" t="n"/>
      <c r="AB43" s="11" t="n"/>
    </row>
    <row r="44">
      <c r="A44" t="n">
        <v>1</v>
      </c>
      <c r="C44" t="inlineStr">
        <is>
          <t>장기파생상품부채</t>
        </is>
      </c>
      <c r="E44" s="18" t="n">
        <v>70.70999999999999</v>
      </c>
      <c r="F44" s="18" t="n">
        <v>10.01</v>
      </c>
      <c r="G44" s="18" t="n">
        <v>218.31</v>
      </c>
      <c r="H44" s="37" t="n">
        <v>218.31</v>
      </c>
      <c r="I44" s="18" t="n">
        <v>235.2</v>
      </c>
      <c r="J44" s="18" t="n">
        <v>19.97</v>
      </c>
      <c r="K44" s="18" t="n">
        <v>50.92</v>
      </c>
      <c r="L44" s="18" t="n">
        <v>60.3</v>
      </c>
      <c r="M44" s="37" t="n">
        <v>60.3</v>
      </c>
      <c r="N44" s="18" t="n">
        <v>228.99</v>
      </c>
      <c r="O44" s="19" t="n">
        <v>395.38</v>
      </c>
      <c r="P44" s="10" t="n"/>
      <c r="Q44" s="10" t="n"/>
      <c r="R44" s="11" t="n"/>
      <c r="S44" s="10" t="n"/>
      <c r="T44" s="10" t="n"/>
      <c r="U44" s="10" t="n"/>
      <c r="V44" s="10" t="n"/>
      <c r="W44" s="11" t="n"/>
      <c r="X44" s="10" t="n"/>
      <c r="Y44" s="10" t="n"/>
      <c r="Z44" s="10" t="n"/>
      <c r="AA44" s="10" t="n"/>
      <c r="AB44" s="11" t="n"/>
    </row>
    <row r="45">
      <c r="A45" t="n">
        <v>1</v>
      </c>
      <c r="C45" t="inlineStr">
        <is>
          <t>부채총계</t>
        </is>
      </c>
      <c r="E45" s="18" t="n">
        <v>361108</v>
      </c>
      <c r="F45" s="18" t="n">
        <v>336545.82</v>
      </c>
      <c r="G45" s="18" t="n">
        <v>280525.34</v>
      </c>
      <c r="H45" s="37" t="n">
        <v>280525.34</v>
      </c>
      <c r="I45" s="18" t="n">
        <v>409463.12</v>
      </c>
      <c r="J45" s="18" t="n">
        <v>290126.3</v>
      </c>
      <c r="K45" s="18" t="n">
        <v>284693.72</v>
      </c>
      <c r="L45" s="18" t="n">
        <v>326234.47</v>
      </c>
      <c r="M45" s="37" t="n">
        <v>326234.47</v>
      </c>
      <c r="N45" s="18" t="n">
        <v>390538.58</v>
      </c>
      <c r="O45" s="19" t="n">
        <v>368796.83</v>
      </c>
      <c r="P45" s="10" t="n"/>
      <c r="Q45" s="10" t="n"/>
      <c r="R45" s="11" t="n"/>
      <c r="S45" s="10" t="n"/>
      <c r="T45" s="10" t="n"/>
      <c r="U45" s="10" t="n"/>
      <c r="V45" s="10" t="n"/>
      <c r="W45" s="11" t="n"/>
      <c r="X45" s="10" t="n"/>
      <c r="Y45" s="10" t="n"/>
      <c r="Z45" s="10" t="n"/>
      <c r="AA45" s="10" t="n"/>
      <c r="AB45" s="11" t="n"/>
    </row>
    <row r="46">
      <c r="A46" t="n">
        <v>1</v>
      </c>
      <c r="C46" t="inlineStr">
        <is>
          <t>자본금</t>
        </is>
      </c>
      <c r="E46" s="18" t="n">
        <v>22225</v>
      </c>
      <c r="F46" s="18" t="n">
        <v>22225</v>
      </c>
      <c r="G46" s="18" t="n">
        <v>22225</v>
      </c>
      <c r="H46" s="37" t="n">
        <v>22225</v>
      </c>
      <c r="I46" s="18" t="n">
        <v>22414.6</v>
      </c>
      <c r="J46" s="18" t="n">
        <v>22414.6</v>
      </c>
      <c r="K46" s="18" t="n">
        <v>22414.6</v>
      </c>
      <c r="L46" s="18" t="n">
        <v>22414.6</v>
      </c>
      <c r="M46" s="37" t="n">
        <v>22414.6</v>
      </c>
      <c r="N46" s="18" t="n">
        <v>22415.67</v>
      </c>
      <c r="O46" s="19" t="n">
        <v>22416.73</v>
      </c>
      <c r="P46" s="10" t="n"/>
      <c r="Q46" s="10" t="n"/>
      <c r="R46" s="11" t="n"/>
      <c r="S46" s="10" t="n"/>
      <c r="T46" s="10" t="n"/>
      <c r="U46" s="10" t="n"/>
      <c r="V46" s="10" t="n"/>
      <c r="W46" s="11" t="n"/>
      <c r="X46" s="10" t="n"/>
      <c r="Y46" s="10" t="n"/>
      <c r="Z46" s="10" t="n"/>
      <c r="AA46" s="10" t="n"/>
      <c r="AB46" s="11" t="n"/>
    </row>
    <row r="47">
      <c r="A47" t="n">
        <v>1</v>
      </c>
      <c r="C47" t="inlineStr">
        <is>
          <t>자본잉여금</t>
        </is>
      </c>
      <c r="E47" s="18" t="n">
        <v>384624.03</v>
      </c>
      <c r="F47" s="18" t="n">
        <v>384624.03</v>
      </c>
      <c r="G47" s="18" t="n">
        <v>384624.03</v>
      </c>
      <c r="H47" s="37" t="n">
        <v>384624.03</v>
      </c>
      <c r="I47" s="18" t="n">
        <v>404355.79</v>
      </c>
      <c r="J47" s="18" t="n">
        <v>404355.79</v>
      </c>
      <c r="K47" s="18" t="n">
        <v>404355.79</v>
      </c>
      <c r="L47" s="18" t="n">
        <v>404355.79</v>
      </c>
      <c r="M47" s="37" t="n">
        <v>404355.79</v>
      </c>
      <c r="N47" s="18" t="n">
        <v>404468.57</v>
      </c>
      <c r="O47" s="19" t="n">
        <v>404584.72</v>
      </c>
      <c r="P47" s="10" t="n"/>
      <c r="Q47" s="10" t="n"/>
      <c r="R47" s="11" t="n"/>
      <c r="S47" s="10" t="n"/>
      <c r="T47" s="10" t="n"/>
      <c r="U47" s="10" t="n"/>
      <c r="V47" s="10" t="n"/>
      <c r="W47" s="11" t="n"/>
      <c r="X47" s="10" t="n"/>
      <c r="Y47" s="10" t="n"/>
      <c r="Z47" s="10" t="n"/>
      <c r="AA47" s="10" t="n"/>
      <c r="AB47" s="11" t="n"/>
    </row>
    <row r="48">
      <c r="A48" t="n">
        <v>1</v>
      </c>
      <c r="C48" t="inlineStr">
        <is>
          <t>기타자본</t>
        </is>
      </c>
      <c r="E48" s="18" t="n">
        <v>778.17</v>
      </c>
      <c r="F48" s="18" t="n">
        <v>891.45</v>
      </c>
      <c r="G48" s="18" t="n">
        <v>29503.67</v>
      </c>
      <c r="H48" s="37" t="n">
        <v>29503.67</v>
      </c>
      <c r="I48" s="18" t="n">
        <v>9580.360000000001</v>
      </c>
      <c r="J48" s="18" t="n">
        <v>9580.360000000001</v>
      </c>
      <c r="K48" s="18" t="n">
        <v>9580.360000000001</v>
      </c>
      <c r="L48" s="18" t="n">
        <v>9763.879999999999</v>
      </c>
      <c r="M48" s="37" t="n">
        <v>9763.879999999999</v>
      </c>
      <c r="N48" s="18" t="n">
        <v>9826.65</v>
      </c>
      <c r="O48" s="19" t="n">
        <v>9708.200000000001</v>
      </c>
      <c r="P48" s="10" t="n"/>
      <c r="Q48" s="10" t="n"/>
      <c r="R48" s="11" t="n"/>
      <c r="S48" s="10" t="n"/>
      <c r="T48" s="10" t="n"/>
      <c r="U48" s="10" t="n"/>
      <c r="V48" s="10" t="n"/>
      <c r="W48" s="11" t="n"/>
      <c r="X48" s="10" t="n"/>
      <c r="Y48" s="10" t="n"/>
      <c r="Z48" s="10" t="n"/>
      <c r="AA48" s="10" t="n"/>
      <c r="AB48" s="11" t="n"/>
    </row>
    <row r="49">
      <c r="A49" t="n">
        <v>1</v>
      </c>
      <c r="C49" t="inlineStr">
        <is>
          <t>기타포괄이익누계액</t>
        </is>
      </c>
      <c r="E49" s="18" t="n">
        <v>-35.63</v>
      </c>
      <c r="F49" s="18" t="n">
        <v>-35.63</v>
      </c>
      <c r="G49" s="18" t="n">
        <v>-35.63</v>
      </c>
      <c r="H49" s="37" t="n">
        <v>-35.63</v>
      </c>
      <c r="I49" s="18" t="n">
        <v>-34.1</v>
      </c>
      <c r="J49" s="18" t="n">
        <v>-34.1</v>
      </c>
      <c r="K49" s="18" t="n">
        <v>-34.1</v>
      </c>
      <c r="L49" s="18" t="n">
        <v>-48.33</v>
      </c>
      <c r="M49" s="37" t="n">
        <v>-48.33</v>
      </c>
      <c r="N49" s="18" t="n">
        <v>-87.78</v>
      </c>
      <c r="O49" s="19" t="n">
        <v>-288.35</v>
      </c>
      <c r="P49" s="10" t="n"/>
      <c r="Q49" s="10" t="n"/>
      <c r="R49" s="11" t="n"/>
      <c r="S49" s="10" t="n"/>
      <c r="T49" s="10" t="n"/>
      <c r="U49" s="10" t="n"/>
      <c r="V49" s="10" t="n"/>
      <c r="W49" s="11" t="n"/>
      <c r="X49" s="10" t="n"/>
      <c r="Y49" s="10" t="n"/>
      <c r="Z49" s="10" t="n"/>
      <c r="AA49" s="10" t="n"/>
      <c r="AB49" s="11" t="n"/>
    </row>
    <row r="50">
      <c r="A50" t="n">
        <v>1</v>
      </c>
      <c r="C50" t="inlineStr">
        <is>
          <t>이익잉여금</t>
        </is>
      </c>
      <c r="E50" s="18" t="n">
        <v>228609.21</v>
      </c>
      <c r="F50" s="18" t="n">
        <v>252857.31</v>
      </c>
      <c r="G50" s="18" t="n">
        <v>316063.29</v>
      </c>
      <c r="H50" s="37" t="n">
        <v>316063.29</v>
      </c>
      <c r="I50" s="18" t="n">
        <v>254457.58</v>
      </c>
      <c r="J50" s="18" t="n">
        <v>272365.1</v>
      </c>
      <c r="K50" s="18" t="n">
        <v>313345.64</v>
      </c>
      <c r="L50" s="18" t="n">
        <v>355347.23</v>
      </c>
      <c r="M50" s="37" t="n">
        <v>355347.23</v>
      </c>
      <c r="N50" s="18" t="n">
        <v>359774.16</v>
      </c>
      <c r="O50" s="19" t="n">
        <v>388615.44</v>
      </c>
      <c r="P50" s="10" t="n"/>
      <c r="Q50" s="10" t="n"/>
      <c r="R50" s="11" t="n"/>
      <c r="S50" s="10" t="n"/>
      <c r="T50" s="10" t="n"/>
      <c r="U50" s="10" t="n"/>
      <c r="V50" s="10" t="n"/>
      <c r="W50" s="11" t="n"/>
      <c r="X50" s="10" t="n"/>
      <c r="Y50" s="10" t="n"/>
      <c r="Z50" s="10" t="n"/>
      <c r="AA50" s="10" t="n"/>
      <c r="AB50" s="11" t="n"/>
    </row>
    <row r="51">
      <c r="A51" t="n">
        <v>1</v>
      </c>
      <c r="C51" t="inlineStr">
        <is>
          <t>자본총계</t>
        </is>
      </c>
      <c r="E51" s="18" t="n">
        <v>636200.78</v>
      </c>
      <c r="F51" s="18" t="n">
        <v>660562.16</v>
      </c>
      <c r="G51" s="18" t="n">
        <v>752380.36</v>
      </c>
      <c r="H51" s="37" t="n">
        <v>752380.36</v>
      </c>
      <c r="I51" s="18" t="n">
        <v>690774.23</v>
      </c>
      <c r="J51" s="18" t="n">
        <v>708681.75</v>
      </c>
      <c r="K51" s="18" t="n">
        <v>749662.29</v>
      </c>
      <c r="L51" s="18" t="n">
        <v>791833.17</v>
      </c>
      <c r="M51" s="37" t="n">
        <v>791833.17</v>
      </c>
      <c r="N51" s="18" t="n">
        <v>796397.28</v>
      </c>
      <c r="O51" s="19" t="n">
        <v>825036.73</v>
      </c>
      <c r="P51" s="10" t="n"/>
      <c r="Q51" s="10" t="n"/>
      <c r="R51" s="11" t="n"/>
      <c r="S51" s="10" t="n"/>
      <c r="T51" s="10" t="n"/>
      <c r="U51" s="10" t="n"/>
      <c r="V51" s="10" t="n"/>
      <c r="W51" s="11" t="n"/>
      <c r="X51" s="10" t="n"/>
      <c r="Y51" s="10" t="n"/>
      <c r="Z51" s="10" t="n"/>
      <c r="AA51" s="10" t="n"/>
      <c r="AB51" s="11" t="n"/>
    </row>
    <row r="52">
      <c r="A52" t="n">
        <v>1</v>
      </c>
      <c r="C52" t="inlineStr">
        <is>
          <t>부채와자본총계</t>
        </is>
      </c>
      <c r="E52" s="18" t="n">
        <v>997308.78</v>
      </c>
      <c r="F52" s="18" t="n">
        <v>997107.98</v>
      </c>
      <c r="G52" s="18" t="n">
        <v>1032905.71</v>
      </c>
      <c r="H52" s="37" t="n">
        <v>1032905.71</v>
      </c>
      <c r="I52" s="18" t="n">
        <v>1100237.35</v>
      </c>
      <c r="J52" s="18" t="n">
        <v>998808.05</v>
      </c>
      <c r="K52" s="18" t="n">
        <v>1034356.01</v>
      </c>
      <c r="L52" s="18" t="n">
        <v>1118067.65</v>
      </c>
      <c r="M52" s="37" t="n">
        <v>1118067.65</v>
      </c>
      <c r="N52" s="18" t="n">
        <v>1186935.86</v>
      </c>
      <c r="O52" s="19" t="n">
        <v>1193833.56</v>
      </c>
      <c r="P52" s="10" t="n"/>
      <c r="Q52" s="10" t="n"/>
      <c r="R52" s="11" t="n"/>
      <c r="S52" s="10" t="n"/>
      <c r="T52" s="10" t="n"/>
      <c r="U52" s="10" t="n"/>
      <c r="V52" s="10" t="n"/>
      <c r="W52" s="11" t="n"/>
      <c r="X52" s="10" t="n"/>
      <c r="Y52" s="10" t="n"/>
      <c r="Z52" s="10" t="n"/>
      <c r="AA52" s="10" t="n"/>
      <c r="AB52" s="11" t="n"/>
    </row>
    <row r="53">
      <c r="A53" t="n">
        <v>1</v>
      </c>
      <c r="C53" t="inlineStr">
        <is>
          <t>지배주주지분</t>
        </is>
      </c>
      <c r="E53" s="18" t="n">
        <v>636200.78</v>
      </c>
      <c r="F53" s="18" t="n">
        <v>660562.16</v>
      </c>
      <c r="G53" s="18" t="n">
        <v>752380.36</v>
      </c>
      <c r="H53" s="37" t="n">
        <v>752380.36</v>
      </c>
      <c r="I53" s="18" t="n">
        <v>690774.23</v>
      </c>
      <c r="J53" s="18" t="n">
        <v>708681.75</v>
      </c>
      <c r="K53" s="18" t="n">
        <v>749662.29</v>
      </c>
      <c r="L53" s="18" t="n">
        <v>791833.17</v>
      </c>
      <c r="M53" s="37" t="n">
        <v>791833.17</v>
      </c>
      <c r="N53" s="18" t="n">
        <v>796397.28</v>
      </c>
      <c r="O53" s="19" t="n">
        <v>825036.73</v>
      </c>
      <c r="P53" s="10" t="n"/>
      <c r="Q53" s="10" t="n"/>
      <c r="R53" s="11" t="n"/>
      <c r="S53" s="10" t="n"/>
      <c r="T53" s="10" t="n"/>
      <c r="U53" s="10" t="n"/>
      <c r="V53" s="10" t="n"/>
      <c r="W53" s="11" t="n"/>
      <c r="X53" s="10" t="n"/>
      <c r="Y53" s="10" t="n"/>
      <c r="Z53" s="10" t="n"/>
      <c r="AA53" s="10" t="n"/>
      <c r="AB53" s="11" t="n"/>
    </row>
    <row r="54">
      <c r="A54" t="n">
        <v>1</v>
      </c>
      <c r="C54" t="inlineStr">
        <is>
          <t>총차입금</t>
        </is>
      </c>
      <c r="E54" s="18" t="n">
        <v>70579.95</v>
      </c>
      <c r="F54" s="18" t="n">
        <v>45000</v>
      </c>
      <c r="G54" s="18" t="n">
        <v>0</v>
      </c>
      <c r="H54" s="37" t="n">
        <v>0</v>
      </c>
      <c r="L54" s="18" t="n">
        <v>0</v>
      </c>
      <c r="M54" s="37" t="n">
        <v>0</v>
      </c>
      <c r="O54" s="5" t="n"/>
      <c r="P54" s="10" t="n"/>
      <c r="Q54" s="10" t="n"/>
      <c r="R54" s="11" t="n"/>
      <c r="S54" s="10" t="n"/>
      <c r="T54" s="10" t="n"/>
      <c r="U54" s="10" t="n"/>
      <c r="V54" s="10" t="n"/>
      <c r="W54" s="11" t="n"/>
      <c r="X54" s="10" t="n"/>
      <c r="Y54" s="10" t="n"/>
      <c r="Z54" s="10" t="n"/>
      <c r="AA54" s="10" t="n"/>
      <c r="AB54" s="11" t="n"/>
    </row>
    <row r="55">
      <c r="A55" t="n">
        <v>1</v>
      </c>
      <c r="C55" t="inlineStr">
        <is>
          <t>순차입금</t>
        </is>
      </c>
      <c r="E55" s="18" t="n">
        <v>-342309.2</v>
      </c>
      <c r="F55" s="18" t="n">
        <v>-407840.24</v>
      </c>
      <c r="G55" s="18" t="n">
        <v>-455588.23</v>
      </c>
      <c r="H55" s="37" t="n">
        <v>-455588.23</v>
      </c>
      <c r="L55" s="18" t="n">
        <v>-505672.22</v>
      </c>
      <c r="M55" s="37" t="n">
        <v>-505672.22</v>
      </c>
      <c r="O55" s="5" t="n"/>
      <c r="P55" s="10" t="n"/>
      <c r="Q55" s="10" t="n"/>
      <c r="R55" s="11" t="n"/>
      <c r="S55" s="10" t="n"/>
      <c r="T55" s="10" t="n"/>
      <c r="U55" s="10" t="n"/>
      <c r="V55" s="10" t="n"/>
      <c r="W55" s="11" t="n"/>
      <c r="X55" s="10" t="n"/>
      <c r="Y55" s="10" t="n"/>
      <c r="Z55" s="10" t="n"/>
      <c r="AA55" s="10" t="n"/>
      <c r="AB55" s="11" t="n"/>
    </row>
    <row r="56">
      <c r="A56" t="n">
        <v>1</v>
      </c>
      <c r="C56" t="inlineStr">
        <is>
          <t>이자발생자산</t>
        </is>
      </c>
      <c r="E56" s="18" t="n">
        <v>412891.15</v>
      </c>
      <c r="F56" s="18" t="n">
        <v>452842.24</v>
      </c>
      <c r="G56" s="18" t="n">
        <v>455590.23</v>
      </c>
      <c r="H56" s="37" t="n">
        <v>455590.23</v>
      </c>
      <c r="I56" s="18" t="n">
        <v>547175.17</v>
      </c>
      <c r="J56" s="18" t="n">
        <v>434510.42</v>
      </c>
      <c r="K56" s="18" t="n">
        <v>476170.95</v>
      </c>
      <c r="L56" s="18" t="n">
        <v>505674.22</v>
      </c>
      <c r="M56" s="37" t="n">
        <v>505674.22</v>
      </c>
      <c r="N56" s="18" t="n">
        <v>552936.2</v>
      </c>
      <c r="O56" s="19" t="n">
        <v>488425.03</v>
      </c>
      <c r="P56" s="10" t="n"/>
      <c r="Q56" s="10" t="n"/>
      <c r="R56" s="11" t="n"/>
      <c r="S56" s="10" t="n"/>
      <c r="T56" s="10" t="n"/>
      <c r="U56" s="10" t="n"/>
      <c r="V56" s="10" t="n"/>
      <c r="W56" s="11" t="n"/>
      <c r="X56" s="10" t="n"/>
      <c r="Y56" s="10" t="n"/>
      <c r="Z56" s="10" t="n"/>
      <c r="AA56" s="10" t="n"/>
      <c r="AB56" s="11" t="n"/>
    </row>
    <row r="57">
      <c r="A57" t="n">
        <v>1</v>
      </c>
      <c r="C57" t="inlineStr">
        <is>
          <t>비유동파생상품자산</t>
        </is>
      </c>
      <c r="F57" s="18" t="n">
        <v>10.01</v>
      </c>
      <c r="H57" s="9" t="n"/>
      <c r="L57" s="18" t="n">
        <v>41.57</v>
      </c>
      <c r="M57" s="37" t="n">
        <v>41.57</v>
      </c>
      <c r="N57" s="18" t="n">
        <v>0</v>
      </c>
      <c r="O57" s="19" t="n">
        <v>1.27</v>
      </c>
      <c r="P57" s="10" t="n"/>
      <c r="Q57" s="10" t="n"/>
      <c r="R57" s="11" t="n"/>
      <c r="S57" s="10" t="n"/>
      <c r="T57" s="10" t="n"/>
      <c r="U57" s="10" t="n"/>
      <c r="V57" s="10" t="n"/>
      <c r="W57" s="11" t="n"/>
      <c r="X57" s="10" t="n"/>
      <c r="Y57" s="10" t="n"/>
      <c r="Z57" s="10" t="n"/>
      <c r="AA57" s="10" t="n"/>
      <c r="AB57" s="11" t="n"/>
    </row>
    <row r="58">
      <c r="A58" t="n">
        <v>1</v>
      </c>
      <c r="C58" t="inlineStr">
        <is>
          <t>유동파생상품자산</t>
        </is>
      </c>
      <c r="H58" s="9" t="n"/>
      <c r="L58" s="18" t="n">
        <v>85.44</v>
      </c>
      <c r="M58" s="37" t="n">
        <v>85.44</v>
      </c>
      <c r="N58" s="18" t="n">
        <v>72.52</v>
      </c>
      <c r="O58" s="19" t="n">
        <v>24.59</v>
      </c>
      <c r="P58" s="10" t="n"/>
      <c r="Q58" s="10" t="n"/>
      <c r="R58" s="11" t="n"/>
      <c r="S58" s="10" t="n"/>
      <c r="T58" s="10" t="n"/>
      <c r="U58" s="10" t="n"/>
      <c r="V58" s="10" t="n"/>
      <c r="W58" s="11" t="n"/>
      <c r="X58" s="10" t="n"/>
      <c r="Y58" s="10" t="n"/>
      <c r="Z58" s="10" t="n"/>
      <c r="AA58" s="10" t="n"/>
      <c r="AB58" s="11" t="n"/>
    </row>
    <row r="59">
      <c r="A59" t="n">
        <v>1</v>
      </c>
      <c r="C59" t="inlineStr">
        <is>
          <t>장기매입채무및기타채무</t>
        </is>
      </c>
      <c r="H59" s="9" t="n"/>
      <c r="M59" s="9" t="n"/>
      <c r="O59" s="19" t="n">
        <v>954.23</v>
      </c>
      <c r="P59" s="10" t="n"/>
      <c r="Q59" s="10" t="n"/>
      <c r="R59" s="11" t="n"/>
      <c r="S59" s="10" t="n"/>
      <c r="T59" s="10" t="n"/>
      <c r="U59" s="10" t="n"/>
      <c r="V59" s="10" t="n"/>
      <c r="W59" s="11" t="n"/>
      <c r="X59" s="10" t="n"/>
      <c r="Y59" s="10" t="n"/>
      <c r="Z59" s="10" t="n"/>
      <c r="AA59" s="10" t="n"/>
      <c r="AB59" s="11" t="n"/>
    </row>
    <row r="60">
      <c r="A60" t="n">
        <v>1</v>
      </c>
      <c r="C60" t="inlineStr">
        <is>
          <t>매출액(수익)</t>
        </is>
      </c>
      <c r="E60" s="18" t="n">
        <v>325349.52</v>
      </c>
      <c r="F60" s="18" t="n">
        <v>320324.16</v>
      </c>
      <c r="G60" s="18" t="n">
        <v>352107.89</v>
      </c>
      <c r="H60" s="9" t="n"/>
      <c r="I60" s="18" t="n">
        <v>360258.49</v>
      </c>
      <c r="J60" s="18" t="n">
        <v>354854.23</v>
      </c>
      <c r="K60" s="18" t="n">
        <v>363664.04</v>
      </c>
      <c r="L60" s="18" t="n">
        <v>395725.85</v>
      </c>
      <c r="M60" s="37" t="n">
        <v>1474502.61</v>
      </c>
      <c r="N60" s="18" t="n">
        <v>371147.5</v>
      </c>
      <c r="O60" s="19" t="n">
        <v>413999.55</v>
      </c>
      <c r="P60" s="10" t="n"/>
      <c r="Q60" s="10" t="n"/>
      <c r="R60" s="11" t="n"/>
      <c r="S60" s="10" t="n"/>
      <c r="T60" s="10" t="n"/>
      <c r="U60" s="10" t="n"/>
      <c r="V60" s="10" t="n"/>
      <c r="W60" s="11" t="n"/>
      <c r="X60" s="10" t="n"/>
      <c r="Y60" s="10" t="n"/>
      <c r="Z60" s="10" t="n"/>
      <c r="AA60" s="10" t="n"/>
      <c r="AB60" s="11" t="n"/>
    </row>
    <row r="61">
      <c r="A61" t="n">
        <v>1</v>
      </c>
      <c r="C61" t="inlineStr">
        <is>
          <t>매출원가</t>
        </is>
      </c>
      <c r="E61" s="18" t="n">
        <v>250170.46</v>
      </c>
      <c r="F61" s="18" t="n">
        <v>246371.8</v>
      </c>
      <c r="G61" s="18" t="n">
        <v>275304.15</v>
      </c>
      <c r="H61" s="9" t="n"/>
      <c r="I61" s="18" t="n">
        <v>269188.14</v>
      </c>
      <c r="J61" s="18" t="n">
        <v>263279.01</v>
      </c>
      <c r="K61" s="18" t="n">
        <v>267519</v>
      </c>
      <c r="L61" s="18" t="n">
        <v>288603.52</v>
      </c>
      <c r="M61" s="37" t="n">
        <v>1088589.67</v>
      </c>
      <c r="N61" s="18" t="n">
        <v>276100.37</v>
      </c>
      <c r="O61" s="19" t="n">
        <v>316291.74</v>
      </c>
      <c r="P61" s="10" t="n"/>
      <c r="Q61" s="10" t="n"/>
      <c r="R61" s="11" t="n"/>
      <c r="S61" s="10" t="n"/>
      <c r="T61" s="10" t="n"/>
      <c r="U61" s="10" t="n"/>
      <c r="V61" s="10" t="n"/>
      <c r="W61" s="11" t="n"/>
      <c r="X61" s="10" t="n"/>
      <c r="Y61" s="10" t="n"/>
      <c r="Z61" s="10" t="n"/>
      <c r="AA61" s="10" t="n"/>
      <c r="AB61" s="11" t="n"/>
    </row>
    <row r="62">
      <c r="A62" t="n">
        <v>1</v>
      </c>
      <c r="C62" t="inlineStr">
        <is>
          <t>매출총이익</t>
        </is>
      </c>
      <c r="E62" s="18" t="n">
        <v>75179.06</v>
      </c>
      <c r="F62" s="18" t="n">
        <v>73952.36</v>
      </c>
      <c r="G62" s="18" t="n">
        <v>76803.74000000001</v>
      </c>
      <c r="H62" s="9" t="n"/>
      <c r="I62" s="18" t="n">
        <v>91070.35000000001</v>
      </c>
      <c r="J62" s="18" t="n">
        <v>91575.23</v>
      </c>
      <c r="K62" s="18" t="n">
        <v>96145.03999999999</v>
      </c>
      <c r="L62" s="18" t="n">
        <v>107122.33</v>
      </c>
      <c r="M62" s="37" t="n">
        <v>385912.95</v>
      </c>
      <c r="N62" s="18" t="n">
        <v>95047.13</v>
      </c>
      <c r="O62" s="19" t="n">
        <v>97707.81</v>
      </c>
      <c r="P62" s="10" t="n"/>
      <c r="Q62" s="10" t="n"/>
      <c r="R62" s="11" t="n"/>
      <c r="S62" s="10" t="n"/>
      <c r="T62" s="10" t="n"/>
      <c r="U62" s="10" t="n"/>
      <c r="V62" s="10" t="n"/>
      <c r="W62" s="11" t="n"/>
      <c r="X62" s="10" t="n"/>
      <c r="Y62" s="10" t="n"/>
      <c r="Z62" s="10" t="n"/>
      <c r="AA62" s="10" t="n"/>
      <c r="AB62" s="11" t="n"/>
    </row>
    <row r="63">
      <c r="A63" t="n">
        <v>1</v>
      </c>
      <c r="C63" t="inlineStr">
        <is>
          <t>판관비</t>
        </is>
      </c>
      <c r="E63" s="18" t="n">
        <v>12811.02</v>
      </c>
      <c r="F63" s="18" t="n">
        <v>11010.06</v>
      </c>
      <c r="G63" s="18" t="n">
        <v>12895.36</v>
      </c>
      <c r="H63" s="9" t="n"/>
      <c r="I63" s="18" t="n">
        <v>13341.37</v>
      </c>
      <c r="J63" s="18" t="n">
        <v>14640.82</v>
      </c>
      <c r="K63" s="18" t="n">
        <v>11920.29</v>
      </c>
      <c r="L63" s="18" t="n">
        <v>15315.51</v>
      </c>
      <c r="M63" s="37" t="n">
        <v>55217.99</v>
      </c>
      <c r="N63" s="18" t="n">
        <v>14258.25</v>
      </c>
      <c r="O63" s="19" t="n">
        <v>17817.02</v>
      </c>
      <c r="P63" s="10" t="n"/>
      <c r="Q63" s="10" t="n"/>
      <c r="R63" s="11" t="n"/>
      <c r="S63" s="10" t="n"/>
      <c r="T63" s="10" t="n"/>
      <c r="U63" s="10" t="n"/>
      <c r="V63" s="10" t="n"/>
      <c r="W63" s="11" t="n"/>
      <c r="X63" s="10" t="n"/>
      <c r="Y63" s="10" t="n"/>
      <c r="Z63" s="10" t="n"/>
      <c r="AA63" s="10" t="n"/>
      <c r="AB63" s="11" t="n"/>
    </row>
    <row r="64">
      <c r="A64" t="n">
        <v>1</v>
      </c>
      <c r="C64" t="inlineStr">
        <is>
          <t>영업이익</t>
        </is>
      </c>
      <c r="E64" s="18" t="n">
        <v>62368.05</v>
      </c>
      <c r="F64" s="18" t="n">
        <v>62942.3</v>
      </c>
      <c r="G64" s="18" t="n">
        <v>63908.38</v>
      </c>
      <c r="H64" s="9" t="n"/>
      <c r="I64" s="18" t="n">
        <v>77728.98</v>
      </c>
      <c r="J64" s="18" t="n">
        <v>76934.39999999999</v>
      </c>
      <c r="K64" s="18" t="n">
        <v>84224.75</v>
      </c>
      <c r="L64" s="18" t="n">
        <v>91806.82000000001</v>
      </c>
      <c r="M64" s="37" t="n">
        <v>330694.95</v>
      </c>
      <c r="N64" s="18" t="n">
        <v>80788.88</v>
      </c>
      <c r="O64" s="19" t="n">
        <v>79890.78999999999</v>
      </c>
      <c r="P64" s="10" t="n"/>
      <c r="Q64" s="10" t="n"/>
      <c r="R64" s="11" t="n"/>
      <c r="S64" s="10" t="n"/>
      <c r="T64" s="10" t="n"/>
      <c r="U64" s="10" t="n"/>
      <c r="V64" s="10" t="n"/>
      <c r="W64" s="11" t="n"/>
      <c r="X64" s="10" t="n"/>
      <c r="Y64" s="10" t="n"/>
      <c r="Z64" s="10" t="n"/>
      <c r="AA64" s="10" t="n"/>
      <c r="AB64" s="11" t="n"/>
    </row>
    <row r="65">
      <c r="A65" t="n">
        <v>1</v>
      </c>
      <c r="C65" t="inlineStr">
        <is>
          <t>금융수익</t>
        </is>
      </c>
      <c r="E65" s="18" t="n">
        <v>10368.93</v>
      </c>
      <c r="F65" s="18" t="n">
        <v>9187.33</v>
      </c>
      <c r="G65" s="18" t="n">
        <v>27717.16</v>
      </c>
      <c r="H65" s="9" t="n"/>
      <c r="I65" s="18" t="n">
        <v>15242.82</v>
      </c>
      <c r="J65" s="18" t="n">
        <v>15875.56</v>
      </c>
      <c r="K65" s="18" t="n">
        <v>13718.26</v>
      </c>
      <c r="L65" s="18" t="n">
        <v>21620.47</v>
      </c>
      <c r="M65" s="37" t="n">
        <v>66457.11</v>
      </c>
      <c r="N65" s="18" t="n">
        <v>46145.34</v>
      </c>
      <c r="O65" s="19" t="n">
        <v>31321.75</v>
      </c>
      <c r="P65" s="10" t="n"/>
      <c r="Q65" s="10" t="n"/>
      <c r="R65" s="11" t="n"/>
      <c r="S65" s="10" t="n"/>
      <c r="T65" s="10" t="n"/>
      <c r="U65" s="10" t="n"/>
      <c r="V65" s="10" t="n"/>
      <c r="W65" s="11" t="n"/>
      <c r="X65" s="10" t="n"/>
      <c r="Y65" s="10" t="n"/>
      <c r="Z65" s="10" t="n"/>
      <c r="AA65" s="10" t="n"/>
      <c r="AB65" s="11" t="n"/>
    </row>
    <row r="66">
      <c r="A66" t="n">
        <v>1</v>
      </c>
      <c r="C66" t="inlineStr">
        <is>
          <t>금융비용</t>
        </is>
      </c>
      <c r="E66" s="18" t="n">
        <v>3553.64</v>
      </c>
      <c r="F66" s="18" t="n">
        <v>13995.74</v>
      </c>
      <c r="G66" s="18" t="n">
        <v>7758.97</v>
      </c>
      <c r="H66" s="9" t="n"/>
      <c r="I66" s="18" t="n">
        <v>12650.93</v>
      </c>
      <c r="J66" s="18" t="n">
        <v>27513.35</v>
      </c>
      <c r="K66" s="18" t="n">
        <v>2659.76</v>
      </c>
      <c r="L66" s="18" t="n">
        <v>14566.52</v>
      </c>
      <c r="M66" s="37" t="n">
        <v>57390.56</v>
      </c>
      <c r="N66" s="18" t="n">
        <v>21033.32</v>
      </c>
      <c r="O66" s="19" t="n">
        <v>19061.4</v>
      </c>
      <c r="P66" s="10" t="n"/>
      <c r="Q66" s="10" t="n"/>
      <c r="R66" s="11" t="n"/>
      <c r="S66" s="10" t="n"/>
      <c r="T66" s="10" t="n"/>
      <c r="U66" s="10" t="n"/>
      <c r="V66" s="10" t="n"/>
      <c r="W66" s="11" t="n"/>
      <c r="X66" s="10" t="n"/>
      <c r="Y66" s="10" t="n"/>
      <c r="Z66" s="10" t="n"/>
      <c r="AA66" s="10" t="n"/>
      <c r="AB66" s="11" t="n"/>
    </row>
    <row r="67">
      <c r="A67" t="n">
        <v>1</v>
      </c>
      <c r="C67" t="inlineStr">
        <is>
          <t>기타영업외수익</t>
        </is>
      </c>
      <c r="E67" s="18" t="n">
        <v>515.09</v>
      </c>
      <c r="F67" s="18" t="n">
        <v>173.8</v>
      </c>
      <c r="G67" s="18" t="n">
        <v>458.83</v>
      </c>
      <c r="H67" s="9" t="n"/>
      <c r="I67" s="18" t="n">
        <v>522.8099999999999</v>
      </c>
      <c r="J67" s="18" t="n">
        <v>133.43</v>
      </c>
      <c r="K67" s="18" t="n">
        <v>205.17</v>
      </c>
      <c r="L67" s="18" t="n">
        <v>347.44</v>
      </c>
      <c r="M67" s="37" t="n">
        <v>1208.85</v>
      </c>
      <c r="N67" s="18" t="n">
        <v>749.14</v>
      </c>
      <c r="O67" s="19" t="n">
        <v>307.32</v>
      </c>
      <c r="P67" s="10" t="n"/>
      <c r="Q67" s="10" t="n"/>
      <c r="R67" s="11" t="n"/>
      <c r="S67" s="10" t="n"/>
      <c r="T67" s="10" t="n"/>
      <c r="U67" s="10" t="n"/>
      <c r="V67" s="10" t="n"/>
      <c r="W67" s="11" t="n"/>
      <c r="X67" s="10" t="n"/>
      <c r="Y67" s="10" t="n"/>
      <c r="Z67" s="10" t="n"/>
      <c r="AA67" s="10" t="n"/>
      <c r="AB67" s="11" t="n"/>
    </row>
    <row r="68">
      <c r="A68" t="n">
        <v>1</v>
      </c>
      <c r="C68" t="inlineStr">
        <is>
          <t>기타영업외비용</t>
        </is>
      </c>
      <c r="E68" s="18" t="n">
        <v>610.24</v>
      </c>
      <c r="F68" s="18" t="n">
        <v>386.33</v>
      </c>
      <c r="G68" s="18" t="n">
        <v>545.4</v>
      </c>
      <c r="H68" s="9" t="n"/>
      <c r="I68" s="18" t="n">
        <v>1719.71</v>
      </c>
      <c r="J68" s="18" t="n">
        <v>1259.46</v>
      </c>
      <c r="K68" s="18" t="n">
        <v>242.5</v>
      </c>
      <c r="L68" s="18" t="n">
        <v>784.4400000000001</v>
      </c>
      <c r="M68" s="37" t="n">
        <v>4006.11</v>
      </c>
      <c r="N68" s="18" t="n">
        <v>918.6</v>
      </c>
      <c r="O68" s="19" t="n">
        <v>1294.96</v>
      </c>
      <c r="P68" s="10" t="n"/>
      <c r="Q68" s="10" t="n"/>
      <c r="R68" s="11" t="n"/>
      <c r="S68" s="10" t="n"/>
      <c r="T68" s="10" t="n"/>
      <c r="U68" s="10" t="n"/>
      <c r="V68" s="10" t="n"/>
      <c r="W68" s="11" t="n"/>
      <c r="X68" s="10" t="n"/>
      <c r="Y68" s="10" t="n"/>
      <c r="Z68" s="10" t="n"/>
      <c r="AA68" s="10" t="n"/>
      <c r="AB68" s="11" t="n"/>
    </row>
    <row r="69">
      <c r="A69" t="n">
        <v>1</v>
      </c>
      <c r="C69" t="inlineStr">
        <is>
          <t>법인세비용차감전계속사업이익</t>
        </is>
      </c>
      <c r="E69" s="18" t="n">
        <v>69088.19</v>
      </c>
      <c r="F69" s="18" t="n">
        <v>57921.35</v>
      </c>
      <c r="G69" s="18" t="n">
        <v>83780</v>
      </c>
      <c r="H69" s="9" t="n"/>
      <c r="I69" s="18" t="n">
        <v>79123.98</v>
      </c>
      <c r="J69" s="18" t="n">
        <v>64170.57</v>
      </c>
      <c r="K69" s="18" t="n">
        <v>95245.92</v>
      </c>
      <c r="L69" s="18" t="n">
        <v>98423.77</v>
      </c>
      <c r="M69" s="37" t="n">
        <v>336964.24</v>
      </c>
      <c r="N69" s="18" t="n">
        <v>105731.43</v>
      </c>
      <c r="O69" s="19" t="n">
        <v>91163.5</v>
      </c>
      <c r="P69" s="10" t="n"/>
      <c r="Q69" s="10" t="n"/>
      <c r="R69" s="11" t="n"/>
      <c r="S69" s="10" t="n"/>
      <c r="T69" s="10" t="n"/>
      <c r="U69" s="10" t="n"/>
      <c r="V69" s="10" t="n"/>
      <c r="W69" s="11" t="n"/>
      <c r="X69" s="10" t="n"/>
      <c r="Y69" s="10" t="n"/>
      <c r="Z69" s="10" t="n"/>
      <c r="AA69" s="10" t="n"/>
      <c r="AB69" s="11" t="n"/>
    </row>
    <row r="70">
      <c r="A70" t="n">
        <v>1</v>
      </c>
      <c r="C70" t="inlineStr">
        <is>
          <t>법인세비용</t>
        </is>
      </c>
      <c r="E70" s="18" t="n">
        <v>18007.09</v>
      </c>
      <c r="F70" s="18" t="n">
        <v>13670.75</v>
      </c>
      <c r="G70" s="18" t="n">
        <v>17948.13</v>
      </c>
      <c r="H70" s="9" t="n"/>
      <c r="I70" s="18" t="n">
        <v>19690.82</v>
      </c>
      <c r="J70" s="18" t="n">
        <v>14882.61</v>
      </c>
      <c r="K70" s="18" t="n">
        <v>22884.93</v>
      </c>
      <c r="L70" s="18" t="n">
        <v>24264.24</v>
      </c>
      <c r="M70" s="37" t="n">
        <v>81722.60000000001</v>
      </c>
      <c r="N70" s="18" t="n">
        <v>18366.53</v>
      </c>
      <c r="O70" s="19" t="n">
        <v>21972.11</v>
      </c>
      <c r="P70" s="10" t="n"/>
      <c r="Q70" s="10" t="n"/>
      <c r="R70" s="11" t="n"/>
      <c r="S70" s="10" t="n"/>
      <c r="T70" s="10" t="n"/>
      <c r="U70" s="10" t="n"/>
      <c r="V70" s="10" t="n"/>
      <c r="W70" s="11" t="n"/>
      <c r="X70" s="10" t="n"/>
      <c r="Y70" s="10" t="n"/>
      <c r="Z70" s="10" t="n"/>
      <c r="AA70" s="10" t="n"/>
      <c r="AB70" s="11" t="n"/>
    </row>
    <row r="71">
      <c r="A71" t="n">
        <v>1</v>
      </c>
      <c r="C71" t="inlineStr">
        <is>
          <t>당기순이익</t>
        </is>
      </c>
      <c r="E71" s="18" t="n">
        <v>51081.09</v>
      </c>
      <c r="F71" s="18" t="n">
        <v>44250.6</v>
      </c>
      <c r="G71" s="18" t="n">
        <v>65831.87</v>
      </c>
      <c r="H71" s="9" t="n"/>
      <c r="I71" s="18" t="n">
        <v>59433.16</v>
      </c>
      <c r="J71" s="18" t="n">
        <v>49287.96</v>
      </c>
      <c r="K71" s="18" t="n">
        <v>72360.99000000001</v>
      </c>
      <c r="L71" s="18" t="n">
        <v>74159.53</v>
      </c>
      <c r="M71" s="37" t="n">
        <v>255241.64</v>
      </c>
      <c r="N71" s="18" t="n">
        <v>87364.89999999999</v>
      </c>
      <c r="O71" s="19" t="n">
        <v>69191.39</v>
      </c>
      <c r="P71" s="10" t="n"/>
      <c r="Q71" s="10" t="n"/>
      <c r="R71" s="11" t="n"/>
      <c r="S71" s="10" t="n"/>
      <c r="T71" s="10" t="n"/>
      <c r="U71" s="10" t="n"/>
      <c r="V71" s="10" t="n"/>
      <c r="W71" s="11" t="n"/>
      <c r="X71" s="10" t="n"/>
      <c r="Y71" s="10" t="n"/>
      <c r="Z71" s="10" t="n"/>
      <c r="AA71" s="10" t="n"/>
      <c r="AB71" s="11" t="n"/>
    </row>
    <row r="72">
      <c r="A72" t="n">
        <v>1</v>
      </c>
      <c r="C72" t="inlineStr">
        <is>
          <t>총포괄손익</t>
        </is>
      </c>
      <c r="E72" s="18" t="n">
        <v>51081.09</v>
      </c>
      <c r="F72" s="18" t="n">
        <v>44250.6</v>
      </c>
      <c r="G72" s="18" t="n">
        <v>63205.98</v>
      </c>
      <c r="H72" s="9" t="n"/>
      <c r="I72" s="18" t="n">
        <v>59434.69</v>
      </c>
      <c r="J72" s="18" t="n">
        <v>49287.96</v>
      </c>
      <c r="K72" s="18" t="n">
        <v>72360.99000000001</v>
      </c>
      <c r="L72" s="18" t="n">
        <v>73367.8</v>
      </c>
      <c r="M72" s="37" t="n">
        <v>254451.44</v>
      </c>
      <c r="N72" s="18" t="n">
        <v>87325.46000000001</v>
      </c>
      <c r="O72" s="19" t="n">
        <v>68990.81</v>
      </c>
      <c r="P72" s="10" t="n"/>
      <c r="Q72" s="10" t="n"/>
      <c r="R72" s="11" t="n"/>
      <c r="S72" s="10" t="n"/>
      <c r="T72" s="10" t="n"/>
      <c r="U72" s="10" t="n"/>
      <c r="V72" s="10" t="n"/>
      <c r="W72" s="11" t="n"/>
      <c r="X72" s="10" t="n"/>
      <c r="Y72" s="10" t="n"/>
      <c r="Z72" s="10" t="n"/>
      <c r="AA72" s="10" t="n"/>
      <c r="AB72" s="11" t="n"/>
    </row>
    <row r="73">
      <c r="A73" t="n">
        <v>1</v>
      </c>
      <c r="C73" t="inlineStr">
        <is>
          <t>금융손익</t>
        </is>
      </c>
      <c r="E73" s="18" t="n">
        <v>6815.29</v>
      </c>
      <c r="F73" s="18" t="n">
        <v>-4808.41</v>
      </c>
      <c r="G73" s="18" t="n">
        <v>19958.19</v>
      </c>
      <c r="H73" s="9" t="n"/>
      <c r="I73" s="18" t="n">
        <v>2591.89</v>
      </c>
      <c r="J73" s="18" t="n">
        <v>-11637.79</v>
      </c>
      <c r="K73" s="18" t="n">
        <v>11058.5</v>
      </c>
      <c r="L73" s="18" t="n">
        <v>7053.95</v>
      </c>
      <c r="M73" s="37" t="n">
        <v>9066.549999999999</v>
      </c>
      <c r="N73" s="18" t="n">
        <v>25112.02</v>
      </c>
      <c r="O73" s="19" t="n">
        <v>12260.35</v>
      </c>
      <c r="P73" s="10" t="n"/>
      <c r="Q73" s="10" t="n"/>
      <c r="R73" s="11" t="n"/>
      <c r="S73" s="10" t="n"/>
      <c r="T73" s="10" t="n"/>
      <c r="U73" s="10" t="n"/>
      <c r="V73" s="10" t="n"/>
      <c r="W73" s="11" t="n"/>
      <c r="X73" s="10" t="n"/>
      <c r="Y73" s="10" t="n"/>
      <c r="Z73" s="10" t="n"/>
      <c r="AA73" s="10" t="n"/>
      <c r="AB73" s="11" t="n"/>
    </row>
    <row r="74">
      <c r="A74" t="n">
        <v>1</v>
      </c>
      <c r="C74" t="inlineStr">
        <is>
          <t>기타영업외손익</t>
        </is>
      </c>
      <c r="E74" s="18" t="n">
        <v>-95.15000000000001</v>
      </c>
      <c r="F74" s="18" t="n">
        <v>-212.53</v>
      </c>
      <c r="G74" s="18" t="n">
        <v>-86.56999999999999</v>
      </c>
      <c r="H74" s="9" t="n"/>
      <c r="I74" s="18" t="n">
        <v>-1196.9</v>
      </c>
      <c r="J74" s="18" t="n">
        <v>-1126.03</v>
      </c>
      <c r="K74" s="18" t="n">
        <v>-37.33</v>
      </c>
      <c r="L74" s="18" t="n">
        <v>-437</v>
      </c>
      <c r="M74" s="37" t="n">
        <v>-2797.26</v>
      </c>
      <c r="N74" s="18" t="n">
        <v>-169.46</v>
      </c>
      <c r="O74" s="19" t="n">
        <v>-987.64</v>
      </c>
      <c r="P74" s="10" t="n"/>
      <c r="Q74" s="10" t="n"/>
      <c r="R74" s="11" t="n"/>
      <c r="S74" s="10" t="n"/>
      <c r="T74" s="10" t="n"/>
      <c r="U74" s="10" t="n"/>
      <c r="V74" s="10" t="n"/>
      <c r="W74" s="11" t="n"/>
      <c r="X74" s="10" t="n"/>
      <c r="Y74" s="10" t="n"/>
      <c r="Z74" s="10" t="n"/>
      <c r="AA74" s="10" t="n"/>
      <c r="AB74" s="11" t="n"/>
    </row>
    <row r="75">
      <c r="A75" t="n">
        <v>1</v>
      </c>
      <c r="C75" t="inlineStr">
        <is>
          <t>(지배주주지분)당기순이익</t>
        </is>
      </c>
      <c r="E75" s="18" t="n">
        <v>51081.09</v>
      </c>
      <c r="F75" s="18" t="n">
        <v>44250.6</v>
      </c>
      <c r="G75" s="18" t="n">
        <v>65831.87</v>
      </c>
      <c r="H75" s="9" t="n"/>
      <c r="I75" s="18" t="n">
        <v>59433.16</v>
      </c>
      <c r="J75" s="18" t="n">
        <v>49287.96</v>
      </c>
      <c r="K75" s="18" t="n">
        <v>72360.99000000001</v>
      </c>
      <c r="L75" s="18" t="n">
        <v>74159.53</v>
      </c>
      <c r="M75" s="37" t="n">
        <v>255241.64</v>
      </c>
      <c r="N75" s="18" t="n">
        <v>87364.89999999999</v>
      </c>
      <c r="O75" s="19" t="n">
        <v>69191.39</v>
      </c>
      <c r="P75" s="10" t="n"/>
      <c r="Q75" s="10" t="n"/>
      <c r="R75" s="11" t="n"/>
      <c r="S75" s="10" t="n"/>
      <c r="T75" s="10" t="n"/>
      <c r="U75" s="10" t="n"/>
      <c r="V75" s="10" t="n"/>
      <c r="W75" s="11" t="n"/>
      <c r="X75" s="10" t="n"/>
      <c r="Y75" s="10" t="n"/>
      <c r="Z75" s="10" t="n"/>
      <c r="AA75" s="10" t="n"/>
      <c r="AB75" s="11" t="n"/>
    </row>
    <row r="76">
      <c r="A76" t="n">
        <v>1</v>
      </c>
      <c r="C76" t="inlineStr">
        <is>
          <t>계속사업이익</t>
        </is>
      </c>
      <c r="E76" s="18" t="n">
        <v>51081.09</v>
      </c>
      <c r="F76" s="18" t="n">
        <v>44250.6</v>
      </c>
      <c r="G76" s="18" t="n">
        <v>65831.87</v>
      </c>
      <c r="H76" s="9" t="n"/>
      <c r="I76" s="18" t="n">
        <v>59433.16</v>
      </c>
      <c r="J76" s="18" t="n">
        <v>49287.96</v>
      </c>
      <c r="K76" s="18" t="n">
        <v>72360.99000000001</v>
      </c>
      <c r="L76" s="18" t="n">
        <v>74159.53</v>
      </c>
      <c r="M76" s="37" t="n">
        <v>255241.64</v>
      </c>
      <c r="N76" s="18" t="n">
        <v>87364.89999999999</v>
      </c>
      <c r="O76" s="19" t="n">
        <v>69191.39</v>
      </c>
      <c r="P76" s="10" t="n"/>
      <c r="Q76" s="10" t="n"/>
      <c r="R76" s="11" t="n"/>
      <c r="S76" s="10" t="n"/>
      <c r="T76" s="10" t="n"/>
      <c r="U76" s="10" t="n"/>
      <c r="V76" s="10" t="n"/>
      <c r="W76" s="11" t="n"/>
      <c r="X76" s="10" t="n"/>
      <c r="Y76" s="10" t="n"/>
      <c r="Z76" s="10" t="n"/>
      <c r="AA76" s="10" t="n"/>
      <c r="AB76" s="11" t="n"/>
    </row>
    <row r="77">
      <c r="A77" t="n">
        <v>1</v>
      </c>
      <c r="C77" t="inlineStr">
        <is>
          <t>영업활동으로인한현금흐름</t>
        </is>
      </c>
      <c r="E77" s="18" t="n">
        <v>26347.4</v>
      </c>
      <c r="F77" s="18" t="n">
        <v>91995.75999999999</v>
      </c>
      <c r="G77" s="18" t="n">
        <v>32063.55</v>
      </c>
      <c r="H77" s="9" t="n"/>
      <c r="I77" s="18" t="n">
        <v>96560.8</v>
      </c>
      <c r="J77" s="18" t="n">
        <v>46606.57</v>
      </c>
      <c r="K77" s="18" t="n">
        <v>76869</v>
      </c>
      <c r="L77" s="18" t="n">
        <v>66754.67999999999</v>
      </c>
      <c r="M77" s="37" t="n">
        <v>286791.05</v>
      </c>
      <c r="N77" s="18" t="n">
        <v>51053.07</v>
      </c>
      <c r="O77" s="19" t="n">
        <v>62325.73</v>
      </c>
      <c r="P77" s="10" t="n"/>
      <c r="Q77" s="10" t="n"/>
      <c r="R77" s="11" t="n"/>
      <c r="S77" s="10" t="n"/>
      <c r="T77" s="10" t="n"/>
      <c r="U77" s="10" t="n"/>
      <c r="V77" s="10" t="n"/>
      <c r="W77" s="11" t="n"/>
      <c r="X77" s="10" t="n"/>
      <c r="Y77" s="10" t="n"/>
      <c r="Z77" s="10" t="n"/>
      <c r="AA77" s="10" t="n"/>
      <c r="AB77" s="11" t="n"/>
    </row>
    <row r="78">
      <c r="A78" t="n">
        <v>1</v>
      </c>
      <c r="C78" t="inlineStr">
        <is>
          <t>이자수취(CF)</t>
        </is>
      </c>
      <c r="E78" s="18" t="n">
        <v>1718.69</v>
      </c>
      <c r="F78" s="18" t="n">
        <v>2947.49</v>
      </c>
      <c r="G78" s="18" t="n">
        <v>2867.37</v>
      </c>
      <c r="H78" s="9" t="n"/>
      <c r="I78" s="18" t="n">
        <v>5634.52</v>
      </c>
      <c r="J78" s="18" t="n">
        <v>3262.98</v>
      </c>
      <c r="K78" s="18" t="n">
        <v>2901.14</v>
      </c>
      <c r="L78" s="18" t="n">
        <v>4627.38</v>
      </c>
      <c r="M78" s="37" t="n">
        <v>16426.02</v>
      </c>
      <c r="N78" s="18" t="n">
        <v>3099.8</v>
      </c>
      <c r="O78" s="19" t="n">
        <v>4650.43</v>
      </c>
      <c r="P78" s="10" t="n"/>
      <c r="Q78" s="10" t="n"/>
      <c r="R78" s="11" t="n"/>
      <c r="S78" s="10" t="n"/>
      <c r="T78" s="10" t="n"/>
      <c r="U78" s="10" t="n"/>
      <c r="V78" s="10" t="n"/>
      <c r="W78" s="11" t="n"/>
      <c r="X78" s="10" t="n"/>
      <c r="Y78" s="10" t="n"/>
      <c r="Z78" s="10" t="n"/>
      <c r="AA78" s="10" t="n"/>
      <c r="AB78" s="11" t="n"/>
    </row>
    <row r="79">
      <c r="A79" t="n">
        <v>1</v>
      </c>
      <c r="C79" t="inlineStr">
        <is>
          <t>이자지급(CF)</t>
        </is>
      </c>
      <c r="E79" s="18" t="n">
        <v>-1336.71</v>
      </c>
      <c r="F79" s="18" t="n">
        <v>-534.6</v>
      </c>
      <c r="G79" s="18" t="n">
        <v>-192.47</v>
      </c>
      <c r="H79" s="9" t="n"/>
      <c r="I79" s="18" t="n">
        <v>-151.14</v>
      </c>
      <c r="J79" s="18" t="n">
        <v>-144.76</v>
      </c>
      <c r="K79" s="18" t="n">
        <v>-128.9</v>
      </c>
      <c r="L79" s="18" t="n">
        <v>-114.22</v>
      </c>
      <c r="M79" s="37" t="n">
        <v>-539.02</v>
      </c>
      <c r="N79" s="18" t="n">
        <v>-132.55</v>
      </c>
      <c r="O79" s="19" t="n">
        <v>-173.1</v>
      </c>
      <c r="P79" s="10" t="n"/>
      <c r="Q79" s="10" t="n"/>
      <c r="R79" s="11" t="n"/>
      <c r="S79" s="10" t="n"/>
      <c r="T79" s="10" t="n"/>
      <c r="U79" s="10" t="n"/>
      <c r="V79" s="10" t="n"/>
      <c r="W79" s="11" t="n"/>
      <c r="X79" s="10" t="n"/>
      <c r="Y79" s="10" t="n"/>
      <c r="Z79" s="10" t="n"/>
      <c r="AA79" s="10" t="n"/>
      <c r="AB79" s="11" t="n"/>
    </row>
    <row r="80">
      <c r="A80" t="n">
        <v>1</v>
      </c>
      <c r="C80" t="inlineStr">
        <is>
          <t>법인세납부(CF)</t>
        </is>
      </c>
      <c r="E80" s="18" t="n">
        <v>-24143.95</v>
      </c>
      <c r="F80" s="18" t="n">
        <v>-26391.93</v>
      </c>
      <c r="G80" s="18" t="n">
        <v>-308.33</v>
      </c>
      <c r="H80" s="9" t="n"/>
      <c r="I80" s="18" t="n">
        <v>-10425.51</v>
      </c>
      <c r="J80" s="18" t="n">
        <v>-14701.67</v>
      </c>
      <c r="K80" s="18" t="n">
        <v>-17326.24</v>
      </c>
      <c r="L80" s="18" t="n">
        <v>-17593.24</v>
      </c>
      <c r="M80" s="37" t="n">
        <v>-60046.66</v>
      </c>
      <c r="N80" s="18" t="n">
        <v>-18368.72</v>
      </c>
      <c r="O80" s="19" t="n">
        <v>-25276.13</v>
      </c>
      <c r="P80" s="10" t="n"/>
      <c r="Q80" s="10" t="n"/>
      <c r="R80" s="11" t="n"/>
      <c r="S80" s="10" t="n"/>
      <c r="T80" s="10" t="n"/>
      <c r="U80" s="10" t="n"/>
      <c r="V80" s="10" t="n"/>
      <c r="W80" s="11" t="n"/>
      <c r="X80" s="10" t="n"/>
      <c r="Y80" s="10" t="n"/>
      <c r="Z80" s="10" t="n"/>
      <c r="AA80" s="10" t="n"/>
      <c r="AB80" s="11" t="n"/>
    </row>
    <row r="81">
      <c r="A81" t="n">
        <v>1</v>
      </c>
      <c r="C81" t="inlineStr">
        <is>
          <t>투자활동으로인한현금흐름</t>
        </is>
      </c>
      <c r="E81" s="18" t="n">
        <v>-129211.49</v>
      </c>
      <c r="F81" s="18" t="n">
        <v>-130189.84</v>
      </c>
      <c r="G81" s="18" t="n">
        <v>67013.33</v>
      </c>
      <c r="H81" s="9" t="n"/>
      <c r="I81" s="18" t="n">
        <v>61338.64</v>
      </c>
      <c r="J81" s="18" t="n">
        <v>-83861.56</v>
      </c>
      <c r="K81" s="18" t="n">
        <v>37379.83</v>
      </c>
      <c r="L81" s="18" t="n">
        <v>-34876.8</v>
      </c>
      <c r="M81" s="37" t="n">
        <v>-20019.89</v>
      </c>
      <c r="N81" s="18" t="n">
        <v>7548.37</v>
      </c>
      <c r="O81" s="19" t="n">
        <v>83176.02</v>
      </c>
      <c r="P81" s="10" t="n"/>
      <c r="Q81" s="10" t="n"/>
      <c r="R81" s="11" t="n"/>
      <c r="S81" s="10" t="n"/>
      <c r="T81" s="10" t="n"/>
      <c r="U81" s="10" t="n"/>
      <c r="V81" s="10" t="n"/>
      <c r="W81" s="11" t="n"/>
      <c r="X81" s="10" t="n"/>
      <c r="Y81" s="10" t="n"/>
      <c r="Z81" s="10" t="n"/>
      <c r="AA81" s="10" t="n"/>
      <c r="AB81" s="11" t="n"/>
    </row>
    <row r="82">
      <c r="A82" t="n">
        <v>1</v>
      </c>
      <c r="C82" t="inlineStr">
        <is>
          <t>유형자산의증가</t>
        </is>
      </c>
      <c r="E82" s="18" t="n">
        <v>2208.32</v>
      </c>
      <c r="F82" s="18" t="n">
        <v>2196.12</v>
      </c>
      <c r="G82" s="18" t="n">
        <v>2126.4</v>
      </c>
      <c r="H82" s="9" t="n"/>
      <c r="I82" s="18" t="n">
        <v>3651.04</v>
      </c>
      <c r="J82" s="18" t="n">
        <v>5561.56</v>
      </c>
      <c r="K82" s="18" t="n">
        <v>1906.39</v>
      </c>
      <c r="L82" s="18" t="n">
        <v>5278.9</v>
      </c>
      <c r="M82" s="37" t="n">
        <v>16397.89</v>
      </c>
      <c r="N82" s="18" t="n">
        <v>3232.32</v>
      </c>
      <c r="O82" s="19" t="n">
        <v>1323.97</v>
      </c>
      <c r="P82" s="10" t="n"/>
      <c r="Q82" s="10" t="n"/>
      <c r="R82" s="11" t="n"/>
      <c r="S82" s="10" t="n"/>
      <c r="T82" s="10" t="n"/>
      <c r="U82" s="10" t="n"/>
      <c r="V82" s="10" t="n"/>
      <c r="W82" s="11" t="n"/>
      <c r="X82" s="10" t="n"/>
      <c r="Y82" s="10" t="n"/>
      <c r="Z82" s="10" t="n"/>
      <c r="AA82" s="10" t="n"/>
      <c r="AB82" s="11" t="n"/>
    </row>
    <row r="83">
      <c r="A83" t="n">
        <v>1</v>
      </c>
      <c r="C83" t="inlineStr">
        <is>
          <t>CAPEX</t>
        </is>
      </c>
      <c r="E83" s="18" t="n">
        <v>2208.32</v>
      </c>
      <c r="F83" s="18" t="n">
        <v>2196.12</v>
      </c>
      <c r="G83" s="18" t="n">
        <v>2126.4</v>
      </c>
      <c r="H83" s="9" t="n"/>
      <c r="I83" s="18" t="n">
        <v>3651.04</v>
      </c>
      <c r="J83" s="18" t="n">
        <v>5561.56</v>
      </c>
      <c r="K83" s="18" t="n">
        <v>2760.6</v>
      </c>
      <c r="L83" s="18" t="n">
        <v>5278.9</v>
      </c>
      <c r="M83" s="37" t="n">
        <v>17252.1</v>
      </c>
      <c r="N83" s="18" t="n">
        <v>3232.32</v>
      </c>
      <c r="O83" s="19" t="n">
        <v>1323.97</v>
      </c>
      <c r="P83" s="10" t="n"/>
      <c r="Q83" s="10" t="n"/>
      <c r="R83" s="11" t="n"/>
      <c r="S83" s="10" t="n"/>
      <c r="T83" s="10" t="n"/>
      <c r="U83" s="10" t="n"/>
      <c r="V83" s="10" t="n"/>
      <c r="W83" s="11" t="n"/>
      <c r="X83" s="10" t="n"/>
      <c r="Y83" s="10" t="n"/>
      <c r="Z83" s="10" t="n"/>
      <c r="AA83" s="10" t="n"/>
      <c r="AB83" s="11" t="n"/>
    </row>
    <row r="84">
      <c r="A84" t="n">
        <v>1</v>
      </c>
      <c r="C84" t="inlineStr">
        <is>
          <t>재무활동으로인한현금흐름</t>
        </is>
      </c>
      <c r="E84" s="18" t="n">
        <v>237036.55</v>
      </c>
      <c r="F84" s="18" t="n">
        <v>-46815.17</v>
      </c>
      <c r="G84" s="18" t="n">
        <v>-27285.99</v>
      </c>
      <c r="H84" s="9" t="n"/>
      <c r="I84" s="18" t="n">
        <v>-1313.21</v>
      </c>
      <c r="J84" s="18" t="n">
        <v>-153747.68</v>
      </c>
      <c r="K84" s="18" t="n">
        <v>-32654.17</v>
      </c>
      <c r="L84" s="18" t="n">
        <v>-32567.67</v>
      </c>
      <c r="M84" s="37" t="n">
        <v>-220282.73</v>
      </c>
      <c r="N84" s="18" t="n">
        <v>-1225.46</v>
      </c>
      <c r="O84" s="19" t="n">
        <v>-125399.02</v>
      </c>
      <c r="P84" s="10" t="n"/>
      <c r="Q84" s="10" t="n"/>
      <c r="R84" s="11" t="n"/>
      <c r="S84" s="10" t="n"/>
      <c r="T84" s="10" t="n"/>
      <c r="U84" s="10" t="n"/>
      <c r="V84" s="10" t="n"/>
      <c r="W84" s="11" t="n"/>
      <c r="X84" s="10" t="n"/>
      <c r="Y84" s="10" t="n"/>
      <c r="Z84" s="10" t="n"/>
      <c r="AA84" s="10" t="n"/>
      <c r="AB84" s="11" t="n"/>
    </row>
    <row r="85">
      <c r="A85" t="n">
        <v>1</v>
      </c>
      <c r="C85" t="inlineStr">
        <is>
          <t>리스부채의상환</t>
        </is>
      </c>
      <c r="E85" s="18" t="n">
        <v>1222.37</v>
      </c>
      <c r="F85" s="18" t="n">
        <v>1232.71</v>
      </c>
      <c r="G85" s="18" t="n">
        <v>1246.49</v>
      </c>
      <c r="H85" s="9" t="n"/>
      <c r="I85" s="18" t="n">
        <v>1311.26</v>
      </c>
      <c r="J85" s="18" t="n">
        <v>1328.37</v>
      </c>
      <c r="K85" s="18" t="n">
        <v>1273.72</v>
      </c>
      <c r="L85" s="18" t="n">
        <v>1293.47</v>
      </c>
      <c r="M85" s="37" t="n">
        <v>5206.82</v>
      </c>
      <c r="N85" s="18" t="n">
        <v>1330.47</v>
      </c>
      <c r="O85" s="19" t="n">
        <v>2109.68</v>
      </c>
      <c r="P85" s="10" t="n"/>
      <c r="Q85" s="10" t="n"/>
      <c r="R85" s="11" t="n"/>
      <c r="S85" s="10" t="n"/>
      <c r="T85" s="10" t="n"/>
      <c r="U85" s="10" t="n"/>
      <c r="V85" s="10" t="n"/>
      <c r="W85" s="11" t="n"/>
      <c r="X85" s="10" t="n"/>
      <c r="Y85" s="10" t="n"/>
      <c r="Z85" s="10" t="n"/>
      <c r="AA85" s="10" t="n"/>
      <c r="AB85" s="11" t="n"/>
    </row>
    <row r="86">
      <c r="A86" t="n">
        <v>1</v>
      </c>
      <c r="C86" t="inlineStr">
        <is>
          <t>현금및현금성자산의증감</t>
        </is>
      </c>
      <c r="E86" s="18" t="n">
        <v>134169.94</v>
      </c>
      <c r="F86" s="18" t="n">
        <v>-85013.64999999999</v>
      </c>
      <c r="H86" s="9" t="n"/>
      <c r="I86" s="18" t="n">
        <v>156584.94</v>
      </c>
      <c r="J86" s="18" t="n">
        <v>-191008.19</v>
      </c>
      <c r="K86" s="18" t="n">
        <v>81597.09</v>
      </c>
      <c r="L86" s="18" t="n">
        <v>-688.62</v>
      </c>
      <c r="M86" s="37" t="n">
        <v>46485.22</v>
      </c>
      <c r="N86" s="18" t="n">
        <v>57380.93</v>
      </c>
      <c r="O86" s="19" t="n">
        <v>20104.83</v>
      </c>
      <c r="P86" s="10" t="n"/>
      <c r="Q86" s="10" t="n"/>
      <c r="R86" s="11" t="n"/>
      <c r="S86" s="10" t="n"/>
      <c r="T86" s="10" t="n"/>
      <c r="U86" s="10" t="n"/>
      <c r="V86" s="10" t="n"/>
      <c r="W86" s="11" t="n"/>
      <c r="X86" s="10" t="n"/>
      <c r="Y86" s="10" t="n"/>
      <c r="Z86" s="10" t="n"/>
      <c r="AA86" s="10" t="n"/>
      <c r="AB86" s="11" t="n"/>
    </row>
    <row r="87">
      <c r="A87" t="n">
        <v>1</v>
      </c>
      <c r="C87" t="inlineStr">
        <is>
          <t>기말현금및현금성자산</t>
        </is>
      </c>
      <c r="E87" s="18" t="n">
        <v>134169.94</v>
      </c>
      <c r="F87" s="18" t="n">
        <v>-85013.64999999999</v>
      </c>
      <c r="H87" s="9" t="n"/>
      <c r="I87" s="18" t="n">
        <v>429223.17</v>
      </c>
      <c r="J87" s="18" t="n">
        <v>-191008.19</v>
      </c>
      <c r="K87" s="18" t="n">
        <v>81597.08</v>
      </c>
      <c r="L87" s="18" t="n">
        <v>-688.61</v>
      </c>
      <c r="M87" s="37" t="n">
        <v>319123.45</v>
      </c>
      <c r="N87" s="18" t="n">
        <v>376504.38</v>
      </c>
      <c r="O87" s="19" t="n">
        <v>20104.82</v>
      </c>
      <c r="P87" s="10" t="n"/>
      <c r="Q87" s="10" t="n"/>
      <c r="R87" s="11" t="n"/>
      <c r="S87" s="10" t="n"/>
      <c r="T87" s="10" t="n"/>
      <c r="U87" s="10" t="n"/>
      <c r="V87" s="10" t="n"/>
      <c r="W87" s="11" t="n"/>
      <c r="X87" s="10" t="n"/>
      <c r="Y87" s="10" t="n"/>
      <c r="Z87" s="10" t="n"/>
      <c r="AA87" s="10" t="n"/>
      <c r="AB87" s="11" t="n"/>
    </row>
    <row r="88">
      <c r="A88" t="n">
        <v>1</v>
      </c>
      <c r="C88" t="inlineStr">
        <is>
          <t>유형자산의감소</t>
        </is>
      </c>
      <c r="F88" s="18" t="n">
        <v>0</v>
      </c>
      <c r="G88" s="18" t="n">
        <v>0</v>
      </c>
      <c r="H88" s="9" t="n"/>
      <c r="K88" s="18" t="n">
        <v>104.72</v>
      </c>
      <c r="L88" s="18" t="n">
        <v>0</v>
      </c>
      <c r="M88" s="9" t="n"/>
      <c r="N88" s="18" t="n">
        <v>363.59</v>
      </c>
      <c r="O88" s="19" t="n">
        <v>0</v>
      </c>
      <c r="P88" s="10" t="n"/>
      <c r="Q88" s="10" t="n"/>
      <c r="R88" s="11" t="n"/>
      <c r="S88" s="10" t="n"/>
      <c r="T88" s="10" t="n"/>
      <c r="U88" s="10" t="n"/>
      <c r="V88" s="10" t="n"/>
      <c r="W88" s="11" t="n"/>
      <c r="X88" s="10" t="n"/>
      <c r="Y88" s="10" t="n"/>
      <c r="Z88" s="10" t="n"/>
      <c r="AA88" s="10" t="n"/>
      <c r="AB88" s="11" t="n"/>
    </row>
    <row r="89">
      <c r="A89" t="n">
        <v>1</v>
      </c>
      <c r="C89" t="inlineStr">
        <is>
          <t>배당금지급</t>
        </is>
      </c>
      <c r="F89" s="18" t="n">
        <v>20002.5</v>
      </c>
      <c r="G89" s="18" t="n">
        <v>0</v>
      </c>
      <c r="H89" s="9" t="n"/>
      <c r="K89" s="18" t="n">
        <v>31380.45</v>
      </c>
      <c r="L89" s="18" t="n">
        <v>31380.45</v>
      </c>
      <c r="M89" s="9" t="n"/>
      <c r="O89" s="5" t="n"/>
      <c r="P89" s="10" t="n"/>
      <c r="Q89" s="10" t="n"/>
      <c r="R89" s="11" t="n"/>
      <c r="S89" s="10" t="n"/>
      <c r="T89" s="10" t="n"/>
      <c r="U89" s="10" t="n"/>
      <c r="V89" s="10" t="n"/>
      <c r="W89" s="11" t="n"/>
      <c r="X89" s="10" t="n"/>
      <c r="Y89" s="10" t="n"/>
      <c r="Z89" s="10" t="n"/>
      <c r="AA89" s="10" t="n"/>
      <c r="AB89" s="11" t="n"/>
    </row>
    <row r="90">
      <c r="A90" t="n">
        <v>1</v>
      </c>
      <c r="C90" t="inlineStr">
        <is>
          <t>무형자산의증가</t>
        </is>
      </c>
      <c r="H90" s="9" t="n"/>
      <c r="L90" s="18" t="n">
        <v>0</v>
      </c>
      <c r="M90" s="9" t="n"/>
      <c r="O90" s="5" t="n"/>
      <c r="P90" s="10" t="n"/>
      <c r="Q90" s="10" t="n"/>
      <c r="R90" s="11" t="n"/>
      <c r="S90" s="10" t="n"/>
      <c r="T90" s="10" t="n"/>
      <c r="U90" s="10" t="n"/>
      <c r="V90" s="10" t="n"/>
      <c r="W90" s="11" t="n"/>
      <c r="X90" s="10" t="n"/>
      <c r="Y90" s="10" t="n"/>
      <c r="Z90" s="10" t="n"/>
      <c r="AA90" s="10" t="n"/>
      <c r="AB90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2Q24</t>
        </is>
      </c>
      <c r="F1" s="3" t="inlineStr">
        <is>
          <t>3Q24</t>
        </is>
      </c>
      <c r="G1" s="3" t="inlineStr">
        <is>
          <t>4Q24</t>
        </is>
      </c>
      <c r="H1" s="3" t="n">
        <v>2024</v>
      </c>
      <c r="I1" s="3" t="inlineStr">
        <is>
          <t>1Q25</t>
        </is>
      </c>
      <c r="J1" s="3" t="inlineStr">
        <is>
          <t>2Q25</t>
        </is>
      </c>
      <c r="K1" s="3" t="inlineStr">
        <is>
          <t>3Q25</t>
        </is>
      </c>
      <c r="L1" s="3" t="inlineStr">
        <is>
          <t>4Q25</t>
        </is>
      </c>
      <c r="M1" s="3" t="n">
        <v>2025</v>
      </c>
      <c r="N1" s="3" t="inlineStr">
        <is>
          <t>1Q26</t>
        </is>
      </c>
      <c r="O1" s="4" t="inlineStr">
        <is>
          <t>2Q26</t>
        </is>
      </c>
      <c r="P1" s="3" t="inlineStr">
        <is>
          <t>3Q26</t>
        </is>
      </c>
      <c r="Q1" s="3" t="inlineStr">
        <is>
          <t>4Q26</t>
        </is>
      </c>
      <c r="R1" s="3" t="n">
        <v>2026</v>
      </c>
      <c r="S1" s="3" t="inlineStr">
        <is>
          <t>1Q27</t>
        </is>
      </c>
      <c r="T1" s="3" t="inlineStr">
        <is>
          <t>2Q27</t>
        </is>
      </c>
      <c r="U1" s="3" t="inlineStr">
        <is>
          <t>3Q27</t>
        </is>
      </c>
      <c r="V1" s="3" t="inlineStr">
        <is>
          <t>4Q27</t>
        </is>
      </c>
      <c r="W1" s="3" t="n">
        <v>2027</v>
      </c>
      <c r="X1" s="3" t="inlineStr">
        <is>
          <t>1Q28</t>
        </is>
      </c>
      <c r="Y1" s="3" t="inlineStr">
        <is>
          <t>2Q28</t>
        </is>
      </c>
      <c r="Z1" s="3" t="inlineStr">
        <is>
          <t>3Q28</t>
        </is>
      </c>
      <c r="AA1" s="3" t="inlineStr">
        <is>
          <t>4Q28</t>
        </is>
      </c>
      <c r="AB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O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6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</row>
    <row r="4">
      <c r="E4" s="7" t="inlineStr">
        <is>
          <t>2024.06</t>
        </is>
      </c>
      <c r="F4" s="7" t="inlineStr">
        <is>
          <t>2024.09</t>
        </is>
      </c>
      <c r="G4" s="7" t="inlineStr">
        <is>
          <t>2024.12</t>
        </is>
      </c>
      <c r="H4" s="7" t="inlineStr">
        <is>
          <t>2024.12A</t>
        </is>
      </c>
      <c r="I4" s="7" t="inlineStr">
        <is>
          <t>2025.03</t>
        </is>
      </c>
      <c r="J4" s="7" t="inlineStr">
        <is>
          <t>2025.06</t>
        </is>
      </c>
      <c r="K4" s="7" t="inlineStr">
        <is>
          <t>2025.09</t>
        </is>
      </c>
      <c r="L4" s="7" t="inlineStr">
        <is>
          <t>2025.12</t>
        </is>
      </c>
      <c r="M4" s="7" t="inlineStr">
        <is>
          <t>2025.12A</t>
        </is>
      </c>
      <c r="N4" s="7" t="inlineStr">
        <is>
          <t>2026.03</t>
        </is>
      </c>
      <c r="O4" s="8" t="inlineStr">
        <is>
          <t>2026.06</t>
        </is>
      </c>
      <c r="P4" s="7" t="inlineStr">
        <is>
          <t>2026.09</t>
        </is>
      </c>
      <c r="Q4" s="7" t="inlineStr">
        <is>
          <t>2026.12</t>
        </is>
      </c>
      <c r="R4" s="7" t="inlineStr">
        <is>
          <t>2026.12A</t>
        </is>
      </c>
      <c r="S4" s="7" t="inlineStr">
        <is>
          <t>2027.03</t>
        </is>
      </c>
      <c r="T4" s="7" t="inlineStr">
        <is>
          <t>2027.06</t>
        </is>
      </c>
      <c r="U4" s="7" t="inlineStr">
        <is>
          <t>2027.09</t>
        </is>
      </c>
      <c r="V4" s="7" t="inlineStr">
        <is>
          <t>2027.12</t>
        </is>
      </c>
      <c r="W4" s="7" t="inlineStr">
        <is>
          <t>2027.12A</t>
        </is>
      </c>
      <c r="X4" s="7" t="inlineStr">
        <is>
          <t>2028.03</t>
        </is>
      </c>
      <c r="Y4" s="7" t="inlineStr">
        <is>
          <t>2028.06</t>
        </is>
      </c>
      <c r="Z4" s="7" t="inlineStr">
        <is>
          <t>2028.09</t>
        </is>
      </c>
      <c r="AA4" s="7" t="inlineStr">
        <is>
          <t>2028.12</t>
        </is>
      </c>
      <c r="AB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18">
        <f>IFERROR(VLOOKUP($D5,BS연결,MATCH(F$1,BS연결H,0),0)/100,"")</f>
        <v/>
      </c>
      <c r="G5" s="18">
        <f>IFERROR(VLOOKUP($D5,BS연결,MATCH(G$1,BS연결H,0),0)/100,"")</f>
        <v/>
      </c>
      <c r="H5" s="37" t="n"/>
      <c r="I5" s="18">
        <f>IFERROR(VLOOKUP($D5,BS연결,MATCH(I$1,BS연결H,0),0)/100,"")</f>
        <v/>
      </c>
      <c r="J5" s="18">
        <f>IFERROR(VLOOKUP($D5,BS연결,MATCH(J$1,BS연결H,0),0)/100,"")</f>
        <v/>
      </c>
      <c r="K5" s="18">
        <f>IFERROR(VLOOKUP($D5,BS연결,MATCH(K$1,BS연결H,0),0)/100,"")</f>
        <v/>
      </c>
      <c r="L5" s="18">
        <f>IFERROR(VLOOKUP($D5,BS연결,MATCH(L$1,BS연결H,0),0)/100,"")</f>
        <v/>
      </c>
      <c r="M5" s="37">
        <f>IFERROR(VLOOKUP($D5,BS연결,MATCH(M$1,BS연결H,0),0)/100,"")</f>
        <v/>
      </c>
      <c r="N5" s="18">
        <f>IFERROR(VLOOKUP($D5,BS연결,MATCH(N$1,BS연결H,0),0)/100,"")</f>
        <v/>
      </c>
      <c r="O5" s="19">
        <f>IFERROR(VLOOKUP($D5,BS연결,MATCH(O$1,BS연결H,0),0)/100,"")</f>
        <v/>
      </c>
      <c r="P5" s="20">
        <f>IFERROR(K5*(1+변수!P21),"")</f>
        <v/>
      </c>
      <c r="Q5" s="20">
        <f>IFERROR(L5*(1+변수!Q21),"")</f>
        <v/>
      </c>
      <c r="R5" s="38">
        <f>SUM(N5:Q5)</f>
        <v/>
      </c>
      <c r="S5" s="20">
        <f>IFERROR(N5*(1+변수!S21),"")</f>
        <v/>
      </c>
      <c r="T5" s="20">
        <f>IFERROR(O5*(1+변수!T21),"")</f>
        <v/>
      </c>
      <c r="U5" s="20">
        <f>IFERROR(P5*(1+변수!U21),"")</f>
        <v/>
      </c>
      <c r="V5" s="20">
        <f>IFERROR(Q5*(1+변수!V21),"")</f>
        <v/>
      </c>
      <c r="W5" s="38">
        <f>SUM(S5:V5)</f>
        <v/>
      </c>
      <c r="X5" s="20">
        <f>IFERROR(S5*(1+변수!X21),"")</f>
        <v/>
      </c>
      <c r="Y5" s="20">
        <f>IFERROR(T5*(1+변수!Y21),"")</f>
        <v/>
      </c>
      <c r="Z5" s="20">
        <f>IFERROR(U5*(1+변수!Z21),"")</f>
        <v/>
      </c>
      <c r="AA5" s="20">
        <f>IFERROR(V5*(1+변수!AA21),"")</f>
        <v/>
      </c>
      <c r="AB5" s="38">
        <f>SUM(X5:AA5)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18">
        <f>IFERROR(VLOOKUP($D6,BS연결,MATCH(F$1,BS연결H,0),0)/100,"")</f>
        <v/>
      </c>
      <c r="G6" s="18">
        <f>IFERROR(VLOOKUP($D6,BS연결,MATCH(G$1,BS연결H,0),0)/100,"")</f>
        <v/>
      </c>
      <c r="H6" s="37" t="n"/>
      <c r="I6" s="18">
        <f>IFERROR(VLOOKUP($D6,BS연결,MATCH(I$1,BS연결H,0),0)/100,"")</f>
        <v/>
      </c>
      <c r="J6" s="18">
        <f>IFERROR(VLOOKUP($D6,BS연결,MATCH(J$1,BS연결H,0),0)/100,"")</f>
        <v/>
      </c>
      <c r="K6" s="18">
        <f>IFERROR(VLOOKUP($D6,BS연결,MATCH(K$1,BS연결H,0),0)/100,"")</f>
        <v/>
      </c>
      <c r="L6" s="18">
        <f>IFERROR(VLOOKUP($D6,BS연결,MATCH(L$1,BS연결H,0),0)/100,"")</f>
        <v/>
      </c>
      <c r="M6" s="37">
        <f>IFERROR(VLOOKUP($D6,BS연결,MATCH(M$1,BS연결H,0),0)/100,"")</f>
        <v/>
      </c>
      <c r="N6" s="18">
        <f>IFERROR(VLOOKUP($D6,BS연결,MATCH(N$1,BS연결H,0),0)/100,"")</f>
        <v/>
      </c>
      <c r="O6" s="19">
        <f>IFERROR(VLOOKUP($D6,BS연결,MATCH(O$1,BS연결H,0),0)/100,"")</f>
        <v/>
      </c>
      <c r="P6" s="20">
        <f>IFERROR(P5-P7,"")</f>
        <v/>
      </c>
      <c r="Q6" s="20">
        <f>IFERROR(Q5-Q7,"")</f>
        <v/>
      </c>
      <c r="R6" s="38">
        <f>SUM(N6:Q6)</f>
        <v/>
      </c>
      <c r="S6" s="20">
        <f>IFERROR(S5-S7,"")</f>
        <v/>
      </c>
      <c r="T6" s="20">
        <f>IFERROR(T5-T7,"")</f>
        <v/>
      </c>
      <c r="U6" s="20">
        <f>IFERROR(U5-U7,"")</f>
        <v/>
      </c>
      <c r="V6" s="20">
        <f>IFERROR(V5-V7,"")</f>
        <v/>
      </c>
      <c r="W6" s="38">
        <f>SUM(S6:V6)</f>
        <v/>
      </c>
      <c r="X6" s="20">
        <f>IFERROR(X5-X7,"")</f>
        <v/>
      </c>
      <c r="Y6" s="20">
        <f>IFERROR(Y5-Y7,"")</f>
        <v/>
      </c>
      <c r="Z6" s="20">
        <f>IFERROR(Z5-Z7,"")</f>
        <v/>
      </c>
      <c r="AA6" s="20">
        <f>IFERROR(AA5-AA7,"")</f>
        <v/>
      </c>
      <c r="AB6" s="38">
        <f>SUM(X6:AA6)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18">
        <f>IFERROR(VLOOKUP($D7,BS연결,MATCH(F$1,BS연결H,0),0)/100,"")</f>
        <v/>
      </c>
      <c r="G7" s="18">
        <f>IFERROR(VLOOKUP($D7,BS연결,MATCH(G$1,BS연결H,0),0)/100,"")</f>
        <v/>
      </c>
      <c r="H7" s="37" t="n"/>
      <c r="I7" s="18">
        <f>IFERROR(VLOOKUP($D7,BS연결,MATCH(I$1,BS연결H,0),0)/100,"")</f>
        <v/>
      </c>
      <c r="J7" s="18">
        <f>IFERROR(VLOOKUP($D7,BS연결,MATCH(J$1,BS연결H,0),0)/100,"")</f>
        <v/>
      </c>
      <c r="K7" s="18">
        <f>IFERROR(VLOOKUP($D7,BS연결,MATCH(K$1,BS연결H,0),0)/100,"")</f>
        <v/>
      </c>
      <c r="L7" s="18">
        <f>IFERROR(VLOOKUP($D7,BS연결,MATCH(L$1,BS연결H,0),0)/100,"")</f>
        <v/>
      </c>
      <c r="M7" s="37">
        <f>IFERROR(VLOOKUP($D7,BS연결,MATCH(M$1,BS연결H,0),0)/100,"")</f>
        <v/>
      </c>
      <c r="N7" s="18">
        <f>IFERROR(VLOOKUP($D7,BS연결,MATCH(N$1,BS연결H,0),0)/100,"")</f>
        <v/>
      </c>
      <c r="O7" s="19">
        <f>IFERROR(VLOOKUP($D7,BS연결,MATCH(O$1,BS연결H,0),0)/100,"")</f>
        <v/>
      </c>
      <c r="P7" s="20">
        <f>IFERROR(P9+P8,"")</f>
        <v/>
      </c>
      <c r="Q7" s="20">
        <f>IFERROR(Q9+Q8,"")</f>
        <v/>
      </c>
      <c r="R7" s="38">
        <f>SUM(N7:Q7)</f>
        <v/>
      </c>
      <c r="S7" s="20">
        <f>IFERROR(S9+S8,"")</f>
        <v/>
      </c>
      <c r="T7" s="20">
        <f>IFERROR(T9+T8,"")</f>
        <v/>
      </c>
      <c r="U7" s="20">
        <f>IFERROR(U9+U8,"")</f>
        <v/>
      </c>
      <c r="V7" s="20">
        <f>IFERROR(V9+V8,"")</f>
        <v/>
      </c>
      <c r="W7" s="38">
        <f>SUM(S7:V7)</f>
        <v/>
      </c>
      <c r="X7" s="20">
        <f>IFERROR(X9+X8,"")</f>
        <v/>
      </c>
      <c r="Y7" s="20">
        <f>IFERROR(Y9+Y8,"")</f>
        <v/>
      </c>
      <c r="Z7" s="20">
        <f>IFERROR(Z9+Z8,"")</f>
        <v/>
      </c>
      <c r="AA7" s="20">
        <f>IFERROR(AA9+AA8,"")</f>
        <v/>
      </c>
      <c r="AB7" s="38">
        <f>SUM(X7:AA7)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18">
        <f>IFERROR(VLOOKUP($D8,BS연결,MATCH(F$1,BS연결H,0),0)/100,"")</f>
        <v/>
      </c>
      <c r="G8" s="18">
        <f>IFERROR(VLOOKUP($D8,BS연결,MATCH(G$1,BS연결H,0),0)/100,"")</f>
        <v/>
      </c>
      <c r="H8" s="37" t="n"/>
      <c r="I8" s="18">
        <f>IFERROR(VLOOKUP($D8,BS연결,MATCH(I$1,BS연결H,0),0)/100,"")</f>
        <v/>
      </c>
      <c r="J8" s="18">
        <f>IFERROR(VLOOKUP($D8,BS연결,MATCH(J$1,BS연결H,0),0)/100,"")</f>
        <v/>
      </c>
      <c r="K8" s="18">
        <f>IFERROR(VLOOKUP($D8,BS연결,MATCH(K$1,BS연결H,0),0)/100,"")</f>
        <v/>
      </c>
      <c r="L8" s="18">
        <f>IFERROR(VLOOKUP($D8,BS연결,MATCH(L$1,BS연결H,0),0)/100,"")</f>
        <v/>
      </c>
      <c r="M8" s="37">
        <f>IFERROR(VLOOKUP($D8,BS연결,MATCH(M$1,BS연결H,0),0)/100,"")</f>
        <v/>
      </c>
      <c r="N8" s="18">
        <f>IFERROR(VLOOKUP($D8,BS연결,MATCH(N$1,BS연결H,0),0)/100,"")</f>
        <v/>
      </c>
      <c r="O8" s="19">
        <f>IFERROR(VLOOKUP($D8,BS연결,MATCH(O$1,BS연결H,0),0)/100,"")</f>
        <v/>
      </c>
      <c r="P8" s="20">
        <f>IFERROR(P5*변수!P22,"")</f>
        <v/>
      </c>
      <c r="Q8" s="20">
        <f>IFERROR(Q5*변수!Q22,"")</f>
        <v/>
      </c>
      <c r="R8" s="38">
        <f>SUM(N8:Q8)</f>
        <v/>
      </c>
      <c r="S8" s="20">
        <f>IFERROR(S5*변수!S22,"")</f>
        <v/>
      </c>
      <c r="T8" s="20">
        <f>IFERROR(T5*변수!T22,"")</f>
        <v/>
      </c>
      <c r="U8" s="20">
        <f>IFERROR(U5*변수!U22,"")</f>
        <v/>
      </c>
      <c r="V8" s="20">
        <f>IFERROR(V5*변수!V22,"")</f>
        <v/>
      </c>
      <c r="W8" s="38">
        <f>SUM(S8:V8)</f>
        <v/>
      </c>
      <c r="X8" s="20">
        <f>IFERROR(X5*변수!X22,"")</f>
        <v/>
      </c>
      <c r="Y8" s="20">
        <f>IFERROR(Y5*변수!Y22,"")</f>
        <v/>
      </c>
      <c r="Z8" s="20">
        <f>IFERROR(Z5*변수!Z22,"")</f>
        <v/>
      </c>
      <c r="AA8" s="20">
        <f>IFERROR(AA5*변수!AA22,"")</f>
        <v/>
      </c>
      <c r="AB8" s="38">
        <f>SUM(X8:AA8)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18">
        <f>IFERROR(VLOOKUP($D9,BS연결,MATCH(F$1,BS연결H,0),0)/100,"")</f>
        <v/>
      </c>
      <c r="G9" s="18">
        <f>IFERROR(VLOOKUP($D9,BS연결,MATCH(G$1,BS연결H,0),0)/100,"")</f>
        <v/>
      </c>
      <c r="H9" s="37" t="n"/>
      <c r="I9" s="18">
        <f>IFERROR(VLOOKUP($D9,BS연결,MATCH(I$1,BS연결H,0),0)/100,"")</f>
        <v/>
      </c>
      <c r="J9" s="18">
        <f>IFERROR(VLOOKUP($D9,BS연결,MATCH(J$1,BS연결H,0),0)/100,"")</f>
        <v/>
      </c>
      <c r="K9" s="18">
        <f>IFERROR(VLOOKUP($D9,BS연결,MATCH(K$1,BS연결H,0),0)/100,"")</f>
        <v/>
      </c>
      <c r="L9" s="18">
        <f>IFERROR(VLOOKUP($D9,BS연결,MATCH(L$1,BS연결H,0),0)/100,"")</f>
        <v/>
      </c>
      <c r="M9" s="37">
        <f>IFERROR(VLOOKUP($D9,BS연결,MATCH(M$1,BS연결H,0),0)/100,"")</f>
        <v/>
      </c>
      <c r="N9" s="18">
        <f>IFERROR(VLOOKUP($D9,BS연결,MATCH(N$1,BS연결H,0),0)/100,"")</f>
        <v/>
      </c>
      <c r="O9" s="19">
        <f>IFERROR(VLOOKUP($D9,BS연결,MATCH(O$1,BS연결H,0),0)/100,"")</f>
        <v/>
      </c>
      <c r="P9" s="20">
        <f>IFERROR(P5*변수!P23,"")</f>
        <v/>
      </c>
      <c r="Q9" s="20">
        <f>IFERROR(Q5*변수!Q23,"")</f>
        <v/>
      </c>
      <c r="R9" s="38">
        <f>SUM(N9:Q9)</f>
        <v/>
      </c>
      <c r="S9" s="20">
        <f>IFERROR(S5*변수!S23,"")</f>
        <v/>
      </c>
      <c r="T9" s="20">
        <f>IFERROR(T5*변수!T23,"")</f>
        <v/>
      </c>
      <c r="U9" s="20">
        <f>IFERROR(U5*변수!U23,"")</f>
        <v/>
      </c>
      <c r="V9" s="20">
        <f>IFERROR(V5*변수!V23,"")</f>
        <v/>
      </c>
      <c r="W9" s="38">
        <f>SUM(S9:V9)</f>
        <v/>
      </c>
      <c r="X9" s="20">
        <f>IFERROR(X5*변수!X23,"")</f>
        <v/>
      </c>
      <c r="Y9" s="20">
        <f>IFERROR(Y5*변수!Y23,"")</f>
        <v/>
      </c>
      <c r="Z9" s="20">
        <f>IFERROR(Z5*변수!Z23,"")</f>
        <v/>
      </c>
      <c r="AA9" s="20">
        <f>IFERROR(AA5*변수!AA23,"")</f>
        <v/>
      </c>
      <c r="AB9" s="38">
        <f>SUM(X9:AA9)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1">
        <f>IFERROR(F9/F5,"")</f>
        <v/>
      </c>
      <c r="G10" s="21">
        <f>IFERROR(G9/G5,"")</f>
        <v/>
      </c>
      <c r="H10" s="22" t="n"/>
      <c r="I10" s="21">
        <f>IFERROR(I9/I5,"")</f>
        <v/>
      </c>
      <c r="J10" s="21">
        <f>IFERROR(J9/J5,"")</f>
        <v/>
      </c>
      <c r="K10" s="21">
        <f>IFERROR(K9/K5,"")</f>
        <v/>
      </c>
      <c r="L10" s="21">
        <f>IFERROR(L9/L5,"")</f>
        <v/>
      </c>
      <c r="M10" s="22">
        <f>IFERROR(M9/M5,"")</f>
        <v/>
      </c>
      <c r="N10" s="21">
        <f>IFERROR(N9/N5,"")</f>
        <v/>
      </c>
      <c r="O10" s="23">
        <f>IFERROR(O9/O5,"")</f>
        <v/>
      </c>
      <c r="P10" s="32">
        <f>IFERROR(P9/P5,"")</f>
        <v/>
      </c>
      <c r="Q10" s="32">
        <f>IFERROR(Q9/Q5,"")</f>
        <v/>
      </c>
      <c r="R10" s="25">
        <f>IFERROR(R9/R5,"")</f>
        <v/>
      </c>
      <c r="S10" s="32">
        <f>IFERROR(S9/S5,"")</f>
        <v/>
      </c>
      <c r="T10" s="32">
        <f>IFERROR(T9/T5,"")</f>
        <v/>
      </c>
      <c r="U10" s="32">
        <f>IFERROR(U9/U5,"")</f>
        <v/>
      </c>
      <c r="V10" s="32">
        <f>IFERROR(V9/V5,"")</f>
        <v/>
      </c>
      <c r="W10" s="25">
        <f>IFERROR(W9/W5,"")</f>
        <v/>
      </c>
      <c r="X10" s="32">
        <f>IFERROR(X9/X5,"")</f>
        <v/>
      </c>
      <c r="Y10" s="32">
        <f>IFERROR(Y9/Y5,"")</f>
        <v/>
      </c>
      <c r="Z10" s="32">
        <f>IFERROR(Z9/Z5,"")</f>
        <v/>
      </c>
      <c r="AA10" s="32">
        <f>IFERROR(AA9/AA5,"")</f>
        <v/>
      </c>
      <c r="AB10" s="25">
        <f>IFERROR(AB9/AB5,"")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18">
        <f>IFERROR(VLOOKUP($D11,BS연결,MATCH(F$1,BS연결H,0),0)/100,"")</f>
        <v/>
      </c>
      <c r="G11" s="18">
        <f>IFERROR(VLOOKUP($D11,BS연결,MATCH(G$1,BS연결H,0),0)/100,"")</f>
        <v/>
      </c>
      <c r="H11" s="37" t="n"/>
      <c r="I11" s="18">
        <f>IFERROR(VLOOKUP($D11,BS연결,MATCH(I$1,BS연결H,0),0)/100,"")</f>
        <v/>
      </c>
      <c r="J11" s="18">
        <f>IFERROR(VLOOKUP($D11,BS연결,MATCH(J$1,BS연결H,0),0)/100,"")</f>
        <v/>
      </c>
      <c r="K11" s="18">
        <f>IFERROR(VLOOKUP($D11,BS연결,MATCH(K$1,BS연결H,0),0)/100,"")</f>
        <v/>
      </c>
      <c r="L11" s="18">
        <f>IFERROR(VLOOKUP($D11,BS연결,MATCH(L$1,BS연결H,0),0)/100,"")</f>
        <v/>
      </c>
      <c r="M11" s="37">
        <f>IFERROR(VLOOKUP($D11,BS연결,MATCH(M$1,BS연결H,0),0)/100,"")</f>
        <v/>
      </c>
      <c r="N11" s="18">
        <f>IFERROR(VLOOKUP($D11,BS연결,MATCH(N$1,BS연결H,0),0)/100,"")</f>
        <v/>
      </c>
      <c r="O11" s="19">
        <f>IFERROR(VLOOKUP($D11,BS연결,MATCH(O$1,BS연결H,0),0)/100,"")</f>
        <v/>
      </c>
      <c r="P11" s="20">
        <f>IFERROR(P12+P13+P14+P15,"")</f>
        <v/>
      </c>
      <c r="Q11" s="20">
        <f>IFERROR(Q12+Q13+Q14+Q15,"")</f>
        <v/>
      </c>
      <c r="R11" s="38">
        <f>SUM(N11:Q11)</f>
        <v/>
      </c>
      <c r="S11" s="20">
        <f>IFERROR(S12+S13+S14+S15,"")</f>
        <v/>
      </c>
      <c r="T11" s="20">
        <f>IFERROR(T12+T13+T14+T15,"")</f>
        <v/>
      </c>
      <c r="U11" s="20">
        <f>IFERROR(U12+U13+U14+U15,"")</f>
        <v/>
      </c>
      <c r="V11" s="20">
        <f>IFERROR(V12+V13+V14+V15,"")</f>
        <v/>
      </c>
      <c r="W11" s="38">
        <f>SUM(S11:V11)</f>
        <v/>
      </c>
      <c r="X11" s="20">
        <f>IFERROR(X12+X13+X14+X15,"")</f>
        <v/>
      </c>
      <c r="Y11" s="20">
        <f>IFERROR(Y12+Y13+Y14+Y15,"")</f>
        <v/>
      </c>
      <c r="Z11" s="20">
        <f>IFERROR(Z12+Z13+Z14+Z15,"")</f>
        <v/>
      </c>
      <c r="AA11" s="20">
        <f>IFERROR(AA12+AA13+AA14+AA15,"")</f>
        <v/>
      </c>
      <c r="AB11" s="38">
        <f>SUM(X11:AA11)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>
        <f>IFERROR(VLOOKUP($D12,BS연결,MATCH(E$1,BS연결H,0),0)/100,"")</f>
        <v/>
      </c>
      <c r="F12" s="18">
        <f>IFERROR(VLOOKUP($D12,BS연결,MATCH(F$1,BS연결H,0),0)/100,"")</f>
        <v/>
      </c>
      <c r="G12" s="18">
        <f>IFERROR(VLOOKUP($D12,BS연결,MATCH(G$1,BS연결H,0),0)/100,"")</f>
        <v/>
      </c>
      <c r="H12" s="37" t="n"/>
      <c r="I12" s="18">
        <f>IFERROR(VLOOKUP($D12,BS연결,MATCH(I$1,BS연결H,0),0)/100,"")</f>
        <v/>
      </c>
      <c r="J12" s="18">
        <f>IFERROR(VLOOKUP($D12,BS연결,MATCH(J$1,BS연결H,0),0)/100,"")</f>
        <v/>
      </c>
      <c r="K12" s="18">
        <f>IFERROR(VLOOKUP($D12,BS연결,MATCH(K$1,BS연결H,0),0)/100,"")</f>
        <v/>
      </c>
      <c r="L12" s="18">
        <f>IFERROR(VLOOKUP($D12,BS연결,MATCH(L$1,BS연결H,0),0)/100,"")</f>
        <v/>
      </c>
      <c r="M12" s="37">
        <f>IFERROR(VLOOKUP($D12,BS연결,MATCH(M$1,BS연결H,0),0)/100,"")</f>
        <v/>
      </c>
      <c r="N12" s="18">
        <f>IFERROR(VLOOKUP($D12,BS연결,MATCH(N$1,BS연결H,0),0)/100,"")</f>
        <v/>
      </c>
      <c r="O12" s="19">
        <f>IFERROR(VLOOKUP($D12,BS연결,MATCH(O$1,BS연결H,0),0)/100,"")</f>
        <v/>
      </c>
      <c r="P12" s="20">
        <f>IFERROR((O28*변수!$D$54-O26*변수!$D$55)/4,"")</f>
        <v/>
      </c>
      <c r="Q12" s="20">
        <f>IFERROR((P28*변수!$D$54-P26*변수!$D$55)/4,"")</f>
        <v/>
      </c>
      <c r="R12" s="38">
        <f>SUM(N12:Q12)</f>
        <v/>
      </c>
      <c r="S12" s="20">
        <f>IFERROR((Q28*변수!$D$54-Q26*변수!$D$55)/4,"")</f>
        <v/>
      </c>
      <c r="T12" s="20">
        <f>IFERROR((S28*변수!$D$54-S26*변수!$D$55)/4,"")</f>
        <v/>
      </c>
      <c r="U12" s="20">
        <f>IFERROR((T28*변수!$D$54-T26*변수!$D$55)/4,"")</f>
        <v/>
      </c>
      <c r="V12" s="20">
        <f>IFERROR((U28*변수!$D$54-U26*변수!$D$55)/4,"")</f>
        <v/>
      </c>
      <c r="W12" s="38">
        <f>SUM(S12:V12)</f>
        <v/>
      </c>
      <c r="X12" s="20">
        <f>IFERROR((V28*변수!$D$54-V26*변수!$D$55)/4,"")</f>
        <v/>
      </c>
      <c r="Y12" s="20">
        <f>IFERROR((X28*변수!$D$54-X26*변수!$D$55)/4,"")</f>
        <v/>
      </c>
      <c r="Z12" s="20">
        <f>IFERROR((Y28*변수!$D$54-Y26*변수!$D$55)/4,"")</f>
        <v/>
      </c>
      <c r="AA12" s="20">
        <f>IFERROR((Z28*변수!$D$54-Z26*변수!$D$55)/4,"")</f>
        <v/>
      </c>
      <c r="AB12" s="38">
        <f>SUM(X12:AA12)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>
        <f>IFERROR((VLOOKUP("외환차익",BS연결,MATCH(E$1,BS연결H,0),0)-VLOOKUP("외환차손",BS연결,MATCH(E$1,BS연결H,0),0)+VLOOKUP("외화환산이익",BS연결,MATCH(E$1,BS연결H,0),0)-VLOOKUP("외화환산손실",BS연결,MATCH(E$1,BS연결H,0),0))/100,"")</f>
        <v/>
      </c>
      <c r="F13" s="18">
        <f>IFERROR((VLOOKUP("외환차익",BS연결,MATCH(F$1,BS연결H,0),0)-VLOOKUP("외환차손",BS연결,MATCH(F$1,BS연결H,0),0)+VLOOKUP("외화환산이익",BS연결,MATCH(F$1,BS연결H,0),0)-VLOOKUP("외화환산손실",BS연결,MATCH(F$1,BS연결H,0),0))/100,"")</f>
        <v/>
      </c>
      <c r="G13" s="18">
        <f>IFERROR((VLOOKUP("외환차익",BS연결,MATCH(G$1,BS연결H,0),0)-VLOOKUP("외환차손",BS연결,MATCH(G$1,BS연결H,0),0)+VLOOKUP("외화환산이익",BS연결,MATCH(G$1,BS연결H,0),0)-VLOOKUP("외화환산손실",BS연결,MATCH(G$1,BS연결H,0),0))/100,"")</f>
        <v/>
      </c>
      <c r="H13" s="37" t="n"/>
      <c r="I13" s="18">
        <f>IFERROR((VLOOKUP("외환차익",BS연결,MATCH(I$1,BS연결H,0),0)-VLOOKUP("외환차손",BS연결,MATCH(I$1,BS연결H,0),0)+VLOOKUP("외화환산이익",BS연결,MATCH(I$1,BS연결H,0),0)-VLOOKUP("외화환산손실",BS연결,MATCH(I$1,BS연결H,0),0))/100,"")</f>
        <v/>
      </c>
      <c r="J13" s="18">
        <f>IFERROR((VLOOKUP("외환차익",BS연결,MATCH(J$1,BS연결H,0),0)-VLOOKUP("외환차손",BS연결,MATCH(J$1,BS연결H,0),0)+VLOOKUP("외화환산이익",BS연결,MATCH(J$1,BS연결H,0),0)-VLOOKUP("외화환산손실",BS연결,MATCH(J$1,BS연결H,0),0))/100,"")</f>
        <v/>
      </c>
      <c r="K13" s="18">
        <f>IFERROR((VLOOKUP("외환차익",BS연결,MATCH(K$1,BS연결H,0),0)-VLOOKUP("외환차손",BS연결,MATCH(K$1,BS연결H,0),0)+VLOOKUP("외화환산이익",BS연결,MATCH(K$1,BS연결H,0),0)-VLOOKUP("외화환산손실",BS연결,MATCH(K$1,BS연결H,0),0))/100,"")</f>
        <v/>
      </c>
      <c r="L13" s="18">
        <f>IFERROR((VLOOKUP("외환차익",BS연결,MATCH(L$1,BS연결H,0),0)-VLOOKUP("외환차손",BS연결,MATCH(L$1,BS연결H,0),0)+VLOOKUP("외화환산이익",BS연결,MATCH(L$1,BS연결H,0),0)-VLOOKUP("외화환산손실",BS연결,MATCH(L$1,BS연결H,0),0))/100,"")</f>
        <v/>
      </c>
      <c r="M13" s="37">
        <f>SUM(I13:L13)</f>
        <v/>
      </c>
      <c r="N13" s="18">
        <f>IFERROR((VLOOKUP("외환차익",BS연결,MATCH(N$1,BS연결H,0),0)-VLOOKUP("외환차손",BS연결,MATCH(N$1,BS연결H,0),0)+VLOOKUP("외화환산이익",BS연결,MATCH(N$1,BS연결H,0),0)-VLOOKUP("외화환산손실",BS연결,MATCH(N$1,BS연결H,0),0))/100,"")</f>
        <v/>
      </c>
      <c r="O13" s="19">
        <f>IFERROR((VLOOKUP("외환차익",BS연결,MATCH(O$1,BS연결H,0),0)-VLOOKUP("외환차손",BS연결,MATCH(O$1,BS연결H,0),0)+VLOOKUP("외화환산이익",BS연결,MATCH(O$1,BS연결H,0),0)-VLOOKUP("외화환산손실",BS연결,MATCH(O$1,BS연결H,0),0))/100,"")</f>
        <v/>
      </c>
      <c r="P13" s="20">
        <f>변수!P24</f>
        <v/>
      </c>
      <c r="Q13" s="20">
        <f>변수!Q24</f>
        <v/>
      </c>
      <c r="R13" s="38">
        <f>SUM(N13:Q13)</f>
        <v/>
      </c>
      <c r="S13" s="20">
        <f>변수!S24</f>
        <v/>
      </c>
      <c r="T13" s="20">
        <f>변수!T24</f>
        <v/>
      </c>
      <c r="U13" s="20">
        <f>변수!U24</f>
        <v/>
      </c>
      <c r="V13" s="20">
        <f>변수!V24</f>
        <v/>
      </c>
      <c r="W13" s="38">
        <f>SUM(S13:V13)</f>
        <v/>
      </c>
      <c r="X13" s="20">
        <f>변수!X24</f>
        <v/>
      </c>
      <c r="Y13" s="20">
        <f>변수!Y24</f>
        <v/>
      </c>
      <c r="Z13" s="20">
        <f>변수!Z24</f>
        <v/>
      </c>
      <c r="AA13" s="20">
        <f>변수!AA24</f>
        <v/>
      </c>
      <c r="AB13" s="38">
        <f>SUM(X13:AA13)</f>
        <v/>
      </c>
    </row>
    <row r="14">
      <c r="A14" s="12" t="inlineStr">
        <is>
          <t>파생상품손익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파생상품손익</t>
        </is>
      </c>
      <c r="E14" s="18" t="n"/>
      <c r="F14" s="18">
        <f>IFERROR((VLOOKUP("파생상품이익",BS연결,MATCH(F$1,BS연결H,0),0)-VLOOKUP("파생상품손실",BS연결,MATCH(F$1,BS연결H,0),0))/100,"")</f>
        <v/>
      </c>
      <c r="G14" s="18" t="n"/>
      <c r="H14" s="37" t="n"/>
      <c r="I14" s="18" t="n"/>
      <c r="J14" s="18">
        <f>IFERROR((VLOOKUP("파생상품이익",BS연결,MATCH(J$1,BS연결H,0),0)-VLOOKUP("파생상품손실",BS연결,MATCH(J$1,BS연결H,0),0))/100,"")</f>
        <v/>
      </c>
      <c r="K14" s="18">
        <f>IFERROR((VLOOKUP("파생상품이익",BS연결,MATCH(K$1,BS연결H,0),0)-VLOOKUP("파생상품손실",BS연결,MATCH(K$1,BS연결H,0),0))/100,"")</f>
        <v/>
      </c>
      <c r="L14" s="18">
        <f>IFERROR((VLOOKUP("파생상품이익",BS연결,MATCH(L$1,BS연결H,0),0)-VLOOKUP("파생상품손실",BS연결,MATCH(L$1,BS연결H,0),0))/100,"")</f>
        <v/>
      </c>
      <c r="M14" s="37">
        <f>SUM(I14:L14)</f>
        <v/>
      </c>
      <c r="N14" s="18">
        <f>IFERROR((VLOOKUP("파생상품이익",BS연결,MATCH(N$1,BS연결H,0),0)-VLOOKUP("파생상품손실",BS연결,MATCH(N$1,BS연결H,0),0))/100,"")</f>
        <v/>
      </c>
      <c r="O14" s="19">
        <f>IFERROR((VLOOKUP("파생상품이익",BS연결,MATCH(O$1,BS연결H,0),0)-VLOOKUP("파생상품손실",BS연결,MATCH(O$1,BS연결H,0),0))/100,"")</f>
        <v/>
      </c>
      <c r="P14" s="20">
        <f>변수!P25</f>
        <v/>
      </c>
      <c r="Q14" s="20">
        <f>변수!Q25</f>
        <v/>
      </c>
      <c r="R14" s="38">
        <f>SUM(N14:Q14)</f>
        <v/>
      </c>
      <c r="S14" s="20">
        <f>변수!S25</f>
        <v/>
      </c>
      <c r="T14" s="20">
        <f>변수!T25</f>
        <v/>
      </c>
      <c r="U14" s="20">
        <f>변수!U25</f>
        <v/>
      </c>
      <c r="V14" s="20">
        <f>변수!V25</f>
        <v/>
      </c>
      <c r="W14" s="38">
        <f>SUM(S14:V14)</f>
        <v/>
      </c>
      <c r="X14" s="20">
        <f>변수!X25</f>
        <v/>
      </c>
      <c r="Y14" s="20">
        <f>변수!Y25</f>
        <v/>
      </c>
      <c r="Z14" s="20">
        <f>변수!Z25</f>
        <v/>
      </c>
      <c r="AA14" s="20">
        <f>변수!AA25</f>
        <v/>
      </c>
      <c r="AB14" s="38">
        <f>SUM(X14:AA14)</f>
        <v/>
      </c>
    </row>
    <row r="15">
      <c r="A15" s="12" t="inlineStr">
        <is>
          <t>기타금융손익</t>
        </is>
      </c>
      <c r="B15" t="inlineStr">
        <is>
          <t>손익</t>
        </is>
      </c>
      <c r="C15" t="inlineStr">
        <is>
          <t>억원</t>
        </is>
      </c>
      <c r="D15" t="inlineStr">
        <is>
          <t>기타금융손익(금융손익 잔차)</t>
        </is>
      </c>
      <c r="E15" s="18" t="n"/>
      <c r="F15" s="18">
        <f>IFERROR(F11-F12-F13-F14,"")</f>
        <v/>
      </c>
      <c r="G15" s="18" t="n"/>
      <c r="H15" s="37" t="n"/>
      <c r="I15" s="18" t="n"/>
      <c r="J15" s="18">
        <f>IFERROR(J11-J12-J13-J14,"")</f>
        <v/>
      </c>
      <c r="K15" s="18">
        <f>IFERROR(K11-K12-K13-K14,"")</f>
        <v/>
      </c>
      <c r="L15" s="18">
        <f>IFERROR(L11-L12-L13-L14,"")</f>
        <v/>
      </c>
      <c r="M15" s="37">
        <f>SUM(I15:L15)</f>
        <v/>
      </c>
      <c r="N15" s="18">
        <f>IFERROR(N11-N12-N13-N14,"")</f>
        <v/>
      </c>
      <c r="O15" s="19">
        <f>IFERROR(O11-O12-O13-O14,"")</f>
        <v/>
      </c>
      <c r="P15" s="20">
        <f>변수!P26</f>
        <v/>
      </c>
      <c r="Q15" s="20">
        <f>변수!Q26</f>
        <v/>
      </c>
      <c r="R15" s="38">
        <f>SUM(N15:Q15)</f>
        <v/>
      </c>
      <c r="S15" s="20">
        <f>변수!S26</f>
        <v/>
      </c>
      <c r="T15" s="20">
        <f>변수!T26</f>
        <v/>
      </c>
      <c r="U15" s="20">
        <f>변수!U26</f>
        <v/>
      </c>
      <c r="V15" s="20">
        <f>변수!V26</f>
        <v/>
      </c>
      <c r="W15" s="38">
        <f>SUM(S15:V15)</f>
        <v/>
      </c>
      <c r="X15" s="20">
        <f>변수!X26</f>
        <v/>
      </c>
      <c r="Y15" s="20">
        <f>변수!Y26</f>
        <v/>
      </c>
      <c r="Z15" s="20">
        <f>변수!Z26</f>
        <v/>
      </c>
      <c r="AA15" s="20">
        <f>변수!AA26</f>
        <v/>
      </c>
      <c r="AB15" s="38">
        <f>SUM(X15:AA15)</f>
        <v/>
      </c>
    </row>
    <row r="16">
      <c r="A16" s="12" t="inlineStr">
        <is>
          <t>기타영업외손익</t>
        </is>
      </c>
      <c r="B16" t="inlineStr">
        <is>
          <t>손익</t>
        </is>
      </c>
      <c r="C16" t="inlineStr">
        <is>
          <t>억원</t>
        </is>
      </c>
      <c r="D16" t="inlineStr">
        <is>
          <t>기타영업외손익</t>
        </is>
      </c>
      <c r="E16" s="18">
        <f>IFERROR(VLOOKUP($D16,BS연결,MATCH(E$1,BS연결H,0),0)/100,"")</f>
        <v/>
      </c>
      <c r="F16" s="18">
        <f>IFERROR(VLOOKUP($D16,BS연결,MATCH(F$1,BS연결H,0),0)/100,"")</f>
        <v/>
      </c>
      <c r="G16" s="18">
        <f>IFERROR(VLOOKUP($D16,BS연결,MATCH(G$1,BS연결H,0),0)/100,"")</f>
        <v/>
      </c>
      <c r="H16" s="37" t="n"/>
      <c r="I16" s="18">
        <f>IFERROR(VLOOKUP($D16,BS연결,MATCH(I$1,BS연결H,0),0)/100,"")</f>
        <v/>
      </c>
      <c r="J16" s="18">
        <f>IFERROR(VLOOKUP($D16,BS연결,MATCH(J$1,BS연결H,0),0)/100,"")</f>
        <v/>
      </c>
      <c r="K16" s="18">
        <f>IFERROR(VLOOKUP($D16,BS연결,MATCH(K$1,BS연결H,0),0)/100,"")</f>
        <v/>
      </c>
      <c r="L16" s="18">
        <f>IFERROR(VLOOKUP($D16,BS연결,MATCH(L$1,BS연결H,0),0)/100,"")</f>
        <v/>
      </c>
      <c r="M16" s="37">
        <f>IFERROR(VLOOKUP($D16,BS연결,MATCH(M$1,BS연결H,0),0)/100,"")</f>
        <v/>
      </c>
      <c r="N16" s="18">
        <f>IFERROR(VLOOKUP($D16,BS연결,MATCH(N$1,BS연결H,0),0)/100,"")</f>
        <v/>
      </c>
      <c r="O16" s="19">
        <f>IFERROR(VLOOKUP($D16,BS연결,MATCH(O$1,BS연결H,0),0)/100,"")</f>
        <v/>
      </c>
      <c r="P16" s="20">
        <f>변수!P27</f>
        <v/>
      </c>
      <c r="Q16" s="20">
        <f>변수!Q27</f>
        <v/>
      </c>
      <c r="R16" s="38">
        <f>SUM(N16:Q16)</f>
        <v/>
      </c>
      <c r="S16" s="20">
        <f>변수!S27</f>
        <v/>
      </c>
      <c r="T16" s="20">
        <f>변수!T27</f>
        <v/>
      </c>
      <c r="U16" s="20">
        <f>변수!U27</f>
        <v/>
      </c>
      <c r="V16" s="20">
        <f>변수!V27</f>
        <v/>
      </c>
      <c r="W16" s="38">
        <f>SUM(S16:V16)</f>
        <v/>
      </c>
      <c r="X16" s="20">
        <f>변수!X27</f>
        <v/>
      </c>
      <c r="Y16" s="20">
        <f>변수!Y27</f>
        <v/>
      </c>
      <c r="Z16" s="20">
        <f>변수!Z27</f>
        <v/>
      </c>
      <c r="AA16" s="20">
        <f>변수!AA27</f>
        <v/>
      </c>
      <c r="AB16" s="38">
        <f>SUM(X16:AA16)</f>
        <v/>
      </c>
    </row>
    <row r="17">
      <c r="A17" s="12" t="inlineStr">
        <is>
          <t>지분법손익</t>
        </is>
      </c>
      <c r="B17" t="inlineStr">
        <is>
          <t>손익</t>
        </is>
      </c>
      <c r="C17" t="inlineStr">
        <is>
          <t>억원</t>
        </is>
      </c>
      <c r="D17" t="inlineStr">
        <is>
          <t>종속기업,공동지배기업및관계기업관련손익</t>
        </is>
      </c>
      <c r="E17" s="18" t="n"/>
      <c r="F17" s="18">
        <f>IFERROR(VLOOKUP($D17,BS연결,MATCH(F$1,BS연결H,0),0)/100,"")</f>
        <v/>
      </c>
      <c r="G17" s="18">
        <f>IFERROR(VLOOKUP($D17,BS연결,MATCH(G$1,BS연결H,0),0)/100,"")</f>
        <v/>
      </c>
      <c r="H17" s="37" t="n"/>
      <c r="I17" s="18">
        <f>IFERROR(VLOOKUP($D17,BS연결,MATCH(I$1,BS연결H,0),0)/100,"")</f>
        <v/>
      </c>
      <c r="J17" s="18">
        <f>IFERROR(VLOOKUP($D17,BS연결,MATCH(J$1,BS연결H,0),0)/100,"")</f>
        <v/>
      </c>
      <c r="K17" s="18">
        <f>IFERROR(VLOOKUP($D17,BS연결,MATCH(K$1,BS연결H,0),0)/100,"")</f>
        <v/>
      </c>
      <c r="L17" s="18">
        <f>IFERROR(VLOOKUP($D17,BS연결,MATCH(L$1,BS연결H,0),0)/100,"")</f>
        <v/>
      </c>
      <c r="M17" s="37">
        <f>IFERROR(VLOOKUP($D17,BS연결,MATCH(M$1,BS연결H,0),0)/100,"")</f>
        <v/>
      </c>
      <c r="N17" s="18">
        <f>IFERROR(VLOOKUP($D17,BS연결,MATCH(N$1,BS연결H,0),0)/100,"")</f>
        <v/>
      </c>
      <c r="O17" s="19">
        <f>IFERROR(VLOOKUP($D17,BS연결,MATCH(O$1,BS연결H,0),0)/100,"")</f>
        <v/>
      </c>
      <c r="P17" s="20">
        <f>변수!P28</f>
        <v/>
      </c>
      <c r="Q17" s="20">
        <f>변수!Q28</f>
        <v/>
      </c>
      <c r="R17" s="38">
        <f>SUM(N17:Q17)</f>
        <v/>
      </c>
      <c r="S17" s="20">
        <f>변수!S28</f>
        <v/>
      </c>
      <c r="T17" s="20">
        <f>변수!T28</f>
        <v/>
      </c>
      <c r="U17" s="20">
        <f>변수!U28</f>
        <v/>
      </c>
      <c r="V17" s="20">
        <f>변수!V28</f>
        <v/>
      </c>
      <c r="W17" s="38">
        <f>SUM(S17:V17)</f>
        <v/>
      </c>
      <c r="X17" s="20">
        <f>변수!X28</f>
        <v/>
      </c>
      <c r="Y17" s="20">
        <f>변수!Y28</f>
        <v/>
      </c>
      <c r="Z17" s="20">
        <f>변수!Z28</f>
        <v/>
      </c>
      <c r="AA17" s="20">
        <f>변수!AA28</f>
        <v/>
      </c>
      <c r="AB17" s="38">
        <f>SUM(X17:AA17)</f>
        <v/>
      </c>
    </row>
    <row r="18">
      <c r="A18" s="12" t="inlineStr">
        <is>
          <t>세전이익</t>
        </is>
      </c>
      <c r="B18" t="inlineStr">
        <is>
          <t>손익</t>
        </is>
      </c>
      <c r="C18" t="inlineStr">
        <is>
          <t>억원</t>
        </is>
      </c>
      <c r="D18" t="inlineStr">
        <is>
          <t>법인세비용차감전계속사업이익</t>
        </is>
      </c>
      <c r="E18" s="18">
        <f>IFERROR(VLOOKUP($D18,BS연결,MATCH(E$1,BS연결H,0),0)/100,"")</f>
        <v/>
      </c>
      <c r="F18" s="18">
        <f>IFERROR(VLOOKUP($D18,BS연결,MATCH(F$1,BS연결H,0),0)/100,"")</f>
        <v/>
      </c>
      <c r="G18" s="18">
        <f>IFERROR(VLOOKUP($D18,BS연결,MATCH(G$1,BS연결H,0),0)/100,"")</f>
        <v/>
      </c>
      <c r="H18" s="37" t="n"/>
      <c r="I18" s="18">
        <f>IFERROR(VLOOKUP($D18,BS연결,MATCH(I$1,BS연결H,0),0)/100,"")</f>
        <v/>
      </c>
      <c r="J18" s="18">
        <f>IFERROR(VLOOKUP($D18,BS연결,MATCH(J$1,BS연결H,0),0)/100,"")</f>
        <v/>
      </c>
      <c r="K18" s="18">
        <f>IFERROR(VLOOKUP($D18,BS연결,MATCH(K$1,BS연결H,0),0)/100,"")</f>
        <v/>
      </c>
      <c r="L18" s="18">
        <f>IFERROR(VLOOKUP($D18,BS연결,MATCH(L$1,BS연결H,0),0)/100,"")</f>
        <v/>
      </c>
      <c r="M18" s="37">
        <f>IFERROR(VLOOKUP($D18,BS연결,MATCH(M$1,BS연결H,0),0)/100,"")</f>
        <v/>
      </c>
      <c r="N18" s="18">
        <f>IFERROR(VLOOKUP($D18,BS연결,MATCH(N$1,BS연결H,0),0)/100,"")</f>
        <v/>
      </c>
      <c r="O18" s="19">
        <f>IFERROR(VLOOKUP($D18,BS연결,MATCH(O$1,BS연결H,0),0)/100,"")</f>
        <v/>
      </c>
      <c r="P18" s="20">
        <f>IFERROR(P9+P11+P16+P17,"")</f>
        <v/>
      </c>
      <c r="Q18" s="20">
        <f>IFERROR(Q9+Q11+Q16+Q17,"")</f>
        <v/>
      </c>
      <c r="R18" s="38">
        <f>SUM(N18:Q18)</f>
        <v/>
      </c>
      <c r="S18" s="20">
        <f>IFERROR(S9+S11+S16+S17,"")</f>
        <v/>
      </c>
      <c r="T18" s="20">
        <f>IFERROR(T9+T11+T16+T17,"")</f>
        <v/>
      </c>
      <c r="U18" s="20">
        <f>IFERROR(U9+U11+U16+U17,"")</f>
        <v/>
      </c>
      <c r="V18" s="20">
        <f>IFERROR(V9+V11+V16+V17,"")</f>
        <v/>
      </c>
      <c r="W18" s="38">
        <f>SUM(S18:V18)</f>
        <v/>
      </c>
      <c r="X18" s="20">
        <f>IFERROR(X9+X11+X16+X17,"")</f>
        <v/>
      </c>
      <c r="Y18" s="20">
        <f>IFERROR(Y9+Y11+Y16+Y17,"")</f>
        <v/>
      </c>
      <c r="Z18" s="20">
        <f>IFERROR(Z9+Z11+Z16+Z17,"")</f>
        <v/>
      </c>
      <c r="AA18" s="20">
        <f>IFERROR(AA9+AA11+AA16+AA17,"")</f>
        <v/>
      </c>
      <c r="AB18" s="38">
        <f>SUM(X18:AA18)</f>
        <v/>
      </c>
    </row>
    <row r="19">
      <c r="A19" s="12" t="inlineStr">
        <is>
          <t>법인세비용</t>
        </is>
      </c>
      <c r="B19" t="inlineStr">
        <is>
          <t>손익</t>
        </is>
      </c>
      <c r="C19" t="inlineStr">
        <is>
          <t>억원</t>
        </is>
      </c>
      <c r="D19" t="inlineStr">
        <is>
          <t>법인세비용</t>
        </is>
      </c>
      <c r="E19" s="18">
        <f>IFERROR(VLOOKUP($D19,BS연결,MATCH(E$1,BS연결H,0),0)/100,"")</f>
        <v/>
      </c>
      <c r="F19" s="18">
        <f>IFERROR(VLOOKUP($D19,BS연결,MATCH(F$1,BS연결H,0),0)/100,"")</f>
        <v/>
      </c>
      <c r="G19" s="18">
        <f>IFERROR(VLOOKUP($D19,BS연결,MATCH(G$1,BS연결H,0),0)/100,"")</f>
        <v/>
      </c>
      <c r="H19" s="37" t="n"/>
      <c r="I19" s="18">
        <f>IFERROR(VLOOKUP($D19,BS연결,MATCH(I$1,BS연결H,0),0)/100,"")</f>
        <v/>
      </c>
      <c r="J19" s="18">
        <f>IFERROR(VLOOKUP($D19,BS연결,MATCH(J$1,BS연결H,0),0)/100,"")</f>
        <v/>
      </c>
      <c r="K19" s="18">
        <f>IFERROR(VLOOKUP($D19,BS연결,MATCH(K$1,BS연결H,0),0)/100,"")</f>
        <v/>
      </c>
      <c r="L19" s="18">
        <f>IFERROR(VLOOKUP($D19,BS연결,MATCH(L$1,BS연결H,0),0)/100,"")</f>
        <v/>
      </c>
      <c r="M19" s="37">
        <f>IFERROR(VLOOKUP($D19,BS연결,MATCH(M$1,BS연결H,0),0)/100,"")</f>
        <v/>
      </c>
      <c r="N19" s="18">
        <f>IFERROR(VLOOKUP($D19,BS연결,MATCH(N$1,BS연결H,0),0)/100,"")</f>
        <v/>
      </c>
      <c r="O19" s="19">
        <f>IFERROR(VLOOKUP($D19,BS연결,MATCH(O$1,BS연결H,0),0)/100,"")</f>
        <v/>
      </c>
      <c r="P19" s="20">
        <f>IFERROR(MAX(P18,0)*변수!P29,"")</f>
        <v/>
      </c>
      <c r="Q19" s="20">
        <f>IFERROR(MAX(Q18,0)*변수!Q29,"")</f>
        <v/>
      </c>
      <c r="R19" s="38">
        <f>SUM(N19:Q19)</f>
        <v/>
      </c>
      <c r="S19" s="20">
        <f>IFERROR(MAX(S18,0)*변수!S29,"")</f>
        <v/>
      </c>
      <c r="T19" s="20">
        <f>IFERROR(MAX(T18,0)*변수!T29,"")</f>
        <v/>
      </c>
      <c r="U19" s="20">
        <f>IFERROR(MAX(U18,0)*변수!U29,"")</f>
        <v/>
      </c>
      <c r="V19" s="20">
        <f>IFERROR(MAX(V18,0)*변수!V29,"")</f>
        <v/>
      </c>
      <c r="W19" s="38">
        <f>SUM(S19:V19)</f>
        <v/>
      </c>
      <c r="X19" s="20">
        <f>IFERROR(MAX(X18,0)*변수!X29,"")</f>
        <v/>
      </c>
      <c r="Y19" s="20">
        <f>IFERROR(MAX(Y18,0)*변수!Y29,"")</f>
        <v/>
      </c>
      <c r="Z19" s="20">
        <f>IFERROR(MAX(Z18,0)*변수!Z29,"")</f>
        <v/>
      </c>
      <c r="AA19" s="20">
        <f>IFERROR(MAX(AA18,0)*변수!AA29,"")</f>
        <v/>
      </c>
      <c r="AB19" s="38">
        <f>SUM(X19:AA19)</f>
        <v/>
      </c>
    </row>
    <row r="20">
      <c r="A20" s="12" t="inlineStr">
        <is>
          <t>당기순이익</t>
        </is>
      </c>
      <c r="B20" t="inlineStr">
        <is>
          <t>손익</t>
        </is>
      </c>
      <c r="C20" t="inlineStr">
        <is>
          <t>억원</t>
        </is>
      </c>
      <c r="D20" t="inlineStr">
        <is>
          <t>당기순이익</t>
        </is>
      </c>
      <c r="E20" s="18">
        <f>IFERROR(VLOOKUP($D20,BS연결,MATCH(E$1,BS연결H,0),0)/100,"")</f>
        <v/>
      </c>
      <c r="F20" s="18">
        <f>IFERROR(VLOOKUP($D20,BS연결,MATCH(F$1,BS연결H,0),0)/100,"")</f>
        <v/>
      </c>
      <c r="G20" s="18">
        <f>IFERROR(VLOOKUP($D20,BS연결,MATCH(G$1,BS연결H,0),0)/100,"")</f>
        <v/>
      </c>
      <c r="H20" s="37" t="n"/>
      <c r="I20" s="18">
        <f>IFERROR(VLOOKUP($D20,BS연결,MATCH(I$1,BS연결H,0),0)/100,"")</f>
        <v/>
      </c>
      <c r="J20" s="18">
        <f>IFERROR(VLOOKUP($D20,BS연결,MATCH(J$1,BS연결H,0),0)/100,"")</f>
        <v/>
      </c>
      <c r="K20" s="18">
        <f>IFERROR(VLOOKUP($D20,BS연결,MATCH(K$1,BS연결H,0),0)/100,"")</f>
        <v/>
      </c>
      <c r="L20" s="18">
        <f>IFERROR(VLOOKUP($D20,BS연결,MATCH(L$1,BS연결H,0),0)/100,"")</f>
        <v/>
      </c>
      <c r="M20" s="37">
        <f>IFERROR(VLOOKUP($D20,BS연결,MATCH(M$1,BS연결H,0),0)/100,"")</f>
        <v/>
      </c>
      <c r="N20" s="18">
        <f>IFERROR(VLOOKUP($D20,BS연결,MATCH(N$1,BS연결H,0),0)/100,"")</f>
        <v/>
      </c>
      <c r="O20" s="19">
        <f>IFERROR(VLOOKUP($D20,BS연결,MATCH(O$1,BS연결H,0),0)/100,"")</f>
        <v/>
      </c>
      <c r="P20" s="20">
        <f>IFERROR(P18-P19,"")</f>
        <v/>
      </c>
      <c r="Q20" s="20">
        <f>IFERROR(Q18-Q19,"")</f>
        <v/>
      </c>
      <c r="R20" s="38">
        <f>SUM(N20:Q20)</f>
        <v/>
      </c>
      <c r="S20" s="20">
        <f>IFERROR(S18-S19,"")</f>
        <v/>
      </c>
      <c r="T20" s="20">
        <f>IFERROR(T18-T19,"")</f>
        <v/>
      </c>
      <c r="U20" s="20">
        <f>IFERROR(U18-U19,"")</f>
        <v/>
      </c>
      <c r="V20" s="20">
        <f>IFERROR(V18-V19,"")</f>
        <v/>
      </c>
      <c r="W20" s="38">
        <f>SUM(S20:V20)</f>
        <v/>
      </c>
      <c r="X20" s="20">
        <f>IFERROR(X18-X19,"")</f>
        <v/>
      </c>
      <c r="Y20" s="20">
        <f>IFERROR(Y18-Y19,"")</f>
        <v/>
      </c>
      <c r="Z20" s="20">
        <f>IFERROR(Z18-Z19,"")</f>
        <v/>
      </c>
      <c r="AA20" s="20">
        <f>IFERROR(AA18-AA19,"")</f>
        <v/>
      </c>
      <c r="AB20" s="38">
        <f>SUM(X20:AA20)</f>
        <v/>
      </c>
    </row>
    <row r="21">
      <c r="A21" s="12" t="inlineStr">
        <is>
          <t>지배주주순이익</t>
        </is>
      </c>
      <c r="B21" t="inlineStr">
        <is>
          <t>손익</t>
        </is>
      </c>
      <c r="C21" t="inlineStr">
        <is>
          <t>억원</t>
        </is>
      </c>
      <c r="D21" t="inlineStr">
        <is>
          <t>(지배주주지분)당기순이익</t>
        </is>
      </c>
      <c r="E21" s="18">
        <f>IFERROR(VLOOKUP($D21,BS연결,MATCH(E$1,BS연결H,0),0)/100,"")</f>
        <v/>
      </c>
      <c r="F21" s="18">
        <f>IFERROR(VLOOKUP($D21,BS연결,MATCH(F$1,BS연결H,0),0)/100,"")</f>
        <v/>
      </c>
      <c r="G21" s="18">
        <f>IFERROR(VLOOKUP($D21,BS연결,MATCH(G$1,BS연결H,0),0)/100,"")</f>
        <v/>
      </c>
      <c r="H21" s="37" t="n"/>
      <c r="I21" s="18">
        <f>IFERROR(VLOOKUP($D21,BS연결,MATCH(I$1,BS연결H,0),0)/100,"")</f>
        <v/>
      </c>
      <c r="J21" s="18">
        <f>IFERROR(VLOOKUP($D21,BS연결,MATCH(J$1,BS연결H,0),0)/100,"")</f>
        <v/>
      </c>
      <c r="K21" s="18">
        <f>IFERROR(VLOOKUP($D21,BS연결,MATCH(K$1,BS연결H,0),0)/100,"")</f>
        <v/>
      </c>
      <c r="L21" s="18">
        <f>IFERROR(VLOOKUP($D21,BS연결,MATCH(L$1,BS연결H,0),0)/100,"")</f>
        <v/>
      </c>
      <c r="M21" s="37">
        <f>IFERROR(VLOOKUP($D21,BS연결,MATCH(M$1,BS연결H,0),0)/100,"")</f>
        <v/>
      </c>
      <c r="N21" s="18">
        <f>IFERROR(VLOOKUP($D21,BS연결,MATCH(N$1,BS연결H,0),0)/100,"")</f>
        <v/>
      </c>
      <c r="O21" s="19">
        <f>IFERROR(VLOOKUP($D21,BS연결,MATCH(O$1,BS연결H,0),0)/100,"")</f>
        <v/>
      </c>
      <c r="P21" s="20">
        <f>IFERROR(P20*변수!P30,"")</f>
        <v/>
      </c>
      <c r="Q21" s="20">
        <f>IFERROR(Q20*변수!Q30,"")</f>
        <v/>
      </c>
      <c r="R21" s="38">
        <f>SUM(N21:Q21)</f>
        <v/>
      </c>
      <c r="S21" s="20">
        <f>IFERROR(S20*변수!S30,"")</f>
        <v/>
      </c>
      <c r="T21" s="20">
        <f>IFERROR(T20*변수!T30,"")</f>
        <v/>
      </c>
      <c r="U21" s="20">
        <f>IFERROR(U20*변수!U30,"")</f>
        <v/>
      </c>
      <c r="V21" s="20">
        <f>IFERROR(V20*변수!V30,"")</f>
        <v/>
      </c>
      <c r="W21" s="38">
        <f>SUM(S21:V21)</f>
        <v/>
      </c>
      <c r="X21" s="20">
        <f>IFERROR(X20*변수!X30,"")</f>
        <v/>
      </c>
      <c r="Y21" s="20">
        <f>IFERROR(Y20*변수!Y30,"")</f>
        <v/>
      </c>
      <c r="Z21" s="20">
        <f>IFERROR(Z20*변수!Z30,"")</f>
        <v/>
      </c>
      <c r="AA21" s="20">
        <f>IFERROR(AA20*변수!AA30,"")</f>
        <v/>
      </c>
      <c r="AB21" s="38">
        <f>SUM(X21:AA21)</f>
        <v/>
      </c>
    </row>
    <row r="22">
      <c r="A22" s="12" t="inlineStr">
        <is>
          <t>자산총계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자산총계</t>
        </is>
      </c>
      <c r="E22" s="18">
        <f>IFERROR(VLOOKUP($D22,BS연결,MATCH(E$1,BS연결H,0),0)/100,"")</f>
        <v/>
      </c>
      <c r="F22" s="18">
        <f>IFERROR(VLOOKUP($D22,BS연결,MATCH(F$1,BS연결H,0),0)/100,"")</f>
        <v/>
      </c>
      <c r="G22" s="18">
        <f>IFERROR(VLOOKUP($D22,BS연결,MATCH(G$1,BS연결H,0),0)/100,"")</f>
        <v/>
      </c>
      <c r="H22" s="37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18">
        <f>IFERROR(VLOOKUP($D22,BS연결,MATCH(K$1,BS연결H,0),0)/100,"")</f>
        <v/>
      </c>
      <c r="L22" s="18">
        <f>IFERROR(VLOOKUP($D22,BS연결,MATCH(L$1,BS연결H,0),0)/100,"")</f>
        <v/>
      </c>
      <c r="M22" s="37">
        <f>IFERROR(VLOOKUP($D22,BS연결,MATCH(M$1,BS연결H,0),0)/100,"")</f>
        <v/>
      </c>
      <c r="N22" s="18">
        <f>IFERROR(VLOOKUP($D22,BS연결,MATCH(N$1,BS연결H,0),0)/100,"")</f>
        <v/>
      </c>
      <c r="O22" s="19">
        <f>IFERROR(VLOOKUP($D22,BS연결,MATCH(O$1,BS연결H,0),0)/100,"")</f>
        <v/>
      </c>
      <c r="P22" s="20">
        <f>IFERROR(P23+P24,"")</f>
        <v/>
      </c>
      <c r="Q22" s="20">
        <f>IFERROR(Q23+Q24,"")</f>
        <v/>
      </c>
      <c r="R22" s="38">
        <f>Q22</f>
        <v/>
      </c>
      <c r="S22" s="20">
        <f>IFERROR(S23+S24,"")</f>
        <v/>
      </c>
      <c r="T22" s="20">
        <f>IFERROR(T23+T24,"")</f>
        <v/>
      </c>
      <c r="U22" s="20">
        <f>IFERROR(U23+U24,"")</f>
        <v/>
      </c>
      <c r="V22" s="20">
        <f>IFERROR(V23+V24,"")</f>
        <v/>
      </c>
      <c r="W22" s="38">
        <f>V22</f>
        <v/>
      </c>
      <c r="X22" s="20">
        <f>IFERROR(X23+X24,"")</f>
        <v/>
      </c>
      <c r="Y22" s="20">
        <f>IFERROR(Y23+Y24,"")</f>
        <v/>
      </c>
      <c r="Z22" s="20">
        <f>IFERROR(Z23+Z24,"")</f>
        <v/>
      </c>
      <c r="AA22" s="20">
        <f>IFERROR(AA23+AA24,"")</f>
        <v/>
      </c>
      <c r="AB22" s="38">
        <f>AA22</f>
        <v/>
      </c>
    </row>
    <row r="23">
      <c r="A23" s="12" t="inlineStr">
        <is>
          <t>부채총계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부채총계</t>
        </is>
      </c>
      <c r="E23" s="18">
        <f>IFERROR(VLOOKUP($D23,BS연결,MATCH(E$1,BS연결H,0),0)/100,"")</f>
        <v/>
      </c>
      <c r="F23" s="18">
        <f>IFERROR(VLOOKUP($D23,BS연결,MATCH(F$1,BS연결H,0),0)/100,"")</f>
        <v/>
      </c>
      <c r="G23" s="18">
        <f>IFERROR(VLOOKUP($D23,BS연결,MATCH(G$1,BS연결H,0),0)/100,"")</f>
        <v/>
      </c>
      <c r="H23" s="37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18">
        <f>IFERROR(VLOOKUP($D23,BS연결,MATCH(K$1,BS연결H,0),0)/100,"")</f>
        <v/>
      </c>
      <c r="L23" s="18">
        <f>IFERROR(VLOOKUP($D23,BS연결,MATCH(L$1,BS연결H,0),0)/100,"")</f>
        <v/>
      </c>
      <c r="M23" s="37">
        <f>IFERROR(VLOOKUP($D23,BS연결,MATCH(M$1,BS연결H,0),0)/100,"")</f>
        <v/>
      </c>
      <c r="N23" s="18">
        <f>IFERROR(VLOOKUP($D23,BS연결,MATCH(N$1,BS연결H,0),0)/100,"")</f>
        <v/>
      </c>
      <c r="O23" s="19">
        <f>IFERROR(VLOOKUP($D23,BS연결,MATCH(O$1,BS연결H,0),0)/100,"")</f>
        <v/>
      </c>
      <c r="P23" s="20">
        <f>IFERROR(O23*(1+변수!P31),"")</f>
        <v/>
      </c>
      <c r="Q23" s="20">
        <f>IFERROR(P23*(1+변수!Q31),"")</f>
        <v/>
      </c>
      <c r="R23" s="38">
        <f>Q23</f>
        <v/>
      </c>
      <c r="S23" s="20">
        <f>IFERROR(Q23*(1+변수!S31),"")</f>
        <v/>
      </c>
      <c r="T23" s="20">
        <f>IFERROR(S23*(1+변수!T31),"")</f>
        <v/>
      </c>
      <c r="U23" s="20">
        <f>IFERROR(T23*(1+변수!U31),"")</f>
        <v/>
      </c>
      <c r="V23" s="20">
        <f>IFERROR(U23*(1+변수!V31),"")</f>
        <v/>
      </c>
      <c r="W23" s="38">
        <f>V23</f>
        <v/>
      </c>
      <c r="X23" s="20">
        <f>IFERROR(V23*(1+변수!X31),"")</f>
        <v/>
      </c>
      <c r="Y23" s="20">
        <f>IFERROR(X23*(1+변수!Y31),"")</f>
        <v/>
      </c>
      <c r="Z23" s="20">
        <f>IFERROR(Y23*(1+변수!Z31),"")</f>
        <v/>
      </c>
      <c r="AA23" s="20">
        <f>IFERROR(Z23*(1+변수!AA31),"")</f>
        <v/>
      </c>
      <c r="AB23" s="38">
        <f>AA23</f>
        <v/>
      </c>
    </row>
    <row r="24">
      <c r="A24" s="12" t="inlineStr">
        <is>
          <t>자본총계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자본총계</t>
        </is>
      </c>
      <c r="E24" s="18">
        <f>IFERROR(VLOOKUP($D24,BS연결,MATCH(E$1,BS연결H,0),0)/100,"")</f>
        <v/>
      </c>
      <c r="F24" s="18">
        <f>IFERROR(VLOOKUP($D24,BS연결,MATCH(F$1,BS연결H,0),0)/100,"")</f>
        <v/>
      </c>
      <c r="G24" s="18">
        <f>IFERROR(VLOOKUP($D24,BS연결,MATCH(G$1,BS연결H,0),0)/100,"")</f>
        <v/>
      </c>
      <c r="H24" s="37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18">
        <f>IFERROR(VLOOKUP($D24,BS연결,MATCH(K$1,BS연결H,0),0)/100,"")</f>
        <v/>
      </c>
      <c r="L24" s="18">
        <f>IFERROR(VLOOKUP($D24,BS연결,MATCH(L$1,BS연결H,0),0)/100,"")</f>
        <v/>
      </c>
      <c r="M24" s="37">
        <f>IFERROR(VLOOKUP($D24,BS연결,MATCH(M$1,BS연결H,0),0)/100,"")</f>
        <v/>
      </c>
      <c r="N24" s="18">
        <f>IFERROR(VLOOKUP($D24,BS연결,MATCH(N$1,BS연결H,0),0)/100,"")</f>
        <v/>
      </c>
      <c r="O24" s="19">
        <f>IFERROR(VLOOKUP($D24,BS연결,MATCH(O$1,BS연결H,0),0)/100,"")</f>
        <v/>
      </c>
      <c r="P24" s="20">
        <f>IFERROR(O24+P20-변수!P32,"")</f>
        <v/>
      </c>
      <c r="Q24" s="20">
        <f>IFERROR(P24+Q20-변수!Q32,"")</f>
        <v/>
      </c>
      <c r="R24" s="38">
        <f>Q24</f>
        <v/>
      </c>
      <c r="S24" s="20">
        <f>IFERROR(Q24+S20-변수!S32,"")</f>
        <v/>
      </c>
      <c r="T24" s="20">
        <f>IFERROR(S24+T20-변수!T32,"")</f>
        <v/>
      </c>
      <c r="U24" s="20">
        <f>IFERROR(T24+U20-변수!U32,"")</f>
        <v/>
      </c>
      <c r="V24" s="20">
        <f>IFERROR(U24+V20-변수!V32,"")</f>
        <v/>
      </c>
      <c r="W24" s="38">
        <f>V24</f>
        <v/>
      </c>
      <c r="X24" s="20">
        <f>IFERROR(V24+X20-변수!X32,"")</f>
        <v/>
      </c>
      <c r="Y24" s="20">
        <f>IFERROR(X24+Y20-변수!Y32,"")</f>
        <v/>
      </c>
      <c r="Z24" s="20">
        <f>IFERROR(Y24+Z20-변수!Z32,"")</f>
        <v/>
      </c>
      <c r="AA24" s="20">
        <f>IFERROR(Z24+AA20-변수!AA32,"")</f>
        <v/>
      </c>
      <c r="AB24" s="38">
        <f>AA24</f>
        <v/>
      </c>
    </row>
    <row r="25">
      <c r="A25" s="12" t="inlineStr">
        <is>
          <t>지배주주지분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지배주주지분</t>
        </is>
      </c>
      <c r="E25" s="18">
        <f>IFERROR(VLOOKUP($D25,BS연결,MATCH(E$1,BS연결H,0),0)/100,"")</f>
        <v/>
      </c>
      <c r="F25" s="18">
        <f>IFERROR(VLOOKUP($D25,BS연결,MATCH(F$1,BS연결H,0),0)/100,"")</f>
        <v/>
      </c>
      <c r="G25" s="18">
        <f>IFERROR(VLOOKUP($D25,BS연결,MATCH(G$1,BS연결H,0),0)/100,"")</f>
        <v/>
      </c>
      <c r="H25" s="37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18">
        <f>IFERROR(VLOOKUP($D25,BS연결,MATCH(K$1,BS연결H,0),0)/100,"")</f>
        <v/>
      </c>
      <c r="L25" s="18">
        <f>IFERROR(VLOOKUP($D25,BS연결,MATCH(L$1,BS연결H,0),0)/100,"")</f>
        <v/>
      </c>
      <c r="M25" s="37">
        <f>IFERROR(VLOOKUP($D25,BS연결,MATCH(M$1,BS연결H,0),0)/100,"")</f>
        <v/>
      </c>
      <c r="N25" s="18">
        <f>IFERROR(VLOOKUP($D25,BS연결,MATCH(N$1,BS연결H,0),0)/100,"")</f>
        <v/>
      </c>
      <c r="O25" s="19">
        <f>IFERROR(VLOOKUP($D25,BS연결,MATCH(O$1,BS연결H,0),0)/100,"")</f>
        <v/>
      </c>
      <c r="P25" s="20">
        <f>IFERROR(O25+P21-변수!P33,"")</f>
        <v/>
      </c>
      <c r="Q25" s="20">
        <f>IFERROR(P25+Q21-변수!Q33,"")</f>
        <v/>
      </c>
      <c r="R25" s="38">
        <f>Q25</f>
        <v/>
      </c>
      <c r="S25" s="20">
        <f>IFERROR(Q25+S21-변수!S33,"")</f>
        <v/>
      </c>
      <c r="T25" s="20">
        <f>IFERROR(S25+T21-변수!T33,"")</f>
        <v/>
      </c>
      <c r="U25" s="20">
        <f>IFERROR(T25+U21-변수!U33,"")</f>
        <v/>
      </c>
      <c r="V25" s="20">
        <f>IFERROR(U25+V21-변수!V33,"")</f>
        <v/>
      </c>
      <c r="W25" s="38">
        <f>V25</f>
        <v/>
      </c>
      <c r="X25" s="20">
        <f>IFERROR(V25+X21-변수!X33,"")</f>
        <v/>
      </c>
      <c r="Y25" s="20">
        <f>IFERROR(X25+Y21-변수!Y33,"")</f>
        <v/>
      </c>
      <c r="Z25" s="20">
        <f>IFERROR(Y25+Z21-변수!Z33,"")</f>
        <v/>
      </c>
      <c r="AA25" s="20">
        <f>IFERROR(Z25+AA21-변수!AA33,"")</f>
        <v/>
      </c>
      <c r="AB25" s="38">
        <f>AA25</f>
        <v/>
      </c>
    </row>
    <row r="26">
      <c r="A26" s="12" t="inlineStr">
        <is>
          <t>총차입금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총차입금</t>
        </is>
      </c>
      <c r="E26" s="18" t="n"/>
      <c r="F26" s="18">
        <f>IFERROR(VLOOKUP($D26,BS연결,MATCH(F$1,BS연결H,0),0)/100,"")</f>
        <v/>
      </c>
      <c r="G26" s="18">
        <f>IFERROR(VLOOKUP($D26,BS연결,MATCH(G$1,BS연결H,0),0)/100,"")</f>
        <v/>
      </c>
      <c r="H26" s="37">
        <f>IFERROR(VLOOKUP($D26,BS연결,MATCH(H$1,BS연결H,0),0)/100,"")</f>
        <v/>
      </c>
      <c r="I26" s="18" t="n"/>
      <c r="J26" s="18">
        <f>IFERROR(VLOOKUP($D26,BS연결,MATCH(J$1,BS연결H,0),0)/100,"")</f>
        <v/>
      </c>
      <c r="K26" s="18" t="n"/>
      <c r="L26" s="18">
        <f>IFERROR(VLOOKUP($D26,BS연결,MATCH(L$1,BS연결H,0),0)/100,"")</f>
        <v/>
      </c>
      <c r="M26" s="37">
        <f>IFERROR(VLOOKUP($D26,BS연결,MATCH(M$1,BS연결H,0),0)/100,"")</f>
        <v/>
      </c>
      <c r="N26" s="18" t="n"/>
      <c r="O26" s="19" t="n"/>
      <c r="P26" s="20" t="n"/>
      <c r="Q26" s="20" t="n"/>
      <c r="R26" s="38">
        <f>Q26</f>
        <v/>
      </c>
      <c r="S26" s="20" t="n"/>
      <c r="T26" s="20" t="n"/>
      <c r="U26" s="20" t="n"/>
      <c r="V26" s="20" t="n"/>
      <c r="W26" s="38">
        <f>V26</f>
        <v/>
      </c>
      <c r="X26" s="20" t="n"/>
      <c r="Y26" s="20" t="n"/>
      <c r="Z26" s="20" t="n"/>
      <c r="AA26" s="20" t="n"/>
      <c r="AB26" s="38">
        <f>AA26</f>
        <v/>
      </c>
    </row>
    <row r="27">
      <c r="A27" s="12" t="inlineStr">
        <is>
          <t>순차입금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순차입금</t>
        </is>
      </c>
      <c r="E27" s="18" t="n"/>
      <c r="F27" s="18">
        <f>IFERROR(VLOOKUP($D27,BS연결,MATCH(F$1,BS연결H,0),0)/100,"")</f>
        <v/>
      </c>
      <c r="G27" s="18">
        <f>IFERROR(VLOOKUP($D27,BS연결,MATCH(G$1,BS연결H,0),0)/100,"")</f>
        <v/>
      </c>
      <c r="H27" s="37">
        <f>IFERROR(VLOOKUP($D27,BS연결,MATCH(H$1,BS연결H,0),0)/100,"")</f>
        <v/>
      </c>
      <c r="I27" s="18" t="n"/>
      <c r="J27" s="18">
        <f>IFERROR(VLOOKUP($D27,BS연결,MATCH(J$1,BS연결H,0),0)/100,"")</f>
        <v/>
      </c>
      <c r="K27" s="18" t="n"/>
      <c r="L27" s="18">
        <f>IFERROR(VLOOKUP($D27,BS연결,MATCH(L$1,BS연결H,0),0)/100,"")</f>
        <v/>
      </c>
      <c r="M27" s="37">
        <f>IFERROR(VLOOKUP($D27,BS연결,MATCH(M$1,BS연결H,0),0)/100,"")</f>
        <v/>
      </c>
      <c r="N27" s="18" t="n"/>
      <c r="O27" s="19" t="n"/>
      <c r="P27" s="20" t="n"/>
      <c r="Q27" s="20" t="n"/>
      <c r="R27" s="38">
        <f>Q27</f>
        <v/>
      </c>
      <c r="S27" s="20" t="n"/>
      <c r="T27" s="20" t="n"/>
      <c r="U27" s="20" t="n"/>
      <c r="V27" s="20" t="n"/>
      <c r="W27" s="38">
        <f>V27</f>
        <v/>
      </c>
      <c r="X27" s="20" t="n"/>
      <c r="Y27" s="20" t="n"/>
      <c r="Z27" s="20" t="n"/>
      <c r="AA27" s="20" t="n"/>
      <c r="AB27" s="38">
        <f>AA27</f>
        <v/>
      </c>
    </row>
    <row r="28">
      <c r="A28" s="12" t="inlineStr">
        <is>
          <t>이자발생자산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이자발생자산</t>
        </is>
      </c>
      <c r="E28" s="18">
        <f>IFERROR(VLOOKUP($D28,BS연결,MATCH(E$1,BS연결H,0),0)/100,"")</f>
        <v/>
      </c>
      <c r="F28" s="18">
        <f>IFERROR(VLOOKUP($D28,BS연결,MATCH(F$1,BS연결H,0),0)/100,"")</f>
        <v/>
      </c>
      <c r="G28" s="18">
        <f>IFERROR(VLOOKUP($D28,BS연결,MATCH(G$1,BS연결H,0),0)/100,"")</f>
        <v/>
      </c>
      <c r="H28" s="37">
        <f>IFERROR(VLOOKUP($D28,BS연결,MATCH(H$1,BS연결H,0),0)/100,"")</f>
        <v/>
      </c>
      <c r="I28" s="18">
        <f>IFERROR(VLOOKUP($D28,BS연결,MATCH(I$1,BS연결H,0),0)/100,"")</f>
        <v/>
      </c>
      <c r="J28" s="18">
        <f>IFERROR(VLOOKUP($D28,BS연결,MATCH(J$1,BS연결H,0),0)/100,"")</f>
        <v/>
      </c>
      <c r="K28" s="18">
        <f>IFERROR(VLOOKUP($D28,BS연결,MATCH(K$1,BS연결H,0),0)/100,"")</f>
        <v/>
      </c>
      <c r="L28" s="18">
        <f>IFERROR(VLOOKUP($D28,BS연결,MATCH(L$1,BS연결H,0),0)/100,"")</f>
        <v/>
      </c>
      <c r="M28" s="37">
        <f>IFERROR(VLOOKUP($D28,BS연결,MATCH(M$1,BS연결H,0),0)/100,"")</f>
        <v/>
      </c>
      <c r="N28" s="18">
        <f>IFERROR(VLOOKUP($D28,BS연결,MATCH(N$1,BS연결H,0),0)/100,"")</f>
        <v/>
      </c>
      <c r="O28" s="19">
        <f>IFERROR(VLOOKUP($D28,BS연결,MATCH(O$1,BS연결H,0),0)/100,"")</f>
        <v/>
      </c>
      <c r="P28" s="20">
        <f>IFERROR(O28*(1+변수!P36),"")</f>
        <v/>
      </c>
      <c r="Q28" s="20">
        <f>IFERROR(P28*(1+변수!Q36),"")</f>
        <v/>
      </c>
      <c r="R28" s="38">
        <f>Q28</f>
        <v/>
      </c>
      <c r="S28" s="20">
        <f>IFERROR(Q28*(1+변수!S36),"")</f>
        <v/>
      </c>
      <c r="T28" s="20">
        <f>IFERROR(S28*(1+변수!T36),"")</f>
        <v/>
      </c>
      <c r="U28" s="20">
        <f>IFERROR(T28*(1+변수!U36),"")</f>
        <v/>
      </c>
      <c r="V28" s="20">
        <f>IFERROR(U28*(1+변수!V36),"")</f>
        <v/>
      </c>
      <c r="W28" s="38">
        <f>V28</f>
        <v/>
      </c>
      <c r="X28" s="20">
        <f>IFERROR(V28*(1+변수!X36),"")</f>
        <v/>
      </c>
      <c r="Y28" s="20">
        <f>IFERROR(X28*(1+변수!Y36),"")</f>
        <v/>
      </c>
      <c r="Z28" s="20">
        <f>IFERROR(Y28*(1+변수!Z36),"")</f>
        <v/>
      </c>
      <c r="AA28" s="20">
        <f>IFERROR(Z28*(1+변수!AA36),"")</f>
        <v/>
      </c>
      <c r="AB28" s="38">
        <f>AA28</f>
        <v/>
      </c>
    </row>
    <row r="29">
      <c r="A29" s="12" t="inlineStr">
        <is>
          <t>현금및현금성자산</t>
        </is>
      </c>
      <c r="B29" t="inlineStr">
        <is>
          <t>재무상태</t>
        </is>
      </c>
      <c r="C29" t="inlineStr">
        <is>
          <t>억원</t>
        </is>
      </c>
      <c r="D29" t="inlineStr">
        <is>
          <t>현금및현금성자산</t>
        </is>
      </c>
      <c r="E29" s="18">
        <f>IFERROR(VLOOKUP($D29,BS연결,MATCH(E$1,BS연결H,0),0)/100,"")</f>
        <v/>
      </c>
      <c r="F29" s="18">
        <f>IFERROR(VLOOKUP($D29,BS연결,MATCH(F$1,BS연결H,0),0)/100,"")</f>
        <v/>
      </c>
      <c r="G29" s="18">
        <f>IFERROR(VLOOKUP($D29,BS연결,MATCH(G$1,BS연결H,0),0)/100,"")</f>
        <v/>
      </c>
      <c r="H29" s="37">
        <f>IFERROR(VLOOKUP($D29,BS연결,MATCH(H$1,BS연결H,0),0)/100,"")</f>
        <v/>
      </c>
      <c r="I29" s="18">
        <f>IFERROR(VLOOKUP($D29,BS연결,MATCH(I$1,BS연결H,0),0)/100,"")</f>
        <v/>
      </c>
      <c r="J29" s="18">
        <f>IFERROR(VLOOKUP($D29,BS연결,MATCH(J$1,BS연결H,0),0)/100,"")</f>
        <v/>
      </c>
      <c r="K29" s="18">
        <f>IFERROR(VLOOKUP($D29,BS연결,MATCH(K$1,BS연결H,0),0)/100,"")</f>
        <v/>
      </c>
      <c r="L29" s="18">
        <f>IFERROR(VLOOKUP($D29,BS연결,MATCH(L$1,BS연결H,0),0)/100,"")</f>
        <v/>
      </c>
      <c r="M29" s="37">
        <f>IFERROR(VLOOKUP($D29,BS연결,MATCH(M$1,BS연결H,0),0)/100,"")</f>
        <v/>
      </c>
      <c r="N29" s="18">
        <f>IFERROR(VLOOKUP($D29,BS연결,MATCH(N$1,BS연결H,0),0)/100,"")</f>
        <v/>
      </c>
      <c r="O29" s="19">
        <f>IFERROR(VLOOKUP($D29,BS연결,MATCH(O$1,BS연결H,0),0)/100,"")</f>
        <v/>
      </c>
      <c r="P29" s="20" t="n"/>
      <c r="Q29" s="20" t="n"/>
      <c r="R29" s="38">
        <f>Q29</f>
        <v/>
      </c>
      <c r="S29" s="20" t="n"/>
      <c r="T29" s="20" t="n"/>
      <c r="U29" s="20" t="n"/>
      <c r="V29" s="20" t="n"/>
      <c r="W29" s="38">
        <f>V29</f>
        <v/>
      </c>
      <c r="X29" s="20" t="n"/>
      <c r="Y29" s="20" t="n"/>
      <c r="Z29" s="20" t="n"/>
      <c r="AA29" s="20" t="n"/>
      <c r="AB29" s="38">
        <f>AA29</f>
        <v/>
      </c>
    </row>
    <row r="30">
      <c r="A30" s="12" t="inlineStr">
        <is>
          <t>CAPEX</t>
        </is>
      </c>
      <c r="B30" t="inlineStr">
        <is>
          <t>현금흐름</t>
        </is>
      </c>
      <c r="C30" t="inlineStr">
        <is>
          <t>억원</t>
        </is>
      </c>
      <c r="D30" t="inlineStr">
        <is>
          <t>CAPEX</t>
        </is>
      </c>
      <c r="E30" s="18">
        <f>IFERROR(VLOOKUP($D30,BS연결,MATCH(E$1,BS연결H,0),0)/100,"")</f>
        <v/>
      </c>
      <c r="F30" s="18">
        <f>IFERROR(VLOOKUP($D30,BS연결,MATCH(F$1,BS연결H,0),0)/100,"")</f>
        <v/>
      </c>
      <c r="G30" s="18">
        <f>IFERROR(VLOOKUP($D30,BS연결,MATCH(G$1,BS연결H,0),0)/100,"")</f>
        <v/>
      </c>
      <c r="H30" s="37" t="n"/>
      <c r="I30" s="18">
        <f>IFERROR(VLOOKUP($D30,BS연결,MATCH(I$1,BS연결H,0),0)/100,"")</f>
        <v/>
      </c>
      <c r="J30" s="18">
        <f>IFERROR(VLOOKUP($D30,BS연결,MATCH(J$1,BS연결H,0),0)/100,"")</f>
        <v/>
      </c>
      <c r="K30" s="18">
        <f>IFERROR(VLOOKUP($D30,BS연결,MATCH(K$1,BS연결H,0),0)/100,"")</f>
        <v/>
      </c>
      <c r="L30" s="18">
        <f>IFERROR(VLOOKUP($D30,BS연결,MATCH(L$1,BS연결H,0),0)/100,"")</f>
        <v/>
      </c>
      <c r="M30" s="37">
        <f>IFERROR(VLOOKUP($D30,BS연결,MATCH(M$1,BS연결H,0),0)/100,"")</f>
        <v/>
      </c>
      <c r="N30" s="18">
        <f>IFERROR(VLOOKUP($D30,BS연결,MATCH(N$1,BS연결H,0),0)/100,"")</f>
        <v/>
      </c>
      <c r="O30" s="19">
        <f>IFERROR(VLOOKUP($D30,BS연결,MATCH(O$1,BS연결H,0),0)/100,"")</f>
        <v/>
      </c>
      <c r="P30" s="20">
        <f>IFERROR(K30*(1+변수!P38),"")</f>
        <v/>
      </c>
      <c r="Q30" s="20">
        <f>IFERROR(L30*(1+변수!Q38),"")</f>
        <v/>
      </c>
      <c r="R30" s="38">
        <f>SUM(N30:Q30)</f>
        <v/>
      </c>
      <c r="S30" s="20">
        <f>IFERROR(N30*(1+변수!S38),"")</f>
        <v/>
      </c>
      <c r="T30" s="20">
        <f>IFERROR(O30*(1+변수!T38),"")</f>
        <v/>
      </c>
      <c r="U30" s="20">
        <f>IFERROR(P30*(1+변수!U38),"")</f>
        <v/>
      </c>
      <c r="V30" s="20">
        <f>IFERROR(Q30*(1+변수!V38),"")</f>
        <v/>
      </c>
      <c r="W30" s="38">
        <f>SUM(S30:V30)</f>
        <v/>
      </c>
      <c r="X30" s="20">
        <f>IFERROR(S30*(1+변수!X38),"")</f>
        <v/>
      </c>
      <c r="Y30" s="20">
        <f>IFERROR(T30*(1+변수!Y38),"")</f>
        <v/>
      </c>
      <c r="Z30" s="20">
        <f>IFERROR(U30*(1+변수!Z38),"")</f>
        <v/>
      </c>
      <c r="AA30" s="20">
        <f>IFERROR(V30*(1+변수!AA38),"")</f>
        <v/>
      </c>
      <c r="AB30" s="38">
        <f>SUM(X30:AA30)</f>
        <v/>
      </c>
    </row>
    <row r="31">
      <c r="A31" s="12" t="inlineStr">
        <is>
          <t>영업활동현금흐름</t>
        </is>
      </c>
      <c r="B31" t="inlineStr">
        <is>
          <t>현금흐름</t>
        </is>
      </c>
      <c r="C31" t="inlineStr">
        <is>
          <t>억원</t>
        </is>
      </c>
      <c r="D31" t="inlineStr">
        <is>
          <t>영업활동으로인한현금흐름</t>
        </is>
      </c>
      <c r="E31" s="18">
        <f>IFERROR(VLOOKUP($D31,BS연결,MATCH(E$1,BS연결H,0),0)/100,"")</f>
        <v/>
      </c>
      <c r="F31" s="18">
        <f>IFERROR(VLOOKUP($D31,BS연결,MATCH(F$1,BS연결H,0),0)/100,"")</f>
        <v/>
      </c>
      <c r="G31" s="18">
        <f>IFERROR(VLOOKUP($D31,BS연결,MATCH(G$1,BS연결H,0),0)/100,"")</f>
        <v/>
      </c>
      <c r="H31" s="37" t="n"/>
      <c r="I31" s="18">
        <f>IFERROR(VLOOKUP($D31,BS연결,MATCH(I$1,BS연결H,0),0)/100,"")</f>
        <v/>
      </c>
      <c r="J31" s="18">
        <f>IFERROR(VLOOKUP($D31,BS연결,MATCH(J$1,BS연결H,0),0)/100,"")</f>
        <v/>
      </c>
      <c r="K31" s="18">
        <f>IFERROR(VLOOKUP($D31,BS연결,MATCH(K$1,BS연결H,0),0)/100,"")</f>
        <v/>
      </c>
      <c r="L31" s="18">
        <f>IFERROR(VLOOKUP($D31,BS연결,MATCH(L$1,BS연결H,0),0)/100,"")</f>
        <v/>
      </c>
      <c r="M31" s="37">
        <f>IFERROR(VLOOKUP($D31,BS연결,MATCH(M$1,BS연결H,0),0)/100,"")</f>
        <v/>
      </c>
      <c r="N31" s="18">
        <f>IFERROR(VLOOKUP($D31,BS연결,MATCH(N$1,BS연결H,0),0)/100,"")</f>
        <v/>
      </c>
      <c r="O31" s="19">
        <f>IFERROR(VLOOKUP($D31,BS연결,MATCH(O$1,BS연결H,0),0)/100,"")</f>
        <v/>
      </c>
      <c r="P31" s="20" t="n"/>
      <c r="Q31" s="20" t="n"/>
      <c r="R31" s="38">
        <f>SUM(N31:Q31)</f>
        <v/>
      </c>
      <c r="S31" s="20" t="n"/>
      <c r="T31" s="20" t="n"/>
      <c r="U31" s="20" t="n"/>
      <c r="V31" s="20" t="n"/>
      <c r="W31" s="38">
        <f>SUM(S31:V31)</f>
        <v/>
      </c>
      <c r="X31" s="20" t="n"/>
      <c r="Y31" s="20" t="n"/>
      <c r="Z31" s="20" t="n"/>
      <c r="AA31" s="20" t="n"/>
      <c r="AB31" s="38">
        <f>SUM(X31:AA31)</f>
        <v/>
      </c>
    </row>
    <row r="32">
      <c r="A32" s="12" t="inlineStr">
        <is>
          <t>주식수</t>
        </is>
      </c>
      <c r="B32" t="inlineStr">
        <is>
          <t>주당</t>
        </is>
      </c>
      <c r="C32" t="inlineStr">
        <is>
          <t>백만주</t>
        </is>
      </c>
      <c r="D32" t="inlineStr">
        <is>
          <t>유통주식수</t>
        </is>
      </c>
      <c r="E32" s="27" t="n">
        <v>44.45</v>
      </c>
      <c r="F32" s="27" t="n">
        <v>44.45</v>
      </c>
      <c r="G32" s="27" t="n">
        <v>44.829</v>
      </c>
      <c r="H32" s="28">
        <f>G32</f>
        <v/>
      </c>
      <c r="I32" s="27" t="n">
        <v>44.829</v>
      </c>
      <c r="J32" s="27" t="n">
        <v>44.829</v>
      </c>
      <c r="K32" s="27" t="n">
        <v>44.829</v>
      </c>
      <c r="L32" s="27" t="n">
        <v>44.831</v>
      </c>
      <c r="M32" s="28">
        <f>L32</f>
        <v/>
      </c>
      <c r="N32" s="27" t="n">
        <v>44.831</v>
      </c>
      <c r="O32" s="29" t="n">
        <v>44.833</v>
      </c>
      <c r="P32" s="33">
        <f>IFERROR(O32*(1+변수!P40),"")</f>
        <v/>
      </c>
      <c r="Q32" s="33">
        <f>IFERROR(P32*(1+변수!Q40),"")</f>
        <v/>
      </c>
      <c r="R32" s="31">
        <f>Q32</f>
        <v/>
      </c>
      <c r="S32" s="33">
        <f>IFERROR(Q32*(1+변수!S40),"")</f>
        <v/>
      </c>
      <c r="T32" s="33">
        <f>IFERROR(S32*(1+변수!T40),"")</f>
        <v/>
      </c>
      <c r="U32" s="33">
        <f>IFERROR(T32*(1+변수!U40),"")</f>
        <v/>
      </c>
      <c r="V32" s="33">
        <f>IFERROR(U32*(1+변수!V40),"")</f>
        <v/>
      </c>
      <c r="W32" s="31">
        <f>V32</f>
        <v/>
      </c>
      <c r="X32" s="33">
        <f>IFERROR(V32*(1+변수!X40),"")</f>
        <v/>
      </c>
      <c r="Y32" s="33">
        <f>IFERROR(X32*(1+변수!Y40),"")</f>
        <v/>
      </c>
      <c r="Z32" s="33">
        <f>IFERROR(Y32*(1+변수!Z40),"")</f>
        <v/>
      </c>
      <c r="AA32" s="33">
        <f>IFERROR(Z32*(1+변수!AA40),"")</f>
        <v/>
      </c>
      <c r="AB32" s="31">
        <f>AA32</f>
        <v/>
      </c>
    </row>
    <row r="33">
      <c r="A33" s="12" t="inlineStr">
        <is>
          <t>EPS</t>
        </is>
      </c>
      <c r="B33" t="inlineStr">
        <is>
          <t>주당</t>
        </is>
      </c>
      <c r="C33" t="inlineStr">
        <is>
          <t>원</t>
        </is>
      </c>
      <c r="D33" t="inlineStr">
        <is>
          <t>EPS</t>
        </is>
      </c>
      <c r="E33" s="18">
        <f>IFERROR(E21*100/E32,"")</f>
        <v/>
      </c>
      <c r="F33" s="18">
        <f>IFERROR(F21*100/F32,"")</f>
        <v/>
      </c>
      <c r="G33" s="18">
        <f>IFERROR(G21*100/G32,"")</f>
        <v/>
      </c>
      <c r="H33" s="37" t="n"/>
      <c r="I33" s="18">
        <f>IFERROR(I21*100/I32,"")</f>
        <v/>
      </c>
      <c r="J33" s="18">
        <f>IFERROR(J21*100/J32,"")</f>
        <v/>
      </c>
      <c r="K33" s="18">
        <f>IFERROR(K21*100/K32,"")</f>
        <v/>
      </c>
      <c r="L33" s="18">
        <f>IFERROR(L21*100/L32,"")</f>
        <v/>
      </c>
      <c r="M33" s="37">
        <f>SUM(I33:L33)</f>
        <v/>
      </c>
      <c r="N33" s="18">
        <f>IFERROR(N21*100/N32,"")</f>
        <v/>
      </c>
      <c r="O33" s="19">
        <f>IFERROR(O21*100/O32,"")</f>
        <v/>
      </c>
      <c r="P33" s="20">
        <f>IFERROR(P21*100/P32,"")</f>
        <v/>
      </c>
      <c r="Q33" s="20">
        <f>IFERROR(Q21*100/Q32,"")</f>
        <v/>
      </c>
      <c r="R33" s="38">
        <f>SUM(N33:Q33)</f>
        <v/>
      </c>
      <c r="S33" s="20">
        <f>IFERROR(S21*100/S32,"")</f>
        <v/>
      </c>
      <c r="T33" s="20">
        <f>IFERROR(T21*100/T32,"")</f>
        <v/>
      </c>
      <c r="U33" s="20">
        <f>IFERROR(U21*100/U32,"")</f>
        <v/>
      </c>
      <c r="V33" s="20">
        <f>IFERROR(V21*100/V32,"")</f>
        <v/>
      </c>
      <c r="W33" s="38">
        <f>SUM(S33:V33)</f>
        <v/>
      </c>
      <c r="X33" s="20">
        <f>IFERROR(X21*100/X32,"")</f>
        <v/>
      </c>
      <c r="Y33" s="20">
        <f>IFERROR(Y21*100/Y32,"")</f>
        <v/>
      </c>
      <c r="Z33" s="20">
        <f>IFERROR(Z21*100/Z32,"")</f>
        <v/>
      </c>
      <c r="AA33" s="20">
        <f>IFERROR(AA21*100/AA32,"")</f>
        <v/>
      </c>
      <c r="AB33" s="38">
        <f>SUM(X33:AA33)</f>
        <v/>
      </c>
    </row>
    <row r="34">
      <c r="A34" s="12" t="inlineStr">
        <is>
          <t>BPS</t>
        </is>
      </c>
      <c r="B34" t="inlineStr">
        <is>
          <t>주당</t>
        </is>
      </c>
      <c r="C34" t="inlineStr">
        <is>
          <t>원</t>
        </is>
      </c>
      <c r="D34" t="inlineStr">
        <is>
          <t>BPS</t>
        </is>
      </c>
      <c r="E34" s="18">
        <f>IFERROR(E25*100/E32,"")</f>
        <v/>
      </c>
      <c r="F34" s="18">
        <f>IFERROR(F25*100/F32,"")</f>
        <v/>
      </c>
      <c r="G34" s="18">
        <f>IFERROR(G25*100/G32,"")</f>
        <v/>
      </c>
      <c r="H34" s="37">
        <f>G34</f>
        <v/>
      </c>
      <c r="I34" s="18">
        <f>IFERROR(I25*100/I32,"")</f>
        <v/>
      </c>
      <c r="J34" s="18">
        <f>IFERROR(J25*100/J32,"")</f>
        <v/>
      </c>
      <c r="K34" s="18">
        <f>IFERROR(K25*100/K32,"")</f>
        <v/>
      </c>
      <c r="L34" s="18">
        <f>IFERROR(L25*100/L32,"")</f>
        <v/>
      </c>
      <c r="M34" s="37">
        <f>L34</f>
        <v/>
      </c>
      <c r="N34" s="18">
        <f>IFERROR(N25*100/N32,"")</f>
        <v/>
      </c>
      <c r="O34" s="19">
        <f>IFERROR(O25*100/O32,"")</f>
        <v/>
      </c>
      <c r="P34" s="20">
        <f>IFERROR(P25*100/P32,"")</f>
        <v/>
      </c>
      <c r="Q34" s="20">
        <f>IFERROR(Q25*100/Q32,"")</f>
        <v/>
      </c>
      <c r="R34" s="38">
        <f>Q34</f>
        <v/>
      </c>
      <c r="S34" s="20">
        <f>IFERROR(S25*100/S32,"")</f>
        <v/>
      </c>
      <c r="T34" s="20">
        <f>IFERROR(T25*100/T32,"")</f>
        <v/>
      </c>
      <c r="U34" s="20">
        <f>IFERROR(U25*100/U32,"")</f>
        <v/>
      </c>
      <c r="V34" s="20">
        <f>IFERROR(V25*100/V32,"")</f>
        <v/>
      </c>
      <c r="W34" s="38">
        <f>V34</f>
        <v/>
      </c>
      <c r="X34" s="20">
        <f>IFERROR(X25*100/X32,"")</f>
        <v/>
      </c>
      <c r="Y34" s="20">
        <f>IFERROR(Y25*100/Y32,"")</f>
        <v/>
      </c>
      <c r="Z34" s="20">
        <f>IFERROR(Z25*100/Z32,"")</f>
        <v/>
      </c>
      <c r="AA34" s="20">
        <f>IFERROR(AA25*100/AA32,"")</f>
        <v/>
      </c>
      <c r="AB34" s="38">
        <f>AA34</f>
        <v/>
      </c>
    </row>
    <row r="35">
      <c r="A35" s="12" t="inlineStr">
        <is>
          <t>DPS</t>
        </is>
      </c>
      <c r="B35" t="inlineStr">
        <is>
          <t>주당</t>
        </is>
      </c>
      <c r="C35" t="inlineStr">
        <is>
          <t>원</t>
        </is>
      </c>
      <c r="D35" t="inlineStr">
        <is>
          <t>DPS(보통주)</t>
        </is>
      </c>
      <c r="E35" s="18" t="n"/>
      <c r="F35" s="18" t="n"/>
      <c r="G35" s="18" t="n">
        <v>3150</v>
      </c>
      <c r="H35" s="37" t="n">
        <v>3150</v>
      </c>
      <c r="I35" s="18" t="n"/>
      <c r="J35" s="18" t="n"/>
      <c r="K35" s="18" t="n"/>
      <c r="L35" s="18" t="n">
        <v>3950</v>
      </c>
      <c r="M35" s="37">
        <f>SUM(I35:L35)</f>
        <v/>
      </c>
      <c r="N35" s="18" t="n"/>
      <c r="O35" s="19" t="n"/>
      <c r="P35" s="20" t="n"/>
      <c r="Q35" s="20">
        <f>변수!Q41</f>
        <v/>
      </c>
      <c r="R35" s="38">
        <f>SUM(N35:Q35)</f>
        <v/>
      </c>
      <c r="S35" s="20" t="n"/>
      <c r="T35" s="20" t="n"/>
      <c r="U35" s="20" t="n"/>
      <c r="V35" s="20">
        <f>변수!V41</f>
        <v/>
      </c>
      <c r="W35" s="38">
        <f>SUM(S35:V35)</f>
        <v/>
      </c>
      <c r="X35" s="20" t="n"/>
      <c r="Y35" s="20" t="n"/>
      <c r="Z35" s="20" t="n"/>
      <c r="AA35" s="20">
        <f>변수!AA41</f>
        <v/>
      </c>
      <c r="AB35" s="38">
        <f>SUM(X35:AA35)</f>
        <v/>
      </c>
    </row>
    <row r="36">
      <c r="A36" s="12" t="inlineStr">
        <is>
          <t>PER</t>
        </is>
      </c>
      <c r="B36" t="inlineStr">
        <is>
          <t>주당</t>
        </is>
      </c>
      <c r="C36" t="inlineStr">
        <is>
          <t>배</t>
        </is>
      </c>
      <c r="D36" t="inlineStr">
        <is>
          <t>PER</t>
        </is>
      </c>
      <c r="E36" s="13" t="n"/>
      <c r="F36" s="13" t="n"/>
      <c r="G36" s="13" t="n"/>
      <c r="H36" s="14">
        <f>G36</f>
        <v/>
      </c>
      <c r="I36" s="13">
        <f>IFERROR(변수!I18/(E33+F33+G33+I33),"")</f>
        <v/>
      </c>
      <c r="J36" s="13">
        <f>IFERROR(변수!J18/(F33+G33+I33+J33),"")</f>
        <v/>
      </c>
      <c r="K36" s="13">
        <f>IFERROR(변수!K18/(G33+I33+J33+K33),"")</f>
        <v/>
      </c>
      <c r="L36" s="13">
        <f>IFERROR(변수!L18/(I33+J33+K33+L33),"")</f>
        <v/>
      </c>
      <c r="M36" s="14">
        <f>L36</f>
        <v/>
      </c>
      <c r="N36" s="13">
        <f>IFERROR(변수!N18/(J33+K33+L33+N33),"")</f>
        <v/>
      </c>
      <c r="O36" s="15">
        <f>IFERROR(변수!O18/(K33+L33+N33+O33),"")</f>
        <v/>
      </c>
      <c r="P36" s="39">
        <f>IFERROR(변수!$D$44/(L33+N33+O33+P33),"")</f>
        <v/>
      </c>
      <c r="Q36" s="39">
        <f>IFERROR(변수!$D$44/(N33+O33+P33+Q33),"")</f>
        <v/>
      </c>
      <c r="R36" s="40">
        <f>Q36</f>
        <v/>
      </c>
      <c r="S36" s="39">
        <f>IFERROR(변수!$D$44/(O33+P33+Q33+S33),"")</f>
        <v/>
      </c>
      <c r="T36" s="39">
        <f>IFERROR(변수!$D$44/(P33+Q33+S33+T33),"")</f>
        <v/>
      </c>
      <c r="U36" s="39">
        <f>IFERROR(변수!$D$44/(Q33+S33+T33+U33),"")</f>
        <v/>
      </c>
      <c r="V36" s="39">
        <f>IFERROR(변수!$D$44/(S33+T33+U33+V33),"")</f>
        <v/>
      </c>
      <c r="W36" s="40">
        <f>V36</f>
        <v/>
      </c>
      <c r="X36" s="39">
        <f>IFERROR(변수!$D$44/(T33+U33+V33+X33),"")</f>
        <v/>
      </c>
      <c r="Y36" s="39">
        <f>IFERROR(변수!$D$44/(U33+V33+X33+Y33),"")</f>
        <v/>
      </c>
      <c r="Z36" s="39">
        <f>IFERROR(변수!$D$44/(V33+X33+Y33+Z33),"")</f>
        <v/>
      </c>
      <c r="AA36" s="39">
        <f>IFERROR(변수!$D$44/(X33+Y33+Z33+AA33),"")</f>
        <v/>
      </c>
      <c r="AB36" s="40">
        <f>AA36</f>
        <v/>
      </c>
    </row>
    <row r="37">
      <c r="A37" s="12" t="inlineStr">
        <is>
          <t>PBR</t>
        </is>
      </c>
      <c r="B37" t="inlineStr">
        <is>
          <t>주당</t>
        </is>
      </c>
      <c r="C37" t="inlineStr">
        <is>
          <t>배</t>
        </is>
      </c>
      <c r="D37" t="inlineStr">
        <is>
          <t>PBR</t>
        </is>
      </c>
      <c r="E37" s="13">
        <f>IFERROR(변수!E18/E34,"")</f>
        <v/>
      </c>
      <c r="F37" s="13">
        <f>IFERROR(변수!F18/F34,"")</f>
        <v/>
      </c>
      <c r="G37" s="13">
        <f>IFERROR(변수!G18/G34,"")</f>
        <v/>
      </c>
      <c r="H37" s="14">
        <f>G37</f>
        <v/>
      </c>
      <c r="I37" s="13">
        <f>IFERROR(변수!I18/I34,"")</f>
        <v/>
      </c>
      <c r="J37" s="13">
        <f>IFERROR(변수!J18/J34,"")</f>
        <v/>
      </c>
      <c r="K37" s="13">
        <f>IFERROR(변수!K18/K34,"")</f>
        <v/>
      </c>
      <c r="L37" s="13">
        <f>IFERROR(변수!L18/L34,"")</f>
        <v/>
      </c>
      <c r="M37" s="14">
        <f>L37</f>
        <v/>
      </c>
      <c r="N37" s="13">
        <f>IFERROR(변수!N18/N34,"")</f>
        <v/>
      </c>
      <c r="O37" s="15">
        <f>IFERROR(변수!O18/O34,"")</f>
        <v/>
      </c>
      <c r="P37" s="39">
        <f>IFERROR(변수!$D$44/P34,"")</f>
        <v/>
      </c>
      <c r="Q37" s="39">
        <f>IFERROR(변수!$D$44/Q34,"")</f>
        <v/>
      </c>
      <c r="R37" s="40">
        <f>Q37</f>
        <v/>
      </c>
      <c r="S37" s="39">
        <f>IFERROR(변수!$D$44/S34,"")</f>
        <v/>
      </c>
      <c r="T37" s="39">
        <f>IFERROR(변수!$D$44/T34,"")</f>
        <v/>
      </c>
      <c r="U37" s="39">
        <f>IFERROR(변수!$D$44/U34,"")</f>
        <v/>
      </c>
      <c r="V37" s="39">
        <f>IFERROR(변수!$D$44/V34,"")</f>
        <v/>
      </c>
      <c r="W37" s="40">
        <f>V37</f>
        <v/>
      </c>
      <c r="X37" s="39">
        <f>IFERROR(변수!$D$44/X34,"")</f>
        <v/>
      </c>
      <c r="Y37" s="39">
        <f>IFERROR(변수!$D$44/Y34,"")</f>
        <v/>
      </c>
      <c r="Z37" s="39">
        <f>IFERROR(변수!$D$44/Z34,"")</f>
        <v/>
      </c>
      <c r="AA37" s="39">
        <f>IFERROR(변수!$D$44/AA34,"")</f>
        <v/>
      </c>
      <c r="AB37" s="40">
        <f>AA37</f>
        <v/>
      </c>
    </row>
    <row r="38">
      <c r="A38" s="12" t="inlineStr">
        <is>
          <t>매출전사</t>
        </is>
      </c>
      <c r="B38" t="inlineStr">
        <is>
          <t>사업부</t>
        </is>
      </c>
      <c r="C38" t="inlineStr">
        <is>
          <t>억원</t>
        </is>
      </c>
      <c r="D38" t="inlineStr">
        <is>
          <t>매출 전사(부문 미분리)</t>
        </is>
      </c>
      <c r="E38" s="18" t="n">
        <v>4378.55</v>
      </c>
      <c r="F38" s="18" t="n">
        <v>4612.61</v>
      </c>
      <c r="G38" s="18" t="n">
        <v>4633.73</v>
      </c>
      <c r="H38" s="37" t="n"/>
      <c r="I38" s="18" t="n">
        <v>4855.98</v>
      </c>
      <c r="J38" s="18" t="n">
        <v>4677.22</v>
      </c>
      <c r="K38" s="18" t="n">
        <v>5131.76</v>
      </c>
      <c r="L38" s="18" t="n">
        <v>5162.05</v>
      </c>
      <c r="M38" s="37">
        <f>SUM(I38:L38)</f>
        <v/>
      </c>
      <c r="N38" s="18" t="n">
        <v>5746.09</v>
      </c>
      <c r="O38" s="19" t="n">
        <v>5804.14</v>
      </c>
      <c r="P38" s="20">
        <f>IFERROR(P5,"")</f>
        <v/>
      </c>
      <c r="Q38" s="20">
        <f>IFERROR(Q5,"")</f>
        <v/>
      </c>
      <c r="R38" s="38">
        <f>SUM(N38:Q38)</f>
        <v/>
      </c>
      <c r="S38" s="20">
        <f>IFERROR(S5,"")</f>
        <v/>
      </c>
      <c r="T38" s="20">
        <f>IFERROR(T5,"")</f>
        <v/>
      </c>
      <c r="U38" s="20">
        <f>IFERROR(U5,"")</f>
        <v/>
      </c>
      <c r="V38" s="20">
        <f>IFERROR(V5,"")</f>
        <v/>
      </c>
      <c r="W38" s="38">
        <f>SUM(S38:V38)</f>
        <v/>
      </c>
      <c r="X38" s="20">
        <f>IFERROR(X5,"")</f>
        <v/>
      </c>
      <c r="Y38" s="20">
        <f>IFERROR(Y5,"")</f>
        <v/>
      </c>
      <c r="Z38" s="20">
        <f>IFERROR(Z5,"")</f>
        <v/>
      </c>
      <c r="AA38" s="20">
        <f>IFERROR(AA5,"")</f>
        <v/>
      </c>
      <c r="AB38" s="38">
        <f>SUM(X38:AA38)</f>
        <v/>
      </c>
    </row>
    <row r="39">
      <c r="A39" s="12" t="inlineStr">
        <is>
          <t>OP전사</t>
        </is>
      </c>
      <c r="B39" t="inlineStr">
        <is>
          <t>사업부</t>
        </is>
      </c>
      <c r="C39" t="inlineStr">
        <is>
          <t>억원</t>
        </is>
      </c>
      <c r="D39" t="inlineStr">
        <is>
          <t>OP 전사(부문 미분리)</t>
        </is>
      </c>
      <c r="E39" s="18" t="n">
        <v>709.86</v>
      </c>
      <c r="F39" s="18" t="n">
        <v>833.83</v>
      </c>
      <c r="G39" s="18" t="n">
        <v>658.79</v>
      </c>
      <c r="H39" s="37" t="n"/>
      <c r="I39" s="18" t="n">
        <v>830.0700000000001</v>
      </c>
      <c r="J39" s="18" t="n">
        <v>830.1</v>
      </c>
      <c r="K39" s="18" t="n">
        <v>935.96</v>
      </c>
      <c r="L39" s="18" t="n">
        <v>905.28</v>
      </c>
      <c r="M39" s="37">
        <f>SUM(I39:L39)</f>
        <v/>
      </c>
      <c r="N39" s="18" t="n">
        <v>933.9400000000001</v>
      </c>
      <c r="O39" s="19" t="n">
        <v>976.25</v>
      </c>
      <c r="P39" s="20">
        <f>IFERROR(P9,"")</f>
        <v/>
      </c>
      <c r="Q39" s="20">
        <f>IFERROR(Q9,"")</f>
        <v/>
      </c>
      <c r="R39" s="38">
        <f>SUM(N39:Q39)</f>
        <v/>
      </c>
      <c r="S39" s="20">
        <f>IFERROR(S9,"")</f>
        <v/>
      </c>
      <c r="T39" s="20">
        <f>IFERROR(T9,"")</f>
        <v/>
      </c>
      <c r="U39" s="20">
        <f>IFERROR(U9,"")</f>
        <v/>
      </c>
      <c r="V39" s="20">
        <f>IFERROR(V9,"")</f>
        <v/>
      </c>
      <c r="W39" s="38">
        <f>SUM(S39:V39)</f>
        <v/>
      </c>
      <c r="X39" s="20">
        <f>IFERROR(X9,"")</f>
        <v/>
      </c>
      <c r="Y39" s="20">
        <f>IFERROR(Y9,"")</f>
        <v/>
      </c>
      <c r="Z39" s="20">
        <f>IFERROR(Z9,"")</f>
        <v/>
      </c>
      <c r="AA39" s="20">
        <f>IFERROR(AA9,"")</f>
        <v/>
      </c>
      <c r="AB39" s="38">
        <f>SUM(X39:AA39)</f>
        <v/>
      </c>
    </row>
    <row r="40">
      <c r="B40" s="2" t="inlineStr">
        <is>
          <t>비율(참고)</t>
        </is>
      </c>
      <c r="H40" s="9" t="n"/>
      <c r="M40" s="9" t="n"/>
      <c r="O40" s="5" t="n"/>
      <c r="P40" s="10" t="n"/>
      <c r="Q40" s="10" t="n"/>
      <c r="R40" s="11" t="n"/>
      <c r="S40" s="10" t="n"/>
      <c r="T40" s="10" t="n"/>
      <c r="U40" s="10" t="n"/>
      <c r="V40" s="10" t="n"/>
      <c r="W40" s="11" t="n"/>
      <c r="X40" s="10" t="n"/>
      <c r="Y40" s="10" t="n"/>
      <c r="Z40" s="10" t="n"/>
      <c r="AA40" s="10" t="n"/>
      <c r="AB40" s="11" t="n"/>
    </row>
    <row r="41">
      <c r="A41" s="12" t="inlineStr">
        <is>
          <t>NPM</t>
        </is>
      </c>
      <c r="C41" t="inlineStr">
        <is>
          <t>%</t>
        </is>
      </c>
      <c r="D41" t="inlineStr">
        <is>
          <t>지배주주순이익 / 매출액</t>
        </is>
      </c>
      <c r="E41" s="21">
        <f>IFERROR(E21/E5,"")</f>
        <v/>
      </c>
      <c r="F41" s="21">
        <f>IFERROR(F21/F5,"")</f>
        <v/>
      </c>
      <c r="G41" s="21">
        <f>IFERROR(G21/G5,"")</f>
        <v/>
      </c>
      <c r="H41" s="22">
        <f>IFERROR(H21/H5,"")</f>
        <v/>
      </c>
      <c r="I41" s="21">
        <f>IFERROR(I21/I5,"")</f>
        <v/>
      </c>
      <c r="J41" s="21">
        <f>IFERROR(J21/J5,"")</f>
        <v/>
      </c>
      <c r="K41" s="21">
        <f>IFERROR(K21/K5,"")</f>
        <v/>
      </c>
      <c r="L41" s="21">
        <f>IFERROR(L21/L5,"")</f>
        <v/>
      </c>
      <c r="M41" s="22">
        <f>IFERROR(M21/M5,"")</f>
        <v/>
      </c>
      <c r="N41" s="21">
        <f>IFERROR(N21/N5,"")</f>
        <v/>
      </c>
      <c r="O41" s="23">
        <f>IFERROR(O21/O5,"")</f>
        <v/>
      </c>
      <c r="P41" s="32">
        <f>IFERROR(P21/P5,"")</f>
        <v/>
      </c>
      <c r="Q41" s="32">
        <f>IFERROR(Q21/Q5,"")</f>
        <v/>
      </c>
      <c r="R41" s="25">
        <f>IFERROR(R21/R5,"")</f>
        <v/>
      </c>
      <c r="S41" s="32">
        <f>IFERROR(S21/S5,"")</f>
        <v/>
      </c>
      <c r="T41" s="32">
        <f>IFERROR(T21/T5,"")</f>
        <v/>
      </c>
      <c r="U41" s="32">
        <f>IFERROR(U21/U5,"")</f>
        <v/>
      </c>
      <c r="V41" s="32">
        <f>IFERROR(V21/V5,"")</f>
        <v/>
      </c>
      <c r="W41" s="25">
        <f>IFERROR(W21/W5,"")</f>
        <v/>
      </c>
      <c r="X41" s="32">
        <f>IFERROR(X21/X5,"")</f>
        <v/>
      </c>
      <c r="Y41" s="32">
        <f>IFERROR(Y21/Y5,"")</f>
        <v/>
      </c>
      <c r="Z41" s="32">
        <f>IFERROR(Z21/Z5,"")</f>
        <v/>
      </c>
      <c r="AA41" s="32">
        <f>IFERROR(AA21/AA5,"")</f>
        <v/>
      </c>
      <c r="AB41" s="25">
        <f>IFERROR(AB21/AB5,"")</f>
        <v/>
      </c>
    </row>
    <row r="42">
      <c r="A42" s="12" t="inlineStr">
        <is>
          <t>매출원가율</t>
        </is>
      </c>
      <c r="C42" t="inlineStr">
        <is>
          <t>%</t>
        </is>
      </c>
      <c r="D42" t="inlineStr">
        <is>
          <t>매출원가 / 매출액</t>
        </is>
      </c>
      <c r="E42" s="21">
        <f>IFERROR(E6/E5,"")</f>
        <v/>
      </c>
      <c r="F42" s="21">
        <f>IFERROR(F6/F5,"")</f>
        <v/>
      </c>
      <c r="G42" s="21">
        <f>IFERROR(G6/G5,"")</f>
        <v/>
      </c>
      <c r="H42" s="22">
        <f>IFERROR(H6/H5,"")</f>
        <v/>
      </c>
      <c r="I42" s="21">
        <f>IFERROR(I6/I5,"")</f>
        <v/>
      </c>
      <c r="J42" s="21">
        <f>IFERROR(J6/J5,"")</f>
        <v/>
      </c>
      <c r="K42" s="21">
        <f>IFERROR(K6/K5,"")</f>
        <v/>
      </c>
      <c r="L42" s="21">
        <f>IFERROR(L6/L5,"")</f>
        <v/>
      </c>
      <c r="M42" s="22">
        <f>IFERROR(M6/M5,"")</f>
        <v/>
      </c>
      <c r="N42" s="21">
        <f>IFERROR(N6/N5,"")</f>
        <v/>
      </c>
      <c r="O42" s="23">
        <f>IFERROR(O6/O5,"")</f>
        <v/>
      </c>
      <c r="P42" s="32">
        <f>IFERROR(P6/P5,"")</f>
        <v/>
      </c>
      <c r="Q42" s="32">
        <f>IFERROR(Q6/Q5,"")</f>
        <v/>
      </c>
      <c r="R42" s="25">
        <f>IFERROR(R6/R5,"")</f>
        <v/>
      </c>
      <c r="S42" s="32">
        <f>IFERROR(S6/S5,"")</f>
        <v/>
      </c>
      <c r="T42" s="32">
        <f>IFERROR(T6/T5,"")</f>
        <v/>
      </c>
      <c r="U42" s="32">
        <f>IFERROR(U6/U5,"")</f>
        <v/>
      </c>
      <c r="V42" s="32">
        <f>IFERROR(V6/V5,"")</f>
        <v/>
      </c>
      <c r="W42" s="25">
        <f>IFERROR(W6/W5,"")</f>
        <v/>
      </c>
      <c r="X42" s="32">
        <f>IFERROR(X6/X5,"")</f>
        <v/>
      </c>
      <c r="Y42" s="32">
        <f>IFERROR(Y6/Y5,"")</f>
        <v/>
      </c>
      <c r="Z42" s="32">
        <f>IFERROR(Z6/Z5,"")</f>
        <v/>
      </c>
      <c r="AA42" s="32">
        <f>IFERROR(AA6/AA5,"")</f>
        <v/>
      </c>
      <c r="AB42" s="25">
        <f>IFERROR(AB6/AB5,"")</f>
        <v/>
      </c>
    </row>
    <row r="43">
      <c r="A43" s="12" t="inlineStr">
        <is>
          <t>판관비율</t>
        </is>
      </c>
      <c r="C43" t="inlineStr">
        <is>
          <t>%</t>
        </is>
      </c>
      <c r="D43" t="inlineStr">
        <is>
          <t>판관비 / 매출액</t>
        </is>
      </c>
      <c r="E43" s="21">
        <f>IFERROR(E8/E5,"")</f>
        <v/>
      </c>
      <c r="F43" s="21">
        <f>IFERROR(F8/F5,"")</f>
        <v/>
      </c>
      <c r="G43" s="21">
        <f>IFERROR(G8/G5,"")</f>
        <v/>
      </c>
      <c r="H43" s="22">
        <f>IFERROR(H8/H5,"")</f>
        <v/>
      </c>
      <c r="I43" s="21">
        <f>IFERROR(I8/I5,"")</f>
        <v/>
      </c>
      <c r="J43" s="21">
        <f>IFERROR(J8/J5,"")</f>
        <v/>
      </c>
      <c r="K43" s="21">
        <f>IFERROR(K8/K5,"")</f>
        <v/>
      </c>
      <c r="L43" s="21">
        <f>IFERROR(L8/L5,"")</f>
        <v/>
      </c>
      <c r="M43" s="22">
        <f>IFERROR(M8/M5,"")</f>
        <v/>
      </c>
      <c r="N43" s="21">
        <f>IFERROR(N8/N5,"")</f>
        <v/>
      </c>
      <c r="O43" s="23">
        <f>IFERROR(O8/O5,"")</f>
        <v/>
      </c>
      <c r="P43" s="32">
        <f>IFERROR(P8/P5,"")</f>
        <v/>
      </c>
      <c r="Q43" s="32">
        <f>IFERROR(Q8/Q5,"")</f>
        <v/>
      </c>
      <c r="R43" s="25">
        <f>IFERROR(R8/R5,"")</f>
        <v/>
      </c>
      <c r="S43" s="32">
        <f>IFERROR(S8/S5,"")</f>
        <v/>
      </c>
      <c r="T43" s="32">
        <f>IFERROR(T8/T5,"")</f>
        <v/>
      </c>
      <c r="U43" s="32">
        <f>IFERROR(U8/U5,"")</f>
        <v/>
      </c>
      <c r="V43" s="32">
        <f>IFERROR(V8/V5,"")</f>
        <v/>
      </c>
      <c r="W43" s="25">
        <f>IFERROR(W8/W5,"")</f>
        <v/>
      </c>
      <c r="X43" s="32">
        <f>IFERROR(X8/X5,"")</f>
        <v/>
      </c>
      <c r="Y43" s="32">
        <f>IFERROR(Y8/Y5,"")</f>
        <v/>
      </c>
      <c r="Z43" s="32">
        <f>IFERROR(Z8/Z5,"")</f>
        <v/>
      </c>
      <c r="AA43" s="32">
        <f>IFERROR(AA8/AA5,"")</f>
        <v/>
      </c>
      <c r="AB43" s="25">
        <f>IFERROR(AB8/AB5,"")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C1" s="2" t="inlineStr">
        <is>
          <t>이름: 분기H — subQ 를 이름으로 VLOOKUP(억원)</t>
        </is>
      </c>
      <c r="E1" s="3" t="inlineStr">
        <is>
          <t>2Q24</t>
        </is>
      </c>
      <c r="F1" s="3" t="inlineStr">
        <is>
          <t>3Q24</t>
        </is>
      </c>
      <c r="G1" s="3" t="inlineStr">
        <is>
          <t>4Q24</t>
        </is>
      </c>
      <c r="H1" s="3" t="inlineStr">
        <is>
          <t>1Q25</t>
        </is>
      </c>
      <c r="I1" s="3" t="inlineStr">
        <is>
          <t>2Q25</t>
        </is>
      </c>
      <c r="J1" s="3" t="inlineStr">
        <is>
          <t>3Q25</t>
        </is>
      </c>
      <c r="K1" s="3" t="inlineStr">
        <is>
          <t>4Q25</t>
        </is>
      </c>
      <c r="L1" s="3" t="inlineStr">
        <is>
          <t>1Q26</t>
        </is>
      </c>
      <c r="M1" s="41" t="inlineStr">
        <is>
          <t>2Q26</t>
        </is>
      </c>
      <c r="N1" s="3" t="inlineStr">
        <is>
          <t>3Q26</t>
        </is>
      </c>
      <c r="O1" s="3" t="inlineStr">
        <is>
          <t>4Q26</t>
        </is>
      </c>
      <c r="P1" s="3" t="inlineStr">
        <is>
          <t>1Q27</t>
        </is>
      </c>
      <c r="Q1" s="3" t="inlineStr">
        <is>
          <t>2Q27</t>
        </is>
      </c>
      <c r="R1" s="3" t="inlineStr">
        <is>
          <t>3Q27</t>
        </is>
      </c>
      <c r="S1" s="3" t="inlineStr">
        <is>
          <t>4Q27</t>
        </is>
      </c>
      <c r="T1" s="3" t="inlineStr">
        <is>
          <t>1Q28</t>
        </is>
      </c>
      <c r="U1" s="3" t="inlineStr">
        <is>
          <t>2Q28</t>
        </is>
      </c>
      <c r="V1" s="3" t="inlineStr">
        <is>
          <t>3Q28</t>
        </is>
      </c>
      <c r="W1" s="3" t="inlineStr">
        <is>
          <t>4Q28</t>
        </is>
      </c>
    </row>
    <row r="2">
      <c r="C2" t="inlineStr">
        <is>
          <t>종가:</t>
        </is>
      </c>
      <c r="D2" s="18">
        <f>변수!D44</f>
        <v/>
      </c>
      <c r="M2" s="42" t="n"/>
    </row>
    <row r="3">
      <c r="C3" t="inlineStr">
        <is>
          <t>기준일:</t>
        </is>
      </c>
      <c r="D3" t="inlineStr">
        <is>
          <t>20261013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43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</row>
    <row r="4">
      <c r="E4" s="7" t="inlineStr">
        <is>
          <t>2024.06</t>
        </is>
      </c>
      <c r="F4" s="7" t="inlineStr">
        <is>
          <t>2024.09</t>
        </is>
      </c>
      <c r="G4" s="7" t="inlineStr">
        <is>
          <t>2024.12</t>
        </is>
      </c>
      <c r="H4" s="7" t="inlineStr">
        <is>
          <t>2025.03</t>
        </is>
      </c>
      <c r="I4" s="7" t="inlineStr">
        <is>
          <t>2025.06</t>
        </is>
      </c>
      <c r="J4" s="7" t="inlineStr">
        <is>
          <t>2025.09</t>
        </is>
      </c>
      <c r="K4" s="7" t="inlineStr">
        <is>
          <t>2025.12</t>
        </is>
      </c>
      <c r="L4" s="7" t="inlineStr">
        <is>
          <t>2026.03</t>
        </is>
      </c>
      <c r="M4" s="44" t="inlineStr">
        <is>
          <t>2026.06</t>
        </is>
      </c>
      <c r="N4" s="7" t="inlineStr">
        <is>
          <t>2026.09</t>
        </is>
      </c>
      <c r="O4" s="7" t="inlineStr">
        <is>
          <t>2026.12</t>
        </is>
      </c>
      <c r="P4" s="7" t="inlineStr">
        <is>
          <t>2027.03</t>
        </is>
      </c>
      <c r="Q4" s="7" t="inlineStr">
        <is>
          <t>2027.06</t>
        </is>
      </c>
      <c r="R4" s="7" t="inlineStr">
        <is>
          <t>2027.09</t>
        </is>
      </c>
      <c r="S4" s="7" t="inlineStr">
        <is>
          <t>2027.12</t>
        </is>
      </c>
      <c r="T4" s="7" t="inlineStr">
        <is>
          <t>2028.03</t>
        </is>
      </c>
      <c r="U4" s="7" t="inlineStr">
        <is>
          <t>2028.06</t>
        </is>
      </c>
      <c r="V4" s="7" t="inlineStr">
        <is>
          <t>2028.09</t>
        </is>
      </c>
      <c r="W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45">
        <f>IFERROR(VLOOKUP($A5,subQ,MATCH(M$1,SUBQH,0),0),"")</f>
        <v/>
      </c>
      <c r="N5" s="20">
        <f>IFERROR(VLOOKUP($A5,subQ,MATCH(N$1,SUBQH,0),0),"")</f>
        <v/>
      </c>
      <c r="O5" s="20">
        <f>IFERROR(VLOOKUP($A5,subQ,MATCH(O$1,SUBQH,0),0),"")</f>
        <v/>
      </c>
      <c r="P5" s="20">
        <f>IFERROR(VLOOKUP($A5,subQ,MATCH(P$1,SUBQH,0),0),"")</f>
        <v/>
      </c>
      <c r="Q5" s="20">
        <f>IFERROR(VLOOKUP($A5,subQ,MATCH(Q$1,SUBQH,0),0),"")</f>
        <v/>
      </c>
      <c r="R5" s="20">
        <f>IFERROR(VLOOKUP($A5,subQ,MATCH(R$1,SUBQH,0),0),"")</f>
        <v/>
      </c>
      <c r="S5" s="20">
        <f>IFERROR(VLOOKUP($A5,subQ,MATCH(S$1,SUBQH,0),0),"")</f>
        <v/>
      </c>
      <c r="T5" s="20">
        <f>IFERROR(VLOOKUP($A5,subQ,MATCH(T$1,SUBQH,0),0),"")</f>
        <v/>
      </c>
      <c r="U5" s="20">
        <f>IFERROR(VLOOKUP($A5,subQ,MATCH(U$1,SUBQH,0),0),"")</f>
        <v/>
      </c>
      <c r="V5" s="20">
        <f>IFERROR(VLOOKUP($A5,subQ,MATCH(V$1,SUBQH,0),0),"")</f>
        <v/>
      </c>
      <c r="W5" s="20">
        <f>IFERROR(VLOOKUP($A5,subQ,MATCH(W$1,SUBQH,0),0),"")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45">
        <f>IFERROR(VLOOKUP($A6,subQ,MATCH(M$1,SUBQH,0),0),"")</f>
        <v/>
      </c>
      <c r="N6" s="20">
        <f>IFERROR(VLOOKUP($A6,subQ,MATCH(N$1,SUBQH,0),0),"")</f>
        <v/>
      </c>
      <c r="O6" s="20">
        <f>IFERROR(VLOOKUP($A6,subQ,MATCH(O$1,SUBQH,0),0),"")</f>
        <v/>
      </c>
      <c r="P6" s="20">
        <f>IFERROR(VLOOKUP($A6,subQ,MATCH(P$1,SUBQH,0),0),"")</f>
        <v/>
      </c>
      <c r="Q6" s="20">
        <f>IFERROR(VLOOKUP($A6,subQ,MATCH(Q$1,SUBQH,0),0),"")</f>
        <v/>
      </c>
      <c r="R6" s="20">
        <f>IFERROR(VLOOKUP($A6,subQ,MATCH(R$1,SUBQH,0),0),"")</f>
        <v/>
      </c>
      <c r="S6" s="20">
        <f>IFERROR(VLOOKUP($A6,subQ,MATCH(S$1,SUBQH,0),0),"")</f>
        <v/>
      </c>
      <c r="T6" s="20">
        <f>IFERROR(VLOOKUP($A6,subQ,MATCH(T$1,SUBQH,0),0),"")</f>
        <v/>
      </c>
      <c r="U6" s="20">
        <f>IFERROR(VLOOKUP($A6,subQ,MATCH(U$1,SUBQH,0),0),"")</f>
        <v/>
      </c>
      <c r="V6" s="20">
        <f>IFERROR(VLOOKUP($A6,subQ,MATCH(V$1,SUBQH,0),0),"")</f>
        <v/>
      </c>
      <c r="W6" s="20">
        <f>IFERROR(VLOOKUP($A6,subQ,MATCH(W$1,SUBQH,0),0),"")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45">
        <f>IFERROR(VLOOKUP($A7,subQ,MATCH(M$1,SUBQH,0),0),"")</f>
        <v/>
      </c>
      <c r="N7" s="20">
        <f>IFERROR(VLOOKUP($A7,subQ,MATCH(N$1,SUBQH,0),0),"")</f>
        <v/>
      </c>
      <c r="O7" s="20">
        <f>IFERROR(VLOOKUP($A7,subQ,MATCH(O$1,SUBQH,0),0),"")</f>
        <v/>
      </c>
      <c r="P7" s="20">
        <f>IFERROR(VLOOKUP($A7,subQ,MATCH(P$1,SUBQH,0),0),"")</f>
        <v/>
      </c>
      <c r="Q7" s="20">
        <f>IFERROR(VLOOKUP($A7,subQ,MATCH(Q$1,SUBQH,0),0),"")</f>
        <v/>
      </c>
      <c r="R7" s="20">
        <f>IFERROR(VLOOKUP($A7,subQ,MATCH(R$1,SUBQH,0),0),"")</f>
        <v/>
      </c>
      <c r="S7" s="20">
        <f>IFERROR(VLOOKUP($A7,subQ,MATCH(S$1,SUBQH,0),0),"")</f>
        <v/>
      </c>
      <c r="T7" s="20">
        <f>IFERROR(VLOOKUP($A7,subQ,MATCH(T$1,SUBQH,0),0),"")</f>
        <v/>
      </c>
      <c r="U7" s="20">
        <f>IFERROR(VLOOKUP($A7,subQ,MATCH(U$1,SUBQH,0),0),"")</f>
        <v/>
      </c>
      <c r="V7" s="20">
        <f>IFERROR(VLOOKUP($A7,subQ,MATCH(V$1,SUBQH,0),0),"")</f>
        <v/>
      </c>
      <c r="W7" s="20">
        <f>IFERROR(VLOOKUP($A7,subQ,MATCH(W$1,SUBQH,0),0),"")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45">
        <f>IFERROR(VLOOKUP($A8,subQ,MATCH(M$1,SUBQH,0),0),"")</f>
        <v/>
      </c>
      <c r="N8" s="20">
        <f>IFERROR(VLOOKUP($A8,subQ,MATCH(N$1,SUBQH,0),0),"")</f>
        <v/>
      </c>
      <c r="O8" s="20">
        <f>IFERROR(VLOOKUP($A8,subQ,MATCH(O$1,SUBQH,0),0),"")</f>
        <v/>
      </c>
      <c r="P8" s="20">
        <f>IFERROR(VLOOKUP($A8,subQ,MATCH(P$1,SUBQH,0),0),"")</f>
        <v/>
      </c>
      <c r="Q8" s="20">
        <f>IFERROR(VLOOKUP($A8,subQ,MATCH(Q$1,SUBQH,0),0),"")</f>
        <v/>
      </c>
      <c r="R8" s="20">
        <f>IFERROR(VLOOKUP($A8,subQ,MATCH(R$1,SUBQH,0),0),"")</f>
        <v/>
      </c>
      <c r="S8" s="20">
        <f>IFERROR(VLOOKUP($A8,subQ,MATCH(S$1,SUBQH,0),0),"")</f>
        <v/>
      </c>
      <c r="T8" s="20">
        <f>IFERROR(VLOOKUP($A8,subQ,MATCH(T$1,SUBQH,0),0),"")</f>
        <v/>
      </c>
      <c r="U8" s="20">
        <f>IFERROR(VLOOKUP($A8,subQ,MATCH(U$1,SUBQH,0),0),"")</f>
        <v/>
      </c>
      <c r="V8" s="20">
        <f>IFERROR(VLOOKUP($A8,subQ,MATCH(V$1,SUBQH,0),0),"")</f>
        <v/>
      </c>
      <c r="W8" s="20">
        <f>IFERROR(VLOOKUP($A8,subQ,MATCH(W$1,SUBQH,0),0),"")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45">
        <f>IFERROR(VLOOKUP($A9,subQ,MATCH(M$1,SUBQH,0),0),"")</f>
        <v/>
      </c>
      <c r="N9" s="20">
        <f>IFERROR(VLOOKUP($A9,subQ,MATCH(N$1,SUBQH,0),0),"")</f>
        <v/>
      </c>
      <c r="O9" s="20">
        <f>IFERROR(VLOOKUP($A9,subQ,MATCH(O$1,SUBQH,0),0),"")</f>
        <v/>
      </c>
      <c r="P9" s="20">
        <f>IFERROR(VLOOKUP($A9,subQ,MATCH(P$1,SUBQH,0),0),"")</f>
        <v/>
      </c>
      <c r="Q9" s="20">
        <f>IFERROR(VLOOKUP($A9,subQ,MATCH(Q$1,SUBQH,0),0),"")</f>
        <v/>
      </c>
      <c r="R9" s="20">
        <f>IFERROR(VLOOKUP($A9,subQ,MATCH(R$1,SUBQH,0),0),"")</f>
        <v/>
      </c>
      <c r="S9" s="20">
        <f>IFERROR(VLOOKUP($A9,subQ,MATCH(S$1,SUBQH,0),0),"")</f>
        <v/>
      </c>
      <c r="T9" s="20">
        <f>IFERROR(VLOOKUP($A9,subQ,MATCH(T$1,SUBQH,0),0),"")</f>
        <v/>
      </c>
      <c r="U9" s="20">
        <f>IFERROR(VLOOKUP($A9,subQ,MATCH(U$1,SUBQH,0),0),"")</f>
        <v/>
      </c>
      <c r="V9" s="20">
        <f>IFERROR(VLOOKUP($A9,subQ,MATCH(V$1,SUBQH,0),0),"")</f>
        <v/>
      </c>
      <c r="W9" s="20">
        <f>IFERROR(VLOOKUP($A9,subQ,MATCH(W$1,SUBQH,0),0),"")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46">
        <f>IFERROR(VLOOKUP($A10,subQ,MATCH(M$1,SUBQH,0),0),"")</f>
        <v/>
      </c>
      <c r="N10" s="32">
        <f>IFERROR(VLOOKUP($A10,subQ,MATCH(N$1,SUBQH,0),0),"")</f>
        <v/>
      </c>
      <c r="O10" s="32">
        <f>IFERROR(VLOOKUP($A10,subQ,MATCH(O$1,SUBQH,0),0),"")</f>
        <v/>
      </c>
      <c r="P10" s="32">
        <f>IFERROR(VLOOKUP($A10,subQ,MATCH(P$1,SUBQH,0),0),"")</f>
        <v/>
      </c>
      <c r="Q10" s="32">
        <f>IFERROR(VLOOKUP($A10,subQ,MATCH(Q$1,SUBQH,0),0),"")</f>
        <v/>
      </c>
      <c r="R10" s="32">
        <f>IFERROR(VLOOKUP($A10,subQ,MATCH(R$1,SUBQH,0),0),"")</f>
        <v/>
      </c>
      <c r="S10" s="32">
        <f>IFERROR(VLOOKUP($A10,subQ,MATCH(S$1,SUBQH,0),0),"")</f>
        <v/>
      </c>
      <c r="T10" s="32">
        <f>IFERROR(VLOOKUP($A10,subQ,MATCH(T$1,SUBQH,0),0),"")</f>
        <v/>
      </c>
      <c r="U10" s="32">
        <f>IFERROR(VLOOKUP($A10,subQ,MATCH(U$1,SUBQH,0),0),"")</f>
        <v/>
      </c>
      <c r="V10" s="32">
        <f>IFERROR(VLOOKUP($A10,subQ,MATCH(V$1,SUBQH,0),0),"")</f>
        <v/>
      </c>
      <c r="W10" s="32">
        <f>IFERROR(VLOOKUP($A10,subQ,MATCH(W$1,SUBQH,0),0),"")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45">
        <f>IFERROR(VLOOKUP($A11,subQ,MATCH(M$1,SUBQH,0),0),"")</f>
        <v/>
      </c>
      <c r="N11" s="20">
        <f>IFERROR(VLOOKUP($A11,subQ,MATCH(N$1,SUBQH,0),0),"")</f>
        <v/>
      </c>
      <c r="O11" s="20">
        <f>IFERROR(VLOOKUP($A11,subQ,MATCH(O$1,SUBQH,0),0),"")</f>
        <v/>
      </c>
      <c r="P11" s="20">
        <f>IFERROR(VLOOKUP($A11,subQ,MATCH(P$1,SUBQH,0),0),"")</f>
        <v/>
      </c>
      <c r="Q11" s="20">
        <f>IFERROR(VLOOKUP($A11,subQ,MATCH(Q$1,SUBQH,0),0),"")</f>
        <v/>
      </c>
      <c r="R11" s="20">
        <f>IFERROR(VLOOKUP($A11,subQ,MATCH(R$1,SUBQH,0),0),"")</f>
        <v/>
      </c>
      <c r="S11" s="20">
        <f>IFERROR(VLOOKUP($A11,subQ,MATCH(S$1,SUBQH,0),0),"")</f>
        <v/>
      </c>
      <c r="T11" s="20">
        <f>IFERROR(VLOOKUP($A11,subQ,MATCH(T$1,SUBQH,0),0),"")</f>
        <v/>
      </c>
      <c r="U11" s="20">
        <f>IFERROR(VLOOKUP($A11,subQ,MATCH(U$1,SUBQH,0),0),"")</f>
        <v/>
      </c>
      <c r="V11" s="20">
        <f>IFERROR(VLOOKUP($A11,subQ,MATCH(V$1,SUBQH,0),0),"")</f>
        <v/>
      </c>
      <c r="W11" s="20">
        <f>IFERROR(VLOOKUP($A11,subQ,MATCH(W$1,SUBQH,0),0),"")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45">
        <f>IFERROR(VLOOKUP($A12,subQ,MATCH(M$1,SUBQH,0),0),"")</f>
        <v/>
      </c>
      <c r="N12" s="20">
        <f>IFERROR(VLOOKUP($A12,subQ,MATCH(N$1,SUBQH,0),0),"")</f>
        <v/>
      </c>
      <c r="O12" s="20">
        <f>IFERROR(VLOOKUP($A12,subQ,MATCH(O$1,SUBQH,0),0),"")</f>
        <v/>
      </c>
      <c r="P12" s="20">
        <f>IFERROR(VLOOKUP($A12,subQ,MATCH(P$1,SUBQH,0),0),"")</f>
        <v/>
      </c>
      <c r="Q12" s="20">
        <f>IFERROR(VLOOKUP($A12,subQ,MATCH(Q$1,SUBQH,0),0),"")</f>
        <v/>
      </c>
      <c r="R12" s="20">
        <f>IFERROR(VLOOKUP($A12,subQ,MATCH(R$1,SUBQH,0),0),"")</f>
        <v/>
      </c>
      <c r="S12" s="20">
        <f>IFERROR(VLOOKUP($A12,subQ,MATCH(S$1,SUBQH,0),0),"")</f>
        <v/>
      </c>
      <c r="T12" s="20">
        <f>IFERROR(VLOOKUP($A12,subQ,MATCH(T$1,SUBQH,0),0),"")</f>
        <v/>
      </c>
      <c r="U12" s="20">
        <f>IFERROR(VLOOKUP($A12,subQ,MATCH(U$1,SUBQH,0),0),"")</f>
        <v/>
      </c>
      <c r="V12" s="20">
        <f>IFERROR(VLOOKUP($A12,subQ,MATCH(V$1,SUBQH,0),0),"")</f>
        <v/>
      </c>
      <c r="W12" s="20">
        <f>IFERROR(VLOOKUP($A12,subQ,MATCH(W$1,SUBQH,0),0),"")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45">
        <f>IFERROR(VLOOKUP($A13,subQ,MATCH(M$1,SUBQH,0),0),"")</f>
        <v/>
      </c>
      <c r="N13" s="20">
        <f>IFERROR(VLOOKUP($A13,subQ,MATCH(N$1,SUBQH,0),0),"")</f>
        <v/>
      </c>
      <c r="O13" s="20">
        <f>IFERROR(VLOOKUP($A13,subQ,MATCH(O$1,SUBQH,0),0),"")</f>
        <v/>
      </c>
      <c r="P13" s="20">
        <f>IFERROR(VLOOKUP($A13,subQ,MATCH(P$1,SUBQH,0),0),"")</f>
        <v/>
      </c>
      <c r="Q13" s="20">
        <f>IFERROR(VLOOKUP($A13,subQ,MATCH(Q$1,SUBQH,0),0),"")</f>
        <v/>
      </c>
      <c r="R13" s="20">
        <f>IFERROR(VLOOKUP($A13,subQ,MATCH(R$1,SUBQH,0),0),"")</f>
        <v/>
      </c>
      <c r="S13" s="20">
        <f>IFERROR(VLOOKUP($A13,subQ,MATCH(S$1,SUBQH,0),0),"")</f>
        <v/>
      </c>
      <c r="T13" s="20">
        <f>IFERROR(VLOOKUP($A13,subQ,MATCH(T$1,SUBQH,0),0),"")</f>
        <v/>
      </c>
      <c r="U13" s="20">
        <f>IFERROR(VLOOKUP($A13,subQ,MATCH(U$1,SUBQH,0),0),"")</f>
        <v/>
      </c>
      <c r="V13" s="20">
        <f>IFERROR(VLOOKUP($A13,subQ,MATCH(V$1,SUBQH,0),0),"")</f>
        <v/>
      </c>
      <c r="W13" s="20">
        <f>IFERROR(VLOOKUP($A13,subQ,MATCH(W$1,SUBQH,0),0),"")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45">
        <f>IFERROR(VLOOKUP($A14,subQ,MATCH(M$1,SUBQH,0),0),"")</f>
        <v/>
      </c>
      <c r="N14" s="20">
        <f>IFERROR(VLOOKUP($A14,subQ,MATCH(N$1,SUBQH,0),0),"")</f>
        <v/>
      </c>
      <c r="O14" s="20">
        <f>IFERROR(VLOOKUP($A14,subQ,MATCH(O$1,SUBQH,0),0),"")</f>
        <v/>
      </c>
      <c r="P14" s="20">
        <f>IFERROR(VLOOKUP($A14,subQ,MATCH(P$1,SUBQH,0),0),"")</f>
        <v/>
      </c>
      <c r="Q14" s="20">
        <f>IFERROR(VLOOKUP($A14,subQ,MATCH(Q$1,SUBQH,0),0),"")</f>
        <v/>
      </c>
      <c r="R14" s="20">
        <f>IFERROR(VLOOKUP($A14,subQ,MATCH(R$1,SUBQH,0),0),"")</f>
        <v/>
      </c>
      <c r="S14" s="20">
        <f>IFERROR(VLOOKUP($A14,subQ,MATCH(S$1,SUBQH,0),0),"")</f>
        <v/>
      </c>
      <c r="T14" s="20">
        <f>IFERROR(VLOOKUP($A14,subQ,MATCH(T$1,SUBQH,0),0),"")</f>
        <v/>
      </c>
      <c r="U14" s="20">
        <f>IFERROR(VLOOKUP($A14,subQ,MATCH(U$1,SUBQH,0),0),"")</f>
        <v/>
      </c>
      <c r="V14" s="20">
        <f>IFERROR(VLOOKUP($A14,subQ,MATCH(V$1,SUBQH,0),0),"")</f>
        <v/>
      </c>
      <c r="W14" s="20">
        <f>IFERROR(VLOOKUP($A14,subQ,MATCH(W$1,SUBQH,0),0),"")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45">
        <f>IFERROR(VLOOKUP($A15,subQ,MATCH(M$1,SUBQH,0),0),"")</f>
        <v/>
      </c>
      <c r="N15" s="20">
        <f>IFERROR(VLOOKUP($A15,subQ,MATCH(N$1,SUBQH,0),0),"")</f>
        <v/>
      </c>
      <c r="O15" s="20">
        <f>IFERROR(VLOOKUP($A15,subQ,MATCH(O$1,SUBQH,0),0),"")</f>
        <v/>
      </c>
      <c r="P15" s="20">
        <f>IFERROR(VLOOKUP($A15,subQ,MATCH(P$1,SUBQH,0),0),"")</f>
        <v/>
      </c>
      <c r="Q15" s="20">
        <f>IFERROR(VLOOKUP($A15,subQ,MATCH(Q$1,SUBQH,0),0),"")</f>
        <v/>
      </c>
      <c r="R15" s="20">
        <f>IFERROR(VLOOKUP($A15,subQ,MATCH(R$1,SUBQH,0),0),"")</f>
        <v/>
      </c>
      <c r="S15" s="20">
        <f>IFERROR(VLOOKUP($A15,subQ,MATCH(S$1,SUBQH,0),0),"")</f>
        <v/>
      </c>
      <c r="T15" s="20">
        <f>IFERROR(VLOOKUP($A15,subQ,MATCH(T$1,SUBQH,0),0),"")</f>
        <v/>
      </c>
      <c r="U15" s="20">
        <f>IFERROR(VLOOKUP($A15,subQ,MATCH(U$1,SUBQH,0),0),"")</f>
        <v/>
      </c>
      <c r="V15" s="20">
        <f>IFERROR(VLOOKUP($A15,subQ,MATCH(V$1,SUBQH,0),0),"")</f>
        <v/>
      </c>
      <c r="W15" s="20">
        <f>IFERROR(VLOOKUP($A15,subQ,MATCH(W$1,SUBQH,0),0),"")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45">
        <f>IFERROR(VLOOKUP($A16,subQ,MATCH(M$1,SUBQH,0),0),"")</f>
        <v/>
      </c>
      <c r="N16" s="20">
        <f>IFERROR(VLOOKUP($A16,subQ,MATCH(N$1,SUBQH,0),0),"")</f>
        <v/>
      </c>
      <c r="O16" s="20">
        <f>IFERROR(VLOOKUP($A16,subQ,MATCH(O$1,SUBQH,0),0),"")</f>
        <v/>
      </c>
      <c r="P16" s="20">
        <f>IFERROR(VLOOKUP($A16,subQ,MATCH(P$1,SUBQH,0),0),"")</f>
        <v/>
      </c>
      <c r="Q16" s="20">
        <f>IFERROR(VLOOKUP($A16,subQ,MATCH(Q$1,SUBQH,0),0),"")</f>
        <v/>
      </c>
      <c r="R16" s="20">
        <f>IFERROR(VLOOKUP($A16,subQ,MATCH(R$1,SUBQH,0),0),"")</f>
        <v/>
      </c>
      <c r="S16" s="20">
        <f>IFERROR(VLOOKUP($A16,subQ,MATCH(S$1,SUBQH,0),0),"")</f>
        <v/>
      </c>
      <c r="T16" s="20">
        <f>IFERROR(VLOOKUP($A16,subQ,MATCH(T$1,SUBQH,0),0),"")</f>
        <v/>
      </c>
      <c r="U16" s="20">
        <f>IFERROR(VLOOKUP($A16,subQ,MATCH(U$1,SUBQH,0),0),"")</f>
        <v/>
      </c>
      <c r="V16" s="20">
        <f>IFERROR(VLOOKUP($A16,subQ,MATCH(V$1,SUBQH,0),0),"")</f>
        <v/>
      </c>
      <c r="W16" s="20">
        <f>IFERROR(VLOOKUP($A16,subQ,MATCH(W$1,SUBQH,0),0),"")</f>
        <v/>
      </c>
    </row>
    <row r="17">
      <c r="A17" s="12" t="inlineStr">
        <is>
          <t>지분법손익</t>
        </is>
      </c>
      <c r="D17" t="inlineStr">
        <is>
          <t>지분법손익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45">
        <f>IFERROR(VLOOKUP($A17,subQ,MATCH(M$1,SUBQH,0),0),"")</f>
        <v/>
      </c>
      <c r="N17" s="20">
        <f>IFERROR(VLOOKUP($A17,subQ,MATCH(N$1,SUBQH,0),0),"")</f>
        <v/>
      </c>
      <c r="O17" s="20">
        <f>IFERROR(VLOOKUP($A17,subQ,MATCH(O$1,SUBQH,0),0),"")</f>
        <v/>
      </c>
      <c r="P17" s="20">
        <f>IFERROR(VLOOKUP($A17,subQ,MATCH(P$1,SUBQH,0),0),"")</f>
        <v/>
      </c>
      <c r="Q17" s="20">
        <f>IFERROR(VLOOKUP($A17,subQ,MATCH(Q$1,SUBQH,0),0),"")</f>
        <v/>
      </c>
      <c r="R17" s="20">
        <f>IFERROR(VLOOKUP($A17,subQ,MATCH(R$1,SUBQH,0),0),"")</f>
        <v/>
      </c>
      <c r="S17" s="20">
        <f>IFERROR(VLOOKUP($A17,subQ,MATCH(S$1,SUBQH,0),0),"")</f>
        <v/>
      </c>
      <c r="T17" s="20">
        <f>IFERROR(VLOOKUP($A17,subQ,MATCH(T$1,SUBQH,0),0),"")</f>
        <v/>
      </c>
      <c r="U17" s="20">
        <f>IFERROR(VLOOKUP($A17,subQ,MATCH(U$1,SUBQH,0),0),"")</f>
        <v/>
      </c>
      <c r="V17" s="20">
        <f>IFERROR(VLOOKUP($A17,subQ,MATCH(V$1,SUBQH,0),0),"")</f>
        <v/>
      </c>
      <c r="W17" s="20">
        <f>IFERROR(VLOOKUP($A17,subQ,MATCH(W$1,SUBQH,0),0),"")</f>
        <v/>
      </c>
    </row>
    <row r="18">
      <c r="A18" s="12" t="inlineStr">
        <is>
          <t>세전이익</t>
        </is>
      </c>
      <c r="D18" t="inlineStr">
        <is>
          <t>법인세비용차감전이익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45">
        <f>IFERROR(VLOOKUP($A18,subQ,MATCH(M$1,SUBQH,0),0),"")</f>
        <v/>
      </c>
      <c r="N18" s="20">
        <f>IFERROR(VLOOKUP($A18,subQ,MATCH(N$1,SUBQH,0),0),"")</f>
        <v/>
      </c>
      <c r="O18" s="20">
        <f>IFERROR(VLOOKUP($A18,subQ,MATCH(O$1,SUBQH,0),0),"")</f>
        <v/>
      </c>
      <c r="P18" s="20">
        <f>IFERROR(VLOOKUP($A18,subQ,MATCH(P$1,SUBQH,0),0),"")</f>
        <v/>
      </c>
      <c r="Q18" s="20">
        <f>IFERROR(VLOOKUP($A18,subQ,MATCH(Q$1,SUBQH,0),0),"")</f>
        <v/>
      </c>
      <c r="R18" s="20">
        <f>IFERROR(VLOOKUP($A18,subQ,MATCH(R$1,SUBQH,0),0),"")</f>
        <v/>
      </c>
      <c r="S18" s="20">
        <f>IFERROR(VLOOKUP($A18,subQ,MATCH(S$1,SUBQH,0),0),"")</f>
        <v/>
      </c>
      <c r="T18" s="20">
        <f>IFERROR(VLOOKUP($A18,subQ,MATCH(T$1,SUBQH,0),0),"")</f>
        <v/>
      </c>
      <c r="U18" s="20">
        <f>IFERROR(VLOOKUP($A18,subQ,MATCH(U$1,SUBQH,0),0),"")</f>
        <v/>
      </c>
      <c r="V18" s="20">
        <f>IFERROR(VLOOKUP($A18,subQ,MATCH(V$1,SUBQH,0),0),"")</f>
        <v/>
      </c>
      <c r="W18" s="20">
        <f>IFERROR(VLOOKUP($A18,subQ,MATCH(W$1,SUBQH,0),0),"")</f>
        <v/>
      </c>
    </row>
    <row r="19">
      <c r="A19" s="12" t="inlineStr">
        <is>
          <t>법인세비용</t>
        </is>
      </c>
      <c r="D19" t="inlineStr">
        <is>
          <t>법인세비용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45">
        <f>IFERROR(VLOOKUP($A19,subQ,MATCH(M$1,SUBQH,0),0),"")</f>
        <v/>
      </c>
      <c r="N19" s="20">
        <f>IFERROR(VLOOKUP($A19,subQ,MATCH(N$1,SUBQH,0),0),"")</f>
        <v/>
      </c>
      <c r="O19" s="20">
        <f>IFERROR(VLOOKUP($A19,subQ,MATCH(O$1,SUBQH,0),0),"")</f>
        <v/>
      </c>
      <c r="P19" s="20">
        <f>IFERROR(VLOOKUP($A19,subQ,MATCH(P$1,SUBQH,0),0),"")</f>
        <v/>
      </c>
      <c r="Q19" s="20">
        <f>IFERROR(VLOOKUP($A19,subQ,MATCH(Q$1,SUBQH,0),0),"")</f>
        <v/>
      </c>
      <c r="R19" s="20">
        <f>IFERROR(VLOOKUP($A19,subQ,MATCH(R$1,SUBQH,0),0),"")</f>
        <v/>
      </c>
      <c r="S19" s="20">
        <f>IFERROR(VLOOKUP($A19,subQ,MATCH(S$1,SUBQH,0),0),"")</f>
        <v/>
      </c>
      <c r="T19" s="20">
        <f>IFERROR(VLOOKUP($A19,subQ,MATCH(T$1,SUBQH,0),0),"")</f>
        <v/>
      </c>
      <c r="U19" s="20">
        <f>IFERROR(VLOOKUP($A19,subQ,MATCH(U$1,SUBQH,0),0),"")</f>
        <v/>
      </c>
      <c r="V19" s="20">
        <f>IFERROR(VLOOKUP($A19,subQ,MATCH(V$1,SUBQH,0),0),"")</f>
        <v/>
      </c>
      <c r="W19" s="20">
        <f>IFERROR(VLOOKUP($A19,subQ,MATCH(W$1,SUBQH,0),0),"")</f>
        <v/>
      </c>
    </row>
    <row r="20">
      <c r="A20" s="12" t="inlineStr">
        <is>
          <t>당기순이익</t>
        </is>
      </c>
      <c r="D20" t="inlineStr">
        <is>
          <t>당기순이익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45">
        <f>IFERROR(VLOOKUP($A20,subQ,MATCH(M$1,SUBQH,0),0),"")</f>
        <v/>
      </c>
      <c r="N20" s="20">
        <f>IFERROR(VLOOKUP($A20,subQ,MATCH(N$1,SUBQH,0),0),"")</f>
        <v/>
      </c>
      <c r="O20" s="20">
        <f>IFERROR(VLOOKUP($A20,subQ,MATCH(O$1,SUBQH,0),0),"")</f>
        <v/>
      </c>
      <c r="P20" s="20">
        <f>IFERROR(VLOOKUP($A20,subQ,MATCH(P$1,SUBQH,0),0),"")</f>
        <v/>
      </c>
      <c r="Q20" s="20">
        <f>IFERROR(VLOOKUP($A20,subQ,MATCH(Q$1,SUBQH,0),0),"")</f>
        <v/>
      </c>
      <c r="R20" s="20">
        <f>IFERROR(VLOOKUP($A20,subQ,MATCH(R$1,SUBQH,0),0),"")</f>
        <v/>
      </c>
      <c r="S20" s="20">
        <f>IFERROR(VLOOKUP($A20,subQ,MATCH(S$1,SUBQH,0),0),"")</f>
        <v/>
      </c>
      <c r="T20" s="20">
        <f>IFERROR(VLOOKUP($A20,subQ,MATCH(T$1,SUBQH,0),0),"")</f>
        <v/>
      </c>
      <c r="U20" s="20">
        <f>IFERROR(VLOOKUP($A20,subQ,MATCH(U$1,SUBQH,0),0),"")</f>
        <v/>
      </c>
      <c r="V20" s="20">
        <f>IFERROR(VLOOKUP($A20,subQ,MATCH(V$1,SUBQH,0),0),"")</f>
        <v/>
      </c>
      <c r="W20" s="20">
        <f>IFERROR(VLOOKUP($A20,subQ,MATCH(W$1,SUBQH,0),0),"")</f>
        <v/>
      </c>
    </row>
    <row r="21">
      <c r="A21" s="12" t="inlineStr">
        <is>
          <t>지배주주순이익</t>
        </is>
      </c>
      <c r="D21" t="inlineStr">
        <is>
          <t>지배주주순이익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45">
        <f>IFERROR(VLOOKUP($A21,subQ,MATCH(M$1,SUBQH,0),0),"")</f>
        <v/>
      </c>
      <c r="N21" s="20">
        <f>IFERROR(VLOOKUP($A21,subQ,MATCH(N$1,SUBQH,0),0),"")</f>
        <v/>
      </c>
      <c r="O21" s="20">
        <f>IFERROR(VLOOKUP($A21,subQ,MATCH(O$1,SUBQH,0),0),"")</f>
        <v/>
      </c>
      <c r="P21" s="20">
        <f>IFERROR(VLOOKUP($A21,subQ,MATCH(P$1,SUBQH,0),0),"")</f>
        <v/>
      </c>
      <c r="Q21" s="20">
        <f>IFERROR(VLOOKUP($A21,subQ,MATCH(Q$1,SUBQH,0),0),"")</f>
        <v/>
      </c>
      <c r="R21" s="20">
        <f>IFERROR(VLOOKUP($A21,subQ,MATCH(R$1,SUBQH,0),0),"")</f>
        <v/>
      </c>
      <c r="S21" s="20">
        <f>IFERROR(VLOOKUP($A21,subQ,MATCH(S$1,SUBQH,0),0),"")</f>
        <v/>
      </c>
      <c r="T21" s="20">
        <f>IFERROR(VLOOKUP($A21,subQ,MATCH(T$1,SUBQH,0),0),"")</f>
        <v/>
      </c>
      <c r="U21" s="20">
        <f>IFERROR(VLOOKUP($A21,subQ,MATCH(U$1,SUBQH,0),0),"")</f>
        <v/>
      </c>
      <c r="V21" s="20">
        <f>IFERROR(VLOOKUP($A21,subQ,MATCH(V$1,SUBQH,0),0),"")</f>
        <v/>
      </c>
      <c r="W21" s="20">
        <f>IFERROR(VLOOKUP($A21,subQ,MATCH(W$1,SUBQH,0),0),"")</f>
        <v/>
      </c>
    </row>
    <row r="22">
      <c r="A22" s="12" t="inlineStr">
        <is>
          <t>자산총계</t>
        </is>
      </c>
      <c r="D22" t="inlineStr">
        <is>
          <t>자산총계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45">
        <f>IFERROR(VLOOKUP($A22,subQ,MATCH(M$1,SUBQH,0),0),"")</f>
        <v/>
      </c>
      <c r="N22" s="20">
        <f>IFERROR(VLOOKUP($A22,subQ,MATCH(N$1,SUBQH,0),0),"")</f>
        <v/>
      </c>
      <c r="O22" s="20">
        <f>IFERROR(VLOOKUP($A22,subQ,MATCH(O$1,SUBQH,0),0),"")</f>
        <v/>
      </c>
      <c r="P22" s="20">
        <f>IFERROR(VLOOKUP($A22,subQ,MATCH(P$1,SUBQH,0),0),"")</f>
        <v/>
      </c>
      <c r="Q22" s="20">
        <f>IFERROR(VLOOKUP($A22,subQ,MATCH(Q$1,SUBQH,0),0),"")</f>
        <v/>
      </c>
      <c r="R22" s="20">
        <f>IFERROR(VLOOKUP($A22,subQ,MATCH(R$1,SUBQH,0),0),"")</f>
        <v/>
      </c>
      <c r="S22" s="20">
        <f>IFERROR(VLOOKUP($A22,subQ,MATCH(S$1,SUBQH,0),0),"")</f>
        <v/>
      </c>
      <c r="T22" s="20">
        <f>IFERROR(VLOOKUP($A22,subQ,MATCH(T$1,SUBQH,0),0),"")</f>
        <v/>
      </c>
      <c r="U22" s="20">
        <f>IFERROR(VLOOKUP($A22,subQ,MATCH(U$1,SUBQH,0),0),"")</f>
        <v/>
      </c>
      <c r="V22" s="20">
        <f>IFERROR(VLOOKUP($A22,subQ,MATCH(V$1,SUBQH,0),0),"")</f>
        <v/>
      </c>
      <c r="W22" s="20">
        <f>IFERROR(VLOOKUP($A22,subQ,MATCH(W$1,SUBQH,0),0),"")</f>
        <v/>
      </c>
    </row>
    <row r="23">
      <c r="A23" s="12" t="inlineStr">
        <is>
          <t>부채총계</t>
        </is>
      </c>
      <c r="D23" t="inlineStr">
        <is>
          <t>부채총계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45">
        <f>IFERROR(VLOOKUP($A23,subQ,MATCH(M$1,SUBQH,0),0),"")</f>
        <v/>
      </c>
      <c r="N23" s="20">
        <f>IFERROR(VLOOKUP($A23,subQ,MATCH(N$1,SUBQH,0),0),"")</f>
        <v/>
      </c>
      <c r="O23" s="20">
        <f>IFERROR(VLOOKUP($A23,subQ,MATCH(O$1,SUBQH,0),0),"")</f>
        <v/>
      </c>
      <c r="P23" s="20">
        <f>IFERROR(VLOOKUP($A23,subQ,MATCH(P$1,SUBQH,0),0),"")</f>
        <v/>
      </c>
      <c r="Q23" s="20">
        <f>IFERROR(VLOOKUP($A23,subQ,MATCH(Q$1,SUBQH,0),0),"")</f>
        <v/>
      </c>
      <c r="R23" s="20">
        <f>IFERROR(VLOOKUP($A23,subQ,MATCH(R$1,SUBQH,0),0),"")</f>
        <v/>
      </c>
      <c r="S23" s="20">
        <f>IFERROR(VLOOKUP($A23,subQ,MATCH(S$1,SUBQH,0),0),"")</f>
        <v/>
      </c>
      <c r="T23" s="20">
        <f>IFERROR(VLOOKUP($A23,subQ,MATCH(T$1,SUBQH,0),0),"")</f>
        <v/>
      </c>
      <c r="U23" s="20">
        <f>IFERROR(VLOOKUP($A23,subQ,MATCH(U$1,SUBQH,0),0),"")</f>
        <v/>
      </c>
      <c r="V23" s="20">
        <f>IFERROR(VLOOKUP($A23,subQ,MATCH(V$1,SUBQH,0),0),"")</f>
        <v/>
      </c>
      <c r="W23" s="20">
        <f>IFERROR(VLOOKUP($A23,subQ,MATCH(W$1,SUBQH,0),0),"")</f>
        <v/>
      </c>
    </row>
    <row r="24">
      <c r="A24" s="12" t="inlineStr">
        <is>
          <t>자본총계</t>
        </is>
      </c>
      <c r="D24" t="inlineStr">
        <is>
          <t>자본총계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45">
        <f>IFERROR(VLOOKUP($A24,subQ,MATCH(M$1,SUBQH,0),0),"")</f>
        <v/>
      </c>
      <c r="N24" s="20">
        <f>IFERROR(VLOOKUP($A24,subQ,MATCH(N$1,SUBQH,0),0),"")</f>
        <v/>
      </c>
      <c r="O24" s="20">
        <f>IFERROR(VLOOKUP($A24,subQ,MATCH(O$1,SUBQH,0),0),"")</f>
        <v/>
      </c>
      <c r="P24" s="20">
        <f>IFERROR(VLOOKUP($A24,subQ,MATCH(P$1,SUBQH,0),0),"")</f>
        <v/>
      </c>
      <c r="Q24" s="20">
        <f>IFERROR(VLOOKUP($A24,subQ,MATCH(Q$1,SUBQH,0),0),"")</f>
        <v/>
      </c>
      <c r="R24" s="20">
        <f>IFERROR(VLOOKUP($A24,subQ,MATCH(R$1,SUBQH,0),0),"")</f>
        <v/>
      </c>
      <c r="S24" s="20">
        <f>IFERROR(VLOOKUP($A24,subQ,MATCH(S$1,SUBQH,0),0),"")</f>
        <v/>
      </c>
      <c r="T24" s="20">
        <f>IFERROR(VLOOKUP($A24,subQ,MATCH(T$1,SUBQH,0),0),"")</f>
        <v/>
      </c>
      <c r="U24" s="20">
        <f>IFERROR(VLOOKUP($A24,subQ,MATCH(U$1,SUBQH,0),0),"")</f>
        <v/>
      </c>
      <c r="V24" s="20">
        <f>IFERROR(VLOOKUP($A24,subQ,MATCH(V$1,SUBQH,0),0),"")</f>
        <v/>
      </c>
      <c r="W24" s="20">
        <f>IFERROR(VLOOKUP($A24,subQ,MATCH(W$1,SUBQH,0),0),"")</f>
        <v/>
      </c>
    </row>
    <row r="25">
      <c r="A25" s="12" t="inlineStr">
        <is>
          <t>지배주주지분</t>
        </is>
      </c>
      <c r="D25" t="inlineStr">
        <is>
          <t>지배주주지분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45">
        <f>IFERROR(VLOOKUP($A25,subQ,MATCH(M$1,SUBQH,0),0),"")</f>
        <v/>
      </c>
      <c r="N25" s="20">
        <f>IFERROR(VLOOKUP($A25,subQ,MATCH(N$1,SUBQH,0),0),"")</f>
        <v/>
      </c>
      <c r="O25" s="20">
        <f>IFERROR(VLOOKUP($A25,subQ,MATCH(O$1,SUBQH,0),0),"")</f>
        <v/>
      </c>
      <c r="P25" s="20">
        <f>IFERROR(VLOOKUP($A25,subQ,MATCH(P$1,SUBQH,0),0),"")</f>
        <v/>
      </c>
      <c r="Q25" s="20">
        <f>IFERROR(VLOOKUP($A25,subQ,MATCH(Q$1,SUBQH,0),0),"")</f>
        <v/>
      </c>
      <c r="R25" s="20">
        <f>IFERROR(VLOOKUP($A25,subQ,MATCH(R$1,SUBQH,0),0),"")</f>
        <v/>
      </c>
      <c r="S25" s="20">
        <f>IFERROR(VLOOKUP($A25,subQ,MATCH(S$1,SUBQH,0),0),"")</f>
        <v/>
      </c>
      <c r="T25" s="20">
        <f>IFERROR(VLOOKUP($A25,subQ,MATCH(T$1,SUBQH,0),0),"")</f>
        <v/>
      </c>
      <c r="U25" s="20">
        <f>IFERROR(VLOOKUP($A25,subQ,MATCH(U$1,SUBQH,0),0),"")</f>
        <v/>
      </c>
      <c r="V25" s="20">
        <f>IFERROR(VLOOKUP($A25,subQ,MATCH(V$1,SUBQH,0),0),"")</f>
        <v/>
      </c>
      <c r="W25" s="20">
        <f>IFERROR(VLOOKUP($A25,subQ,MATCH(W$1,SUBQH,0),0),"")</f>
        <v/>
      </c>
    </row>
    <row r="26">
      <c r="A26" s="12" t="inlineStr">
        <is>
          <t>총차입금</t>
        </is>
      </c>
      <c r="D26" t="inlineStr">
        <is>
          <t>총차입금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45">
        <f>IFERROR(VLOOKUP($A26,subQ,MATCH(M$1,SUBQH,0),0),"")</f>
        <v/>
      </c>
      <c r="N26" s="20">
        <f>IFERROR(VLOOKUP($A26,subQ,MATCH(N$1,SUBQH,0),0),"")</f>
        <v/>
      </c>
      <c r="O26" s="20">
        <f>IFERROR(VLOOKUP($A26,subQ,MATCH(O$1,SUBQH,0),0),"")</f>
        <v/>
      </c>
      <c r="P26" s="20">
        <f>IFERROR(VLOOKUP($A26,subQ,MATCH(P$1,SUBQH,0),0),"")</f>
        <v/>
      </c>
      <c r="Q26" s="20">
        <f>IFERROR(VLOOKUP($A26,subQ,MATCH(Q$1,SUBQH,0),0),"")</f>
        <v/>
      </c>
      <c r="R26" s="20">
        <f>IFERROR(VLOOKUP($A26,subQ,MATCH(R$1,SUBQH,0),0),"")</f>
        <v/>
      </c>
      <c r="S26" s="20">
        <f>IFERROR(VLOOKUP($A26,subQ,MATCH(S$1,SUBQH,0),0),"")</f>
        <v/>
      </c>
      <c r="T26" s="20">
        <f>IFERROR(VLOOKUP($A26,subQ,MATCH(T$1,SUBQH,0),0),"")</f>
        <v/>
      </c>
      <c r="U26" s="20">
        <f>IFERROR(VLOOKUP($A26,subQ,MATCH(U$1,SUBQH,0),0),"")</f>
        <v/>
      </c>
      <c r="V26" s="20">
        <f>IFERROR(VLOOKUP($A26,subQ,MATCH(V$1,SUBQH,0),0),"")</f>
        <v/>
      </c>
      <c r="W26" s="20">
        <f>IFERROR(VLOOKUP($A26,subQ,MATCH(W$1,SUBQH,0),0),"")</f>
        <v/>
      </c>
    </row>
    <row r="27">
      <c r="A27" s="12" t="inlineStr">
        <is>
          <t>순차입금</t>
        </is>
      </c>
      <c r="D27" t="inlineStr">
        <is>
          <t>순차입금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45">
        <f>IFERROR(VLOOKUP($A27,subQ,MATCH(M$1,SUBQH,0),0),"")</f>
        <v/>
      </c>
      <c r="N27" s="20">
        <f>IFERROR(VLOOKUP($A27,subQ,MATCH(N$1,SUBQH,0),0),"")</f>
        <v/>
      </c>
      <c r="O27" s="20">
        <f>IFERROR(VLOOKUP($A27,subQ,MATCH(O$1,SUBQH,0),0),"")</f>
        <v/>
      </c>
      <c r="P27" s="20">
        <f>IFERROR(VLOOKUP($A27,subQ,MATCH(P$1,SUBQH,0),0),"")</f>
        <v/>
      </c>
      <c r="Q27" s="20">
        <f>IFERROR(VLOOKUP($A27,subQ,MATCH(Q$1,SUBQH,0),0),"")</f>
        <v/>
      </c>
      <c r="R27" s="20">
        <f>IFERROR(VLOOKUP($A27,subQ,MATCH(R$1,SUBQH,0),0),"")</f>
        <v/>
      </c>
      <c r="S27" s="20">
        <f>IFERROR(VLOOKUP($A27,subQ,MATCH(S$1,SUBQH,0),0),"")</f>
        <v/>
      </c>
      <c r="T27" s="20">
        <f>IFERROR(VLOOKUP($A27,subQ,MATCH(T$1,SUBQH,0),0),"")</f>
        <v/>
      </c>
      <c r="U27" s="20">
        <f>IFERROR(VLOOKUP($A27,subQ,MATCH(U$1,SUBQH,0),0),"")</f>
        <v/>
      </c>
      <c r="V27" s="20">
        <f>IFERROR(VLOOKUP($A27,subQ,MATCH(V$1,SUBQH,0),0),"")</f>
        <v/>
      </c>
      <c r="W27" s="20">
        <f>IFERROR(VLOOKUP($A27,subQ,MATCH(W$1,SUBQH,0),0),"")</f>
        <v/>
      </c>
    </row>
    <row r="28">
      <c r="A28" s="12" t="inlineStr">
        <is>
          <t>이자발생자산</t>
        </is>
      </c>
      <c r="D28" t="inlineStr">
        <is>
          <t>이자발생자산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45">
        <f>IFERROR(VLOOKUP($A28,subQ,MATCH(M$1,SUBQH,0),0),"")</f>
        <v/>
      </c>
      <c r="N28" s="20">
        <f>IFERROR(VLOOKUP($A28,subQ,MATCH(N$1,SUBQH,0),0),"")</f>
        <v/>
      </c>
      <c r="O28" s="20">
        <f>IFERROR(VLOOKUP($A28,subQ,MATCH(O$1,SUBQH,0),0),"")</f>
        <v/>
      </c>
      <c r="P28" s="20">
        <f>IFERROR(VLOOKUP($A28,subQ,MATCH(P$1,SUBQH,0),0),"")</f>
        <v/>
      </c>
      <c r="Q28" s="20">
        <f>IFERROR(VLOOKUP($A28,subQ,MATCH(Q$1,SUBQH,0),0),"")</f>
        <v/>
      </c>
      <c r="R28" s="20">
        <f>IFERROR(VLOOKUP($A28,subQ,MATCH(R$1,SUBQH,0),0),"")</f>
        <v/>
      </c>
      <c r="S28" s="20">
        <f>IFERROR(VLOOKUP($A28,subQ,MATCH(S$1,SUBQH,0),0),"")</f>
        <v/>
      </c>
      <c r="T28" s="20">
        <f>IFERROR(VLOOKUP($A28,subQ,MATCH(T$1,SUBQH,0),0),"")</f>
        <v/>
      </c>
      <c r="U28" s="20">
        <f>IFERROR(VLOOKUP($A28,subQ,MATCH(U$1,SUBQH,0),0),"")</f>
        <v/>
      </c>
      <c r="V28" s="20">
        <f>IFERROR(VLOOKUP($A28,subQ,MATCH(V$1,SUBQH,0),0),"")</f>
        <v/>
      </c>
      <c r="W28" s="20">
        <f>IFERROR(VLOOKUP($A28,subQ,MATCH(W$1,SUBQH,0),0),"")</f>
        <v/>
      </c>
    </row>
    <row r="29">
      <c r="A29" s="12" t="inlineStr">
        <is>
          <t>현금및현금성자산</t>
        </is>
      </c>
      <c r="D29" t="inlineStr">
        <is>
          <t>현금및현금성자산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45">
        <f>IFERROR(VLOOKUP($A29,subQ,MATCH(M$1,SUBQH,0),0),"")</f>
        <v/>
      </c>
      <c r="N29" s="20">
        <f>IFERROR(VLOOKUP($A29,subQ,MATCH(N$1,SUBQH,0),0),"")</f>
        <v/>
      </c>
      <c r="O29" s="20">
        <f>IFERROR(VLOOKUP($A29,subQ,MATCH(O$1,SUBQH,0),0),"")</f>
        <v/>
      </c>
      <c r="P29" s="20">
        <f>IFERROR(VLOOKUP($A29,subQ,MATCH(P$1,SUBQH,0),0),"")</f>
        <v/>
      </c>
      <c r="Q29" s="20">
        <f>IFERROR(VLOOKUP($A29,subQ,MATCH(Q$1,SUBQH,0),0),"")</f>
        <v/>
      </c>
      <c r="R29" s="20">
        <f>IFERROR(VLOOKUP($A29,subQ,MATCH(R$1,SUBQH,0),0),"")</f>
        <v/>
      </c>
      <c r="S29" s="20">
        <f>IFERROR(VLOOKUP($A29,subQ,MATCH(S$1,SUBQH,0),0),"")</f>
        <v/>
      </c>
      <c r="T29" s="20">
        <f>IFERROR(VLOOKUP($A29,subQ,MATCH(T$1,SUBQH,0),0),"")</f>
        <v/>
      </c>
      <c r="U29" s="20">
        <f>IFERROR(VLOOKUP($A29,subQ,MATCH(U$1,SUBQH,0),0),"")</f>
        <v/>
      </c>
      <c r="V29" s="20">
        <f>IFERROR(VLOOKUP($A29,subQ,MATCH(V$1,SUBQH,0),0),"")</f>
        <v/>
      </c>
      <c r="W29" s="20">
        <f>IFERROR(VLOOKUP($A29,subQ,MATCH(W$1,SUBQH,0),0),"")</f>
        <v/>
      </c>
    </row>
    <row r="30">
      <c r="A30" s="12" t="inlineStr">
        <is>
          <t>CAPEX</t>
        </is>
      </c>
      <c r="D30" t="inlineStr">
        <is>
          <t>CAPEX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45">
        <f>IFERROR(VLOOKUP($A30,subQ,MATCH(M$1,SUBQH,0),0),"")</f>
        <v/>
      </c>
      <c r="N30" s="20">
        <f>IFERROR(VLOOKUP($A30,subQ,MATCH(N$1,SUBQH,0),0),"")</f>
        <v/>
      </c>
      <c r="O30" s="20">
        <f>IFERROR(VLOOKUP($A30,subQ,MATCH(O$1,SUBQH,0),0),"")</f>
        <v/>
      </c>
      <c r="P30" s="20">
        <f>IFERROR(VLOOKUP($A30,subQ,MATCH(P$1,SUBQH,0),0),"")</f>
        <v/>
      </c>
      <c r="Q30" s="20">
        <f>IFERROR(VLOOKUP($A30,subQ,MATCH(Q$1,SUBQH,0),0),"")</f>
        <v/>
      </c>
      <c r="R30" s="20">
        <f>IFERROR(VLOOKUP($A30,subQ,MATCH(R$1,SUBQH,0),0),"")</f>
        <v/>
      </c>
      <c r="S30" s="20">
        <f>IFERROR(VLOOKUP($A30,subQ,MATCH(S$1,SUBQH,0),0),"")</f>
        <v/>
      </c>
      <c r="T30" s="20">
        <f>IFERROR(VLOOKUP($A30,subQ,MATCH(T$1,SUBQH,0),0),"")</f>
        <v/>
      </c>
      <c r="U30" s="20">
        <f>IFERROR(VLOOKUP($A30,subQ,MATCH(U$1,SUBQH,0),0),"")</f>
        <v/>
      </c>
      <c r="V30" s="20">
        <f>IFERROR(VLOOKUP($A30,subQ,MATCH(V$1,SUBQH,0),0),"")</f>
        <v/>
      </c>
      <c r="W30" s="20">
        <f>IFERROR(VLOOKUP($A30,subQ,MATCH(W$1,SUBQH,0),0),"")</f>
        <v/>
      </c>
    </row>
    <row r="31">
      <c r="A31" s="12" t="inlineStr">
        <is>
          <t>영업활동현금흐름</t>
        </is>
      </c>
      <c r="D31" t="inlineStr">
        <is>
          <t>영업활동현금흐름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45">
        <f>IFERROR(VLOOKUP($A31,subQ,MATCH(M$1,SUBQH,0),0),"")</f>
        <v/>
      </c>
      <c r="N31" s="20">
        <f>IFERROR(VLOOKUP($A31,subQ,MATCH(N$1,SUBQH,0),0),"")</f>
        <v/>
      </c>
      <c r="O31" s="20">
        <f>IFERROR(VLOOKUP($A31,subQ,MATCH(O$1,SUBQH,0),0),"")</f>
        <v/>
      </c>
      <c r="P31" s="20">
        <f>IFERROR(VLOOKUP($A31,subQ,MATCH(P$1,SUBQH,0),0),"")</f>
        <v/>
      </c>
      <c r="Q31" s="20">
        <f>IFERROR(VLOOKUP($A31,subQ,MATCH(Q$1,SUBQH,0),0),"")</f>
        <v/>
      </c>
      <c r="R31" s="20">
        <f>IFERROR(VLOOKUP($A31,subQ,MATCH(R$1,SUBQH,0),0),"")</f>
        <v/>
      </c>
      <c r="S31" s="20">
        <f>IFERROR(VLOOKUP($A31,subQ,MATCH(S$1,SUBQH,0),0),"")</f>
        <v/>
      </c>
      <c r="T31" s="20">
        <f>IFERROR(VLOOKUP($A31,subQ,MATCH(T$1,SUBQH,0),0),"")</f>
        <v/>
      </c>
      <c r="U31" s="20">
        <f>IFERROR(VLOOKUP($A31,subQ,MATCH(U$1,SUBQH,0),0),"")</f>
        <v/>
      </c>
      <c r="V31" s="20">
        <f>IFERROR(VLOOKUP($A31,subQ,MATCH(V$1,SUBQH,0),0),"")</f>
        <v/>
      </c>
      <c r="W31" s="20">
        <f>IFERROR(VLOOKUP($A31,subQ,MATCH(W$1,SUBQH,0),0),"")</f>
        <v/>
      </c>
    </row>
    <row r="32">
      <c r="A32" s="12" t="inlineStr">
        <is>
          <t>주식수</t>
        </is>
      </c>
      <c r="D32" t="inlineStr">
        <is>
          <t>유통주식수</t>
        </is>
      </c>
      <c r="E32" s="27">
        <f>IFERROR(VLOOKUP($A32,subQ,MATCH(E$1,SUBQH,0),0),"")</f>
        <v/>
      </c>
      <c r="F32" s="27">
        <f>IFERROR(VLOOKUP($A32,subQ,MATCH(F$1,SUBQH,0),0),"")</f>
        <v/>
      </c>
      <c r="G32" s="27">
        <f>IFERROR(VLOOKUP($A32,subQ,MATCH(G$1,SUBQH,0),0),"")</f>
        <v/>
      </c>
      <c r="H32" s="27">
        <f>IFERROR(VLOOKUP($A32,subQ,MATCH(H$1,SUBQH,0),0),"")</f>
        <v/>
      </c>
      <c r="I32" s="27">
        <f>IFERROR(VLOOKUP($A32,subQ,MATCH(I$1,SUBQH,0),0),"")</f>
        <v/>
      </c>
      <c r="J32" s="27">
        <f>IFERROR(VLOOKUP($A32,subQ,MATCH(J$1,SUBQH,0),0),"")</f>
        <v/>
      </c>
      <c r="K32" s="27">
        <f>IFERROR(VLOOKUP($A32,subQ,MATCH(K$1,SUBQH,0),0),"")</f>
        <v/>
      </c>
      <c r="L32" s="27">
        <f>IFERROR(VLOOKUP($A32,subQ,MATCH(L$1,SUBQH,0),0),"")</f>
        <v/>
      </c>
      <c r="M32" s="47">
        <f>IFERROR(VLOOKUP($A32,subQ,MATCH(M$1,SUBQH,0),0),"")</f>
        <v/>
      </c>
      <c r="N32" s="33">
        <f>IFERROR(VLOOKUP($A32,subQ,MATCH(N$1,SUBQH,0),0),"")</f>
        <v/>
      </c>
      <c r="O32" s="33">
        <f>IFERROR(VLOOKUP($A32,subQ,MATCH(O$1,SUBQH,0),0),"")</f>
        <v/>
      </c>
      <c r="P32" s="33">
        <f>IFERROR(VLOOKUP($A32,subQ,MATCH(P$1,SUBQH,0),0),"")</f>
        <v/>
      </c>
      <c r="Q32" s="33">
        <f>IFERROR(VLOOKUP($A32,subQ,MATCH(Q$1,SUBQH,0),0),"")</f>
        <v/>
      </c>
      <c r="R32" s="33">
        <f>IFERROR(VLOOKUP($A32,subQ,MATCH(R$1,SUBQH,0),0),"")</f>
        <v/>
      </c>
      <c r="S32" s="33">
        <f>IFERROR(VLOOKUP($A32,subQ,MATCH(S$1,SUBQH,0),0),"")</f>
        <v/>
      </c>
      <c r="T32" s="33">
        <f>IFERROR(VLOOKUP($A32,subQ,MATCH(T$1,SUBQH,0),0),"")</f>
        <v/>
      </c>
      <c r="U32" s="33">
        <f>IFERROR(VLOOKUP($A32,subQ,MATCH(U$1,SUBQH,0),0),"")</f>
        <v/>
      </c>
      <c r="V32" s="33">
        <f>IFERROR(VLOOKUP($A32,subQ,MATCH(V$1,SUBQH,0),0),"")</f>
        <v/>
      </c>
      <c r="W32" s="33">
        <f>IFERROR(VLOOKUP($A32,subQ,MATCH(W$1,SUBQH,0),0),"")</f>
        <v/>
      </c>
    </row>
    <row r="33">
      <c r="A33" s="12" t="inlineStr">
        <is>
          <t>EPS</t>
        </is>
      </c>
      <c r="D33" t="inlineStr">
        <is>
          <t>EPS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18">
        <f>IFERROR(VLOOKUP($A33,subQ,MATCH(I$1,SUBQH,0),0),"")</f>
        <v/>
      </c>
      <c r="J33" s="18">
        <f>IFERROR(VLOOKUP($A33,subQ,MATCH(J$1,SUBQH,0),0),"")</f>
        <v/>
      </c>
      <c r="K33" s="18">
        <f>IFERROR(VLOOKUP($A33,subQ,MATCH(K$1,SUBQH,0),0),"")</f>
        <v/>
      </c>
      <c r="L33" s="18">
        <f>IFERROR(VLOOKUP($A33,subQ,MATCH(L$1,SUBQH,0),0),"")</f>
        <v/>
      </c>
      <c r="M33" s="45">
        <f>IFERROR(VLOOKUP($A33,subQ,MATCH(M$1,SUBQH,0),0),"")</f>
        <v/>
      </c>
      <c r="N33" s="20">
        <f>IFERROR(VLOOKUP($A33,subQ,MATCH(N$1,SUBQH,0),0),"")</f>
        <v/>
      </c>
      <c r="O33" s="20">
        <f>IFERROR(VLOOKUP($A33,subQ,MATCH(O$1,SUBQH,0),0),"")</f>
        <v/>
      </c>
      <c r="P33" s="20">
        <f>IFERROR(VLOOKUP($A33,subQ,MATCH(P$1,SUBQH,0),0),"")</f>
        <v/>
      </c>
      <c r="Q33" s="20">
        <f>IFERROR(VLOOKUP($A33,subQ,MATCH(Q$1,SUBQH,0),0),"")</f>
        <v/>
      </c>
      <c r="R33" s="20">
        <f>IFERROR(VLOOKUP($A33,subQ,MATCH(R$1,SUBQH,0),0),"")</f>
        <v/>
      </c>
      <c r="S33" s="20">
        <f>IFERROR(VLOOKUP($A33,subQ,MATCH(S$1,SUBQH,0),0),"")</f>
        <v/>
      </c>
      <c r="T33" s="20">
        <f>IFERROR(VLOOKUP($A33,subQ,MATCH(T$1,SUBQH,0),0),"")</f>
        <v/>
      </c>
      <c r="U33" s="20">
        <f>IFERROR(VLOOKUP($A33,subQ,MATCH(U$1,SUBQH,0),0),"")</f>
        <v/>
      </c>
      <c r="V33" s="20">
        <f>IFERROR(VLOOKUP($A33,subQ,MATCH(V$1,SUBQH,0),0),"")</f>
        <v/>
      </c>
      <c r="W33" s="20">
        <f>IFERROR(VLOOKUP($A33,subQ,MATCH(W$1,SUBQH,0),0),"")</f>
        <v/>
      </c>
    </row>
    <row r="34">
      <c r="A34" s="12" t="inlineStr">
        <is>
          <t>BPS</t>
        </is>
      </c>
      <c r="D34" t="inlineStr">
        <is>
          <t>BPS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45">
        <f>IFERROR(VLOOKUP($A34,subQ,MATCH(M$1,SUBQH,0),0),"")</f>
        <v/>
      </c>
      <c r="N34" s="20">
        <f>IFERROR(VLOOKUP($A34,subQ,MATCH(N$1,SUBQH,0),0),"")</f>
        <v/>
      </c>
      <c r="O34" s="20">
        <f>IFERROR(VLOOKUP($A34,subQ,MATCH(O$1,SUBQH,0),0),"")</f>
        <v/>
      </c>
      <c r="P34" s="20">
        <f>IFERROR(VLOOKUP($A34,subQ,MATCH(P$1,SUBQH,0),0),"")</f>
        <v/>
      </c>
      <c r="Q34" s="20">
        <f>IFERROR(VLOOKUP($A34,subQ,MATCH(Q$1,SUBQH,0),0),"")</f>
        <v/>
      </c>
      <c r="R34" s="20">
        <f>IFERROR(VLOOKUP($A34,subQ,MATCH(R$1,SUBQH,0),0),"")</f>
        <v/>
      </c>
      <c r="S34" s="20">
        <f>IFERROR(VLOOKUP($A34,subQ,MATCH(S$1,SUBQH,0),0),"")</f>
        <v/>
      </c>
      <c r="T34" s="20">
        <f>IFERROR(VLOOKUP($A34,subQ,MATCH(T$1,SUBQH,0),0),"")</f>
        <v/>
      </c>
      <c r="U34" s="20">
        <f>IFERROR(VLOOKUP($A34,subQ,MATCH(U$1,SUBQH,0),0),"")</f>
        <v/>
      </c>
      <c r="V34" s="20">
        <f>IFERROR(VLOOKUP($A34,subQ,MATCH(V$1,SUBQH,0),0),"")</f>
        <v/>
      </c>
      <c r="W34" s="20">
        <f>IFERROR(VLOOKUP($A34,subQ,MATCH(W$1,SUBQH,0),0),"")</f>
        <v/>
      </c>
    </row>
    <row r="35">
      <c r="A35" s="12" t="inlineStr">
        <is>
          <t>DPS</t>
        </is>
      </c>
      <c r="D35" t="inlineStr">
        <is>
          <t>DPS(보통주)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18">
        <f>IFERROR(VLOOKUP($A35,subQ,MATCH(I$1,SUBQH,0),0),"")</f>
        <v/>
      </c>
      <c r="J35" s="18">
        <f>IFERROR(VLOOKUP($A35,subQ,MATCH(J$1,SUBQH,0),0),"")</f>
        <v/>
      </c>
      <c r="K35" s="18">
        <f>IFERROR(VLOOKUP($A35,subQ,MATCH(K$1,SUBQH,0),0),"")</f>
        <v/>
      </c>
      <c r="L35" s="18">
        <f>IFERROR(VLOOKUP($A35,subQ,MATCH(L$1,SUBQH,0),0),"")</f>
        <v/>
      </c>
      <c r="M35" s="45">
        <f>IFERROR(VLOOKUP($A35,subQ,MATCH(M$1,SUBQH,0),0),"")</f>
        <v/>
      </c>
      <c r="N35" s="20">
        <f>IFERROR(VLOOKUP($A35,subQ,MATCH(N$1,SUBQH,0),0),"")</f>
        <v/>
      </c>
      <c r="O35" s="20">
        <f>IFERROR(VLOOKUP($A35,subQ,MATCH(O$1,SUBQH,0),0),"")</f>
        <v/>
      </c>
      <c r="P35" s="20">
        <f>IFERROR(VLOOKUP($A35,subQ,MATCH(P$1,SUBQH,0),0),"")</f>
        <v/>
      </c>
      <c r="Q35" s="20">
        <f>IFERROR(VLOOKUP($A35,subQ,MATCH(Q$1,SUBQH,0),0),"")</f>
        <v/>
      </c>
      <c r="R35" s="20">
        <f>IFERROR(VLOOKUP($A35,subQ,MATCH(R$1,SUBQH,0),0),"")</f>
        <v/>
      </c>
      <c r="S35" s="20">
        <f>IFERROR(VLOOKUP($A35,subQ,MATCH(S$1,SUBQH,0),0),"")</f>
        <v/>
      </c>
      <c r="T35" s="20">
        <f>IFERROR(VLOOKUP($A35,subQ,MATCH(T$1,SUBQH,0),0),"")</f>
        <v/>
      </c>
      <c r="U35" s="20">
        <f>IFERROR(VLOOKUP($A35,subQ,MATCH(U$1,SUBQH,0),0),"")</f>
        <v/>
      </c>
      <c r="V35" s="20">
        <f>IFERROR(VLOOKUP($A35,subQ,MATCH(V$1,SUBQH,0),0),"")</f>
        <v/>
      </c>
      <c r="W35" s="20">
        <f>IFERROR(VLOOKUP($A35,subQ,MATCH(W$1,SUBQH,0),0),"")</f>
        <v/>
      </c>
    </row>
    <row r="36">
      <c r="A36" s="12" t="inlineStr">
        <is>
          <t>PER</t>
        </is>
      </c>
      <c r="D36" t="inlineStr">
        <is>
          <t>PER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13">
        <f>IFERROR(VLOOKUP($A36,subQ,MATCH(I$1,SUBQH,0),0),"")</f>
        <v/>
      </c>
      <c r="J36" s="13">
        <f>IFERROR(VLOOKUP($A36,subQ,MATCH(J$1,SUBQH,0),0),"")</f>
        <v/>
      </c>
      <c r="K36" s="13">
        <f>IFERROR(VLOOKUP($A36,subQ,MATCH(K$1,SUBQH,0),0),"")</f>
        <v/>
      </c>
      <c r="L36" s="13">
        <f>IFERROR(VLOOKUP($A36,subQ,MATCH(L$1,SUBQH,0),0),"")</f>
        <v/>
      </c>
      <c r="M36" s="48">
        <f>IFERROR(VLOOKUP($A36,subQ,MATCH(M$1,SUBQH,0),0),"")</f>
        <v/>
      </c>
      <c r="N36" s="39">
        <f>IFERROR(VLOOKUP($A36,subQ,MATCH(N$1,SUBQH,0),0),"")</f>
        <v/>
      </c>
      <c r="O36" s="39">
        <f>IFERROR(VLOOKUP($A36,subQ,MATCH(O$1,SUBQH,0),0),"")</f>
        <v/>
      </c>
      <c r="P36" s="39">
        <f>IFERROR(VLOOKUP($A36,subQ,MATCH(P$1,SUBQH,0),0),"")</f>
        <v/>
      </c>
      <c r="Q36" s="39">
        <f>IFERROR(VLOOKUP($A36,subQ,MATCH(Q$1,SUBQH,0),0),"")</f>
        <v/>
      </c>
      <c r="R36" s="39">
        <f>IFERROR(VLOOKUP($A36,subQ,MATCH(R$1,SUBQH,0),0),"")</f>
        <v/>
      </c>
      <c r="S36" s="39">
        <f>IFERROR(VLOOKUP($A36,subQ,MATCH(S$1,SUBQH,0),0),"")</f>
        <v/>
      </c>
      <c r="T36" s="39">
        <f>IFERROR(VLOOKUP($A36,subQ,MATCH(T$1,SUBQH,0),0),"")</f>
        <v/>
      </c>
      <c r="U36" s="39">
        <f>IFERROR(VLOOKUP($A36,subQ,MATCH(U$1,SUBQH,0),0),"")</f>
        <v/>
      </c>
      <c r="V36" s="39">
        <f>IFERROR(VLOOKUP($A36,subQ,MATCH(V$1,SUBQH,0),0),"")</f>
        <v/>
      </c>
      <c r="W36" s="39">
        <f>IFERROR(VLOOKUP($A36,subQ,MATCH(W$1,SUBQH,0),0),"")</f>
        <v/>
      </c>
    </row>
    <row r="37">
      <c r="A37" s="12" t="inlineStr">
        <is>
          <t>PBR</t>
        </is>
      </c>
      <c r="D37" t="inlineStr">
        <is>
          <t>PBR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13">
        <f>IFERROR(VLOOKUP($A37,subQ,MATCH(G$1,SUBQH,0),0),"")</f>
        <v/>
      </c>
      <c r="H37" s="13">
        <f>IFERROR(VLOOKUP($A37,subQ,MATCH(H$1,SUBQH,0),0),"")</f>
        <v/>
      </c>
      <c r="I37" s="13">
        <f>IFERROR(VLOOKUP($A37,subQ,MATCH(I$1,SUBQH,0),0),"")</f>
        <v/>
      </c>
      <c r="J37" s="13">
        <f>IFERROR(VLOOKUP($A37,subQ,MATCH(J$1,SUBQH,0),0),"")</f>
        <v/>
      </c>
      <c r="K37" s="13">
        <f>IFERROR(VLOOKUP($A37,subQ,MATCH(K$1,SUBQH,0),0),"")</f>
        <v/>
      </c>
      <c r="L37" s="13">
        <f>IFERROR(VLOOKUP($A37,subQ,MATCH(L$1,SUBQH,0),0),"")</f>
        <v/>
      </c>
      <c r="M37" s="48">
        <f>IFERROR(VLOOKUP($A37,subQ,MATCH(M$1,SUBQH,0),0),"")</f>
        <v/>
      </c>
      <c r="N37" s="39">
        <f>IFERROR(VLOOKUP($A37,subQ,MATCH(N$1,SUBQH,0),0),"")</f>
        <v/>
      </c>
      <c r="O37" s="39">
        <f>IFERROR(VLOOKUP($A37,subQ,MATCH(O$1,SUBQH,0),0),"")</f>
        <v/>
      </c>
      <c r="P37" s="39">
        <f>IFERROR(VLOOKUP($A37,subQ,MATCH(P$1,SUBQH,0),0),"")</f>
        <v/>
      </c>
      <c r="Q37" s="39">
        <f>IFERROR(VLOOKUP($A37,subQ,MATCH(Q$1,SUBQH,0),0),"")</f>
        <v/>
      </c>
      <c r="R37" s="39">
        <f>IFERROR(VLOOKUP($A37,subQ,MATCH(R$1,SUBQH,0),0),"")</f>
        <v/>
      </c>
      <c r="S37" s="39">
        <f>IFERROR(VLOOKUP($A37,subQ,MATCH(S$1,SUBQH,0),0),"")</f>
        <v/>
      </c>
      <c r="T37" s="39">
        <f>IFERROR(VLOOKUP($A37,subQ,MATCH(T$1,SUBQH,0),0),"")</f>
        <v/>
      </c>
      <c r="U37" s="39">
        <f>IFERROR(VLOOKUP($A37,subQ,MATCH(U$1,SUBQH,0),0),"")</f>
        <v/>
      </c>
      <c r="V37" s="39">
        <f>IFERROR(VLOOKUP($A37,subQ,MATCH(V$1,SUBQH,0),0),"")</f>
        <v/>
      </c>
      <c r="W37" s="39">
        <f>IFERROR(VLOOKUP($A37,subQ,MATCH(W$1,SUBQH,0),0),"")</f>
        <v/>
      </c>
    </row>
    <row r="38">
      <c r="A38" s="12" t="inlineStr">
        <is>
          <t>매출전사</t>
        </is>
      </c>
      <c r="D38" t="inlineStr">
        <is>
          <t>매출 전사(부문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18">
        <f>IFERROR(VLOOKUP($A38,subQ,MATCH(I$1,SUBQH,0),0),"")</f>
        <v/>
      </c>
      <c r="J38" s="18">
        <f>IFERROR(VLOOKUP($A38,subQ,MATCH(J$1,SUBQH,0),0),"")</f>
        <v/>
      </c>
      <c r="K38" s="18">
        <f>IFERROR(VLOOKUP($A38,subQ,MATCH(K$1,SUBQH,0),0),"")</f>
        <v/>
      </c>
      <c r="L38" s="18">
        <f>IFERROR(VLOOKUP($A38,subQ,MATCH(L$1,SUBQH,0),0),"")</f>
        <v/>
      </c>
      <c r="M38" s="45">
        <f>IFERROR(VLOOKUP($A38,subQ,MATCH(M$1,SUBQH,0),0),"")</f>
        <v/>
      </c>
      <c r="N38" s="20">
        <f>IFERROR(VLOOKUP($A38,subQ,MATCH(N$1,SUBQH,0),0),"")</f>
        <v/>
      </c>
      <c r="O38" s="20">
        <f>IFERROR(VLOOKUP($A38,subQ,MATCH(O$1,SUBQH,0),0),"")</f>
        <v/>
      </c>
      <c r="P38" s="20">
        <f>IFERROR(VLOOKUP($A38,subQ,MATCH(P$1,SUBQH,0),0),"")</f>
        <v/>
      </c>
      <c r="Q38" s="20">
        <f>IFERROR(VLOOKUP($A38,subQ,MATCH(Q$1,SUBQH,0),0),"")</f>
        <v/>
      </c>
      <c r="R38" s="20">
        <f>IFERROR(VLOOKUP($A38,subQ,MATCH(R$1,SUBQH,0),0),"")</f>
        <v/>
      </c>
      <c r="S38" s="20">
        <f>IFERROR(VLOOKUP($A38,subQ,MATCH(S$1,SUBQH,0),0),"")</f>
        <v/>
      </c>
      <c r="T38" s="20">
        <f>IFERROR(VLOOKUP($A38,subQ,MATCH(T$1,SUBQH,0),0),"")</f>
        <v/>
      </c>
      <c r="U38" s="20">
        <f>IFERROR(VLOOKUP($A38,subQ,MATCH(U$1,SUBQH,0),0),"")</f>
        <v/>
      </c>
      <c r="V38" s="20">
        <f>IFERROR(VLOOKUP($A38,subQ,MATCH(V$1,SUBQH,0),0),"")</f>
        <v/>
      </c>
      <c r="W38" s="20">
        <f>IFERROR(VLOOKUP($A38,subQ,MATCH(W$1,SUBQH,0),0),"")</f>
        <v/>
      </c>
    </row>
    <row r="39">
      <c r="A39" s="12" t="inlineStr">
        <is>
          <t>OP전사</t>
        </is>
      </c>
      <c r="D39" t="inlineStr">
        <is>
          <t>OP 전사(부문 미분리)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18">
        <f>IFERROR(VLOOKUP($A39,subQ,MATCH(I$1,SUBQH,0),0),"")</f>
        <v/>
      </c>
      <c r="J39" s="18">
        <f>IFERROR(VLOOKUP($A39,subQ,MATCH(J$1,SUBQH,0),0),"")</f>
        <v/>
      </c>
      <c r="K39" s="18">
        <f>IFERROR(VLOOKUP($A39,subQ,MATCH(K$1,SUBQH,0),0),"")</f>
        <v/>
      </c>
      <c r="L39" s="18">
        <f>IFERROR(VLOOKUP($A39,subQ,MATCH(L$1,SUBQH,0),0),"")</f>
        <v/>
      </c>
      <c r="M39" s="45">
        <f>IFERROR(VLOOKUP($A39,subQ,MATCH(M$1,SUBQH,0),0),"")</f>
        <v/>
      </c>
      <c r="N39" s="20">
        <f>IFERROR(VLOOKUP($A39,subQ,MATCH(N$1,SUBQH,0),0),"")</f>
        <v/>
      </c>
      <c r="O39" s="20">
        <f>IFERROR(VLOOKUP($A39,subQ,MATCH(O$1,SUBQH,0),0),"")</f>
        <v/>
      </c>
      <c r="P39" s="20">
        <f>IFERROR(VLOOKUP($A39,subQ,MATCH(P$1,SUBQH,0),0),"")</f>
        <v/>
      </c>
      <c r="Q39" s="20">
        <f>IFERROR(VLOOKUP($A39,subQ,MATCH(Q$1,SUBQH,0),0),"")</f>
        <v/>
      </c>
      <c r="R39" s="20">
        <f>IFERROR(VLOOKUP($A39,subQ,MATCH(R$1,SUBQH,0),0),"")</f>
        <v/>
      </c>
      <c r="S39" s="20">
        <f>IFERROR(VLOOKUP($A39,subQ,MATCH(S$1,SUBQH,0),0),"")</f>
        <v/>
      </c>
      <c r="T39" s="20">
        <f>IFERROR(VLOOKUP($A39,subQ,MATCH(T$1,SUBQH,0),0),"")</f>
        <v/>
      </c>
      <c r="U39" s="20">
        <f>IFERROR(VLOOKUP($A39,subQ,MATCH(U$1,SUBQH,0),0),"")</f>
        <v/>
      </c>
      <c r="V39" s="20">
        <f>IFERROR(VLOOKUP($A39,subQ,MATCH(V$1,SUBQH,0),0),"")</f>
        <v/>
      </c>
      <c r="W39" s="20">
        <f>IFERROR(VLOOKUP($A39,subQ,MATCH(W$1,SUBQH,0),0),"")</f>
        <v/>
      </c>
    </row>
    <row r="40">
      <c r="A40" s="12" t="inlineStr">
        <is>
          <t>NPM</t>
        </is>
      </c>
      <c r="D40" t="inlineStr">
        <is>
          <t>NPM</t>
        </is>
      </c>
      <c r="E40" s="21">
        <f>IFERROR(VLOOKUP($A40,subQ,MATCH(E$1,SUBQH,0),0),"")</f>
        <v/>
      </c>
      <c r="F40" s="21">
        <f>IFERROR(VLOOKUP($A40,subQ,MATCH(F$1,SUBQH,0),0),"")</f>
        <v/>
      </c>
      <c r="G40" s="21">
        <f>IFERROR(VLOOKUP($A40,subQ,MATCH(G$1,SUBQH,0),0),"")</f>
        <v/>
      </c>
      <c r="H40" s="21">
        <f>IFERROR(VLOOKUP($A40,subQ,MATCH(H$1,SUBQH,0),0),"")</f>
        <v/>
      </c>
      <c r="I40" s="21">
        <f>IFERROR(VLOOKUP($A40,subQ,MATCH(I$1,SUBQH,0),0),"")</f>
        <v/>
      </c>
      <c r="J40" s="21">
        <f>IFERROR(VLOOKUP($A40,subQ,MATCH(J$1,SUBQH,0),0),"")</f>
        <v/>
      </c>
      <c r="K40" s="21">
        <f>IFERROR(VLOOKUP($A40,subQ,MATCH(K$1,SUBQH,0),0),"")</f>
        <v/>
      </c>
      <c r="L40" s="21">
        <f>IFERROR(VLOOKUP($A40,subQ,MATCH(L$1,SUBQH,0),0),"")</f>
        <v/>
      </c>
      <c r="M40" s="46">
        <f>IFERROR(VLOOKUP($A40,subQ,MATCH(M$1,SUBQH,0),0),"")</f>
        <v/>
      </c>
      <c r="N40" s="32">
        <f>IFERROR(VLOOKUP($A40,subQ,MATCH(N$1,SUBQH,0),0),"")</f>
        <v/>
      </c>
      <c r="O40" s="32">
        <f>IFERROR(VLOOKUP($A40,subQ,MATCH(O$1,SUBQH,0),0),"")</f>
        <v/>
      </c>
      <c r="P40" s="32">
        <f>IFERROR(VLOOKUP($A40,subQ,MATCH(P$1,SUBQH,0),0),"")</f>
        <v/>
      </c>
      <c r="Q40" s="32">
        <f>IFERROR(VLOOKUP($A40,subQ,MATCH(Q$1,SUBQH,0),0),"")</f>
        <v/>
      </c>
      <c r="R40" s="32">
        <f>IFERROR(VLOOKUP($A40,subQ,MATCH(R$1,SUBQH,0),0),"")</f>
        <v/>
      </c>
      <c r="S40" s="32">
        <f>IFERROR(VLOOKUP($A40,subQ,MATCH(S$1,SUBQH,0),0),"")</f>
        <v/>
      </c>
      <c r="T40" s="32">
        <f>IFERROR(VLOOKUP($A40,subQ,MATCH(T$1,SUBQH,0),0),"")</f>
        <v/>
      </c>
      <c r="U40" s="32">
        <f>IFERROR(VLOOKUP($A40,subQ,MATCH(U$1,SUBQH,0),0),"")</f>
        <v/>
      </c>
      <c r="V40" s="32">
        <f>IFERROR(VLOOKUP($A40,subQ,MATCH(V$1,SUBQH,0),0),"")</f>
        <v/>
      </c>
      <c r="W40" s="32">
        <f>IFERROR(VLOOKUP($A40,subQ,MATCH(W$1,SUBQH,0),0),"")</f>
        <v/>
      </c>
    </row>
    <row r="41">
      <c r="A41" s="12" t="inlineStr">
        <is>
          <t>매출액 YoY</t>
        </is>
      </c>
      <c r="D41" t="inlineStr">
        <is>
          <t>매출액 YoY</t>
        </is>
      </c>
      <c r="I41" s="21">
        <f>IFERROR(I5/E5-1,"")</f>
        <v/>
      </c>
      <c r="J41" s="21">
        <f>IFERROR(J5/F5-1,"")</f>
        <v/>
      </c>
      <c r="K41" s="21">
        <f>IFERROR(K5/G5-1,"")</f>
        <v/>
      </c>
      <c r="L41" s="21">
        <f>IFERROR(L5/H5-1,"")</f>
        <v/>
      </c>
      <c r="M41" s="46">
        <f>IFERROR(M5/I5-1,"")</f>
        <v/>
      </c>
      <c r="N41" s="32">
        <f>IFERROR(N5/J5-1,"")</f>
        <v/>
      </c>
      <c r="O41" s="32">
        <f>IFERROR(O5/K5-1,"")</f>
        <v/>
      </c>
      <c r="P41" s="32">
        <f>IFERROR(P5/L5-1,"")</f>
        <v/>
      </c>
      <c r="Q41" s="32">
        <f>IFERROR(Q5/M5-1,"")</f>
        <v/>
      </c>
      <c r="R41" s="32">
        <f>IFERROR(R5/N5-1,"")</f>
        <v/>
      </c>
      <c r="S41" s="32">
        <f>IFERROR(S5/O5-1,"")</f>
        <v/>
      </c>
      <c r="T41" s="32">
        <f>IFERROR(T5/P5-1,"")</f>
        <v/>
      </c>
      <c r="U41" s="32">
        <f>IFERROR(U5/Q5-1,"")</f>
        <v/>
      </c>
      <c r="V41" s="32">
        <f>IFERROR(V5/R5-1,"")</f>
        <v/>
      </c>
      <c r="W41" s="32">
        <f>IFERROR(W5/S5-1,"")</f>
        <v/>
      </c>
    </row>
    <row r="42">
      <c r="A42" s="12" t="inlineStr">
        <is>
          <t>영업이익 YoY</t>
        </is>
      </c>
      <c r="D42" t="inlineStr">
        <is>
          <t>영업이익 YoY</t>
        </is>
      </c>
      <c r="I42" s="21">
        <f>IFERROR(I9/E9-1,"")</f>
        <v/>
      </c>
      <c r="J42" s="21">
        <f>IFERROR(J9/F9-1,"")</f>
        <v/>
      </c>
      <c r="K42" s="21">
        <f>IFERROR(K9/G9-1,"")</f>
        <v/>
      </c>
      <c r="L42" s="21">
        <f>IFERROR(L9/H9-1,"")</f>
        <v/>
      </c>
      <c r="M42" s="46">
        <f>IFERROR(M9/I9-1,"")</f>
        <v/>
      </c>
      <c r="N42" s="32">
        <f>IFERROR(N9/J9-1,"")</f>
        <v/>
      </c>
      <c r="O42" s="32">
        <f>IFERROR(O9/K9-1,"")</f>
        <v/>
      </c>
      <c r="P42" s="32">
        <f>IFERROR(P9/L9-1,"")</f>
        <v/>
      </c>
      <c r="Q42" s="32">
        <f>IFERROR(Q9/M9-1,"")</f>
        <v/>
      </c>
      <c r="R42" s="32">
        <f>IFERROR(R9/N9-1,"")</f>
        <v/>
      </c>
      <c r="S42" s="32">
        <f>IFERROR(S9/O9-1,"")</f>
        <v/>
      </c>
      <c r="T42" s="32">
        <f>IFERROR(T9/P9-1,"")</f>
        <v/>
      </c>
      <c r="U42" s="32">
        <f>IFERROR(U9/Q9-1,"")</f>
        <v/>
      </c>
      <c r="V42" s="32">
        <f>IFERROR(V9/R9-1,"")</f>
        <v/>
      </c>
      <c r="W42" s="32">
        <f>IFERROR(W9/S9-1,"")</f>
        <v/>
      </c>
    </row>
    <row r="43">
      <c r="A43" s="12" t="inlineStr">
        <is>
          <t>지배주주순이익 YoY</t>
        </is>
      </c>
      <c r="D43" t="inlineStr">
        <is>
          <t>지배주주순이익 YoY</t>
        </is>
      </c>
      <c r="I43" s="21">
        <f>IFERROR(I21/E21-1,"")</f>
        <v/>
      </c>
      <c r="J43" s="21">
        <f>IFERROR(J21/F21-1,"")</f>
        <v/>
      </c>
      <c r="K43" s="21">
        <f>IFERROR(K21/G21-1,"")</f>
        <v/>
      </c>
      <c r="L43" s="21">
        <f>IFERROR(L21/H21-1,"")</f>
        <v/>
      </c>
      <c r="M43" s="46">
        <f>IFERROR(M21/I21-1,"")</f>
        <v/>
      </c>
      <c r="N43" s="32">
        <f>IFERROR(N21/J21-1,"")</f>
        <v/>
      </c>
      <c r="O43" s="32">
        <f>IFERROR(O21/K21-1,"")</f>
        <v/>
      </c>
      <c r="P43" s="32">
        <f>IFERROR(P21/L21-1,"")</f>
        <v/>
      </c>
      <c r="Q43" s="32">
        <f>IFERROR(Q21/M21-1,"")</f>
        <v/>
      </c>
      <c r="R43" s="32">
        <f>IFERROR(R21/N21-1,"")</f>
        <v/>
      </c>
      <c r="S43" s="32">
        <f>IFERROR(S21/O21-1,"")</f>
        <v/>
      </c>
      <c r="T43" s="32">
        <f>IFERROR(T21/P21-1,"")</f>
        <v/>
      </c>
      <c r="U43" s="32">
        <f>IFERROR(U21/Q21-1,"")</f>
        <v/>
      </c>
      <c r="V43" s="32">
        <f>IFERROR(V21/R21-1,"")</f>
        <v/>
      </c>
      <c r="W43" s="32">
        <f>IFERROR(W21/S21-1,"")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C1" s="2" t="inlineStr">
        <is>
          <t>이름: 연간예상H — subQ 를 이름으로 VLOOKUP(억원)</t>
        </is>
      </c>
      <c r="E1" s="3" t="n">
        <v>2024</v>
      </c>
      <c r="F1" s="41" t="n">
        <v>2025</v>
      </c>
      <c r="G1" s="3" t="n">
        <v>2026</v>
      </c>
      <c r="H1" s="3" t="n">
        <v>2027</v>
      </c>
      <c r="I1" s="3" t="n">
        <v>2028</v>
      </c>
    </row>
    <row r="2">
      <c r="C2" t="inlineStr">
        <is>
          <t>종가:</t>
        </is>
      </c>
      <c r="D2" s="18">
        <f>변수!D44</f>
        <v/>
      </c>
      <c r="F2" s="42" t="n"/>
    </row>
    <row r="3">
      <c r="C3" t="inlineStr">
        <is>
          <t>기준일:</t>
        </is>
      </c>
      <c r="D3" t="inlineStr">
        <is>
          <t>20261013</t>
        </is>
      </c>
      <c r="E3" s="2" t="n">
        <v>1</v>
      </c>
      <c r="F3" s="43" t="n">
        <v>2</v>
      </c>
      <c r="G3" s="2" t="n">
        <v>3</v>
      </c>
      <c r="H3" s="2" t="n">
        <v>4</v>
      </c>
      <c r="I3" s="2" t="n">
        <v>5</v>
      </c>
    </row>
    <row r="4">
      <c r="E4" s="7" t="inlineStr">
        <is>
          <t>2024.12A</t>
        </is>
      </c>
      <c r="F4" s="44" t="inlineStr">
        <is>
          <t>2025.12A</t>
        </is>
      </c>
      <c r="G4" s="7" t="inlineStr">
        <is>
          <t>2026.12A</t>
        </is>
      </c>
      <c r="H4" s="7" t="inlineStr">
        <is>
          <t>2027.12A</t>
        </is>
      </c>
      <c r="I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45">
        <f>IFERROR(VLOOKUP($A5,subQ,MATCH(F$1,SUBQH,0),0),"")</f>
        <v/>
      </c>
      <c r="G5" s="20">
        <f>IFERROR(VLOOKUP($A5,subQ,MATCH(G$1,SUBQH,0),0),"")</f>
        <v/>
      </c>
      <c r="H5" s="20">
        <f>IFERROR(VLOOKUP($A5,subQ,MATCH(H$1,SUBQH,0),0),"")</f>
        <v/>
      </c>
      <c r="I5" s="20">
        <f>IFERROR(VLOOKUP($A5,subQ,MATCH(I$1,SUBQH,0),0),"")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45">
        <f>IFERROR(VLOOKUP($A6,subQ,MATCH(F$1,SUBQH,0),0),"")</f>
        <v/>
      </c>
      <c r="G6" s="20">
        <f>IFERROR(VLOOKUP($A6,subQ,MATCH(G$1,SUBQH,0),0),"")</f>
        <v/>
      </c>
      <c r="H6" s="20">
        <f>IFERROR(VLOOKUP($A6,subQ,MATCH(H$1,SUBQH,0),0),"")</f>
        <v/>
      </c>
      <c r="I6" s="20">
        <f>IFERROR(VLOOKUP($A6,subQ,MATCH(I$1,SUBQH,0),0),"")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45">
        <f>IFERROR(VLOOKUP($A7,subQ,MATCH(F$1,SUBQH,0),0),"")</f>
        <v/>
      </c>
      <c r="G7" s="20">
        <f>IFERROR(VLOOKUP($A7,subQ,MATCH(G$1,SUBQH,0),0),"")</f>
        <v/>
      </c>
      <c r="H7" s="20">
        <f>IFERROR(VLOOKUP($A7,subQ,MATCH(H$1,SUBQH,0),0),"")</f>
        <v/>
      </c>
      <c r="I7" s="20">
        <f>IFERROR(VLOOKUP($A7,subQ,MATCH(I$1,SUBQH,0),0),"")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45">
        <f>IFERROR(VLOOKUP($A8,subQ,MATCH(F$1,SUBQH,0),0),"")</f>
        <v/>
      </c>
      <c r="G8" s="20">
        <f>IFERROR(VLOOKUP($A8,subQ,MATCH(G$1,SUBQH,0),0),"")</f>
        <v/>
      </c>
      <c r="H8" s="20">
        <f>IFERROR(VLOOKUP($A8,subQ,MATCH(H$1,SUBQH,0),0),"")</f>
        <v/>
      </c>
      <c r="I8" s="20">
        <f>IFERROR(VLOOKUP($A8,subQ,MATCH(I$1,SUBQH,0),0),"")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45">
        <f>IFERROR(VLOOKUP($A9,subQ,MATCH(F$1,SUBQH,0),0),"")</f>
        <v/>
      </c>
      <c r="G9" s="20">
        <f>IFERROR(VLOOKUP($A9,subQ,MATCH(G$1,SUBQH,0),0),"")</f>
        <v/>
      </c>
      <c r="H9" s="20">
        <f>IFERROR(VLOOKUP($A9,subQ,MATCH(H$1,SUBQH,0),0),"")</f>
        <v/>
      </c>
      <c r="I9" s="20">
        <f>IFERROR(VLOOKUP($A9,subQ,MATCH(I$1,SUBQH,0),0),"")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46">
        <f>IFERROR(VLOOKUP($A10,subQ,MATCH(F$1,SUBQH,0),0),"")</f>
        <v/>
      </c>
      <c r="G10" s="32">
        <f>IFERROR(VLOOKUP($A10,subQ,MATCH(G$1,SUBQH,0),0),"")</f>
        <v/>
      </c>
      <c r="H10" s="32">
        <f>IFERROR(VLOOKUP($A10,subQ,MATCH(H$1,SUBQH,0),0),"")</f>
        <v/>
      </c>
      <c r="I10" s="32">
        <f>IFERROR(VLOOKUP($A10,subQ,MATCH(I$1,SUBQH,0),0),"")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45">
        <f>IFERROR(VLOOKUP($A11,subQ,MATCH(F$1,SUBQH,0),0),"")</f>
        <v/>
      </c>
      <c r="G11" s="20">
        <f>IFERROR(VLOOKUP($A11,subQ,MATCH(G$1,SUBQH,0),0),"")</f>
        <v/>
      </c>
      <c r="H11" s="20">
        <f>IFERROR(VLOOKUP($A11,subQ,MATCH(H$1,SUBQH,0),0),"")</f>
        <v/>
      </c>
      <c r="I11" s="20">
        <f>IFERROR(VLOOKUP($A11,subQ,MATCH(I$1,SUBQH,0),0),"")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45">
        <f>IFERROR(VLOOKUP($A12,subQ,MATCH(F$1,SUBQH,0),0),"")</f>
        <v/>
      </c>
      <c r="G12" s="20">
        <f>IFERROR(VLOOKUP($A12,subQ,MATCH(G$1,SUBQH,0),0),"")</f>
        <v/>
      </c>
      <c r="H12" s="20">
        <f>IFERROR(VLOOKUP($A12,subQ,MATCH(H$1,SUBQH,0),0),"")</f>
        <v/>
      </c>
      <c r="I12" s="20">
        <f>IFERROR(VLOOKUP($A12,subQ,MATCH(I$1,SUBQH,0),0),"")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45">
        <f>IFERROR(VLOOKUP($A13,subQ,MATCH(F$1,SUBQH,0),0),"")</f>
        <v/>
      </c>
      <c r="G13" s="20">
        <f>IFERROR(VLOOKUP($A13,subQ,MATCH(G$1,SUBQH,0),0),"")</f>
        <v/>
      </c>
      <c r="H13" s="20">
        <f>IFERROR(VLOOKUP($A13,subQ,MATCH(H$1,SUBQH,0),0),"")</f>
        <v/>
      </c>
      <c r="I13" s="20">
        <f>IFERROR(VLOOKUP($A13,subQ,MATCH(I$1,SUBQH,0),0),"")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45">
        <f>IFERROR(VLOOKUP($A14,subQ,MATCH(F$1,SUBQH,0),0),"")</f>
        <v/>
      </c>
      <c r="G14" s="20">
        <f>IFERROR(VLOOKUP($A14,subQ,MATCH(G$1,SUBQH,0),0),"")</f>
        <v/>
      </c>
      <c r="H14" s="20">
        <f>IFERROR(VLOOKUP($A14,subQ,MATCH(H$1,SUBQH,0),0),"")</f>
        <v/>
      </c>
      <c r="I14" s="20">
        <f>IFERROR(VLOOKUP($A14,subQ,MATCH(I$1,SUBQH,0),0),"")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45">
        <f>IFERROR(VLOOKUP($A15,subQ,MATCH(F$1,SUBQH,0),0),"")</f>
        <v/>
      </c>
      <c r="G15" s="20">
        <f>IFERROR(VLOOKUP($A15,subQ,MATCH(G$1,SUBQH,0),0),"")</f>
        <v/>
      </c>
      <c r="H15" s="20">
        <f>IFERROR(VLOOKUP($A15,subQ,MATCH(H$1,SUBQH,0),0),"")</f>
        <v/>
      </c>
      <c r="I15" s="20">
        <f>IFERROR(VLOOKUP($A15,subQ,MATCH(I$1,SUBQH,0),0),"")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45">
        <f>IFERROR(VLOOKUP($A16,subQ,MATCH(F$1,SUBQH,0),0),"")</f>
        <v/>
      </c>
      <c r="G16" s="20">
        <f>IFERROR(VLOOKUP($A16,subQ,MATCH(G$1,SUBQH,0),0),"")</f>
        <v/>
      </c>
      <c r="H16" s="20">
        <f>IFERROR(VLOOKUP($A16,subQ,MATCH(H$1,SUBQH,0),0),"")</f>
        <v/>
      </c>
      <c r="I16" s="20">
        <f>IFERROR(VLOOKUP($A16,subQ,MATCH(I$1,SUBQH,0),0),"")</f>
        <v/>
      </c>
    </row>
    <row r="17">
      <c r="A17" s="12" t="inlineStr">
        <is>
          <t>지분법손익</t>
        </is>
      </c>
      <c r="D17" t="inlineStr">
        <is>
          <t>지분법손익</t>
        </is>
      </c>
      <c r="E17" s="18">
        <f>IFERROR(VLOOKUP($A17,subQ,MATCH(E$1,SUBQH,0),0),"")</f>
        <v/>
      </c>
      <c r="F17" s="45">
        <f>IFERROR(VLOOKUP($A17,subQ,MATCH(F$1,SUBQH,0),0),"")</f>
        <v/>
      </c>
      <c r="G17" s="20">
        <f>IFERROR(VLOOKUP($A17,subQ,MATCH(G$1,SUBQH,0),0),"")</f>
        <v/>
      </c>
      <c r="H17" s="20">
        <f>IFERROR(VLOOKUP($A17,subQ,MATCH(H$1,SUBQH,0),0),"")</f>
        <v/>
      </c>
      <c r="I17" s="20">
        <f>IFERROR(VLOOKUP($A17,subQ,MATCH(I$1,SUBQH,0),0),"")</f>
        <v/>
      </c>
    </row>
    <row r="18">
      <c r="A18" s="12" t="inlineStr">
        <is>
          <t>세전이익</t>
        </is>
      </c>
      <c r="D18" t="inlineStr">
        <is>
          <t>법인세비용차감전이익</t>
        </is>
      </c>
      <c r="E18" s="18">
        <f>IFERROR(VLOOKUP($A18,subQ,MATCH(E$1,SUBQH,0),0),"")</f>
        <v/>
      </c>
      <c r="F18" s="45">
        <f>IFERROR(VLOOKUP($A18,subQ,MATCH(F$1,SUBQH,0),0),"")</f>
        <v/>
      </c>
      <c r="G18" s="20">
        <f>IFERROR(VLOOKUP($A18,subQ,MATCH(G$1,SUBQH,0),0),"")</f>
        <v/>
      </c>
      <c r="H18" s="20">
        <f>IFERROR(VLOOKUP($A18,subQ,MATCH(H$1,SUBQH,0),0),"")</f>
        <v/>
      </c>
      <c r="I18" s="20">
        <f>IFERROR(VLOOKUP($A18,subQ,MATCH(I$1,SUBQH,0),0),"")</f>
        <v/>
      </c>
    </row>
    <row r="19">
      <c r="A19" s="12" t="inlineStr">
        <is>
          <t>법인세비용</t>
        </is>
      </c>
      <c r="D19" t="inlineStr">
        <is>
          <t>법인세비용</t>
        </is>
      </c>
      <c r="E19" s="18">
        <f>IFERROR(VLOOKUP($A19,subQ,MATCH(E$1,SUBQH,0),0),"")</f>
        <v/>
      </c>
      <c r="F19" s="45">
        <f>IFERROR(VLOOKUP($A19,subQ,MATCH(F$1,SUBQH,0),0),"")</f>
        <v/>
      </c>
      <c r="G19" s="20">
        <f>IFERROR(VLOOKUP($A19,subQ,MATCH(G$1,SUBQH,0),0),"")</f>
        <v/>
      </c>
      <c r="H19" s="20">
        <f>IFERROR(VLOOKUP($A19,subQ,MATCH(H$1,SUBQH,0),0),"")</f>
        <v/>
      </c>
      <c r="I19" s="20">
        <f>IFERROR(VLOOKUP($A19,subQ,MATCH(I$1,SUBQH,0),0),"")</f>
        <v/>
      </c>
    </row>
    <row r="20">
      <c r="A20" s="12" t="inlineStr">
        <is>
          <t>당기순이익</t>
        </is>
      </c>
      <c r="D20" t="inlineStr">
        <is>
          <t>당기순이익</t>
        </is>
      </c>
      <c r="E20" s="18">
        <f>IFERROR(VLOOKUP($A20,subQ,MATCH(E$1,SUBQH,0),0),"")</f>
        <v/>
      </c>
      <c r="F20" s="45">
        <f>IFERROR(VLOOKUP($A20,subQ,MATCH(F$1,SUBQH,0),0),"")</f>
        <v/>
      </c>
      <c r="G20" s="20">
        <f>IFERROR(VLOOKUP($A20,subQ,MATCH(G$1,SUBQH,0),0),"")</f>
        <v/>
      </c>
      <c r="H20" s="20">
        <f>IFERROR(VLOOKUP($A20,subQ,MATCH(H$1,SUBQH,0),0),"")</f>
        <v/>
      </c>
      <c r="I20" s="20">
        <f>IFERROR(VLOOKUP($A20,subQ,MATCH(I$1,SUBQH,0),0),"")</f>
        <v/>
      </c>
    </row>
    <row r="21">
      <c r="A21" s="12" t="inlineStr">
        <is>
          <t>지배주주순이익</t>
        </is>
      </c>
      <c r="D21" t="inlineStr">
        <is>
          <t>지배주주순이익</t>
        </is>
      </c>
      <c r="E21" s="18">
        <f>IFERROR(VLOOKUP($A21,subQ,MATCH(E$1,SUBQH,0),0),"")</f>
        <v/>
      </c>
      <c r="F21" s="45">
        <f>IFERROR(VLOOKUP($A21,subQ,MATCH(F$1,SUBQH,0),0),"")</f>
        <v/>
      </c>
      <c r="G21" s="20">
        <f>IFERROR(VLOOKUP($A21,subQ,MATCH(G$1,SUBQH,0),0),"")</f>
        <v/>
      </c>
      <c r="H21" s="20">
        <f>IFERROR(VLOOKUP($A21,subQ,MATCH(H$1,SUBQH,0),0),"")</f>
        <v/>
      </c>
      <c r="I21" s="20">
        <f>IFERROR(VLOOKUP($A21,subQ,MATCH(I$1,SUBQH,0),0),"")</f>
        <v/>
      </c>
    </row>
    <row r="22">
      <c r="A22" s="12" t="inlineStr">
        <is>
          <t>자산총계</t>
        </is>
      </c>
      <c r="D22" t="inlineStr">
        <is>
          <t>자산총계</t>
        </is>
      </c>
      <c r="E22" s="18">
        <f>IFERROR(VLOOKUP($A22,subQ,MATCH(E$1,SUBQH,0),0),"")</f>
        <v/>
      </c>
      <c r="F22" s="45">
        <f>IFERROR(VLOOKUP($A22,subQ,MATCH(F$1,SUBQH,0),0),"")</f>
        <v/>
      </c>
      <c r="G22" s="20">
        <f>IFERROR(VLOOKUP($A22,subQ,MATCH(G$1,SUBQH,0),0),"")</f>
        <v/>
      </c>
      <c r="H22" s="20">
        <f>IFERROR(VLOOKUP($A22,subQ,MATCH(H$1,SUBQH,0),0),"")</f>
        <v/>
      </c>
      <c r="I22" s="20">
        <f>IFERROR(VLOOKUP($A22,subQ,MATCH(I$1,SUBQH,0),0),"")</f>
        <v/>
      </c>
    </row>
    <row r="23">
      <c r="A23" s="12" t="inlineStr">
        <is>
          <t>부채총계</t>
        </is>
      </c>
      <c r="D23" t="inlineStr">
        <is>
          <t>부채총계</t>
        </is>
      </c>
      <c r="E23" s="18">
        <f>IFERROR(VLOOKUP($A23,subQ,MATCH(E$1,SUBQH,0),0),"")</f>
        <v/>
      </c>
      <c r="F23" s="45">
        <f>IFERROR(VLOOKUP($A23,subQ,MATCH(F$1,SUBQH,0),0),"")</f>
        <v/>
      </c>
      <c r="G23" s="20">
        <f>IFERROR(VLOOKUP($A23,subQ,MATCH(G$1,SUBQH,0),0),"")</f>
        <v/>
      </c>
      <c r="H23" s="20">
        <f>IFERROR(VLOOKUP($A23,subQ,MATCH(H$1,SUBQH,0),0),"")</f>
        <v/>
      </c>
      <c r="I23" s="20">
        <f>IFERROR(VLOOKUP($A23,subQ,MATCH(I$1,SUBQH,0),0),"")</f>
        <v/>
      </c>
    </row>
    <row r="24">
      <c r="A24" s="12" t="inlineStr">
        <is>
          <t>자본총계</t>
        </is>
      </c>
      <c r="D24" t="inlineStr">
        <is>
          <t>자본총계</t>
        </is>
      </c>
      <c r="E24" s="18">
        <f>IFERROR(VLOOKUP($A24,subQ,MATCH(E$1,SUBQH,0),0),"")</f>
        <v/>
      </c>
      <c r="F24" s="45">
        <f>IFERROR(VLOOKUP($A24,subQ,MATCH(F$1,SUBQH,0),0),"")</f>
        <v/>
      </c>
      <c r="G24" s="20">
        <f>IFERROR(VLOOKUP($A24,subQ,MATCH(G$1,SUBQH,0),0),"")</f>
        <v/>
      </c>
      <c r="H24" s="20">
        <f>IFERROR(VLOOKUP($A24,subQ,MATCH(H$1,SUBQH,0),0),"")</f>
        <v/>
      </c>
      <c r="I24" s="20">
        <f>IFERROR(VLOOKUP($A24,subQ,MATCH(I$1,SUBQH,0),0),"")</f>
        <v/>
      </c>
    </row>
    <row r="25">
      <c r="A25" s="12" t="inlineStr">
        <is>
          <t>지배주주지분</t>
        </is>
      </c>
      <c r="D25" t="inlineStr">
        <is>
          <t>지배주주지분</t>
        </is>
      </c>
      <c r="E25" s="18">
        <f>IFERROR(VLOOKUP($A25,subQ,MATCH(E$1,SUBQH,0),0),"")</f>
        <v/>
      </c>
      <c r="F25" s="45">
        <f>IFERROR(VLOOKUP($A25,subQ,MATCH(F$1,SUBQH,0),0),"")</f>
        <v/>
      </c>
      <c r="G25" s="20">
        <f>IFERROR(VLOOKUP($A25,subQ,MATCH(G$1,SUBQH,0),0),"")</f>
        <v/>
      </c>
      <c r="H25" s="20">
        <f>IFERROR(VLOOKUP($A25,subQ,MATCH(H$1,SUBQH,0),0),"")</f>
        <v/>
      </c>
      <c r="I25" s="20">
        <f>IFERROR(VLOOKUP($A25,subQ,MATCH(I$1,SUBQH,0),0),"")</f>
        <v/>
      </c>
    </row>
    <row r="26">
      <c r="A26" s="12" t="inlineStr">
        <is>
          <t>총차입금</t>
        </is>
      </c>
      <c r="D26" t="inlineStr">
        <is>
          <t>총차입금</t>
        </is>
      </c>
      <c r="E26" s="18">
        <f>IFERROR(VLOOKUP($A26,subQ,MATCH(E$1,SUBQH,0),0),"")</f>
        <v/>
      </c>
      <c r="F26" s="45">
        <f>IFERROR(VLOOKUP($A26,subQ,MATCH(F$1,SUBQH,0),0),"")</f>
        <v/>
      </c>
      <c r="G26" s="20">
        <f>IFERROR(VLOOKUP($A26,subQ,MATCH(G$1,SUBQH,0),0),"")</f>
        <v/>
      </c>
      <c r="H26" s="20">
        <f>IFERROR(VLOOKUP($A26,subQ,MATCH(H$1,SUBQH,0),0),"")</f>
        <v/>
      </c>
      <c r="I26" s="20">
        <f>IFERROR(VLOOKUP($A26,subQ,MATCH(I$1,SUBQH,0),0),"")</f>
        <v/>
      </c>
    </row>
    <row r="27">
      <c r="A27" s="12" t="inlineStr">
        <is>
          <t>순차입금</t>
        </is>
      </c>
      <c r="D27" t="inlineStr">
        <is>
          <t>순차입금</t>
        </is>
      </c>
      <c r="E27" s="18">
        <f>IFERROR(VLOOKUP($A27,subQ,MATCH(E$1,SUBQH,0),0),"")</f>
        <v/>
      </c>
      <c r="F27" s="45">
        <f>IFERROR(VLOOKUP($A27,subQ,MATCH(F$1,SUBQH,0),0),"")</f>
        <v/>
      </c>
      <c r="G27" s="20">
        <f>IFERROR(VLOOKUP($A27,subQ,MATCH(G$1,SUBQH,0),0),"")</f>
        <v/>
      </c>
      <c r="H27" s="20">
        <f>IFERROR(VLOOKUP($A27,subQ,MATCH(H$1,SUBQH,0),0),"")</f>
        <v/>
      </c>
      <c r="I27" s="20">
        <f>IFERROR(VLOOKUP($A27,subQ,MATCH(I$1,SUBQH,0),0),"")</f>
        <v/>
      </c>
    </row>
    <row r="28">
      <c r="A28" s="12" t="inlineStr">
        <is>
          <t>이자발생자산</t>
        </is>
      </c>
      <c r="D28" t="inlineStr">
        <is>
          <t>이자발생자산</t>
        </is>
      </c>
      <c r="E28" s="18">
        <f>IFERROR(VLOOKUP($A28,subQ,MATCH(E$1,SUBQH,0),0),"")</f>
        <v/>
      </c>
      <c r="F28" s="45">
        <f>IFERROR(VLOOKUP($A28,subQ,MATCH(F$1,SUBQH,0),0),"")</f>
        <v/>
      </c>
      <c r="G28" s="20">
        <f>IFERROR(VLOOKUP($A28,subQ,MATCH(G$1,SUBQH,0),0),"")</f>
        <v/>
      </c>
      <c r="H28" s="20">
        <f>IFERROR(VLOOKUP($A28,subQ,MATCH(H$1,SUBQH,0),0),"")</f>
        <v/>
      </c>
      <c r="I28" s="20">
        <f>IFERROR(VLOOKUP($A28,subQ,MATCH(I$1,SUBQH,0),0),"")</f>
        <v/>
      </c>
    </row>
    <row r="29">
      <c r="A29" s="12" t="inlineStr">
        <is>
          <t>현금및현금성자산</t>
        </is>
      </c>
      <c r="D29" t="inlineStr">
        <is>
          <t>현금및현금성자산</t>
        </is>
      </c>
      <c r="E29" s="18">
        <f>IFERROR(VLOOKUP($A29,subQ,MATCH(E$1,SUBQH,0),0),"")</f>
        <v/>
      </c>
      <c r="F29" s="45">
        <f>IFERROR(VLOOKUP($A29,subQ,MATCH(F$1,SUBQH,0),0),"")</f>
        <v/>
      </c>
      <c r="G29" s="20">
        <f>IFERROR(VLOOKUP($A29,subQ,MATCH(G$1,SUBQH,0),0),"")</f>
        <v/>
      </c>
      <c r="H29" s="20">
        <f>IFERROR(VLOOKUP($A29,subQ,MATCH(H$1,SUBQH,0),0),"")</f>
        <v/>
      </c>
      <c r="I29" s="20">
        <f>IFERROR(VLOOKUP($A29,subQ,MATCH(I$1,SUBQH,0),0),"")</f>
        <v/>
      </c>
    </row>
    <row r="30">
      <c r="A30" s="12" t="inlineStr">
        <is>
          <t>CAPEX</t>
        </is>
      </c>
      <c r="D30" t="inlineStr">
        <is>
          <t>CAPEX</t>
        </is>
      </c>
      <c r="E30" s="18">
        <f>IFERROR(VLOOKUP($A30,subQ,MATCH(E$1,SUBQH,0),0),"")</f>
        <v/>
      </c>
      <c r="F30" s="45">
        <f>IFERROR(VLOOKUP($A30,subQ,MATCH(F$1,SUBQH,0),0),"")</f>
        <v/>
      </c>
      <c r="G30" s="20">
        <f>IFERROR(VLOOKUP($A30,subQ,MATCH(G$1,SUBQH,0),0),"")</f>
        <v/>
      </c>
      <c r="H30" s="20">
        <f>IFERROR(VLOOKUP($A30,subQ,MATCH(H$1,SUBQH,0),0),"")</f>
        <v/>
      </c>
      <c r="I30" s="20">
        <f>IFERROR(VLOOKUP($A30,subQ,MATCH(I$1,SUBQH,0),0),"")</f>
        <v/>
      </c>
    </row>
    <row r="31">
      <c r="A31" s="12" t="inlineStr">
        <is>
          <t>영업활동현금흐름</t>
        </is>
      </c>
      <c r="D31" t="inlineStr">
        <is>
          <t>영업활동현금흐름</t>
        </is>
      </c>
      <c r="E31" s="18">
        <f>IFERROR(VLOOKUP($A31,subQ,MATCH(E$1,SUBQH,0),0),"")</f>
        <v/>
      </c>
      <c r="F31" s="45">
        <f>IFERROR(VLOOKUP($A31,subQ,MATCH(F$1,SUBQH,0),0),"")</f>
        <v/>
      </c>
      <c r="G31" s="20">
        <f>IFERROR(VLOOKUP($A31,subQ,MATCH(G$1,SUBQH,0),0),"")</f>
        <v/>
      </c>
      <c r="H31" s="20">
        <f>IFERROR(VLOOKUP($A31,subQ,MATCH(H$1,SUBQH,0),0),"")</f>
        <v/>
      </c>
      <c r="I31" s="20">
        <f>IFERROR(VLOOKUP($A31,subQ,MATCH(I$1,SUBQH,0),0),"")</f>
        <v/>
      </c>
    </row>
    <row r="32">
      <c r="A32" s="12" t="inlineStr">
        <is>
          <t>주식수</t>
        </is>
      </c>
      <c r="D32" t="inlineStr">
        <is>
          <t>유통주식수</t>
        </is>
      </c>
      <c r="E32" s="27">
        <f>IFERROR(VLOOKUP($A32,subQ,MATCH(E$1,SUBQH,0),0),"")</f>
        <v/>
      </c>
      <c r="F32" s="47">
        <f>IFERROR(VLOOKUP($A32,subQ,MATCH(F$1,SUBQH,0),0),"")</f>
        <v/>
      </c>
      <c r="G32" s="33">
        <f>IFERROR(VLOOKUP($A32,subQ,MATCH(G$1,SUBQH,0),0),"")</f>
        <v/>
      </c>
      <c r="H32" s="33">
        <f>IFERROR(VLOOKUP($A32,subQ,MATCH(H$1,SUBQH,0),0),"")</f>
        <v/>
      </c>
      <c r="I32" s="33">
        <f>IFERROR(VLOOKUP($A32,subQ,MATCH(I$1,SUBQH,0),0),"")</f>
        <v/>
      </c>
    </row>
    <row r="33">
      <c r="A33" s="12" t="inlineStr">
        <is>
          <t>EPS</t>
        </is>
      </c>
      <c r="D33" t="inlineStr">
        <is>
          <t>EPS</t>
        </is>
      </c>
      <c r="E33" s="18">
        <f>IFERROR(VLOOKUP($A33,subQ,MATCH(E$1,SUBQH,0),0),"")</f>
        <v/>
      </c>
      <c r="F33" s="45">
        <f>IFERROR(VLOOKUP($A33,subQ,MATCH(F$1,SUBQH,0),0),"")</f>
        <v/>
      </c>
      <c r="G33" s="20">
        <f>IFERROR(VLOOKUP($A33,subQ,MATCH(G$1,SUBQH,0),0),"")</f>
        <v/>
      </c>
      <c r="H33" s="20">
        <f>IFERROR(VLOOKUP($A33,subQ,MATCH(H$1,SUBQH,0),0),"")</f>
        <v/>
      </c>
      <c r="I33" s="20">
        <f>IFERROR(VLOOKUP($A33,subQ,MATCH(I$1,SUBQH,0),0),"")</f>
        <v/>
      </c>
    </row>
    <row r="34">
      <c r="A34" s="12" t="inlineStr">
        <is>
          <t>BPS</t>
        </is>
      </c>
      <c r="D34" t="inlineStr">
        <is>
          <t>BPS</t>
        </is>
      </c>
      <c r="E34" s="18">
        <f>IFERROR(VLOOKUP($A34,subQ,MATCH(E$1,SUBQH,0),0),"")</f>
        <v/>
      </c>
      <c r="F34" s="45">
        <f>IFERROR(VLOOKUP($A34,subQ,MATCH(F$1,SUBQH,0),0),"")</f>
        <v/>
      </c>
      <c r="G34" s="20">
        <f>IFERROR(VLOOKUP($A34,subQ,MATCH(G$1,SUBQH,0),0),"")</f>
        <v/>
      </c>
      <c r="H34" s="20">
        <f>IFERROR(VLOOKUP($A34,subQ,MATCH(H$1,SUBQH,0),0),"")</f>
        <v/>
      </c>
      <c r="I34" s="20">
        <f>IFERROR(VLOOKUP($A34,subQ,MATCH(I$1,SUBQH,0),0),"")</f>
        <v/>
      </c>
    </row>
    <row r="35">
      <c r="A35" s="12" t="inlineStr">
        <is>
          <t>DPS</t>
        </is>
      </c>
      <c r="D35" t="inlineStr">
        <is>
          <t>DPS(보통주)</t>
        </is>
      </c>
      <c r="E35" s="18">
        <f>IFERROR(VLOOKUP($A35,subQ,MATCH(E$1,SUBQH,0),0),"")</f>
        <v/>
      </c>
      <c r="F35" s="45">
        <f>IFERROR(VLOOKUP($A35,subQ,MATCH(F$1,SUBQH,0),0),"")</f>
        <v/>
      </c>
      <c r="G35" s="20">
        <f>IFERROR(VLOOKUP($A35,subQ,MATCH(G$1,SUBQH,0),0),"")</f>
        <v/>
      </c>
      <c r="H35" s="20">
        <f>IFERROR(VLOOKUP($A35,subQ,MATCH(H$1,SUBQH,0),0),"")</f>
        <v/>
      </c>
      <c r="I35" s="20">
        <f>IFERROR(VLOOKUP($A35,subQ,MATCH(I$1,SUBQH,0),0),"")</f>
        <v/>
      </c>
    </row>
    <row r="36">
      <c r="A36" s="12" t="inlineStr">
        <is>
          <t>PER</t>
        </is>
      </c>
      <c r="D36" t="inlineStr">
        <is>
          <t>PER</t>
        </is>
      </c>
      <c r="E36" s="13">
        <f>IFERROR(VLOOKUP($A36,subQ,MATCH(E$1,SUBQH,0),0),"")</f>
        <v/>
      </c>
      <c r="F36" s="48">
        <f>IFERROR(VLOOKUP($A36,subQ,MATCH(F$1,SUBQH,0),0),"")</f>
        <v/>
      </c>
      <c r="G36" s="39">
        <f>IFERROR(VLOOKUP($A36,subQ,MATCH(G$1,SUBQH,0),0),"")</f>
        <v/>
      </c>
      <c r="H36" s="39">
        <f>IFERROR(VLOOKUP($A36,subQ,MATCH(H$1,SUBQH,0),0),"")</f>
        <v/>
      </c>
      <c r="I36" s="39">
        <f>IFERROR(VLOOKUP($A36,subQ,MATCH(I$1,SUBQH,0),0),"")</f>
        <v/>
      </c>
    </row>
    <row r="37">
      <c r="A37" s="12" t="inlineStr">
        <is>
          <t>PBR</t>
        </is>
      </c>
      <c r="D37" t="inlineStr">
        <is>
          <t>PBR</t>
        </is>
      </c>
      <c r="E37" s="13">
        <f>IFERROR(VLOOKUP($A37,subQ,MATCH(E$1,SUBQH,0),0),"")</f>
        <v/>
      </c>
      <c r="F37" s="48">
        <f>IFERROR(VLOOKUP($A37,subQ,MATCH(F$1,SUBQH,0),0),"")</f>
        <v/>
      </c>
      <c r="G37" s="39">
        <f>IFERROR(VLOOKUP($A37,subQ,MATCH(G$1,SUBQH,0),0),"")</f>
        <v/>
      </c>
      <c r="H37" s="39">
        <f>IFERROR(VLOOKUP($A37,subQ,MATCH(H$1,SUBQH,0),0),"")</f>
        <v/>
      </c>
      <c r="I37" s="39">
        <f>IFERROR(VLOOKUP($A37,subQ,MATCH(I$1,SUBQH,0),0),"")</f>
        <v/>
      </c>
    </row>
    <row r="38">
      <c r="A38" s="12" t="inlineStr">
        <is>
          <t>매출전사</t>
        </is>
      </c>
      <c r="D38" t="inlineStr">
        <is>
          <t>매출 전사(부문 미분리)</t>
        </is>
      </c>
      <c r="E38" s="18">
        <f>IFERROR(VLOOKUP($A38,subQ,MATCH(E$1,SUBQH,0),0),"")</f>
        <v/>
      </c>
      <c r="F38" s="45">
        <f>IFERROR(VLOOKUP($A38,subQ,MATCH(F$1,SUBQH,0),0),"")</f>
        <v/>
      </c>
      <c r="G38" s="20">
        <f>IFERROR(VLOOKUP($A38,subQ,MATCH(G$1,SUBQH,0),0),"")</f>
        <v/>
      </c>
      <c r="H38" s="20">
        <f>IFERROR(VLOOKUP($A38,subQ,MATCH(H$1,SUBQH,0),0),"")</f>
        <v/>
      </c>
      <c r="I38" s="20">
        <f>IFERROR(VLOOKUP($A38,subQ,MATCH(I$1,SUBQH,0),0),"")</f>
        <v/>
      </c>
    </row>
    <row r="39">
      <c r="A39" s="12" t="inlineStr">
        <is>
          <t>OP전사</t>
        </is>
      </c>
      <c r="D39" t="inlineStr">
        <is>
          <t>OP 전사(부문 미분리)</t>
        </is>
      </c>
      <c r="E39" s="18">
        <f>IFERROR(VLOOKUP($A39,subQ,MATCH(E$1,SUBQH,0),0),"")</f>
        <v/>
      </c>
      <c r="F39" s="45">
        <f>IFERROR(VLOOKUP($A39,subQ,MATCH(F$1,SUBQH,0),0),"")</f>
        <v/>
      </c>
      <c r="G39" s="20">
        <f>IFERROR(VLOOKUP($A39,subQ,MATCH(G$1,SUBQH,0),0),"")</f>
        <v/>
      </c>
      <c r="H39" s="20">
        <f>IFERROR(VLOOKUP($A39,subQ,MATCH(H$1,SUBQH,0),0),"")</f>
        <v/>
      </c>
      <c r="I39" s="20">
        <f>IFERROR(VLOOKUP($A39,subQ,MATCH(I$1,SUBQH,0),0),"")</f>
        <v/>
      </c>
    </row>
    <row r="40">
      <c r="A40" s="12" t="inlineStr">
        <is>
          <t>NPM</t>
        </is>
      </c>
      <c r="D40" t="inlineStr">
        <is>
          <t>NPM</t>
        </is>
      </c>
      <c r="E40" s="21">
        <f>IFERROR(VLOOKUP($A40,subQ,MATCH(E$1,SUBQH,0),0),"")</f>
        <v/>
      </c>
      <c r="F40" s="46">
        <f>IFERROR(VLOOKUP($A40,subQ,MATCH(F$1,SUBQH,0),0),"")</f>
        <v/>
      </c>
      <c r="G40" s="32">
        <f>IFERROR(VLOOKUP($A40,subQ,MATCH(G$1,SUBQH,0),0),"")</f>
        <v/>
      </c>
      <c r="H40" s="32">
        <f>IFERROR(VLOOKUP($A40,subQ,MATCH(H$1,SUBQH,0),0),"")</f>
        <v/>
      </c>
      <c r="I40" s="32">
        <f>IFERROR(VLOOKUP($A40,subQ,MATCH(I$1,SUBQH,0),0),"")</f>
        <v/>
      </c>
    </row>
    <row r="41">
      <c r="A41" s="12" t="inlineStr">
        <is>
          <t>매출액 YoY</t>
        </is>
      </c>
      <c r="D41" t="inlineStr">
        <is>
          <t>매출액 YoY</t>
        </is>
      </c>
      <c r="F41" s="46">
        <f>IFERROR(F5/E5-1,"")</f>
        <v/>
      </c>
      <c r="G41" s="32">
        <f>IFERROR(G5/F5-1,"")</f>
        <v/>
      </c>
      <c r="H41" s="32">
        <f>IFERROR(H5/G5-1,"")</f>
        <v/>
      </c>
      <c r="I41" s="32">
        <f>IFERROR(I5/H5-1,"")</f>
        <v/>
      </c>
    </row>
    <row r="42">
      <c r="A42" s="12" t="inlineStr">
        <is>
          <t>영업이익 YoY</t>
        </is>
      </c>
      <c r="D42" t="inlineStr">
        <is>
          <t>영업이익 YoY</t>
        </is>
      </c>
      <c r="F42" s="46">
        <f>IFERROR(F9/E9-1,"")</f>
        <v/>
      </c>
      <c r="G42" s="32">
        <f>IFERROR(G9/F9-1,"")</f>
        <v/>
      </c>
      <c r="H42" s="32">
        <f>IFERROR(H9/G9-1,"")</f>
        <v/>
      </c>
      <c r="I42" s="32">
        <f>IFERROR(I9/H9-1,"")</f>
        <v/>
      </c>
    </row>
    <row r="43">
      <c r="A43" s="12" t="inlineStr">
        <is>
          <t>지배주주순이익 YoY</t>
        </is>
      </c>
      <c r="D43" t="inlineStr">
        <is>
          <t>지배주주순이익 YoY</t>
        </is>
      </c>
      <c r="F43" s="46">
        <f>IFERROR(F21/E21-1,"")</f>
        <v/>
      </c>
      <c r="G43" s="32">
        <f>IFERROR(G21/F21-1,"")</f>
        <v/>
      </c>
      <c r="H43" s="32">
        <f>IFERROR(H21/G21-1,"")</f>
        <v/>
      </c>
      <c r="I43" s="32">
        <f>IFERROR(I21/H21-1,"")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변수!D44</f>
        <v/>
      </c>
    </row>
    <row r="2">
      <c r="B2" s="1" t="inlineStr">
        <is>
          <t>기준일</t>
        </is>
      </c>
      <c r="C2">
        <f>변수!D45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IFERROR(E7*변수!D50+F7*(1-변수!D50),"")</f>
        <v/>
      </c>
    </row>
    <row r="15">
      <c r="C15" t="inlineStr">
        <is>
          <t>적정가치 @PER_lo</t>
        </is>
      </c>
      <c r="D15" s="27">
        <f>변수!D47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변수!D48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변수!D49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변수!D46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7885.8</v>
      </c>
    </row>
    <row r="30">
      <c r="C30" s="2" t="inlineStr">
        <is>
          <t>bps_latest</t>
        </is>
      </c>
      <c r="D30" t="n">
        <v>19898.5</v>
      </c>
    </row>
    <row r="31">
      <c r="C31" s="2" t="inlineStr">
        <is>
          <t>per_now</t>
        </is>
      </c>
      <c r="D31" t="n">
        <v>28.66</v>
      </c>
    </row>
    <row r="32">
      <c r="C32" s="2" t="inlineStr">
        <is>
          <t>pbr_now</t>
        </is>
      </c>
      <c r="D32" t="n">
        <v>11.36</v>
      </c>
    </row>
    <row r="33">
      <c r="C33" s="2" t="inlineStr">
        <is>
          <t>roe_fwd</t>
        </is>
      </c>
      <c r="D33" t="n">
        <v>0.3963</v>
      </c>
    </row>
    <row r="34">
      <c r="C34" s="2" t="inlineStr">
        <is>
          <t>fair_pbr</t>
        </is>
      </c>
      <c r="D34" t="n">
        <v>4.4</v>
      </c>
    </row>
    <row r="35">
      <c r="C35" s="2" t="inlineStr">
        <is>
          <t>fair_value_pbr</t>
        </is>
      </c>
      <c r="D35" t="n">
        <v>87600</v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C1" s="2" t="inlineStr">
        <is>
          <t>이름: 외화QH — 환율 QoQ · 외화 순노출 × Δ기말환율</t>
        </is>
      </c>
      <c r="E1" s="3" t="inlineStr">
        <is>
          <t>2Q24</t>
        </is>
      </c>
      <c r="F1" s="3" t="inlineStr">
        <is>
          <t>3Q24</t>
        </is>
      </c>
      <c r="G1" s="3" t="inlineStr">
        <is>
          <t>4Q24</t>
        </is>
      </c>
      <c r="H1" s="3" t="inlineStr">
        <is>
          <t>1Q25</t>
        </is>
      </c>
      <c r="I1" s="3" t="inlineStr">
        <is>
          <t>2Q25</t>
        </is>
      </c>
      <c r="J1" s="3" t="inlineStr">
        <is>
          <t>3Q25</t>
        </is>
      </c>
      <c r="K1" s="3" t="inlineStr">
        <is>
          <t>4Q25</t>
        </is>
      </c>
      <c r="L1" s="3" t="inlineStr">
        <is>
          <t>1Q26</t>
        </is>
      </c>
      <c r="M1" s="3" t="inlineStr">
        <is>
          <t>2Q26</t>
        </is>
      </c>
      <c r="N1" s="3" t="inlineStr">
        <is>
          <t>3Q26</t>
        </is>
      </c>
      <c r="O1" s="3" t="inlineStr">
        <is>
          <t>4Q26</t>
        </is>
      </c>
      <c r="P1" s="3" t="inlineStr">
        <is>
          <t>1Q27</t>
        </is>
      </c>
      <c r="Q1" s="3" t="inlineStr">
        <is>
          <t>2Q27</t>
        </is>
      </c>
      <c r="R1" s="3" t="inlineStr">
        <is>
          <t>3Q27</t>
        </is>
      </c>
      <c r="S1" s="3" t="inlineStr">
        <is>
          <t>4Q27</t>
        </is>
      </c>
      <c r="T1" s="3" t="inlineStr">
        <is>
          <t>1Q28</t>
        </is>
      </c>
      <c r="U1" s="3" t="inlineStr">
        <is>
          <t>2Q28</t>
        </is>
      </c>
      <c r="V1" s="3" t="inlineStr">
        <is>
          <t>3Q28</t>
        </is>
      </c>
      <c r="W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</row>
    <row r="4">
      <c r="E4" s="7" t="inlineStr">
        <is>
          <t>2024.06</t>
        </is>
      </c>
      <c r="F4" s="7" t="inlineStr">
        <is>
          <t>2024.09</t>
        </is>
      </c>
      <c r="G4" s="7" t="inlineStr">
        <is>
          <t>2024.12</t>
        </is>
      </c>
      <c r="H4" s="7" t="inlineStr">
        <is>
          <t>2025.03</t>
        </is>
      </c>
      <c r="I4" s="7" t="inlineStr">
        <is>
          <t>2025.06</t>
        </is>
      </c>
      <c r="J4" s="7" t="inlineStr">
        <is>
          <t>2025.09</t>
        </is>
      </c>
      <c r="K4" s="7" t="inlineStr">
        <is>
          <t>2025.12</t>
        </is>
      </c>
      <c r="L4" s="7" t="inlineStr">
        <is>
          <t>2026.03</t>
        </is>
      </c>
      <c r="M4" s="7" t="inlineStr">
        <is>
          <t>2026.06</t>
        </is>
      </c>
      <c r="N4" s="7" t="inlineStr">
        <is>
          <t>2026.09</t>
        </is>
      </c>
      <c r="O4" s="7" t="inlineStr">
        <is>
          <t>2026.12</t>
        </is>
      </c>
      <c r="P4" s="7" t="inlineStr">
        <is>
          <t>2027.03</t>
        </is>
      </c>
      <c r="Q4" s="7" t="inlineStr">
        <is>
          <t>2027.06</t>
        </is>
      </c>
      <c r="R4" s="7" t="inlineStr">
        <is>
          <t>2027.09</t>
        </is>
      </c>
      <c r="S4" s="7" t="inlineStr">
        <is>
          <t>2027.12</t>
        </is>
      </c>
      <c r="T4" s="7" t="inlineStr">
        <is>
          <t>2028.03</t>
        </is>
      </c>
      <c r="U4" s="7" t="inlineStr">
        <is>
          <t>2028.06</t>
        </is>
      </c>
      <c r="V4" s="7" t="inlineStr">
        <is>
          <t>2028.09</t>
        </is>
      </c>
      <c r="W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39">
        <f>IFERROR(VLOOKUP($D5,환율,MATCH(N$1,변수H,0),0),"")</f>
        <v/>
      </c>
      <c r="O5" s="39">
        <f>IFERROR(VLOOKUP($D5,환율,MATCH(O$1,변수H,0),0),"")</f>
        <v/>
      </c>
      <c r="P5" s="39">
        <f>IFERROR(VLOOKUP($D5,환율,MATCH(P$1,변수H,0),0),"")</f>
        <v/>
      </c>
      <c r="Q5" s="39">
        <f>IFERROR(VLOOKUP($D5,환율,MATCH(Q$1,변수H,0),0),"")</f>
        <v/>
      </c>
      <c r="R5" s="39">
        <f>IFERROR(VLOOKUP($D5,환율,MATCH(R$1,변수H,0),0),"")</f>
        <v/>
      </c>
      <c r="S5" s="39">
        <f>IFERROR(VLOOKUP($D5,환율,MATCH(S$1,변수H,0),0),"")</f>
        <v/>
      </c>
      <c r="T5" s="39">
        <f>IFERROR(VLOOKUP($D5,환율,MATCH(T$1,변수H,0),0),"")</f>
        <v/>
      </c>
      <c r="U5" s="39">
        <f>IFERROR(VLOOKUP($D5,환율,MATCH(U$1,변수H,0),0),"")</f>
        <v/>
      </c>
      <c r="V5" s="39">
        <f>IFERROR(VLOOKUP($D5,환율,MATCH(V$1,변수H,0),0),"")</f>
        <v/>
      </c>
      <c r="W5" s="39">
        <f>IFERROR(VLOOKUP($D5,환율,MATCH(W$1,변수H,0),0),"")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32">
        <f>IFERROR(N5/M5-1,"")</f>
        <v/>
      </c>
      <c r="O6" s="32">
        <f>IFERROR(O5/N5-1,"")</f>
        <v/>
      </c>
      <c r="P6" s="32">
        <f>IFERROR(P5/O5-1,"")</f>
        <v/>
      </c>
      <c r="Q6" s="32">
        <f>IFERROR(Q5/P5-1,"")</f>
        <v/>
      </c>
      <c r="R6" s="32">
        <f>IFERROR(R5/Q5-1,"")</f>
        <v/>
      </c>
      <c r="S6" s="32">
        <f>IFERROR(S5/R5-1,"")</f>
        <v/>
      </c>
      <c r="T6" s="32">
        <f>IFERROR(T5/S5-1,"")</f>
        <v/>
      </c>
      <c r="U6" s="32">
        <f>IFERROR(U5/T5-1,"")</f>
        <v/>
      </c>
      <c r="V6" s="32">
        <f>IFERROR(V5/U5-1,"")</f>
        <v/>
      </c>
      <c r="W6" s="32">
        <f>IFERROR(W5/V5-1,"")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39">
        <f>IFERROR(VLOOKUP($D7,환율,MATCH(N$1,변수H,0),0),"")</f>
        <v/>
      </c>
      <c r="O7" s="39">
        <f>IFERROR(VLOOKUP($D7,환율,MATCH(O$1,변수H,0),0),"")</f>
        <v/>
      </c>
      <c r="P7" s="39">
        <f>IFERROR(VLOOKUP($D7,환율,MATCH(P$1,변수H,0),0),"")</f>
        <v/>
      </c>
      <c r="Q7" s="39">
        <f>IFERROR(VLOOKUP($D7,환율,MATCH(Q$1,변수H,0),0),"")</f>
        <v/>
      </c>
      <c r="R7" s="39">
        <f>IFERROR(VLOOKUP($D7,환율,MATCH(R$1,변수H,0),0),"")</f>
        <v/>
      </c>
      <c r="S7" s="39">
        <f>IFERROR(VLOOKUP($D7,환율,MATCH(S$1,변수H,0),0),"")</f>
        <v/>
      </c>
      <c r="T7" s="39">
        <f>IFERROR(VLOOKUP($D7,환율,MATCH(T$1,변수H,0),0),"")</f>
        <v/>
      </c>
      <c r="U7" s="39">
        <f>IFERROR(VLOOKUP($D7,환율,MATCH(U$1,변수H,0),0),"")</f>
        <v/>
      </c>
      <c r="V7" s="39">
        <f>IFERROR(VLOOKUP($D7,환율,MATCH(V$1,변수H,0),0),"")</f>
        <v/>
      </c>
      <c r="W7" s="39">
        <f>IFERROR(VLOOKUP($D7,환율,MATCH(W$1,변수H,0),0),"")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32">
        <f>IFERROR(N7/M7-1,"")</f>
        <v/>
      </c>
      <c r="O8" s="32">
        <f>IFERROR(O7/N7-1,"")</f>
        <v/>
      </c>
      <c r="P8" s="32">
        <f>IFERROR(P7/O7-1,"")</f>
        <v/>
      </c>
      <c r="Q8" s="32">
        <f>IFERROR(Q7/P7-1,"")</f>
        <v/>
      </c>
      <c r="R8" s="32">
        <f>IFERROR(R7/Q7-1,"")</f>
        <v/>
      </c>
      <c r="S8" s="32">
        <f>IFERROR(S7/R7-1,"")</f>
        <v/>
      </c>
      <c r="T8" s="32">
        <f>IFERROR(T7/S7-1,"")</f>
        <v/>
      </c>
      <c r="U8" s="32">
        <f>IFERROR(U7/T7-1,"")</f>
        <v/>
      </c>
      <c r="V8" s="32">
        <f>IFERROR(V7/U7-1,"")</f>
        <v/>
      </c>
      <c r="W8" s="32">
        <f>IFERROR(W7/V7-1,"")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39">
        <f>IFERROR(VLOOKUP($D9,환율,MATCH(N$1,변수H,0),0),"")</f>
        <v/>
      </c>
      <c r="O9" s="39">
        <f>IFERROR(VLOOKUP($D9,환율,MATCH(O$1,변수H,0),0),"")</f>
        <v/>
      </c>
      <c r="P9" s="39">
        <f>IFERROR(VLOOKUP($D9,환율,MATCH(P$1,변수H,0),0),"")</f>
        <v/>
      </c>
      <c r="Q9" s="39">
        <f>IFERROR(VLOOKUP($D9,환율,MATCH(Q$1,변수H,0),0),"")</f>
        <v/>
      </c>
      <c r="R9" s="39">
        <f>IFERROR(VLOOKUP($D9,환율,MATCH(R$1,변수H,0),0),"")</f>
        <v/>
      </c>
      <c r="S9" s="39">
        <f>IFERROR(VLOOKUP($D9,환율,MATCH(S$1,변수H,0),0),"")</f>
        <v/>
      </c>
      <c r="T9" s="39">
        <f>IFERROR(VLOOKUP($D9,환율,MATCH(T$1,변수H,0),0),"")</f>
        <v/>
      </c>
      <c r="U9" s="39">
        <f>IFERROR(VLOOKUP($D9,환율,MATCH(U$1,변수H,0),0),"")</f>
        <v/>
      </c>
      <c r="V9" s="39">
        <f>IFERROR(VLOOKUP($D9,환율,MATCH(V$1,변수H,0),0),"")</f>
        <v/>
      </c>
      <c r="W9" s="39">
        <f>IFERROR(VLOOKUP($D9,환율,MATCH(W$1,변수H,0),0),"")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32">
        <f>IFERROR(N9/M9-1,"")</f>
        <v/>
      </c>
      <c r="O10" s="32">
        <f>IFERROR(O9/N9-1,"")</f>
        <v/>
      </c>
      <c r="P10" s="32">
        <f>IFERROR(P9/O9-1,"")</f>
        <v/>
      </c>
      <c r="Q10" s="32">
        <f>IFERROR(Q9/P9-1,"")</f>
        <v/>
      </c>
      <c r="R10" s="32">
        <f>IFERROR(R9/Q9-1,"")</f>
        <v/>
      </c>
      <c r="S10" s="32">
        <f>IFERROR(S9/R9-1,"")</f>
        <v/>
      </c>
      <c r="T10" s="32">
        <f>IFERROR(T9/S9-1,"")</f>
        <v/>
      </c>
      <c r="U10" s="32">
        <f>IFERROR(U9/T9-1,"")</f>
        <v/>
      </c>
      <c r="V10" s="32">
        <f>IFERROR(V9/U9-1,"")</f>
        <v/>
      </c>
      <c r="W10" s="32">
        <f>IFERROR(W9/V9-1,"")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39">
        <f>IFERROR(VLOOKUP($D11,환율,MATCH(N$1,변수H,0),0),"")</f>
        <v/>
      </c>
      <c r="O11" s="39">
        <f>IFERROR(VLOOKUP($D11,환율,MATCH(O$1,변수H,0),0),"")</f>
        <v/>
      </c>
      <c r="P11" s="39">
        <f>IFERROR(VLOOKUP($D11,환율,MATCH(P$1,변수H,0),0),"")</f>
        <v/>
      </c>
      <c r="Q11" s="39">
        <f>IFERROR(VLOOKUP($D11,환율,MATCH(Q$1,변수H,0),0),"")</f>
        <v/>
      </c>
      <c r="R11" s="39">
        <f>IFERROR(VLOOKUP($D11,환율,MATCH(R$1,변수H,0),0),"")</f>
        <v/>
      </c>
      <c r="S11" s="39">
        <f>IFERROR(VLOOKUP($D11,환율,MATCH(S$1,변수H,0),0),"")</f>
        <v/>
      </c>
      <c r="T11" s="39">
        <f>IFERROR(VLOOKUP($D11,환율,MATCH(T$1,변수H,0),0),"")</f>
        <v/>
      </c>
      <c r="U11" s="39">
        <f>IFERROR(VLOOKUP($D11,환율,MATCH(U$1,변수H,0),0),"")</f>
        <v/>
      </c>
      <c r="V11" s="39">
        <f>IFERROR(VLOOKUP($D11,환율,MATCH(V$1,변수H,0),0),"")</f>
        <v/>
      </c>
      <c r="W11" s="39">
        <f>IFERROR(VLOOKUP($D11,환율,MATCH(W$1,변수H,0),0),"")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32">
        <f>IFERROR(N11/M11-1,"")</f>
        <v/>
      </c>
      <c r="O12" s="32">
        <f>IFERROR(O11/N11-1,"")</f>
        <v/>
      </c>
      <c r="P12" s="32">
        <f>IFERROR(P11/O11-1,"")</f>
        <v/>
      </c>
      <c r="Q12" s="32">
        <f>IFERROR(Q11/P11-1,"")</f>
        <v/>
      </c>
      <c r="R12" s="32">
        <f>IFERROR(R11/Q11-1,"")</f>
        <v/>
      </c>
      <c r="S12" s="32">
        <f>IFERROR(S11/R11-1,"")</f>
        <v/>
      </c>
      <c r="T12" s="32">
        <f>IFERROR(T11/S11-1,"")</f>
        <v/>
      </c>
      <c r="U12" s="32">
        <f>IFERROR(U11/T11-1,"")</f>
        <v/>
      </c>
      <c r="V12" s="32">
        <f>IFERROR(V11/U11-1,"")</f>
        <v/>
      </c>
      <c r="W12" s="32">
        <f>IFERROR(W11/V11-1,"")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39">
        <f>IFERROR(VLOOKUP($D13,환율,MATCH(N$1,변수H,0),0),"")</f>
        <v/>
      </c>
      <c r="O13" s="39">
        <f>IFERROR(VLOOKUP($D13,환율,MATCH(O$1,변수H,0),0),"")</f>
        <v/>
      </c>
      <c r="P13" s="39">
        <f>IFERROR(VLOOKUP($D13,환율,MATCH(P$1,변수H,0),0),"")</f>
        <v/>
      </c>
      <c r="Q13" s="39">
        <f>IFERROR(VLOOKUP($D13,환율,MATCH(Q$1,변수H,0),0),"")</f>
        <v/>
      </c>
      <c r="R13" s="39">
        <f>IFERROR(VLOOKUP($D13,환율,MATCH(R$1,변수H,0),0),"")</f>
        <v/>
      </c>
      <c r="S13" s="39">
        <f>IFERROR(VLOOKUP($D13,환율,MATCH(S$1,변수H,0),0),"")</f>
        <v/>
      </c>
      <c r="T13" s="39">
        <f>IFERROR(VLOOKUP($D13,환율,MATCH(T$1,변수H,0),0),"")</f>
        <v/>
      </c>
      <c r="U13" s="39">
        <f>IFERROR(VLOOKUP($D13,환율,MATCH(U$1,변수H,0),0),"")</f>
        <v/>
      </c>
      <c r="V13" s="39">
        <f>IFERROR(VLOOKUP($D13,환율,MATCH(V$1,변수H,0),0),"")</f>
        <v/>
      </c>
      <c r="W13" s="39">
        <f>IFERROR(VLOOKUP($D13,환율,MATCH(W$1,변수H,0),0),"")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32">
        <f>IFERROR(N13/M13-1,"")</f>
        <v/>
      </c>
      <c r="O14" s="32">
        <f>IFERROR(O13/N13-1,"")</f>
        <v/>
      </c>
      <c r="P14" s="32">
        <f>IFERROR(P13/O13-1,"")</f>
        <v/>
      </c>
      <c r="Q14" s="32">
        <f>IFERROR(Q13/P13-1,"")</f>
        <v/>
      </c>
      <c r="R14" s="32">
        <f>IFERROR(R13/Q13-1,"")</f>
        <v/>
      </c>
      <c r="S14" s="32">
        <f>IFERROR(S13/R13-1,"")</f>
        <v/>
      </c>
      <c r="T14" s="32">
        <f>IFERROR(T13/S13-1,"")</f>
        <v/>
      </c>
      <c r="U14" s="32">
        <f>IFERROR(U13/T13-1,"")</f>
        <v/>
      </c>
      <c r="V14" s="32">
        <f>IFERROR(V13/U13-1,"")</f>
        <v/>
      </c>
      <c r="W14" s="32">
        <f>IFERROR(W13/V13-1,"")</f>
        <v/>
      </c>
    </row>
    <row r="15"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변수!D57</f>
        <v/>
      </c>
      <c r="E16" s="2" t="inlineStr">
        <is>
          <t>외화 순노출 × Δ기말환율 (외화 시트 방식)</t>
        </is>
      </c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20">
        <f>IFERROR($D$16*(N7-M7)/100,"")</f>
        <v/>
      </c>
      <c r="O17" s="20">
        <f>IFERROR($D$16*(O7-N7)/100,"")</f>
        <v/>
      </c>
      <c r="P17" s="20">
        <f>IFERROR($D$16*(P7-O7)/100,"")</f>
        <v/>
      </c>
      <c r="Q17" s="20">
        <f>IFERROR($D$16*(Q7-P7)/100,"")</f>
        <v/>
      </c>
      <c r="R17" s="20">
        <f>IFERROR($D$16*(R7-Q7)/100,"")</f>
        <v/>
      </c>
      <c r="S17" s="20">
        <f>IFERROR($D$16*(S7-R7)/100,"")</f>
        <v/>
      </c>
      <c r="T17" s="20">
        <f>IFERROR($D$16*(T7-S7)/100,"")</f>
        <v/>
      </c>
      <c r="U17" s="20">
        <f>IFERROR($D$16*(U7-T7)/100,"")</f>
        <v/>
      </c>
      <c r="V17" s="20">
        <f>IFERROR($D$16*(V7-U7)/100,"")</f>
        <v/>
      </c>
      <c r="W17" s="20">
        <f>IFERROR($D$16*(W7-V7)/100,"")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</row>
    <row r="19">
      <c r="C19" s="2" t="inlineStr">
        <is>
          <t>외화 순노출 미공시(face) → 0 + 표기</t>
        </is>
      </c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2026-10-13T00:00:00Z</dcterms:created>
  <dcterms:modified xsi:type="dcterms:W3CDTF">2026-10-13T00:00:00Z</dcterms:modified>
</cp:coreProperties>
</file>