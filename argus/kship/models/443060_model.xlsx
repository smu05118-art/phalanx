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고객지수 4분기 이동합(t−0) 200861억 × 비례계수 0.1120 × 계절비중 Q3 0.259(계절비중 — 최근 1개 연도(2026) 분기/연간 비중 평균; 격자 lag0~4×창8/12/19×수준·YoY·4Q합 중 최대 r=0.99, n=6, 창 8)</t>
      </text>
    </comment>
    <comment ref="Q21" authorId="0" shapeId="0">
      <text>
        <t>모델값 역산(implied): v / 전년동기 − 1
고객지수 4분기 이동합(t−0) 210607억 × 비례계수 0.1120 × 계절비중 Q4 0.260(계절비중 — 최근 1개 연도(2026) 분기/연간 비중 평균; 격자 lag0~4×창8/12/19×수준·YoY·4Q합 중 최대 r=0.99, n=6, 창 8)</t>
      </text>
    </comment>
    <comment ref="S21" authorId="0" shapeId="0">
      <text>
        <t>모델값 역산(implied): v / 전년동기 − 1
고객지수 4분기 이동합(t−0) 218685억 × 비례계수 0.1120 × 계절비중 Q1 0.245(계절비중 — 최근 1개 연도(2026) 분기/연간 비중 평균; 격자 lag0~4×창8/12/19×수준·YoY·4Q합 중 최대 r=0.99, n=6, 창 8)</t>
      </text>
    </comment>
    <comment ref="T21" authorId="0" shapeId="0">
      <text>
        <t>모델값 역산(implied): v / 전년동기 − 1
고객지수 4분기 이동합(t−0) 226078억 × 비례계수 0.1120 × 계절비중 Q2 0.236(계절비중 — 최근 1개 연도(2026) 분기/연간 비중 평균; 격자 lag0~4×창8/12/19×수준·YoY·4Q합 중 최대 r=0.99, n=6, 창 8)</t>
      </text>
    </comment>
    <comment ref="U21" authorId="0" shapeId="0">
      <text>
        <t>모델값 역산(implied): v / 전년동기 − 1
고객지수 4분기 이동합(t−0) 235281억 × 비례계수 0.1120 × 계절비중 Q3 0.259(계절비중 — 최근 1개 연도(2026) 분기/연간 비중 평균; 격자 lag0~4×창8/12/19×수준·YoY·4Q합 중 최대 r=0.99, n=6, 창 8)</t>
      </text>
    </comment>
    <comment ref="V21" authorId="0" shapeId="0">
      <text>
        <t>모델값 역산(implied): v / 전년동기 − 1
고객지수 4분기 이동합(t−0) 248047억 × 비례계수 0.1120 × 계절비중 Q4 0.260(계절비중 — 최근 1개 연도(2026) 분기/연간 비중 평균; 격자 lag0~4×창8/12/19×수준·YoY·4Q합 중 최대 r=0.99, n=6, 창 8)</t>
      </text>
    </comment>
    <comment ref="X21" authorId="0" shapeId="0">
      <text>
        <t>모델값 역산(implied): v / 전년동기 − 1
고객지수 4분기 이동합(t−0) 263188억 × 비례계수 0.1120 × 계절비중 Q1 0.245(계절비중 — 최근 1개 연도(2026) 분기/연간 비중 평균; 격자 lag0~4×창8/12/19×수준·YoY·4Q합 중 최대 r=0.99, n=6, 창 8)</t>
      </text>
    </comment>
    <comment ref="Y21" authorId="0" shapeId="0">
      <text>
        <t>모델값 역산(implied): v / 전년동기 − 1
고객지수 4분기 이동합(t−0) 279419억 × 비례계수 0.1120 × 계절비중 Q2 0.236(계절비중 — 최근 1개 연도(2026) 분기/연간 비중 평균; 격자 lag0~4×창8/12/19×수준·YoY·4Q합 중 최대 r=0.99, n=6, 창 8)</t>
      </text>
    </comment>
    <comment ref="Z21" authorId="0" shapeId="0">
      <text>
        <t>모델값 역산(implied): v / 전년동기 − 1
고객지수 4분기 이동합(t−0) 295486억 × 비례계수 0.1120 × 계절비중 Q3 0.259(계절비중 — 최근 1개 연도(2026) 분기/연간 비중 평균; 격자 lag0~4×창8/12/19×수준·YoY·4Q합 중 최대 r=0.99, n=6, 창 8)</t>
      </text>
    </comment>
    <comment ref="AA21" authorId="0" shapeId="0">
      <text>
        <t>모델값 역산(implied): v / 전년동기 − 1
고객지수 4분기 이동합(t−0) 309727억 × 비례계수 0.1120 × 계절비중 Q4 0.260(계절비중 — 최근 1개 연도(2026) 분기/연간 비중 평균; 격자 lag0~4×창8/12/19×수준·YoY·4Q합 중 최대 r=0.99, n=6, 창 8)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고객지수 4분기 이동합(t−0) 200861억 × 비례계수 0.1120 × 계절비중 Q3 0.259(계절비중 — 최근 1개 연도(2026) 분기/연간 비중 평균; 격자 lag0~4×창8/12/19×수준·YoY·4Q합 중 최대 r=0.99, n=6, 창 8)
[yoy]</t>
      </text>
    </comment>
    <comment ref="Q5" authorId="0" shapeId="0">
      <text>
        <t>추정: 고객지수 4분기 이동합(t−0) 210607억 × 비례계수 0.1120 × 계절비중 Q4 0.260(계절비중 — 최근 1개 연도(2026) 분기/연간 비중 평균; 격자 lag0~4×창8/12/19×수준·YoY·4Q합 중 최대 r=0.99, n=6, 창 8)
[yoy]</t>
      </text>
    </comment>
    <comment ref="S5" authorId="0" shapeId="0">
      <text>
        <t>추정: 고객지수 4분기 이동합(t−0) 218685억 × 비례계수 0.1120 × 계절비중 Q1 0.245(계절비중 — 최근 1개 연도(2026) 분기/연간 비중 평균; 격자 lag0~4×창8/12/19×수준·YoY·4Q합 중 최대 r=0.99, n=6, 창 8)
[yoy]</t>
      </text>
    </comment>
    <comment ref="T5" authorId="0" shapeId="0">
      <text>
        <t>추정: 고객지수 4분기 이동합(t−0) 226078억 × 비례계수 0.1120 × 계절비중 Q2 0.236(계절비중 — 최근 1개 연도(2026) 분기/연간 비중 평균; 격자 lag0~4×창8/12/19×수준·YoY·4Q합 중 최대 r=0.99, n=6, 창 8)
[yoy]</t>
      </text>
    </comment>
    <comment ref="U5" authorId="0" shapeId="0">
      <text>
        <t>추정: 고객지수 4분기 이동합(t−0) 235281억 × 비례계수 0.1120 × 계절비중 Q3 0.259(계절비중 — 최근 1개 연도(2026) 분기/연간 비중 평균; 격자 lag0~4×창8/12/19×수준·YoY·4Q합 중 최대 r=0.99, n=6, 창 8)
[yoy]</t>
      </text>
    </comment>
    <comment ref="V5" authorId="0" shapeId="0">
      <text>
        <t>추정: 고객지수 4분기 이동합(t−0) 248047억 × 비례계수 0.1120 × 계절비중 Q4 0.260(계절비중 — 최근 1개 연도(2026) 분기/연간 비중 평균; 격자 lag0~4×창8/12/19×수준·YoY·4Q합 중 최대 r=0.99, n=6, 창 8)
[yoy]</t>
      </text>
    </comment>
    <comment ref="X5" authorId="0" shapeId="0">
      <text>
        <t>추정: 고객지수 4분기 이동합(t−0) 263188억 × 비례계수 0.1120 × 계절비중 Q1 0.245(계절비중 — 최근 1개 연도(2026) 분기/연간 비중 평균; 격자 lag0~4×창8/12/19×수준·YoY·4Q합 중 최대 r=0.99, n=6, 창 8)
[yoy]</t>
      </text>
    </comment>
    <comment ref="Y5" authorId="0" shapeId="0">
      <text>
        <t>추정: 고객지수 4분기 이동합(t−0) 279419억 × 비례계수 0.1120 × 계절비중 Q2 0.236(계절비중 — 최근 1개 연도(2026) 분기/연간 비중 평균; 격자 lag0~4×창8/12/19×수준·YoY·4Q합 중 최대 r=0.99, n=6, 창 8)
[yoy]</t>
      </text>
    </comment>
    <comment ref="Z5" authorId="0" shapeId="0">
      <text>
        <t>추정: 고객지수 4분기 이동합(t−0) 295486억 × 비례계수 0.1120 × 계절비중 Q3 0.259(계절비중 — 최근 1개 연도(2026) 분기/연간 비중 평균; 격자 lag0~4×창8/12/19×수준·YoY·4Q합 중 최대 r=0.99, n=6, 창 8)
[yoy]</t>
      </text>
    </comment>
    <comment ref="AA5" authorId="0" shapeId="0">
      <text>
        <t>추정: 고객지수 4분기 이동합(t−0) 309727억 × 비례계수 0.1120 × 계절비중 Q4 0.260(계절비중 — 최근 1개 연도(2026) 분기/연간 비중 평균; 격자 lag0~4×창8/12/19×수준·YoY·4Q합 중 최대 r=0.99, n=6, 창 8)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6295억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7148억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7987억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7057억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8005억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9013억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10025억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9294억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10487억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6295억 × 2.88%(주석 이자수익 ÷ 평균 이자발생자산(2025Q3~2026Q2)) − 총차입금 0억 × 0.00%(없음) (연율) ÷ 4
[interest]</t>
      </text>
    </comment>
    <comment ref="S12" authorId="0" shapeId="0">
      <text>
        <t>추정: 이자발생자산 7148억 × 2.88%(주석 이자수익 ÷ 평균 이자발생자산(2025Q3~2026Q2)) − 총차입금 0억 × 0.00%(없음) (연율) ÷ 4
[interest]</t>
      </text>
    </comment>
    <comment ref="T12" authorId="0" shapeId="0">
      <text>
        <t>추정: 이자발생자산 7987억 × 2.88%(주석 이자수익 ÷ 평균 이자발생자산(2025Q3~2026Q2)) − 총차입금 0억 × 0.00%(없음) (연율) ÷ 4
[interest]</t>
      </text>
    </comment>
    <comment ref="U12" authorId="0" shapeId="0">
      <text>
        <t>추정: 이자발생자산 7057억 × 2.88%(주석 이자수익 ÷ 평균 이자발생자산(2025Q3~2026Q2)) − 총차입금 0억 × 0.00%(없음) (연율) ÷ 4
[interest]</t>
      </text>
    </comment>
    <comment ref="V12" authorId="0" shapeId="0">
      <text>
        <t>추정: 이자발생자산 8005억 × 2.88%(주석 이자수익 ÷ 평균 이자발생자산(2025Q3~2026Q2)) − 총차입금 0억 × 0.00%(없음) (연율) ÷ 4
[interest]</t>
      </text>
    </comment>
    <comment ref="X12" authorId="0" shapeId="0">
      <text>
        <t>추정: 이자발생자산 9013억 × 2.88%(주석 이자수익 ÷ 평균 이자발생자산(2025Q3~2026Q2)) − 총차입금 0억 × 0.00%(없음) (연율) ÷ 4
[interest]</t>
      </text>
    </comment>
    <comment ref="Y12" authorId="0" shapeId="0">
      <text>
        <t>추정: 이자발생자산 10025억 × 2.88%(주석 이자수익 ÷ 평균 이자발생자산(2025Q3~2026Q2)) − 총차입금 0억 × 0.00%(없음) (연율) ÷ 4
[interest]</t>
      </text>
    </comment>
    <comment ref="Z12" authorId="0" shapeId="0">
      <text>
        <t>추정: 이자발생자산 9294억 × 2.88%(주석 이자수익 ÷ 평균 이자발생자산(2025Q3~2026Q2)) − 총차입금 0억 × 0.00%(없음) (연율) ÷ 4
[interest]</t>
      </text>
    </comment>
    <comment ref="AA12" authorId="0" shapeId="0">
      <text>
        <t>추정: 이자발생자산 10487억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5239.22, "rev_act": 5162.05, "op_pred": 895.58, "op_act": 905.28}, {"q": "2026Q1", "rev_pred": 5317.65, "rev_act": 5746.09, "op_pred": 908.98, "op_act": 933.94}, {"q": "2026Q2", "rev_pred": 5245.04,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1348.08</v>
      </c>
      <c r="R6" s="17" t="n">
        <v>1458.99</v>
      </c>
      <c r="S6" s="16" t="n">
        <v>1338.78</v>
      </c>
      <c r="T6" s="16" t="n">
        <v>1338.78</v>
      </c>
      <c r="U6" s="16" t="n">
        <v>1338.78</v>
      </c>
      <c r="V6" s="16" t="n">
        <v>1338.78</v>
      </c>
      <c r="W6" s="11" t="n"/>
      <c r="X6" s="16" t="n">
        <v>1338.78</v>
      </c>
      <c r="Y6" s="16" t="n">
        <v>1338.78</v>
      </c>
      <c r="Z6" s="16" t="n">
        <v>1338.78</v>
      </c>
      <c r="AA6" s="16" t="n">
        <v>1338.78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1338.78</v>
      </c>
      <c r="R7" s="17" t="n">
        <v>1338.78</v>
      </c>
      <c r="S7" s="16" t="n">
        <v>1338.78</v>
      </c>
      <c r="T7" s="16" t="n">
        <v>1338.78</v>
      </c>
      <c r="U7" s="16" t="n">
        <v>1338.78</v>
      </c>
      <c r="V7" s="16" t="n">
        <v>1338.78</v>
      </c>
      <c r="W7" s="11" t="n"/>
      <c r="X7" s="16" t="n">
        <v>1338.78</v>
      </c>
      <c r="Y7" s="16" t="n">
        <v>1338.78</v>
      </c>
      <c r="Z7" s="16" t="n">
        <v>1338.78</v>
      </c>
      <c r="AA7" s="16" t="n">
        <v>1338.78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853.26</v>
      </c>
      <c r="R8" s="17" t="n">
        <v>920.3099999999999</v>
      </c>
      <c r="S8" s="16" t="n">
        <v>846.85</v>
      </c>
      <c r="T8" s="16" t="n">
        <v>846.85</v>
      </c>
      <c r="U8" s="16" t="n">
        <v>846.85</v>
      </c>
      <c r="V8" s="16" t="n">
        <v>846.85</v>
      </c>
      <c r="W8" s="11" t="n"/>
      <c r="X8" s="16" t="n">
        <v>846.85</v>
      </c>
      <c r="Y8" s="16" t="n">
        <v>846.85</v>
      </c>
      <c r="Z8" s="16" t="n">
        <v>846.85</v>
      </c>
      <c r="AA8" s="16" t="n">
        <v>846.85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846.85</v>
      </c>
      <c r="R9" s="17" t="n">
        <v>846.85</v>
      </c>
      <c r="S9" s="16" t="n">
        <v>846.85</v>
      </c>
      <c r="T9" s="16" t="n">
        <v>846.85</v>
      </c>
      <c r="U9" s="16" t="n">
        <v>846.85</v>
      </c>
      <c r="V9" s="16" t="n">
        <v>846.85</v>
      </c>
      <c r="W9" s="11" t="n"/>
      <c r="X9" s="16" t="n">
        <v>846.85</v>
      </c>
      <c r="Y9" s="16" t="n">
        <v>846.85</v>
      </c>
      <c r="Z9" s="16" t="n">
        <v>846.85</v>
      </c>
      <c r="AA9" s="16" t="n">
        <v>846.85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1516.47</v>
      </c>
      <c r="R10" s="17" t="n">
        <v>1692.86</v>
      </c>
      <c r="S10" s="16" t="n">
        <v>1508.67</v>
      </c>
      <c r="T10" s="16" t="n">
        <v>1508.67</v>
      </c>
      <c r="U10" s="16" t="n">
        <v>1508.67</v>
      </c>
      <c r="V10" s="16" t="n">
        <v>1508.67</v>
      </c>
      <c r="W10" s="11" t="n"/>
      <c r="X10" s="16" t="n">
        <v>1508.67</v>
      </c>
      <c r="Y10" s="16" t="n">
        <v>1508.67</v>
      </c>
      <c r="Z10" s="16" t="n">
        <v>1508.67</v>
      </c>
      <c r="AA10" s="16" t="n">
        <v>1508.67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1508.67</v>
      </c>
      <c r="R11" s="17" t="n">
        <v>1508.67</v>
      </c>
      <c r="S11" s="16" t="n">
        <v>1508.67</v>
      </c>
      <c r="T11" s="16" t="n">
        <v>1508.67</v>
      </c>
      <c r="U11" s="16" t="n">
        <v>1508.67</v>
      </c>
      <c r="V11" s="16" t="n">
        <v>1508.67</v>
      </c>
      <c r="W11" s="11" t="n"/>
      <c r="X11" s="16" t="n">
        <v>1508.67</v>
      </c>
      <c r="Y11" s="16" t="n">
        <v>1508.67</v>
      </c>
      <c r="Z11" s="16" t="n">
        <v>1508.67</v>
      </c>
      <c r="AA11" s="16" t="n">
        <v>1508.67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201.07</v>
      </c>
      <c r="R12" s="17" t="n">
        <v>213.96</v>
      </c>
      <c r="S12" s="16" t="n">
        <v>199.68</v>
      </c>
      <c r="T12" s="16" t="n">
        <v>199.68</v>
      </c>
      <c r="U12" s="16" t="n">
        <v>199.68</v>
      </c>
      <c r="V12" s="16" t="n">
        <v>199.68</v>
      </c>
      <c r="W12" s="11" t="n"/>
      <c r="X12" s="16" t="n">
        <v>199.68</v>
      </c>
      <c r="Y12" s="16" t="n">
        <v>199.68</v>
      </c>
      <c r="Z12" s="16" t="n">
        <v>199.68</v>
      </c>
      <c r="AA12" s="16" t="n">
        <v>199.68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199.68</v>
      </c>
      <c r="R13" s="17" t="n">
        <v>199.68</v>
      </c>
      <c r="S13" s="16" t="n">
        <v>199.68</v>
      </c>
      <c r="T13" s="16" t="n">
        <v>199.68</v>
      </c>
      <c r="U13" s="16" t="n">
        <v>199.68</v>
      </c>
      <c r="V13" s="16" t="n">
        <v>199.68</v>
      </c>
      <c r="W13" s="11" t="n"/>
      <c r="X13" s="16" t="n">
        <v>199.68</v>
      </c>
      <c r="Y13" s="16" t="n">
        <v>199.68</v>
      </c>
      <c r="Z13" s="16" t="n">
        <v>199.68</v>
      </c>
      <c r="AA13" s="16" t="n">
        <v>199.68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220000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216500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229500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0.134636004</v>
      </c>
      <c r="Q21" s="24" t="n">
        <v>0.189687675</v>
      </c>
      <c r="R21" s="25" t="n"/>
      <c r="S21" s="24" t="n">
        <v>0.043959169</v>
      </c>
      <c r="T21" s="24" t="n">
        <v>0.029127715</v>
      </c>
      <c r="U21" s="24" t="n">
        <v>0.171362671</v>
      </c>
      <c r="V21" s="24" t="n">
        <v>0.177775462</v>
      </c>
      <c r="W21" s="25" t="n"/>
      <c r="X21" s="24" t="n">
        <v>0.203504771</v>
      </c>
      <c r="Y21" s="24" t="n">
        <v>0.23593886</v>
      </c>
      <c r="Z21" s="24" t="n">
        <v>0.255884125</v>
      </c>
      <c r="AA21" s="24" t="n">
        <v>0.248662033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0.17315566</v>
      </c>
      <c r="Q23" s="24" t="n">
        <v>0.173154238</v>
      </c>
      <c r="R23" s="25">
        <f>IFERROR(subQ!R9/subQ!R5,"")</f>
        <v/>
      </c>
      <c r="S23" s="24" t="n">
        <v>0.173154761</v>
      </c>
      <c r="T23" s="24" t="n">
        <v>0.173155093</v>
      </c>
      <c r="U23" s="24" t="n">
        <v>0.173155222</v>
      </c>
      <c r="V23" s="24" t="n">
        <v>0.173155223</v>
      </c>
      <c r="W23" s="25">
        <f>IFERROR(subQ!W9/subQ!W5,"")</f>
        <v/>
      </c>
      <c r="X23" s="24" t="n">
        <v>0.173154705</v>
      </c>
      <c r="Y23" s="24" t="n">
        <v>0.173155201</v>
      </c>
      <c r="Z23" s="24" t="n">
        <v>0.173155321</v>
      </c>
      <c r="AA23" s="24" t="n">
        <v>0.173155025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0.001251925</v>
      </c>
      <c r="Q32" s="30" t="n">
        <v>-0.006073347</v>
      </c>
      <c r="R32" s="31" t="n"/>
      <c r="S32" s="30" t="n">
        <v>-0.00553566</v>
      </c>
      <c r="T32" s="30" t="n">
        <v>1770.923702524</v>
      </c>
      <c r="U32" s="30" t="n">
        <v>-0.00265934</v>
      </c>
      <c r="V32" s="30" t="n">
        <v>-0.001695204</v>
      </c>
      <c r="W32" s="31" t="n"/>
      <c r="X32" s="30" t="n">
        <v>-0.006901615</v>
      </c>
      <c r="Y32" s="30" t="n">
        <v>1770.923164395</v>
      </c>
      <c r="Z32" s="30" t="n">
        <v>-0.007212785</v>
      </c>
      <c r="AA32" s="30" t="n">
        <v>0.000603019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0.001251925</v>
      </c>
      <c r="Q33" s="30" t="n">
        <v>-0.006073347</v>
      </c>
      <c r="R33" s="31" t="n"/>
      <c r="S33" s="30" t="n">
        <v>-0.00553566</v>
      </c>
      <c r="T33" s="30" t="n">
        <v>1770.923702524</v>
      </c>
      <c r="U33" s="30" t="n">
        <v>-0.00265934</v>
      </c>
      <c r="V33" s="30" t="n">
        <v>-0.001695204</v>
      </c>
      <c r="W33" s="31" t="n"/>
      <c r="X33" s="30" t="n">
        <v>-0.006901615</v>
      </c>
      <c r="Y33" s="30" t="n">
        <v>1770.923164395</v>
      </c>
      <c r="Z33" s="30" t="n">
        <v>-0.007212785</v>
      </c>
      <c r="AA33" s="30" t="n">
        <v>0.000603019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0.146919578</v>
      </c>
      <c r="Q36" s="24" t="n">
        <v>0.135556791</v>
      </c>
      <c r="R36" s="25" t="n"/>
      <c r="S36" s="24" t="n">
        <v>0.117378465</v>
      </c>
      <c r="T36" s="24" t="n">
        <v>-0.116509899</v>
      </c>
      <c r="U36" s="24" t="n">
        <v>0.134355896</v>
      </c>
      <c r="V36" s="24" t="n">
        <v>0.125970343</v>
      </c>
      <c r="W36" s="25" t="n"/>
      <c r="X36" s="24" t="n">
        <v>0.112297632</v>
      </c>
      <c r="Y36" s="24" t="n">
        <v>-0.072954331</v>
      </c>
      <c r="Z36" s="24" t="n">
        <v>0.128385365</v>
      </c>
      <c r="AA36" s="24" t="n">
        <v>0.120332556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220000</v>
      </c>
      <c r="E44" s="2" t="inlineStr">
        <is>
          <t>원 — 네이버 정규장 종가(aik 확정종가 대조 · aik 233,500원)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0.2300015396120177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0.05177174373914351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0.02881976601690427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7447.7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29.54</v>
      </c>
    </row>
    <row r="32">
      <c r="C32" s="2" t="inlineStr">
        <is>
          <t>pbr_now</t>
        </is>
      </c>
      <c r="D32" t="n">
        <v>11.06</v>
      </c>
    </row>
    <row r="33">
      <c r="C33" s="2" t="inlineStr">
        <is>
          <t>roe_fwd</t>
        </is>
      </c>
      <c r="D33" t="n">
        <v>0.3743</v>
      </c>
    </row>
    <row r="34">
      <c r="C34" s="2" t="inlineStr">
        <is>
          <t>fair_pbr</t>
        </is>
      </c>
      <c r="D34" t="n">
        <v>4.16</v>
      </c>
    </row>
    <row r="35">
      <c r="C35" s="2" t="inlineStr">
        <is>
          <t>fair_value_pbr</t>
        </is>
      </c>
      <c r="D35" t="n">
        <v>82800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