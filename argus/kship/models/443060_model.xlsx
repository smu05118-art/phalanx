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BS연결!$C$5:$AB$107</definedName>
    <definedName name="BS별도H">BS별도!$C$1:$AB$1</definedName>
    <definedName name="BS별도">BS별도!$C$5:$AB$90</definedName>
    <definedName name="SUBQH">subQ!$A$1:$AB$1</definedName>
    <definedName name="subQ">subQ!$A$5:$AB$43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quarters(partial — 분기 진행 중 실측 평균)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quarters(partial — 분기 진행 중 실측 평균)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quarters(partial — 분기 진행 중 실측 평균)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quarters(partial — 분기 진행 중 실측 평균)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quarters(partial — 분기 진행 중 실측 평균)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quarters(partial — 분기 진행 중 실측 평균)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Q15" authorId="0" shapeId="0">
      <text>
        <t>분기 진행 중(partial) — aikstockdata/토스 일봉</t>
      </text>
    </comment>
    <comment ref="Q16" authorId="0" shapeId="0">
      <text>
        <t>분기 진행 중(partial) — aikstockdata/토스 일봉</t>
      </text>
    </comment>
    <comment ref="Q17" authorId="0" shapeId="0">
      <text>
        <t>분기 진행 중(partial) — aikstockdata/토스 일봉</t>
      </text>
    </comment>
    <comment ref="Q18" authorId="0" shapeId="0">
      <text>
        <t>분기 진행 중(partial) — aikstockdata/토스 일봉</t>
      </text>
    </comment>
    <comment ref="P21" authorId="0" shapeId="0">
      <text>
        <t>모델값 역산(implied): v / 전년동기 − 1
고객 매출 가중지수(t−3) 45175억 × 비례계수 0.1262(원점회귀; 격자 lag0~4×창8/12/19×수준·YoY·4Q합 중 최대 r=0.90, n=9, 창 12)</t>
      </text>
    </comment>
    <comment ref="Q21" authorId="0" shapeId="0">
      <text>
        <t>모델값 역산(implied): v / 전년동기 − 1
고객 매출 가중지수(t−3) 48694억 × 비례계수 0.1262(원점회귀; 격자 lag0~4×창8/12/19×수준·YoY·4Q합 중 최대 r=0.90, n=9, 창 12)</t>
      </text>
    </comment>
    <comment ref="S21" authorId="0" shapeId="0">
      <text>
        <t>모델값 역산(implied): v / 전년동기 − 1
고객 매출 가중지수(t−3) 52634억 × 비례계수 0.1262(원점회귀; 격자 lag0~4×창8/12/19×수준·YoY·4Q합 중 최대 r=0.90, n=9, 창 12)</t>
      </text>
    </comment>
    <comment ref="T21" authorId="0" shapeId="0">
      <text>
        <t>모델값 역산(implied): v / 전년동기 − 1
고객 매출 가중지수(t−3) 54819억 × 비례계수 0.1262(원점회귀; 격자 lag0~4×창8/12/19×수준·YoY·4Q합 중 최대 r=0.90, n=9, 창 12)</t>
      </text>
    </comment>
    <comment ref="U21" authorId="0" shapeId="0">
      <text>
        <t>모델값 역산(implied): v / 전년동기 − 1
고객 매출 가중지수(t−3) 55516억 × 비례계수 0.1262(원점회귀; 격자 lag0~4×창8/12/19×수준·YoY·4Q합 중 최대 r=0.90, n=9, 창 12)</t>
      </text>
    </comment>
    <comment ref="V21" authorId="0" shapeId="0">
      <text>
        <t>모델값 역산(implied): v / 전년동기 − 1
고객 매출 가중지수(t−3) 56970억 × 비례계수 0.1262(원점회귀; 격자 lag0~4×창8/12/19×수준·YoY·4Q합 중 최대 r=0.90, n=9, 창 12)</t>
      </text>
    </comment>
    <comment ref="X21" authorId="0" shapeId="0">
      <text>
        <t>모델값 역산(implied): v / 전년동기 − 1
고객 매출 가중지수(t−3) 59918억 × 비례계수 0.1262(원점회귀; 격자 lag0~4×창8/12/19×수준·YoY·4Q합 중 최대 r=0.90, n=9, 창 12)</t>
      </text>
    </comment>
    <comment ref="Y21" authorId="0" shapeId="0">
      <text>
        <t>모델값 역산(implied): v / 전년동기 − 1
고객 매출 가중지수(t−3) 63228억 × 비례계수 0.1262(원점회귀; 격자 lag0~4×창8/12/19×수준·YoY·4Q합 중 최대 r=0.90, n=9, 창 12)</t>
      </text>
    </comment>
    <comment ref="Z21" authorId="0" shapeId="0">
      <text>
        <t>모델값 역산(implied): v / 전년동기 − 1
고객 매출 가중지수(t−3) 67208억 × 비례계수 0.1262(원점회귀; 격자 lag0~4×창8/12/19×수준·YoY·4Q합 중 최대 r=0.90, n=9, 창 12)</t>
      </text>
    </comment>
    <comment ref="AA21" authorId="0" shapeId="0">
      <text>
        <t>모델값 역산(implied): v / 전년동기 − 1
고객 매출 가중지수(t−3) 71365억 × 비례계수 0.1262(원점회귀; 격자 lag0~4×창8/12/19×수준·YoY·4Q합 중 최대 r=0.90, n=9, 창 12)</t>
      </text>
    </comment>
    <comment ref="P22" authorId="0" shapeId="0">
      <text>
        <t>3절 스칼라 '판관비율' 참조 — 숫자로 덮어쓰면 이 분기만 바뀐다
매출액 × 판관비율 5.18%(최근 4분기 중위)</t>
      </text>
    </comment>
    <comment ref="Q22" authorId="0" shapeId="0">
      <text>
        <t>3절 스칼라 '판관비율' 참조 — 숫자로 덮어쓰면 이 분기만 바뀐다
매출액 × 판관비율 5.18%(최근 4분기 중위)</t>
      </text>
    </comment>
    <comment ref="S22" authorId="0" shapeId="0">
      <text>
        <t>3절 스칼라 '판관비율' 참조 — 숫자로 덮어쓰면 이 분기만 바뀐다
매출액 × 판관비율 5.18%(최근 4분기 중위)</t>
      </text>
    </comment>
    <comment ref="T22" authorId="0" shapeId="0">
      <text>
        <t>3절 스칼라 '판관비율' 참조 — 숫자로 덮어쓰면 이 분기만 바뀐다
매출액 × 판관비율 5.18%(최근 4분기 중위)</t>
      </text>
    </comment>
    <comment ref="U22" authorId="0" shapeId="0">
      <text>
        <t>3절 스칼라 '판관비율' 참조 — 숫자로 덮어쓰면 이 분기만 바뀐다
매출액 × 판관비율 5.18%(최근 4분기 중위)</t>
      </text>
    </comment>
    <comment ref="V22" authorId="0" shapeId="0">
      <text>
        <t>3절 스칼라 '판관비율' 참조 — 숫자로 덮어쓰면 이 분기만 바뀐다
매출액 × 판관비율 5.18%(최근 4분기 중위)</t>
      </text>
    </comment>
    <comment ref="X22" authorId="0" shapeId="0">
      <text>
        <t>3절 스칼라 '판관비율' 참조 — 숫자로 덮어쓰면 이 분기만 바뀐다
매출액 × 판관비율 5.18%(최근 4분기 중위)</t>
      </text>
    </comment>
    <comment ref="Y22" authorId="0" shapeId="0">
      <text>
        <t>3절 스칼라 '판관비율' 참조 — 숫자로 덮어쓰면 이 분기만 바뀐다
매출액 × 판관비율 5.18%(최근 4분기 중위)</t>
      </text>
    </comment>
    <comment ref="Z22" authorId="0" shapeId="0">
      <text>
        <t>3절 스칼라 '판관비율' 참조 — 숫자로 덮어쓰면 이 분기만 바뀐다
매출액 × 판관비율 5.18%(최근 4분기 중위)</t>
      </text>
    </comment>
    <comment ref="AA22" authorId="0" shapeId="0">
      <text>
        <t>3절 스칼라 '판관비율' 참조 — 숫자로 덮어쓰면 이 분기만 바뀐다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Z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5" authorId="0" shapeId="0">
      <text>
        <t>모델값 역산(implied): 모델 v 그대로
파생상품 평가·거래손익 0 가정</t>
      </text>
    </comment>
    <comment ref="Q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Z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P26" authorId="0" shapeId="0">
      <text>
        <t>모델값 역산(implied): 모델 v 그대로
최근 4분기(2025Q3~2026Q2) 잔차 중위</t>
      </text>
    </comment>
    <comment ref="Q26" authorId="0" shapeId="0">
      <text>
        <t>모델값 역산(implied): 모델 v 그대로
최근 4분기(2025Q3~2026Q2) 잔차 중위</t>
      </text>
    </comment>
    <comment ref="S26" authorId="0" shapeId="0">
      <text>
        <t>모델값 역산(implied): 모델 v 그대로
최근 4분기(2025Q3~2026Q2) 잔차 중위</t>
      </text>
    </comment>
    <comment ref="T26" authorId="0" shapeId="0">
      <text>
        <t>모델값 역산(implied): 모델 v 그대로
최근 4분기(2025Q3~2026Q2) 잔차 중위</t>
      </text>
    </comment>
    <comment ref="U26" authorId="0" shapeId="0">
      <text>
        <t>모델값 역산(implied): 모델 v 그대로
최근 4분기(2025Q3~2026Q2) 잔차 중위</t>
      </text>
    </comment>
    <comment ref="V26" authorId="0" shapeId="0">
      <text>
        <t>모델값 역산(implied): 모델 v 그대로
최근 4분기(2025Q3~2026Q2) 잔차 중위</t>
      </text>
    </comment>
    <comment ref="X26" authorId="0" shapeId="0">
      <text>
        <t>모델값 역산(implied): 모델 v 그대로
최근 4분기(2025Q3~2026Q2) 잔차 중위</t>
      </text>
    </comment>
    <comment ref="Y26" authorId="0" shapeId="0">
      <text>
        <t>모델값 역산(implied): 모델 v 그대로
최근 4분기(2025Q3~2026Q2) 잔차 중위</t>
      </text>
    </comment>
    <comment ref="Z26" authorId="0" shapeId="0">
      <text>
        <t>모델값 역산(implied): 모델 v 그대로
최근 4분기(2025Q3~2026Q2) 잔차 중위</t>
      </text>
    </comment>
    <comment ref="AA26" authorId="0" shapeId="0">
      <text>
        <t>모델값 역산(implied): 모델 v 그대로
최근 4분기(2025Q3~2026Q2) 잔차 중위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Z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P28" authorId="0" shapeId="0">
      <text>
        <t>모델값 역산(implied): 모델 v 그대로
최근 4분기 중위</t>
      </text>
    </comment>
    <comment ref="Q28" authorId="0" shapeId="0">
      <text>
        <t>모델값 역산(implied): 모델 v 그대로
최근 4분기 중위</t>
      </text>
    </comment>
    <comment ref="S28" authorId="0" shapeId="0">
      <text>
        <t>모델값 역산(implied): 모델 v 그대로
최근 4분기 중위</t>
      </text>
    </comment>
    <comment ref="T28" authorId="0" shapeId="0">
      <text>
        <t>모델값 역산(implied): 모델 v 그대로
최근 4분기 중위</t>
      </text>
    </comment>
    <comment ref="U28" authorId="0" shapeId="0">
      <text>
        <t>모델값 역산(implied): 모델 v 그대로
최근 4분기 중위</t>
      </text>
    </comment>
    <comment ref="V28" authorId="0" shapeId="0">
      <text>
        <t>모델값 역산(implied): 모델 v 그대로
최근 4분기 중위</t>
      </text>
    </comment>
    <comment ref="X28" authorId="0" shapeId="0">
      <text>
        <t>모델값 역산(implied): 모델 v 그대로
최근 4분기 중위</t>
      </text>
    </comment>
    <comment ref="Y28" authorId="0" shapeId="0">
      <text>
        <t>모델값 역산(implied): 모델 v 그대로
최근 4분기 중위</t>
      </text>
    </comment>
    <comment ref="Z28" authorId="0" shapeId="0">
      <text>
        <t>모델값 역산(implied): 모델 v 그대로
최근 4분기 중위</t>
      </text>
    </comment>
    <comment ref="AA28" authorId="0" shapeId="0">
      <text>
        <t>모델값 역산(implied): 모델 v 그대로
최근 4분기 중위</t>
      </text>
    </comment>
    <comment ref="P29" authorId="0" shapeId="0">
      <text>
        <t>3절 스칼라 '세율' 참조 — 숫자로 덮어쓰면 이 분기만 바뀐다
max(세전, 0) × 세율 23.0%(최근 9분기 유효세율 23.0%(5~27% 안 — 그대로))</t>
      </text>
    </comment>
    <comment ref="Q29" authorId="0" shapeId="0">
      <text>
        <t>3절 스칼라 '세율' 참조 — 숫자로 덮어쓰면 이 분기만 바뀐다
max(세전, 0) × 세율 23.0%(최근 9분기 유효세율 23.0%(5~27% 안 — 그대로))</t>
      </text>
    </comment>
    <comment ref="S29" authorId="0" shapeId="0">
      <text>
        <t>3절 스칼라 '세율' 참조 — 숫자로 덮어쓰면 이 분기만 바뀐다
max(세전, 0) × 세율 23.0%(최근 9분기 유효세율 23.0%(5~27% 안 — 그대로))</t>
      </text>
    </comment>
    <comment ref="T29" authorId="0" shapeId="0">
      <text>
        <t>3절 스칼라 '세율' 참조 — 숫자로 덮어쓰면 이 분기만 바뀐다
max(세전, 0) × 세율 23.0%(최근 9분기 유효세율 23.0%(5~27% 안 — 그대로))</t>
      </text>
    </comment>
    <comment ref="U29" authorId="0" shapeId="0">
      <text>
        <t>3절 스칼라 '세율' 참조 — 숫자로 덮어쓰면 이 분기만 바뀐다
max(세전, 0) × 세율 23.0%(최근 9분기 유효세율 23.0%(5~27% 안 — 그대로))</t>
      </text>
    </comment>
    <comment ref="V29" authorId="0" shapeId="0">
      <text>
        <t>3절 스칼라 '세율' 참조 — 숫자로 덮어쓰면 이 분기만 바뀐다
max(세전, 0) × 세율 23.0%(최근 9분기 유효세율 23.0%(5~27% 안 — 그대로))</t>
      </text>
    </comment>
    <comment ref="X29" authorId="0" shapeId="0">
      <text>
        <t>3절 스칼라 '세율' 참조 — 숫자로 덮어쓰면 이 분기만 바뀐다
max(세전, 0) × 세율 23.0%(최근 9분기 유효세율 23.0%(5~27% 안 — 그대로))</t>
      </text>
    </comment>
    <comment ref="Y29" authorId="0" shapeId="0">
      <text>
        <t>3절 스칼라 '세율' 참조 — 숫자로 덮어쓰면 이 분기만 바뀐다
max(세전, 0) × 세율 23.0%(최근 9분기 유효세율 23.0%(5~27% 안 — 그대로))</t>
      </text>
    </comment>
    <comment ref="Z29" authorId="0" shapeId="0">
      <text>
        <t>3절 스칼라 '세율' 참조 — 숫자로 덮어쓰면 이 분기만 바뀐다
max(세전, 0) × 세율 23.0%(최근 9분기 유효세율 23.0%(5~27% 안 — 그대로))</t>
      </text>
    </comment>
    <comment ref="AA29" authorId="0" shapeId="0">
      <text>
        <t>3절 스칼라 '세율' 참조 — 숫자로 덮어쓰면 이 분기만 바뀐다
max(세전, 0) × 세율 23.0%(최근 9분기 유효세율 23.0%(5~27% 안 — 그대로))</t>
      </text>
    </comment>
    <comment ref="P30" authorId="0" shapeId="0">
      <text>
        <t>3절 스칼라 '지배주주비중' 참조 — 숫자로 덮어쓰면 이 분기만 바뀐다
당기순이익 × (1 − 비지배 비중 0.0%, 최근 8분기 실측)</t>
      </text>
    </comment>
    <comment ref="Q30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3절 스칼라 '지배주주비중' 참조 — 숫자로 덮어쓰면 이 분기만 바뀐다
당기순이익 × (1 − 비지배 비중 0.0%, 최근 8분기 실측)</t>
      </text>
    </comment>
    <comment ref="T30" authorId="0" shapeId="0">
      <text>
        <t>3절 스칼라 '지배주주비중' 참조 — 숫자로 덮어쓰면 이 분기만 바뀐다
당기순이익 × (1 − 비지배 비중 0.0%, 최근 8분기 실측)</t>
      </text>
    </comment>
    <comment ref="U30" authorId="0" shapeId="0">
      <text>
        <t>3절 스칼라 '지배주주비중' 참조 — 숫자로 덮어쓰면 이 분기만 바뀐다
당기순이익 × (1 − 비지배 비중 0.0%, 최근 8분기 실측)</t>
      </text>
    </comment>
    <comment ref="V30" authorId="0" shapeId="0">
      <text>
        <t>3절 스칼라 '지배주주비중' 참조 — 숫자로 덮어쓰면 이 분기만 바뀐다
당기순이익 × (1 − 비지배 비중 0.0%, 최근 8분기 실측)</t>
      </text>
    </comment>
    <comment ref="X30" authorId="0" shapeId="0">
      <text>
        <t>3절 스칼라 '지배주주비중' 참조 — 숫자로 덮어쓰면 이 분기만 바뀐다
당기순이익 × (1 − 비지배 비중 0.0%, 최근 8분기 실측)</t>
      </text>
    </comment>
    <comment ref="Y30" authorId="0" shapeId="0">
      <text>
        <t>3절 스칼라 '지배주주비중' 참조 — 숫자로 덮어쓰면 이 분기만 바뀐다
당기순이익 × (1 − 비지배 비중 0.0%, 최근 8분기 실측)</t>
      </text>
    </comment>
    <comment ref="Z30" authorId="0" shapeId="0">
      <text>
        <t>3절 스칼라 '지배주주비중' 참조 — 숫자로 덮어쓰면 이 분기만 바뀐다
당기순이익 × (1 − 비지배 비중 0.0%, 최근 8분기 실측)</t>
      </text>
    </comment>
    <comment ref="AA30" authorId="0" shapeId="0">
      <text>
        <t>3절 스칼라 '지배주주비중' 참조 — 숫자로 덮어쓰면 이 분기만 바뀐다
당기순이익 × (1 − 비지배 비중 0.0%, 최근 8분기 실측)</t>
      </text>
    </comment>
    <comment ref="P31" authorId="0" shapeId="0">
      <text>
        <t>모델값 역산(implied): v / 전분기 − 1
마지막 실적 유지(가정)</t>
      </text>
    </comment>
    <comment ref="Q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Q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Z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Q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Z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P36" authorId="0" shapeId="0">
      <text>
        <t>모델값 역산(implied): v / 전분기 − 1
전분기 + FCF 근사 — 순차입금 롤과 같은 가정</t>
      </text>
    </comment>
    <comment ref="Q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X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Y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Z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A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40" authorId="0" shapeId="0">
      <text>
        <t>모델값 역산(implied): v / 전분기 − 1
유통주식수 유지 — fin.shares.common_outstanding(2026Q2)</t>
      </text>
    </comment>
    <comment ref="Q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Z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Q41" authorId="0" shapeId="0">
      <text>
        <t>모델값 역산(implied): 모델 v 그대로
직전 결산 DPS 3,950원 유지</t>
      </text>
    </comment>
    <comment ref="V41" authorId="0" shapeId="0">
      <text>
        <t>모델값 역산(implied): 모델 v 그대로
직전 결산 DPS 3,950원 유지</t>
      </text>
    </comment>
    <comment ref="AA41" authorId="0" shapeId="0">
      <text>
        <t>모델값 역산(implied): 모델 v 그대로
직전 결산 DPS 3,950원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 매출 가중지수(t−3) 45175억 × 비례계수 0.1262(원점회귀; 격자 lag0~4×창8/12/19×수준·YoY·4Q합 중 최대 r=0.90, n=9, 창 12)
[yoy]</t>
      </text>
    </comment>
    <comment ref="Q5" authorId="0" shapeId="0">
      <text>
        <t>추정: 고객 매출 가중지수(t−3) 48694억 × 비례계수 0.1262(원점회귀; 격자 lag0~4×창8/12/19×수준·YoY·4Q합 중 최대 r=0.90, n=9, 창 12)
[yoy]</t>
      </text>
    </comment>
    <comment ref="S5" authorId="0" shapeId="0">
      <text>
        <t>추정: 고객 매출 가중지수(t−3) 52634억 × 비례계수 0.1262(원점회귀; 격자 lag0~4×창8/12/19×수준·YoY·4Q합 중 최대 r=0.90, n=9, 창 12)
[yoy]</t>
      </text>
    </comment>
    <comment ref="T5" authorId="0" shapeId="0">
      <text>
        <t>추정: 고객 매출 가중지수(t−3) 54819억 × 비례계수 0.1262(원점회귀; 격자 lag0~4×창8/12/19×수준·YoY·4Q합 중 최대 r=0.90, n=9, 창 12)
[yoy]</t>
      </text>
    </comment>
    <comment ref="U5" authorId="0" shapeId="0">
      <text>
        <t>추정: 고객 매출 가중지수(t−3) 55516억 × 비례계수 0.1262(원점회귀; 격자 lag0~4×창8/12/19×수준·YoY·4Q합 중 최대 r=0.90, n=9, 창 12)
[yoy]</t>
      </text>
    </comment>
    <comment ref="V5" authorId="0" shapeId="0">
      <text>
        <t>추정: 고객 매출 가중지수(t−3) 56970억 × 비례계수 0.1262(원점회귀; 격자 lag0~4×창8/12/19×수준·YoY·4Q합 중 최대 r=0.90, n=9, 창 12)
[yoy]</t>
      </text>
    </comment>
    <comment ref="X5" authorId="0" shapeId="0">
      <text>
        <t>추정: 고객 매출 가중지수(t−3) 59918억 × 비례계수 0.1262(원점회귀; 격자 lag0~4×창8/12/19×수준·YoY·4Q합 중 최대 r=0.90, n=9, 창 12)
[yoy]</t>
      </text>
    </comment>
    <comment ref="Y5" authorId="0" shapeId="0">
      <text>
        <t>추정: 고객 매출 가중지수(t−3) 63228억 × 비례계수 0.1262(원점회귀; 격자 lag0~4×창8/12/19×수준·YoY·4Q합 중 최대 r=0.90, n=9, 창 12)
[yoy]</t>
      </text>
    </comment>
    <comment ref="Z5" authorId="0" shapeId="0">
      <text>
        <t>추정: 고객 매출 가중지수(t−3) 67208억 × 비례계수 0.1262(원점회귀; 격자 lag0~4×창8/12/19×수준·YoY·4Q합 중 최대 r=0.90, n=9, 창 12)
[yoy]</t>
      </text>
    </comment>
    <comment ref="AA5" authorId="0" shapeId="0">
      <text>
        <t>추정: 고객 매출 가중지수(t−3) 71365억 × 비례계수 0.1262(원점회귀; 격자 lag0~4×창8/12/19×수준·YoY·4Q합 중 최대 r=0.90, n=9, 창 12)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P10" authorId="0" shapeId="0">
      <text>
        <t>추정: 최근 8분기 OPM 중위 17.3% 유지
[divide]</t>
      </text>
    </comment>
    <comment ref="Q10" authorId="0" shapeId="0">
      <text>
        <t>추정: 최근 8분기 OPM 중위 17.3% 유지
[divide]</t>
      </text>
    </comment>
    <comment ref="S10" authorId="0" shapeId="0">
      <text>
        <t>추정: 최근 8분기 OPM 중위 17.3% 유지
[divide]</t>
      </text>
    </comment>
    <comment ref="T10" authorId="0" shapeId="0">
      <text>
        <t>추정: 최근 8분기 OPM 중위 17.3% 유지
[divide]</t>
      </text>
    </comment>
    <comment ref="U10" authorId="0" shapeId="0">
      <text>
        <t>추정: 최근 8분기 OPM 중위 17.3% 유지
[divide]</t>
      </text>
    </comment>
    <comment ref="V10" authorId="0" shapeId="0">
      <text>
        <t>추정: 최근 8분기 OPM 중위 17.3% 유지
[divide]</t>
      </text>
    </comment>
    <comment ref="X10" authorId="0" shapeId="0">
      <text>
        <t>추정: 최근 8분기 OPM 중위 17.3% 유지
[divide]</t>
      </text>
    </comment>
    <comment ref="Y10" authorId="0" shapeId="0">
      <text>
        <t>추정: 최근 8분기 OPM 중위 17.3% 유지
[divide]</t>
      </text>
    </comment>
    <comment ref="Z10" authorId="0" shapeId="0">
      <text>
        <t>추정: 최근 8분기 OPM 중위 17.3% 유지
[divide]</t>
      </text>
    </comment>
    <comment ref="AA10" authorId="0" shapeId="0">
      <text>
        <t>추정: 최근 8분기 OPM 중위 17.3% 유지
[divide]</t>
      </text>
    </comment>
    <comment ref="P11" authorId="0" shapeId="0">
      <text>
        <t>추정: 이자손익 + 외환손익 0 + 파생상품손익 0 + 기타금융손익 +0.00억(최근 4분기(2025Q3~2026Q2) 잔차 중위) (항등식); 이자손익 = 이자발생자산 5489억 × 2.88%(주석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+0.00억(최근 4분기(2025Q3~2026Q2) 잔차 중위) (항등식); 이자손익 = 이자발생자산 6279억 × 2.88%(주석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+0.00억(최근 4분기(2025Q3~2026Q2) 잔차 중위) (항등식); 이자손익 = 이자발생자산 7133억 × 2.88%(주석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+0.00억(최근 4분기(2025Q3~2026Q2) 잔차 중위) (항등식); 이자손익 = 이자발생자산 8057억 × 2.88%(주석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+0.00억(최근 4분기(2025Q3~2026Q2) 잔차 중위) (항등식); 이자손익 = 이자발생자산 7253억 × 2.88%(주석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+0.00억(최근 4분기(2025Q3~2026Q2) 잔차 중위) (항등식); 이자손익 = 이자발생자산 8227억 × 2.88%(주석 이자수익 ÷ 평균 이자발생자산(2025Q3~2026Q2)) − 총차입금 0억 × 0.00%(없음) (연율) ÷ 4; 환율 효과는 환관련손익 행 별도
[identity]</t>
      </text>
    </comment>
    <comment ref="X11" authorId="0" shapeId="0">
      <text>
        <t>추정: 이자손익 + 외환손익 0 + 파생상품손익 0 + 기타금융손익 +0.00억(최근 4분기(2025Q3~2026Q2) 잔차 중위) (항등식); 이자손익 = 이자발생자산 9231억 × 2.88%(주석 이자수익 ÷ 평균 이자발생자산(2025Q3~2026Q2)) − 총차입금 0억 × 0.00%(없음) (연율) ÷ 4; 환율 효과는 환관련손익 행 별도
[identity]</t>
      </text>
    </comment>
    <comment ref="Y11" authorId="0" shapeId="0">
      <text>
        <t>추정: 이자손익 + 외환손익 0 + 파생상품손익 0 + 기타금융손익 +0.00억(최근 4분기(2025Q3~2026Q2) 잔차 중위) (항등식); 이자손익 = 이자발생자산 10290억 × 2.88%(주석 이자수익 ÷ 평균 이자발생자산(2025Q3~2026Q2)) − 총차입금 0억 × 0.00%(없음) (연율) ÷ 4; 환율 효과는 환관련손익 행 별도
[identity]</t>
      </text>
    </comment>
    <comment ref="Z11" authorId="0" shapeId="0">
      <text>
        <t>추정: 이자손익 + 외환손익 0 + 파생상품손익 0 + 기타금융손익 +0.00억(최근 4분기(2025Q3~2026Q2) 잔차 중위) (항등식); 이자손익 = 이자발생자산 9640억 × 2.88%(주석 이자수익 ÷ 평균 이자발생자산(2025Q3~2026Q2)) − 총차입금 0억 × 0.00%(없음)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4분기(2025Q3~2026Q2) 잔차 중위) (항등식); 이자손익 = 이자발생자산 10824억 × 2.88%(주석 이자수익 ÷ 평균 이자발생자산(2025Q3~2026Q2)) − 총차입금 0억 × 0.00%(없음) (연율) ÷ 4; 환율 효과는 환관련손익 행 별도
[identity]</t>
      </text>
    </comment>
    <comment ref="P12" authorId="0" shapeId="0">
      <text>
        <t>추정: 이자발생자산 5489억 × 2.88%(주석 이자수익 ÷ 평균 이자발생자산(2025Q3~2026Q2)) − 총차입금 0억 × 0.00%(없음) (연율) ÷ 4
[interest]</t>
      </text>
    </comment>
    <comment ref="Q12" authorId="0" shapeId="0">
      <text>
        <t>추정: 이자발생자산 6279억 × 2.88%(주석 이자수익 ÷ 평균 이자발생자산(2025Q3~2026Q2)) − 총차입금 0억 × 0.00%(없음) (연율) ÷ 4
[interest]</t>
      </text>
    </comment>
    <comment ref="S12" authorId="0" shapeId="0">
      <text>
        <t>추정: 이자발생자산 7133억 × 2.88%(주석 이자수익 ÷ 평균 이자발생자산(2025Q3~2026Q2)) − 총차입금 0억 × 0.00%(없음) (연율) ÷ 4
[interest]</t>
      </text>
    </comment>
    <comment ref="T12" authorId="0" shapeId="0">
      <text>
        <t>추정: 이자발생자산 8057억 × 2.88%(주석 이자수익 ÷ 평균 이자발생자산(2025Q3~2026Q2)) − 총차입금 0억 × 0.00%(없음) (연율) ÷ 4
[interest]</t>
      </text>
    </comment>
    <comment ref="U12" authorId="0" shapeId="0">
      <text>
        <t>추정: 이자발생자산 7253억 × 2.88%(주석 이자수익 ÷ 평균 이자발생자산(2025Q3~2026Q2)) − 총차입금 0억 × 0.00%(없음) (연율) ÷ 4
[interest]</t>
      </text>
    </comment>
    <comment ref="V12" authorId="0" shapeId="0">
      <text>
        <t>추정: 이자발생자산 8227억 × 2.88%(주석 이자수익 ÷ 평균 이자발생자산(2025Q3~2026Q2)) − 총차입금 0억 × 0.00%(없음) (연율) ÷ 4
[interest]</t>
      </text>
    </comment>
    <comment ref="X12" authorId="0" shapeId="0">
      <text>
        <t>추정: 이자발생자산 9231억 × 2.88%(주석 이자수익 ÷ 평균 이자발생자산(2025Q3~2026Q2)) − 총차입금 0억 × 0.00%(없음) (연율) ÷ 4
[interest]</t>
      </text>
    </comment>
    <comment ref="Y12" authorId="0" shapeId="0">
      <text>
        <t>추정: 이자발생자산 10290억 × 2.88%(주석 이자수익 ÷ 평균 이자발생자산(2025Q3~2026Q2)) − 총차입금 0억 × 0.00%(없음) (연율) ÷ 4
[interest]</t>
      </text>
    </comment>
    <comment ref="Z12" authorId="0" shapeId="0">
      <text>
        <t>추정: 이자발생자산 9640억 × 2.88%(주석 이자수익 ÷ 평균 이자발생자산(2025Q3~2026Q2)) − 총차입금 0억 × 0.00%(없음) (연율) ÷ 4
[interest]</t>
      </text>
    </comment>
    <comment ref="AA12" authorId="0" shapeId="0">
      <text>
        <t>추정: 이자발생자산 10824억 × 2.88%(주석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K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Z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F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Z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P15" authorId="0" shapeId="0">
      <text>
        <t>추정: 최근 4분기(2025Q3~2026Q2) 잔차 중위
[abs]</t>
      </text>
    </comment>
    <comment ref="Q15" authorId="0" shapeId="0">
      <text>
        <t>추정: 최근 4분기(2025Q3~2026Q2) 잔차 중위
[abs]</t>
      </text>
    </comment>
    <comment ref="S15" authorId="0" shapeId="0">
      <text>
        <t>추정: 최근 4분기(2025Q3~2026Q2) 잔차 중위
[abs]</t>
      </text>
    </comment>
    <comment ref="T15" authorId="0" shapeId="0">
      <text>
        <t>추정: 최근 4분기(2025Q3~2026Q2) 잔차 중위
[abs]</t>
      </text>
    </comment>
    <comment ref="U15" authorId="0" shapeId="0">
      <text>
        <t>추정: 최근 4분기(2025Q3~2026Q2) 잔차 중위
[abs]</t>
      </text>
    </comment>
    <comment ref="V15" authorId="0" shapeId="0">
      <text>
        <t>추정: 최근 4분기(2025Q3~2026Q2) 잔차 중위
[abs]</t>
      </text>
    </comment>
    <comment ref="X15" authorId="0" shapeId="0">
      <text>
        <t>추정: 최근 4분기(2025Q3~2026Q2) 잔차 중위
[abs]</t>
      </text>
    </comment>
    <comment ref="Y15" authorId="0" shapeId="0">
      <text>
        <t>추정: 최근 4분기(2025Q3~2026Q2) 잔차 중위
[abs]</t>
      </text>
    </comment>
    <comment ref="Z15" authorId="0" shapeId="0">
      <text>
        <t>추정: 최근 4분기(2025Q3~2026Q2) 잔차 중위
[abs]</t>
      </text>
    </comment>
    <comment ref="AA15" authorId="0" shapeId="0">
      <text>
        <t>추정: 최근 4분기(2025Q3~2026Q2) 잔차 중위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Z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P17" authorId="0" shapeId="0">
      <text>
        <t>추정: 최근 4분기 중위
[abs]</t>
      </text>
    </comment>
    <comment ref="Q17" authorId="0" shapeId="0">
      <text>
        <t>추정: 최근 4분기 중위
[abs]</t>
      </text>
    </comment>
    <comment ref="S17" authorId="0" shapeId="0">
      <text>
        <t>추정: 최근 4분기 중위
[abs]</t>
      </text>
    </comment>
    <comment ref="T17" authorId="0" shapeId="0">
      <text>
        <t>추정: 최근 4분기 중위
[abs]</t>
      </text>
    </comment>
    <comment ref="U17" authorId="0" shapeId="0">
      <text>
        <t>추정: 최근 4분기 중위
[abs]</t>
      </text>
    </comment>
    <comment ref="V17" authorId="0" shapeId="0">
      <text>
        <t>추정: 최근 4분기 중위
[abs]</t>
      </text>
    </comment>
    <comment ref="X17" authorId="0" shapeId="0">
      <text>
        <t>추정: 최근 4분기 중위
[abs]</t>
      </text>
    </comment>
    <comment ref="Y17" authorId="0" shapeId="0">
      <text>
        <t>추정: 최근 4분기 중위
[abs]</t>
      </text>
    </comment>
    <comment ref="Z17" authorId="0" shapeId="0">
      <text>
        <t>추정: 최근 4분기 중위
[abs]</t>
      </text>
    </comment>
    <comment ref="AA17" authorId="0" shapeId="0">
      <text>
        <t>추정: 최근 4분기 중위
[abs]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X18" authorId="0" shapeId="0">
      <text>
        <t>추정: 영업이익 + 금융손익 + 기타영업외 + 지분법 + 환관련(항등식)
[identity]</t>
      </text>
    </comment>
    <comment ref="Y18" authorId="0" shapeId="0">
      <text>
        <t>추정: 영업이익 + 금융손익 + 기타영업외 + 지분법 + 환관련(항등식)
[identity]</t>
      </text>
    </comment>
    <comment ref="Z18" authorId="0" shapeId="0">
      <text>
        <t>추정: 영업이익 + 금융손익 + 기타영업외 + 지분법 + 환관련(항등식)
[identity]</t>
      </text>
    </comment>
    <comment ref="AA18" authorId="0" shapeId="0">
      <text>
        <t>추정: 영업이익 + 금융손익 + 기타영업외 + 지분법 + 환관련(항등식)
[identity]</t>
      </text>
    </comment>
    <comment ref="P19" authorId="0" shapeId="0">
      <text>
        <t>추정: max(세전, 0) × 세율 23.0%(최근 9분기 유효세율 23.0%(5~27% 안 — 그대로))
[tax]</t>
      </text>
    </comment>
    <comment ref="Q19" authorId="0" shapeId="0">
      <text>
        <t>추정: max(세전, 0) × 세율 23.0%(최근 9분기 유효세율 23.0%(5~27% 안 — 그대로))
[tax]</t>
      </text>
    </comment>
    <comment ref="S19" authorId="0" shapeId="0">
      <text>
        <t>추정: max(세전, 0) × 세율 23.0%(최근 9분기 유효세율 23.0%(5~27% 안 — 그대로))
[tax]</t>
      </text>
    </comment>
    <comment ref="T19" authorId="0" shapeId="0">
      <text>
        <t>추정: max(세전, 0) × 세율 23.0%(최근 9분기 유효세율 23.0%(5~27% 안 — 그대로))
[tax]</t>
      </text>
    </comment>
    <comment ref="U19" authorId="0" shapeId="0">
      <text>
        <t>추정: max(세전, 0) × 세율 23.0%(최근 9분기 유효세율 23.0%(5~27% 안 — 그대로))
[tax]</t>
      </text>
    </comment>
    <comment ref="V19" authorId="0" shapeId="0">
      <text>
        <t>추정: max(세전, 0) × 세율 23.0%(최근 9분기 유효세율 23.0%(5~27% 안 — 그대로))
[tax]</t>
      </text>
    </comment>
    <comment ref="X19" authorId="0" shapeId="0">
      <text>
        <t>추정: max(세전, 0) × 세율 23.0%(최근 9분기 유효세율 23.0%(5~27% 안 — 그대로))
[tax]</t>
      </text>
    </comment>
    <comment ref="Y19" authorId="0" shapeId="0">
      <text>
        <t>추정: max(세전, 0) × 세율 23.0%(최근 9분기 유효세율 23.0%(5~27% 안 — 그대로))
[tax]</t>
      </text>
    </comment>
    <comment ref="Z19" authorId="0" shapeId="0">
      <text>
        <t>추정: max(세전, 0) × 세율 23.0%(최근 9분기 유효세율 23.0%(5~27% 안 — 그대로))
[tax]</t>
      </text>
    </comment>
    <comment ref="AA19" authorId="0" shapeId="0">
      <text>
        <t>추정: max(세전, 0) × 세율 23.0%(최근 9분기 유효세율 23.0%(5~27% 안 — 그대로))
[tax]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X20" authorId="0" shapeId="0">
      <text>
        <t>추정: 세전이익 − 법인세비용(항등식)
[identity]</t>
      </text>
    </comment>
    <comment ref="Y20" authorId="0" shapeId="0">
      <text>
        <t>추정: 세전이익 − 법인세비용(항등식)
[identity]</t>
      </text>
    </comment>
    <comment ref="Z20" authorId="0" shapeId="0">
      <text>
        <t>추정: 세전이익 − 법인세비용(항등식)
[identity]</t>
      </text>
    </comment>
    <comment ref="AA20" authorId="0" shapeId="0">
      <text>
        <t>추정: 세전이익 − 법인세비용(항등식)
[identity]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X21" authorId="0" shapeId="0">
      <text>
        <t>추정: 당기순이익 × (1 − 비지배 비중 0.0%, 최근 8분기 실측)
[ratio]</t>
      </text>
    </comment>
    <comment ref="Y21" authorId="0" shapeId="0">
      <text>
        <t>추정: 당기순이익 × (1 − 비지배 비중 0.0%, 최근 8분기 실측)
[ratio]</t>
      </text>
    </comment>
    <comment ref="Z21" authorId="0" shapeId="0">
      <text>
        <t>추정: 당기순이익 × (1 − 비지배 비중 0.0%, 최근 8분기 실측)
[ratio]</t>
      </text>
    </comment>
    <comment ref="AA21" authorId="0" shapeId="0">
      <text>
        <t>추정: 당기순이익 × (1 − 비지배 비중 0.0%, 최근 8분기 실측)
[ratio]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X22" authorId="0" shapeId="0">
      <text>
        <t>추정: 부채총계 + 자본총계(항등식)
[identity]</t>
      </text>
    </comment>
    <comment ref="Y22" authorId="0" shapeId="0">
      <text>
        <t>추정: 부채총계 + 자본총계(항등식)
[identity]</t>
      </text>
    </comment>
    <comment ref="Z22" authorId="0" shapeId="0">
      <text>
        <t>추정: 부채총계 + 자본총계(항등식)
[identity]</t>
      </text>
    </comment>
    <comment ref="AA22" authorId="0" shapeId="0">
      <text>
        <t>추정: 부채총계 + 자본총계(항등식)
[identity]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Z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X24" authorId="0" shapeId="0">
      <text>
        <t>추정: 전분기 + 당기순이익 − 배당(Q2 지급 가정)
[roll]</t>
      </text>
    </comment>
    <comment ref="Y24" authorId="0" shapeId="0">
      <text>
        <t>추정: 전분기 + 당기순이익 − 배당(Q2 지급 가정)
[roll]</t>
      </text>
    </comment>
    <comment ref="Z24" authorId="0" shapeId="0">
      <text>
        <t>추정: 전분기 + 당기순이익 − 배당(Q2 지급 가정)
[roll]</t>
      </text>
    </comment>
    <comment ref="AA24" authorId="0" shapeId="0">
      <text>
        <t>추정: 전분기 + 당기순이익 − 배당(Q2 지급 가정)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X25" authorId="0" shapeId="0">
      <text>
        <t>추정: 전분기 + 지배주주순이익 − 배당
[roll]</t>
      </text>
    </comment>
    <comment ref="Y25" authorId="0" shapeId="0">
      <text>
        <t>추정: 전분기 + 지배주주순이익 − 배당
[roll]</t>
      </text>
    </comment>
    <comment ref="Z25" authorId="0" shapeId="0">
      <text>
        <t>추정: 전분기 + 지배주주순이익 − 배당
[roll]</t>
      </text>
    </comment>
    <comment ref="AA25" authorId="0" shapeId="0">
      <text>
        <t>추정: 전분기 + 지배주주순이익 − 배당
[roll]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X28" authorId="0" shapeId="0">
      <text>
        <t>추정: 전분기 + FCF 근사 — 순차입금 롤과 같은 가정
[qoq]</t>
      </text>
    </comment>
    <comment ref="Y28" authorId="0" shapeId="0">
      <text>
        <t>추정: 전분기 + FCF 근사 — 순차입금 롤과 같은 가정
[qoq]</t>
      </text>
    </comment>
    <comment ref="Z28" authorId="0" shapeId="0">
      <text>
        <t>추정: 전분기 + FCF 근사 — 순차입금 롤과 같은 가정
[qoq]</t>
      </text>
    </comment>
    <comment ref="AA28" authorId="0" shapeId="0">
      <text>
        <t>추정: 전분기 + FCF 근사 — 순차입금 롤과 같은 가정
[qoq]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X30" authorId="0" shapeId="0">
      <text>
        <t>추정: 최근 4분기(2025Q3~2026Q2) CAPEX 중위 유지 — 순차입금 롤에 미반영(감가상각비 없음 → CAPEX≈감가 가정)
[yoy]</t>
      </text>
    </comment>
    <comment ref="Y30" authorId="0" shapeId="0">
      <text>
        <t>추정: 최근 4분기(2025Q3~2026Q2) CAPEX 중위 유지 — 순차입금 롤에 미반영(감가상각비 없음 → CAPEX≈감가 가정)
[yoy]</t>
      </text>
    </comment>
    <comment ref="Z30" authorId="0" shapeId="0">
      <text>
        <t>추정: 최근 4분기(2025Q3~2026Q2) CAPEX 중위 유지 — 순차입금 롤에 미반영(감가상각비 없음 → CAPEX≈감가 가정)
[yoy]</t>
      </text>
    </comment>
    <comment ref="AA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X32" authorId="0" shapeId="0">
      <text>
        <t>추정: 유통주식수 유지 — fin.shares.common_outstanding(2026Q2)
[qoq]</t>
      </text>
    </comment>
    <comment ref="Y32" authorId="0" shapeId="0">
      <text>
        <t>추정: 유통주식수 유지 — fin.shares.common_outstanding(2026Q2)
[qoq]</t>
      </text>
    </comment>
    <comment ref="Z32" authorId="0" shapeId="0">
      <text>
        <t>추정: 유통주식수 유지 — fin.shares.common_outstanding(2026Q2)
[qoq]</t>
      </text>
    </comment>
    <comment ref="AA32" authorId="0" shapeId="0">
      <text>
        <t>추정: 유통주식수 유지 — fin.shares.common_outstanding(2026Q2)
[qoq]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X33" authorId="0" shapeId="0">
      <text>
        <t>추정: 지배주주순이익 ÷ 유통주식수
[per_share]</t>
      </text>
    </comment>
    <comment ref="Y33" authorId="0" shapeId="0">
      <text>
        <t>추정: 지배주주순이익 ÷ 유통주식수
[per_share]</t>
      </text>
    </comment>
    <comment ref="Z33" authorId="0" shapeId="0">
      <text>
        <t>추정: 지배주주순이익 ÷ 유통주식수
[per_share]</t>
      </text>
    </comment>
    <comment ref="AA33" authorId="0" shapeId="0">
      <text>
        <t>추정: 지배주주순이익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X34" authorId="0" shapeId="0">
      <text>
        <t>추정: 지배주주지분 ÷ 유통주식수
[per_share]</t>
      </text>
    </comment>
    <comment ref="Y34" authorId="0" shapeId="0">
      <text>
        <t>추정: 지배주주지분 ÷ 유통주식수
[per_share]</t>
      </text>
    </comment>
    <comment ref="Z34" authorId="0" shapeId="0">
      <text>
        <t>추정: 지배주주지분 ÷ 유통주식수
[per_share]</t>
      </text>
    </comment>
    <comment ref="AA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실측(계정 매핑 없음(파생·부문·시세 행) — 모델값 직접) — fin.dividend.dps_common(연간, Q4 에 표기)</t>
      </text>
    </comment>
    <comment ref="Q35" authorId="0" shapeId="0">
      <text>
        <t>추정: 직전 결산 DPS 3,950원 유지
[abs]</t>
      </text>
    </comment>
    <comment ref="V35" authorId="0" shapeId="0">
      <text>
        <t>추정: 직전 결산 DPS 3,950원 유지
[abs]</t>
      </text>
    </comment>
    <comment ref="AA35" authorId="0" shapeId="0">
      <text>
        <t>추정: 직전 결산 DPS 3,950원 유지
[abs]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X36" authorId="0" shapeId="0">
      <text>
        <t>추정: 현재 종가 ÷ TTM EPS(추정 포함)
[valuation]</t>
      </text>
    </comment>
    <comment ref="Y36" authorId="0" shapeId="0">
      <text>
        <t>추정: 현재 종가 ÷ TTM EPS(추정 포함)
[valuation]</t>
      </text>
    </comment>
    <comment ref="Z36" authorId="0" shapeId="0">
      <text>
        <t>추정: 현재 종가 ÷ TTM EPS(추정 포함)
[valuation]</t>
      </text>
    </comment>
    <comment ref="AA36" authorId="0" shapeId="0">
      <text>
        <t>추정: 현재 종가 ÷ TTM EPS(추정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X37" authorId="0" shapeId="0">
      <text>
        <t>추정: 현재 종가 ÷ BPS(추정 포함)
[valuation]</t>
      </text>
    </comment>
    <comment ref="Y37" authorId="0" shapeId="0">
      <text>
        <t>추정: 현재 종가 ÷ BPS(추정 포함)
[valuation]</t>
      </text>
    </comment>
    <comment ref="Z37" authorId="0" shapeId="0">
      <text>
        <t>추정: 현재 종가 ÷ BPS(추정 포함)
[valuation]</t>
      </text>
    </comment>
    <comment ref="AA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K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P38" authorId="0" shapeId="0">
      <text>
        <t>추정: = 매출액 추정(부문 미분리)
[identity]</t>
      </text>
    </comment>
    <comment ref="Q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V38" authorId="0" shapeId="0">
      <text>
        <t>추정: = 매출액 추정(부문 미분리)
[identity]</t>
      </text>
    </comment>
    <comment ref="X38" authorId="0" shapeId="0">
      <text>
        <t>추정: = 매출액 추정(부문 미분리)
[identity]</t>
      </text>
    </comment>
    <comment ref="Y38" authorId="0" shapeId="0">
      <text>
        <t>추정: = 매출액 추정(부문 미분리)
[identity]</t>
      </text>
    </comment>
    <comment ref="Z38" authorId="0" shapeId="0">
      <text>
        <t>추정: = 매출액 추정(부문 미분리)
[identity]</t>
      </text>
    </comment>
    <comment ref="AA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K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P39" authorId="0" shapeId="0">
      <text>
        <t>추정: = 매출액 × OPM(부문 미분리)
[identity]</t>
      </text>
    </comment>
    <comment ref="Q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  <comment ref="V39" authorId="0" shapeId="0">
      <text>
        <t>추정: = 매출액 × OPM(부문 미분리)
[identity]</t>
      </text>
    </comment>
    <comment ref="X39" authorId="0" shapeId="0">
      <text>
        <t>추정: = 매출액 × OPM(부문 미분리)
[identity]</t>
      </text>
    </comment>
    <comment ref="Y39" authorId="0" shapeId="0">
      <text>
        <t>추정: = 매출액 × OPM(부문 미분리)
[identity]</t>
      </text>
    </comment>
    <comment ref="Z39" authorId="0" shapeId="0">
      <text>
        <t>추정: = 매출액 × OPM(부문 미분리)
[identity]</t>
      </text>
    </comment>
    <comment ref="AA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23.00% — 법인세 = MAX(세전,0) × 세율, 추정 전 분기 연결(Σ법인세/Σmax(세전,0) 역산, 재현 오차 ≤ 0.05억). 모델 가정 23.00% · 근거: 최근 9분기 유효세율 23.0%(5~27% 안 — 그대로)</t>
        </is>
      </c>
    </row>
    <row r="23">
      <c r="A23" t="inlineStr">
        <is>
          <t>· 판관비율 5.18%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2.88% / 부채 0.00% — 이자손익 = (전분기 이자발생자산 × 자산이자율 − 전분기 총차입금 × 부채이자율)/4, 최소자승 역산(모델 assumptions [0.0288,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30.8배가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assets/models/443060.json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+116/+75/+264/+125(중위 +120억) → 추정 2026Q3 +40억(차 -81억, -67%)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5.3, "op_wape_pct": 4.2,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1분기(&lt;8)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5231.84, "rev_act": 5131.76, "op_pred": 894.32, "op_act": 935.96}, {"q": "2025Q4", "rev_pred": 5239.22, "rev_act": 5162.05, "op_pred": 895.58, "op_act": 905.28}, {"q": "2026Q1", "rev_pred": 5317.65, "rev_act": 5746.09, "op_pred": 908.98, "op_act": 933.94}, {"q": "2026Q2", "rev_pred": 5245.04, "rev_act": 5804.14, "op_pred": 896.57,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1418.75</v>
      </c>
      <c r="Q6" s="16" t="n">
        <v>1345.14</v>
      </c>
      <c r="R6" s="17" t="n">
        <v>1457.21</v>
      </c>
      <c r="S6" s="16" t="n">
        <v>1341.49</v>
      </c>
      <c r="T6" s="16" t="n">
        <v>1341.49</v>
      </c>
      <c r="U6" s="16" t="n">
        <v>1341.49</v>
      </c>
      <c r="V6" s="16" t="n">
        <v>1341.49</v>
      </c>
      <c r="W6" s="11" t="n"/>
      <c r="X6" s="16" t="n">
        <v>1341.49</v>
      </c>
      <c r="Y6" s="16" t="n">
        <v>1341.49</v>
      </c>
      <c r="Z6" s="16" t="n">
        <v>1341.49</v>
      </c>
      <c r="AA6" s="16" t="n">
        <v>1341.49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1355.4</v>
      </c>
      <c r="Q7" s="16" t="n">
        <v>1341.49</v>
      </c>
      <c r="R7" s="17" t="n">
        <v>1341.49</v>
      </c>
      <c r="S7" s="16" t="n">
        <v>1341.49</v>
      </c>
      <c r="T7" s="16" t="n">
        <v>1341.49</v>
      </c>
      <c r="U7" s="16" t="n">
        <v>1341.49</v>
      </c>
      <c r="V7" s="16" t="n">
        <v>1341.49</v>
      </c>
      <c r="W7" s="11" t="n"/>
      <c r="X7" s="16" t="n">
        <v>1341.49</v>
      </c>
      <c r="Y7" s="16" t="n">
        <v>1341.49</v>
      </c>
      <c r="Z7" s="16" t="n">
        <v>1341.49</v>
      </c>
      <c r="AA7" s="16" t="n">
        <v>1341.49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890.41</v>
      </c>
      <c r="Q8" s="16" t="n">
        <v>850.79</v>
      </c>
      <c r="R8" s="17" t="n">
        <v>919.21</v>
      </c>
      <c r="S8" s="16" t="n">
        <v>847.7</v>
      </c>
      <c r="T8" s="16" t="n">
        <v>847.7</v>
      </c>
      <c r="U8" s="16" t="n">
        <v>847.7</v>
      </c>
      <c r="V8" s="16" t="n">
        <v>847.7</v>
      </c>
      <c r="W8" s="11" t="n"/>
      <c r="X8" s="16" t="n">
        <v>847.7</v>
      </c>
      <c r="Y8" s="16" t="n">
        <v>847.7</v>
      </c>
      <c r="Z8" s="16" t="n">
        <v>847.7</v>
      </c>
      <c r="AA8" s="16" t="n">
        <v>847.7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863.3099999999999</v>
      </c>
      <c r="Q9" s="16" t="n">
        <v>847.7</v>
      </c>
      <c r="R9" s="17" t="n">
        <v>847.7</v>
      </c>
      <c r="S9" s="16" t="n">
        <v>847.7</v>
      </c>
      <c r="T9" s="16" t="n">
        <v>847.7</v>
      </c>
      <c r="U9" s="16" t="n">
        <v>847.7</v>
      </c>
      <c r="V9" s="16" t="n">
        <v>847.7</v>
      </c>
      <c r="W9" s="11" t="n"/>
      <c r="X9" s="16" t="n">
        <v>847.7</v>
      </c>
      <c r="Y9" s="16" t="n">
        <v>847.7</v>
      </c>
      <c r="Z9" s="16" t="n">
        <v>847.7</v>
      </c>
      <c r="AA9" s="16" t="n">
        <v>847.7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1631.97</v>
      </c>
      <c r="Q10" s="16" t="n">
        <v>1509.74</v>
      </c>
      <c r="R10" s="17" t="n">
        <v>1689.95</v>
      </c>
      <c r="S10" s="16" t="n">
        <v>1503.27</v>
      </c>
      <c r="T10" s="16" t="n">
        <v>1503.27</v>
      </c>
      <c r="U10" s="16" t="n">
        <v>1503.27</v>
      </c>
      <c r="V10" s="16" t="n">
        <v>1503.27</v>
      </c>
      <c r="W10" s="11" t="n"/>
      <c r="X10" s="16" t="n">
        <v>1503.27</v>
      </c>
      <c r="Y10" s="16" t="n">
        <v>1503.27</v>
      </c>
      <c r="Z10" s="16" t="n">
        <v>1503.27</v>
      </c>
      <c r="AA10" s="16" t="n">
        <v>1503.27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1539.06</v>
      </c>
      <c r="Q11" s="16" t="n">
        <v>1503.27</v>
      </c>
      <c r="R11" s="17" t="n">
        <v>1503.27</v>
      </c>
      <c r="S11" s="16" t="n">
        <v>1503.27</v>
      </c>
      <c r="T11" s="16" t="n">
        <v>1503.27</v>
      </c>
      <c r="U11" s="16" t="n">
        <v>1503.27</v>
      </c>
      <c r="V11" s="16" t="n">
        <v>1503.27</v>
      </c>
      <c r="W11" s="11" t="n"/>
      <c r="X11" s="16" t="n">
        <v>1503.27</v>
      </c>
      <c r="Y11" s="16" t="n">
        <v>1503.27</v>
      </c>
      <c r="Z11" s="16" t="n">
        <v>1503.27</v>
      </c>
      <c r="AA11" s="16" t="n">
        <v>1503.27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210.43</v>
      </c>
      <c r="Q12" s="16" t="n">
        <v>200.69</v>
      </c>
      <c r="R12" s="17" t="n">
        <v>213.75</v>
      </c>
      <c r="S12" s="16" t="n">
        <v>200.46</v>
      </c>
      <c r="T12" s="16" t="n">
        <v>200.46</v>
      </c>
      <c r="U12" s="16" t="n">
        <v>200.46</v>
      </c>
      <c r="V12" s="16" t="n">
        <v>200.46</v>
      </c>
      <c r="W12" s="11" t="n"/>
      <c r="X12" s="16" t="n">
        <v>200.46</v>
      </c>
      <c r="Y12" s="16" t="n">
        <v>200.46</v>
      </c>
      <c r="Z12" s="16" t="n">
        <v>200.46</v>
      </c>
      <c r="AA12" s="16" t="n">
        <v>200.46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202.16</v>
      </c>
      <c r="Q13" s="16" t="n">
        <v>200.46</v>
      </c>
      <c r="R13" s="17" t="n">
        <v>200.46</v>
      </c>
      <c r="S13" s="16" t="n">
        <v>200.46</v>
      </c>
      <c r="T13" s="16" t="n">
        <v>200.46</v>
      </c>
      <c r="U13" s="16" t="n">
        <v>200.46</v>
      </c>
      <c r="V13" s="16" t="n">
        <v>200.46</v>
      </c>
      <c r="W13" s="11" t="n"/>
      <c r="X13" s="16" t="n">
        <v>200.46</v>
      </c>
      <c r="Y13" s="16" t="n">
        <v>200.46</v>
      </c>
      <c r="Z13" s="16" t="n">
        <v>200.46</v>
      </c>
      <c r="AA13" s="16" t="n">
        <v>200.46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133800</v>
      </c>
      <c r="J15" s="18" t="n">
        <v>205500</v>
      </c>
      <c r="K15" s="18" t="n">
        <v>210000</v>
      </c>
      <c r="L15" s="18" t="n">
        <v>193500</v>
      </c>
      <c r="M15" s="9" t="n"/>
      <c r="N15" s="18" t="n">
        <v>179600</v>
      </c>
      <c r="O15" s="19" t="n">
        <v>224500</v>
      </c>
      <c r="P15" s="20" t="n">
        <v>237500</v>
      </c>
      <c r="Q15" s="20" t="n">
        <v>218000</v>
      </c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257000</v>
      </c>
      <c r="M16" s="9" t="n"/>
      <c r="N16" s="18" t="n">
        <v>202000</v>
      </c>
      <c r="O16" s="19" t="n">
        <v>287000</v>
      </c>
      <c r="P16" s="20" t="n">
        <v>254000</v>
      </c>
      <c r="Q16" s="20" t="n">
        <v>240500</v>
      </c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175000</v>
      </c>
      <c r="Q17" s="20" t="n">
        <v>213500</v>
      </c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154941.4</v>
      </c>
      <c r="J18" s="18" t="n">
        <v>172028.3</v>
      </c>
      <c r="K18" s="18" t="n">
        <v>199518.5</v>
      </c>
      <c r="L18" s="18" t="n">
        <v>213530.5</v>
      </c>
      <c r="M18" s="9" t="n"/>
      <c r="N18" s="18" t="n">
        <v>180433.9</v>
      </c>
      <c r="O18" s="19" t="n">
        <v>224118</v>
      </c>
      <c r="P18" s="20" t="n">
        <v>209638.7</v>
      </c>
      <c r="Q18" s="20" t="n">
        <v>226900</v>
      </c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0.110938482</v>
      </c>
      <c r="Q21" s="24" t="n">
        <v>0.190466435</v>
      </c>
      <c r="R21" s="25" t="n"/>
      <c r="S21" s="24" t="n">
        <v>0.155998897</v>
      </c>
      <c r="T21" s="24" t="n">
        <v>0.191940847</v>
      </c>
      <c r="U21" s="24" t="n">
        <v>0.228923693</v>
      </c>
      <c r="V21" s="24" t="n">
        <v>0.16993613</v>
      </c>
      <c r="W21" s="25" t="n"/>
      <c r="X21" s="24" t="n">
        <v>0.138380753</v>
      </c>
      <c r="Y21" s="24" t="n">
        <v>0.153394168</v>
      </c>
      <c r="Z21" s="24" t="n">
        <v>0.210602639</v>
      </c>
      <c r="AA21" s="24" t="n">
        <v>0.252695927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6">
        <f>$D$52</f>
        <v/>
      </c>
      <c r="Q22" s="26">
        <f>$D$52</f>
        <v/>
      </c>
      <c r="R22" s="25">
        <f>IFERROR(subQ!R8/subQ!R5,"")</f>
        <v/>
      </c>
      <c r="S22" s="26">
        <f>$D$52</f>
        <v/>
      </c>
      <c r="T22" s="26">
        <f>$D$52</f>
        <v/>
      </c>
      <c r="U22" s="26">
        <f>$D$52</f>
        <v/>
      </c>
      <c r="V22" s="26">
        <f>$D$52</f>
        <v/>
      </c>
      <c r="W22" s="25">
        <f>IFERROR(subQ!W8/subQ!W5,"")</f>
        <v/>
      </c>
      <c r="X22" s="26">
        <f>$D$52</f>
        <v/>
      </c>
      <c r="Y22" s="26">
        <f>$D$52</f>
        <v/>
      </c>
      <c r="Z22" s="26">
        <f>$D$52</f>
        <v/>
      </c>
      <c r="AA22" s="26">
        <f>$D$52</f>
        <v/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0.173155215</v>
      </c>
      <c r="Q23" s="24" t="n">
        <v>0.173154876</v>
      </c>
      <c r="R23" s="25">
        <f>IFERROR(subQ!R9/subQ!R5,"")</f>
        <v/>
      </c>
      <c r="S23" s="24" t="n">
        <v>0.173155468</v>
      </c>
      <c r="T23" s="24" t="n">
        <v>0.173155117</v>
      </c>
      <c r="U23" s="24" t="n">
        <v>0.173154272</v>
      </c>
      <c r="V23" s="24" t="n">
        <v>0.173155483</v>
      </c>
      <c r="W23" s="25">
        <f>IFERROR(subQ!W9/subQ!W5,"")</f>
        <v/>
      </c>
      <c r="X23" s="24" t="n">
        <v>0.173155101</v>
      </c>
      <c r="Y23" s="24" t="n">
        <v>0.173154623</v>
      </c>
      <c r="Z23" s="24" t="n">
        <v>0.173155146</v>
      </c>
      <c r="AA23" s="24" t="n">
        <v>0.173155073</v>
      </c>
      <c r="AB23" s="25">
        <f>IFERROR(subQ!AB9/subQ!AB5,"")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9">
        <f>subQ!O13</f>
        <v/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  <c r="X24" s="30" t="n">
        <v>0</v>
      </c>
      <c r="Y24" s="30" t="n">
        <v>0</v>
      </c>
      <c r="Z24" s="30" t="n">
        <v>0</v>
      </c>
      <c r="AA24" s="30" t="n">
        <v>0</v>
      </c>
      <c r="AB24" s="31">
        <f>subQ!AB13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7">
        <f>subQ!G14</f>
        <v/>
      </c>
      <c r="H25" s="28">
        <f>subQ!H14</f>
        <v/>
      </c>
      <c r="I25" s="27">
        <f>subQ!I14</f>
        <v/>
      </c>
      <c r="J25" s="27">
        <f>subQ!J14</f>
        <v/>
      </c>
      <c r="K25" s="27">
        <f>subQ!K14</f>
        <v/>
      </c>
      <c r="L25" s="27">
        <f>subQ!L14</f>
        <v/>
      </c>
      <c r="M25" s="28">
        <f>subQ!M14</f>
        <v/>
      </c>
      <c r="N25" s="27">
        <f>subQ!N14</f>
        <v/>
      </c>
      <c r="O25" s="29">
        <f>subQ!O14</f>
        <v/>
      </c>
      <c r="P25" s="30" t="n">
        <v>0</v>
      </c>
      <c r="Q25" s="30" t="n">
        <v>0</v>
      </c>
      <c r="R25" s="31">
        <f>subQ!R14</f>
        <v/>
      </c>
      <c r="S25" s="30" t="n">
        <v>0</v>
      </c>
      <c r="T25" s="30" t="n">
        <v>0</v>
      </c>
      <c r="U25" s="30" t="n">
        <v>0</v>
      </c>
      <c r="V25" s="30" t="n">
        <v>0</v>
      </c>
      <c r="W25" s="31">
        <f>subQ!W14</f>
        <v/>
      </c>
      <c r="X25" s="30" t="n">
        <v>0</v>
      </c>
      <c r="Y25" s="30" t="n">
        <v>0</v>
      </c>
      <c r="Z25" s="30" t="n">
        <v>0</v>
      </c>
      <c r="AA25" s="30" t="n">
        <v>0</v>
      </c>
      <c r="AB25" s="31">
        <f>subQ!AB14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7">
        <f>subQ!G15</f>
        <v/>
      </c>
      <c r="H26" s="28">
        <f>subQ!H15</f>
        <v/>
      </c>
      <c r="I26" s="27">
        <f>subQ!I15</f>
        <v/>
      </c>
      <c r="J26" s="27">
        <f>subQ!J15</f>
        <v/>
      </c>
      <c r="K26" s="27">
        <f>subQ!K15</f>
        <v/>
      </c>
      <c r="L26" s="27">
        <f>subQ!L15</f>
        <v/>
      </c>
      <c r="M26" s="28">
        <f>subQ!M15</f>
        <v/>
      </c>
      <c r="N26" s="27">
        <f>subQ!N15</f>
        <v/>
      </c>
      <c r="O26" s="29">
        <f>subQ!O15</f>
        <v/>
      </c>
      <c r="P26" s="30" t="n">
        <v>0</v>
      </c>
      <c r="Q26" s="30" t="n">
        <v>0</v>
      </c>
      <c r="R26" s="31">
        <f>subQ!R15</f>
        <v/>
      </c>
      <c r="S26" s="30" t="n">
        <v>0</v>
      </c>
      <c r="T26" s="30" t="n">
        <v>0</v>
      </c>
      <c r="U26" s="30" t="n">
        <v>0</v>
      </c>
      <c r="V26" s="30" t="n">
        <v>0</v>
      </c>
      <c r="W26" s="31">
        <f>subQ!W15</f>
        <v/>
      </c>
      <c r="X26" s="30" t="n">
        <v>0</v>
      </c>
      <c r="Y26" s="30" t="n">
        <v>0</v>
      </c>
      <c r="Z26" s="30" t="n">
        <v>0</v>
      </c>
      <c r="AA26" s="30" t="n">
        <v>0</v>
      </c>
      <c r="AB26" s="31">
        <f>subQ!AB15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7">
        <f>subQ!G16</f>
        <v/>
      </c>
      <c r="H27" s="28">
        <f>subQ!H16</f>
        <v/>
      </c>
      <c r="I27" s="27">
        <f>subQ!I16</f>
        <v/>
      </c>
      <c r="J27" s="27">
        <f>subQ!J16</f>
        <v/>
      </c>
      <c r="K27" s="27">
        <f>subQ!K16</f>
        <v/>
      </c>
      <c r="L27" s="27">
        <f>subQ!L16</f>
        <v/>
      </c>
      <c r="M27" s="28">
        <f>subQ!M16</f>
        <v/>
      </c>
      <c r="N27" s="27">
        <f>subQ!N16</f>
        <v/>
      </c>
      <c r="O27" s="29">
        <f>subQ!O16</f>
        <v/>
      </c>
      <c r="P27" s="30" t="n">
        <v>0</v>
      </c>
      <c r="Q27" s="30" t="n">
        <v>0</v>
      </c>
      <c r="R27" s="31">
        <f>subQ!R16</f>
        <v/>
      </c>
      <c r="S27" s="30" t="n">
        <v>0</v>
      </c>
      <c r="T27" s="30" t="n">
        <v>0</v>
      </c>
      <c r="U27" s="30" t="n">
        <v>0</v>
      </c>
      <c r="V27" s="30" t="n">
        <v>0</v>
      </c>
      <c r="W27" s="31">
        <f>subQ!W16</f>
        <v/>
      </c>
      <c r="X27" s="30" t="n">
        <v>0</v>
      </c>
      <c r="Y27" s="30" t="n">
        <v>0</v>
      </c>
      <c r="Z27" s="30" t="n">
        <v>0</v>
      </c>
      <c r="AA27" s="30" t="n">
        <v>0</v>
      </c>
      <c r="AB27" s="31">
        <f>subQ!AB16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7">
        <f>subQ!F17</f>
        <v/>
      </c>
      <c r="G28" s="27">
        <f>subQ!G17</f>
        <v/>
      </c>
      <c r="H28" s="28">
        <f>subQ!H17</f>
        <v/>
      </c>
      <c r="I28" s="27">
        <f>subQ!I17</f>
        <v/>
      </c>
      <c r="J28" s="27">
        <f>subQ!J17</f>
        <v/>
      </c>
      <c r="K28" s="27">
        <f>subQ!K17</f>
        <v/>
      </c>
      <c r="L28" s="27">
        <f>subQ!L17</f>
        <v/>
      </c>
      <c r="M28" s="28">
        <f>subQ!M17</f>
        <v/>
      </c>
      <c r="N28" s="27">
        <f>subQ!N17</f>
        <v/>
      </c>
      <c r="O28" s="29">
        <f>subQ!O17</f>
        <v/>
      </c>
      <c r="P28" s="30" t="n">
        <v>-0.52</v>
      </c>
      <c r="Q28" s="30" t="n">
        <v>-0.52</v>
      </c>
      <c r="R28" s="31">
        <f>subQ!R17</f>
        <v/>
      </c>
      <c r="S28" s="30" t="n">
        <v>-0.52</v>
      </c>
      <c r="T28" s="30" t="n">
        <v>-0.52</v>
      </c>
      <c r="U28" s="30" t="n">
        <v>-0.52</v>
      </c>
      <c r="V28" s="30" t="n">
        <v>-0.52</v>
      </c>
      <c r="W28" s="31">
        <f>subQ!W17</f>
        <v/>
      </c>
      <c r="X28" s="30" t="n">
        <v>-0.52</v>
      </c>
      <c r="Y28" s="30" t="n">
        <v>-0.52</v>
      </c>
      <c r="Z28" s="30" t="n">
        <v>-0.52</v>
      </c>
      <c r="AA28" s="30" t="n">
        <v>-0.52</v>
      </c>
      <c r="AB28" s="31">
        <f>subQ!AB17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1">
        <f>IFERROR(subQ!F19/subQ!F18,"")</f>
        <v/>
      </c>
      <c r="G29" s="21">
        <f>IFERROR(subQ!G19/subQ!G18,"")</f>
        <v/>
      </c>
      <c r="H29" s="22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1">
        <f>IFERROR(subQ!K19/subQ!K18,"")</f>
        <v/>
      </c>
      <c r="L29" s="21">
        <f>IFERROR(subQ!L19/subQ!L18,"")</f>
        <v/>
      </c>
      <c r="M29" s="22">
        <f>IFERROR(subQ!M19/subQ!M18,"")</f>
        <v/>
      </c>
      <c r="N29" s="21">
        <f>IFERROR(subQ!N19/subQ!N18,"")</f>
        <v/>
      </c>
      <c r="O29" s="23">
        <f>IFERROR(subQ!O19/subQ!O18,"")</f>
        <v/>
      </c>
      <c r="P29" s="26">
        <f>$D$51</f>
        <v/>
      </c>
      <c r="Q29" s="26">
        <f>$D$51</f>
        <v/>
      </c>
      <c r="R29" s="25">
        <f>IFERROR(subQ!R19/subQ!R18,"")</f>
        <v/>
      </c>
      <c r="S29" s="26">
        <f>$D$51</f>
        <v/>
      </c>
      <c r="T29" s="26">
        <f>$D$51</f>
        <v/>
      </c>
      <c r="U29" s="26">
        <f>$D$51</f>
        <v/>
      </c>
      <c r="V29" s="26">
        <f>$D$51</f>
        <v/>
      </c>
      <c r="W29" s="25">
        <f>IFERROR(subQ!W19/subQ!W18,"")</f>
        <v/>
      </c>
      <c r="X29" s="26">
        <f>$D$51</f>
        <v/>
      </c>
      <c r="Y29" s="26">
        <f>$D$51</f>
        <v/>
      </c>
      <c r="Z29" s="26">
        <f>$D$51</f>
        <v/>
      </c>
      <c r="AA29" s="26">
        <f>$D$51</f>
        <v/>
      </c>
      <c r="AB29" s="25">
        <f>IFERROR(subQ!AB19/subQ!AB18,"")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1">
        <f>IFERROR(subQ!F21/subQ!F20,"")</f>
        <v/>
      </c>
      <c r="G30" s="21">
        <f>IFERROR(subQ!G21/subQ!G20,"")</f>
        <v/>
      </c>
      <c r="H30" s="22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1">
        <f>IFERROR(subQ!K21/subQ!K20,"")</f>
        <v/>
      </c>
      <c r="L30" s="21">
        <f>IFERROR(subQ!L21/subQ!L20,"")</f>
        <v/>
      </c>
      <c r="M30" s="22">
        <f>IFERROR(subQ!M21/subQ!M20,"")</f>
        <v/>
      </c>
      <c r="N30" s="21">
        <f>IFERROR(subQ!N21/subQ!N20,"")</f>
        <v/>
      </c>
      <c r="O30" s="23">
        <f>IFERROR(subQ!O21/subQ!O20,"")</f>
        <v/>
      </c>
      <c r="P30" s="26">
        <f>$D$53</f>
        <v/>
      </c>
      <c r="Q30" s="26">
        <f>$D$53</f>
        <v/>
      </c>
      <c r="R30" s="25">
        <f>IFERROR(subQ!R21/subQ!R20,"")</f>
        <v/>
      </c>
      <c r="S30" s="26">
        <f>$D$53</f>
        <v/>
      </c>
      <c r="T30" s="26">
        <f>$D$53</f>
        <v/>
      </c>
      <c r="U30" s="26">
        <f>$D$53</f>
        <v/>
      </c>
      <c r="V30" s="26">
        <f>$D$53</f>
        <v/>
      </c>
      <c r="W30" s="25">
        <f>IFERROR(subQ!W21/subQ!W20,"")</f>
        <v/>
      </c>
      <c r="X30" s="26">
        <f>$D$53</f>
        <v/>
      </c>
      <c r="Y30" s="26">
        <f>$D$53</f>
        <v/>
      </c>
      <c r="Z30" s="26">
        <f>$D$53</f>
        <v/>
      </c>
      <c r="AA30" s="26">
        <f>$D$53</f>
        <v/>
      </c>
      <c r="AB30" s="25">
        <f>IFERROR(subQ!AB21/subQ!AB20,"")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1">
        <f>IFERROR(subQ!J23/subQ!I23-1,"")</f>
        <v/>
      </c>
      <c r="K31" s="21">
        <f>IFERROR(subQ!K23/subQ!J23-1,"")</f>
        <v/>
      </c>
      <c r="L31" s="21">
        <f>IFERROR(subQ!L23/subQ!K23-1,"")</f>
        <v/>
      </c>
      <c r="M31" s="22" t="n"/>
      <c r="N31" s="21">
        <f>IFERROR(subQ!N23/subQ!L23-1,"")</f>
        <v/>
      </c>
      <c r="O31" s="23">
        <f>IFERROR(subQ!O23/subQ!N23-1,"")</f>
        <v/>
      </c>
      <c r="P31" s="24" t="n">
        <v>-4.81e-07</v>
      </c>
      <c r="Q31" s="24" t="n">
        <v>0</v>
      </c>
      <c r="R31" s="25" t="n"/>
      <c r="S31" s="24" t="n">
        <v>0</v>
      </c>
      <c r="T31" s="24" t="n">
        <v>0</v>
      </c>
      <c r="U31" s="24" t="n">
        <v>0</v>
      </c>
      <c r="V31" s="24" t="n">
        <v>0</v>
      </c>
      <c r="W31" s="25" t="n"/>
      <c r="X31" s="24" t="n">
        <v>0</v>
      </c>
      <c r="Y31" s="24" t="n">
        <v>0</v>
      </c>
      <c r="Z31" s="24" t="n">
        <v>0</v>
      </c>
      <c r="AA31" s="24" t="n">
        <v>0</v>
      </c>
      <c r="AB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IFERROR(subQ!E24+subQ!F20-subQ!F24,"")</f>
        <v/>
      </c>
      <c r="G32" s="27">
        <f>IFERROR(subQ!F24+subQ!G20-subQ!G24,"")</f>
        <v/>
      </c>
      <c r="H32" s="28" t="n"/>
      <c r="I32" s="27">
        <f>IFERROR(subQ!G24+subQ!I20-subQ!I24,"")</f>
        <v/>
      </c>
      <c r="J32" s="27">
        <f>IFERROR(subQ!I24+subQ!J20-subQ!J24,"")</f>
        <v/>
      </c>
      <c r="K32" s="27">
        <f>IFERROR(subQ!J24+subQ!K20-subQ!K24,"")</f>
        <v/>
      </c>
      <c r="L32" s="27">
        <f>IFERROR(subQ!K24+subQ!L20-subQ!L24,"")</f>
        <v/>
      </c>
      <c r="M32" s="28" t="n"/>
      <c r="N32" s="27">
        <f>IFERROR(subQ!L24+subQ!N20-subQ!N24,"")</f>
        <v/>
      </c>
      <c r="O32" s="29">
        <f>IFERROR(subQ!N24+subQ!O20-subQ!O24,"")</f>
        <v/>
      </c>
      <c r="P32" s="30" t="n">
        <v>-0.005400648</v>
      </c>
      <c r="Q32" s="30" t="n">
        <v>0.002428809</v>
      </c>
      <c r="R32" s="31" t="n"/>
      <c r="S32" s="30" t="n">
        <v>-0.004136964</v>
      </c>
      <c r="T32" s="30" t="n">
        <v>1770.926242219</v>
      </c>
      <c r="U32" s="30" t="n">
        <v>-0.008424414999999999</v>
      </c>
      <c r="V32" s="30" t="n">
        <v>0.000129378</v>
      </c>
      <c r="W32" s="31" t="n"/>
      <c r="X32" s="30" t="n">
        <v>-0.009893094999999999</v>
      </c>
      <c r="Y32" s="30" t="n">
        <v>1770.919194507</v>
      </c>
      <c r="Z32" s="30" t="n">
        <v>-0.004373667</v>
      </c>
      <c r="AA32" s="30" t="n">
        <v>0.000518975</v>
      </c>
      <c r="AB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IFERROR(subQ!E25+subQ!F21-subQ!F25,"")</f>
        <v/>
      </c>
      <c r="G33" s="27">
        <f>IFERROR(subQ!F25+subQ!G21-subQ!G25,"")</f>
        <v/>
      </c>
      <c r="H33" s="28" t="n"/>
      <c r="I33" s="27">
        <f>IFERROR(subQ!G25+subQ!I21-subQ!I25,"")</f>
        <v/>
      </c>
      <c r="J33" s="27">
        <f>IFERROR(subQ!I25+subQ!J21-subQ!J25,"")</f>
        <v/>
      </c>
      <c r="K33" s="27">
        <f>IFERROR(subQ!J25+subQ!K21-subQ!K25,"")</f>
        <v/>
      </c>
      <c r="L33" s="27">
        <f>IFERROR(subQ!K25+subQ!L21-subQ!L25,"")</f>
        <v/>
      </c>
      <c r="M33" s="28" t="n"/>
      <c r="N33" s="27">
        <f>IFERROR(subQ!L25+subQ!N21-subQ!N25,"")</f>
        <v/>
      </c>
      <c r="O33" s="29">
        <f>IFERROR(subQ!N25+subQ!O21-subQ!O25,"")</f>
        <v/>
      </c>
      <c r="P33" s="30" t="n">
        <v>-0.005400648</v>
      </c>
      <c r="Q33" s="30" t="n">
        <v>0.002428809</v>
      </c>
      <c r="R33" s="31" t="n"/>
      <c r="S33" s="30" t="n">
        <v>-0.004136964</v>
      </c>
      <c r="T33" s="30" t="n">
        <v>1770.926242219</v>
      </c>
      <c r="U33" s="30" t="n">
        <v>-0.008424414999999999</v>
      </c>
      <c r="V33" s="30" t="n">
        <v>0.000129378</v>
      </c>
      <c r="W33" s="31" t="n"/>
      <c r="X33" s="30" t="n">
        <v>-0.009893094999999999</v>
      </c>
      <c r="Y33" s="30" t="n">
        <v>1770.919194507</v>
      </c>
      <c r="Z33" s="30" t="n">
        <v>-0.004373667</v>
      </c>
      <c r="AA33" s="30" t="n">
        <v>0.000518975</v>
      </c>
      <c r="AB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1">
        <f>IFERROR(subQ!G26/subQ!F26-1,"")</f>
        <v/>
      </c>
      <c r="H34" s="22" t="n"/>
      <c r="I34" s="21">
        <f>IFERROR(subQ!I26/subQ!G26-1,"")</f>
        <v/>
      </c>
      <c r="J34" s="21">
        <f>IFERROR(subQ!J26/subQ!I26-1,"")</f>
        <v/>
      </c>
      <c r="K34" s="21">
        <f>IFERROR(subQ!K26/subQ!J26-1,"")</f>
        <v/>
      </c>
      <c r="L34" s="21">
        <f>IFERROR(subQ!L26/subQ!K26-1,"")</f>
        <v/>
      </c>
      <c r="M34" s="22" t="n"/>
      <c r="N34" s="21">
        <f>IFERROR(subQ!N26/subQ!L26-1,"")</f>
        <v/>
      </c>
      <c r="O34" s="23">
        <f>IFERROR(subQ!O26/subQ!N26-1,"")</f>
        <v/>
      </c>
      <c r="P34" s="32" t="n"/>
      <c r="Q34" s="32" t="n"/>
      <c r="R34" s="25" t="n"/>
      <c r="S34" s="32" t="n"/>
      <c r="T34" s="32" t="n"/>
      <c r="U34" s="32" t="n"/>
      <c r="V34" s="32" t="n"/>
      <c r="W34" s="25" t="n"/>
      <c r="X34" s="32" t="n"/>
      <c r="Y34" s="32" t="n"/>
      <c r="Z34" s="32" t="n"/>
      <c r="AA34" s="32" t="n"/>
      <c r="AB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1">
        <f>IFERROR(subQ!G27/subQ!F27-1,"")</f>
        <v/>
      </c>
      <c r="H35" s="22" t="n"/>
      <c r="I35" s="21">
        <f>IFERROR(subQ!I27/subQ!G27-1,"")</f>
        <v/>
      </c>
      <c r="J35" s="21">
        <f>IFERROR(subQ!J27/subQ!I27-1,"")</f>
        <v/>
      </c>
      <c r="K35" s="21">
        <f>IFERROR(subQ!K27/subQ!J27-1,"")</f>
        <v/>
      </c>
      <c r="L35" s="21">
        <f>IFERROR(subQ!L27/subQ!K27-1,"")</f>
        <v/>
      </c>
      <c r="M35" s="22" t="n"/>
      <c r="N35" s="21">
        <f>IFERROR(subQ!N27/subQ!L27-1,"")</f>
        <v/>
      </c>
      <c r="O35" s="23">
        <f>IFERROR(subQ!O27/subQ!N27-1,"")</f>
        <v/>
      </c>
      <c r="P35" s="32" t="n"/>
      <c r="Q35" s="32" t="n"/>
      <c r="R35" s="25" t="n"/>
      <c r="S35" s="32" t="n"/>
      <c r="T35" s="32" t="n"/>
      <c r="U35" s="32" t="n"/>
      <c r="V35" s="32" t="n"/>
      <c r="W35" s="25" t="n"/>
      <c r="X35" s="32" t="n"/>
      <c r="Y35" s="32" t="n"/>
      <c r="Z35" s="32" t="n"/>
      <c r="AA35" s="32" t="n"/>
      <c r="AB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1">
        <f>IFERROR(subQ!J28/subQ!I28-1,"")</f>
        <v/>
      </c>
      <c r="K36" s="21">
        <f>IFERROR(subQ!K28/subQ!J28-1,"")</f>
        <v/>
      </c>
      <c r="L36" s="21">
        <f>IFERROR(subQ!L28/subQ!K28-1,"")</f>
        <v/>
      </c>
      <c r="M36" s="22" t="n"/>
      <c r="N36" s="21">
        <f>IFERROR(subQ!N28/subQ!L28-1,"")</f>
        <v/>
      </c>
      <c r="O36" s="23">
        <f>IFERROR(subQ!O28/subQ!N28-1,"")</f>
        <v/>
      </c>
      <c r="P36" s="24" t="n">
        <v>0.14396437</v>
      </c>
      <c r="Q36" s="24" t="n">
        <v>0.135978646</v>
      </c>
      <c r="R36" s="25" t="n"/>
      <c r="S36" s="24" t="n">
        <v>0.129660318</v>
      </c>
      <c r="T36" s="24" t="n">
        <v>-0.099812966</v>
      </c>
      <c r="U36" s="24" t="n">
        <v>0.134282531</v>
      </c>
      <c r="V36" s="24" t="n">
        <v>0.122013684</v>
      </c>
      <c r="W36" s="25" t="n"/>
      <c r="X36" s="24" t="n">
        <v>0.114723002</v>
      </c>
      <c r="Y36" s="24" t="n">
        <v>-0.063201596</v>
      </c>
      <c r="Z36" s="24" t="n">
        <v>0.122820576</v>
      </c>
      <c r="AA36" s="24" t="n">
        <v>0.116454613</v>
      </c>
      <c r="AB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1">
        <f>IFERROR(subQ!G29/subQ!F29-1,"")</f>
        <v/>
      </c>
      <c r="H37" s="22" t="n"/>
      <c r="I37" s="21">
        <f>IFERROR(subQ!I29/subQ!G29-1,"")</f>
        <v/>
      </c>
      <c r="J37" s="21">
        <f>IFERROR(subQ!J29/subQ!I29-1,"")</f>
        <v/>
      </c>
      <c r="K37" s="21">
        <f>IFERROR(subQ!K29/subQ!J29-1,"")</f>
        <v/>
      </c>
      <c r="L37" s="21">
        <f>IFERROR(subQ!L29/subQ!K29-1,"")</f>
        <v/>
      </c>
      <c r="M37" s="22" t="n"/>
      <c r="N37" s="21">
        <f>IFERROR(subQ!N29/subQ!L29-1,"")</f>
        <v/>
      </c>
      <c r="O37" s="23">
        <f>IFERROR(subQ!O29/subQ!N29-1,"")</f>
        <v/>
      </c>
      <c r="P37" s="32" t="n"/>
      <c r="Q37" s="32" t="n"/>
      <c r="R37" s="25" t="n"/>
      <c r="S37" s="32" t="n"/>
      <c r="T37" s="32" t="n"/>
      <c r="U37" s="32" t="n"/>
      <c r="V37" s="32" t="n"/>
      <c r="W37" s="25" t="n"/>
      <c r="X37" s="32" t="n"/>
      <c r="Y37" s="32" t="n"/>
      <c r="Z37" s="32" t="n"/>
      <c r="AA37" s="32" t="n"/>
      <c r="AB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1" t="n"/>
      <c r="H38" s="22" t="n"/>
      <c r="I38" s="21" t="n"/>
      <c r="J38" s="21">
        <f>IFERROR(subQ!J30/subQ!E30-1,"")</f>
        <v/>
      </c>
      <c r="K38" s="21">
        <f>IFERROR(subQ!K30/subQ!F30-1,"")</f>
        <v/>
      </c>
      <c r="L38" s="21">
        <f>IFERROR(subQ!L30/subQ!G30-1,"")</f>
        <v/>
      </c>
      <c r="M38" s="22" t="n"/>
      <c r="N38" s="21">
        <f>IFERROR(subQ!N30/subQ!I30-1,"")</f>
        <v/>
      </c>
      <c r="O38" s="23">
        <f>IFERROR(subQ!O30/subQ!J30-1,"")</f>
        <v/>
      </c>
      <c r="P38" s="24" t="n">
        <v>0.212133885</v>
      </c>
      <c r="Q38" s="24" t="n">
        <v>-0.39755384</v>
      </c>
      <c r="R38" s="25" t="n"/>
      <c r="S38" s="24" t="n">
        <v>-0.149009053</v>
      </c>
      <c r="T38" s="24" t="n">
        <v>0.451834412</v>
      </c>
      <c r="U38" s="24" t="n">
        <v>0</v>
      </c>
      <c r="V38" s="24" t="n">
        <v>0</v>
      </c>
      <c r="W38" s="25" t="n"/>
      <c r="X38" s="24" t="n">
        <v>0</v>
      </c>
      <c r="Y38" s="24" t="n">
        <v>0</v>
      </c>
      <c r="Z38" s="24" t="n">
        <v>0</v>
      </c>
      <c r="AA38" s="24" t="n">
        <v>0</v>
      </c>
      <c r="AB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1" t="n"/>
      <c r="H39" s="22" t="n"/>
      <c r="I39" s="21" t="n"/>
      <c r="J39" s="21">
        <f>IFERROR(subQ!J31/subQ!E31-1,"")</f>
        <v/>
      </c>
      <c r="K39" s="21">
        <f>IFERROR(subQ!K31/subQ!F31-1,"")</f>
        <v/>
      </c>
      <c r="L39" s="21">
        <f>IFERROR(subQ!L31/subQ!G31-1,"")</f>
        <v/>
      </c>
      <c r="M39" s="22" t="n"/>
      <c r="N39" s="21">
        <f>IFERROR(subQ!N31/subQ!I31-1,"")</f>
        <v/>
      </c>
      <c r="O39" s="23">
        <f>IFERROR(subQ!O31/subQ!J31-1,"")</f>
        <v/>
      </c>
      <c r="P39" s="32" t="n"/>
      <c r="Q39" s="32" t="n"/>
      <c r="R39" s="25" t="n"/>
      <c r="S39" s="32" t="n"/>
      <c r="T39" s="32" t="n"/>
      <c r="U39" s="32" t="n"/>
      <c r="V39" s="32" t="n"/>
      <c r="W39" s="25" t="n"/>
      <c r="X39" s="32" t="n"/>
      <c r="Y39" s="32" t="n"/>
      <c r="Z39" s="32" t="n"/>
      <c r="AA39" s="32" t="n"/>
      <c r="AB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1">
        <f>IFERROR(subQ!G32/subQ!F32-1,"")</f>
        <v/>
      </c>
      <c r="H40" s="22" t="n"/>
      <c r="I40" s="21">
        <f>IFERROR(subQ!I32/subQ!G32-1,"")</f>
        <v/>
      </c>
      <c r="J40" s="21">
        <f>IFERROR(subQ!J32/subQ!I32-1,"")</f>
        <v/>
      </c>
      <c r="K40" s="21">
        <f>IFERROR(subQ!K32/subQ!J32-1,"")</f>
        <v/>
      </c>
      <c r="L40" s="21">
        <f>IFERROR(subQ!L32/subQ!K32-1,"")</f>
        <v/>
      </c>
      <c r="M40" s="22" t="n"/>
      <c r="N40" s="21">
        <f>IFERROR(subQ!N32/subQ!L32-1,"")</f>
        <v/>
      </c>
      <c r="O40" s="23">
        <f>IFERROR(subQ!O32/subQ!N32-1,"")</f>
        <v/>
      </c>
      <c r="P40" s="24" t="n">
        <v>0</v>
      </c>
      <c r="Q40" s="24" t="n">
        <v>0</v>
      </c>
      <c r="R40" s="25" t="n"/>
      <c r="S40" s="24" t="n">
        <v>0</v>
      </c>
      <c r="T40" s="24" t="n">
        <v>0</v>
      </c>
      <c r="U40" s="24" t="n">
        <v>0</v>
      </c>
      <c r="V40" s="24" t="n">
        <v>0</v>
      </c>
      <c r="W40" s="25" t="n"/>
      <c r="X40" s="24" t="n">
        <v>0</v>
      </c>
      <c r="Y40" s="24" t="n">
        <v>0</v>
      </c>
      <c r="Z40" s="24" t="n">
        <v>0</v>
      </c>
      <c r="AA40" s="24" t="n">
        <v>0</v>
      </c>
      <c r="AB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7">
        <f>subQ!G35</f>
        <v/>
      </c>
      <c r="H41" s="28">
        <f>subQ!H35</f>
        <v/>
      </c>
      <c r="I41" s="27">
        <f>subQ!I35</f>
        <v/>
      </c>
      <c r="J41" s="27">
        <f>subQ!J35</f>
        <v/>
      </c>
      <c r="K41" s="27">
        <f>subQ!K35</f>
        <v/>
      </c>
      <c r="L41" s="27">
        <f>subQ!L35</f>
        <v/>
      </c>
      <c r="M41" s="28">
        <f>subQ!M35</f>
        <v/>
      </c>
      <c r="N41" s="27">
        <f>subQ!N35</f>
        <v/>
      </c>
      <c r="O41" s="29">
        <f>subQ!O35</f>
        <v/>
      </c>
      <c r="P41" s="33" t="n"/>
      <c r="Q41" s="30" t="n">
        <v>3950</v>
      </c>
      <c r="R41" s="31">
        <f>subQ!R35</f>
        <v/>
      </c>
      <c r="S41" s="33" t="n"/>
      <c r="T41" s="33" t="n"/>
      <c r="U41" s="33" t="n"/>
      <c r="V41" s="30" t="n">
        <v>3950</v>
      </c>
      <c r="W41" s="31">
        <f>subQ!W35</f>
        <v/>
      </c>
      <c r="X41" s="33" t="n"/>
      <c r="Y41" s="33" t="n"/>
      <c r="Z41" s="33" t="n"/>
      <c r="AA41" s="30" t="n">
        <v>3950</v>
      </c>
      <c r="AB41" s="31">
        <f>subQ!AB35</f>
        <v/>
      </c>
    </row>
    <row r="42">
      <c r="H42" s="9" t="n"/>
      <c r="M42" s="9" t="n"/>
      <c r="O42" s="5" t="n"/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H43" s="9" t="n"/>
      <c r="M43" s="9" t="n"/>
      <c r="O43" s="5" t="n"/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218000</v>
      </c>
      <c r="E44" s="2" t="inlineStr">
        <is>
          <t>원 — 네이버 정규장 종가(aik 확정종가 대조 · aik 220,000원)</t>
        </is>
      </c>
      <c r="H44" s="9" t="n"/>
      <c r="M44" s="9" t="n"/>
      <c r="O44" s="5" t="n"/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H45" s="9" t="n"/>
      <c r="M45" s="9" t="n"/>
      <c r="O45" s="5" t="n"/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H46" s="9" t="n"/>
      <c r="M46" s="9" t="n"/>
      <c r="O46" s="5" t="n"/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30.8배가 캡 5~30 밖 — 턴어라운드 초기 TTM EPS 왜곡)</t>
        </is>
      </c>
      <c r="H47" s="9" t="n"/>
      <c r="M47" s="9" t="n"/>
      <c r="O47" s="5" t="n"/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H48" s="9" t="n"/>
      <c r="M48" s="9" t="n"/>
      <c r="O48" s="5" t="n"/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0.230002233156757</v>
      </c>
      <c r="E51" s="2" t="inlineStr">
        <is>
          <t>연결 — 법인세 = MAX(세전,0) × 세율(역산, 재현 오차 ≤ 0.05억 · 모델 assumptions 0.23) · 최근 9분기 유효세율 23.0%(5~27% 안 — 그대로)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0.05177168289532724</v>
      </c>
      <c r="E52" s="2" t="inlineStr">
        <is>
          <t>연결 — 판관비 = 매출액 × 판관비율(역산, 재현 오차 ≤ 0.05억 · 모델 assumptions 0.0518)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0.02881997858445603</v>
      </c>
      <c r="E54" s="2" t="inlineStr">
        <is>
          <t>연결 — 이자손익 = (전분기 이자발생자산 × 자산이자율 − 전분기 총차입금 × 부채이자율)/4(역산, 재현 오차 ≤ 0.05억 · 모델 assumptions 0.0288)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0.6569</v>
      </c>
      <c r="E56" s="2" t="inlineStr">
        <is>
          <t>배당성향(참고 — 모델은 직전 DPS 유지·Q2 지급 가정)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H58" s="9" t="n"/>
      <c r="M58" s="9" t="n"/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H59" s="9" t="n"/>
      <c r="M59" s="9" t="n"/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7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7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7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7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7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7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7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7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7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7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7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7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7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7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7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7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7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7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7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7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7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7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7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7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7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7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7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7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7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7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7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7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7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7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7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7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7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7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7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7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7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7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7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7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7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7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7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7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7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7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7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7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7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7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7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7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7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7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7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7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7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7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7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7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7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7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7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7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7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7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7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7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7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7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7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7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7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7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7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7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7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7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7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7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7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7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7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7" t="n">
        <v>0</v>
      </c>
      <c r="J57" s="18" t="n">
        <v>2712.8</v>
      </c>
      <c r="L57" s="18" t="n">
        <v>0</v>
      </c>
      <c r="M57" s="37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7" t="n">
        <v>0</v>
      </c>
      <c r="J58" s="18" t="n">
        <v>2712.8</v>
      </c>
      <c r="L58" s="18" t="n">
        <v>0</v>
      </c>
      <c r="M58" s="37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7" t="n">
        <v>0</v>
      </c>
      <c r="J59" s="18" t="n">
        <v>2712.8</v>
      </c>
      <c r="L59" s="18" t="n">
        <v>0</v>
      </c>
      <c r="M59" s="37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7" t="n">
        <v>-481416.07</v>
      </c>
      <c r="J60" s="18" t="n">
        <v>-469358.55</v>
      </c>
      <c r="L60" s="18" t="n">
        <v>-564472.8100000001</v>
      </c>
      <c r="M60" s="37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7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7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7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7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7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7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7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7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7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7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7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7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7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7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7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7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7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7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7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7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7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이자수익</t>
        </is>
      </c>
      <c r="E82" s="18" t="n">
        <v>2989.88</v>
      </c>
      <c r="F82" s="18" t="n">
        <v>3783.72</v>
      </c>
      <c r="G82" s="18" t="n">
        <v>4065.54</v>
      </c>
      <c r="H82" s="9" t="n"/>
      <c r="I82" s="18" t="n">
        <v>4504.18</v>
      </c>
      <c r="J82" s="18" t="n">
        <v>3748.16</v>
      </c>
      <c r="K82" s="18" t="n">
        <v>3717.53</v>
      </c>
      <c r="L82" s="18" t="n">
        <v>3971.72</v>
      </c>
      <c r="M82" s="37" t="n">
        <v>15941.59</v>
      </c>
      <c r="N82" s="18" t="n">
        <v>4317.85</v>
      </c>
      <c r="O82" s="19" t="n">
        <v>4126.78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이자비용</t>
        </is>
      </c>
      <c r="E83" s="18" t="n">
        <v>1669.17</v>
      </c>
      <c r="F83" s="18" t="n">
        <v>452.57</v>
      </c>
      <c r="G83" s="18" t="n">
        <v>324.3</v>
      </c>
      <c r="H83" s="9" t="n"/>
      <c r="I83" s="18" t="n">
        <v>283.67</v>
      </c>
      <c r="J83" s="18" t="n">
        <v>288.03</v>
      </c>
      <c r="K83" s="18" t="n">
        <v>253.42</v>
      </c>
      <c r="L83" s="18" t="n">
        <v>235.19</v>
      </c>
      <c r="M83" s="37" t="n">
        <v>1060.31</v>
      </c>
      <c r="N83" s="18" t="n">
        <v>244.72</v>
      </c>
      <c r="O83" s="19" t="n">
        <v>388.31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외환차익</t>
        </is>
      </c>
      <c r="E84" s="18" t="n">
        <v>11295.61</v>
      </c>
      <c r="F84" s="18" t="n">
        <v>7270.66</v>
      </c>
      <c r="G84" s="18" t="n">
        <v>17681.73</v>
      </c>
      <c r="H84" s="9" t="n"/>
      <c r="I84" s="18" t="n">
        <v>9396.469999999999</v>
      </c>
      <c r="J84" s="18" t="n">
        <v>13149.5</v>
      </c>
      <c r="K84" s="18" t="n">
        <v>9674.16</v>
      </c>
      <c r="L84" s="18" t="n">
        <v>18271.09</v>
      </c>
      <c r="M84" s="37" t="n">
        <v>50491.22</v>
      </c>
      <c r="N84" s="18" t="n">
        <v>36494.26</v>
      </c>
      <c r="O84" s="19" t="n">
        <v>27247.3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외환차손</t>
        </is>
      </c>
      <c r="E85" s="18" t="n">
        <v>2519.08</v>
      </c>
      <c r="F85" s="18" t="n">
        <v>10965.01</v>
      </c>
      <c r="G85" s="18" t="n">
        <v>8802.219999999999</v>
      </c>
      <c r="H85" s="9" t="n"/>
      <c r="I85" s="18" t="n">
        <v>12027.59</v>
      </c>
      <c r="J85" s="18" t="n">
        <v>24655.56</v>
      </c>
      <c r="K85" s="18" t="n">
        <v>6372.05</v>
      </c>
      <c r="L85" s="18" t="n">
        <v>11599.55</v>
      </c>
      <c r="M85" s="37" t="n">
        <v>54654.75</v>
      </c>
      <c r="N85" s="18" t="n">
        <v>19419.61</v>
      </c>
      <c r="O85" s="19" t="n">
        <v>16857.99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외화환산이익</t>
        </is>
      </c>
      <c r="E86" s="18" t="n">
        <v>-3556.13</v>
      </c>
      <c r="F86" s="18" t="n">
        <v>-1750.59</v>
      </c>
      <c r="G86" s="18" t="n">
        <v>7371.48</v>
      </c>
      <c r="H86" s="9" t="n"/>
      <c r="I86" s="18" t="n">
        <v>1865.6</v>
      </c>
      <c r="J86" s="18" t="n">
        <v>-800.12</v>
      </c>
      <c r="K86" s="18" t="n">
        <v>1063.88</v>
      </c>
      <c r="L86" s="18" t="n">
        <v>31.38</v>
      </c>
      <c r="M86" s="37" t="n">
        <v>2160.74</v>
      </c>
      <c r="N86" s="18" t="n">
        <v>7231.88</v>
      </c>
      <c r="O86" s="19" t="n">
        <v>934.97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외화환산손실</t>
        </is>
      </c>
      <c r="E87" s="18" t="n">
        <v>-27.06</v>
      </c>
      <c r="F87" s="18" t="n">
        <v>3402.79</v>
      </c>
      <c r="G87" s="18" t="n">
        <v>-1081.57</v>
      </c>
      <c r="H87" s="9" t="n"/>
      <c r="I87" s="18" t="n">
        <v>1037.71</v>
      </c>
      <c r="J87" s="18" t="n">
        <v>4765.15</v>
      </c>
      <c r="K87" s="18" t="n">
        <v>-3873.49</v>
      </c>
      <c r="L87" s="18" t="n">
        <v>2972.15</v>
      </c>
      <c r="M87" s="37" t="n">
        <v>4901.52</v>
      </c>
      <c r="N87" s="18" t="n">
        <v>1416.18</v>
      </c>
      <c r="O87" s="19" t="n">
        <v>2421.5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파생상품손실</t>
        </is>
      </c>
      <c r="E88" s="18" t="n">
        <v>105.98</v>
      </c>
      <c r="F88" s="18" t="n">
        <v>-105.98</v>
      </c>
      <c r="H88" s="9" t="n"/>
      <c r="I88" s="18" t="n">
        <v>16.89</v>
      </c>
      <c r="J88" s="18" t="n">
        <v>-16.89</v>
      </c>
      <c r="K88" s="18" t="n">
        <v>0</v>
      </c>
      <c r="L88" s="18" t="n">
        <v>13.74</v>
      </c>
      <c r="M88" s="37" t="n">
        <v>13.74</v>
      </c>
      <c r="N88" s="18" t="n">
        <v>559.73</v>
      </c>
      <c r="O88" s="19" t="n">
        <v>166.36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이자손익</t>
        </is>
      </c>
      <c r="E89" s="18" t="n">
        <v>1320.71</v>
      </c>
      <c r="F89" s="18" t="n">
        <v>3331.15</v>
      </c>
      <c r="G89" s="18" t="n">
        <v>3741.24</v>
      </c>
      <c r="H89" s="9" t="n"/>
      <c r="I89" s="18" t="n">
        <v>4220.51</v>
      </c>
      <c r="J89" s="18" t="n">
        <v>3460.13</v>
      </c>
      <c r="K89" s="18" t="n">
        <v>3464.11</v>
      </c>
      <c r="L89" s="18" t="n">
        <v>3736.53</v>
      </c>
      <c r="M89" s="37" t="n">
        <v>14881.28</v>
      </c>
      <c r="N89" s="18" t="n">
        <v>4073.13</v>
      </c>
      <c r="O89" s="19" t="n">
        <v>3738.47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종속기업,공동지배기업및관계기업관련손익</t>
        </is>
      </c>
      <c r="F90" s="18" t="n">
        <v>-179.17</v>
      </c>
      <c r="G90" s="18" t="n">
        <v>-58.85</v>
      </c>
      <c r="H90" s="9" t="n"/>
      <c r="I90" s="18" t="n">
        <v>-106.5</v>
      </c>
      <c r="J90" s="18" t="n">
        <v>-61.98</v>
      </c>
      <c r="K90" s="18" t="n">
        <v>-93.95</v>
      </c>
      <c r="L90" s="18" t="n">
        <v>94.45999999999999</v>
      </c>
      <c r="M90" s="37" t="n">
        <v>-167.97</v>
      </c>
      <c r="N90" s="18" t="n">
        <v>-50.39</v>
      </c>
      <c r="O90" s="19" t="n">
        <v>-53.23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지분법관련손익</t>
        </is>
      </c>
      <c r="F91" s="18" t="n">
        <v>-179.17</v>
      </c>
      <c r="G91" s="18" t="n">
        <v>-58.85</v>
      </c>
      <c r="H91" s="9" t="n"/>
      <c r="I91" s="18" t="n">
        <v>-106.5</v>
      </c>
      <c r="J91" s="18" t="n">
        <v>-61.98</v>
      </c>
      <c r="K91" s="18" t="n">
        <v>-93.95</v>
      </c>
      <c r="L91" s="18" t="n">
        <v>94.45999999999999</v>
      </c>
      <c r="M91" s="37" t="n">
        <v>-167.97</v>
      </c>
      <c r="N91" s="18" t="n">
        <v>-50.39</v>
      </c>
      <c r="O91" s="19" t="n">
        <v>-53.23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파생상품이익</t>
        </is>
      </c>
      <c r="F92" s="18" t="n">
        <v>11</v>
      </c>
      <c r="G92" s="18" t="n">
        <v>-10.02</v>
      </c>
      <c r="H92" s="9" t="n"/>
      <c r="J92" s="18" t="n">
        <v>154.89</v>
      </c>
      <c r="K92" s="18" t="n">
        <v>-94.39</v>
      </c>
      <c r="L92" s="18" t="n">
        <v>66.51000000000001</v>
      </c>
      <c r="M92" s="9" t="n"/>
      <c r="N92" s="18" t="n">
        <v>39.71</v>
      </c>
      <c r="O92" s="19" t="n">
        <v>-8.49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(비지배주주지분)당기순이익</t>
        </is>
      </c>
      <c r="H93" s="9" t="n"/>
      <c r="I93" s="18" t="n">
        <v>0</v>
      </c>
      <c r="J93" s="18" t="n">
        <v>0</v>
      </c>
      <c r="K93" s="18" t="n">
        <v>0</v>
      </c>
      <c r="L93" s="18" t="n">
        <v>0</v>
      </c>
      <c r="M93" s="37" t="n">
        <v>0</v>
      </c>
      <c r="N93" s="18" t="n">
        <v>0</v>
      </c>
      <c r="O93" s="19" t="n">
        <v>0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영업활동으로인한현금흐름</t>
        </is>
      </c>
      <c r="E94" s="18" t="n">
        <v>48975.94</v>
      </c>
      <c r="F94" s="18" t="n">
        <v>80886.64</v>
      </c>
      <c r="G94" s="18" t="n">
        <v>37322.58</v>
      </c>
      <c r="H94" s="9" t="n"/>
      <c r="I94" s="18" t="n">
        <v>98176.78999999999</v>
      </c>
      <c r="J94" s="18" t="n">
        <v>57778.41</v>
      </c>
      <c r="K94" s="18" t="n">
        <v>83213.62</v>
      </c>
      <c r="L94" s="18" t="n">
        <v>84958.92999999999</v>
      </c>
      <c r="M94" s="37" t="n">
        <v>324127.75</v>
      </c>
      <c r="N94" s="18" t="n">
        <v>45323.72</v>
      </c>
      <c r="O94" s="19" t="n">
        <v>68374.59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이자수취(CF)</t>
        </is>
      </c>
      <c r="E95" s="18" t="n">
        <v>1757.68</v>
      </c>
      <c r="F95" s="18" t="n">
        <v>2957.29</v>
      </c>
      <c r="G95" s="18" t="n">
        <v>2880.29</v>
      </c>
      <c r="H95" s="9" t="n"/>
      <c r="I95" s="18" t="n">
        <v>5712.82</v>
      </c>
      <c r="J95" s="18" t="n">
        <v>3420.95</v>
      </c>
      <c r="K95" s="18" t="n">
        <v>3062.74</v>
      </c>
      <c r="L95" s="18" t="n">
        <v>4949.73</v>
      </c>
      <c r="M95" s="37" t="n">
        <v>17146.24</v>
      </c>
      <c r="N95" s="18" t="n">
        <v>3301.24</v>
      </c>
      <c r="O95" s="19" t="n">
        <v>5091.02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이자지급(CF)</t>
        </is>
      </c>
      <c r="E96" s="18" t="n">
        <v>-1604.86</v>
      </c>
      <c r="F96" s="18" t="n">
        <v>-357.88</v>
      </c>
      <c r="G96" s="18" t="n">
        <v>-463.1</v>
      </c>
      <c r="H96" s="9" t="n"/>
      <c r="I96" s="18" t="n">
        <v>-283.2</v>
      </c>
      <c r="J96" s="18" t="n">
        <v>-287.58</v>
      </c>
      <c r="K96" s="18" t="n">
        <v>-252.97</v>
      </c>
      <c r="L96" s="18" t="n">
        <v>-234.86</v>
      </c>
      <c r="M96" s="37" t="n">
        <v>-1058.61</v>
      </c>
      <c r="N96" s="18" t="n">
        <v>-244.23</v>
      </c>
      <c r="O96" s="19" t="n">
        <v>-385.24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법인세납부(CF)</t>
        </is>
      </c>
      <c r="E97" s="18" t="n">
        <v>-27169.56</v>
      </c>
      <c r="F97" s="18" t="n">
        <v>-27556.01</v>
      </c>
      <c r="G97" s="18" t="n">
        <v>-599.8200000000001</v>
      </c>
      <c r="H97" s="9" t="n"/>
      <c r="I97" s="18" t="n">
        <v>-13619.73</v>
      </c>
      <c r="J97" s="18" t="n">
        <v>-17117.81</v>
      </c>
      <c r="K97" s="18" t="n">
        <v>-17933.43</v>
      </c>
      <c r="L97" s="18" t="n">
        <v>-17646.7</v>
      </c>
      <c r="M97" s="37" t="n">
        <v>-66317.67</v>
      </c>
      <c r="N97" s="18" t="n">
        <v>-20733.94</v>
      </c>
      <c r="O97" s="19" t="n">
        <v>-27277.39</v>
      </c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투자활동으로인한현금흐름</t>
        </is>
      </c>
      <c r="E98" s="18" t="n">
        <v>-129530.4</v>
      </c>
      <c r="F98" s="18" t="n">
        <v>-130593.67</v>
      </c>
      <c r="G98" s="18" t="n">
        <v>66259.99000000001</v>
      </c>
      <c r="H98" s="9" t="n"/>
      <c r="I98" s="18" t="n">
        <v>61238.08</v>
      </c>
      <c r="J98" s="18" t="n">
        <v>-83764.12</v>
      </c>
      <c r="K98" s="18" t="n">
        <v>37256.68</v>
      </c>
      <c r="L98" s="18" t="n">
        <v>-36051.79</v>
      </c>
      <c r="M98" s="37" t="n">
        <v>-21321.15</v>
      </c>
      <c r="N98" s="18" t="n">
        <v>6632.48</v>
      </c>
      <c r="O98" s="19" t="n">
        <v>82124.3</v>
      </c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  <row r="99">
      <c r="A99" t="n">
        <v>1</v>
      </c>
      <c r="C99" t="inlineStr">
        <is>
          <t>유형자산의증가</t>
        </is>
      </c>
      <c r="E99" s="18" t="n">
        <v>2582.99</v>
      </c>
      <c r="F99" s="18" t="n">
        <v>2598.18</v>
      </c>
      <c r="G99" s="18" t="n">
        <v>2476.77</v>
      </c>
      <c r="H99" s="9" t="n"/>
      <c r="I99" s="18" t="n">
        <v>3733.33</v>
      </c>
      <c r="J99" s="18" t="n">
        <v>5639.96</v>
      </c>
      <c r="K99" s="18" t="n">
        <v>2015.11</v>
      </c>
      <c r="L99" s="18" t="n">
        <v>5773.13</v>
      </c>
      <c r="M99" s="37" t="n">
        <v>17161.53</v>
      </c>
      <c r="N99" s="18" t="n">
        <v>4087</v>
      </c>
      <c r="O99" s="19" t="n">
        <v>2395.59</v>
      </c>
      <c r="P99" s="10" t="n"/>
      <c r="Q99" s="10" t="n"/>
      <c r="R99" s="11" t="n"/>
      <c r="S99" s="10" t="n"/>
      <c r="T99" s="10" t="n"/>
      <c r="U99" s="10" t="n"/>
      <c r="V99" s="10" t="n"/>
      <c r="W99" s="11" t="n"/>
      <c r="X99" s="10" t="n"/>
      <c r="Y99" s="10" t="n"/>
      <c r="Z99" s="10" t="n"/>
      <c r="AA99" s="10" t="n"/>
      <c r="AB99" s="11" t="n"/>
    </row>
    <row r="100">
      <c r="A100" t="n">
        <v>1</v>
      </c>
      <c r="C100" t="inlineStr">
        <is>
          <t>CAPEX</t>
        </is>
      </c>
      <c r="E100" s="18" t="n">
        <v>2582.99</v>
      </c>
      <c r="F100" s="18" t="n">
        <v>2598.18</v>
      </c>
      <c r="G100" s="18" t="n">
        <v>2841.47</v>
      </c>
      <c r="H100" s="9" t="n"/>
      <c r="I100" s="18" t="n">
        <v>3733.33</v>
      </c>
      <c r="J100" s="18" t="n">
        <v>5639.96</v>
      </c>
      <c r="K100" s="18" t="n">
        <v>2869.32</v>
      </c>
      <c r="L100" s="18" t="n">
        <v>5773.13</v>
      </c>
      <c r="M100" s="37" t="n">
        <v>18015.74</v>
      </c>
      <c r="N100" s="18" t="n">
        <v>4087</v>
      </c>
      <c r="O100" s="19" t="n">
        <v>2395.59</v>
      </c>
      <c r="P100" s="10" t="n"/>
      <c r="Q100" s="10" t="n"/>
      <c r="R100" s="11" t="n"/>
      <c r="S100" s="10" t="n"/>
      <c r="T100" s="10" t="n"/>
      <c r="U100" s="10" t="n"/>
      <c r="V100" s="10" t="n"/>
      <c r="W100" s="11" t="n"/>
      <c r="X100" s="10" t="n"/>
      <c r="Y100" s="10" t="n"/>
      <c r="Z100" s="10" t="n"/>
      <c r="AA100" s="10" t="n"/>
      <c r="AB100" s="11" t="n"/>
    </row>
    <row r="101">
      <c r="A101" t="n">
        <v>1</v>
      </c>
      <c r="C101" t="inlineStr">
        <is>
          <t>재무활동으로인한현금흐름</t>
        </is>
      </c>
      <c r="E101" s="18" t="n">
        <v>222645.97</v>
      </c>
      <c r="F101" s="18" t="n">
        <v>-47600.29</v>
      </c>
      <c r="G101" s="18" t="n">
        <v>-29541.57</v>
      </c>
      <c r="H101" s="9" t="n"/>
      <c r="I101" s="18" t="n">
        <v>-2004.31</v>
      </c>
      <c r="J101" s="18" t="n">
        <v>-151633.73</v>
      </c>
      <c r="K101" s="18" t="n">
        <v>-36248.22</v>
      </c>
      <c r="L101" s="18" t="n">
        <v>-33365.41</v>
      </c>
      <c r="M101" s="37" t="n">
        <v>-223251.67</v>
      </c>
      <c r="N101" s="18" t="n">
        <v>-2009.1</v>
      </c>
      <c r="O101" s="19" t="n">
        <v>-125996.3</v>
      </c>
      <c r="P101" s="10" t="n"/>
      <c r="Q101" s="10" t="n"/>
      <c r="R101" s="11" t="n"/>
      <c r="S101" s="10" t="n"/>
      <c r="T101" s="10" t="n"/>
      <c r="U101" s="10" t="n"/>
      <c r="V101" s="10" t="n"/>
      <c r="W101" s="11" t="n"/>
      <c r="X101" s="10" t="n"/>
      <c r="Y101" s="10" t="n"/>
      <c r="Z101" s="10" t="n"/>
      <c r="AA101" s="10" t="n"/>
      <c r="AB101" s="11" t="n"/>
    </row>
    <row r="102">
      <c r="A102" t="n">
        <v>1</v>
      </c>
      <c r="C102" t="inlineStr">
        <is>
          <t>리스부채의상환</t>
        </is>
      </c>
      <c r="E102" s="18" t="n">
        <v>1928.5</v>
      </c>
      <c r="F102" s="18" t="n">
        <v>1954.2</v>
      </c>
      <c r="G102" s="18" t="n">
        <v>1926.62</v>
      </c>
      <c r="H102" s="9" t="n"/>
      <c r="I102" s="18" t="n">
        <v>2002.36</v>
      </c>
      <c r="J102" s="18" t="n">
        <v>2070.3</v>
      </c>
      <c r="K102" s="18" t="n">
        <v>2011.89</v>
      </c>
      <c r="L102" s="18" t="n">
        <v>2091.22</v>
      </c>
      <c r="M102" s="37" t="n">
        <v>8175.77</v>
      </c>
      <c r="N102" s="18" t="n">
        <v>2114.11</v>
      </c>
      <c r="O102" s="19" t="n">
        <v>2706.97</v>
      </c>
      <c r="P102" s="10" t="n"/>
      <c r="Q102" s="10" t="n"/>
      <c r="R102" s="11" t="n"/>
      <c r="S102" s="10" t="n"/>
      <c r="T102" s="10" t="n"/>
      <c r="U102" s="10" t="n"/>
      <c r="V102" s="10" t="n"/>
      <c r="W102" s="11" t="n"/>
      <c r="X102" s="10" t="n"/>
      <c r="Y102" s="10" t="n"/>
      <c r="Z102" s="10" t="n"/>
      <c r="AA102" s="10" t="n"/>
      <c r="AB102" s="11" t="n"/>
    </row>
    <row r="103">
      <c r="A103" t="n">
        <v>1</v>
      </c>
      <c r="C103" t="inlineStr">
        <is>
          <t>현금및현금성자산의증감</t>
        </is>
      </c>
      <c r="E103" s="18" t="n">
        <v>143040.25</v>
      </c>
      <c r="F103" s="18" t="n">
        <v>-98723.36</v>
      </c>
      <c r="H103" s="9" t="n"/>
      <c r="I103" s="18" t="n">
        <v>157303.7</v>
      </c>
      <c r="J103" s="18" t="n">
        <v>-179991.87</v>
      </c>
      <c r="K103" s="18" t="n">
        <v>85532.64</v>
      </c>
      <c r="L103" s="18" t="n">
        <v>16613.5</v>
      </c>
      <c r="M103" s="37" t="n">
        <v>79457.97</v>
      </c>
      <c r="N103" s="18" t="n">
        <v>52748.77</v>
      </c>
      <c r="O103" s="19" t="n">
        <v>25767.87</v>
      </c>
      <c r="P103" s="10" t="n"/>
      <c r="Q103" s="10" t="n"/>
      <c r="R103" s="11" t="n"/>
      <c r="S103" s="10" t="n"/>
      <c r="T103" s="10" t="n"/>
      <c r="U103" s="10" t="n"/>
      <c r="V103" s="10" t="n"/>
      <c r="W103" s="11" t="n"/>
      <c r="X103" s="10" t="n"/>
      <c r="Y103" s="10" t="n"/>
      <c r="Z103" s="10" t="n"/>
      <c r="AA103" s="10" t="n"/>
      <c r="AB103" s="11" t="n"/>
    </row>
    <row r="104">
      <c r="A104" t="n">
        <v>1</v>
      </c>
      <c r="C104" t="inlineStr">
        <is>
          <t>기말현금및현금성자산</t>
        </is>
      </c>
      <c r="E104" s="18" t="n">
        <v>143040.25</v>
      </c>
      <c r="F104" s="18" t="n">
        <v>-98723.36</v>
      </c>
      <c r="H104" s="9" t="n"/>
      <c r="I104" s="18" t="n">
        <v>455769.77</v>
      </c>
      <c r="J104" s="18" t="n">
        <v>-179991.86</v>
      </c>
      <c r="K104" s="18" t="n">
        <v>85532.63</v>
      </c>
      <c r="L104" s="18" t="n">
        <v>16613.5</v>
      </c>
      <c r="M104" s="37" t="n">
        <v>377924.04</v>
      </c>
      <c r="N104" s="18" t="n">
        <v>430672.81</v>
      </c>
      <c r="O104" s="19" t="n">
        <v>25767.87</v>
      </c>
      <c r="P104" s="10" t="n"/>
      <c r="Q104" s="10" t="n"/>
      <c r="R104" s="11" t="n"/>
      <c r="S104" s="10" t="n"/>
      <c r="T104" s="10" t="n"/>
      <c r="U104" s="10" t="n"/>
      <c r="V104" s="10" t="n"/>
      <c r="W104" s="11" t="n"/>
      <c r="X104" s="10" t="n"/>
      <c r="Y104" s="10" t="n"/>
      <c r="Z104" s="10" t="n"/>
      <c r="AA104" s="10" t="n"/>
      <c r="AB104" s="11" t="n"/>
    </row>
    <row r="105">
      <c r="A105" t="n">
        <v>1</v>
      </c>
      <c r="C105" t="inlineStr">
        <is>
          <t>유형자산의감소</t>
        </is>
      </c>
      <c r="F105" s="18" t="n">
        <v>0</v>
      </c>
      <c r="G105" s="18" t="n">
        <v>0</v>
      </c>
      <c r="H105" s="9" t="n"/>
      <c r="K105" s="18" t="n">
        <v>104.72</v>
      </c>
      <c r="L105" s="18" t="n">
        <v>3.95</v>
      </c>
      <c r="M105" s="9" t="n"/>
      <c r="N105" s="18" t="n">
        <v>400.77</v>
      </c>
      <c r="O105" s="19" t="n">
        <v>0</v>
      </c>
      <c r="P105" s="10" t="n"/>
      <c r="Q105" s="10" t="n"/>
      <c r="R105" s="11" t="n"/>
      <c r="S105" s="10" t="n"/>
      <c r="T105" s="10" t="n"/>
      <c r="U105" s="10" t="n"/>
      <c r="V105" s="10" t="n"/>
      <c r="W105" s="11" t="n"/>
      <c r="X105" s="10" t="n"/>
      <c r="Y105" s="10" t="n"/>
      <c r="Z105" s="10" t="n"/>
      <c r="AA105" s="10" t="n"/>
      <c r="AB105" s="11" t="n"/>
    </row>
    <row r="106">
      <c r="A106" t="n">
        <v>1</v>
      </c>
      <c r="C106" t="inlineStr">
        <is>
          <t>배당금지급</t>
        </is>
      </c>
      <c r="F106" s="18" t="n">
        <v>20002.5</v>
      </c>
      <c r="G106" s="18" t="n">
        <v>0</v>
      </c>
      <c r="H106" s="9" t="n"/>
      <c r="K106" s="18" t="n">
        <v>31380.45</v>
      </c>
      <c r="L106" s="18" t="n">
        <v>31380.45</v>
      </c>
      <c r="M106" s="9" t="n"/>
      <c r="O106" s="5" t="n"/>
      <c r="P106" s="10" t="n"/>
      <c r="Q106" s="10" t="n"/>
      <c r="R106" s="11" t="n"/>
      <c r="S106" s="10" t="n"/>
      <c r="T106" s="10" t="n"/>
      <c r="U106" s="10" t="n"/>
      <c r="V106" s="10" t="n"/>
      <c r="W106" s="11" t="n"/>
      <c r="X106" s="10" t="n"/>
      <c r="Y106" s="10" t="n"/>
      <c r="Z106" s="10" t="n"/>
      <c r="AA106" s="10" t="n"/>
      <c r="AB106" s="11" t="n"/>
    </row>
    <row r="107">
      <c r="A107" t="n">
        <v>1</v>
      </c>
      <c r="C107" t="inlineStr">
        <is>
          <t>무형자산의증가</t>
        </is>
      </c>
      <c r="H107" s="9" t="n"/>
      <c r="L107" s="18" t="n">
        <v>0</v>
      </c>
      <c r="M107" s="9" t="n"/>
      <c r="O107" s="5" t="n"/>
      <c r="P107" s="10" t="n"/>
      <c r="Q107" s="10" t="n"/>
      <c r="R107" s="11" t="n"/>
      <c r="S107" s="10" t="n"/>
      <c r="T107" s="10" t="n"/>
      <c r="U107" s="10" t="n"/>
      <c r="V107" s="10" t="n"/>
      <c r="W107" s="11" t="n"/>
      <c r="X107" s="10" t="n"/>
      <c r="Y107" s="10" t="n"/>
      <c r="Z107" s="10" t="n"/>
      <c r="AA107" s="10" t="n"/>
      <c r="AB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7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7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7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7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7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7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7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7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7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7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7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7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7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7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7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7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7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7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7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7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7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7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7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7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7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7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7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7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7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7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7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7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7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7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7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7" t="n">
        <v>0</v>
      </c>
      <c r="L27" s="18" t="n">
        <v>0</v>
      </c>
      <c r="M27" s="37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7" t="n">
        <v>0</v>
      </c>
      <c r="L28" s="18" t="n">
        <v>0</v>
      </c>
      <c r="M28" s="37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7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7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7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7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7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7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7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7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7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7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7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7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7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7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7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7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7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7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7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7" t="n">
        <v>0</v>
      </c>
      <c r="L40" s="18" t="n">
        <v>0</v>
      </c>
      <c r="M40" s="37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7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7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7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7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7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7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7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7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7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7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7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7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7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7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7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7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7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7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7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7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7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7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7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7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7" t="n">
        <v>0</v>
      </c>
      <c r="L54" s="18" t="n">
        <v>0</v>
      </c>
      <c r="M54" s="37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7" t="n">
        <v>-455588.23</v>
      </c>
      <c r="L55" s="18" t="n">
        <v>-505672.22</v>
      </c>
      <c r="M55" s="37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7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7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7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7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7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7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7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7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7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7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7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7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7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7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7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7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7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7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7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7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7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7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7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7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7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7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7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7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7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7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7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7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7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7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8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7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8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7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7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3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  <c r="X10" s="32">
        <f>IFERROR(X9/X5,"")</f>
        <v/>
      </c>
      <c r="Y10" s="32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7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  <c r="X11" s="20">
        <f>IFERROR(X12+X13+X14+X15,"")</f>
        <v/>
      </c>
      <c r="Y11" s="20">
        <f>IFERROR(Y12+Y13+Y14+Y15,"")</f>
        <v/>
      </c>
      <c r="Z11" s="20">
        <f>IFERROR(Z12+Z13+Z14+Z15,"")</f>
        <v/>
      </c>
      <c r="AA11" s="20">
        <f>IFERROR(AA12+AA13+AA14+AA15,"")</f>
        <v/>
      </c>
      <c r="AB11" s="38">
        <f>SUM(X11:AA11)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7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IFERROR((O28*변수!$D$54-O26*변수!$D$55)/4,"")</f>
        <v/>
      </c>
      <c r="Q12" s="20">
        <f>IFERROR((P28*변수!$D$54-P26*변수!$D$55)/4,"")</f>
        <v/>
      </c>
      <c r="R12" s="38">
        <f>SUM(N12:Q12)</f>
        <v/>
      </c>
      <c r="S12" s="20">
        <f>IFERROR((Q28*변수!$D$54-Q26*변수!$D$55)/4,"")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20">
        <f>IFERROR((U28*변수!$D$54-U26*변수!$D$55)/4,"")</f>
        <v/>
      </c>
      <c r="W12" s="38">
        <f>SUM(S12:V12)</f>
        <v/>
      </c>
      <c r="X12" s="20">
        <f>IFERROR((V28*변수!$D$54-V26*변수!$D$55)/4,"")</f>
        <v/>
      </c>
      <c r="Y12" s="20">
        <f>IFERROR((X28*변수!$D$54-X26*변수!$D$55)/4,"")</f>
        <v/>
      </c>
      <c r="Z12" s="20">
        <f>IFERROR((Y28*변수!$D$54-Y26*변수!$D$55)/4,"")</f>
        <v/>
      </c>
      <c r="AA12" s="20">
        <f>IFERROR((Z28*변수!$D$54-Z26*변수!$D$55)/4,"")</f>
        <v/>
      </c>
      <c r="AB12" s="38">
        <f>SUM(X12:AA12)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18">
        <f>IFERROR((VLOOKUP("외환차익",BS연결,MATCH(K$1,BS연결H,0),0)-VLOOKUP("외환차손",BS연결,MATCH(K$1,BS연결H,0),0)+VLOOKUP("외화환산이익",BS연결,MATCH(K$1,BS연결H,0),0)-VLOOKUP("외화환산손실",BS연결,MATCH(K$1,BS연결H,0),0))/100,"")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7">
        <f>SUM(I13:L13)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9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  <c r="X13" s="20">
        <f>변수!X24</f>
        <v/>
      </c>
      <c r="Y13" s="20">
        <f>변수!Y24</f>
        <v/>
      </c>
      <c r="Z13" s="20">
        <f>변수!Z24</f>
        <v/>
      </c>
      <c r="AA13" s="20">
        <f>변수!AA24</f>
        <v/>
      </c>
      <c r="AB13" s="38">
        <f>SUM(X13:AA13)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18">
        <f>IFERROR((VLOOKUP("파생상품이익",BS연결,MATCH(F$1,BS연결H,0),0)-VLOOKUP("파생상품손실",BS연결,MATCH(F$1,BS연결H,0),0))/100,"")</f>
        <v/>
      </c>
      <c r="G14" s="18" t="n"/>
      <c r="H14" s="37" t="n"/>
      <c r="I14" s="18" t="n"/>
      <c r="J14" s="18">
        <f>IFERROR((VLOOKUP("파생상품이익",BS연결,MATCH(J$1,BS연결H,0),0)-VLOOKUP("파생상품손실",BS연결,MATCH(J$1,BS연결H,0),0))/100,"")</f>
        <v/>
      </c>
      <c r="K14" s="18">
        <f>IFERROR((VLOOKUP("파생상품이익",BS연결,MATCH(K$1,BS연결H,0),0)-VLOOKUP("파생상품손실",BS연결,MATCH(K$1,BS연결H,0),0))/100,"")</f>
        <v/>
      </c>
      <c r="L14" s="18">
        <f>IFERROR((VLOOKUP("파생상품이익",BS연결,MATCH(L$1,BS연결H,0),0)-VLOOKUP("파생상품손실",BS연결,MATCH(L$1,BS연결H,0),0))/100,"")</f>
        <v/>
      </c>
      <c r="M14" s="37">
        <f>SUM(I14:L14)</f>
        <v/>
      </c>
      <c r="N14" s="18">
        <f>IFERROR((VLOOKUP("파생상품이익",BS연결,MATCH(N$1,BS연결H,0),0)-VLOOKUP("파생상품손실",BS연결,MATCH(N$1,BS연결H,0),0))/100,"")</f>
        <v/>
      </c>
      <c r="O14" s="19">
        <f>IFERROR((VLOOKUP("파생상품이익",BS연결,MATCH(O$1,BS연결H,0),0)-VLOOKUP("파생상품손실",BS연결,MATCH(O$1,BS연결H,0),0))/100,"")</f>
        <v/>
      </c>
      <c r="P14" s="20">
        <f>변수!P25</f>
        <v/>
      </c>
      <c r="Q14" s="20">
        <f>변수!Q25</f>
        <v/>
      </c>
      <c r="R14" s="38">
        <f>SUM(N14:Q14)</f>
        <v/>
      </c>
      <c r="S14" s="20">
        <f>변수!S25</f>
        <v/>
      </c>
      <c r="T14" s="20">
        <f>변수!T25</f>
        <v/>
      </c>
      <c r="U14" s="20">
        <f>변수!U25</f>
        <v/>
      </c>
      <c r="V14" s="20">
        <f>변수!V25</f>
        <v/>
      </c>
      <c r="W14" s="38">
        <f>SUM(S14:V14)</f>
        <v/>
      </c>
      <c r="X14" s="20">
        <f>변수!X25</f>
        <v/>
      </c>
      <c r="Y14" s="20">
        <f>변수!Y25</f>
        <v/>
      </c>
      <c r="Z14" s="20">
        <f>변수!Z25</f>
        <v/>
      </c>
      <c r="AA14" s="20">
        <f>변수!AA25</f>
        <v/>
      </c>
      <c r="AB14" s="38">
        <f>SUM(X14:AA14)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18">
        <f>IFERROR(F11-F12-F13-F14,"")</f>
        <v/>
      </c>
      <c r="G15" s="18" t="n"/>
      <c r="H15" s="37" t="n"/>
      <c r="I15" s="18" t="n"/>
      <c r="J15" s="18">
        <f>IFERROR(J11-J12-J13-J14,"")</f>
        <v/>
      </c>
      <c r="K15" s="18">
        <f>IFERROR(K11-K12-K13-K14,"")</f>
        <v/>
      </c>
      <c r="L15" s="18">
        <f>IFERROR(L11-L12-L13-L14,"")</f>
        <v/>
      </c>
      <c r="M15" s="37">
        <f>SUM(I15:L15)</f>
        <v/>
      </c>
      <c r="N15" s="18">
        <f>IFERROR(N11-N12-N13-N14,"")</f>
        <v/>
      </c>
      <c r="O15" s="19">
        <f>IFERROR(O11-O12-O13-O14,"")</f>
        <v/>
      </c>
      <c r="P15" s="20">
        <f>변수!P26</f>
        <v/>
      </c>
      <c r="Q15" s="20">
        <f>변수!Q26</f>
        <v/>
      </c>
      <c r="R15" s="38">
        <f>SUM(N15:Q15)</f>
        <v/>
      </c>
      <c r="S15" s="20">
        <f>변수!S26</f>
        <v/>
      </c>
      <c r="T15" s="20">
        <f>변수!T26</f>
        <v/>
      </c>
      <c r="U15" s="20">
        <f>변수!U26</f>
        <v/>
      </c>
      <c r="V15" s="20">
        <f>변수!V26</f>
        <v/>
      </c>
      <c r="W15" s="38">
        <f>SUM(S15:V15)</f>
        <v/>
      </c>
      <c r="X15" s="20">
        <f>변수!X26</f>
        <v/>
      </c>
      <c r="Y15" s="20">
        <f>변수!Y26</f>
        <v/>
      </c>
      <c r="Z15" s="20">
        <f>변수!Z26</f>
        <v/>
      </c>
      <c r="AA15" s="20">
        <f>변수!AA26</f>
        <v/>
      </c>
      <c r="AB15" s="38">
        <f>SUM(X15:AA15)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7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변수!P27</f>
        <v/>
      </c>
      <c r="Q16" s="20">
        <f>변수!Q27</f>
        <v/>
      </c>
      <c r="R16" s="38">
        <f>SUM(N16:Q16)</f>
        <v/>
      </c>
      <c r="S16" s="20">
        <f>변수!S27</f>
        <v/>
      </c>
      <c r="T16" s="20">
        <f>변수!T27</f>
        <v/>
      </c>
      <c r="U16" s="20">
        <f>변수!U27</f>
        <v/>
      </c>
      <c r="V16" s="20">
        <f>변수!V27</f>
        <v/>
      </c>
      <c r="W16" s="38">
        <f>SUM(S16:V16)</f>
        <v/>
      </c>
      <c r="X16" s="20">
        <f>변수!X27</f>
        <v/>
      </c>
      <c r="Y16" s="20">
        <f>변수!Y27</f>
        <v/>
      </c>
      <c r="Z16" s="20">
        <f>변수!Z27</f>
        <v/>
      </c>
      <c r="AA16" s="20">
        <f>변수!AA27</f>
        <v/>
      </c>
      <c r="AB16" s="38">
        <f>SUM(X16:AA16)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18">
        <f>IFERROR(VLOOKUP($D17,BS연결,MATCH(F$1,BS연결H,0),0)/100,"")</f>
        <v/>
      </c>
      <c r="G17" s="18">
        <f>IFERROR(VLOOKUP($D17,BS연결,MATCH(G$1,BS연결H,0),0)/100,"")</f>
        <v/>
      </c>
      <c r="H17" s="37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7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변수!P28</f>
        <v/>
      </c>
      <c r="Q17" s="20">
        <f>변수!Q28</f>
        <v/>
      </c>
      <c r="R17" s="38">
        <f>SUM(N17:Q17)</f>
        <v/>
      </c>
      <c r="S17" s="20">
        <f>변수!S28</f>
        <v/>
      </c>
      <c r="T17" s="20">
        <f>변수!T28</f>
        <v/>
      </c>
      <c r="U17" s="20">
        <f>변수!U28</f>
        <v/>
      </c>
      <c r="V17" s="20">
        <f>변수!V28</f>
        <v/>
      </c>
      <c r="W17" s="38">
        <f>SUM(S17:V17)</f>
        <v/>
      </c>
      <c r="X17" s="20">
        <f>변수!X28</f>
        <v/>
      </c>
      <c r="Y17" s="20">
        <f>변수!Y28</f>
        <v/>
      </c>
      <c r="Z17" s="20">
        <f>변수!Z28</f>
        <v/>
      </c>
      <c r="AA17" s="20">
        <f>변수!AA28</f>
        <v/>
      </c>
      <c r="AB17" s="38">
        <f>SUM(X17:AA17)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7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  <c r="X18" s="20">
        <f>IFERROR(X9+X11+X16+X17,"")</f>
        <v/>
      </c>
      <c r="Y18" s="20">
        <f>IFERROR(Y9+Y11+Y16+Y17,"")</f>
        <v/>
      </c>
      <c r="Z18" s="20">
        <f>IFERROR(Z9+Z11+Z16+Z17,"")</f>
        <v/>
      </c>
      <c r="AA18" s="20">
        <f>IFERROR(AA9+AA11+AA16+AA17,"")</f>
        <v/>
      </c>
      <c r="AB18" s="38">
        <f>SUM(X18:AA18)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7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IFERROR(MAX(P18,0)*변수!P29,"")</f>
        <v/>
      </c>
      <c r="Q19" s="20">
        <f>IFERROR(MAX(Q18,0)*변수!Q29,"")</f>
        <v/>
      </c>
      <c r="R19" s="38">
        <f>SUM(N19:Q19)</f>
        <v/>
      </c>
      <c r="S19" s="20">
        <f>IFERROR(MAX(S18,0)*변수!S29,"")</f>
        <v/>
      </c>
      <c r="T19" s="20">
        <f>IFERROR(MAX(T18,0)*변수!T29,"")</f>
        <v/>
      </c>
      <c r="U19" s="20">
        <f>IFERROR(MAX(U18,0)*변수!U29,"")</f>
        <v/>
      </c>
      <c r="V19" s="20">
        <f>IFERROR(MAX(V18,0)*변수!V29,"")</f>
        <v/>
      </c>
      <c r="W19" s="38">
        <f>SUM(S19:V19)</f>
        <v/>
      </c>
      <c r="X19" s="20">
        <f>IFERROR(MAX(X18,0)*변수!X29,"")</f>
        <v/>
      </c>
      <c r="Y19" s="20">
        <f>IFERROR(MAX(Y18,0)*변수!Y29,"")</f>
        <v/>
      </c>
      <c r="Z19" s="20">
        <f>IFERROR(MAX(Z18,0)*변수!Z29,"")</f>
        <v/>
      </c>
      <c r="AA19" s="20">
        <f>IFERROR(MAX(AA18,0)*변수!AA29,"")</f>
        <v/>
      </c>
      <c r="AB19" s="38">
        <f>SUM(X19:AA19)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  <c r="X20" s="20">
        <f>IFERROR(X18-X19,"")</f>
        <v/>
      </c>
      <c r="Y20" s="20">
        <f>IFERROR(Y18-Y19,"")</f>
        <v/>
      </c>
      <c r="Z20" s="20">
        <f>IFERROR(Z18-Z19,"")</f>
        <v/>
      </c>
      <c r="AA20" s="20">
        <f>IFERROR(AA18-AA19,"")</f>
        <v/>
      </c>
      <c r="AB20" s="38">
        <f>SUM(X20:AA20)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IFERROR(P20*변수!P30,"")</f>
        <v/>
      </c>
      <c r="Q21" s="20">
        <f>IFERROR(Q20*변수!Q30,"")</f>
        <v/>
      </c>
      <c r="R21" s="38">
        <f>SUM(N21:Q21)</f>
        <v/>
      </c>
      <c r="S21" s="20">
        <f>IFERROR(S20*변수!S30,"")</f>
        <v/>
      </c>
      <c r="T21" s="20">
        <f>IFERROR(T20*변수!T30,"")</f>
        <v/>
      </c>
      <c r="U21" s="20">
        <f>IFERROR(U20*변수!U30,"")</f>
        <v/>
      </c>
      <c r="V21" s="20">
        <f>IFERROR(V20*변수!V30,"")</f>
        <v/>
      </c>
      <c r="W21" s="38">
        <f>SUM(S21:V21)</f>
        <v/>
      </c>
      <c r="X21" s="20">
        <f>IFERROR(X20*변수!X30,"")</f>
        <v/>
      </c>
      <c r="Y21" s="20">
        <f>IFERROR(Y20*변수!Y30,"")</f>
        <v/>
      </c>
      <c r="Z21" s="20">
        <f>IFERROR(Z20*변수!Z30,"")</f>
        <v/>
      </c>
      <c r="AA21" s="20">
        <f>IFERROR(AA20*변수!AA30,"")</f>
        <v/>
      </c>
      <c r="AB21" s="38">
        <f>SUM(X21:AA21)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18">
        <f>IFERROR(VLOOKUP($D22,BS연결,MATCH(K$1,BS연결H,0),0)/100,"")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9">
        <f>IFERROR(VLOOKUP($D22,BS연결,MATCH(O$1,BS연결H,0),0)/100,"")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  <c r="X22" s="20">
        <f>IFERROR(X23+X24,"")</f>
        <v/>
      </c>
      <c r="Y22" s="20">
        <f>IFERROR(Y23+Y24,"")</f>
        <v/>
      </c>
      <c r="Z22" s="20">
        <f>IFERROR(Z23+Z24,"")</f>
        <v/>
      </c>
      <c r="AA22" s="20">
        <f>IFERROR(AA23+AA24,"")</f>
        <v/>
      </c>
      <c r="AB22" s="38">
        <f>AA22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18">
        <f>IFERROR(VLOOKUP($D23,BS연결,MATCH(K$1,BS연결H,0),0)/100,"")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9">
        <f>IFERROR(VLOOKUP($D23,BS연결,MATCH(O$1,BS연결H,0),0)/100,"")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  <c r="X23" s="20">
        <f>IFERROR(V23*(1+변수!X31),"")</f>
        <v/>
      </c>
      <c r="Y23" s="20">
        <f>IFERROR(X23*(1+변수!Y31),"")</f>
        <v/>
      </c>
      <c r="Z23" s="20">
        <f>IFERROR(Y23*(1+변수!Z31),"")</f>
        <v/>
      </c>
      <c r="AA23" s="20">
        <f>IFERROR(Z23*(1+변수!AA31),"")</f>
        <v/>
      </c>
      <c r="AB23" s="38">
        <f>AA23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IFERROR(O24+P20-변수!P32,"")</f>
        <v/>
      </c>
      <c r="Q24" s="20">
        <f>IFERROR(P24+Q20-변수!Q32,"")</f>
        <v/>
      </c>
      <c r="R24" s="38">
        <f>Q24</f>
        <v/>
      </c>
      <c r="S24" s="20">
        <f>IFERROR(Q24+S20-변수!S32,"")</f>
        <v/>
      </c>
      <c r="T24" s="20">
        <f>IFERROR(S24+T20-변수!T32,"")</f>
        <v/>
      </c>
      <c r="U24" s="20">
        <f>IFERROR(T24+U20-변수!U32,"")</f>
        <v/>
      </c>
      <c r="V24" s="20">
        <f>IFERROR(U24+V20-변수!V32,"")</f>
        <v/>
      </c>
      <c r="W24" s="38">
        <f>V24</f>
        <v/>
      </c>
      <c r="X24" s="20">
        <f>IFERROR(V24+X20-변수!X32,"")</f>
        <v/>
      </c>
      <c r="Y24" s="20">
        <f>IFERROR(X24+Y20-변수!Y32,"")</f>
        <v/>
      </c>
      <c r="Z24" s="20">
        <f>IFERROR(Y24+Z20-변수!Z32,"")</f>
        <v/>
      </c>
      <c r="AA24" s="20">
        <f>IFERROR(Z24+AA20-변수!AA32,"")</f>
        <v/>
      </c>
      <c r="AB24" s="38">
        <f>AA24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>
        <f>IFERROR(O25+P21-변수!P33,"")</f>
        <v/>
      </c>
      <c r="Q25" s="20">
        <f>IFERROR(P25+Q21-변수!Q33,"")</f>
        <v/>
      </c>
      <c r="R25" s="38">
        <f>Q25</f>
        <v/>
      </c>
      <c r="S25" s="20">
        <f>IFERROR(Q25+S21-변수!S33,"")</f>
        <v/>
      </c>
      <c r="T25" s="20">
        <f>IFERROR(S25+T21-변수!T33,"")</f>
        <v/>
      </c>
      <c r="U25" s="20">
        <f>IFERROR(T25+U21-변수!U33,"")</f>
        <v/>
      </c>
      <c r="V25" s="20">
        <f>IFERROR(U25+V21-변수!V33,"")</f>
        <v/>
      </c>
      <c r="W25" s="38">
        <f>V25</f>
        <v/>
      </c>
      <c r="X25" s="20">
        <f>IFERROR(V25+X21-변수!X33,"")</f>
        <v/>
      </c>
      <c r="Y25" s="20">
        <f>IFERROR(X25+Y21-변수!Y33,"")</f>
        <v/>
      </c>
      <c r="Z25" s="20">
        <f>IFERROR(Y25+Z21-변수!Z33,"")</f>
        <v/>
      </c>
      <c r="AA25" s="20">
        <f>IFERROR(Z25+AA21-변수!AA33,"")</f>
        <v/>
      </c>
      <c r="AB25" s="38">
        <f>AA25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 t="n"/>
      <c r="F26" s="18">
        <f>IFERROR(VLOOKUP($D26,BS연결,MATCH(F$1,BS연결H,0),0)/100,"")</f>
        <v/>
      </c>
      <c r="G26" s="18">
        <f>IFERROR(VLOOKUP($D26,BS연결,MATCH(G$1,BS연결H,0),0)/100,"")</f>
        <v/>
      </c>
      <c r="H26" s="37">
        <f>IFERROR(VLOOKUP($D26,BS연결,MATCH(H$1,BS연결H,0),0)/100,"")</f>
        <v/>
      </c>
      <c r="I26" s="18" t="n"/>
      <c r="J26" s="18">
        <f>IFERROR(VLOOKUP($D26,BS연결,MATCH(J$1,BS연결H,0),0)/100,"")</f>
        <v/>
      </c>
      <c r="K26" s="18" t="n"/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 t="n"/>
      <c r="O26" s="19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  <c r="X26" s="20" t="n"/>
      <c r="Y26" s="20" t="n"/>
      <c r="Z26" s="20" t="n"/>
      <c r="AA26" s="20" t="n"/>
      <c r="AB26" s="38">
        <f>AA26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 t="n"/>
      <c r="F27" s="18">
        <f>IFERROR(VLOOKUP($D27,BS연결,MATCH(F$1,BS연결H,0),0)/100,"")</f>
        <v/>
      </c>
      <c r="G27" s="18">
        <f>IFERROR(VLOOKUP($D27,BS연결,MATCH(G$1,BS연결H,0),0)/100,"")</f>
        <v/>
      </c>
      <c r="H27" s="37">
        <f>IFERROR(VLOOKUP($D27,BS연결,MATCH(H$1,BS연결H,0),0)/100,"")</f>
        <v/>
      </c>
      <c r="I27" s="18" t="n"/>
      <c r="J27" s="18">
        <f>IFERROR(VLOOKUP($D27,BS연결,MATCH(J$1,BS연결H,0),0)/100,"")</f>
        <v/>
      </c>
      <c r="K27" s="18" t="n"/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 t="n"/>
      <c r="O27" s="19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  <c r="X27" s="20" t="n"/>
      <c r="Y27" s="20" t="n"/>
      <c r="Z27" s="20" t="n"/>
      <c r="AA27" s="20" t="n"/>
      <c r="AB27" s="38">
        <f>AA27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18">
        <f>IFERROR(VLOOKUP($D28,BS연결,MATCH(K$1,BS연결H,0),0)/100,"")</f>
        <v/>
      </c>
      <c r="L28" s="18">
        <f>IFERROR(VLOOKUP($D28,BS연결,MATCH(L$1,BS연결H,0),0)/100,"")</f>
        <v/>
      </c>
      <c r="M28" s="37">
        <f>IFERROR(VLOOKUP($D28,BS연결,MATCH(M$1,BS연결H,0),0)/100,"")</f>
        <v/>
      </c>
      <c r="N28" s="18">
        <f>IFERROR(VLOOKUP($D28,BS연결,MATCH(N$1,BS연결H,0),0)/100,"")</f>
        <v/>
      </c>
      <c r="O28" s="19">
        <f>IFERROR(VLOOKUP($D28,BS연결,MATCH(O$1,BS연결H,0),0)/100,"")</f>
        <v/>
      </c>
      <c r="P28" s="20">
        <f>IFERROR(O28*(1+변수!P36),"")</f>
        <v/>
      </c>
      <c r="Q28" s="20">
        <f>IFERROR(P28*(1+변수!Q36),"")</f>
        <v/>
      </c>
      <c r="R28" s="38">
        <f>Q28</f>
        <v/>
      </c>
      <c r="S28" s="20">
        <f>IFERROR(Q28*(1+변수!S36),"")</f>
        <v/>
      </c>
      <c r="T28" s="20">
        <f>IFERROR(S28*(1+변수!T36),"")</f>
        <v/>
      </c>
      <c r="U28" s="20">
        <f>IFERROR(T28*(1+변수!U36),"")</f>
        <v/>
      </c>
      <c r="V28" s="20">
        <f>IFERROR(U28*(1+변수!V36),"")</f>
        <v/>
      </c>
      <c r="W28" s="38">
        <f>V28</f>
        <v/>
      </c>
      <c r="X28" s="20">
        <f>IFERROR(V28*(1+변수!X36),"")</f>
        <v/>
      </c>
      <c r="Y28" s="20">
        <f>IFERROR(X28*(1+변수!Y36),"")</f>
        <v/>
      </c>
      <c r="Z28" s="20">
        <f>IFERROR(Y28*(1+변수!Z36),"")</f>
        <v/>
      </c>
      <c r="AA28" s="20">
        <f>IFERROR(Z28*(1+변수!AA36),"")</f>
        <v/>
      </c>
      <c r="AB28" s="38">
        <f>AA28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18">
        <f>IFERROR(VLOOKUP($D29,BS연결,MATCH(K$1,BS연결H,0),0)/100,"")</f>
        <v/>
      </c>
      <c r="L29" s="18">
        <f>IFERROR(VLOOKUP($D29,BS연결,MATCH(L$1,BS연결H,0),0)/100,"")</f>
        <v/>
      </c>
      <c r="M29" s="37">
        <f>IFERROR(VLOOKUP($D29,BS연결,MATCH(M$1,BS연결H,0),0)/100,"")</f>
        <v/>
      </c>
      <c r="N29" s="18">
        <f>IFERROR(VLOOKUP($D29,BS연결,MATCH(N$1,BS연결H,0),0)/100,"")</f>
        <v/>
      </c>
      <c r="O29" s="19">
        <f>IFERROR(VLOOKUP($D29,BS연결,MATCH(O$1,BS연결H,0),0)/100,"")</f>
        <v/>
      </c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  <c r="X29" s="20" t="n"/>
      <c r="Y29" s="20" t="n"/>
      <c r="Z29" s="20" t="n"/>
      <c r="AA29" s="20" t="n"/>
      <c r="AB29" s="38">
        <f>AA29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8">
        <f>IFERROR(VLOOKUP($D30,BS연결,MATCH(J$1,BS연결H,0),0)/100,"")</f>
        <v/>
      </c>
      <c r="K30" s="18">
        <f>IFERROR(VLOOKUP($D30,BS연결,MATCH(K$1,BS연결H,0),0)/100,"")</f>
        <v/>
      </c>
      <c r="L30" s="18">
        <f>IFERROR(VLOOKUP($D30,BS연결,MATCH(L$1,BS연결H,0),0)/100,"")</f>
        <v/>
      </c>
      <c r="M30" s="37">
        <f>IFERROR(VLOOKUP($D30,BS연결,MATCH(M$1,BS연결H,0),0)/100,"")</f>
        <v/>
      </c>
      <c r="N30" s="18">
        <f>IFERROR(VLOOKUP($D30,BS연결,MATCH(N$1,BS연결H,0),0)/100,"")</f>
        <v/>
      </c>
      <c r="O30" s="19">
        <f>IFERROR(VLOOKUP($D30,BS연결,MATCH(O$1,BS연결H,0),0)/100,"")</f>
        <v/>
      </c>
      <c r="P30" s="20">
        <f>IFERROR(K30*(1+변수!P38),"")</f>
        <v/>
      </c>
      <c r="Q30" s="20">
        <f>IFERROR(L30*(1+변수!Q38),"")</f>
        <v/>
      </c>
      <c r="R30" s="38">
        <f>SUM(N30:Q30)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20">
        <f>IFERROR(Q30*(1+변수!V38),"")</f>
        <v/>
      </c>
      <c r="W30" s="38">
        <f>SUM(S30:V30)</f>
        <v/>
      </c>
      <c r="X30" s="20">
        <f>IFERROR(S30*(1+변수!X38),"")</f>
        <v/>
      </c>
      <c r="Y30" s="20">
        <f>IFERROR(T30*(1+변수!Y38),"")</f>
        <v/>
      </c>
      <c r="Z30" s="20">
        <f>IFERROR(U30*(1+변수!Z38),"")</f>
        <v/>
      </c>
      <c r="AA30" s="20">
        <f>IFERROR(V30*(1+변수!AA38),"")</f>
        <v/>
      </c>
      <c r="AB30" s="38">
        <f>SUM(X30:AA30)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8">
        <f>IFERROR(VLOOKUP($D31,BS연결,MATCH(J$1,BS연결H,0),0)/100,"")</f>
        <v/>
      </c>
      <c r="K31" s="18">
        <f>IFERROR(VLOOKUP($D31,BS연결,MATCH(K$1,BS연결H,0),0)/100,"")</f>
        <v/>
      </c>
      <c r="L31" s="18">
        <f>IFERROR(VLOOKUP($D31,BS연결,MATCH(L$1,BS연결H,0),0)/100,"")</f>
        <v/>
      </c>
      <c r="M31" s="37">
        <f>IFERROR(VLOOKUP($D31,BS연결,MATCH(M$1,BS연결H,0),0)/100,"")</f>
        <v/>
      </c>
      <c r="N31" s="18">
        <f>IFERROR(VLOOKUP($D31,BS연결,MATCH(N$1,BS연결H,0),0)/100,"")</f>
        <v/>
      </c>
      <c r="O31" s="19">
        <f>IFERROR(VLOOKUP($D31,BS연결,MATCH(O$1,BS연결H,0),0)/100,"")</f>
        <v/>
      </c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  <c r="X31" s="20" t="n"/>
      <c r="Y31" s="20" t="n"/>
      <c r="Z31" s="20" t="n"/>
      <c r="AA31" s="20" t="n"/>
      <c r="AB31" s="38">
        <f>SUM(X31:AA31)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44.45</v>
      </c>
      <c r="F32" s="27" t="n">
        <v>44.45</v>
      </c>
      <c r="G32" s="27" t="n">
        <v>44.829</v>
      </c>
      <c r="H32" s="28">
        <f>G32</f>
        <v/>
      </c>
      <c r="I32" s="27" t="n">
        <v>44.829</v>
      </c>
      <c r="J32" s="27" t="n">
        <v>44.829</v>
      </c>
      <c r="K32" s="27" t="n">
        <v>44.829</v>
      </c>
      <c r="L32" s="27" t="n">
        <v>44.831</v>
      </c>
      <c r="M32" s="28">
        <f>L32</f>
        <v/>
      </c>
      <c r="N32" s="27" t="n">
        <v>44.831</v>
      </c>
      <c r="O32" s="29" t="n">
        <v>44.833</v>
      </c>
      <c r="P32" s="33">
        <f>IFERROR(O32*(1+변수!P40),"")</f>
        <v/>
      </c>
      <c r="Q32" s="33">
        <f>IFERROR(P32*(1+변수!Q40),"")</f>
        <v/>
      </c>
      <c r="R32" s="31">
        <f>Q32</f>
        <v/>
      </c>
      <c r="S32" s="33">
        <f>IFERROR(Q32*(1+변수!S40),"")</f>
        <v/>
      </c>
      <c r="T32" s="33">
        <f>IFERROR(S32*(1+변수!T40),"")</f>
        <v/>
      </c>
      <c r="U32" s="33">
        <f>IFERROR(T32*(1+변수!U40),"")</f>
        <v/>
      </c>
      <c r="V32" s="33">
        <f>IFERROR(U32*(1+변수!V40),"")</f>
        <v/>
      </c>
      <c r="W32" s="31">
        <f>V32</f>
        <v/>
      </c>
      <c r="X32" s="33">
        <f>IFERROR(V32*(1+변수!X40),"")</f>
        <v/>
      </c>
      <c r="Y32" s="33">
        <f>IFERROR(X32*(1+변수!Y40),"")</f>
        <v/>
      </c>
      <c r="Z32" s="33">
        <f>IFERROR(Y32*(1+변수!Z40),"")</f>
        <v/>
      </c>
      <c r="AA32" s="33">
        <f>IFERROR(Z32*(1+변수!AA40),"")</f>
        <v/>
      </c>
      <c r="AB32" s="31">
        <f>AA32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8">
        <f>IFERROR(J21*100/J32,"")</f>
        <v/>
      </c>
      <c r="K33" s="18">
        <f>IFERROR(K21*100/K32,"")</f>
        <v/>
      </c>
      <c r="L33" s="18">
        <f>IFERROR(L21*100/L32,"")</f>
        <v/>
      </c>
      <c r="M33" s="37">
        <f>SUM(I33:L33)</f>
        <v/>
      </c>
      <c r="N33" s="18">
        <f>IFERROR(N21*100/N32,"")</f>
        <v/>
      </c>
      <c r="O33" s="19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  <c r="X33" s="20">
        <f>IFERROR(X21*100/X32,"")</f>
        <v/>
      </c>
      <c r="Y33" s="20">
        <f>IFERROR(Y21*100/Y32,"")</f>
        <v/>
      </c>
      <c r="Z33" s="20">
        <f>IFERROR(Z21*100/Z32,"")</f>
        <v/>
      </c>
      <c r="AA33" s="20">
        <f>IFERROR(AA21*100/AA32,"")</f>
        <v/>
      </c>
      <c r="AB33" s="38">
        <f>SUM(X33:AA33)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8">
        <f>IFERROR(J25*100/J32,"")</f>
        <v/>
      </c>
      <c r="K34" s="18">
        <f>IFERROR(K25*100/K32,"")</f>
        <v/>
      </c>
      <c r="L34" s="18">
        <f>IFERROR(L25*100/L32,"")</f>
        <v/>
      </c>
      <c r="M34" s="37">
        <f>L34</f>
        <v/>
      </c>
      <c r="N34" s="18">
        <f>IFERROR(N25*100/N32,"")</f>
        <v/>
      </c>
      <c r="O34" s="19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  <c r="X34" s="20">
        <f>IFERROR(X25*100/X32,"")</f>
        <v/>
      </c>
      <c r="Y34" s="20">
        <f>IFERROR(Y25*100/Y32,"")</f>
        <v/>
      </c>
      <c r="Z34" s="20">
        <f>IFERROR(Z25*100/Z32,"")</f>
        <v/>
      </c>
      <c r="AA34" s="20">
        <f>IFERROR(AA25*100/AA32,"")</f>
        <v/>
      </c>
      <c r="AB34" s="38">
        <f>AA34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3150</v>
      </c>
      <c r="H35" s="37" t="n">
        <v>3150</v>
      </c>
      <c r="I35" s="18" t="n"/>
      <c r="J35" s="18" t="n"/>
      <c r="K35" s="18" t="n"/>
      <c r="L35" s="18" t="n">
        <v>3950</v>
      </c>
      <c r="M35" s="37">
        <f>SUM(I35:L35)</f>
        <v/>
      </c>
      <c r="N35" s="18" t="n"/>
      <c r="O35" s="19" t="n"/>
      <c r="P35" s="20" t="n"/>
      <c r="Q35" s="20">
        <f>변수!Q41</f>
        <v/>
      </c>
      <c r="R35" s="38">
        <f>SUM(N35:Q35)</f>
        <v/>
      </c>
      <c r="S35" s="20" t="n"/>
      <c r="T35" s="20" t="n"/>
      <c r="U35" s="20" t="n"/>
      <c r="V35" s="20">
        <f>변수!V41</f>
        <v/>
      </c>
      <c r="W35" s="38">
        <f>SUM(S35:V35)</f>
        <v/>
      </c>
      <c r="X35" s="20" t="n"/>
      <c r="Y35" s="20" t="n"/>
      <c r="Z35" s="20" t="n"/>
      <c r="AA35" s="20">
        <f>변수!AA41</f>
        <v/>
      </c>
      <c r="AB35" s="38">
        <f>SUM(X35:AA35)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3">
        <f>IFERROR(변수!J18/(F33+G33+I33+J33),"")</f>
        <v/>
      </c>
      <c r="K36" s="13">
        <f>IFERROR(변수!K18/(G33+I33+J33+K33),"")</f>
        <v/>
      </c>
      <c r="L36" s="13">
        <f>IFERROR(변수!L18/(I33+J33+K33+L33),"")</f>
        <v/>
      </c>
      <c r="M36" s="14">
        <f>L36</f>
        <v/>
      </c>
      <c r="N36" s="13">
        <f>IFERROR(변수!N18/(J33+K33+L33+N33),"")</f>
        <v/>
      </c>
      <c r="O36" s="15">
        <f>IFERROR(변수!O18/(K33+L33+N33+O33),"")</f>
        <v/>
      </c>
      <c r="P36" s="39">
        <f>IFERROR(변수!$D$44/(L33+N33+O33+P33),"")</f>
        <v/>
      </c>
      <c r="Q36" s="39">
        <f>IFERROR(변수!$D$44/(N33+O33+P33+Q33),"")</f>
        <v/>
      </c>
      <c r="R36" s="40">
        <f>Q36</f>
        <v/>
      </c>
      <c r="S36" s="39">
        <f>IFERROR(변수!$D$44/(O33+P33+Q33+S33),"")</f>
        <v/>
      </c>
      <c r="T36" s="39">
        <f>IFERROR(변수!$D$44/(P33+Q33+S33+T33),"")</f>
        <v/>
      </c>
      <c r="U36" s="39">
        <f>IFERROR(변수!$D$44/(Q33+S33+T33+U33),"")</f>
        <v/>
      </c>
      <c r="V36" s="39">
        <f>IFERROR(변수!$D$44/(S33+T33+U33+V33),"")</f>
        <v/>
      </c>
      <c r="W36" s="40">
        <f>V36</f>
        <v/>
      </c>
      <c r="X36" s="39">
        <f>IFERROR(변수!$D$44/(T33+U33+V33+X33),"")</f>
        <v/>
      </c>
      <c r="Y36" s="39">
        <f>IFERROR(변수!$D$44/(U33+V33+X33+Y33),"")</f>
        <v/>
      </c>
      <c r="Z36" s="39">
        <f>IFERROR(변수!$D$44/(V33+X33+Y33+Z33),"")</f>
        <v/>
      </c>
      <c r="AA36" s="39">
        <f>IFERROR(변수!$D$44/(X33+Y33+Z33+AA33),"")</f>
        <v/>
      </c>
      <c r="AB36" s="40">
        <f>AA36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3">
        <f>IFERROR(변수!J18/J34,"")</f>
        <v/>
      </c>
      <c r="K37" s="13">
        <f>IFERROR(변수!K18/K34,"")</f>
        <v/>
      </c>
      <c r="L37" s="13">
        <f>IFERROR(변수!L18/L34,"")</f>
        <v/>
      </c>
      <c r="M37" s="14">
        <f>L37</f>
        <v/>
      </c>
      <c r="N37" s="13">
        <f>IFERROR(변수!N18/N34,"")</f>
        <v/>
      </c>
      <c r="O37" s="15">
        <f>IFERROR(변수!O18/O34,"")</f>
        <v/>
      </c>
      <c r="P37" s="39">
        <f>IFERROR(변수!$D$44/P34,"")</f>
        <v/>
      </c>
      <c r="Q37" s="39">
        <f>IFERROR(변수!$D$44/Q34,"")</f>
        <v/>
      </c>
      <c r="R37" s="40">
        <f>Q37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39">
        <f>IFERROR(변수!$D$44/V34,"")</f>
        <v/>
      </c>
      <c r="W37" s="40">
        <f>V37</f>
        <v/>
      </c>
      <c r="X37" s="39">
        <f>IFERROR(변수!$D$44/X34,"")</f>
        <v/>
      </c>
      <c r="Y37" s="39">
        <f>IFERROR(변수!$D$44/Y34,"")</f>
        <v/>
      </c>
      <c r="Z37" s="39">
        <f>IFERROR(변수!$D$44/Z34,"")</f>
        <v/>
      </c>
      <c r="AA37" s="39">
        <f>IFERROR(변수!$D$44/AA34,"")</f>
        <v/>
      </c>
      <c r="AB37" s="40">
        <f>AA37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4378.55</v>
      </c>
      <c r="F38" s="18" t="n">
        <v>4612.61</v>
      </c>
      <c r="G38" s="18" t="n">
        <v>4633.73</v>
      </c>
      <c r="H38" s="37" t="n"/>
      <c r="I38" s="18" t="n">
        <v>4855.98</v>
      </c>
      <c r="J38" s="18" t="n">
        <v>4677.22</v>
      </c>
      <c r="K38" s="18" t="n">
        <v>5131.76</v>
      </c>
      <c r="L38" s="18" t="n">
        <v>5162.05</v>
      </c>
      <c r="M38" s="37">
        <f>SUM(I38:L38)</f>
        <v/>
      </c>
      <c r="N38" s="18" t="n">
        <v>5746.09</v>
      </c>
      <c r="O38" s="19" t="n">
        <v>5804.14</v>
      </c>
      <c r="P38" s="20">
        <f>IFERROR(P5,"")</f>
        <v/>
      </c>
      <c r="Q38" s="20">
        <f>IFERROR(Q5,"")</f>
        <v/>
      </c>
      <c r="R38" s="38">
        <f>SUM(N38:Q38)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20">
        <f>IFERROR(V5,"")</f>
        <v/>
      </c>
      <c r="W38" s="38">
        <f>SUM(S38:V38)</f>
        <v/>
      </c>
      <c r="X38" s="20">
        <f>IFERROR(X5,"")</f>
        <v/>
      </c>
      <c r="Y38" s="20">
        <f>IFERROR(Y5,"")</f>
        <v/>
      </c>
      <c r="Z38" s="20">
        <f>IFERROR(Z5,"")</f>
        <v/>
      </c>
      <c r="AA38" s="20">
        <f>IFERROR(AA5,"")</f>
        <v/>
      </c>
      <c r="AB38" s="38">
        <f>SUM(X38:AA38)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709.86</v>
      </c>
      <c r="F39" s="18" t="n">
        <v>833.83</v>
      </c>
      <c r="G39" s="18" t="n">
        <v>658.79</v>
      </c>
      <c r="H39" s="37" t="n"/>
      <c r="I39" s="18" t="n">
        <v>830.0700000000001</v>
      </c>
      <c r="J39" s="18" t="n">
        <v>830.1</v>
      </c>
      <c r="K39" s="18" t="n">
        <v>935.96</v>
      </c>
      <c r="L39" s="18" t="n">
        <v>905.28</v>
      </c>
      <c r="M39" s="37">
        <f>SUM(I39:L39)</f>
        <v/>
      </c>
      <c r="N39" s="18" t="n">
        <v>933.9400000000001</v>
      </c>
      <c r="O39" s="19" t="n">
        <v>976.25</v>
      </c>
      <c r="P39" s="20">
        <f>IFERROR(P9,"")</f>
        <v/>
      </c>
      <c r="Q39" s="20">
        <f>IFERROR(Q9,"")</f>
        <v/>
      </c>
      <c r="R39" s="38">
        <f>SUM(N39:Q39)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20">
        <f>IFERROR(V9,"")</f>
        <v/>
      </c>
      <c r="W39" s="38">
        <f>SUM(S39:V39)</f>
        <v/>
      </c>
      <c r="X39" s="20">
        <f>IFERROR(X9,"")</f>
        <v/>
      </c>
      <c r="Y39" s="20">
        <f>IFERROR(Y9,"")</f>
        <v/>
      </c>
      <c r="Z39" s="20">
        <f>IFERROR(Z9,"")</f>
        <v/>
      </c>
      <c r="AA39" s="20">
        <f>IFERROR(AA9,"")</f>
        <v/>
      </c>
      <c r="AB39" s="38">
        <f>SUM(X39:AA39)</f>
        <v/>
      </c>
    </row>
    <row r="40">
      <c r="B40" s="2" t="inlineStr">
        <is>
          <t>비율(참고)</t>
        </is>
      </c>
      <c r="H40" s="9" t="n"/>
      <c r="M40" s="9" t="n"/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1">
        <f>IFERROR(F21/F5,"")</f>
        <v/>
      </c>
      <c r="G41" s="21">
        <f>IFERROR(G21/G5,"")</f>
        <v/>
      </c>
      <c r="H41" s="22">
        <f>IFERROR(H21/H5,"")</f>
        <v/>
      </c>
      <c r="I41" s="21">
        <f>IFERROR(I21/I5,"")</f>
        <v/>
      </c>
      <c r="J41" s="21">
        <f>IFERROR(J21/J5,"")</f>
        <v/>
      </c>
      <c r="K41" s="21">
        <f>IFERROR(K21/K5,"")</f>
        <v/>
      </c>
      <c r="L41" s="21">
        <f>IFERROR(L21/L5,"")</f>
        <v/>
      </c>
      <c r="M41" s="22">
        <f>IFERROR(M21/M5,"")</f>
        <v/>
      </c>
      <c r="N41" s="21">
        <f>IFERROR(N21/N5,"")</f>
        <v/>
      </c>
      <c r="O41" s="23">
        <f>IFERROR(O21/O5,"")</f>
        <v/>
      </c>
      <c r="P41" s="32">
        <f>IFERROR(P21/P5,"")</f>
        <v/>
      </c>
      <c r="Q41" s="32">
        <f>IFERROR(Q21/Q5,"")</f>
        <v/>
      </c>
      <c r="R41" s="25">
        <f>IFERROR(R21/R5,"")</f>
        <v/>
      </c>
      <c r="S41" s="32">
        <f>IFERROR(S21/S5,"")</f>
        <v/>
      </c>
      <c r="T41" s="32">
        <f>IFERROR(T21/T5,"")</f>
        <v/>
      </c>
      <c r="U41" s="32">
        <f>IFERROR(U21/U5,"")</f>
        <v/>
      </c>
      <c r="V41" s="32">
        <f>IFERROR(V21/V5,"")</f>
        <v/>
      </c>
      <c r="W41" s="25">
        <f>IFERROR(W21/W5,"")</f>
        <v/>
      </c>
      <c r="X41" s="32">
        <f>IFERROR(X21/X5,"")</f>
        <v/>
      </c>
      <c r="Y41" s="32">
        <f>IFERROR(Y21/Y5,"")</f>
        <v/>
      </c>
      <c r="Z41" s="32">
        <f>IFERROR(Z21/Z5,"")</f>
        <v/>
      </c>
      <c r="AA41" s="32">
        <f>IFERROR(AA21/AA5,"")</f>
        <v/>
      </c>
      <c r="AB41" s="25">
        <f>IFERROR(AB21/AB5,"")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1">
        <f>IFERROR(G6/G5,"")</f>
        <v/>
      </c>
      <c r="H42" s="22">
        <f>IFERROR(H6/H5,"")</f>
        <v/>
      </c>
      <c r="I42" s="21">
        <f>IFERROR(I6/I5,"")</f>
        <v/>
      </c>
      <c r="J42" s="21">
        <f>IFERROR(J6/J5,"")</f>
        <v/>
      </c>
      <c r="K42" s="21">
        <f>IFERROR(K6/K5,"")</f>
        <v/>
      </c>
      <c r="L42" s="21">
        <f>IFERROR(L6/L5,"")</f>
        <v/>
      </c>
      <c r="M42" s="22">
        <f>IFERROR(M6/M5,"")</f>
        <v/>
      </c>
      <c r="N42" s="21">
        <f>IFERROR(N6/N5,"")</f>
        <v/>
      </c>
      <c r="O42" s="23">
        <f>IFERROR(O6/O5,"")</f>
        <v/>
      </c>
      <c r="P42" s="32">
        <f>IFERROR(P6/P5,"")</f>
        <v/>
      </c>
      <c r="Q42" s="32">
        <f>IFERROR(Q6/Q5,"")</f>
        <v/>
      </c>
      <c r="R42" s="25">
        <f>IFERROR(R6/R5,"")</f>
        <v/>
      </c>
      <c r="S42" s="32">
        <f>IFERROR(S6/S5,"")</f>
        <v/>
      </c>
      <c r="T42" s="32">
        <f>IFERROR(T6/T5,"")</f>
        <v/>
      </c>
      <c r="U42" s="32">
        <f>IFERROR(U6/U5,"")</f>
        <v/>
      </c>
      <c r="V42" s="32">
        <f>IFERROR(V6/V5,"")</f>
        <v/>
      </c>
      <c r="W42" s="25">
        <f>IFERROR(W6/W5,"")</f>
        <v/>
      </c>
      <c r="X42" s="32">
        <f>IFERROR(X6/X5,"")</f>
        <v/>
      </c>
      <c r="Y42" s="32">
        <f>IFERROR(Y6/Y5,"")</f>
        <v/>
      </c>
      <c r="Z42" s="32">
        <f>IFERROR(Z6/Z5,"")</f>
        <v/>
      </c>
      <c r="AA42" s="32">
        <f>IFERROR(AA6/AA5,"")</f>
        <v/>
      </c>
      <c r="AB42" s="25">
        <f>IFERROR(AB6/AB5,"")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1">
        <f>IFERROR(G8/G5,"")</f>
        <v/>
      </c>
      <c r="H43" s="22">
        <f>IFERROR(H8/H5,"")</f>
        <v/>
      </c>
      <c r="I43" s="21">
        <f>IFERROR(I8/I5,"")</f>
        <v/>
      </c>
      <c r="J43" s="21">
        <f>IFERROR(J8/J5,"")</f>
        <v/>
      </c>
      <c r="K43" s="21">
        <f>IFERROR(K8/K5,"")</f>
        <v/>
      </c>
      <c r="L43" s="21">
        <f>IFERROR(L8/L5,"")</f>
        <v/>
      </c>
      <c r="M43" s="22">
        <f>IFERROR(M8/M5,"")</f>
        <v/>
      </c>
      <c r="N43" s="21">
        <f>IFERROR(N8/N5,"")</f>
        <v/>
      </c>
      <c r="O43" s="23">
        <f>IFERROR(O8/O5,"")</f>
        <v/>
      </c>
      <c r="P43" s="32">
        <f>IFERROR(P8/P5,"")</f>
        <v/>
      </c>
      <c r="Q43" s="32">
        <f>IFERROR(Q8/Q5,"")</f>
        <v/>
      </c>
      <c r="R43" s="25">
        <f>IFERROR(R8/R5,"")</f>
        <v/>
      </c>
      <c r="S43" s="32">
        <f>IFERROR(S8/S5,"")</f>
        <v/>
      </c>
      <c r="T43" s="32">
        <f>IFERROR(T8/T5,"")</f>
        <v/>
      </c>
      <c r="U43" s="32">
        <f>IFERROR(U8/U5,"")</f>
        <v/>
      </c>
      <c r="V43" s="32">
        <f>IFERROR(V8/V5,"")</f>
        <v/>
      </c>
      <c r="W43" s="25">
        <f>IFERROR(W8/W5,"")</f>
        <v/>
      </c>
      <c r="X43" s="32">
        <f>IFERROR(X8/X5,"")</f>
        <v/>
      </c>
      <c r="Y43" s="32">
        <f>IFERROR(Y8/Y5,"")</f>
        <v/>
      </c>
      <c r="Z43" s="32">
        <f>IFERROR(Z8/Z5,"")</f>
        <v/>
      </c>
      <c r="AA43" s="32">
        <f>IFERROR(AA8/AA5,"")</f>
        <v/>
      </c>
      <c r="AB43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41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M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43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4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5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5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5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5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5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6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5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5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5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5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5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5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5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5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5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5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5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5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5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5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5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5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5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45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5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5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5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47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  <c r="T32" s="33">
        <f>IFERROR(VLOOKUP($A32,subQ,MATCH(T$1,SUBQH,0),0),"")</f>
        <v/>
      </c>
      <c r="U32" s="33">
        <f>IFERROR(VLOOKUP($A32,subQ,MATCH(U$1,SUBQH,0),0),"")</f>
        <v/>
      </c>
      <c r="V32" s="33">
        <f>IFERROR(VLOOKUP($A32,subQ,MATCH(V$1,SUBQH,0),0),"")</f>
        <v/>
      </c>
      <c r="W32" s="33">
        <f>IFERROR(VLOOKUP($A32,subQ,MATCH(W$1,SUBQH,0),0),"")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5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5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5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48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48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45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45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46">
        <f>IFERROR(VLOOKUP($A40,subQ,MATCH(M$1,SUBQH,0),0),"")</f>
        <v/>
      </c>
      <c r="N40" s="32">
        <f>IFERROR(VLOOKUP($A40,subQ,MATCH(N$1,SUBQH,0),0),"")</f>
        <v/>
      </c>
      <c r="O40" s="32">
        <f>IFERROR(VLOOKUP($A40,subQ,MATCH(O$1,SUBQH,0),0),"")</f>
        <v/>
      </c>
      <c r="P40" s="32">
        <f>IFERROR(VLOOKUP($A40,subQ,MATCH(P$1,SUBQH,0),0),"")</f>
        <v/>
      </c>
      <c r="Q40" s="32">
        <f>IFERROR(VLOOKUP($A40,subQ,MATCH(Q$1,SUBQH,0),0),"")</f>
        <v/>
      </c>
      <c r="R40" s="32">
        <f>IFERROR(VLOOKUP($A40,subQ,MATCH(R$1,SUBQH,0),0),"")</f>
        <v/>
      </c>
      <c r="S40" s="32">
        <f>IFERROR(VLOOKUP($A40,subQ,MATCH(S$1,SUBQH,0),0),"")</f>
        <v/>
      </c>
      <c r="T40" s="32">
        <f>IFERROR(VLOOKUP($A40,subQ,MATCH(T$1,SUBQH,0),0),"")</f>
        <v/>
      </c>
      <c r="U40" s="32">
        <f>IFERROR(VLOOKUP($A40,subQ,MATCH(U$1,SUBQH,0),0),"")</f>
        <v/>
      </c>
      <c r="V40" s="32">
        <f>IFERROR(VLOOKUP($A40,subQ,MATCH(V$1,SUBQH,0),0),"")</f>
        <v/>
      </c>
      <c r="W40" s="32">
        <f>IFERROR(VLOOKUP($A40,subQ,MATCH(W$1,SUBQH,0),0),"")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46">
        <f>IFERROR(M5/I5-1,"")</f>
        <v/>
      </c>
      <c r="N41" s="32">
        <f>IFERROR(N5/J5-1,"")</f>
        <v/>
      </c>
      <c r="O41" s="32">
        <f>IFERROR(O5/K5-1,"")</f>
        <v/>
      </c>
      <c r="P41" s="32">
        <f>IFERROR(P5/L5-1,"")</f>
        <v/>
      </c>
      <c r="Q41" s="32">
        <f>IFERROR(Q5/M5-1,"")</f>
        <v/>
      </c>
      <c r="R41" s="32">
        <f>IFERROR(R5/N5-1,"")</f>
        <v/>
      </c>
      <c r="S41" s="32">
        <f>IFERROR(S5/O5-1,"")</f>
        <v/>
      </c>
      <c r="T41" s="32">
        <f>IFERROR(T5/P5-1,"")</f>
        <v/>
      </c>
      <c r="U41" s="32">
        <f>IFERROR(U5/Q5-1,"")</f>
        <v/>
      </c>
      <c r="V41" s="32">
        <f>IFERROR(V5/R5-1,"")</f>
        <v/>
      </c>
      <c r="W41" s="32">
        <f>IFERROR(W5/S5-1,"")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46">
        <f>IFERROR(M9/I9-1,"")</f>
        <v/>
      </c>
      <c r="N42" s="32">
        <f>IFERROR(N9/J9-1,"")</f>
        <v/>
      </c>
      <c r="O42" s="32">
        <f>IFERROR(O9/K9-1,"")</f>
        <v/>
      </c>
      <c r="P42" s="32">
        <f>IFERROR(P9/L9-1,"")</f>
        <v/>
      </c>
      <c r="Q42" s="32">
        <f>IFERROR(Q9/M9-1,"")</f>
        <v/>
      </c>
      <c r="R42" s="32">
        <f>IFERROR(R9/N9-1,"")</f>
        <v/>
      </c>
      <c r="S42" s="32">
        <f>IFERROR(S9/O9-1,"")</f>
        <v/>
      </c>
      <c r="T42" s="32">
        <f>IFERROR(T9/P9-1,"")</f>
        <v/>
      </c>
      <c r="U42" s="32">
        <f>IFERROR(U9/Q9-1,"")</f>
        <v/>
      </c>
      <c r="V42" s="32">
        <f>IFERROR(V9/R9-1,"")</f>
        <v/>
      </c>
      <c r="W42" s="32">
        <f>IFERROR(W9/S9-1,"")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46">
        <f>IFERROR(M21/I21-1,"")</f>
        <v/>
      </c>
      <c r="N43" s="32">
        <f>IFERROR(N21/J21-1,"")</f>
        <v/>
      </c>
      <c r="O43" s="32">
        <f>IFERROR(O21/K21-1,"")</f>
        <v/>
      </c>
      <c r="P43" s="32">
        <f>IFERROR(P21/L21-1,"")</f>
        <v/>
      </c>
      <c r="Q43" s="32">
        <f>IFERROR(Q21/M21-1,"")</f>
        <v/>
      </c>
      <c r="R43" s="32">
        <f>IFERROR(R21/N21-1,"")</f>
        <v/>
      </c>
      <c r="S43" s="32">
        <f>IFERROR(S21/O21-1,"")</f>
        <v/>
      </c>
      <c r="T43" s="32">
        <f>IFERROR(T21/P21-1,"")</f>
        <v/>
      </c>
      <c r="U43" s="32">
        <f>IFERROR(U21/Q21-1,"")</f>
        <v/>
      </c>
      <c r="V43" s="32">
        <f>IFERROR(V21/R21-1,"")</f>
        <v/>
      </c>
      <c r="W43" s="32">
        <f>IFERROR(W21/S21-1,"")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41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변수!D44</f>
        <v/>
      </c>
      <c r="F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43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4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5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5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5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5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5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6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5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45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45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45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45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45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45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45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45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45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45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45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45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45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45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45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45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45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45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45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45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47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  <c r="I32" s="33">
        <f>IFERROR(VLOOKUP($A32,subQ,MATCH(I$1,SUBQH,0),0),"")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45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45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45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48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  <c r="I36" s="39">
        <f>IFERROR(VLOOKUP($A36,subQ,MATCH(I$1,SUBQH,0),0),"")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48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45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  <c r="I38" s="20">
        <f>IFERROR(VLOOKUP($A38,subQ,MATCH(I$1,SUBQH,0),0),"")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45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46">
        <f>IFERROR(VLOOKUP($A40,subQ,MATCH(F$1,SUBQH,0),0),"")</f>
        <v/>
      </c>
      <c r="G40" s="32">
        <f>IFERROR(VLOOKUP($A40,subQ,MATCH(G$1,SUBQH,0),0),"")</f>
        <v/>
      </c>
      <c r="H40" s="32">
        <f>IFERROR(VLOOKUP($A40,subQ,MATCH(H$1,SUBQH,0),0),"")</f>
        <v/>
      </c>
      <c r="I40" s="32">
        <f>IFERROR(VLOOKUP($A40,subQ,MATCH(I$1,SUBQH,0),0),"")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46">
        <f>IFERROR(F5/E5-1,"")</f>
        <v/>
      </c>
      <c r="G41" s="32">
        <f>IFERROR(G5/F5-1,"")</f>
        <v/>
      </c>
      <c r="H41" s="32">
        <f>IFERROR(H5/G5-1,"")</f>
        <v/>
      </c>
      <c r="I41" s="32">
        <f>IFERROR(I5/H5-1,"")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46">
        <f>IFERROR(F9/E9-1,"")</f>
        <v/>
      </c>
      <c r="G42" s="32">
        <f>IFERROR(G9/F9-1,"")</f>
        <v/>
      </c>
      <c r="H42" s="32">
        <f>IFERROR(H9/G9-1,"")</f>
        <v/>
      </c>
      <c r="I42" s="32">
        <f>IFERROR(I9/H9-1,"")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46">
        <f>IFERROR(F21/E21-1,"")</f>
        <v/>
      </c>
      <c r="G43" s="32">
        <f>IFERROR(G21/F21-1,"")</f>
        <v/>
      </c>
      <c r="H43" s="32">
        <f>IFERROR(H21/G21-1,"")</f>
        <v/>
      </c>
      <c r="I43" s="32">
        <f>IFERROR(I21/H21-1,"")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7885.8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27.64</v>
      </c>
    </row>
    <row r="32">
      <c r="C32" s="2" t="inlineStr">
        <is>
          <t>pbr_now</t>
        </is>
      </c>
      <c r="D32" t="n">
        <v>10.96</v>
      </c>
    </row>
    <row r="33">
      <c r="C33" s="2" t="inlineStr">
        <is>
          <t>roe_fwd</t>
        </is>
      </c>
      <c r="D33" t="n">
        <v>0.3963</v>
      </c>
    </row>
    <row r="34">
      <c r="C34" s="2" t="inlineStr">
        <is>
          <t>fair_pbr</t>
        </is>
      </c>
      <c r="D34" t="n">
        <v>4.4</v>
      </c>
    </row>
    <row r="35">
      <c r="C35" s="2" t="inlineStr">
        <is>
          <t>fair_value_pbr</t>
        </is>
      </c>
      <c r="D35" t="n">
        <v>87600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