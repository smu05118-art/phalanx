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P15" authorId="0" shapeId="0">
      <text>
        <t>분기 진행 중(partial) — aikstockdata/토스 일봉</t>
      </text>
    </comment>
    <comment ref="P16" authorId="0" shapeId="0">
      <text>
        <t>분기 진행 중(partial) — aikstockdata/토스 일봉</t>
      </text>
    </comment>
    <comment ref="P17" authorId="0" shapeId="0">
      <text>
        <t>분기 진행 중(partial) — aikstockdata/토스 일봉</t>
      </text>
    </comment>
    <comment ref="P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344388억 × 비례계수 0.0670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356065억 × 비례계수 0.0670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371046억 × 비례계수 0.0670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383686억 × 비례계수 0.0670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399390억 × 비례계수 0.0670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421089억 × 비례계수 0.0670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446754억 × 비례계수 0.0670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474266억 × 비례계수 0.0670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501498억 × 비례계수 0.0670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525629억 × 비례계수 0.0670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모델값 역산(implied): v / 매출액
매출액 × 판관비율 5.18%(최근 4분기 중위)</t>
      </text>
    </comment>
    <comment ref="Q22" authorId="0" shapeId="0">
      <text>
        <t>모델값 역산(implied): v / 매출액
매출액 × 판관비율 5.18%(최근 4분기 중위)</t>
      </text>
    </comment>
    <comment ref="S22" authorId="0" shapeId="0">
      <text>
        <t>모델값 역산(implied): v / 매출액
매출액 × 판관비율 5.18%(최근 4분기 중위)</t>
      </text>
    </comment>
    <comment ref="T22" authorId="0" shapeId="0">
      <text>
        <t>모델값 역산(implied): v / 매출액
매출액 × 판관비율 5.18%(최근 4분기 중위)</t>
      </text>
    </comment>
    <comment ref="U22" authorId="0" shapeId="0">
      <text>
        <t>모델값 역산(implied): v / 매출액
매출액 × 판관비율 5.18%(최근 4분기 중위)</t>
      </text>
    </comment>
    <comment ref="V22" authorId="0" shapeId="0">
      <text>
        <t>모델값 역산(implied): v / 매출액
매출액 × 판관비율 5.18%(최근 4분기 중위)</t>
      </text>
    </comment>
    <comment ref="X22" authorId="0" shapeId="0">
      <text>
        <t>모델값 역산(implied): v / 매출액
매출액 × 판관비율 5.18%(최근 4분기 중위)</t>
      </text>
    </comment>
    <comment ref="Y22" authorId="0" shapeId="0">
      <text>
        <t>모델값 역산(implied): v / 매출액
매출액 × 판관비율 5.18%(최근 4분기 중위)</t>
      </text>
    </comment>
    <comment ref="Z22" authorId="0" shapeId="0">
      <text>
        <t>모델값 역산(implied): v / 매출액
매출액 × 판관비율 5.18%(최근 4분기 중위)</t>
      </text>
    </comment>
    <comment ref="AA22" authorId="0" shapeId="0">
      <text>
        <t>모델값 역산(implied): v / 매출액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v / 전년동기 − 1
최근 8분기 OPM 중위 17.3% 유지</t>
      </text>
    </comment>
    <comment ref="Q24" authorId="0" shapeId="0">
      <text>
        <t>모델값 역산(implied): v / 전년동기 − 1
최근 8분기 OPM 중위 17.3% 유지</t>
      </text>
    </comment>
    <comment ref="S24" authorId="0" shapeId="0">
      <text>
        <t>모델값 역산(implied): v / 전년동기 − 1
최근 8분기 OPM 중위 17.3% 유지</t>
      </text>
    </comment>
    <comment ref="T24" authorId="0" shapeId="0">
      <text>
        <t>모델값 역산(implied): v / 전년동기 − 1
최근 8분기 OPM 중위 17.3% 유지</t>
      </text>
    </comment>
    <comment ref="U24" authorId="0" shapeId="0">
      <text>
        <t>모델값 역산(implied): v / 전년동기 − 1
최근 8분기 OPM 중위 17.3% 유지</t>
      </text>
    </comment>
    <comment ref="V24" authorId="0" shapeId="0">
      <text>
        <t>모델값 역산(implied): v / 전년동기 − 1
최근 8분기 OPM 중위 17.3% 유지</t>
      </text>
    </comment>
    <comment ref="X24" authorId="0" shapeId="0">
      <text>
        <t>모델값 역산(implied): v / 전년동기 − 1
최근 8분기 OPM 중위 17.3% 유지</t>
      </text>
    </comment>
    <comment ref="Y24" authorId="0" shapeId="0">
      <text>
        <t>모델값 역산(implied): v / 전년동기 − 1
최근 8분기 OPM 중위 17.3% 유지</t>
      </text>
    </comment>
    <comment ref="Z24" authorId="0" shapeId="0">
      <text>
        <t>모델값 역산(implied): v / 전년동기 − 1
최근 8분기 OPM 중위 17.3% 유지</t>
      </text>
    </comment>
    <comment ref="AA24" authorId="0" shapeId="0">
      <text>
        <t>모델값 역산(implied): v / 전년동기 − 1
최근 8분기 OPM 중위 17.3% 유지</t>
      </text>
    </comment>
    <comment ref="P25" authorId="0" shapeId="0">
      <text>
        <t>모델값 역산(implied): 모델 v 그대로
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</t>
      </text>
    </comment>
    <comment ref="Q25" authorId="0" shapeId="0">
      <text>
        <t>모델값 역산(implied): 모델 v 그대로
이자손익 + 외환손익 0 + 파생상품손익 0 + 기타금융손익 +0.00억(최근 4분기(2025Q3~2026Q2) 잔차 중위) (항등식); 이자손익 = 이자발생자산 6315억 × 2.88%(주석 이자수익 ÷ 평균 이자발생자산(2025Q3~2026Q2)) − 총차입금 0억 × 0.00%(없음) (연율) ÷ 4; 환율 효과는 환관련손익 행 별도</t>
      </text>
    </comment>
    <comment ref="S25" authorId="0" shapeId="0">
      <text>
        <t>모델값 역산(implied): 모델 v 그대로
이자손익 + 외환손익 0 + 파생상품손익 0 + 기타금융손익 +0.00억(최근 4분기(2025Q3~2026Q2) 잔차 중위) (항등식); 이자손익 = 이자발생자산 7178억 × 2.88%(주석 이자수익 ÷ 평균 이자발생자산(2025Q3~2026Q2)) − 총차입금 0억 × 0.00%(없음) (연율) ÷ 4; 환율 효과는 환관련손익 행 별도</t>
      </text>
    </comment>
    <comment ref="T25" authorId="0" shapeId="0">
      <text>
        <t>모델값 역산(implied): 모델 v 그대로
이자손익 + 외환손익 0 + 파생상품손익 0 + 기타금융손익 +0.00억(최근 4분기(2025Q3~2026Q2) 잔차 중위) (항등식); 이자손익 = 이자발생자산 8029억 × 2.88%(주석 이자수익 ÷ 평균 이자발생자산(2025Q3~2026Q2)) − 총차입금 0억 × 0.00%(없음) (연율) ÷ 4; 환율 효과는 환관련손익 행 별도</t>
      </text>
    </comment>
    <comment ref="U25" authorId="0" shapeId="0">
      <text>
        <t>모델값 역산(implied): 모델 v 그대로
이자손익 + 외환손익 0 + 파생상품손익 0 + 기타금융손익 +0.00억(최근 4분기(2025Q3~2026Q2) 잔차 중위) (항등식); 이자손익 = 이자발생자산 7111억 × 2.88%(주석 이자수익 ÷ 평균 이자발생자산(2025Q3~2026Q2)) − 총차입금 0억 × 0.00%(없음) (연율) ÷ 4; 환율 효과는 환관련손익 행 별도</t>
      </text>
    </comment>
    <comment ref="V25" authorId="0" shapeId="0">
      <text>
        <t>모델값 역산(implied): 모델 v 그대로
이자손익 + 외환손익 0 + 파생상품손익 0 + 기타금융손익 +0.00억(최근 4분기(2025Q3~2026Q2) 잔차 중위) (항등식); 이자손익 = 이자발생자산 8073억 × 2.88%(주석 이자수익 ÷ 평균 이자발생자산(2025Q3~2026Q2)) − 총차입금 0억 × 0.00%(없음) (연율) ÷ 4; 환율 효과는 환관련손익 행 별도</t>
      </text>
    </comment>
    <comment ref="X25" authorId="0" shapeId="0">
      <text>
        <t>모델값 역산(implied): 모델 v 그대로
이자손익 + 외환손익 0 + 파생상품손익 0 + 기타금융손익 +0.00억(최근 4분기(2025Q3~2026Q2) 잔차 중위) (항등식); 이자손익 = 이자발생자산 9097억 × 2.88%(주석 이자수익 ÷ 평균 이자발생자산(2025Q3~2026Q2)) − 총차입금 0억 × 0.00%(없음) (연율) ÷ 4; 환율 효과는 환관련손익 행 별도</t>
      </text>
    </comment>
    <comment ref="Y25" authorId="0" shapeId="0">
      <text>
        <t>모델값 역산(implied): 모델 v 그대로
이자손익 + 외환손익 0 + 파생상품손익 0 + 기타금융손익 +0.00억(최근 4분기(2025Q3~2026Q2) 잔차 중위) (항등식); 이자손익 = 이자발생자산 10124억 × 2.88%(주석 이자수익 ÷ 평균 이자발생자산(2025Q3~2026Q2)) − 총차입금 0억 × 0.00%(없음) (연율) ÷ 4; 환율 효과는 환관련손익 행 별도</t>
      </text>
    </comment>
    <comment ref="Z25" authorId="0" shapeId="0">
      <text>
        <t>모델값 역산(implied): 모델 v 그대로
이자손익 + 외환손익 0 + 파생상품손익 0 + 기타금융손익 +0.00억(최근 4분기(2025Q3~2026Q2) 잔차 중위) (항등식); 이자손익 = 이자발생자산 9409억 × 2.88%(주석 이자수익 ÷ 평균 이자발생자산(2025Q3~2026Q2)) − 총차입금 0억 × 0.00%(없음) (연율) ÷ 4; 환율 효과는 환관련손익 행 별도</t>
      </text>
    </comment>
    <comment ref="AA25" authorId="0" shapeId="0">
      <text>
        <t>모델값 역산(implied): 모델 v 그대로
이자손익 + 외환손익 0 + 파생상품손익 0 + 기타금융손익 +0.00억(최근 4분기(2025Q3~2026Q2) 잔차 중위) (항등식); 이자손익 = 이자발생자산 10620억 × 2.88%(주석 이자수익 ÷ 평균 이자발생자산(2025Q3~2026Q2)) − 총차입금 0억 × 0.00%(없음) (연율) ÷ 4; 환율 효과는 환관련손익 행 별도</t>
      </text>
    </comment>
    <comment ref="P26" authorId="0" shapeId="0">
      <text>
        <t>모델값 역산(implied): 모델 v 그대로
이자발생자산 5489억 × 2.88%(주석 이자수익 ÷ 평균 이자발생자산(2025Q3~2026Q2)) − 총차입금 0억 × 0.00%(없음) (연율) ÷ 4</t>
      </text>
    </comment>
    <comment ref="Q26" authorId="0" shapeId="0">
      <text>
        <t>모델값 역산(implied): 모델 v 그대로
이자발생자산 6315억 × 2.88%(주석 이자수익 ÷ 평균 이자발생자산(2025Q3~2026Q2)) − 총차입금 0억 × 0.00%(없음) (연율) ÷ 4</t>
      </text>
    </comment>
    <comment ref="S26" authorId="0" shapeId="0">
      <text>
        <t>모델값 역산(implied): 모델 v 그대로
이자발생자산 7178억 × 2.88%(주석 이자수익 ÷ 평균 이자발생자산(2025Q3~2026Q2)) − 총차입금 0억 × 0.00%(없음) (연율) ÷ 4</t>
      </text>
    </comment>
    <comment ref="T26" authorId="0" shapeId="0">
      <text>
        <t>모델값 역산(implied): 모델 v 그대로
이자발생자산 8029억 × 2.88%(주석 이자수익 ÷ 평균 이자발생자산(2025Q3~2026Q2)) − 총차입금 0억 × 0.00%(없음) (연율) ÷ 4</t>
      </text>
    </comment>
    <comment ref="U26" authorId="0" shapeId="0">
      <text>
        <t>모델값 역산(implied): 모델 v 그대로
이자발생자산 7111억 × 2.88%(주석 이자수익 ÷ 평균 이자발생자산(2025Q3~2026Q2)) − 총차입금 0억 × 0.00%(없음) (연율) ÷ 4</t>
      </text>
    </comment>
    <comment ref="V26" authorId="0" shapeId="0">
      <text>
        <t>모델값 역산(implied): 모델 v 그대로
이자발생자산 8073억 × 2.88%(주석 이자수익 ÷ 평균 이자발생자산(2025Q3~2026Q2)) − 총차입금 0억 × 0.00%(없음) (연율) ÷ 4</t>
      </text>
    </comment>
    <comment ref="X26" authorId="0" shapeId="0">
      <text>
        <t>모델값 역산(implied): 모델 v 그대로
이자발생자산 9097억 × 2.88%(주석 이자수익 ÷ 평균 이자발생자산(2025Q3~2026Q2)) − 총차입금 0억 × 0.00%(없음) (연율) ÷ 4</t>
      </text>
    </comment>
    <comment ref="Y26" authorId="0" shapeId="0">
      <text>
        <t>모델값 역산(implied): 모델 v 그대로
이자발생자산 10124억 × 2.88%(주석 이자수익 ÷ 평균 이자발생자산(2025Q3~2026Q2)) − 총차입금 0억 × 0.00%(없음) (연율) ÷ 4</t>
      </text>
    </comment>
    <comment ref="Z26" authorId="0" shapeId="0">
      <text>
        <t>모델값 역산(implied): 모델 v 그대로
이자발생자산 9409억 × 2.88%(주석 이자수익 ÷ 평균 이자발생자산(2025Q3~2026Q2)) − 총차입금 0억 × 0.00%(없음) (연율) ÷ 4</t>
      </text>
    </comment>
    <comment ref="AA26" authorId="0" shapeId="0">
      <text>
        <t>모델값 역산(implied): 모델 v 그대로
이자발생자산 10620억 × 2.88%(주석 이자수익 ÷ 평균 이자발생자산(2025Q3~2026Q2)) − 총차입금 0억 × 0.00%(없음) (연율) ÷ 4</t>
      </text>
    </comment>
    <comment ref="P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Q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S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T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P28" authorId="0" shapeId="0">
      <text>
        <t>모델값 역산(implied): 모델 v 그대로
파생상품 평가·거래손익 0 가정</t>
      </text>
    </comment>
    <comment ref="Q28" authorId="0" shapeId="0">
      <text>
        <t>모델값 역산(implied): 모델 v 그대로
파생상품 평가·거래손익 0 가정</t>
      </text>
    </comment>
    <comment ref="S28" authorId="0" shapeId="0">
      <text>
        <t>모델값 역산(implied): 모델 v 그대로
파생상품 평가·거래손익 0 가정</t>
      </text>
    </comment>
    <comment ref="T28" authorId="0" shapeId="0">
      <text>
        <t>모델값 역산(implied): 모델 v 그대로
파생상품 평가·거래손익 0 가정</t>
      </text>
    </comment>
    <comment ref="U28" authorId="0" shapeId="0">
      <text>
        <t>모델값 역산(implied): 모델 v 그대로
파생상품 평가·거래손익 0 가정</t>
      </text>
    </comment>
    <comment ref="V28" authorId="0" shapeId="0">
      <text>
        <t>모델값 역산(implied): 모델 v 그대로
파생상품 평가·거래손익 0 가정</t>
      </text>
    </comment>
    <comment ref="X28" authorId="0" shapeId="0">
      <text>
        <t>모델값 역산(implied): 모델 v 그대로
파생상품 평가·거래손익 0 가정</t>
      </text>
    </comment>
    <comment ref="Y28" authorId="0" shapeId="0">
      <text>
        <t>모델값 역산(implied): 모델 v 그대로
파생상품 평가·거래손익 0 가정</t>
      </text>
    </comment>
    <comment ref="Z28" authorId="0" shapeId="0">
      <text>
        <t>모델값 역산(implied): 모델 v 그대로
파생상품 평가·거래손익 0 가정</t>
      </text>
    </comment>
    <comment ref="AA28" authorId="0" shapeId="0">
      <text>
        <t>모델값 역산(implied): 모델 v 그대로
파생상품 평가·거래손익 0 가정</t>
      </text>
    </comment>
    <comment ref="Q29" authorId="0" shapeId="0">
      <text>
        <t>모델값 역산(implied): v / 전년동기 − 1
최근 4분기(2025Q3~2026Q2) 잔차 중위</t>
      </text>
    </comment>
    <comment ref="P30" authorId="0" shapeId="0">
      <text>
        <t>모델값 역산(implied): 모델 v 그대로
일회성 미가정 → 0</t>
      </text>
    </comment>
    <comment ref="Q30" authorId="0" shapeId="0">
      <text>
        <t>모델값 역산(implied): 모델 v 그대로
일회성 미가정 → 0</t>
      </text>
    </comment>
    <comment ref="S30" authorId="0" shapeId="0">
      <text>
        <t>모델값 역산(implied): 모델 v 그대로
일회성 미가정 → 0</t>
      </text>
    </comment>
    <comment ref="T30" authorId="0" shapeId="0">
      <text>
        <t>모델값 역산(implied): 모델 v 그대로
일회성 미가정 → 0</t>
      </text>
    </comment>
    <comment ref="U30" authorId="0" shapeId="0">
      <text>
        <t>모델값 역산(implied): 모델 v 그대로
일회성 미가정 → 0</t>
      </text>
    </comment>
    <comment ref="V30" authorId="0" shapeId="0">
      <text>
        <t>모델값 역산(implied): 모델 v 그대로
일회성 미가정 → 0</t>
      </text>
    </comment>
    <comment ref="X30" authorId="0" shapeId="0">
      <text>
        <t>모델값 역산(implied): 모델 v 그대로
일회성 미가정 → 0</t>
      </text>
    </comment>
    <comment ref="Y30" authorId="0" shapeId="0">
      <text>
        <t>모델값 역산(implied): 모델 v 그대로
일회성 미가정 → 0</t>
      </text>
    </comment>
    <comment ref="Z30" authorId="0" shapeId="0">
      <text>
        <t>모델값 역산(implied): 모델 v 그대로
일회성 미가정 → 0</t>
      </text>
    </comment>
    <comment ref="AA30" authorId="0" shapeId="0">
      <text>
        <t>모델값 역산(implied): 모델 v 그대로
일회성 미가정 → 0</t>
      </text>
    </comment>
    <comment ref="P31" authorId="0" shapeId="0">
      <text>
        <t>모델값 역산(implied): 모델 v 그대로
최근 4분기 중위</t>
      </text>
    </comment>
    <comment ref="Q31" authorId="0" shapeId="0">
      <text>
        <t>모델값 역산(implied): 모델 v 그대로
최근 4분기 중위</t>
      </text>
    </comment>
    <comment ref="S31" authorId="0" shapeId="0">
      <text>
        <t>모델값 역산(implied): 모델 v 그대로
최근 4분기 중위</t>
      </text>
    </comment>
    <comment ref="T31" authorId="0" shapeId="0">
      <text>
        <t>모델값 역산(implied): 모델 v 그대로
최근 4분기 중위</t>
      </text>
    </comment>
    <comment ref="U31" authorId="0" shapeId="0">
      <text>
        <t>모델값 역산(implied): 모델 v 그대로
최근 4분기 중위</t>
      </text>
    </comment>
    <comment ref="V31" authorId="0" shapeId="0">
      <text>
        <t>모델값 역산(implied): 모델 v 그대로
최근 4분기 중위</t>
      </text>
    </comment>
    <comment ref="X31" authorId="0" shapeId="0">
      <text>
        <t>모델값 역산(implied): 모델 v 그대로
최근 4분기 중위</t>
      </text>
    </comment>
    <comment ref="Y31" authorId="0" shapeId="0">
      <text>
        <t>모델값 역산(implied): 모델 v 그대로
최근 4분기 중위</t>
      </text>
    </comment>
    <comment ref="Z31" authorId="0" shapeId="0">
      <text>
        <t>모델값 역산(implied): 모델 v 그대로
최근 4분기 중위</t>
      </text>
    </comment>
    <comment ref="AA31" authorId="0" shapeId="0">
      <text>
        <t>모델값 역산(implied): 모델 v 그대로
최근 4분기 중위</t>
      </text>
    </comment>
    <comment ref="P32" authorId="0" shapeId="0">
      <text>
        <t>모델값 역산(implied): v / 세전이익
max(세전, 0) × 세율 23.0%(최근 9분기 유효세율 23.0%(5~27% 안 — 그대로))</t>
      </text>
    </comment>
    <comment ref="Q32" authorId="0" shapeId="0">
      <text>
        <t>모델값 역산(implied): v / 세전이익
max(세전, 0) × 세율 23.0%(최근 9분기 유효세율 23.0%(5~27% 안 — 그대로))</t>
      </text>
    </comment>
    <comment ref="S32" authorId="0" shapeId="0">
      <text>
        <t>모델값 역산(implied): v / 세전이익
max(세전, 0) × 세율 23.0%(최근 9분기 유효세율 23.0%(5~27% 안 — 그대로))</t>
      </text>
    </comment>
    <comment ref="T32" authorId="0" shapeId="0">
      <text>
        <t>모델값 역산(implied): v / 세전이익
max(세전, 0) × 세율 23.0%(최근 9분기 유효세율 23.0%(5~27% 안 — 그대로))</t>
      </text>
    </comment>
    <comment ref="U32" authorId="0" shapeId="0">
      <text>
        <t>모델값 역산(implied): v / 세전이익
max(세전, 0) × 세율 23.0%(최근 9분기 유효세율 23.0%(5~27% 안 — 그대로))</t>
      </text>
    </comment>
    <comment ref="V32" authorId="0" shapeId="0">
      <text>
        <t>모델값 역산(implied): v / 세전이익
max(세전, 0) × 세율 23.0%(최근 9분기 유효세율 23.0%(5~27% 안 — 그대로))</t>
      </text>
    </comment>
    <comment ref="X32" authorId="0" shapeId="0">
      <text>
        <t>모델값 역산(implied): v / 세전이익
max(세전, 0) × 세율 23.0%(최근 9분기 유효세율 23.0%(5~27% 안 — 그대로))</t>
      </text>
    </comment>
    <comment ref="Y32" authorId="0" shapeId="0">
      <text>
        <t>모델값 역산(implied): v / 세전이익
max(세전, 0) × 세율 23.0%(최근 9분기 유효세율 23.0%(5~27% 안 — 그대로))</t>
      </text>
    </comment>
    <comment ref="Z32" authorId="0" shapeId="0">
      <text>
        <t>모델값 역산(implied): v / 세전이익
max(세전, 0) × 세율 23.0%(최근 9분기 유효세율 23.0%(5~27% 안 — 그대로))</t>
      </text>
    </comment>
    <comment ref="AA32" authorId="0" shapeId="0">
      <text>
        <t>모델값 역산(implied): v / 세전이익
max(세전, 0) × 세율 23.0%(최근 9분기 유효세율 23.0%(5~27% 안 — 그대로))</t>
      </text>
    </comment>
    <comment ref="P33" authorId="0" shapeId="0">
      <text>
        <t>모델값 역산(implied): v / 당기순이익
당기순이익 × (1 − 비지배 비중 0.0%, 최근 8분기 실측)</t>
      </text>
    </comment>
    <comment ref="Q33" authorId="0" shapeId="0">
      <text>
        <t>모델값 역산(implied): v / 당기순이익
당기순이익 × (1 − 비지배 비중 0.0%, 최근 8분기 실측)</t>
      </text>
    </comment>
    <comment ref="S33" authorId="0" shapeId="0">
      <text>
        <t>모델값 역산(implied): v / 당기순이익
당기순이익 × (1 − 비지배 비중 0.0%, 최근 8분기 실측)</t>
      </text>
    </comment>
    <comment ref="T33" authorId="0" shapeId="0">
      <text>
        <t>모델값 역산(implied): v / 당기순이익
당기순이익 × (1 − 비지배 비중 0.0%, 최근 8분기 실측)</t>
      </text>
    </comment>
    <comment ref="U33" authorId="0" shapeId="0">
      <text>
        <t>모델값 역산(implied): v / 당기순이익
당기순이익 × (1 − 비지배 비중 0.0%, 최근 8분기 실측)</t>
      </text>
    </comment>
    <comment ref="V33" authorId="0" shapeId="0">
      <text>
        <t>모델값 역산(implied): v / 당기순이익
당기순이익 × (1 − 비지배 비중 0.0%, 최근 8분기 실측)</t>
      </text>
    </comment>
    <comment ref="X33" authorId="0" shapeId="0">
      <text>
        <t>모델값 역산(implied): v / 당기순이익
당기순이익 × (1 − 비지배 비중 0.0%, 최근 8분기 실측)</t>
      </text>
    </comment>
    <comment ref="Y33" authorId="0" shapeId="0">
      <text>
        <t>모델값 역산(implied): v / 당기순이익
당기순이익 × (1 − 비지배 비중 0.0%, 최근 8분기 실측)</t>
      </text>
    </comment>
    <comment ref="Z33" authorId="0" shapeId="0">
      <text>
        <t>모델값 역산(implied): v / 당기순이익
당기순이익 × (1 − 비지배 비중 0.0%, 최근 8분기 실측)</t>
      </text>
    </comment>
    <comment ref="AA33" authorId="0" shapeId="0">
      <text>
        <t>모델값 역산(implied): v / 당기순이익
당기순이익 × (1 − 비지배 비중 0.0%, 최근 8분기 실측)</t>
      </text>
    </comment>
    <comment ref="P34" authorId="0" shapeId="0">
      <text>
        <t>모델값 역산(implied): v / 전분기 − 1
마지막 실적 유지(가정)</t>
      </text>
    </comment>
    <comment ref="Q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Z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P35" authorId="0" shapeId="0">
      <text>
        <t>모델값 역산(implied): 전분기 + 당기순이익 − v
전분기 + 당기순이익 − 배당(Q2 지급 가정)</t>
      </text>
    </comment>
    <comment ref="Q35" authorId="0" shapeId="0">
      <text>
        <t>모델값 역산(implied): 전분기 + 당기순이익 − v
전분기 + 당기순이익 − 배당(Q2 지급 가정)</t>
      </text>
    </comment>
    <comment ref="S35" authorId="0" shapeId="0">
      <text>
        <t>모델값 역산(implied): 전분기 + 당기순이익 − v
전분기 + 당기순이익 − 배당(Q2 지급 가정)</t>
      </text>
    </comment>
    <comment ref="T35" authorId="0" shapeId="0">
      <text>
        <t>모델값 역산(implied): 전분기 + 당기순이익 − v
전분기 + 당기순이익 − 배당(Q2 지급 가정)</t>
      </text>
    </comment>
    <comment ref="U35" authorId="0" shapeId="0">
      <text>
        <t>모델값 역산(implied): 전분기 + 당기순이익 − v
전분기 + 당기순이익 − 배당(Q2 지급 가정)</t>
      </text>
    </comment>
    <comment ref="V35" authorId="0" shapeId="0">
      <text>
        <t>모델값 역산(implied): 전분기 + 당기순이익 − v
전분기 + 당기순이익 − 배당(Q2 지급 가정)</t>
      </text>
    </comment>
    <comment ref="X35" authorId="0" shapeId="0">
      <text>
        <t>모델값 역산(implied): 전분기 + 당기순이익 − v
전분기 + 당기순이익 − 배당(Q2 지급 가정)</t>
      </text>
    </comment>
    <comment ref="Y35" authorId="0" shapeId="0">
      <text>
        <t>모델값 역산(implied): 전분기 + 당기순이익 − v
전분기 + 당기순이익 − 배당(Q2 지급 가정)</t>
      </text>
    </comment>
    <comment ref="Z35" authorId="0" shapeId="0">
      <text>
        <t>모델값 역산(implied): 전분기 + 당기순이익 − v
전분기 + 당기순이익 − 배당(Q2 지급 가정)</t>
      </text>
    </comment>
    <comment ref="AA35" authorId="0" shapeId="0">
      <text>
        <t>모델값 역산(implied): 전분기 + 당기순이익 − v
전분기 + 당기순이익 − 배당(Q2 지급 가정)</t>
      </text>
    </comment>
    <comment ref="P36" authorId="0" shapeId="0">
      <text>
        <t>모델값 역산(implied): 전분기 + 지배주주순이익 − v
전분기 + 지배주주순이익 − 배당</t>
      </text>
    </comment>
    <comment ref="Q36" authorId="0" shapeId="0">
      <text>
        <t>모델값 역산(implied): 전분기 + 지배주주순이익 − v
전분기 + 지배주주순이익 − 배당</t>
      </text>
    </comment>
    <comment ref="S36" authorId="0" shapeId="0">
      <text>
        <t>모델값 역산(implied): 전분기 + 지배주주순이익 − v
전분기 + 지배주주순이익 − 배당</t>
      </text>
    </comment>
    <comment ref="T36" authorId="0" shapeId="0">
      <text>
        <t>모델값 역산(implied): 전분기 + 지배주주순이익 − v
전분기 + 지배주주순이익 − 배당</t>
      </text>
    </comment>
    <comment ref="U36" authorId="0" shapeId="0">
      <text>
        <t>모델값 역산(implied): 전분기 + 지배주주순이익 − v
전분기 + 지배주주순이익 − 배당</t>
      </text>
    </comment>
    <comment ref="V36" authorId="0" shapeId="0">
      <text>
        <t>모델값 역산(implied): 전분기 + 지배주주순이익 − v
전분기 + 지배주주순이익 − 배당</t>
      </text>
    </comment>
    <comment ref="X36" authorId="0" shapeId="0">
      <text>
        <t>모델값 역산(implied): 전분기 + 지배주주순이익 − v
전분기 + 지배주주순이익 − 배당</t>
      </text>
    </comment>
    <comment ref="Y36" authorId="0" shapeId="0">
      <text>
        <t>모델값 역산(implied): 전분기 + 지배주주순이익 − v
전분기 + 지배주주순이익 − 배당</t>
      </text>
    </comment>
    <comment ref="Z36" authorId="0" shapeId="0">
      <text>
        <t>모델값 역산(implied): 전분기 + 지배주주순이익 − v
전분기 + 지배주주순이익 − 배당</t>
      </text>
    </comment>
    <comment ref="AA36" authorId="0" shapeId="0">
      <text>
        <t>모델값 역산(implied): 전분기 + 지배주주순이익 − v
전분기 + 지배주주순이익 − 배당</t>
      </text>
    </comment>
    <comment ref="P39" authorId="0" shapeId="0">
      <text>
        <t>모델값 역산(implied): v / 전분기 − 1
전분기 + (순이익 − 배당) — 순차입금 롤과 같은 가정</t>
      </text>
    </comment>
    <comment ref="Q39" authorId="0" shapeId="0">
      <text>
        <t>모델값 역산(implied): v / 전분기 − 1
전분기 + (순이익 − 배당) — 순차입금 롤과 같은 가정</t>
      </text>
    </comment>
    <comment ref="S39" authorId="0" shapeId="0">
      <text>
        <t>모델값 역산(implied): v / 전분기 − 1
전분기 + (순이익 − 배당) — 순차입금 롤과 같은 가정</t>
      </text>
    </comment>
    <comment ref="T39" authorId="0" shapeId="0">
      <text>
        <t>모델값 역산(implied): v / 전분기 − 1
전분기 + (순이익 − 배당) — 순차입금 롤과 같은 가정</t>
      </text>
    </comment>
    <comment ref="U39" authorId="0" shapeId="0">
      <text>
        <t>모델값 역산(implied): v / 전분기 − 1
전분기 + (순이익 − 배당) — 순차입금 롤과 같은 가정</t>
      </text>
    </comment>
    <comment ref="V39" authorId="0" shapeId="0">
      <text>
        <t>모델값 역산(implied): v / 전분기 − 1
전분기 + (순이익 − 배당) — 순차입금 롤과 같은 가정</t>
      </text>
    </comment>
    <comment ref="X39" authorId="0" shapeId="0">
      <text>
        <t>모델값 역산(implied): v / 전분기 − 1
전분기 + (순이익 − 배당) — 순차입금 롤과 같은 가정</t>
      </text>
    </comment>
    <comment ref="Y39" authorId="0" shapeId="0">
      <text>
        <t>모델값 역산(implied): v / 전분기 − 1
전분기 + (순이익 − 배당) — 순차입금 롤과 같은 가정</t>
      </text>
    </comment>
    <comment ref="Z39" authorId="0" shapeId="0">
      <text>
        <t>모델값 역산(implied): v / 전분기 − 1
전분기 + (순이익 − 배당) — 순차입금 롤과 같은 가정</t>
      </text>
    </comment>
    <comment ref="AA39" authorId="0" shapeId="0">
      <text>
        <t>모델값 역산(implied): v / 전분기 − 1
전분기 + (순이익 − 배당) — 순차입금 롤과 같은 가정</t>
      </text>
    </comment>
    <comment ref="P43" authorId="0" shapeId="0">
      <text>
        <t>모델값 역산(implied): v / 전분기 − 1
유통주식수 유지 — fin.shares.common_outstanding(2026Q2)</t>
      </text>
    </comment>
    <comment ref="Q43" authorId="0" shapeId="0">
      <text>
        <t>모델값 역산(implied): v / 전분기 − 1
유통주식수 유지 — fin.shares.common_outstanding(2026Q2)</t>
      </text>
    </comment>
    <comment ref="S43" authorId="0" shapeId="0">
      <text>
        <t>모델값 역산(implied): v / 전분기 − 1
유통주식수 유지 — fin.shares.common_outstanding(2026Q2)</t>
      </text>
    </comment>
    <comment ref="T43" authorId="0" shapeId="0">
      <text>
        <t>모델값 역산(implied): v / 전분기 − 1
유통주식수 유지 — fin.shares.common_outstanding(2026Q2)</t>
      </text>
    </comment>
    <comment ref="U43" authorId="0" shapeId="0">
      <text>
        <t>모델값 역산(implied): v / 전분기 − 1
유통주식수 유지 — fin.shares.common_outstanding(2026Q2)</t>
      </text>
    </comment>
    <comment ref="V43" authorId="0" shapeId="0">
      <text>
        <t>모델값 역산(implied): v / 전분기 − 1
유통주식수 유지 — fin.shares.common_outstanding(2026Q2)</t>
      </text>
    </comment>
    <comment ref="X43" authorId="0" shapeId="0">
      <text>
        <t>모델값 역산(implied): v / 전분기 − 1
유통주식수 유지 — fin.shares.common_outstanding(2026Q2)</t>
      </text>
    </comment>
    <comment ref="Y43" authorId="0" shapeId="0">
      <text>
        <t>모델값 역산(implied): v / 전분기 − 1
유통주식수 유지 — fin.shares.common_outstanding(2026Q2)</t>
      </text>
    </comment>
    <comment ref="Z43" authorId="0" shapeId="0">
      <text>
        <t>모델값 역산(implied): v / 전분기 − 1
유통주식수 유지 — fin.shares.common_outstanding(2026Q2)</t>
      </text>
    </comment>
    <comment ref="AA43" authorId="0" shapeId="0">
      <text>
        <t>모델값 역산(implied): v / 전분기 − 1
유통주식수 유지 — fin.shares.common_outstanding(2026Q2)</t>
      </text>
    </comment>
    <comment ref="Q44" authorId="0" shapeId="0">
      <text>
        <t>모델값 역산(implied): v / 전년동기 − 1
직전 결산 DPS 3,950원 유지</t>
      </text>
    </comment>
    <comment ref="V44" authorId="0" shapeId="0">
      <text>
        <t>모델값 역산(implied): v / 전년동기 − 1
직전 결산 DPS 3,950원 유지</t>
      </text>
    </comment>
    <comment ref="AA44" authorId="0" shapeId="0">
      <text>
        <t>모델값 역산(implied): v / 전년동기 − 1
직전 결산 DPS 3,950원 유지</t>
      </text>
    </comment>
    <comment ref="P45" authorId="0" shapeId="0">
      <text>
        <t>모델값 역산(implied): v / 전년동기 − 1
현재 종가 ÷ TTM EPS(추정 포함)</t>
      </text>
    </comment>
    <comment ref="Q45" authorId="0" shapeId="0">
      <text>
        <t>모델값 역산(implied): v / 전년동기 − 1
현재 종가 ÷ TTM EPS(추정 포함)</t>
      </text>
    </comment>
    <comment ref="S45" authorId="0" shapeId="0">
      <text>
        <t>모델값 역산(implied): v / 전년동기 − 1
현재 종가 ÷ TTM EPS(추정 포함)</t>
      </text>
    </comment>
    <comment ref="T45" authorId="0" shapeId="0">
      <text>
        <t>모델값 역산(implied): v / 전년동기 − 1
현재 종가 ÷ TTM EPS(추정 포함)</t>
      </text>
    </comment>
    <comment ref="U45" authorId="0" shapeId="0">
      <text>
        <t>모델값 역산(implied): v / 전년동기 − 1
현재 종가 ÷ TTM EPS(추정 포함)</t>
      </text>
    </comment>
    <comment ref="V45" authorId="0" shapeId="0">
      <text>
        <t>모델값 역산(implied): v / 전년동기 − 1
현재 종가 ÷ TTM EPS(추정 포함)</t>
      </text>
    </comment>
    <comment ref="X45" authorId="0" shapeId="0">
      <text>
        <t>모델값 역산(implied): v / 전년동기 − 1
현재 종가 ÷ TTM EPS(추정 포함)</t>
      </text>
    </comment>
    <comment ref="Y45" authorId="0" shapeId="0">
      <text>
        <t>모델값 역산(implied): v / 전년동기 − 1
현재 종가 ÷ TTM EPS(추정 포함)</t>
      </text>
    </comment>
    <comment ref="Z45" authorId="0" shapeId="0">
      <text>
        <t>모델값 역산(implied): v / 전년동기 − 1
현재 종가 ÷ TTM EPS(추정 포함)</t>
      </text>
    </comment>
    <comment ref="AA45" authorId="0" shapeId="0">
      <text>
        <t>모델값 역산(implied): v / 전년동기 − 1
현재 종가 ÷ TTM EPS(추정 포함)</t>
      </text>
    </comment>
    <comment ref="P46" authorId="0" shapeId="0">
      <text>
        <t>모델값 역산(implied): v / 전년동기 − 1
현재 종가 ÷ BPS(추정 포함)</t>
      </text>
    </comment>
    <comment ref="Q46" authorId="0" shapeId="0">
      <text>
        <t>모델값 역산(implied): v / 전년동기 − 1
현재 종가 ÷ BPS(추정 포함)</t>
      </text>
    </comment>
    <comment ref="S46" authorId="0" shapeId="0">
      <text>
        <t>모델값 역산(implied): v / 전년동기 − 1
현재 종가 ÷ BPS(추정 포함)</t>
      </text>
    </comment>
    <comment ref="T46" authorId="0" shapeId="0">
      <text>
        <t>모델값 역산(implied): v / 전년동기 − 1
현재 종가 ÷ BPS(추정 포함)</t>
      </text>
    </comment>
    <comment ref="U46" authorId="0" shapeId="0">
      <text>
        <t>모델값 역산(implied): v / 전년동기 − 1
현재 종가 ÷ BPS(추정 포함)</t>
      </text>
    </comment>
    <comment ref="V46" authorId="0" shapeId="0">
      <text>
        <t>모델값 역산(implied): v / 전년동기 − 1
현재 종가 ÷ BPS(추정 포함)</t>
      </text>
    </comment>
    <comment ref="X46" authorId="0" shapeId="0">
      <text>
        <t>모델값 역산(implied): v / 전년동기 − 1
현재 종가 ÷ BPS(추정 포함)</t>
      </text>
    </comment>
    <comment ref="Y46" authorId="0" shapeId="0">
      <text>
        <t>모델값 역산(implied): v / 전년동기 − 1
현재 종가 ÷ BPS(추정 포함)</t>
      </text>
    </comment>
    <comment ref="Z46" authorId="0" shapeId="0">
      <text>
        <t>모델값 역산(implied): v / 전년동기 − 1
현재 종가 ÷ BPS(추정 포함)</t>
      </text>
    </comment>
    <comment ref="AA46" authorId="0" shapeId="0">
      <text>
        <t>모델값 역산(implied): v / 전년동기 − 1
현재 종가 ÷ BPS(추정 포함)</t>
      </text>
    </comment>
    <comment ref="P47" authorId="0" shapeId="0">
      <text>
        <t>모델값 역산(implied): v / 매출액
= 매출액 추정(부문 미분리)</t>
      </text>
    </comment>
    <comment ref="Q47" authorId="0" shapeId="0">
      <text>
        <t>모델값 역산(implied): v / 매출액
= 매출액 추정(부문 미분리)</t>
      </text>
    </comment>
    <comment ref="S47" authorId="0" shapeId="0">
      <text>
        <t>모델값 역산(implied): v / 매출액
= 매출액 추정(부문 미분리)</t>
      </text>
    </comment>
    <comment ref="T47" authorId="0" shapeId="0">
      <text>
        <t>모델값 역산(implied): v / 매출액
= 매출액 추정(부문 미분리)</t>
      </text>
    </comment>
    <comment ref="U47" authorId="0" shapeId="0">
      <text>
        <t>모델값 역산(implied): v / 매출액
= 매출액 추정(부문 미분리)</t>
      </text>
    </comment>
    <comment ref="V47" authorId="0" shapeId="0">
      <text>
        <t>모델값 역산(implied): v / 매출액
= 매출액 추정(부문 미분리)</t>
      </text>
    </comment>
    <comment ref="X47" authorId="0" shapeId="0">
      <text>
        <t>모델값 역산(implied): v / 매출액
= 매출액 추정(부문 미분리)</t>
      </text>
    </comment>
    <comment ref="Y47" authorId="0" shapeId="0">
      <text>
        <t>모델값 역산(implied): v / 매출액
= 매출액 추정(부문 미분리)</t>
      </text>
    </comment>
    <comment ref="Z47" authorId="0" shapeId="0">
      <text>
        <t>모델값 역산(implied): v / 매출액
= 매출액 추정(부문 미분리)</t>
      </text>
    </comment>
    <comment ref="AA47" authorId="0" shapeId="0">
      <text>
        <t>모델값 역산(implied): v / 매출액
= 매출액 추정(부문 미분리)</t>
      </text>
    </comment>
    <comment ref="P48" authorId="0" shapeId="0">
      <text>
        <t>모델값 역산(implied): v / 매출전사
= 매출액 × OPM(부문 미분리)</t>
      </text>
    </comment>
    <comment ref="Q48" authorId="0" shapeId="0">
      <text>
        <t>모델값 역산(implied): v / 매출전사
= 매출액 × OPM(부문 미분리)</t>
      </text>
    </comment>
    <comment ref="S48" authorId="0" shapeId="0">
      <text>
        <t>모델값 역산(implied): v / 매출전사
= 매출액 × OPM(부문 미분리)</t>
      </text>
    </comment>
    <comment ref="T48" authorId="0" shapeId="0">
      <text>
        <t>모델값 역산(implied): v / 매출전사
= 매출액 × OPM(부문 미분리)</t>
      </text>
    </comment>
    <comment ref="U48" authorId="0" shapeId="0">
      <text>
        <t>모델값 역산(implied): v / 매출전사
= 매출액 × OPM(부문 미분리)</t>
      </text>
    </comment>
    <comment ref="V48" authorId="0" shapeId="0">
      <text>
        <t>모델값 역산(implied): v / 매출전사
= 매출액 × OPM(부문 미분리)</t>
      </text>
    </comment>
    <comment ref="X48" authorId="0" shapeId="0">
      <text>
        <t>모델값 역산(implied): v / 매출전사
= 매출액 × OPM(부문 미분리)</t>
      </text>
    </comment>
    <comment ref="Y48" authorId="0" shapeId="0">
      <text>
        <t>모델값 역산(implied): v / 매출전사
= 매출액 × OPM(부문 미분리)</t>
      </text>
    </comment>
    <comment ref="Z48" authorId="0" shapeId="0">
      <text>
        <t>모델값 역산(implied): v / 매출전사
= 매출액 × OPM(부문 미분리)</t>
      </text>
    </comment>
    <comment ref="AA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344388억 × 비례계수 0.0670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356065억 × 비례계수 0.0670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371046억 × 비례계수 0.0670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383686억 × 비례계수 0.0670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399390억 × 비례계수 0.0670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421089억 × 비례계수 0.0670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446754억 × 비례계수 0.0670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474266억 × 비례계수 0.0670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501498억 × 비례계수 0.0670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525629억 × 비례계수 0.0670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P10" authorId="0" shapeId="0">
      <text>
        <t>추정: 최근 8분기 OPM 중위 17.3% 유지
[yoy]</t>
      </text>
    </comment>
    <comment ref="Q10" authorId="0" shapeId="0">
      <text>
        <t>추정: 최근 8분기 OPM 중위 17.3% 유지
[yoy]</t>
      </text>
    </comment>
    <comment ref="S10" authorId="0" shapeId="0">
      <text>
        <t>추정: 최근 8분기 OPM 중위 17.3% 유지
[yoy]</t>
      </text>
    </comment>
    <comment ref="T10" authorId="0" shapeId="0">
      <text>
        <t>추정: 최근 8분기 OPM 중위 17.3% 유지
[yoy]</t>
      </text>
    </comment>
    <comment ref="U10" authorId="0" shapeId="0">
      <text>
        <t>추정: 최근 8분기 OPM 중위 17.3% 유지
[yoy]</t>
      </text>
    </comment>
    <comment ref="V10" authorId="0" shapeId="0">
      <text>
        <t>추정: 최근 8분기 OPM 중위 17.3% 유지
[yoy]</t>
      </text>
    </comment>
    <comment ref="X10" authorId="0" shapeId="0">
      <text>
        <t>추정: 최근 8분기 OPM 중위 17.3% 유지
[yoy]</t>
      </text>
    </comment>
    <comment ref="Y10" authorId="0" shapeId="0">
      <text>
        <t>추정: 최근 8분기 OPM 중위 17.3% 유지
[yoy]</t>
      </text>
    </comment>
    <comment ref="Z10" authorId="0" shapeId="0">
      <text>
        <t>추정: 최근 8분기 OPM 중위 17.3% 유지
[yoy]</t>
      </text>
    </comment>
    <comment ref="AA10" authorId="0" shapeId="0">
      <text>
        <t>추정: 최근 8분기 OPM 중위 17.3% 유지
[yoy]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[abs]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6315억 × 2.88%(주석 이자수익 ÷ 평균 이자발생자산(2025Q3~2026Q2)) − 총차입금 0억 × 0.00%(없음) (연율) ÷ 4; 환율 효과는 환관련손익 행 별도
[abs]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7178억 × 2.88%(주석 이자수익 ÷ 평균 이자발생자산(2025Q3~2026Q2)) − 총차입금 0억 × 0.00%(없음) (연율) ÷ 4; 환율 효과는 환관련손익 행 별도
[abs]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8029억 × 2.88%(주석 이자수익 ÷ 평균 이자발생자산(2025Q3~2026Q2)) − 총차입금 0억 × 0.00%(없음) (연율) ÷ 4; 환율 효과는 환관련손익 행 별도
[abs]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7111억 × 2.88%(주석 이자수익 ÷ 평균 이자발생자산(2025Q3~2026Q2)) − 총차입금 0억 × 0.00%(없음) (연율) ÷ 4; 환율 효과는 환관련손익 행 별도
[abs]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8073억 × 2.88%(주석 이자수익 ÷ 평균 이자발생자산(2025Q3~2026Q2)) − 총차입금 0억 × 0.00%(없음) (연율) ÷ 4; 환율 효과는 환관련손익 행 별도
[abs]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9097억 × 2.88%(주석 이자수익 ÷ 평균 이자발생자산(2025Q3~2026Q2)) − 총차입금 0억 × 0.00%(없음) (연율) ÷ 4; 환율 효과는 환관련손익 행 별도
[abs]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10124억 × 2.88%(주석 이자수익 ÷ 평균 이자발생자산(2025Q3~2026Q2)) − 총차입금 0억 × 0.00%(없음) (연율) ÷ 4; 환율 효과는 환관련손익 행 별도
[abs]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9409억 × 2.88%(주석 이자수익 ÷ 평균 이자발생자산(2025Q3~2026Q2)) − 총차입금 0억 × 0.00%(없음) (연율) ÷ 4; 환율 효과는 환관련손익 행 별도
[abs]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10620억 × 2.88%(주석 이자수익 ÷ 평균 이자발생자산(2025Q3~2026Q2)) − 총차입금 0억 × 0.00%(없음) (연율) ÷ 4; 환율 효과는 환관련손익 행 별도
[abs]</t>
      </text>
    </comment>
    <comment ref="P12" authorId="0" shapeId="0">
      <text>
        <t>추정: 이자발생자산 5489억 × 2.88%(주석 이자수익 ÷ 평균 이자발생자산(2025Q3~2026Q2)) − 총차입금 0억 × 0.00%(없음) (연율) ÷ 4
[abs]</t>
      </text>
    </comment>
    <comment ref="Q12" authorId="0" shapeId="0">
      <text>
        <t>추정: 이자발생자산 6315억 × 2.88%(주석 이자수익 ÷ 평균 이자발생자산(2025Q3~2026Q2)) − 총차입금 0억 × 0.00%(없음) (연율) ÷ 4
[abs]</t>
      </text>
    </comment>
    <comment ref="S12" authorId="0" shapeId="0">
      <text>
        <t>추정: 이자발생자산 7178억 × 2.88%(주석 이자수익 ÷ 평균 이자발생자산(2025Q3~2026Q2)) − 총차입금 0억 × 0.00%(없음) (연율) ÷ 4
[abs]</t>
      </text>
    </comment>
    <comment ref="T12" authorId="0" shapeId="0">
      <text>
        <t>추정: 이자발생자산 8029억 × 2.88%(주석 이자수익 ÷ 평균 이자발생자산(2025Q3~2026Q2)) − 총차입금 0억 × 0.00%(없음) (연율) ÷ 4
[abs]</t>
      </text>
    </comment>
    <comment ref="U12" authorId="0" shapeId="0">
      <text>
        <t>추정: 이자발생자산 7111억 × 2.88%(주석 이자수익 ÷ 평균 이자발생자산(2025Q3~2026Q2)) − 총차입금 0억 × 0.00%(없음) (연율) ÷ 4
[abs]</t>
      </text>
    </comment>
    <comment ref="V12" authorId="0" shapeId="0">
      <text>
        <t>추정: 이자발생자산 8073억 × 2.88%(주석 이자수익 ÷ 평균 이자발생자산(2025Q3~2026Q2)) − 총차입금 0억 × 0.00%(없음) (연율) ÷ 4
[abs]</t>
      </text>
    </comment>
    <comment ref="X12" authorId="0" shapeId="0">
      <text>
        <t>추정: 이자발생자산 9097억 × 2.88%(주석 이자수익 ÷ 평균 이자발생자산(2025Q3~2026Q2)) − 총차입금 0억 × 0.00%(없음) (연율) ÷ 4
[abs]</t>
      </text>
    </comment>
    <comment ref="Y12" authorId="0" shapeId="0">
      <text>
        <t>추정: 이자발생자산 10124억 × 2.88%(주석 이자수익 ÷ 평균 이자발생자산(2025Q3~2026Q2)) − 총차입금 0억 × 0.00%(없음) (연율) ÷ 4
[abs]</t>
      </text>
    </comment>
    <comment ref="Z12" authorId="0" shapeId="0">
      <text>
        <t>추정: 이자발생자산 9409억 × 2.88%(주석 이자수익 ÷ 평균 이자발생자산(2025Q3~2026Q2)) − 총차입금 0억 × 0.00%(없음) (연율) ÷ 4
[abs]</t>
      </text>
    </comment>
    <comment ref="AA12" authorId="0" shapeId="0">
      <text>
        <t>추정: 이자발생자산 10620억 × 2.88%(주석 이자수익 ÷ 평균 이자발생자산(2025Q3~2026Q2)) − 총차입금 0억 × 0.00%(없음) (연율) ÷ 4
[abs]</t>
      </text>
    </comment>
    <comment ref="E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F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K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U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V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X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Y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Z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A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F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K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F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K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P15" authorId="0" shapeId="0">
      <text>
        <t>추정(가정 셀 참조 불가 — 기준값 없음, 모델값 직접): 최근 4분기(2025Q3~2026Q2) 잔차 중위</t>
      </text>
    </comment>
    <comment ref="Q15" authorId="0" shapeId="0">
      <text>
        <t>추정: 최근 4분기(2025Q3~2026Q2) 잔차 중위
[yoy]</t>
      </text>
    </comment>
    <comment ref="S15" authorId="0" shapeId="0">
      <text>
        <t>추정(가정 셀 참조 불가 — 기준값 없음, 모델값 직접): 최근 4분기(2025Q3~2026Q2) 잔차 중위</t>
      </text>
    </comment>
    <comment ref="T15" authorId="0" shapeId="0">
      <text>
        <t>추정(가정 셀 참조 불가 — 기준값 없음, 모델값 직접): 최근 4분기(2025Q3~2026Q2) 잔차 중위</t>
      </text>
    </comment>
    <comment ref="U15" authorId="0" shapeId="0">
      <text>
        <t>추정(가정 셀 참조 불가 — 기준값 없음, 모델값 직접): 최근 4분기(2025Q3~2026Q2) 잔차 중위</t>
      </text>
    </comment>
    <comment ref="V15" authorId="0" shapeId="0">
      <text>
        <t>추정(가정 셀 참조 불가 — 기준값 없음, 모델값 직접): 최근 4분기(2025Q3~2026Q2) 잔차 중위</t>
      </text>
    </comment>
    <comment ref="X15" authorId="0" shapeId="0">
      <text>
        <t>추정(가정 셀 참조 불가 — 기준값 없음, 모델값 직접): 최근 4분기(2025Q3~2026Q2) 잔차 중위</t>
      </text>
    </comment>
    <comment ref="Y15" authorId="0" shapeId="0">
      <text>
        <t>추정(가정 셀 참조 불가 — 기준값 없음, 모델값 직접): 최근 4분기(2025Q3~2026Q2) 잔차 중위</t>
      </text>
    </comment>
    <comment ref="Z15" authorId="0" shapeId="0">
      <text>
        <t>추정(가정 셀 참조 불가 — 기준값 없음, 모델값 직접): 최근 4분기(2025Q3~2026Q2) 잔차 중위</t>
      </text>
    </comment>
    <comment ref="AA15" authorId="0" shapeId="0">
      <text>
        <t>추정(가정 셀 참조 불가 — 기준값 없음, 모델값 직접): 최근 4분기(2025Q3~2026Q2) 잔차 중위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[ratio]</t>
      </text>
    </comment>
    <comment ref="Q19" authorId="0" shapeId="0">
      <text>
        <t>추정: max(세전, 0) × 세율 23.0%(최근 9분기 유효세율 23.0%(5~27% 안 — 그대로))
[ratio]</t>
      </text>
    </comment>
    <comment ref="S19" authorId="0" shapeId="0">
      <text>
        <t>추정: max(세전, 0) × 세율 23.0%(최근 9분기 유효세율 23.0%(5~27% 안 — 그대로))
[ratio]</t>
      </text>
    </comment>
    <comment ref="T19" authorId="0" shapeId="0">
      <text>
        <t>추정: max(세전, 0) × 세율 23.0%(최근 9분기 유효세율 23.0%(5~27% 안 — 그대로))
[ratio]</t>
      </text>
    </comment>
    <comment ref="U19" authorId="0" shapeId="0">
      <text>
        <t>추정: max(세전, 0) × 세율 23.0%(최근 9분기 유효세율 23.0%(5~27% 안 — 그대로))
[ratio]</t>
      </text>
    </comment>
    <comment ref="V19" authorId="0" shapeId="0">
      <text>
        <t>추정: max(세전, 0) × 세율 23.0%(최근 9분기 유효세율 23.0%(5~27% 안 — 그대로))
[ratio]</t>
      </text>
    </comment>
    <comment ref="X19" authorId="0" shapeId="0">
      <text>
        <t>추정: max(세전, 0) × 세율 23.0%(최근 9분기 유효세율 23.0%(5~27% 안 — 그대로))
[ratio]</t>
      </text>
    </comment>
    <comment ref="Y19" authorId="0" shapeId="0">
      <text>
        <t>추정: max(세전, 0) × 세율 23.0%(최근 9분기 유효세율 23.0%(5~27% 안 — 그대로))
[ratio]</t>
      </text>
    </comment>
    <comment ref="Z19" authorId="0" shapeId="0">
      <text>
        <t>추정: max(세전, 0) × 세율 23.0%(최근 9분기 유효세율 23.0%(5~27% 안 — 그대로))
[ratio]</t>
      </text>
    </comment>
    <comment ref="AA19" authorId="0" shapeId="0">
      <text>
        <t>추정: max(세전, 0) × 세율 23.0%(최근 9분기 유효세율 23.0%(5~27% 안 — 그대로))
[ratio]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(순이익 − 배당) — 순차입금 롤과 같은 가정
[qoq]</t>
      </text>
    </comment>
    <comment ref="Q28" authorId="0" shapeId="0">
      <text>
        <t>추정: 전분기 + (순이익 − 배당) — 순차입금 롤과 같은 가정
[qoq]</t>
      </text>
    </comment>
    <comment ref="S28" authorId="0" shapeId="0">
      <text>
        <t>추정: 전분기 + (순이익 − 배당) — 순차입금 롤과 같은 가정
[qoq]</t>
      </text>
    </comment>
    <comment ref="T28" authorId="0" shapeId="0">
      <text>
        <t>추정: 전분기 + (순이익 − 배당) — 순차입금 롤과 같은 가정
[qoq]</t>
      </text>
    </comment>
    <comment ref="U28" authorId="0" shapeId="0">
      <text>
        <t>추정: 전분기 + (순이익 − 배당) — 순차입금 롤과 같은 가정
[qoq]</t>
      </text>
    </comment>
    <comment ref="V28" authorId="0" shapeId="0">
      <text>
        <t>추정: 전분기 + (순이익 − 배당) — 순차입금 롤과 같은 가정
[qoq]</t>
      </text>
    </comment>
    <comment ref="X28" authorId="0" shapeId="0">
      <text>
        <t>추정: 전분기 + (순이익 − 배당) — 순차입금 롤과 같은 가정
[qoq]</t>
      </text>
    </comment>
    <comment ref="Y28" authorId="0" shapeId="0">
      <text>
        <t>추정: 전분기 + (순이익 − 배당) — 순차입금 롤과 같은 가정
[qoq]</t>
      </text>
    </comment>
    <comment ref="Z28" authorId="0" shapeId="0">
      <text>
        <t>추정: 전분기 + (순이익 − 배당) — 순차입금 롤과 같은 가정
[qoq]</t>
      </text>
    </comment>
    <comment ref="AA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F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K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fin.cons.cf.영업활동으로인한현금흐름</t>
      </text>
    </comment>
    <comment ref="O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F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K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 — 모델값 직접) — fin.dividend.dps_common(연간, Q4 에 표기)</t>
      </text>
    </comment>
    <comment ref="Q35" authorId="0" shapeId="0">
      <text>
        <t>추정: 직전 결산 DPS 3,950원 유지
[yoy]</t>
      </text>
    </comment>
    <comment ref="V35" authorId="0" shapeId="0">
      <text>
        <t>추정: 직전 결산 DPS 3,950원 유지
[yoy]</t>
      </text>
    </comment>
    <comment ref="AA35" authorId="0" shapeId="0">
      <text>
        <t>추정: 직전 결산 DPS 3,950원 유지
[yoy]</t>
      </text>
    </comment>
    <comment ref="I36" authorId="0" shapeId="0">
      <text>
        <t>실측(계정 매핑 없음 — 모델값 직접) — 토스 일봉 분기 평균 ÷ TTM EPS</t>
      </text>
    </comment>
    <comment ref="J36" authorId="0" shapeId="0">
      <text>
        <t>실측(계정 매핑 없음 — 모델값 직접) — 토스 일봉 분기 평균 ÷ TTM EPS</t>
      </text>
    </comment>
    <comment ref="K36" authorId="0" shapeId="0">
      <text>
        <t>실측(계정 매핑 없음 — 모델값 직접) — 토스 일봉 분기 평균 ÷ TTM EPS</t>
      </text>
    </comment>
    <comment ref="L36" authorId="0" shapeId="0">
      <text>
        <t>실측(계정 매핑 없음 — 모델값 직접) — 토스 일봉 분기 평균 ÷ TTM EPS</t>
      </text>
    </comment>
    <comment ref="N36" authorId="0" shapeId="0">
      <text>
        <t>실측(계정 매핑 없음 — 모델값 직접) — 토스 일봉 분기 평균 ÷ TTM EPS</t>
      </text>
    </comment>
    <comment ref="O36" authorId="0" shapeId="0">
      <text>
        <t>실측(계정 매핑 없음 — 모델값 직접) — 토스 일봉 분기 평균 ÷ TTM EPS</t>
      </text>
    </comment>
    <comment ref="P36" authorId="0" shapeId="0">
      <text>
        <t>추정: 현재 종가 ÷ TTM EPS(추정 포함)
[yoy]</t>
      </text>
    </comment>
    <comment ref="Q36" authorId="0" shapeId="0">
      <text>
        <t>추정: 현재 종가 ÷ TTM EPS(추정 포함)
[yoy]</t>
      </text>
    </comment>
    <comment ref="S36" authorId="0" shapeId="0">
      <text>
        <t>추정: 현재 종가 ÷ TTM EPS(추정 포함)
[yoy]</t>
      </text>
    </comment>
    <comment ref="T36" authorId="0" shapeId="0">
      <text>
        <t>추정: 현재 종가 ÷ TTM EPS(추정 포함)
[yoy]</t>
      </text>
    </comment>
    <comment ref="U36" authorId="0" shapeId="0">
      <text>
        <t>추정: 현재 종가 ÷ TTM EPS(추정 포함)
[yoy]</t>
      </text>
    </comment>
    <comment ref="V36" authorId="0" shapeId="0">
      <text>
        <t>추정: 현재 종가 ÷ TTM EPS(추정 포함)
[yoy]</t>
      </text>
    </comment>
    <comment ref="X36" authorId="0" shapeId="0">
      <text>
        <t>추정: 현재 종가 ÷ TTM EPS(추정 포함)
[yoy]</t>
      </text>
    </comment>
    <comment ref="Y36" authorId="0" shapeId="0">
      <text>
        <t>추정: 현재 종가 ÷ TTM EPS(추정 포함)
[yoy]</t>
      </text>
    </comment>
    <comment ref="Z36" authorId="0" shapeId="0">
      <text>
        <t>추정: 현재 종가 ÷ TTM EPS(추정 포함)
[yoy]</t>
      </text>
    </comment>
    <comment ref="AA36" authorId="0" shapeId="0">
      <text>
        <t>추정: 현재 종가 ÷ TTM EPS(추정 포함)
[yoy]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실측(계정 매핑 없음 — 모델값 직접) — 토스 일봉 분기 평균 ÷ BPS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연간(actual) — 분기 미완 연도, 모델 a 값 직접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K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P37" authorId="0" shapeId="0">
      <text>
        <t>추정: 현재 종가 ÷ BPS(추정 포함)
[yoy]</t>
      </text>
    </comment>
    <comment ref="Q37" authorId="0" shapeId="0">
      <text>
        <t>추정: 현재 종가 ÷ BPS(추정 포함)
[yoy]</t>
      </text>
    </comment>
    <comment ref="S37" authorId="0" shapeId="0">
      <text>
        <t>추정: 현재 종가 ÷ BPS(추정 포함)
[yoy]</t>
      </text>
    </comment>
    <comment ref="T37" authorId="0" shapeId="0">
      <text>
        <t>추정: 현재 종가 ÷ BPS(추정 포함)
[yoy]</t>
      </text>
    </comment>
    <comment ref="U37" authorId="0" shapeId="0">
      <text>
        <t>추정: 현재 종가 ÷ BPS(추정 포함)
[yoy]</t>
      </text>
    </comment>
    <comment ref="V37" authorId="0" shapeId="0">
      <text>
        <t>추정: 현재 종가 ÷ BPS(추정 포함)
[yoy]</t>
      </text>
    </comment>
    <comment ref="X37" authorId="0" shapeId="0">
      <text>
        <t>추정: 현재 종가 ÷ BPS(추정 포함)
[yoy]</t>
      </text>
    </comment>
    <comment ref="Y37" authorId="0" shapeId="0">
      <text>
        <t>추정: 현재 종가 ÷ BPS(추정 포함)
[yoy]</t>
      </text>
    </comment>
    <comment ref="Z37" authorId="0" shapeId="0">
      <text>
        <t>추정: 현재 종가 ÷ BPS(추정 포함)
[yoy]</t>
      </text>
    </comment>
    <comment ref="AA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F38" authorId="0" shapeId="0">
      <text>
        <t>실측(계정 매핑 없음 — 모델값 직접) — = 매출액(부문 미분리)</t>
      </text>
    </comment>
    <comment ref="G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실측(계정 매핑 없음 — 모델값 직접) — = 매출액(부문 미분리)</t>
      </text>
    </comment>
    <comment ref="K38" authorId="0" shapeId="0">
      <text>
        <t>실측(계정 매핑 없음 — 모델값 직접) — = 매출액(부문 미분리)</t>
      </text>
    </comment>
    <comment ref="L38" authorId="0" shapeId="0">
      <text>
        <t>실측(계정 매핑 없음 — 모델값 직접) — = 매출액(부문 미분리)</t>
      </text>
    </comment>
    <comment ref="N38" authorId="0" shapeId="0">
      <text>
        <t>실측(계정 매핑 없음 — 모델값 직접) — = 매출액(부문 미분리)</t>
      </text>
    </comment>
    <comment ref="O38" authorId="0" shapeId="0">
      <text>
        <t>실측(계정 매핑 없음 — 모델값 직접) — = 매출액(부문 미분리)</t>
      </text>
    </comment>
    <comment ref="P38" authorId="0" shapeId="0">
      <text>
        <t>추정: = 매출액 추정(부문 미분리)
[ratio]</t>
      </text>
    </comment>
    <comment ref="Q38" authorId="0" shapeId="0">
      <text>
        <t>추정: = 매출액 추정(부문 미분리)
[ratio]</t>
      </text>
    </comment>
    <comment ref="S38" authorId="0" shapeId="0">
      <text>
        <t>추정: = 매출액 추정(부문 미분리)
[ratio]</t>
      </text>
    </comment>
    <comment ref="T38" authorId="0" shapeId="0">
      <text>
        <t>추정: = 매출액 추정(부문 미분리)
[ratio]</t>
      </text>
    </comment>
    <comment ref="U38" authorId="0" shapeId="0">
      <text>
        <t>추정: = 매출액 추정(부문 미분리)
[ratio]</t>
      </text>
    </comment>
    <comment ref="V38" authorId="0" shapeId="0">
      <text>
        <t>추정: = 매출액 추정(부문 미분리)
[ratio]</t>
      </text>
    </comment>
    <comment ref="X38" authorId="0" shapeId="0">
      <text>
        <t>추정: = 매출액 추정(부문 미분리)
[ratio]</t>
      </text>
    </comment>
    <comment ref="Y38" authorId="0" shapeId="0">
      <text>
        <t>추정: = 매출액 추정(부문 미분리)
[ratio]</t>
      </text>
    </comment>
    <comment ref="Z38" authorId="0" shapeId="0">
      <text>
        <t>추정: = 매출액 추정(부문 미분리)
[ratio]</t>
      </text>
    </comment>
    <comment ref="AA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F39" authorId="0" shapeId="0">
      <text>
        <t>실측(계정 매핑 없음 — 모델값 직접) — = 영업이익(부문 미분리)</t>
      </text>
    </comment>
    <comment ref="G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실측(계정 매핑 없음 — 모델값 직접) — = 영업이익(부문 미분리)</t>
      </text>
    </comment>
    <comment ref="K39" authorId="0" shapeId="0">
      <text>
        <t>실측(계정 매핑 없음 — 모델값 직접) — = 영업이익(부문 미분리)</t>
      </text>
    </comment>
    <comment ref="L39" authorId="0" shapeId="0">
      <text>
        <t>실측(계정 매핑 없음 — 모델값 직접) — = 영업이익(부문 미분리)</t>
      </text>
    </comment>
    <comment ref="N39" authorId="0" shapeId="0">
      <text>
        <t>실측(계정 매핑 없음 — 모델값 직접) — = 영업이익(부문 미분리)</t>
      </text>
    </comment>
    <comment ref="O39" authorId="0" shapeId="0">
      <text>
        <t>실측(계정 매핑 없음 — 모델값 직접) — = 영업이익(부문 미분리)</t>
      </text>
    </comment>
    <comment ref="P39" authorId="0" shapeId="0">
      <text>
        <t>추정: = 매출액 × OPM(부문 미분리)
[ratio]</t>
      </text>
    </comment>
    <comment ref="Q39" authorId="0" shapeId="0">
      <text>
        <t>추정: = 매출액 × OPM(부문 미분리)
[ratio]</t>
      </text>
    </comment>
    <comment ref="S39" authorId="0" shapeId="0">
      <text>
        <t>추정: = 매출액 × OPM(부문 미분리)
[ratio]</t>
      </text>
    </comment>
    <comment ref="T39" authorId="0" shapeId="0">
      <text>
        <t>추정: = 매출액 × OPM(부문 미분리)
[ratio]</t>
      </text>
    </comment>
    <comment ref="U39" authorId="0" shapeId="0">
      <text>
        <t>추정: = 매출액 × OPM(부문 미분리)
[ratio]</t>
      </text>
    </comment>
    <comment ref="V39" authorId="0" shapeId="0">
      <text>
        <t>추정: = 매출액 × OPM(부문 미분리)
[ratio]</t>
      </text>
    </comment>
    <comment ref="X39" authorId="0" shapeId="0">
      <text>
        <t>추정: = 매출액 × OPM(부문 미분리)
[ratio]</t>
      </text>
    </comment>
    <comment ref="Y39" authorId="0" shapeId="0">
      <text>
        <t>추정: = 매출액 × OPM(부문 미분리)
[ratio]</t>
      </text>
    </comment>
    <comment ref="Z39" authorId="0" shapeId="0">
      <text>
        <t>추정: = 매출액 × OPM(부문 미분리)
[ratio]</t>
      </text>
    </comment>
    <comment ref="AA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assets/models/443060.json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5.9, "op_wape_pct": 3.8,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5296.46, "rev_act": 5131.76, "op_pred": 905.36, "op_act": 935.96}, {"q": "2025Q4", "rev_pred": 5280.52, "rev_act": 5162.05, "op_pred": 902.64, "op_act": 905.28}, {"q": "2026Q1", "rev_pred": 5280.52, "rev_act": 5746.09, "op_pred": 902.64, "op_act": 933.94}, {"q": "2026Q2", "rev_pred": 5261.17, "rev_act": 5804.14, "op_pred": 899.33,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1355.4</v>
      </c>
      <c r="R6" s="17" t="n">
        <v>1461.31</v>
      </c>
      <c r="S6" s="16" t="n">
        <v>1355.4</v>
      </c>
      <c r="T6" s="16" t="n">
        <v>1355.4</v>
      </c>
      <c r="U6" s="16" t="n">
        <v>1355.4</v>
      </c>
      <c r="V6" s="16" t="n">
        <v>1355.4</v>
      </c>
      <c r="W6" s="11" t="n"/>
      <c r="X6" s="16" t="n">
        <v>1355.4</v>
      </c>
      <c r="Y6" s="16" t="n">
        <v>1355.4</v>
      </c>
      <c r="Z6" s="16" t="n">
        <v>1355.4</v>
      </c>
      <c r="AA6" s="16" t="n">
        <v>1355.4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1355.4</v>
      </c>
      <c r="R7" s="17" t="n">
        <v>1355.4</v>
      </c>
      <c r="S7" s="16" t="n">
        <v>1355.4</v>
      </c>
      <c r="T7" s="16" t="n">
        <v>1355.4</v>
      </c>
      <c r="U7" s="16" t="n">
        <v>1355.4</v>
      </c>
      <c r="V7" s="16" t="n">
        <v>1355.4</v>
      </c>
      <c r="W7" s="11" t="n"/>
      <c r="X7" s="16" t="n">
        <v>1355.4</v>
      </c>
      <c r="Y7" s="16" t="n">
        <v>1355.4</v>
      </c>
      <c r="Z7" s="16" t="n">
        <v>1355.4</v>
      </c>
      <c r="AA7" s="16" t="n">
        <v>1355.4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863.3099999999999</v>
      </c>
      <c r="R8" s="17" t="n">
        <v>921.71</v>
      </c>
      <c r="S8" s="16" t="n">
        <v>863.3099999999999</v>
      </c>
      <c r="T8" s="16" t="n">
        <v>863.3099999999999</v>
      </c>
      <c r="U8" s="16" t="n">
        <v>863.3099999999999</v>
      </c>
      <c r="V8" s="16" t="n">
        <v>863.3099999999999</v>
      </c>
      <c r="W8" s="11" t="n"/>
      <c r="X8" s="16" t="n">
        <v>863.3099999999999</v>
      </c>
      <c r="Y8" s="16" t="n">
        <v>863.3099999999999</v>
      </c>
      <c r="Z8" s="16" t="n">
        <v>863.3099999999999</v>
      </c>
      <c r="AA8" s="16" t="n">
        <v>863.3099999999999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863.3099999999999</v>
      </c>
      <c r="R9" s="17" t="n">
        <v>863.3099999999999</v>
      </c>
      <c r="S9" s="16" t="n">
        <v>863.3099999999999</v>
      </c>
      <c r="T9" s="16" t="n">
        <v>863.3099999999999</v>
      </c>
      <c r="U9" s="16" t="n">
        <v>863.3099999999999</v>
      </c>
      <c r="V9" s="16" t="n">
        <v>863.3099999999999</v>
      </c>
      <c r="W9" s="11" t="n"/>
      <c r="X9" s="16" t="n">
        <v>863.3099999999999</v>
      </c>
      <c r="Y9" s="16" t="n">
        <v>863.3099999999999</v>
      </c>
      <c r="Z9" s="16" t="n">
        <v>863.3099999999999</v>
      </c>
      <c r="AA9" s="16" t="n">
        <v>863.3099999999999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1539.06</v>
      </c>
      <c r="R10" s="17" t="n">
        <v>1696.56</v>
      </c>
      <c r="S10" s="16" t="n">
        <v>1539.06</v>
      </c>
      <c r="T10" s="16" t="n">
        <v>1539.06</v>
      </c>
      <c r="U10" s="16" t="n">
        <v>1539.06</v>
      </c>
      <c r="V10" s="16" t="n">
        <v>1539.06</v>
      </c>
      <c r="W10" s="11" t="n"/>
      <c r="X10" s="16" t="n">
        <v>1539.06</v>
      </c>
      <c r="Y10" s="16" t="n">
        <v>1539.06</v>
      </c>
      <c r="Z10" s="16" t="n">
        <v>1539.06</v>
      </c>
      <c r="AA10" s="16" t="n">
        <v>1539.06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1539.06</v>
      </c>
      <c r="R11" s="17" t="n">
        <v>1539.06</v>
      </c>
      <c r="S11" s="16" t="n">
        <v>1539.06</v>
      </c>
      <c r="T11" s="16" t="n">
        <v>1539.06</v>
      </c>
      <c r="U11" s="16" t="n">
        <v>1539.06</v>
      </c>
      <c r="V11" s="16" t="n">
        <v>1539.06</v>
      </c>
      <c r="W11" s="11" t="n"/>
      <c r="X11" s="16" t="n">
        <v>1539.06</v>
      </c>
      <c r="Y11" s="16" t="n">
        <v>1539.06</v>
      </c>
      <c r="Z11" s="16" t="n">
        <v>1539.06</v>
      </c>
      <c r="AA11" s="16" t="n">
        <v>1539.06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202.16</v>
      </c>
      <c r="R12" s="17" t="n">
        <v>214.23</v>
      </c>
      <c r="S12" s="16" t="n">
        <v>202.16</v>
      </c>
      <c r="T12" s="16" t="n">
        <v>202.16</v>
      </c>
      <c r="U12" s="16" t="n">
        <v>202.16</v>
      </c>
      <c r="V12" s="16" t="n">
        <v>202.16</v>
      </c>
      <c r="W12" s="11" t="n"/>
      <c r="X12" s="16" t="n">
        <v>202.16</v>
      </c>
      <c r="Y12" s="16" t="n">
        <v>202.16</v>
      </c>
      <c r="Z12" s="16" t="n">
        <v>202.16</v>
      </c>
      <c r="AA12" s="16" t="n">
        <v>202.16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202.16</v>
      </c>
      <c r="R13" s="17" t="n">
        <v>202.16</v>
      </c>
      <c r="S13" s="16" t="n">
        <v>202.16</v>
      </c>
      <c r="T13" s="16" t="n">
        <v>202.16</v>
      </c>
      <c r="U13" s="16" t="n">
        <v>202.16</v>
      </c>
      <c r="V13" s="16" t="n">
        <v>202.16</v>
      </c>
      <c r="W13" s="11" t="n"/>
      <c r="X13" s="16" t="n">
        <v>202.16</v>
      </c>
      <c r="Y13" s="16" t="n">
        <v>202.16</v>
      </c>
      <c r="Z13" s="16" t="n">
        <v>202.16</v>
      </c>
      <c r="AA13" s="16" t="n">
        <v>202.16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133900</v>
      </c>
      <c r="J15" s="18" t="n">
        <v>206000</v>
      </c>
      <c r="K15" s="18" t="n">
        <v>209000</v>
      </c>
      <c r="L15" s="18" t="n">
        <v>193000</v>
      </c>
      <c r="M15" s="9" t="n"/>
      <c r="N15" s="18" t="n">
        <v>178600</v>
      </c>
      <c r="O15" s="19" t="n">
        <v>223500</v>
      </c>
      <c r="P15" s="20" t="n">
        <v>237500</v>
      </c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260000</v>
      </c>
      <c r="M16" s="9" t="n"/>
      <c r="N16" s="18" t="n">
        <v>202000</v>
      </c>
      <c r="O16" s="19" t="n">
        <v>290500</v>
      </c>
      <c r="P16" s="20" t="n">
        <v>256500</v>
      </c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172900</v>
      </c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154943.1</v>
      </c>
      <c r="J18" s="18" t="n">
        <v>171970</v>
      </c>
      <c r="K18" s="18" t="n">
        <v>199470.8</v>
      </c>
      <c r="L18" s="18" t="n">
        <v>213669.5</v>
      </c>
      <c r="M18" s="9" t="n"/>
      <c r="N18" s="18" t="n">
        <v>180593.2</v>
      </c>
      <c r="O18" s="19" t="n">
        <v>223159</v>
      </c>
      <c r="P18" s="20" t="n">
        <v>209317.7</v>
      </c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0.163766</v>
      </c>
      <c r="Q21" s="24" t="n">
        <v>0.203223</v>
      </c>
      <c r="R21" s="25" t="n"/>
      <c r="S21" s="24" t="n">
        <v>0.059619</v>
      </c>
      <c r="T21" s="24" t="n">
        <v>0.044823</v>
      </c>
      <c r="U21" s="24" t="n">
        <v>0.159711</v>
      </c>
      <c r="V21" s="24" t="n">
        <v>0.18262</v>
      </c>
      <c r="W21" s="25" t="n"/>
      <c r="X21" s="24" t="n">
        <v>0.204042</v>
      </c>
      <c r="Y21" s="24" t="n">
        <v>0.23608</v>
      </c>
      <c r="Z21" s="24" t="n">
        <v>0.255659</v>
      </c>
      <c r="AA21" s="24" t="n">
        <v>0.248263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4" t="n">
        <v>0.051772</v>
      </c>
      <c r="Q22" s="24" t="n">
        <v>0.051772</v>
      </c>
      <c r="R22" s="25">
        <f>IFERROR(subQ!R8/subQ!R5,"")</f>
        <v/>
      </c>
      <c r="S22" s="24" t="n">
        <v>0.051772</v>
      </c>
      <c r="T22" s="24" t="n">
        <v>0.051772</v>
      </c>
      <c r="U22" s="24" t="n">
        <v>0.051772</v>
      </c>
      <c r="V22" s="24" t="n">
        <v>0.051771</v>
      </c>
      <c r="W22" s="25">
        <f>IFERROR(subQ!W8/subQ!W5,"")</f>
        <v/>
      </c>
      <c r="X22" s="24" t="n">
        <v>0.051772</v>
      </c>
      <c r="Y22" s="24" t="n">
        <v>0.051772</v>
      </c>
      <c r="Z22" s="24" t="n">
        <v>0.051771</v>
      </c>
      <c r="AA22" s="24" t="n">
        <v>0.051771</v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</v>
      </c>
      <c r="Q23" s="24" t="n">
        <v>0.173155</v>
      </c>
      <c r="R23" s="25">
        <f>IFERROR(subQ!R9/subQ!R5,"")</f>
        <v/>
      </c>
      <c r="S23" s="24" t="n">
        <v>0.173155</v>
      </c>
      <c r="T23" s="24" t="n">
        <v>0.173154</v>
      </c>
      <c r="U23" s="24" t="n">
        <v>0.173155</v>
      </c>
      <c r="V23" s="24" t="n">
        <v>0.173155</v>
      </c>
      <c r="W23" s="25">
        <f>IFERROR(subQ!W9/subQ!W5,"")</f>
        <v/>
      </c>
      <c r="X23" s="24" t="n">
        <v>0.173155</v>
      </c>
      <c r="Y23" s="24" t="n">
        <v>0.173155</v>
      </c>
      <c r="Z23" s="24" t="n">
        <v>0.173155</v>
      </c>
      <c r="AA23" s="24" t="n">
        <v>0.173155</v>
      </c>
      <c r="AB23" s="25">
        <f>IFERROR(subQ!AB9/subQ!AB5,"")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1">
        <f>IFERROR(subQ!J41/subQ!E41-1,"")</f>
        <v/>
      </c>
      <c r="K24" s="21">
        <f>IFERROR(subQ!K41/subQ!F41-1,"")</f>
        <v/>
      </c>
      <c r="L24" s="21">
        <f>IFERROR(subQ!L41/subQ!G41-1,"")</f>
        <v/>
      </c>
      <c r="M24" s="22" t="n"/>
      <c r="N24" s="21">
        <f>IFERROR(subQ!N41/subQ!I41-1,"")</f>
        <v/>
      </c>
      <c r="O24" s="23">
        <f>IFERROR(subQ!O41/subQ!J41-1,"")</f>
        <v/>
      </c>
      <c r="P24" s="24" t="n">
        <v>-0.050439</v>
      </c>
      <c r="Q24" s="24" t="n">
        <v>-0.012543</v>
      </c>
      <c r="R24" s="25" t="n"/>
      <c r="S24" s="24" t="n">
        <v>0.065846</v>
      </c>
      <c r="T24" s="24" t="n">
        <v>0.029727</v>
      </c>
      <c r="U24" s="24" t="n">
        <v>0</v>
      </c>
      <c r="V24" s="24" t="n">
        <v>0</v>
      </c>
      <c r="W24" s="25" t="n"/>
      <c r="X24" s="24" t="n">
        <v>0</v>
      </c>
      <c r="Y24" s="24" t="n">
        <v>0</v>
      </c>
      <c r="Z24" s="24" t="n">
        <v>0</v>
      </c>
      <c r="AA24" s="24" t="n">
        <v>0</v>
      </c>
      <c r="AB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6">
        <f>subQ!J11</f>
        <v/>
      </c>
      <c r="K25" s="26">
        <f>subQ!K11</f>
        <v/>
      </c>
      <c r="L25" s="26">
        <f>subQ!L11</f>
        <v/>
      </c>
      <c r="M25" s="27">
        <f>subQ!M11</f>
        <v/>
      </c>
      <c r="N25" s="26">
        <f>subQ!N11</f>
        <v/>
      </c>
      <c r="O25" s="28">
        <f>subQ!O11</f>
        <v/>
      </c>
      <c r="P25" s="29" t="n">
        <v>39.55</v>
      </c>
      <c r="Q25" s="29" t="n">
        <v>45.5</v>
      </c>
      <c r="R25" s="30">
        <f>subQ!R11</f>
        <v/>
      </c>
      <c r="S25" s="29" t="n">
        <v>51.72</v>
      </c>
      <c r="T25" s="29" t="n">
        <v>57.85</v>
      </c>
      <c r="U25" s="29" t="n">
        <v>51.23</v>
      </c>
      <c r="V25" s="29" t="n">
        <v>58.17</v>
      </c>
      <c r="W25" s="30">
        <f>subQ!W11</f>
        <v/>
      </c>
      <c r="X25" s="29" t="n">
        <v>65.54000000000001</v>
      </c>
      <c r="Y25" s="29" t="n">
        <v>72.95</v>
      </c>
      <c r="Z25" s="29" t="n">
        <v>67.79000000000001</v>
      </c>
      <c r="AA25" s="29" t="n">
        <v>76.52</v>
      </c>
      <c r="AB25" s="30">
        <f>subQ!AB11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6">
        <f>subQ!J12</f>
        <v/>
      </c>
      <c r="K26" s="26">
        <f>subQ!K12</f>
        <v/>
      </c>
      <c r="L26" s="26">
        <f>subQ!L12</f>
        <v/>
      </c>
      <c r="M26" s="27">
        <f>subQ!M12</f>
        <v/>
      </c>
      <c r="N26" s="26">
        <f>subQ!N12</f>
        <v/>
      </c>
      <c r="O26" s="28">
        <f>subQ!O12</f>
        <v/>
      </c>
      <c r="P26" s="29" t="n">
        <v>39.55</v>
      </c>
      <c r="Q26" s="29" t="n">
        <v>45.5</v>
      </c>
      <c r="R26" s="30">
        <f>subQ!R12</f>
        <v/>
      </c>
      <c r="S26" s="29" t="n">
        <v>51.72</v>
      </c>
      <c r="T26" s="29" t="n">
        <v>57.85</v>
      </c>
      <c r="U26" s="29" t="n">
        <v>51.23</v>
      </c>
      <c r="V26" s="29" t="n">
        <v>58.17</v>
      </c>
      <c r="W26" s="30">
        <f>subQ!W12</f>
        <v/>
      </c>
      <c r="X26" s="29" t="n">
        <v>65.54000000000001</v>
      </c>
      <c r="Y26" s="29" t="n">
        <v>72.95</v>
      </c>
      <c r="Z26" s="29" t="n">
        <v>67.79000000000001</v>
      </c>
      <c r="AA26" s="29" t="n">
        <v>76.52</v>
      </c>
      <c r="AB26" s="30">
        <f>subQ!AB12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1" t="n"/>
      <c r="G27" s="21" t="n"/>
      <c r="H27" s="22" t="n"/>
      <c r="I27" s="21" t="n"/>
      <c r="J27" s="21">
        <f>IFERROR(subQ!J13/subQ!E13-1,"")</f>
        <v/>
      </c>
      <c r="K27" s="21">
        <f>IFERROR(subQ!K13/subQ!F13-1,"")</f>
        <v/>
      </c>
      <c r="L27" s="21">
        <f>IFERROR(subQ!L13/subQ!G13-1,"")</f>
        <v/>
      </c>
      <c r="M27" s="22" t="n"/>
      <c r="N27" s="21">
        <f>IFERROR(subQ!N13/subQ!I13-1,"")</f>
        <v/>
      </c>
      <c r="O27" s="23">
        <f>IFERROR(subQ!O13/subQ!J13-1,"")</f>
        <v/>
      </c>
      <c r="P27" s="24" t="n">
        <v>-1</v>
      </c>
      <c r="Q27" s="24" t="n">
        <v>-1</v>
      </c>
      <c r="R27" s="25" t="n"/>
      <c r="S27" s="24" t="n">
        <v>-1</v>
      </c>
      <c r="T27" s="24" t="n">
        <v>-1</v>
      </c>
      <c r="U27" s="31" t="n"/>
      <c r="V27" s="31" t="n"/>
      <c r="W27" s="25" t="n"/>
      <c r="X27" s="31" t="n"/>
      <c r="Y27" s="31" t="n"/>
      <c r="Z27" s="31" t="n"/>
      <c r="AA27" s="31" t="n"/>
      <c r="AB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6">
        <f>subQ!F14</f>
        <v/>
      </c>
      <c r="G28" s="26">
        <f>subQ!G14</f>
        <v/>
      </c>
      <c r="H28" s="27">
        <f>subQ!H14</f>
        <v/>
      </c>
      <c r="I28" s="26">
        <f>subQ!I14</f>
        <v/>
      </c>
      <c r="J28" s="26">
        <f>subQ!J14</f>
        <v/>
      </c>
      <c r="K28" s="26">
        <f>subQ!K14</f>
        <v/>
      </c>
      <c r="L28" s="26">
        <f>subQ!L14</f>
        <v/>
      </c>
      <c r="M28" s="27">
        <f>subQ!M14</f>
        <v/>
      </c>
      <c r="N28" s="26">
        <f>subQ!N14</f>
        <v/>
      </c>
      <c r="O28" s="28">
        <f>subQ!O14</f>
        <v/>
      </c>
      <c r="P28" s="29" t="n">
        <v>0</v>
      </c>
      <c r="Q28" s="29" t="n">
        <v>0</v>
      </c>
      <c r="R28" s="30">
        <f>subQ!R14</f>
        <v/>
      </c>
      <c r="S28" s="29" t="n">
        <v>0</v>
      </c>
      <c r="T28" s="29" t="n">
        <v>0</v>
      </c>
      <c r="U28" s="29" t="n">
        <v>0</v>
      </c>
      <c r="V28" s="29" t="n">
        <v>0</v>
      </c>
      <c r="W28" s="30">
        <f>subQ!W14</f>
        <v/>
      </c>
      <c r="X28" s="29" t="n">
        <v>0</v>
      </c>
      <c r="Y28" s="29" t="n">
        <v>0</v>
      </c>
      <c r="Z28" s="29" t="n">
        <v>0</v>
      </c>
      <c r="AA28" s="29" t="n">
        <v>0</v>
      </c>
      <c r="AB28" s="30">
        <f>subQ!AB14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1" t="n"/>
      <c r="G29" s="21" t="n"/>
      <c r="H29" s="22" t="n"/>
      <c r="I29" s="21" t="n"/>
      <c r="J29" s="21">
        <f>IFERROR(subQ!J15/subQ!E15-1,"")</f>
        <v/>
      </c>
      <c r="K29" s="21">
        <f>IFERROR(subQ!K15/subQ!F15-1,"")</f>
        <v/>
      </c>
      <c r="L29" s="21">
        <f>IFERROR(subQ!L15/subQ!G15-1,"")</f>
        <v/>
      </c>
      <c r="M29" s="22" t="n"/>
      <c r="N29" s="21">
        <f>IFERROR(subQ!N15/subQ!I15-1,"")</f>
        <v/>
      </c>
      <c r="O29" s="23">
        <f>IFERROR(subQ!O15/subQ!J15-1,"")</f>
        <v/>
      </c>
      <c r="P29" s="31" t="n"/>
      <c r="Q29" s="24" t="n">
        <v>-1</v>
      </c>
      <c r="R29" s="25" t="n"/>
      <c r="S29" s="31" t="n"/>
      <c r="T29" s="31" t="n"/>
      <c r="U29" s="31" t="n"/>
      <c r="V29" s="31" t="n"/>
      <c r="W29" s="25" t="n"/>
      <c r="X29" s="31" t="n"/>
      <c r="Y29" s="31" t="n"/>
      <c r="Z29" s="31" t="n"/>
      <c r="AA29" s="31" t="n"/>
      <c r="AB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6">
        <f>subQ!F16</f>
        <v/>
      </c>
      <c r="G30" s="26">
        <f>subQ!G16</f>
        <v/>
      </c>
      <c r="H30" s="27">
        <f>subQ!H16</f>
        <v/>
      </c>
      <c r="I30" s="26">
        <f>subQ!I16</f>
        <v/>
      </c>
      <c r="J30" s="26">
        <f>subQ!J16</f>
        <v/>
      </c>
      <c r="K30" s="26">
        <f>subQ!K16</f>
        <v/>
      </c>
      <c r="L30" s="26">
        <f>subQ!L16</f>
        <v/>
      </c>
      <c r="M30" s="27">
        <f>subQ!M16</f>
        <v/>
      </c>
      <c r="N30" s="26">
        <f>subQ!N16</f>
        <v/>
      </c>
      <c r="O30" s="28">
        <f>subQ!O16</f>
        <v/>
      </c>
      <c r="P30" s="29" t="n">
        <v>0</v>
      </c>
      <c r="Q30" s="29" t="n">
        <v>0</v>
      </c>
      <c r="R30" s="30">
        <f>subQ!R16</f>
        <v/>
      </c>
      <c r="S30" s="29" t="n">
        <v>0</v>
      </c>
      <c r="T30" s="29" t="n">
        <v>0</v>
      </c>
      <c r="U30" s="29" t="n">
        <v>0</v>
      </c>
      <c r="V30" s="29" t="n">
        <v>0</v>
      </c>
      <c r="W30" s="30">
        <f>subQ!W16</f>
        <v/>
      </c>
      <c r="X30" s="29" t="n">
        <v>0</v>
      </c>
      <c r="Y30" s="29" t="n">
        <v>0</v>
      </c>
      <c r="Z30" s="29" t="n">
        <v>0</v>
      </c>
      <c r="AA30" s="29" t="n">
        <v>0</v>
      </c>
      <c r="AB30" s="30">
        <f>subQ!AB16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6">
        <f>subQ!F17</f>
        <v/>
      </c>
      <c r="G31" s="26">
        <f>subQ!G17</f>
        <v/>
      </c>
      <c r="H31" s="27">
        <f>subQ!H17</f>
        <v/>
      </c>
      <c r="I31" s="26">
        <f>subQ!I17</f>
        <v/>
      </c>
      <c r="J31" s="26">
        <f>subQ!J17</f>
        <v/>
      </c>
      <c r="K31" s="26">
        <f>subQ!K17</f>
        <v/>
      </c>
      <c r="L31" s="26">
        <f>subQ!L17</f>
        <v/>
      </c>
      <c r="M31" s="27">
        <f>subQ!M17</f>
        <v/>
      </c>
      <c r="N31" s="26">
        <f>subQ!N17</f>
        <v/>
      </c>
      <c r="O31" s="28">
        <f>subQ!O17</f>
        <v/>
      </c>
      <c r="P31" s="29" t="n">
        <v>-0.52</v>
      </c>
      <c r="Q31" s="29" t="n">
        <v>-0.52</v>
      </c>
      <c r="R31" s="30">
        <f>subQ!R17</f>
        <v/>
      </c>
      <c r="S31" s="29" t="n">
        <v>-0.52</v>
      </c>
      <c r="T31" s="29" t="n">
        <v>-0.52</v>
      </c>
      <c r="U31" s="29" t="n">
        <v>-0.52</v>
      </c>
      <c r="V31" s="29" t="n">
        <v>-0.52</v>
      </c>
      <c r="W31" s="30">
        <f>subQ!W17</f>
        <v/>
      </c>
      <c r="X31" s="29" t="n">
        <v>-0.52</v>
      </c>
      <c r="Y31" s="29" t="n">
        <v>-0.52</v>
      </c>
      <c r="Z31" s="29" t="n">
        <v>-0.52</v>
      </c>
      <c r="AA31" s="29" t="n">
        <v>-0.52</v>
      </c>
      <c r="AB31" s="30">
        <f>subQ!AB17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1">
        <f>IFERROR(subQ!F19/subQ!F18,"")</f>
        <v/>
      </c>
      <c r="G32" s="21">
        <f>IFERROR(subQ!G19/subQ!G18,"")</f>
        <v/>
      </c>
      <c r="H32" s="22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1">
        <f>IFERROR(subQ!K19/subQ!K18,"")</f>
        <v/>
      </c>
      <c r="L32" s="21">
        <f>IFERROR(subQ!L19/subQ!L18,"")</f>
        <v/>
      </c>
      <c r="M32" s="22">
        <f>IFERROR(subQ!M19/subQ!M18,"")</f>
        <v/>
      </c>
      <c r="N32" s="21">
        <f>IFERROR(subQ!N19/subQ!N18,"")</f>
        <v/>
      </c>
      <c r="O32" s="23">
        <f>IFERROR(subQ!O19/subQ!O18,"")</f>
        <v/>
      </c>
      <c r="P32" s="24" t="n">
        <v>0.229998</v>
      </c>
      <c r="Q32" s="24" t="n">
        <v>0.230004</v>
      </c>
      <c r="R32" s="25">
        <f>IFERROR(subQ!R19/subQ!R18,"")</f>
        <v/>
      </c>
      <c r="S32" s="24" t="n">
        <v>0.23</v>
      </c>
      <c r="T32" s="24" t="n">
        <v>0.23</v>
      </c>
      <c r="U32" s="24" t="n">
        <v>0.230004</v>
      </c>
      <c r="V32" s="24" t="n">
        <v>0.229997</v>
      </c>
      <c r="W32" s="25">
        <f>IFERROR(subQ!W19/subQ!W18,"")</f>
        <v/>
      </c>
      <c r="X32" s="24" t="n">
        <v>0.230003</v>
      </c>
      <c r="Y32" s="24" t="n">
        <v>0.23</v>
      </c>
      <c r="Z32" s="24" t="n">
        <v>0.230003</v>
      </c>
      <c r="AA32" s="24" t="n">
        <v>0.23</v>
      </c>
      <c r="AB32" s="25">
        <f>IFERROR(subQ!AB19/subQ!AB18,"")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1">
        <f>IFERROR(subQ!F21/subQ!F20,"")</f>
        <v/>
      </c>
      <c r="G33" s="21">
        <f>IFERROR(subQ!G21/subQ!G20,"")</f>
        <v/>
      </c>
      <c r="H33" s="22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1">
        <f>IFERROR(subQ!K21/subQ!K20,"")</f>
        <v/>
      </c>
      <c r="L33" s="21">
        <f>IFERROR(subQ!L21/subQ!L20,"")</f>
        <v/>
      </c>
      <c r="M33" s="22">
        <f>IFERROR(subQ!M21/subQ!M20,"")</f>
        <v/>
      </c>
      <c r="N33" s="21">
        <f>IFERROR(subQ!N21/subQ!N20,"")</f>
        <v/>
      </c>
      <c r="O33" s="23">
        <f>IFERROR(subQ!O21/subQ!O20,"")</f>
        <v/>
      </c>
      <c r="P33" s="24" t="n">
        <v>1</v>
      </c>
      <c r="Q33" s="24" t="n">
        <v>1</v>
      </c>
      <c r="R33" s="25">
        <f>IFERROR(subQ!R21/subQ!R20,"")</f>
        <v/>
      </c>
      <c r="S33" s="24" t="n">
        <v>1</v>
      </c>
      <c r="T33" s="24" t="n">
        <v>1</v>
      </c>
      <c r="U33" s="24" t="n">
        <v>1</v>
      </c>
      <c r="V33" s="24" t="n">
        <v>1</v>
      </c>
      <c r="W33" s="25">
        <f>IFERROR(subQ!W21/subQ!W20,"")</f>
        <v/>
      </c>
      <c r="X33" s="24" t="n">
        <v>1</v>
      </c>
      <c r="Y33" s="24" t="n">
        <v>1</v>
      </c>
      <c r="Z33" s="24" t="n">
        <v>1</v>
      </c>
      <c r="AA33" s="24" t="n">
        <v>1</v>
      </c>
      <c r="AB33" s="25">
        <f>IFERROR(subQ!AB21/subQ!AB20,"")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1">
        <f>IFERROR(subQ!J23/subQ!I23-1,"")</f>
        <v/>
      </c>
      <c r="K34" s="21">
        <f>IFERROR(subQ!K23/subQ!J23-1,"")</f>
        <v/>
      </c>
      <c r="L34" s="21">
        <f>IFERROR(subQ!L23/subQ!K23-1,"")</f>
        <v/>
      </c>
      <c r="M34" s="22" t="n"/>
      <c r="N34" s="21">
        <f>IFERROR(subQ!N23/subQ!L23-1,"")</f>
        <v/>
      </c>
      <c r="O34" s="23">
        <f>IFERROR(subQ!O23/subQ!N23-1,"")</f>
        <v/>
      </c>
      <c r="P34" s="24" t="n">
        <v>-0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  <c r="X34" s="24" t="n">
        <v>0</v>
      </c>
      <c r="Y34" s="24" t="n">
        <v>0</v>
      </c>
      <c r="Z34" s="24" t="n">
        <v>0</v>
      </c>
      <c r="AA34" s="24" t="n">
        <v>0</v>
      </c>
      <c r="AB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6">
        <f>IFERROR(subQ!E24+subQ!F20-subQ!F24,"")</f>
        <v/>
      </c>
      <c r="G35" s="26">
        <f>IFERROR(subQ!F24+subQ!G20-subQ!G24,"")</f>
        <v/>
      </c>
      <c r="H35" s="27" t="n"/>
      <c r="I35" s="26">
        <f>IFERROR(subQ!G24+subQ!I20-subQ!I24,"")</f>
        <v/>
      </c>
      <c r="J35" s="26">
        <f>IFERROR(subQ!I24+subQ!J20-subQ!J24,"")</f>
        <v/>
      </c>
      <c r="K35" s="26">
        <f>IFERROR(subQ!J24+subQ!K20-subQ!K24,"")</f>
        <v/>
      </c>
      <c r="L35" s="26">
        <f>IFERROR(subQ!K24+subQ!L20-subQ!L24,"")</f>
        <v/>
      </c>
      <c r="M35" s="27" t="n"/>
      <c r="N35" s="26">
        <f>IFERROR(subQ!L24+subQ!N20-subQ!N24,"")</f>
        <v/>
      </c>
      <c r="O35" s="28">
        <f>IFERROR(subQ!N24+subQ!O20-subQ!O24,"")</f>
        <v/>
      </c>
      <c r="P35" s="29" t="n">
        <v>0.0064</v>
      </c>
      <c r="Q35" s="29" t="n">
        <v>0</v>
      </c>
      <c r="R35" s="30" t="n"/>
      <c r="S35" s="29" t="n">
        <v>0</v>
      </c>
      <c r="T35" s="29" t="n">
        <v>1770.92</v>
      </c>
      <c r="U35" s="29" t="n">
        <v>0.01</v>
      </c>
      <c r="V35" s="29" t="n">
        <v>-0.01</v>
      </c>
      <c r="W35" s="30" t="n"/>
      <c r="X35" s="29" t="n">
        <v>0</v>
      </c>
      <c r="Y35" s="29" t="n">
        <v>1770.92</v>
      </c>
      <c r="Z35" s="29" t="n">
        <v>0</v>
      </c>
      <c r="AA35" s="29" t="n">
        <v>0</v>
      </c>
      <c r="AB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6">
        <f>IFERROR(subQ!E25+subQ!F21-subQ!F25,"")</f>
        <v/>
      </c>
      <c r="G36" s="26">
        <f>IFERROR(subQ!F25+subQ!G21-subQ!G25,"")</f>
        <v/>
      </c>
      <c r="H36" s="27" t="n"/>
      <c r="I36" s="26">
        <f>IFERROR(subQ!G25+subQ!I21-subQ!I25,"")</f>
        <v/>
      </c>
      <c r="J36" s="26">
        <f>IFERROR(subQ!I25+subQ!J21-subQ!J25,"")</f>
        <v/>
      </c>
      <c r="K36" s="26">
        <f>IFERROR(subQ!J25+subQ!K21-subQ!K25,"")</f>
        <v/>
      </c>
      <c r="L36" s="26">
        <f>IFERROR(subQ!K25+subQ!L21-subQ!L25,"")</f>
        <v/>
      </c>
      <c r="M36" s="27" t="n"/>
      <c r="N36" s="26">
        <f>IFERROR(subQ!L25+subQ!N21-subQ!N25,"")</f>
        <v/>
      </c>
      <c r="O36" s="28">
        <f>IFERROR(subQ!N25+subQ!O21-subQ!O25,"")</f>
        <v/>
      </c>
      <c r="P36" s="29" t="n">
        <v>0.0064</v>
      </c>
      <c r="Q36" s="29" t="n">
        <v>0</v>
      </c>
      <c r="R36" s="30" t="n"/>
      <c r="S36" s="29" t="n">
        <v>0</v>
      </c>
      <c r="T36" s="29" t="n">
        <v>1770.92</v>
      </c>
      <c r="U36" s="29" t="n">
        <v>0.01</v>
      </c>
      <c r="V36" s="29" t="n">
        <v>-0.01</v>
      </c>
      <c r="W36" s="30" t="n"/>
      <c r="X36" s="29" t="n">
        <v>0</v>
      </c>
      <c r="Y36" s="29" t="n">
        <v>1770.92</v>
      </c>
      <c r="Z36" s="29" t="n">
        <v>0</v>
      </c>
      <c r="AA36" s="29" t="n">
        <v>0</v>
      </c>
      <c r="AB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1">
        <f>IFERROR(subQ!F26/subQ!E26-1,"")</f>
        <v/>
      </c>
      <c r="G37" s="21">
        <f>IFERROR(subQ!G26/subQ!F26-1,"")</f>
        <v/>
      </c>
      <c r="H37" s="22" t="n"/>
      <c r="I37" s="21">
        <f>IFERROR(subQ!I26/subQ!G26-1,"")</f>
        <v/>
      </c>
      <c r="J37" s="21">
        <f>IFERROR(subQ!J26/subQ!I26-1,"")</f>
        <v/>
      </c>
      <c r="K37" s="21">
        <f>IFERROR(subQ!K26/subQ!J26-1,"")</f>
        <v/>
      </c>
      <c r="L37" s="21">
        <f>IFERROR(subQ!L26/subQ!K26-1,"")</f>
        <v/>
      </c>
      <c r="M37" s="22" t="n"/>
      <c r="N37" s="21">
        <f>IFERROR(subQ!N26/subQ!L26-1,"")</f>
        <v/>
      </c>
      <c r="O37" s="23">
        <f>IFERROR(subQ!O26/subQ!N26-1,"")</f>
        <v/>
      </c>
      <c r="P37" s="31" t="n"/>
      <c r="Q37" s="31" t="n"/>
      <c r="R37" s="25" t="n"/>
      <c r="S37" s="31" t="n"/>
      <c r="T37" s="31" t="n"/>
      <c r="U37" s="31" t="n"/>
      <c r="V37" s="31" t="n"/>
      <c r="W37" s="25" t="n"/>
      <c r="X37" s="31" t="n"/>
      <c r="Y37" s="31" t="n"/>
      <c r="Z37" s="31" t="n"/>
      <c r="AA37" s="31" t="n"/>
      <c r="AB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1">
        <f>IFERROR(subQ!F27/subQ!E27-1,"")</f>
        <v/>
      </c>
      <c r="G38" s="21">
        <f>IFERROR(subQ!G27/subQ!F27-1,"")</f>
        <v/>
      </c>
      <c r="H38" s="22" t="n"/>
      <c r="I38" s="21">
        <f>IFERROR(subQ!I27/subQ!G27-1,"")</f>
        <v/>
      </c>
      <c r="J38" s="21">
        <f>IFERROR(subQ!J27/subQ!I27-1,"")</f>
        <v/>
      </c>
      <c r="K38" s="21">
        <f>IFERROR(subQ!K27/subQ!J27-1,"")</f>
        <v/>
      </c>
      <c r="L38" s="21">
        <f>IFERROR(subQ!L27/subQ!K27-1,"")</f>
        <v/>
      </c>
      <c r="M38" s="22" t="n"/>
      <c r="N38" s="21">
        <f>IFERROR(subQ!N27/subQ!L27-1,"")</f>
        <v/>
      </c>
      <c r="O38" s="23">
        <f>IFERROR(subQ!O27/subQ!N27-1,"")</f>
        <v/>
      </c>
      <c r="P38" s="31" t="n"/>
      <c r="Q38" s="31" t="n"/>
      <c r="R38" s="25" t="n"/>
      <c r="S38" s="31" t="n"/>
      <c r="T38" s="31" t="n"/>
      <c r="U38" s="31" t="n"/>
      <c r="V38" s="31" t="n"/>
      <c r="W38" s="25" t="n"/>
      <c r="X38" s="31" t="n"/>
      <c r="Y38" s="31" t="n"/>
      <c r="Z38" s="31" t="n"/>
      <c r="AA38" s="31" t="n"/>
      <c r="AB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1">
        <f>IFERROR(subQ!J28/subQ!I28-1,"")</f>
        <v/>
      </c>
      <c r="K39" s="21">
        <f>IFERROR(subQ!K28/subQ!J28-1,"")</f>
        <v/>
      </c>
      <c r="L39" s="21">
        <f>IFERROR(subQ!L28/subQ!K28-1,"")</f>
        <v/>
      </c>
      <c r="M39" s="22" t="n"/>
      <c r="N39" s="21">
        <f>IFERROR(subQ!N28/subQ!L28-1,"")</f>
        <v/>
      </c>
      <c r="O39" s="23">
        <f>IFERROR(subQ!O28/subQ!N28-1,"")</f>
        <v/>
      </c>
      <c r="P39" s="24" t="n">
        <v>0.150551</v>
      </c>
      <c r="Q39" s="24" t="n">
        <v>0.136622</v>
      </c>
      <c r="R39" s="25" t="n"/>
      <c r="S39" s="24" t="n">
        <v>0.118592</v>
      </c>
      <c r="T39" s="24" t="n">
        <v>-0.114365</v>
      </c>
      <c r="U39" s="24" t="n">
        <v>0.135357</v>
      </c>
      <c r="V39" s="24" t="n">
        <v>0.126809</v>
      </c>
      <c r="W39" s="25" t="n"/>
      <c r="X39" s="24" t="n">
        <v>0.11295</v>
      </c>
      <c r="Y39" s="24" t="n">
        <v>-0.07069300000000001</v>
      </c>
      <c r="Z39" s="24" t="n">
        <v>0.128745</v>
      </c>
      <c r="AA39" s="24" t="n">
        <v>0.120622</v>
      </c>
      <c r="AB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1">
        <f>IFERROR(subQ!F29/subQ!E29-1,"")</f>
        <v/>
      </c>
      <c r="G40" s="21">
        <f>IFERROR(subQ!G29/subQ!F29-1,"")</f>
        <v/>
      </c>
      <c r="H40" s="22" t="n"/>
      <c r="I40" s="21">
        <f>IFERROR(subQ!I29/subQ!G29-1,"")</f>
        <v/>
      </c>
      <c r="J40" s="21">
        <f>IFERROR(subQ!J29/subQ!I29-1,"")</f>
        <v/>
      </c>
      <c r="K40" s="21">
        <f>IFERROR(subQ!K29/subQ!J29-1,"")</f>
        <v/>
      </c>
      <c r="L40" s="21">
        <f>IFERROR(subQ!L29/subQ!K29-1,"")</f>
        <v/>
      </c>
      <c r="M40" s="22" t="n"/>
      <c r="N40" s="21">
        <f>IFERROR(subQ!N29/subQ!L29-1,"")</f>
        <v/>
      </c>
      <c r="O40" s="23">
        <f>IFERROR(subQ!O29/subQ!N29-1,"")</f>
        <v/>
      </c>
      <c r="P40" s="31" t="n"/>
      <c r="Q40" s="31" t="n"/>
      <c r="R40" s="25" t="n"/>
      <c r="S40" s="31" t="n"/>
      <c r="T40" s="31" t="n"/>
      <c r="U40" s="31" t="n"/>
      <c r="V40" s="31" t="n"/>
      <c r="W40" s="25" t="n"/>
      <c r="X40" s="31" t="n"/>
      <c r="Y40" s="31" t="n"/>
      <c r="Z40" s="31" t="n"/>
      <c r="AA40" s="31" t="n"/>
      <c r="AB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1" t="n"/>
      <c r="G41" s="21" t="n"/>
      <c r="H41" s="22" t="n"/>
      <c r="I41" s="21" t="n"/>
      <c r="J41" s="21">
        <f>IFERROR(subQ!J30/subQ!E30-1,"")</f>
        <v/>
      </c>
      <c r="K41" s="21">
        <f>IFERROR(subQ!K30/subQ!F30-1,"")</f>
        <v/>
      </c>
      <c r="L41" s="21">
        <f>IFERROR(subQ!L30/subQ!G30-1,"")</f>
        <v/>
      </c>
      <c r="M41" s="22" t="n"/>
      <c r="N41" s="21">
        <f>IFERROR(subQ!N30/subQ!I30-1,"")</f>
        <v/>
      </c>
      <c r="O41" s="23">
        <f>IFERROR(subQ!O30/subQ!J30-1,"")</f>
        <v/>
      </c>
      <c r="P41" s="31" t="n"/>
      <c r="Q41" s="31" t="n"/>
      <c r="R41" s="25" t="n"/>
      <c r="S41" s="31" t="n"/>
      <c r="T41" s="31" t="n"/>
      <c r="U41" s="31" t="n"/>
      <c r="V41" s="31" t="n"/>
      <c r="W41" s="25" t="n"/>
      <c r="X41" s="31" t="n"/>
      <c r="Y41" s="31" t="n"/>
      <c r="Z41" s="31" t="n"/>
      <c r="AA41" s="31" t="n"/>
      <c r="AB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1" t="n"/>
      <c r="G42" s="21" t="n"/>
      <c r="H42" s="22" t="n"/>
      <c r="I42" s="21" t="n"/>
      <c r="J42" s="21">
        <f>IFERROR(subQ!J31/subQ!E31-1,"")</f>
        <v/>
      </c>
      <c r="K42" s="21">
        <f>IFERROR(subQ!K31/subQ!F31-1,"")</f>
        <v/>
      </c>
      <c r="L42" s="21">
        <f>IFERROR(subQ!L31/subQ!G31-1,"")</f>
        <v/>
      </c>
      <c r="M42" s="22" t="n"/>
      <c r="N42" s="21">
        <f>IFERROR(subQ!N31/subQ!I31-1,"")</f>
        <v/>
      </c>
      <c r="O42" s="23">
        <f>IFERROR(subQ!O31/subQ!J31-1,"")</f>
        <v/>
      </c>
      <c r="P42" s="31" t="n"/>
      <c r="Q42" s="31" t="n"/>
      <c r="R42" s="25" t="n"/>
      <c r="S42" s="31" t="n"/>
      <c r="T42" s="31" t="n"/>
      <c r="U42" s="31" t="n"/>
      <c r="V42" s="31" t="n"/>
      <c r="W42" s="25" t="n"/>
      <c r="X42" s="31" t="n"/>
      <c r="Y42" s="31" t="n"/>
      <c r="Z42" s="31" t="n"/>
      <c r="AA42" s="31" t="n"/>
      <c r="AB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1">
        <f>IFERROR(subQ!F32/subQ!E32-1,"")</f>
        <v/>
      </c>
      <c r="G43" s="21">
        <f>IFERROR(subQ!G32/subQ!F32-1,"")</f>
        <v/>
      </c>
      <c r="H43" s="22" t="n"/>
      <c r="I43" s="21">
        <f>IFERROR(subQ!I32/subQ!G32-1,"")</f>
        <v/>
      </c>
      <c r="J43" s="21">
        <f>IFERROR(subQ!J32/subQ!I32-1,"")</f>
        <v/>
      </c>
      <c r="K43" s="21">
        <f>IFERROR(subQ!K32/subQ!J32-1,"")</f>
        <v/>
      </c>
      <c r="L43" s="21">
        <f>IFERROR(subQ!L32/subQ!K32-1,"")</f>
        <v/>
      </c>
      <c r="M43" s="22" t="n"/>
      <c r="N43" s="21">
        <f>IFERROR(subQ!N32/subQ!L32-1,"")</f>
        <v/>
      </c>
      <c r="O43" s="23">
        <f>IFERROR(subQ!O32/subQ!N32-1,"")</f>
        <v/>
      </c>
      <c r="P43" s="24" t="n">
        <v>0</v>
      </c>
      <c r="Q43" s="24" t="n">
        <v>0</v>
      </c>
      <c r="R43" s="25" t="n"/>
      <c r="S43" s="24" t="n">
        <v>0</v>
      </c>
      <c r="T43" s="24" t="n">
        <v>0</v>
      </c>
      <c r="U43" s="24" t="n">
        <v>0</v>
      </c>
      <c r="V43" s="24" t="n">
        <v>0</v>
      </c>
      <c r="W43" s="25" t="n"/>
      <c r="X43" s="24" t="n">
        <v>0</v>
      </c>
      <c r="Y43" s="24" t="n">
        <v>0</v>
      </c>
      <c r="Z43" s="24" t="n">
        <v>0</v>
      </c>
      <c r="AA43" s="24" t="n">
        <v>0</v>
      </c>
      <c r="AB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1" t="n"/>
      <c r="G44" s="21" t="n"/>
      <c r="H44" s="22" t="n"/>
      <c r="I44" s="21" t="n"/>
      <c r="J44" s="21">
        <f>IFERROR(subQ!J35/subQ!E35-1,"")</f>
        <v/>
      </c>
      <c r="K44" s="21">
        <f>IFERROR(subQ!K35/subQ!F35-1,"")</f>
        <v/>
      </c>
      <c r="L44" s="21">
        <f>IFERROR(subQ!L35/subQ!G35-1,"")</f>
        <v/>
      </c>
      <c r="M44" s="22" t="n"/>
      <c r="N44" s="21">
        <f>IFERROR(subQ!N35/subQ!I35-1,"")</f>
        <v/>
      </c>
      <c r="O44" s="23">
        <f>IFERROR(subQ!O35/subQ!J35-1,"")</f>
        <v/>
      </c>
      <c r="P44" s="31" t="n"/>
      <c r="Q44" s="24" t="n">
        <v>0</v>
      </c>
      <c r="R44" s="25" t="n"/>
      <c r="S44" s="31" t="n"/>
      <c r="T44" s="31" t="n"/>
      <c r="U44" s="31" t="n"/>
      <c r="V44" s="24" t="n">
        <v>0</v>
      </c>
      <c r="W44" s="25" t="n"/>
      <c r="X44" s="31" t="n"/>
      <c r="Y44" s="31" t="n"/>
      <c r="Z44" s="31" t="n"/>
      <c r="AA44" s="24" t="n">
        <v>0</v>
      </c>
      <c r="AB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1" t="n"/>
      <c r="G45" s="21" t="n"/>
      <c r="H45" s="22" t="n"/>
      <c r="I45" s="21" t="n"/>
      <c r="J45" s="21">
        <f>IFERROR(subQ!J36/subQ!E36-1,"")</f>
        <v/>
      </c>
      <c r="K45" s="21">
        <f>IFERROR(subQ!K36/subQ!F36-1,"")</f>
        <v/>
      </c>
      <c r="L45" s="21">
        <f>IFERROR(subQ!L36/subQ!G36-1,"")</f>
        <v/>
      </c>
      <c r="M45" s="22" t="n"/>
      <c r="N45" s="21">
        <f>IFERROR(subQ!N36/subQ!I36-1,"")</f>
        <v/>
      </c>
      <c r="O45" s="23">
        <f>IFERROR(subQ!O36/subQ!J36-1,"")</f>
        <v/>
      </c>
      <c r="P45" s="24" t="n">
        <v>-0.07009799999999999</v>
      </c>
      <c r="Q45" s="24" t="n">
        <v>-0.147481</v>
      </c>
      <c r="R45" s="25" t="n"/>
      <c r="S45" s="24" t="n">
        <v>0.182707</v>
      </c>
      <c r="T45" s="24" t="n">
        <v>0.044452</v>
      </c>
      <c r="U45" s="24" t="n">
        <v>-0.044529</v>
      </c>
      <c r="V45" s="24" t="n">
        <v>-0.051502</v>
      </c>
      <c r="W45" s="25" t="n"/>
      <c r="X45" s="24" t="n">
        <v>-0.128417</v>
      </c>
      <c r="Y45" s="24" t="n">
        <v>-0.16608</v>
      </c>
      <c r="Z45" s="24" t="n">
        <v>-0.182423</v>
      </c>
      <c r="AA45" s="24" t="n">
        <v>-0.193178</v>
      </c>
      <c r="AB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1" t="n"/>
      <c r="G46" s="21" t="n"/>
      <c r="H46" s="22" t="n"/>
      <c r="I46" s="21" t="n"/>
      <c r="J46" s="21">
        <f>IFERROR(subQ!J37/subQ!E37-1,"")</f>
        <v/>
      </c>
      <c r="K46" s="21">
        <f>IFERROR(subQ!K37/subQ!F37-1,"")</f>
        <v/>
      </c>
      <c r="L46" s="21">
        <f>IFERROR(subQ!L37/subQ!G37-1,"")</f>
        <v/>
      </c>
      <c r="M46" s="22" t="n"/>
      <c r="N46" s="21">
        <f>IFERROR(subQ!N37/subQ!I37-1,"")</f>
        <v/>
      </c>
      <c r="O46" s="23">
        <f>IFERROR(subQ!O37/subQ!J37-1,"")</f>
        <v/>
      </c>
      <c r="P46" s="24" t="n">
        <v>-0.050611</v>
      </c>
      <c r="Q46" s="24" t="n">
        <v>-0.139535</v>
      </c>
      <c r="R46" s="25" t="n"/>
      <c r="S46" s="24" t="n">
        <v>-0.032427</v>
      </c>
      <c r="T46" s="24" t="n">
        <v>-0.102587</v>
      </c>
      <c r="U46" s="24" t="n">
        <v>-0.152574</v>
      </c>
      <c r="V46" s="24" t="n">
        <v>-0.153153</v>
      </c>
      <c r="W46" s="25" t="n"/>
      <c r="X46" s="24" t="n">
        <v>-0.154595</v>
      </c>
      <c r="Y46" s="24" t="n">
        <v>-0.178926</v>
      </c>
      <c r="Z46" s="24" t="n">
        <v>-0.181128</v>
      </c>
      <c r="AA46" s="24" t="n">
        <v>-0.183215</v>
      </c>
      <c r="AB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1">
        <f>IFERROR(subQ!F38/subQ!F5,"")</f>
        <v/>
      </c>
      <c r="G47" s="21">
        <f>IFERROR(subQ!G38/subQ!G5,"")</f>
        <v/>
      </c>
      <c r="H47" s="22">
        <f>IFERROR(subQ!H38/subQ!H5,"")</f>
        <v/>
      </c>
      <c r="I47" s="21">
        <f>IFERROR(subQ!I38/subQ!I5,"")</f>
        <v/>
      </c>
      <c r="J47" s="21">
        <f>IFERROR(subQ!J38/subQ!J5,"")</f>
        <v/>
      </c>
      <c r="K47" s="21">
        <f>IFERROR(subQ!K38/subQ!K5,"")</f>
        <v/>
      </c>
      <c r="L47" s="21">
        <f>IFERROR(subQ!L38/subQ!L5,"")</f>
        <v/>
      </c>
      <c r="M47" s="22">
        <f>IFERROR(subQ!M38/subQ!M5,"")</f>
        <v/>
      </c>
      <c r="N47" s="21">
        <f>IFERROR(subQ!N38/subQ!N5,"")</f>
        <v/>
      </c>
      <c r="O47" s="23">
        <f>IFERROR(subQ!O38/subQ!O5,"")</f>
        <v/>
      </c>
      <c r="P47" s="24" t="n">
        <v>1</v>
      </c>
      <c r="Q47" s="24" t="n">
        <v>1</v>
      </c>
      <c r="R47" s="25">
        <f>IFERROR(subQ!R38/subQ!R5,"")</f>
        <v/>
      </c>
      <c r="S47" s="24" t="n">
        <v>1</v>
      </c>
      <c r="T47" s="24" t="n">
        <v>1</v>
      </c>
      <c r="U47" s="24" t="n">
        <v>1</v>
      </c>
      <c r="V47" s="24" t="n">
        <v>1</v>
      </c>
      <c r="W47" s="25">
        <f>IFERROR(subQ!W38/subQ!W5,"")</f>
        <v/>
      </c>
      <c r="X47" s="24" t="n">
        <v>1</v>
      </c>
      <c r="Y47" s="24" t="n">
        <v>1</v>
      </c>
      <c r="Z47" s="24" t="n">
        <v>1</v>
      </c>
      <c r="AA47" s="24" t="n">
        <v>1</v>
      </c>
      <c r="AB47" s="25">
        <f>IFERROR(subQ!AB38/subQ!AB5,"")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1">
        <f>IFERROR(subQ!F39/subQ!F38,"")</f>
        <v/>
      </c>
      <c r="G48" s="21">
        <f>IFERROR(subQ!G39/subQ!G38,"")</f>
        <v/>
      </c>
      <c r="H48" s="22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1">
        <f>IFERROR(subQ!K39/subQ!K38,"")</f>
        <v/>
      </c>
      <c r="L48" s="21">
        <f>IFERROR(subQ!L39/subQ!L38,"")</f>
        <v/>
      </c>
      <c r="M48" s="22">
        <f>IFERROR(subQ!M39/subQ!M38,"")</f>
        <v/>
      </c>
      <c r="N48" s="21">
        <f>IFERROR(subQ!N39/subQ!N38,"")</f>
        <v/>
      </c>
      <c r="O48" s="23">
        <f>IFERROR(subQ!O39/subQ!O38,"")</f>
        <v/>
      </c>
      <c r="P48" s="24" t="n">
        <v>0.173155</v>
      </c>
      <c r="Q48" s="24" t="n">
        <v>0.173155</v>
      </c>
      <c r="R48" s="25">
        <f>IFERROR(subQ!R39/subQ!R38,"")</f>
        <v/>
      </c>
      <c r="S48" s="24" t="n">
        <v>0.173155</v>
      </c>
      <c r="T48" s="24" t="n">
        <v>0.173154</v>
      </c>
      <c r="U48" s="24" t="n">
        <v>0.173155</v>
      </c>
      <c r="V48" s="24" t="n">
        <v>0.173155</v>
      </c>
      <c r="W48" s="25">
        <f>IFERROR(subQ!W39/subQ!W38,"")</f>
        <v/>
      </c>
      <c r="X48" s="24" t="n">
        <v>0.173155</v>
      </c>
      <c r="Y48" s="24" t="n">
        <v>0.173155</v>
      </c>
      <c r="Z48" s="24" t="n">
        <v>0.173155</v>
      </c>
      <c r="AA48" s="24" t="n">
        <v>0.173155</v>
      </c>
      <c r="AB48" s="25">
        <f>IFERROR(subQ!AB39/subQ!AB38,"")</f>
        <v/>
      </c>
    </row>
    <row r="49"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B50" s="1" t="inlineStr">
        <is>
          <t>3. 밸류에이션·스칼라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236500</v>
      </c>
      <c r="E51" s="2" t="inlineStr">
        <is>
          <t>원 — aikstockdata(금융위 T+1)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10</v>
      </c>
      <c r="E54" s="2" t="inlineStr">
        <is>
          <t>PER 밴드 하단(배) — sector_default(레퍼런스 TP_PE PB 예시 10/15/20배; 과거 PER 중위 30.8배가 캡 5~30 밖 — 턴어라운드 초기 TTM EPS 왜곡)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15</v>
      </c>
      <c r="E55" s="2" t="inlineStr">
        <is>
          <t>PER 밴드 중단(배)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20</v>
      </c>
      <c r="E56" s="2" t="inlineStr">
        <is>
          <t>PER 밴드 상단(배)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0.23</v>
      </c>
      <c r="E58" s="2" t="inlineStr">
        <is>
          <t>법인세율 가정(참고 — 추정 수식은 드라이버 행 참조)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0.0518</v>
      </c>
      <c r="E59" s="2" t="inlineStr">
        <is>
          <t>판관비율 가정(참고)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0.6569</v>
      </c>
      <c r="E60" s="2" t="inlineStr">
        <is>
          <t>배당성향 가정(참고)</t>
        </is>
      </c>
      <c r="H60" s="9" t="n"/>
      <c r="M60" s="9" t="n"/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H61" s="9" t="n"/>
      <c r="M61" s="9" t="n"/>
      <c r="O61" s="5" t="n"/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4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4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4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4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4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4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4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4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4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4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4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4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4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4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4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4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4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4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4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4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4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4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4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4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4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4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4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4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4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4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4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4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4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4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4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4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4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4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4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4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4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4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4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4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4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4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4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4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4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4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4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4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4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4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4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4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4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4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4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4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4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4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4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4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4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4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4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4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4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4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4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4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4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4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4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4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4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4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4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4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4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4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4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4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4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4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4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4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4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4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4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4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4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4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4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4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4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4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4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4" t="n">
        <v>0</v>
      </c>
      <c r="J57" s="18" t="n">
        <v>2712.8</v>
      </c>
      <c r="L57" s="18" t="n">
        <v>0</v>
      </c>
      <c r="M57" s="34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4" t="n">
        <v>0</v>
      </c>
      <c r="J58" s="18" t="n">
        <v>2712.8</v>
      </c>
      <c r="L58" s="18" t="n">
        <v>0</v>
      </c>
      <c r="M58" s="34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4" t="n">
        <v>0</v>
      </c>
      <c r="J59" s="18" t="n">
        <v>2712.8</v>
      </c>
      <c r="L59" s="18" t="n">
        <v>0</v>
      </c>
      <c r="M59" s="34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4" t="n">
        <v>-481416.07</v>
      </c>
      <c r="J60" s="18" t="n">
        <v>-469358.55</v>
      </c>
      <c r="L60" s="18" t="n">
        <v>-564472.8100000001</v>
      </c>
      <c r="M60" s="34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4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4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4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4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4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4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4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4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4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4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4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4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4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4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4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4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4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4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4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4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4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4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4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4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4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4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4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4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4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4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4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4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4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4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4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4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4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4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4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4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4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4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4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4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4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4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4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4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4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4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4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4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4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4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4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4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4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4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4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4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4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4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4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4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4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4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4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4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4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4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4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4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4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4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4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4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4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4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4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4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4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4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4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4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4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4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4" t="n">
        <v>0</v>
      </c>
      <c r="L27" s="18" t="n">
        <v>0</v>
      </c>
      <c r="M27" s="34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4" t="n">
        <v>0</v>
      </c>
      <c r="L28" s="18" t="n">
        <v>0</v>
      </c>
      <c r="M28" s="34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4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4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4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4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4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4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4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4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4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4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4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4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4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4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4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4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4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4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4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4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4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4" t="n">
        <v>0</v>
      </c>
      <c r="L40" s="18" t="n">
        <v>0</v>
      </c>
      <c r="M40" s="34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4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4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4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4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4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4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4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4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4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4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4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4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4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4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4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4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4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4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4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4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4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4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4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4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4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4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4" t="n">
        <v>0</v>
      </c>
      <c r="L54" s="18" t="n">
        <v>0</v>
      </c>
      <c r="M54" s="34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4" t="n">
        <v>-455588.23</v>
      </c>
      <c r="L55" s="18" t="n">
        <v>-505672.22</v>
      </c>
      <c r="M55" s="34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4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4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4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4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4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4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4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4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4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4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4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4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4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4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4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4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4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4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4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4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4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4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4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4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4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4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4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4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4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4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4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4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4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4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5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4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4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5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4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4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5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4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4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5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4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4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5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0.1621</v>
      </c>
      <c r="F10" s="18" t="n">
        <v>0.1808</v>
      </c>
      <c r="G10" s="18" t="n">
        <v>0.1422</v>
      </c>
      <c r="H10" s="34" t="n"/>
      <c r="I10" s="18" t="n">
        <v>0.1709</v>
      </c>
      <c r="J10" s="18" t="n">
        <v>0.1775</v>
      </c>
      <c r="K10" s="18" t="n">
        <v>0.1824</v>
      </c>
      <c r="L10" s="18" t="n">
        <v>0.1754</v>
      </c>
      <c r="M10" s="34">
        <f>SUM(I10:L10)</f>
        <v/>
      </c>
      <c r="N10" s="18" t="n">
        <v>0.1625</v>
      </c>
      <c r="O10" s="19" t="n">
        <v>0.1682</v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  <c r="X10" s="20">
        <f>IFERROR(S10*(1+변수!X24),"")</f>
        <v/>
      </c>
      <c r="Y10" s="20">
        <f>IFERROR(T10*(1+변수!Y24),"")</f>
        <v/>
      </c>
      <c r="Z10" s="20">
        <f>IFERROR(U10*(1+변수!Z24),"")</f>
        <v/>
      </c>
      <c r="AA10" s="20">
        <f>IFERROR(V10*(1+변수!AA24),"")</f>
        <v/>
      </c>
      <c r="AB10" s="35">
        <f>SUM(X10:AA10)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4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4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  <c r="X11" s="20">
        <f>변수!X25</f>
        <v/>
      </c>
      <c r="Y11" s="20">
        <f>변수!Y25</f>
        <v/>
      </c>
      <c r="Z11" s="20">
        <f>변수!Z25</f>
        <v/>
      </c>
      <c r="AA11" s="20">
        <f>변수!AA25</f>
        <v/>
      </c>
      <c r="AB11" s="35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4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4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  <c r="X12" s="20">
        <f>변수!X26</f>
        <v/>
      </c>
      <c r="Y12" s="20">
        <f>변수!Y26</f>
        <v/>
      </c>
      <c r="Z12" s="20">
        <f>변수!Z26</f>
        <v/>
      </c>
      <c r="AA12" s="20">
        <f>변수!AA26</f>
        <v/>
      </c>
      <c r="AB12" s="35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>
        <v>52.47</v>
      </c>
      <c r="F13" s="18" t="n">
        <v>-88.48</v>
      </c>
      <c r="G13" s="18" t="n">
        <v>173.33</v>
      </c>
      <c r="H13" s="34" t="n"/>
      <c r="I13" s="18" t="n">
        <v>-18.03</v>
      </c>
      <c r="J13" s="18" t="n">
        <v>-170.71</v>
      </c>
      <c r="K13" s="18" t="n">
        <v>82.39</v>
      </c>
      <c r="L13" s="18" t="n">
        <v>37.31</v>
      </c>
      <c r="M13" s="34">
        <f>SUM(I13:L13)</f>
        <v/>
      </c>
      <c r="N13" s="18" t="n">
        <v>228.9</v>
      </c>
      <c r="O13" s="19" t="n">
        <v>89.03</v>
      </c>
      <c r="P13" s="20">
        <f>IFERROR(K13*(1+변수!P27),"")</f>
        <v/>
      </c>
      <c r="Q13" s="20">
        <f>IFERROR(L13*(1+변수!Q27),"")</f>
        <v/>
      </c>
      <c r="R13" s="35">
        <f>SUM(N13:Q13)</f>
        <v/>
      </c>
      <c r="S13" s="20">
        <f>IFERROR(N13*(1+변수!S27),"")</f>
        <v/>
      </c>
      <c r="T13" s="20">
        <f>IFERROR(O13*(1+변수!T27),"")</f>
        <v/>
      </c>
      <c r="U13" s="20" t="n">
        <v>0</v>
      </c>
      <c r="V13" s="20" t="n">
        <v>0</v>
      </c>
      <c r="W13" s="35">
        <f>SUM(S13:V13)</f>
        <v/>
      </c>
      <c r="X13" s="20" t="n">
        <v>0</v>
      </c>
      <c r="Y13" s="20" t="n">
        <v>0</v>
      </c>
      <c r="Z13" s="20" t="n">
        <v>0</v>
      </c>
      <c r="AA13" s="20" t="n">
        <v>0</v>
      </c>
      <c r="AB13" s="35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 t="n">
        <v>1.17</v>
      </c>
      <c r="G14" s="18" t="n"/>
      <c r="H14" s="34" t="n"/>
      <c r="I14" s="18" t="n"/>
      <c r="J14" s="18" t="n">
        <v>1.72</v>
      </c>
      <c r="K14" s="18" t="n">
        <v>-0.9399999999999999</v>
      </c>
      <c r="L14" s="18" t="n">
        <v>0.53</v>
      </c>
      <c r="M14" s="34">
        <f>SUM(I14:L14)</f>
        <v/>
      </c>
      <c r="N14" s="18" t="n">
        <v>-5.2</v>
      </c>
      <c r="O14" s="19" t="n">
        <v>-1.75</v>
      </c>
      <c r="P14" s="20">
        <f>변수!P28</f>
        <v/>
      </c>
      <c r="Q14" s="20">
        <f>변수!Q28</f>
        <v/>
      </c>
      <c r="R14" s="35">
        <f>SUM(N14:Q14)</f>
        <v/>
      </c>
      <c r="S14" s="20">
        <f>변수!S28</f>
        <v/>
      </c>
      <c r="T14" s="20">
        <f>변수!T28</f>
        <v/>
      </c>
      <c r="U14" s="20">
        <f>변수!U28</f>
        <v/>
      </c>
      <c r="V14" s="20">
        <f>변수!V28</f>
        <v/>
      </c>
      <c r="W14" s="35">
        <f>SUM(S14:V14)</f>
        <v/>
      </c>
      <c r="X14" s="20">
        <f>변수!X28</f>
        <v/>
      </c>
      <c r="Y14" s="20">
        <f>변수!Y28</f>
        <v/>
      </c>
      <c r="Z14" s="20">
        <f>변수!Z28</f>
        <v/>
      </c>
      <c r="AA14" s="20">
        <f>변수!AA28</f>
        <v/>
      </c>
      <c r="AB14" s="35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 t="n">
        <v>0</v>
      </c>
      <c r="G15" s="18" t="n"/>
      <c r="H15" s="34" t="n"/>
      <c r="I15" s="18" t="n"/>
      <c r="J15" s="18" t="n">
        <v>0</v>
      </c>
      <c r="K15" s="18" t="n">
        <v>0</v>
      </c>
      <c r="L15" s="18" t="n">
        <v>-0.01</v>
      </c>
      <c r="M15" s="34">
        <f>SUM(I15:L15)</f>
        <v/>
      </c>
      <c r="N15" s="18" t="n">
        <v>0</v>
      </c>
      <c r="O15" s="19" t="n">
        <v>0</v>
      </c>
      <c r="P15" s="20" t="n">
        <v>0</v>
      </c>
      <c r="Q15" s="20">
        <f>IFERROR(L15*(1+변수!Q29),"")</f>
        <v/>
      </c>
      <c r="R15" s="35">
        <f>SUM(N15:Q15)</f>
        <v/>
      </c>
      <c r="S15" s="20" t="n">
        <v>0</v>
      </c>
      <c r="T15" s="20" t="n">
        <v>0</v>
      </c>
      <c r="U15" s="20" t="n">
        <v>0</v>
      </c>
      <c r="V15" s="20" t="n">
        <v>0</v>
      </c>
      <c r="W15" s="35">
        <f>SUM(S15:V15)</f>
        <v/>
      </c>
      <c r="X15" s="20" t="n">
        <v>0</v>
      </c>
      <c r="Y15" s="20" t="n">
        <v>0</v>
      </c>
      <c r="Z15" s="20" t="n">
        <v>0</v>
      </c>
      <c r="AA15" s="20" t="n">
        <v>0</v>
      </c>
      <c r="AB15" s="35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4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4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변수!P30</f>
        <v/>
      </c>
      <c r="Q16" s="20">
        <f>변수!Q30</f>
        <v/>
      </c>
      <c r="R16" s="35">
        <f>SUM(N16:Q16)</f>
        <v/>
      </c>
      <c r="S16" s="20">
        <f>변수!S30</f>
        <v/>
      </c>
      <c r="T16" s="20">
        <f>변수!T30</f>
        <v/>
      </c>
      <c r="U16" s="20">
        <f>변수!U30</f>
        <v/>
      </c>
      <c r="V16" s="20">
        <f>변수!V30</f>
        <v/>
      </c>
      <c r="W16" s="35">
        <f>SUM(S16:V16)</f>
        <v/>
      </c>
      <c r="X16" s="20">
        <f>변수!X30</f>
        <v/>
      </c>
      <c r="Y16" s="20">
        <f>변수!Y30</f>
        <v/>
      </c>
      <c r="Z16" s="20">
        <f>변수!Z30</f>
        <v/>
      </c>
      <c r="AA16" s="20">
        <f>변수!AA30</f>
        <v/>
      </c>
      <c r="AB16" s="35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4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4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변수!P31</f>
        <v/>
      </c>
      <c r="Q17" s="20">
        <f>변수!Q31</f>
        <v/>
      </c>
      <c r="R17" s="35">
        <f>SUM(N17:Q17)</f>
        <v/>
      </c>
      <c r="S17" s="20">
        <f>변수!S31</f>
        <v/>
      </c>
      <c r="T17" s="20">
        <f>변수!T31</f>
        <v/>
      </c>
      <c r="U17" s="20">
        <f>변수!U31</f>
        <v/>
      </c>
      <c r="V17" s="20">
        <f>변수!V31</f>
        <v/>
      </c>
      <c r="W17" s="35">
        <f>SUM(S17:V17)</f>
        <v/>
      </c>
      <c r="X17" s="20">
        <f>변수!X31</f>
        <v/>
      </c>
      <c r="Y17" s="20">
        <f>변수!Y31</f>
        <v/>
      </c>
      <c r="Z17" s="20">
        <f>변수!Z31</f>
        <v/>
      </c>
      <c r="AA17" s="20">
        <f>변수!AA31</f>
        <v/>
      </c>
      <c r="AB17" s="35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4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4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5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5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5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4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4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IFERROR(P18*변수!P32,"")</f>
        <v/>
      </c>
      <c r="Q19" s="20">
        <f>IFERROR(Q18*변수!Q32,"")</f>
        <v/>
      </c>
      <c r="R19" s="35">
        <f>SUM(N19:Q19)</f>
        <v/>
      </c>
      <c r="S19" s="20">
        <f>IFERROR(S18*변수!S32,"")</f>
        <v/>
      </c>
      <c r="T19" s="20">
        <f>IFERROR(T18*변수!T32,"")</f>
        <v/>
      </c>
      <c r="U19" s="20">
        <f>IFERROR(U18*변수!U32,"")</f>
        <v/>
      </c>
      <c r="V19" s="20">
        <f>IFERROR(V18*변수!V32,"")</f>
        <v/>
      </c>
      <c r="W19" s="35">
        <f>SUM(S19:V19)</f>
        <v/>
      </c>
      <c r="X19" s="20">
        <f>IFERROR(X18*변수!X32,"")</f>
        <v/>
      </c>
      <c r="Y19" s="20">
        <f>IFERROR(Y18*변수!Y32,"")</f>
        <v/>
      </c>
      <c r="Z19" s="20">
        <f>IFERROR(Z18*변수!Z32,"")</f>
        <v/>
      </c>
      <c r="AA19" s="20">
        <f>IFERROR(AA18*변수!AA32,"")</f>
        <v/>
      </c>
      <c r="AB19" s="35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4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4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5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5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5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4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4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IFERROR(P20*변수!P33,"")</f>
        <v/>
      </c>
      <c r="Q21" s="20">
        <f>IFERROR(Q20*변수!Q33,"")</f>
        <v/>
      </c>
      <c r="R21" s="35">
        <f>SUM(N21:Q21)</f>
        <v/>
      </c>
      <c r="S21" s="20">
        <f>IFERROR(S20*변수!S33,"")</f>
        <v/>
      </c>
      <c r="T21" s="20">
        <f>IFERROR(T20*변수!T33,"")</f>
        <v/>
      </c>
      <c r="U21" s="20">
        <f>IFERROR(U20*변수!U33,"")</f>
        <v/>
      </c>
      <c r="V21" s="20">
        <f>IFERROR(V20*변수!V33,"")</f>
        <v/>
      </c>
      <c r="W21" s="35">
        <f>SUM(S21:V21)</f>
        <v/>
      </c>
      <c r="X21" s="20">
        <f>IFERROR(X20*변수!X33,"")</f>
        <v/>
      </c>
      <c r="Y21" s="20">
        <f>IFERROR(Y20*변수!Y33,"")</f>
        <v/>
      </c>
      <c r="Z21" s="20">
        <f>IFERROR(Z20*변수!Z33,"")</f>
        <v/>
      </c>
      <c r="AA21" s="20">
        <f>IFERROR(AA20*변수!AA33,"")</f>
        <v/>
      </c>
      <c r="AB21" s="35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4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4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5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5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5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4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4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IFERROR(O23*(1+변수!P34),"")</f>
        <v/>
      </c>
      <c r="Q23" s="20">
        <f>IFERROR(P23*(1+변수!Q34),"")</f>
        <v/>
      </c>
      <c r="R23" s="35">
        <f>Q23</f>
        <v/>
      </c>
      <c r="S23" s="20">
        <f>IFERROR(Q23*(1+변수!S34),"")</f>
        <v/>
      </c>
      <c r="T23" s="20">
        <f>IFERROR(S23*(1+변수!T34),"")</f>
        <v/>
      </c>
      <c r="U23" s="20">
        <f>IFERROR(T23*(1+변수!U34),"")</f>
        <v/>
      </c>
      <c r="V23" s="20">
        <f>IFERROR(U23*(1+변수!V34),"")</f>
        <v/>
      </c>
      <c r="W23" s="35">
        <f>V23</f>
        <v/>
      </c>
      <c r="X23" s="20">
        <f>IFERROR(V23*(1+변수!X34),"")</f>
        <v/>
      </c>
      <c r="Y23" s="20">
        <f>IFERROR(X23*(1+변수!Y34),"")</f>
        <v/>
      </c>
      <c r="Z23" s="20">
        <f>IFERROR(Y23*(1+변수!Z34),"")</f>
        <v/>
      </c>
      <c r="AA23" s="20">
        <f>IFERROR(Z23*(1+변수!AA34),"")</f>
        <v/>
      </c>
      <c r="AB23" s="35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4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4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IFERROR(O24+P20-변수!P35,"")</f>
        <v/>
      </c>
      <c r="Q24" s="20">
        <f>IFERROR(P24+Q20-변수!Q35,"")</f>
        <v/>
      </c>
      <c r="R24" s="35">
        <f>Q24</f>
        <v/>
      </c>
      <c r="S24" s="20">
        <f>IFERROR(Q24+S20-변수!S35,"")</f>
        <v/>
      </c>
      <c r="T24" s="20">
        <f>IFERROR(S24+T20-변수!T35,"")</f>
        <v/>
      </c>
      <c r="U24" s="20">
        <f>IFERROR(T24+U20-변수!U35,"")</f>
        <v/>
      </c>
      <c r="V24" s="20">
        <f>IFERROR(U24+V20-변수!V35,"")</f>
        <v/>
      </c>
      <c r="W24" s="35">
        <f>V24</f>
        <v/>
      </c>
      <c r="X24" s="20">
        <f>IFERROR(V24+X20-변수!X35,"")</f>
        <v/>
      </c>
      <c r="Y24" s="20">
        <f>IFERROR(X24+Y20-변수!Y35,"")</f>
        <v/>
      </c>
      <c r="Z24" s="20">
        <f>IFERROR(Y24+Z20-변수!Z35,"")</f>
        <v/>
      </c>
      <c r="AA24" s="20">
        <f>IFERROR(Z24+AA20-변수!AA35,"")</f>
        <v/>
      </c>
      <c r="AB24" s="35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4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4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IFERROR(O25+P21-변수!P36,"")</f>
        <v/>
      </c>
      <c r="Q25" s="20">
        <f>IFERROR(P25+Q21-변수!Q36,"")</f>
        <v/>
      </c>
      <c r="R25" s="35">
        <f>Q25</f>
        <v/>
      </c>
      <c r="S25" s="20">
        <f>IFERROR(Q25+S21-변수!S36,"")</f>
        <v/>
      </c>
      <c r="T25" s="20">
        <f>IFERROR(S25+T21-변수!T36,"")</f>
        <v/>
      </c>
      <c r="U25" s="20">
        <f>IFERROR(T25+U21-변수!U36,"")</f>
        <v/>
      </c>
      <c r="V25" s="20">
        <f>IFERROR(U25+V21-변수!V36,"")</f>
        <v/>
      </c>
      <c r="W25" s="35">
        <f>V25</f>
        <v/>
      </c>
      <c r="X25" s="20">
        <f>IFERROR(V25+X21-변수!X36,"")</f>
        <v/>
      </c>
      <c r="Y25" s="20">
        <f>IFERROR(X25+Y21-변수!Y36,"")</f>
        <v/>
      </c>
      <c r="Z25" s="20">
        <f>IFERROR(Y25+Z21-변수!Z36,"")</f>
        <v/>
      </c>
      <c r="AA25" s="20">
        <f>IFERROR(Z25+AA21-변수!AA36,"")</f>
        <v/>
      </c>
      <c r="AB25" s="35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4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4">
        <f>IFERROR(VLOOKUP($D26,BS연결,MATCH(M$1,BS연결H,0),0)/100,"")</f>
        <v/>
      </c>
      <c r="N26" s="18" t="n"/>
      <c r="O26" s="19" t="n"/>
      <c r="P26" s="20" t="n"/>
      <c r="Q26" s="20" t="n"/>
      <c r="R26" s="35">
        <f>Q26</f>
        <v/>
      </c>
      <c r="S26" s="20" t="n"/>
      <c r="T26" s="20" t="n"/>
      <c r="U26" s="20" t="n"/>
      <c r="V26" s="20" t="n"/>
      <c r="W26" s="35">
        <f>V26</f>
        <v/>
      </c>
      <c r="X26" s="20" t="n"/>
      <c r="Y26" s="20" t="n"/>
      <c r="Z26" s="20" t="n"/>
      <c r="AA26" s="20" t="n"/>
      <c r="AB26" s="35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4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4">
        <f>IFERROR(VLOOKUP($D27,BS연결,MATCH(M$1,BS연결H,0),0)/100,"")</f>
        <v/>
      </c>
      <c r="N27" s="18" t="n"/>
      <c r="O27" s="19" t="n"/>
      <c r="P27" s="20" t="n"/>
      <c r="Q27" s="20" t="n"/>
      <c r="R27" s="35">
        <f>Q27</f>
        <v/>
      </c>
      <c r="S27" s="20" t="n"/>
      <c r="T27" s="20" t="n"/>
      <c r="U27" s="20" t="n"/>
      <c r="V27" s="20" t="n"/>
      <c r="W27" s="35">
        <f>V27</f>
        <v/>
      </c>
      <c r="X27" s="20" t="n"/>
      <c r="Y27" s="20" t="n"/>
      <c r="Z27" s="20" t="n"/>
      <c r="AA27" s="20" t="n"/>
      <c r="AB27" s="35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4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4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IFERROR(O28*(1+변수!P39),"")</f>
        <v/>
      </c>
      <c r="Q28" s="20">
        <f>IFERROR(P28*(1+변수!Q39),"")</f>
        <v/>
      </c>
      <c r="R28" s="35">
        <f>Q28</f>
        <v/>
      </c>
      <c r="S28" s="20">
        <f>IFERROR(Q28*(1+변수!S39),"")</f>
        <v/>
      </c>
      <c r="T28" s="20">
        <f>IFERROR(S28*(1+변수!T39),"")</f>
        <v/>
      </c>
      <c r="U28" s="20">
        <f>IFERROR(T28*(1+변수!U39),"")</f>
        <v/>
      </c>
      <c r="V28" s="20">
        <f>IFERROR(U28*(1+변수!V39),"")</f>
        <v/>
      </c>
      <c r="W28" s="35">
        <f>V28</f>
        <v/>
      </c>
      <c r="X28" s="20">
        <f>IFERROR(V28*(1+변수!X39),"")</f>
        <v/>
      </c>
      <c r="Y28" s="20">
        <f>IFERROR(X28*(1+변수!Y39),"")</f>
        <v/>
      </c>
      <c r="Z28" s="20">
        <f>IFERROR(Y28*(1+변수!Z39),"")</f>
        <v/>
      </c>
      <c r="AA28" s="20">
        <f>IFERROR(Z28*(1+변수!AA39),"")</f>
        <v/>
      </c>
      <c r="AB28" s="35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4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4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5">
        <f>Q29</f>
        <v/>
      </c>
      <c r="S29" s="20" t="n"/>
      <c r="T29" s="20" t="n"/>
      <c r="U29" s="20" t="n"/>
      <c r="V29" s="20" t="n"/>
      <c r="W29" s="35">
        <f>V29</f>
        <v/>
      </c>
      <c r="X29" s="20" t="n"/>
      <c r="Y29" s="20" t="n"/>
      <c r="Z29" s="20" t="n"/>
      <c r="AA29" s="20" t="n"/>
      <c r="AB29" s="35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4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4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 t="n"/>
      <c r="Q30" s="20" t="n"/>
      <c r="R30" s="35">
        <f>SUM(N30:Q30)</f>
        <v/>
      </c>
      <c r="S30" s="20" t="n"/>
      <c r="T30" s="20" t="n"/>
      <c r="U30" s="20" t="n"/>
      <c r="V30" s="20" t="n"/>
      <c r="W30" s="35">
        <f>SUM(S30:V30)</f>
        <v/>
      </c>
      <c r="X30" s="20" t="n"/>
      <c r="Y30" s="20" t="n"/>
      <c r="Z30" s="20" t="n"/>
      <c r="AA30" s="20" t="n"/>
      <c r="AB30" s="35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489.76</v>
      </c>
      <c r="F31" s="18" t="n">
        <v>808.87</v>
      </c>
      <c r="G31" s="18" t="n">
        <v>373.23</v>
      </c>
      <c r="H31" s="34" t="n"/>
      <c r="I31" s="18" t="n">
        <v>981.77</v>
      </c>
      <c r="J31" s="18" t="n">
        <v>577.78</v>
      </c>
      <c r="K31" s="18" t="n">
        <v>832.14</v>
      </c>
      <c r="L31" s="18" t="n">
        <v>849.59</v>
      </c>
      <c r="M31" s="34">
        <f>SUM(I31:L31)</f>
        <v/>
      </c>
      <c r="N31" s="18" t="n">
        <v>453.24</v>
      </c>
      <c r="O31" s="19" t="n">
        <v>683.75</v>
      </c>
      <c r="P31" s="20" t="n"/>
      <c r="Q31" s="20" t="n"/>
      <c r="R31" s="35">
        <f>SUM(N31:Q31)</f>
        <v/>
      </c>
      <c r="S31" s="20" t="n"/>
      <c r="T31" s="20" t="n"/>
      <c r="U31" s="20" t="n"/>
      <c r="V31" s="20" t="n"/>
      <c r="W31" s="35">
        <f>SUM(S31:V31)</f>
        <v/>
      </c>
      <c r="X31" s="20" t="n"/>
      <c r="Y31" s="20" t="n"/>
      <c r="Z31" s="20" t="n"/>
      <c r="AA31" s="20" t="n"/>
      <c r="AB31" s="35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44.45</v>
      </c>
      <c r="F32" s="26" t="n">
        <v>44.45</v>
      </c>
      <c r="G32" s="26" t="n">
        <v>44.829</v>
      </c>
      <c r="H32" s="27">
        <f>G32</f>
        <v/>
      </c>
      <c r="I32" s="26" t="n">
        <v>44.829</v>
      </c>
      <c r="J32" s="26" t="n">
        <v>44.829</v>
      </c>
      <c r="K32" s="26" t="n">
        <v>44.829</v>
      </c>
      <c r="L32" s="26" t="n">
        <v>44.831</v>
      </c>
      <c r="M32" s="27">
        <f>L32</f>
        <v/>
      </c>
      <c r="N32" s="26" t="n">
        <v>44.831</v>
      </c>
      <c r="O32" s="28" t="n">
        <v>44.833</v>
      </c>
      <c r="P32" s="36">
        <f>IFERROR(O32*(1+변수!P43),"")</f>
        <v/>
      </c>
      <c r="Q32" s="36">
        <f>IFERROR(P32*(1+변수!Q43),"")</f>
        <v/>
      </c>
      <c r="R32" s="30">
        <f>Q32</f>
        <v/>
      </c>
      <c r="S32" s="36">
        <f>IFERROR(Q32*(1+변수!S43),"")</f>
        <v/>
      </c>
      <c r="T32" s="36">
        <f>IFERROR(S32*(1+변수!T43),"")</f>
        <v/>
      </c>
      <c r="U32" s="36">
        <f>IFERROR(T32*(1+변수!U43),"")</f>
        <v/>
      </c>
      <c r="V32" s="36">
        <f>IFERROR(U32*(1+변수!V43),"")</f>
        <v/>
      </c>
      <c r="W32" s="30">
        <f>V32</f>
        <v/>
      </c>
      <c r="X32" s="36">
        <f>IFERROR(V32*(1+변수!X43),"")</f>
        <v/>
      </c>
      <c r="Y32" s="36">
        <f>IFERROR(X32*(1+변수!Y43),"")</f>
        <v/>
      </c>
      <c r="Z32" s="36">
        <f>IFERROR(Y32*(1+변수!Z43),"")</f>
        <v/>
      </c>
      <c r="AA32" s="36">
        <f>IFERROR(Z32*(1+변수!AA43),"")</f>
        <v/>
      </c>
      <c r="AB32" s="30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4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4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5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5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5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4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4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5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5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5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4" t="n">
        <v>3150</v>
      </c>
      <c r="I35" s="18" t="n"/>
      <c r="J35" s="18" t="n"/>
      <c r="K35" s="18" t="n"/>
      <c r="L35" s="18" t="n">
        <v>3950</v>
      </c>
      <c r="M35" s="34">
        <f>SUM(I35:L35)</f>
        <v/>
      </c>
      <c r="N35" s="18" t="n"/>
      <c r="O35" s="19" t="n"/>
      <c r="P35" s="20" t="n"/>
      <c r="Q35" s="20">
        <f>IFERROR(L35*(1+변수!Q44),"")</f>
        <v/>
      </c>
      <c r="R35" s="35">
        <f>SUM(N35:Q35)</f>
        <v/>
      </c>
      <c r="S35" s="20" t="n"/>
      <c r="T35" s="20" t="n"/>
      <c r="U35" s="20" t="n"/>
      <c r="V35" s="20">
        <f>IFERROR(Q35*(1+변수!V44),"")</f>
        <v/>
      </c>
      <c r="W35" s="35">
        <f>SUM(S35:V35)</f>
        <v/>
      </c>
      <c r="X35" s="20" t="n"/>
      <c r="Y35" s="20" t="n"/>
      <c r="Z35" s="20" t="n"/>
      <c r="AA35" s="20">
        <f>IFERROR(V35*(1+변수!AA44),"")</f>
        <v/>
      </c>
      <c r="AB35" s="35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18" t="n"/>
      <c r="G36" s="18" t="n"/>
      <c r="H36" s="34" t="n"/>
      <c r="I36" s="18" t="n">
        <v>28.02</v>
      </c>
      <c r="J36" s="18" t="n">
        <v>31.63</v>
      </c>
      <c r="K36" s="18" t="n">
        <v>33.81</v>
      </c>
      <c r="L36" s="18" t="n">
        <v>35.53</v>
      </c>
      <c r="M36" s="34">
        <f>SUM(I36:L36)</f>
        <v/>
      </c>
      <c r="N36" s="18" t="n">
        <v>26.6</v>
      </c>
      <c r="O36" s="19" t="n">
        <v>29.92</v>
      </c>
      <c r="P36" s="20">
        <f>IFERROR(K36*(1+변수!P45),"")</f>
        <v/>
      </c>
      <c r="Q36" s="20">
        <f>IFERROR(L36*(1+변수!Q45),"")</f>
        <v/>
      </c>
      <c r="R36" s="35">
        <f>SUM(N36:Q36)</f>
        <v/>
      </c>
      <c r="S36" s="20">
        <f>IFERROR(N36*(1+변수!S45),"")</f>
        <v/>
      </c>
      <c r="T36" s="20">
        <f>IFERROR(O36*(1+변수!T45),"")</f>
        <v/>
      </c>
      <c r="U36" s="20">
        <f>IFERROR(P36*(1+변수!U45),"")</f>
        <v/>
      </c>
      <c r="V36" s="20">
        <f>IFERROR(Q36*(1+변수!V45),"")</f>
        <v/>
      </c>
      <c r="W36" s="35">
        <f>SUM(S36:V36)</f>
        <v/>
      </c>
      <c r="X36" s="20">
        <f>IFERROR(S36*(1+변수!X45),"")</f>
        <v/>
      </c>
      <c r="Y36" s="20">
        <f>IFERROR(T36*(1+변수!Y45),"")</f>
        <v/>
      </c>
      <c r="Z36" s="20">
        <f>IFERROR(U36*(1+변수!Z45),"")</f>
        <v/>
      </c>
      <c r="AA36" s="20">
        <f>IFERROR(V36*(1+변수!AA45),"")</f>
        <v/>
      </c>
      <c r="AB36" s="35">
        <f>SUM(X36:AA36)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10.52</v>
      </c>
      <c r="F37" s="18" t="n">
        <v>7.72</v>
      </c>
      <c r="G37" s="18" t="n">
        <v>7.89</v>
      </c>
      <c r="H37" s="34" t="n">
        <v>9.35</v>
      </c>
      <c r="I37" s="18" t="n">
        <v>9.710000000000001</v>
      </c>
      <c r="J37" s="18" t="n">
        <v>10.59</v>
      </c>
      <c r="K37" s="18" t="n">
        <v>11.46</v>
      </c>
      <c r="L37" s="18" t="n">
        <v>11.61</v>
      </c>
      <c r="M37" s="34">
        <f>SUM(I37:L37)</f>
        <v/>
      </c>
      <c r="N37" s="18" t="n">
        <v>9.56</v>
      </c>
      <c r="O37" s="19" t="n">
        <v>11.21</v>
      </c>
      <c r="P37" s="20">
        <f>IFERROR(K37*(1+변수!P46),"")</f>
        <v/>
      </c>
      <c r="Q37" s="20">
        <f>IFERROR(L37*(1+변수!Q46),"")</f>
        <v/>
      </c>
      <c r="R37" s="35">
        <f>SUM(N37:Q37)</f>
        <v/>
      </c>
      <c r="S37" s="20">
        <f>IFERROR(N37*(1+변수!S46),"")</f>
        <v/>
      </c>
      <c r="T37" s="20">
        <f>IFERROR(O37*(1+변수!T46),"")</f>
        <v/>
      </c>
      <c r="U37" s="20">
        <f>IFERROR(P37*(1+변수!U46),"")</f>
        <v/>
      </c>
      <c r="V37" s="20">
        <f>IFERROR(Q37*(1+변수!V46),"")</f>
        <v/>
      </c>
      <c r="W37" s="35">
        <f>SUM(S37:V37)</f>
        <v/>
      </c>
      <c r="X37" s="20">
        <f>IFERROR(S37*(1+변수!X46),"")</f>
        <v/>
      </c>
      <c r="Y37" s="20">
        <f>IFERROR(T37*(1+변수!Y46),"")</f>
        <v/>
      </c>
      <c r="Z37" s="20">
        <f>IFERROR(U37*(1+변수!Z46),"")</f>
        <v/>
      </c>
      <c r="AA37" s="20">
        <f>IFERROR(V37*(1+변수!AA46),"")</f>
        <v/>
      </c>
      <c r="AB37" s="35">
        <f>SUM(X37:AA37)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4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4">
        <f>SUM(I38:L38)</f>
        <v/>
      </c>
      <c r="N38" s="18" t="n">
        <v>5746.09</v>
      </c>
      <c r="O38" s="19" t="n">
        <v>5804.14</v>
      </c>
      <c r="P38" s="20">
        <f>IFERROR(P5*변수!P47,"")</f>
        <v/>
      </c>
      <c r="Q38" s="20">
        <f>IFERROR(Q5*변수!Q47,"")</f>
        <v/>
      </c>
      <c r="R38" s="35">
        <f>SUM(N38:Q38)</f>
        <v/>
      </c>
      <c r="S38" s="20">
        <f>IFERROR(S5*변수!S47,"")</f>
        <v/>
      </c>
      <c r="T38" s="20">
        <f>IFERROR(T5*변수!T47,"")</f>
        <v/>
      </c>
      <c r="U38" s="20">
        <f>IFERROR(U5*변수!U47,"")</f>
        <v/>
      </c>
      <c r="V38" s="20">
        <f>IFERROR(V5*변수!V47,"")</f>
        <v/>
      </c>
      <c r="W38" s="35">
        <f>SUM(S38:V38)</f>
        <v/>
      </c>
      <c r="X38" s="20">
        <f>IFERROR(X5*변수!X47,"")</f>
        <v/>
      </c>
      <c r="Y38" s="20">
        <f>IFERROR(Y5*변수!Y47,"")</f>
        <v/>
      </c>
      <c r="Z38" s="20">
        <f>IFERROR(Z5*변수!Z47,"")</f>
        <v/>
      </c>
      <c r="AA38" s="20">
        <f>IFERROR(AA5*변수!AA47,"")</f>
        <v/>
      </c>
      <c r="AB38" s="35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4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4">
        <f>SUM(I39:L39)</f>
        <v/>
      </c>
      <c r="N39" s="18" t="n">
        <v>933.9400000000001</v>
      </c>
      <c r="O39" s="19" t="n">
        <v>976.25</v>
      </c>
      <c r="P39" s="20">
        <f>IFERROR(P38*변수!P48,"")</f>
        <v/>
      </c>
      <c r="Q39" s="20">
        <f>IFERROR(Q38*변수!Q48,"")</f>
        <v/>
      </c>
      <c r="R39" s="35">
        <f>SUM(N39:Q39)</f>
        <v/>
      </c>
      <c r="S39" s="20">
        <f>IFERROR(S38*변수!S48,"")</f>
        <v/>
      </c>
      <c r="T39" s="20">
        <f>IFERROR(T38*변수!T48,"")</f>
        <v/>
      </c>
      <c r="U39" s="20">
        <f>IFERROR(U38*변수!U48,"")</f>
        <v/>
      </c>
      <c r="V39" s="20">
        <f>IFERROR(V38*변수!V48,"")</f>
        <v/>
      </c>
      <c r="W39" s="35">
        <f>SUM(S39:V39)</f>
        <v/>
      </c>
      <c r="X39" s="20">
        <f>IFERROR(X38*변수!X48,"")</f>
        <v/>
      </c>
      <c r="Y39" s="20">
        <f>IFERROR(Y38*변수!Y48,"")</f>
        <v/>
      </c>
      <c r="Z39" s="20">
        <f>IFERROR(Z38*변수!Z48,"")</f>
        <v/>
      </c>
      <c r="AA39" s="20">
        <f>IFERROR(AA38*변수!AA48,"")</f>
        <v/>
      </c>
      <c r="AB39" s="35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1">
        <f>IFERROR(F9/F5,"")</f>
        <v/>
      </c>
      <c r="G41" s="21">
        <f>IFERROR(G9/G5,"")</f>
        <v/>
      </c>
      <c r="H41" s="22">
        <f>IFERROR(H9/H5,"")</f>
        <v/>
      </c>
      <c r="I41" s="21">
        <f>IFERROR(I9/I5,"")</f>
        <v/>
      </c>
      <c r="J41" s="21">
        <f>IFERROR(J9/J5,"")</f>
        <v/>
      </c>
      <c r="K41" s="21">
        <f>IFERROR(K9/K5,"")</f>
        <v/>
      </c>
      <c r="L41" s="21">
        <f>IFERROR(L9/L5,"")</f>
        <v/>
      </c>
      <c r="M41" s="22">
        <f>IFERROR(M9/M5,"")</f>
        <v/>
      </c>
      <c r="N41" s="21">
        <f>IFERROR(N9/N5,"")</f>
        <v/>
      </c>
      <c r="O41" s="23">
        <f>IFERROR(O9/O5,"")</f>
        <v/>
      </c>
      <c r="P41" s="31">
        <f>IFERROR(P9/P5,"")</f>
        <v/>
      </c>
      <c r="Q41" s="31">
        <f>IFERROR(Q9/Q5,"")</f>
        <v/>
      </c>
      <c r="R41" s="25">
        <f>IFERROR(R9/R5,"")</f>
        <v/>
      </c>
      <c r="S41" s="31">
        <f>IFERROR(S9/S5,"")</f>
        <v/>
      </c>
      <c r="T41" s="31">
        <f>IFERROR(T9/T5,"")</f>
        <v/>
      </c>
      <c r="U41" s="31">
        <f>IFERROR(U9/U5,"")</f>
        <v/>
      </c>
      <c r="V41" s="31">
        <f>IFERROR(V9/V5,"")</f>
        <v/>
      </c>
      <c r="W41" s="25">
        <f>IFERROR(W9/W5,"")</f>
        <v/>
      </c>
      <c r="X41" s="31">
        <f>IFERROR(X9/X5,"")</f>
        <v/>
      </c>
      <c r="Y41" s="31">
        <f>IFERROR(Y9/Y5,"")</f>
        <v/>
      </c>
      <c r="Z41" s="31">
        <f>IFERROR(Z9/Z5,"")</f>
        <v/>
      </c>
      <c r="AA41" s="31">
        <f>IFERROR(AA9/AA5,"")</f>
        <v/>
      </c>
      <c r="AB41" s="25">
        <f>IFERROR(AB9/AB5,"")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1">
        <f>IFERROR(F21/F5,"")</f>
        <v/>
      </c>
      <c r="G42" s="21">
        <f>IFERROR(G21/G5,"")</f>
        <v/>
      </c>
      <c r="H42" s="22">
        <f>IFERROR(H21/H5,"")</f>
        <v/>
      </c>
      <c r="I42" s="21">
        <f>IFERROR(I21/I5,"")</f>
        <v/>
      </c>
      <c r="J42" s="21">
        <f>IFERROR(J21/J5,"")</f>
        <v/>
      </c>
      <c r="K42" s="21">
        <f>IFERROR(K21/K5,"")</f>
        <v/>
      </c>
      <c r="L42" s="21">
        <f>IFERROR(L21/L5,"")</f>
        <v/>
      </c>
      <c r="M42" s="22">
        <f>IFERROR(M21/M5,"")</f>
        <v/>
      </c>
      <c r="N42" s="21">
        <f>IFERROR(N21/N5,"")</f>
        <v/>
      </c>
      <c r="O42" s="23">
        <f>IFERROR(O21/O5,"")</f>
        <v/>
      </c>
      <c r="P42" s="31">
        <f>IFERROR(P21/P5,"")</f>
        <v/>
      </c>
      <c r="Q42" s="31">
        <f>IFERROR(Q21/Q5,"")</f>
        <v/>
      </c>
      <c r="R42" s="25">
        <f>IFERROR(R21/R5,"")</f>
        <v/>
      </c>
      <c r="S42" s="31">
        <f>IFERROR(S21/S5,"")</f>
        <v/>
      </c>
      <c r="T42" s="31">
        <f>IFERROR(T21/T5,"")</f>
        <v/>
      </c>
      <c r="U42" s="31">
        <f>IFERROR(U21/U5,"")</f>
        <v/>
      </c>
      <c r="V42" s="31">
        <f>IFERROR(V21/V5,"")</f>
        <v/>
      </c>
      <c r="W42" s="25">
        <f>IFERROR(W21/W5,"")</f>
        <v/>
      </c>
      <c r="X42" s="31">
        <f>IFERROR(X21/X5,"")</f>
        <v/>
      </c>
      <c r="Y42" s="31">
        <f>IFERROR(Y21/Y5,"")</f>
        <v/>
      </c>
      <c r="Z42" s="31">
        <f>IFERROR(Z21/Z5,"")</f>
        <v/>
      </c>
      <c r="AA42" s="31">
        <f>IFERROR(AA21/AA5,"")</f>
        <v/>
      </c>
      <c r="AB42" s="25">
        <f>IFERROR(AB21/AB5,"")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1">
        <f>IFERROR(F6/F5,"")</f>
        <v/>
      </c>
      <c r="G43" s="21">
        <f>IFERROR(G6/G5,"")</f>
        <v/>
      </c>
      <c r="H43" s="22">
        <f>IFERROR(H6/H5,"")</f>
        <v/>
      </c>
      <c r="I43" s="21">
        <f>IFERROR(I6/I5,"")</f>
        <v/>
      </c>
      <c r="J43" s="21">
        <f>IFERROR(J6/J5,"")</f>
        <v/>
      </c>
      <c r="K43" s="21">
        <f>IFERROR(K6/K5,"")</f>
        <v/>
      </c>
      <c r="L43" s="21">
        <f>IFERROR(L6/L5,"")</f>
        <v/>
      </c>
      <c r="M43" s="22">
        <f>IFERROR(M6/M5,"")</f>
        <v/>
      </c>
      <c r="N43" s="21">
        <f>IFERROR(N6/N5,"")</f>
        <v/>
      </c>
      <c r="O43" s="23">
        <f>IFERROR(O6/O5,"")</f>
        <v/>
      </c>
      <c r="P43" s="31">
        <f>IFERROR(P6/P5,"")</f>
        <v/>
      </c>
      <c r="Q43" s="31">
        <f>IFERROR(Q6/Q5,"")</f>
        <v/>
      </c>
      <c r="R43" s="25">
        <f>IFERROR(R6/R5,"")</f>
        <v/>
      </c>
      <c r="S43" s="31">
        <f>IFERROR(S6/S5,"")</f>
        <v/>
      </c>
      <c r="T43" s="31">
        <f>IFERROR(T6/T5,"")</f>
        <v/>
      </c>
      <c r="U43" s="31">
        <f>IFERROR(U6/U5,"")</f>
        <v/>
      </c>
      <c r="V43" s="31">
        <f>IFERROR(V6/V5,"")</f>
        <v/>
      </c>
      <c r="W43" s="25">
        <f>IFERROR(W6/W5,"")</f>
        <v/>
      </c>
      <c r="X43" s="31">
        <f>IFERROR(X6/X5,"")</f>
        <v/>
      </c>
      <c r="Y43" s="31">
        <f>IFERROR(Y6/Y5,"")</f>
        <v/>
      </c>
      <c r="Z43" s="31">
        <f>IFERROR(Z6/Z5,"")</f>
        <v/>
      </c>
      <c r="AA43" s="31">
        <f>IFERROR(AA6/AA5,"")</f>
        <v/>
      </c>
      <c r="AB43" s="25">
        <f>IFERROR(AB6/AB5,"")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1">
        <f>IFERROR(F8/F5,"")</f>
        <v/>
      </c>
      <c r="G44" s="21">
        <f>IFERROR(G8/G5,"")</f>
        <v/>
      </c>
      <c r="H44" s="22">
        <f>IFERROR(H8/H5,"")</f>
        <v/>
      </c>
      <c r="I44" s="21">
        <f>IFERROR(I8/I5,"")</f>
        <v/>
      </c>
      <c r="J44" s="21">
        <f>IFERROR(J8/J5,"")</f>
        <v/>
      </c>
      <c r="K44" s="21">
        <f>IFERROR(K8/K5,"")</f>
        <v/>
      </c>
      <c r="L44" s="21">
        <f>IFERROR(L8/L5,"")</f>
        <v/>
      </c>
      <c r="M44" s="22">
        <f>IFERROR(M8/M5,"")</f>
        <v/>
      </c>
      <c r="N44" s="21">
        <f>IFERROR(N8/N5,"")</f>
        <v/>
      </c>
      <c r="O44" s="23">
        <f>IFERROR(O8/O5,"")</f>
        <v/>
      </c>
      <c r="P44" s="31">
        <f>IFERROR(P8/P5,"")</f>
        <v/>
      </c>
      <c r="Q44" s="31">
        <f>IFERROR(Q8/Q5,"")</f>
        <v/>
      </c>
      <c r="R44" s="25">
        <f>IFERROR(R8/R5,"")</f>
        <v/>
      </c>
      <c r="S44" s="31">
        <f>IFERROR(S8/S5,"")</f>
        <v/>
      </c>
      <c r="T44" s="31">
        <f>IFERROR(T8/T5,"")</f>
        <v/>
      </c>
      <c r="U44" s="31">
        <f>IFERROR(U8/U5,"")</f>
        <v/>
      </c>
      <c r="V44" s="31">
        <f>IFERROR(V8/V5,"")</f>
        <v/>
      </c>
      <c r="W44" s="25">
        <f>IFERROR(W8/W5,"")</f>
        <v/>
      </c>
      <c r="X44" s="31">
        <f>IFERROR(X8/X5,"")</f>
        <v/>
      </c>
      <c r="Y44" s="31">
        <f>IFERROR(Y8/Y5,"")</f>
        <v/>
      </c>
      <c r="Z44" s="31">
        <f>IFERROR(Z8/Z5,"")</f>
        <v/>
      </c>
      <c r="AA44" s="31">
        <f>IFERROR(AA8/AA5,"")</f>
        <v/>
      </c>
      <c r="AB44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7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M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39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0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1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1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1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1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1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2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1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1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1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1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1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1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1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1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1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1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1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1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1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1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1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1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1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1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1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1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1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43">
        <f>IFERROR(VLOOKUP($A32,subQ,MATCH(M$1,SUBQH,0),0),"")</f>
        <v/>
      </c>
      <c r="N32" s="36">
        <f>IFERROR(VLOOKUP($A32,subQ,MATCH(N$1,SUBQH,0),0),"")</f>
        <v/>
      </c>
      <c r="O32" s="36">
        <f>IFERROR(VLOOKUP($A32,subQ,MATCH(O$1,SUBQH,0),0),"")</f>
        <v/>
      </c>
      <c r="P32" s="36">
        <f>IFERROR(VLOOKUP($A32,subQ,MATCH(P$1,SUBQH,0),0),"")</f>
        <v/>
      </c>
      <c r="Q32" s="36">
        <f>IFERROR(VLOOKUP($A32,subQ,MATCH(Q$1,SUBQH,0),0),"")</f>
        <v/>
      </c>
      <c r="R32" s="36">
        <f>IFERROR(VLOOKUP($A32,subQ,MATCH(R$1,SUBQH,0),0),"")</f>
        <v/>
      </c>
      <c r="S32" s="36">
        <f>IFERROR(VLOOKUP($A32,subQ,MATCH(S$1,SUBQH,0),0),"")</f>
        <v/>
      </c>
      <c r="T32" s="36">
        <f>IFERROR(VLOOKUP($A32,subQ,MATCH(T$1,SUBQH,0),0),"")</f>
        <v/>
      </c>
      <c r="U32" s="36">
        <f>IFERROR(VLOOKUP($A32,subQ,MATCH(U$1,SUBQH,0),0),"")</f>
        <v/>
      </c>
      <c r="V32" s="36">
        <f>IFERROR(VLOOKUP($A32,subQ,MATCH(V$1,SUBQH,0),0),"")</f>
        <v/>
      </c>
      <c r="W32" s="36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1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1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1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41">
        <f>IFERROR(VLOOKUP($A36,subQ,MATCH(M$1,SUBQH,0),0),"")</f>
        <v/>
      </c>
      <c r="N36" s="20">
        <f>IFERROR(VLOOKUP($A36,subQ,MATCH(N$1,SUBQH,0),0),"")</f>
        <v/>
      </c>
      <c r="O36" s="20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41">
        <f>IFERROR(VLOOKUP($A37,subQ,MATCH(M$1,SUBQH,0),0),"")</f>
        <v/>
      </c>
      <c r="N37" s="20">
        <f>IFERROR(VLOOKUP($A37,subQ,MATCH(N$1,SUBQH,0),0),"")</f>
        <v/>
      </c>
      <c r="O37" s="20">
        <f>IFERROR(VLOOKUP($A37,subQ,MATCH(O$1,SUBQH,0),0),"")</f>
        <v/>
      </c>
      <c r="P37" s="20">
        <f>IFERROR(VLOOKUP($A37,subQ,MATCH(P$1,SUBQH,0),0),"")</f>
        <v/>
      </c>
      <c r="Q37" s="20">
        <f>IFERROR(VLOOKUP($A37,subQ,MATCH(Q$1,SUBQH,0),0),"")</f>
        <v/>
      </c>
      <c r="R37" s="20">
        <f>IFERROR(VLOOKUP($A37,subQ,MATCH(R$1,SUBQH,0),0),"")</f>
        <v/>
      </c>
      <c r="S37" s="20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1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1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2">
        <f>IFERROR(VLOOKUP($A40,subQ,MATCH(M$1,SUBQH,0),0),"")</f>
        <v/>
      </c>
      <c r="N40" s="31">
        <f>IFERROR(VLOOKUP($A40,subQ,MATCH(N$1,SUBQH,0),0),"")</f>
        <v/>
      </c>
      <c r="O40" s="31">
        <f>IFERROR(VLOOKUP($A40,subQ,MATCH(O$1,SUBQH,0),0),"")</f>
        <v/>
      </c>
      <c r="P40" s="31">
        <f>IFERROR(VLOOKUP($A40,subQ,MATCH(P$1,SUBQH,0),0),"")</f>
        <v/>
      </c>
      <c r="Q40" s="31">
        <f>IFERROR(VLOOKUP($A40,subQ,MATCH(Q$1,SUBQH,0),0),"")</f>
        <v/>
      </c>
      <c r="R40" s="31">
        <f>IFERROR(VLOOKUP($A40,subQ,MATCH(R$1,SUBQH,0),0),"")</f>
        <v/>
      </c>
      <c r="S40" s="31">
        <f>IFERROR(VLOOKUP($A40,subQ,MATCH(S$1,SUBQH,0),0),"")</f>
        <v/>
      </c>
      <c r="T40" s="31">
        <f>IFERROR(VLOOKUP($A40,subQ,MATCH(T$1,SUBQH,0),0),"")</f>
        <v/>
      </c>
      <c r="U40" s="31">
        <f>IFERROR(VLOOKUP($A40,subQ,MATCH(U$1,SUBQH,0),0),"")</f>
        <v/>
      </c>
      <c r="V40" s="31">
        <f>IFERROR(VLOOKUP($A40,subQ,MATCH(V$1,SUBQH,0),0),"")</f>
        <v/>
      </c>
      <c r="W40" s="31">
        <f>IFERROR(VLOOKUP($A40,subQ,MATCH(W$1,SUBQH,0),0),"")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42">
        <f>IFERROR(VLOOKUP($A41,subQ,MATCH(M$1,SUBQH,0),0),"")</f>
        <v/>
      </c>
      <c r="N41" s="31">
        <f>IFERROR(VLOOKUP($A41,subQ,MATCH(N$1,SUBQH,0),0),"")</f>
        <v/>
      </c>
      <c r="O41" s="31">
        <f>IFERROR(VLOOKUP($A41,subQ,MATCH(O$1,SUBQH,0),0),"")</f>
        <v/>
      </c>
      <c r="P41" s="31">
        <f>IFERROR(VLOOKUP($A41,subQ,MATCH(P$1,SUBQH,0),0),"")</f>
        <v/>
      </c>
      <c r="Q41" s="31">
        <f>IFERROR(VLOOKUP($A41,subQ,MATCH(Q$1,SUBQH,0),0),"")</f>
        <v/>
      </c>
      <c r="R41" s="31">
        <f>IFERROR(VLOOKUP($A41,subQ,MATCH(R$1,SUBQH,0),0),"")</f>
        <v/>
      </c>
      <c r="S41" s="31">
        <f>IFERROR(VLOOKUP($A41,subQ,MATCH(S$1,SUBQH,0),0),"")</f>
        <v/>
      </c>
      <c r="T41" s="31">
        <f>IFERROR(VLOOKUP($A41,subQ,MATCH(T$1,SUBQH,0),0),"")</f>
        <v/>
      </c>
      <c r="U41" s="31">
        <f>IFERROR(VLOOKUP($A41,subQ,MATCH(U$1,SUBQH,0),0),"")</f>
        <v/>
      </c>
      <c r="V41" s="31">
        <f>IFERROR(VLOOKUP($A41,subQ,MATCH(V$1,SUBQH,0),0),"")</f>
        <v/>
      </c>
      <c r="W41" s="31">
        <f>IFERROR(VLOOKUP($A41,subQ,MATCH(W$1,SUBQH,0),0),"")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42">
        <f>IFERROR(M5/I5-1,"")</f>
        <v/>
      </c>
      <c r="N42" s="31">
        <f>IFERROR(N5/J5-1,"")</f>
        <v/>
      </c>
      <c r="O42" s="31">
        <f>IFERROR(O5/K5-1,"")</f>
        <v/>
      </c>
      <c r="P42" s="31">
        <f>IFERROR(P5/L5-1,"")</f>
        <v/>
      </c>
      <c r="Q42" s="31">
        <f>IFERROR(Q5/M5-1,"")</f>
        <v/>
      </c>
      <c r="R42" s="31">
        <f>IFERROR(R5/N5-1,"")</f>
        <v/>
      </c>
      <c r="S42" s="31">
        <f>IFERROR(S5/O5-1,"")</f>
        <v/>
      </c>
      <c r="T42" s="31">
        <f>IFERROR(T5/P5-1,"")</f>
        <v/>
      </c>
      <c r="U42" s="31">
        <f>IFERROR(U5/Q5-1,"")</f>
        <v/>
      </c>
      <c r="V42" s="31">
        <f>IFERROR(V5/R5-1,"")</f>
        <v/>
      </c>
      <c r="W42" s="31">
        <f>IFERROR(W5/S5-1,"")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42">
        <f>IFERROR(M9/I9-1,"")</f>
        <v/>
      </c>
      <c r="N43" s="31">
        <f>IFERROR(N9/J9-1,"")</f>
        <v/>
      </c>
      <c r="O43" s="31">
        <f>IFERROR(O9/K9-1,"")</f>
        <v/>
      </c>
      <c r="P43" s="31">
        <f>IFERROR(P9/L9-1,"")</f>
        <v/>
      </c>
      <c r="Q43" s="31">
        <f>IFERROR(Q9/M9-1,"")</f>
        <v/>
      </c>
      <c r="R43" s="31">
        <f>IFERROR(R9/N9-1,"")</f>
        <v/>
      </c>
      <c r="S43" s="31">
        <f>IFERROR(S9/O9-1,"")</f>
        <v/>
      </c>
      <c r="T43" s="31">
        <f>IFERROR(T9/P9-1,"")</f>
        <v/>
      </c>
      <c r="U43" s="31">
        <f>IFERROR(U9/Q9-1,"")</f>
        <v/>
      </c>
      <c r="V43" s="31">
        <f>IFERROR(V9/R9-1,"")</f>
        <v/>
      </c>
      <c r="W43" s="31">
        <f>IFERROR(W9/S9-1,"")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42">
        <f>IFERROR(M21/I21-1,"")</f>
        <v/>
      </c>
      <c r="N44" s="31">
        <f>IFERROR(N21/J21-1,"")</f>
        <v/>
      </c>
      <c r="O44" s="31">
        <f>IFERROR(O21/K21-1,"")</f>
        <v/>
      </c>
      <c r="P44" s="31">
        <f>IFERROR(P21/L21-1,"")</f>
        <v/>
      </c>
      <c r="Q44" s="31">
        <f>IFERROR(Q21/M21-1,"")</f>
        <v/>
      </c>
      <c r="R44" s="31">
        <f>IFERROR(R21/N21-1,"")</f>
        <v/>
      </c>
      <c r="S44" s="31">
        <f>IFERROR(S21/O21-1,"")</f>
        <v/>
      </c>
      <c r="T44" s="31">
        <f>IFERROR(T21/P21-1,"")</f>
        <v/>
      </c>
      <c r="U44" s="31">
        <f>IFERROR(U21/Q21-1,"")</f>
        <v/>
      </c>
      <c r="V44" s="31">
        <f>IFERROR(V21/R21-1,"")</f>
        <v/>
      </c>
      <c r="W44" s="31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37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변수!D51</f>
        <v/>
      </c>
      <c r="F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39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0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1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1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1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1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1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2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1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1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1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1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1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1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1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1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1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1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1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1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1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1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1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1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1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1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1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1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1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43">
        <f>IFERROR(VLOOKUP($A32,subQ,MATCH(F$1,SUBQH,0),0),"")</f>
        <v/>
      </c>
      <c r="G32" s="36">
        <f>IFERROR(VLOOKUP($A32,subQ,MATCH(G$1,SUBQH,0),0),"")</f>
        <v/>
      </c>
      <c r="H32" s="36">
        <f>IFERROR(VLOOKUP($A32,subQ,MATCH(H$1,SUBQH,0),0),"")</f>
        <v/>
      </c>
      <c r="I32" s="36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1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1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1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41">
        <f>IFERROR(VLOOKUP($A36,subQ,MATCH(F$1,SUBQH,0),0),"")</f>
        <v/>
      </c>
      <c r="G36" s="20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41">
        <f>IFERROR(VLOOKUP($A37,subQ,MATCH(F$1,SUBQH,0),0),"")</f>
        <v/>
      </c>
      <c r="G37" s="20">
        <f>IFERROR(VLOOKUP($A37,subQ,MATCH(G$1,SUBQH,0),0),"")</f>
        <v/>
      </c>
      <c r="H37" s="20">
        <f>IFERROR(VLOOKUP($A37,subQ,MATCH(H$1,SUBQH,0),0),"")</f>
        <v/>
      </c>
      <c r="I37" s="20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1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1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42">
        <f>IFERROR(VLOOKUP($A40,subQ,MATCH(F$1,SUBQH,0),0),"")</f>
        <v/>
      </c>
      <c r="G40" s="31">
        <f>IFERROR(VLOOKUP($A40,subQ,MATCH(G$1,SUBQH,0),0),"")</f>
        <v/>
      </c>
      <c r="H40" s="31">
        <f>IFERROR(VLOOKUP($A40,subQ,MATCH(H$1,SUBQH,0),0),"")</f>
        <v/>
      </c>
      <c r="I40" s="31">
        <f>IFERROR(VLOOKUP($A40,subQ,MATCH(I$1,SUBQH,0),0),"")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42">
        <f>IFERROR(VLOOKUP($A41,subQ,MATCH(F$1,SUBQH,0),0),"")</f>
        <v/>
      </c>
      <c r="G41" s="31">
        <f>IFERROR(VLOOKUP($A41,subQ,MATCH(G$1,SUBQH,0),0),"")</f>
        <v/>
      </c>
      <c r="H41" s="31">
        <f>IFERROR(VLOOKUP($A41,subQ,MATCH(H$1,SUBQH,0),0),"")</f>
        <v/>
      </c>
      <c r="I41" s="31">
        <f>IFERROR(VLOOKUP($A41,subQ,MATCH(I$1,SUBQH,0),0),"")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42">
        <f>IFERROR(F5/E5-1,"")</f>
        <v/>
      </c>
      <c r="G42" s="31">
        <f>IFERROR(G5/F5-1,"")</f>
        <v/>
      </c>
      <c r="H42" s="31">
        <f>IFERROR(H5/G5-1,"")</f>
        <v/>
      </c>
      <c r="I42" s="31">
        <f>IFERROR(I5/H5-1,"")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42">
        <f>IFERROR(F9/E9-1,"")</f>
        <v/>
      </c>
      <c r="G43" s="31">
        <f>IFERROR(G9/F9-1,"")</f>
        <v/>
      </c>
      <c r="H43" s="31">
        <f>IFERROR(H9/G9-1,"")</f>
        <v/>
      </c>
      <c r="I43" s="31">
        <f>IFERROR(I9/H9-1,"")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42">
        <f>IFERROR(F21/E21-1,"")</f>
        <v/>
      </c>
      <c r="G44" s="31">
        <f>IFERROR(G21/F21-1,"")</f>
        <v/>
      </c>
      <c r="H44" s="31">
        <f>IFERROR(H21/G21-1,"")</f>
        <v/>
      </c>
      <c r="I44" s="31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7568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31.25</v>
      </c>
    </row>
    <row r="32">
      <c r="C32" s="2" t="inlineStr">
        <is>
          <t>pbr_now</t>
        </is>
      </c>
      <c r="D32" t="n">
        <v>11.89</v>
      </c>
    </row>
    <row r="33">
      <c r="C33" s="2" t="inlineStr">
        <is>
          <t>roe_fwd</t>
        </is>
      </c>
      <c r="D33" t="n">
        <v>0.3803</v>
      </c>
    </row>
    <row r="34">
      <c r="C34" s="2" t="inlineStr">
        <is>
          <t>fair_pbr</t>
        </is>
      </c>
      <c r="D34" t="n">
        <v>4.23</v>
      </c>
    </row>
    <row r="35">
      <c r="C35" s="2" t="inlineStr">
        <is>
          <t>fair_value_pbr</t>
        </is>
      </c>
      <c r="D35" t="n">
        <v>84200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