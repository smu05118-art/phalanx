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모델값 역산(implied): v / 매출액
매출액 × 판관비율 6.02%(최근 4분기 중위)</t>
      </text>
    </comment>
    <comment ref="AD22" authorId="0" shapeId="0">
      <text>
        <t>모델값 역산(implied): v / 매출액
매출액 × 판관비율 6.02%(최근 4분기 중위)</t>
      </text>
    </comment>
    <comment ref="AF22" authorId="0" shapeId="0">
      <text>
        <t>모델값 역산(implied): v / 매출액
매출액 × 판관비율 6.02%(최근 4분기 중위)</t>
      </text>
    </comment>
    <comment ref="AG22" authorId="0" shapeId="0">
      <text>
        <t>모델값 역산(implied): v / 매출액
매출액 × 판관비율 6.02%(최근 4분기 중위)</t>
      </text>
    </comment>
    <comment ref="AH22" authorId="0" shapeId="0">
      <text>
        <t>모델값 역산(implied): v / 매출액
매출액 × 판관비율 6.02%(최근 4분기 중위)</t>
      </text>
    </comment>
    <comment ref="AI22" authorId="0" shapeId="0">
      <text>
        <t>모델값 역산(implied): v / 매출액
매출액 × 판관비율 6.02%(최근 4분기 중위)</t>
      </text>
    </comment>
    <comment ref="AK22" authorId="0" shapeId="0">
      <text>
        <t>모델값 역산(implied): v / 매출액
매출액 × 판관비율 6.02%(최근 4분기 중위)</t>
      </text>
    </comment>
    <comment ref="AL22" authorId="0" shapeId="0">
      <text>
        <t>모델값 역산(implied): v / 매출액
매출액 × 판관비율 6.02%(최근 4분기 중위)</t>
      </text>
    </comment>
    <comment ref="AM22" authorId="0" shapeId="0">
      <text>
        <t>모델값 역산(implied): v / 매출액
매출액 × 판관비율 6.02%(최근 4분기 중위)</t>
      </text>
    </comment>
    <comment ref="AN22" authorId="0" shapeId="0">
      <text>
        <t>모델값 역산(implied): v / 매출액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v / 전년동기 − 1
최근 8분기 OPM 중위 0.6% 유지(클립 −20~40%)</t>
      </text>
    </comment>
    <comment ref="AD24" authorId="0" shapeId="0">
      <text>
        <t>모델값 역산(implied): v / 전년동기 − 1
최근 8분기 OPM 중위 0.6% 유지(클립 −20~40%)</t>
      </text>
    </comment>
    <comment ref="AF24" authorId="0" shapeId="0">
      <text>
        <t>모델값 역산(implied): v / 전년동기 − 1
최근 8분기 OPM 중위 0.6% 유지(클립 −20~40%)</t>
      </text>
    </comment>
    <comment ref="AG24" authorId="0" shapeId="0">
      <text>
        <t>모델값 역산(implied): v / 전년동기 − 1
최근 8분기 OPM 중위 0.6% 유지(클립 −20~40%)</t>
      </text>
    </comment>
    <comment ref="AH24" authorId="0" shapeId="0">
      <text>
        <t>모델값 역산(implied): v / 전년동기 − 1
최근 8분기 OPM 중위 0.6% 유지(클립 −20~40%)</t>
      </text>
    </comment>
    <comment ref="AI24" authorId="0" shapeId="0">
      <text>
        <t>모델값 역산(implied): v / 전년동기 − 1
최근 8분기 OPM 중위 0.6% 유지(클립 −20~40%)</t>
      </text>
    </comment>
    <comment ref="AK24" authorId="0" shapeId="0">
      <text>
        <t>모델값 역산(implied): v / 전년동기 − 1
최근 8분기 OPM 중위 0.6% 유지(클립 −20~40%)</t>
      </text>
    </comment>
    <comment ref="AL24" authorId="0" shapeId="0">
      <text>
        <t>모델값 역산(implied): v / 전년동기 − 1
최근 8분기 OPM 중위 0.6% 유지(클립 −20~40%)</t>
      </text>
    </comment>
    <comment ref="AM24" authorId="0" shapeId="0">
      <text>
        <t>모델값 역산(implied): v / 전년동기 − 1
최근 8분기 OPM 중위 0.6% 유지(클립 −20~40%)</t>
      </text>
    </comment>
    <comment ref="AN24" authorId="0" shapeId="0">
      <text>
        <t>모델값 역산(implied): v / 전년동기 − 1
최근 8분기 OPM 중위 0.6%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</t>
      </text>
    </comment>
    <comment ref="AC26" authorId="0" shapeId="0">
      <text>
        <t>모델값 역산(implied): 모델 v 그대로
이자발생자산 462억 × 3.32%(주석 이자수익 ÷ 평균 이자발생자산(2022Q2~2023Q1)) − 총차입금 1174억 × 7.70%(주석 이자비용 ÷ 평균 총차입금(2022Q2~2023Q1)) (연율) ÷ 4</t>
      </text>
    </comment>
    <comment ref="AD26" authorId="0" shapeId="0">
      <text>
        <t>모델값 역산(implied): 모델 v 그대로
이자발생자산 451억 × 3.32%(주석 이자수익 ÷ 평균 이자발생자산(2022Q2~2023Q1)) − 총차입금 1174억 × 7.70%(주석 이자비용 ÷ 평균 총차입금(2022Q2~2023Q1)) (연율) ÷ 4</t>
      </text>
    </comment>
    <comment ref="AF26" authorId="0" shapeId="0">
      <text>
        <t>모델값 역산(implied): 모델 v 그대로
이자발생자산 440억 × 3.32%(주석 이자수익 ÷ 평균 이자발생자산(2022Q2~2023Q1)) − 총차입금 1174억 × 7.70%(주석 이자비용 ÷ 평균 총차입금(2022Q2~2023Q1)) (연율) ÷ 4</t>
      </text>
    </comment>
    <comment ref="AG26" authorId="0" shapeId="0">
      <text>
        <t>모델값 역산(implied): 모델 v 그대로
이자발생자산 430억 × 3.32%(주석 이자수익 ÷ 평균 이자발생자산(2022Q2~2023Q1)) − 총차입금 1174억 × 7.70%(주석 이자비용 ÷ 평균 총차입금(2022Q2~2023Q1)) (연율) ÷ 4</t>
      </text>
    </comment>
    <comment ref="AH26" authorId="0" shapeId="0">
      <text>
        <t>모델값 역산(implied): 모델 v 그대로
이자발생자산 413억 × 3.32%(주석 이자수익 ÷ 평균 이자발생자산(2022Q2~2023Q1)) − 총차입금 1174억 × 7.70%(주석 이자비용 ÷ 평균 총차입금(2022Q2~2023Q1)) (연율) ÷ 4</t>
      </text>
    </comment>
    <comment ref="AI26" authorId="0" shapeId="0">
      <text>
        <t>모델값 역산(implied): 모델 v 그대로
이자발생자산 402억 × 3.32%(주석 이자수익 ÷ 평균 이자발생자산(2022Q2~2023Q1)) − 총차입금 1174억 × 7.70%(주석 이자비용 ÷ 평균 총차입금(2022Q2~2023Q1)) (연율) ÷ 4</t>
      </text>
    </comment>
    <comment ref="AK26" authorId="0" shapeId="0">
      <text>
        <t>모델값 역산(implied): 모델 v 그대로
이자발생자산 390억 × 3.32%(주석 이자수익 ÷ 평균 이자발생자산(2022Q2~2023Q1)) − 총차입금 1174억 × 7.70%(주석 이자비용 ÷ 평균 총차입금(2022Q2~2023Q1)) (연율) ÷ 4</t>
      </text>
    </comment>
    <comment ref="AL26" authorId="0" shapeId="0">
      <text>
        <t>모델값 역산(implied): 모델 v 그대로
이자발생자산 380억 × 3.32%(주석 이자수익 ÷ 평균 이자발생자산(2022Q2~2023Q1)) − 총차입금 1174억 × 7.70%(주석 이자비용 ÷ 평균 총차입금(2022Q2~2023Q1)) (연율) ÷ 4</t>
      </text>
    </comment>
    <comment ref="AM26" authorId="0" shapeId="0">
      <text>
        <t>모델값 역산(implied): 모델 v 그대로
이자발생자산 362억 × 3.32%(주석 이자수익 ÷ 평균 이자발생자산(2022Q2~2023Q1)) − 총차입금 1174억 × 7.70%(주석 이자비용 ÷ 평균 총차입금(2022Q2~2023Q1)) (연율) ÷ 4</t>
      </text>
    </comment>
    <comment ref="AN26" authorId="0" shapeId="0">
      <text>
        <t>모델값 역산(implied): 모델 v 그대로
이자발생자산 351억 × 3.32%(주석 이자수익 ÷ 평균 이자발생자산(2022Q2~2023Q1)) − 총차입금 1174억 × 7.70%(주석 이자비용 ÷ 평균 총차입금(2022Q2~2023Q1)) (연율) ÷ 4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모델 v 그대로
최근 4분기 중위</t>
      </text>
    </comment>
    <comment ref="AD29" authorId="0" shapeId="0">
      <text>
        <t>모델값 역산(implied): 모델 v 그대로
최근 4분기 중위</t>
      </text>
    </comment>
    <comment ref="AF29" authorId="0" shapeId="0">
      <text>
        <t>모델값 역산(implied): 모델 v 그대로
최근 4분기 중위</t>
      </text>
    </comment>
    <comment ref="AG29" authorId="0" shapeId="0">
      <text>
        <t>모델값 역산(implied): 모델 v 그대로
최근 4분기 중위</t>
      </text>
    </comment>
    <comment ref="AH29" authorId="0" shapeId="0">
      <text>
        <t>모델값 역산(implied): 모델 v 그대로
최근 4분기 중위</t>
      </text>
    </comment>
    <comment ref="AI29" authorId="0" shapeId="0">
      <text>
        <t>모델값 역산(implied): 모델 v 그대로
최근 4분기 중위</t>
      </text>
    </comment>
    <comment ref="AK29" authorId="0" shapeId="0">
      <text>
        <t>모델값 역산(implied): 모델 v 그대로
최근 4분기 중위</t>
      </text>
    </comment>
    <comment ref="AL29" authorId="0" shapeId="0">
      <text>
        <t>모델값 역산(implied): 모델 v 그대로
최근 4분기 중위</t>
      </text>
    </comment>
    <comment ref="AM29" authorId="0" shapeId="0">
      <text>
        <t>모델값 역산(implied): 모델 v 그대로
최근 4분기 중위</t>
      </text>
    </comment>
    <comment ref="AN29" authorId="0" shapeId="0">
      <text>
        <t>모델값 역산(implied): 모델 v 그대로
최근 4분기 중위</t>
      </text>
    </comment>
    <comment ref="AC30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30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30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30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30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30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30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30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30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30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31" authorId="0" shapeId="0">
      <text>
        <t>모델값 역산(implied): v / 당기순이익
당기순이익 × (1 − 비지배 비중 0.0%, 최근 8분기 실측)</t>
      </text>
    </comment>
    <comment ref="AD31" authorId="0" shapeId="0">
      <text>
        <t>모델값 역산(implied): v / 당기순이익
당기순이익 × (1 − 비지배 비중 0.0%, 최근 8분기 실측)</t>
      </text>
    </comment>
    <comment ref="AF31" authorId="0" shapeId="0">
      <text>
        <t>모델값 역산(implied): v / 당기순이익
당기순이익 × (1 − 비지배 비중 0.0%, 최근 8분기 실측)</t>
      </text>
    </comment>
    <comment ref="AG31" authorId="0" shapeId="0">
      <text>
        <t>모델값 역산(implied): v / 당기순이익
당기순이익 × (1 − 비지배 비중 0.0%, 최근 8분기 실측)</t>
      </text>
    </comment>
    <comment ref="AH31" authorId="0" shapeId="0">
      <text>
        <t>모델값 역산(implied): v / 당기순이익
당기순이익 × (1 − 비지배 비중 0.0%, 최근 8분기 실측)</t>
      </text>
    </comment>
    <comment ref="AI31" authorId="0" shapeId="0">
      <text>
        <t>모델값 역산(implied): v / 당기순이익
당기순이익 × (1 − 비지배 비중 0.0%, 최근 8분기 실측)</t>
      </text>
    </comment>
    <comment ref="AK31" authorId="0" shapeId="0">
      <text>
        <t>모델값 역산(implied): v / 당기순이익
당기순이익 × (1 − 비지배 비중 0.0%, 최근 8분기 실측)</t>
      </text>
    </comment>
    <comment ref="AL31" authorId="0" shapeId="0">
      <text>
        <t>모델값 역산(implied): v / 당기순이익
당기순이익 × (1 − 비지배 비중 0.0%, 최근 8분기 실측)</t>
      </text>
    </comment>
    <comment ref="AM31" authorId="0" shapeId="0">
      <text>
        <t>모델값 역산(implied): v / 당기순이익
당기순이익 × (1 − 비지배 비중 0.0%, 최근 8분기 실측)</t>
      </text>
    </comment>
    <comment ref="AN31" authorId="0" shapeId="0">
      <text>
        <t>모델값 역산(implied): v / 당기순이익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 + 당기순이익 − v
전분기 + 당기순이익 − 배당(Q2 지급 가정)</t>
      </text>
    </comment>
    <comment ref="AD33" authorId="0" shapeId="0">
      <text>
        <t>모델값 역산(implied): 전분기 + 당기순이익 − v
전분기 + 당기순이익 − 배당(Q2 지급 가정)</t>
      </text>
    </comment>
    <comment ref="AF33" authorId="0" shapeId="0">
      <text>
        <t>모델값 역산(implied): 전분기 + 당기순이익 − v
전분기 + 당기순이익 − 배당(Q2 지급 가정)</t>
      </text>
    </comment>
    <comment ref="AG33" authorId="0" shapeId="0">
      <text>
        <t>모델값 역산(implied): 전분기 + 당기순이익 − v
전분기 + 당기순이익 − 배당(Q2 지급 가정)</t>
      </text>
    </comment>
    <comment ref="AH33" authorId="0" shapeId="0">
      <text>
        <t>모델값 역산(implied): 전분기 + 당기순이익 − v
전분기 + 당기순이익 − 배당(Q2 지급 가정)</t>
      </text>
    </comment>
    <comment ref="AI33" authorId="0" shapeId="0">
      <text>
        <t>모델값 역산(implied): 전분기 + 당기순이익 − v
전분기 + 당기순이익 − 배당(Q2 지급 가정)</t>
      </text>
    </comment>
    <comment ref="AK33" authorId="0" shapeId="0">
      <text>
        <t>모델값 역산(implied): 전분기 + 당기순이익 − v
전분기 + 당기순이익 − 배당(Q2 지급 가정)</t>
      </text>
    </comment>
    <comment ref="AL33" authorId="0" shapeId="0">
      <text>
        <t>모델값 역산(implied): 전분기 + 당기순이익 − v
전분기 + 당기순이익 − 배당(Q2 지급 가정)</t>
      </text>
    </comment>
    <comment ref="AM33" authorId="0" shapeId="0">
      <text>
        <t>모델값 역산(implied): 전분기 + 당기순이익 − v
전분기 + 당기순이익 − 배당(Q2 지급 가정)</t>
      </text>
    </comment>
    <comment ref="AN33" authorId="0" shapeId="0">
      <text>
        <t>모델값 역산(implied): 전분기 + 당기순이익 − v
전분기 + 당기순이익 − 배당(Q2 지급 가정)</t>
      </text>
    </comment>
    <comment ref="AC34" authorId="0" shapeId="0">
      <text>
        <t>모델값 역산(implied): 전분기 + 지배주주순이익 − v
전분기 + 지배주주순이익 − 배당</t>
      </text>
    </comment>
    <comment ref="AD34" authorId="0" shapeId="0">
      <text>
        <t>모델값 역산(implied): 전분기 + 지배주주순이익 − v
전분기 + 지배주주순이익 − 배당</t>
      </text>
    </comment>
    <comment ref="AF34" authorId="0" shapeId="0">
      <text>
        <t>모델값 역산(implied): 전분기 + 지배주주순이익 − v
전분기 + 지배주주순이익 − 배당</t>
      </text>
    </comment>
    <comment ref="AG34" authorId="0" shapeId="0">
      <text>
        <t>모델값 역산(implied): 전분기 + 지배주주순이익 − v
전분기 + 지배주주순이익 − 배당</t>
      </text>
    </comment>
    <comment ref="AH34" authorId="0" shapeId="0">
      <text>
        <t>모델값 역산(implied): 전분기 + 지배주주순이익 − v
전분기 + 지배주주순이익 − 배당</t>
      </text>
    </comment>
    <comment ref="AI34" authorId="0" shapeId="0">
      <text>
        <t>모델값 역산(implied): 전분기 + 지배주주순이익 − v
전분기 + 지배주주순이익 − 배당</t>
      </text>
    </comment>
    <comment ref="AK34" authorId="0" shapeId="0">
      <text>
        <t>모델값 역산(implied): 전분기 + 지배주주순이익 − v
전분기 + 지배주주순이익 − 배당</t>
      </text>
    </comment>
    <comment ref="AL34" authorId="0" shapeId="0">
      <text>
        <t>모델값 역산(implied): 전분기 + 지배주주순이익 − v
전분기 + 지배주주순이익 − 배당</t>
      </text>
    </comment>
    <comment ref="AM34" authorId="0" shapeId="0">
      <text>
        <t>모델값 역산(implied): 전분기 + 지배주주순이익 − v
전분기 + 지배주주순이익 − 배당</t>
      </text>
    </comment>
    <comment ref="AN34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(순이익 − 배당): 순이익 = 순현금 증가 가정(CAPEX≈감가, 운전자본 불변)</t>
      </text>
    </comment>
    <comment ref="AD36" authorId="0" shapeId="0">
      <text>
        <t>모델값 역산(implied): v / 전분기 − 1
전분기 − (순이익 − 배당): 순이익 = 순현금 증가 가정(CAPEX≈감가, 운전자본 불변)</t>
      </text>
    </comment>
    <comment ref="AF36" authorId="0" shapeId="0">
      <text>
        <t>모델값 역산(implied): v / 전분기 − 1
전분기 − (순이익 − 배당): 순이익 = 순현금 증가 가정(CAPEX≈감가, 운전자본 불변)</t>
      </text>
    </comment>
    <comment ref="AG36" authorId="0" shapeId="0">
      <text>
        <t>모델값 역산(implied): v / 전분기 − 1
전분기 − (순이익 − 배당): 순이익 = 순현금 증가 가정(CAPEX≈감가, 운전자본 불변)</t>
      </text>
    </comment>
    <comment ref="AH36" authorId="0" shapeId="0">
      <text>
        <t>모델값 역산(implied): v / 전분기 − 1
전분기 − (순이익 − 배당): 순이익 = 순현금 증가 가정(CAPEX≈감가, 운전자본 불변)</t>
      </text>
    </comment>
    <comment ref="AI36" authorId="0" shapeId="0">
      <text>
        <t>모델값 역산(implied): v / 전분기 − 1
전분기 − (순이익 − 배당): 순이익 = 순현금 증가 가정(CAPEX≈감가, 운전자본 불변)</t>
      </text>
    </comment>
    <comment ref="AK36" authorId="0" shapeId="0">
      <text>
        <t>모델값 역산(implied): v / 전분기 − 1
전분기 − (순이익 − 배당): 순이익 = 순현금 증가 가정(CAPEX≈감가, 운전자본 불변)</t>
      </text>
    </comment>
    <comment ref="AL36" authorId="0" shapeId="0">
      <text>
        <t>모델값 역산(implied): v / 전분기 − 1
전분기 − (순이익 − 배당): 순이익 = 순현금 증가 가정(CAPEX≈감가, 운전자본 불변)</t>
      </text>
    </comment>
    <comment ref="AM36" authorId="0" shapeId="0">
      <text>
        <t>모델값 역산(implied): v / 전분기 − 1
전분기 − (순이익 − 배당): 순이익 = 순현금 증가 가정(CAPEX≈감가, 운전자본 불변)</t>
      </text>
    </comment>
    <comment ref="AN36" authorId="0" shapeId="0">
      <text>
        <t>모델값 역산(implied): v / 전분기 − 1
전분기 − (순이익 − 배당): 순이익 = 순현금 증가 가정(CAPEX≈감가, 운전자본 불변)</t>
      </text>
    </comment>
    <comment ref="AC37" authorId="0" shapeId="0">
      <text>
        <t>모델값 역산(implied): v / 전분기 − 1
전분기 + (순이익 − 배당) — 순차입금 롤과 같은 가정</t>
      </text>
    </comment>
    <comment ref="AD37" authorId="0" shapeId="0">
      <text>
        <t>모델값 역산(implied): v / 전분기 − 1
전분기 + (순이익 − 배당) — 순차입금 롤과 같은 가정</t>
      </text>
    </comment>
    <comment ref="AF37" authorId="0" shapeId="0">
      <text>
        <t>모델값 역산(implied): v / 전분기 − 1
전분기 + (순이익 − 배당) — 순차입금 롤과 같은 가정</t>
      </text>
    </comment>
    <comment ref="AG37" authorId="0" shapeId="0">
      <text>
        <t>모델값 역산(implied): v / 전분기 − 1
전분기 + (순이익 − 배당) — 순차입금 롤과 같은 가정</t>
      </text>
    </comment>
    <comment ref="AH37" authorId="0" shapeId="0">
      <text>
        <t>모델값 역산(implied): v / 전분기 − 1
전분기 + (순이익 − 배당) — 순차입금 롤과 같은 가정</t>
      </text>
    </comment>
    <comment ref="AI37" authorId="0" shapeId="0">
      <text>
        <t>모델값 역산(implied): v / 전분기 − 1
전분기 + (순이익 − 배당) — 순차입금 롤과 같은 가정</t>
      </text>
    </comment>
    <comment ref="AK37" authorId="0" shapeId="0">
      <text>
        <t>모델값 역산(implied): v / 전분기 − 1
전분기 + (순이익 − 배당) — 순차입금 롤과 같은 가정</t>
      </text>
    </comment>
    <comment ref="AL37" authorId="0" shapeId="0">
      <text>
        <t>모델값 역산(implied): v / 전분기 − 1
전분기 + (순이익 − 배당) — 순차입금 롤과 같은 가정</t>
      </text>
    </comment>
    <comment ref="AM37" authorId="0" shapeId="0">
      <text>
        <t>모델값 역산(implied): v / 전분기 − 1
전분기 + (순이익 − 배당) — 순차입금 롤과 같은 가정</t>
      </text>
    </comment>
    <comment ref="AN37" authorId="0" shapeId="0">
      <text>
        <t>모델값 역산(implied): v / 전분기 − 1
전분기 + (순이익 − 배당) — 순차입금 롤과 같은 가정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전년동기 − 1
직전 결산 DPS 30원 유지</t>
      </text>
    </comment>
    <comment ref="AI42" authorId="0" shapeId="0">
      <text>
        <t>모델값 역산(implied): v / 전년동기 − 1
직전 결산 DPS 30원 유지</t>
      </text>
    </comment>
    <comment ref="AN42" authorId="0" shapeId="0">
      <text>
        <t>모델값 역산(implied): v / 전년동기 − 1
직전 결산 DPS 30원 유지</t>
      </text>
    </comment>
    <comment ref="AC44" authorId="0" shapeId="0">
      <text>
        <t>모델값 역산(implied): v / 전년동기 − 1
현재 종가 ÷ BPS(추정 포함)</t>
      </text>
    </comment>
    <comment ref="AD44" authorId="0" shapeId="0">
      <text>
        <t>모델값 역산(implied): v / 전년동기 − 1
현재 종가 ÷ BPS(추정 포함)</t>
      </text>
    </comment>
    <comment ref="AF44" authorId="0" shapeId="0">
      <text>
        <t>모델값 역산(implied): v / 전년동기 − 1
현재 종가 ÷ BPS(추정 포함)</t>
      </text>
    </comment>
    <comment ref="AG44" authorId="0" shapeId="0">
      <text>
        <t>모델값 역산(implied): v / 전년동기 − 1
현재 종가 ÷ BPS(추정 포함)</t>
      </text>
    </comment>
    <comment ref="AH44" authorId="0" shapeId="0">
      <text>
        <t>모델값 역산(implied): v / 전년동기 − 1
현재 종가 ÷ BPS(추정 포함)</t>
      </text>
    </comment>
    <comment ref="AI44" authorId="0" shapeId="0">
      <text>
        <t>모델값 역산(implied): v / 전년동기 − 1
현재 종가 ÷ BPS(추정 포함)</t>
      </text>
    </comment>
    <comment ref="AK44" authorId="0" shapeId="0">
      <text>
        <t>모델값 역산(implied): v / 전년동기 − 1
현재 종가 ÷ BPS(추정 포함)</t>
      </text>
    </comment>
    <comment ref="AL44" authorId="0" shapeId="0">
      <text>
        <t>모델값 역산(implied): v / 전년동기 − 1
현재 종가 ÷ BPS(추정 포함)</t>
      </text>
    </comment>
    <comment ref="AM44" authorId="0" shapeId="0">
      <text>
        <t>모델값 역산(implied): v / 전년동기 − 1
현재 종가 ÷ BPS(추정 포함)</t>
      </text>
    </comment>
    <comment ref="AN44" authorId="0" shapeId="0">
      <text>
        <t>모델값 역산(implied): v / 전년동기 − 1
현재 종가 ÷ BPS(추정 포함)</t>
      </text>
    </comment>
    <comment ref="AC45" authorId="0" shapeId="0">
      <text>
        <t>모델값 역산(implied): v / 매출액
= 매출액 추정(부문 미분리)</t>
      </text>
    </comment>
    <comment ref="AD45" authorId="0" shapeId="0">
      <text>
        <t>모델값 역산(implied): v / 매출액
= 매출액 추정(부문 미분리)</t>
      </text>
    </comment>
    <comment ref="AF45" authorId="0" shapeId="0">
      <text>
        <t>모델값 역산(implied): v / 매출액
= 매출액 추정(부문 미분리)</t>
      </text>
    </comment>
    <comment ref="AG45" authorId="0" shapeId="0">
      <text>
        <t>모델값 역산(implied): v / 매출액
= 매출액 추정(부문 미분리)</t>
      </text>
    </comment>
    <comment ref="AH45" authorId="0" shapeId="0">
      <text>
        <t>모델값 역산(implied): v / 매출액
= 매출액 추정(부문 미분리)</t>
      </text>
    </comment>
    <comment ref="AI45" authorId="0" shapeId="0">
      <text>
        <t>모델값 역산(implied): v / 매출액
= 매출액 추정(부문 미분리)</t>
      </text>
    </comment>
    <comment ref="AK45" authorId="0" shapeId="0">
      <text>
        <t>모델값 역산(implied): v / 매출액
= 매출액 추정(부문 미분리)</t>
      </text>
    </comment>
    <comment ref="AL45" authorId="0" shapeId="0">
      <text>
        <t>모델값 역산(implied): v / 매출액
= 매출액 추정(부문 미분리)</t>
      </text>
    </comment>
    <comment ref="AM45" authorId="0" shapeId="0">
      <text>
        <t>모델값 역산(implied): v / 매출액
= 매출액 추정(부문 미분리)</t>
      </text>
    </comment>
    <comment ref="AN45" authorId="0" shapeId="0">
      <text>
        <t>모델값 역산(implied): v / 매출액
= 매출액 추정(부문 미분리)</t>
      </text>
    </comment>
    <comment ref="AC46" authorId="0" shapeId="0">
      <text>
        <t>모델값 역산(implied): v / 매출전사
= 매출액 × OPM(부문 미분리)</t>
      </text>
    </comment>
    <comment ref="AD46" authorId="0" shapeId="0">
      <text>
        <t>모델값 역산(implied): v / 매출전사
= 매출액 × OPM(부문 미분리)</t>
      </text>
    </comment>
    <comment ref="AF46" authorId="0" shapeId="0">
      <text>
        <t>모델값 역산(implied): v / 매출전사
= 매출액 × OPM(부문 미분리)</t>
      </text>
    </comment>
    <comment ref="AG46" authorId="0" shapeId="0">
      <text>
        <t>모델값 역산(implied): v / 매출전사
= 매출액 × OPM(부문 미분리)</t>
      </text>
    </comment>
    <comment ref="AH46" authorId="0" shapeId="0">
      <text>
        <t>모델값 역산(implied): v / 매출전사
= 매출액 × OPM(부문 미분리)</t>
      </text>
    </comment>
    <comment ref="AI46" authorId="0" shapeId="0">
      <text>
        <t>모델값 역산(implied): v / 매출전사
= 매출액 × OPM(부문 미분리)</t>
      </text>
    </comment>
    <comment ref="AK46" authorId="0" shapeId="0">
      <text>
        <t>모델값 역산(implied): v / 매출전사
= 매출액 × OPM(부문 미분리)</t>
      </text>
    </comment>
    <comment ref="AL46" authorId="0" shapeId="0">
      <text>
        <t>모델값 역산(implied): v / 매출전사
= 매출액 × OPM(부문 미분리)</t>
      </text>
    </comment>
    <comment ref="AM46" authorId="0" shapeId="0">
      <text>
        <t>모델값 역산(implied): v / 매출전사
= 매출액 × OPM(부문 미분리)</t>
      </text>
    </comment>
    <comment ref="AN46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0.6% 유지(클립 −20~40%)
[yoy]</t>
      </text>
    </comment>
    <comment ref="AD10" authorId="0" shapeId="0">
      <text>
        <t>추정: 최근 8분기 OPM 중위 0.6% 유지(클립 −20~40%)
[yoy]</t>
      </text>
    </comment>
    <comment ref="AF10" authorId="0" shapeId="0">
      <text>
        <t>추정: 최근 8분기 OPM 중위 0.6% 유지(클립 −20~40%)
[yoy]</t>
      </text>
    </comment>
    <comment ref="AG10" authorId="0" shapeId="0">
      <text>
        <t>추정: 최근 8분기 OPM 중위 0.6% 유지(클립 −20~40%)
[yoy]</t>
      </text>
    </comment>
    <comment ref="AH10" authorId="0" shapeId="0">
      <text>
        <t>추정: 최근 8분기 OPM 중위 0.6% 유지(클립 −20~40%)
[yoy]</t>
      </text>
    </comment>
    <comment ref="AI10" authorId="0" shapeId="0">
      <text>
        <t>추정: 최근 8분기 OPM 중위 0.6% 유지(클립 −20~40%)
[yoy]</t>
      </text>
    </comment>
    <comment ref="AK10" authorId="0" shapeId="0">
      <text>
        <t>추정: 최근 8분기 OPM 중위 0.6% 유지(클립 −20~40%)
[yoy]</t>
      </text>
    </comment>
    <comment ref="AL10" authorId="0" shapeId="0">
      <text>
        <t>추정: 최근 8분기 OPM 중위 0.6% 유지(클립 −20~40%)
[yoy]</t>
      </text>
    </comment>
    <comment ref="AM10" authorId="0" shapeId="0">
      <text>
        <t>추정: 최근 8분기 OPM 중위 0.6% 유지(클립 −20~40%)
[yoy]</t>
      </text>
    </comment>
    <comment ref="AN10" authorId="0" shapeId="0">
      <text>
        <t>추정: 최근 8분기 OPM 중위 0.6%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[abs]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[abs]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[abs]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[abs]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[abs]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[abs]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[abs]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[abs]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[abs]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[abs]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[abs]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D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F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G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fin.cons.is.(지배주주지분)당기순이익</t>
      </text>
    </comment>
    <comment ref="M19" authorId="0" shapeId="0">
      <text>
        <t>실측(BS연결 시트에 (지배주주지분)당기순이익 2023.06 값 없음 — 모델값 직접) — fin.cons.is.(지배주주지분)당기순이익</t>
      </text>
    </comment>
    <comment ref="N19" authorId="0" shapeId="0">
      <text>
        <t>실측(BS연결 시트에 (지배주주지분)당기순이익 2023.09 값 없음 — 모델값 직접) — fin.cons.is.(지배주주지분)당기순이익</t>
      </text>
    </comment>
    <comment ref="O19" authorId="0" shapeId="0">
      <text>
        <t>실측(BS연결 시트에 (지배주주지분)당기순이익 2023.12 값 없음 — 모델값 직접) — fin.cons.is.(지배주주지분)당기순이익</t>
      </text>
    </comment>
    <comment ref="Q19" authorId="0" shapeId="0">
      <text>
        <t>실측(BS연결 시트에 (지배주주지분)당기순이익 2024.03 값 없음 — 모델값 직접) — fin.cons.is.(지배주주지분)당기순이익</t>
      </text>
    </comment>
    <comment ref="R19" authorId="0" shapeId="0">
      <text>
        <t>실측(BS연결 시트에 (지배주주지분)당기순이익 2024.06 값 없음 — 모델값 직접) — fin.cons.is.(지배주주지분)당기순이익</t>
      </text>
    </comment>
    <comment ref="S19" authorId="0" shapeId="0">
      <text>
        <t>실측(BS연결 시트에 (지배주주지분)당기순이익 2024.09 값 없음 — 모델값 직접) — fin.cons.is.(지배주주지분)당기순이익</t>
      </text>
    </comment>
    <comment ref="T19" authorId="0" shapeId="0">
      <text>
        <t>실측(BS연결 시트에 (지배주주지분)당기순이익 2024.12 값 없음 — 모델값 직접) — fin.cons.is.(지배주주지분)당기순이익</t>
      </text>
    </comment>
    <comment ref="V19" authorId="0" shapeId="0">
      <text>
        <t>실측(BS연결 시트에 (지배주주지분)당기순이익 2025.03 값 없음 — 모델값 직접) — fin.cons.is.(지배주주지분)당기순이익</t>
      </text>
    </comment>
    <comment ref="W19" authorId="0" shapeId="0">
      <text>
        <t>실측(BS연결 시트에 (지배주주지분)당기순이익 2025.06 값 없음 — 모델값 직접) — fin.cons.is.(지배주주지분)당기순이익</t>
      </text>
    </comment>
    <comment ref="X19" authorId="0" shapeId="0">
      <text>
        <t>실측(BS연결 시트에 (지배주주지분)당기순이익 2025.09 값 없음 — 모델값 직접) — fin.cons.is.(지배주주지분)당기순이익</t>
      </text>
    </comment>
    <comment ref="Y19" authorId="0" shapeId="0">
      <text>
        <t>실측(BS연결 시트에 (지배주주지분)당기순이익 2025.12 값 없음 — 모델값 직접) — fin.cons.is.(지배주주지분)당기순이익</t>
      </text>
    </comment>
    <comment ref="AA19" authorId="0" shapeId="0">
      <text>
        <t>실측(BS연결 시트에 (지배주주지분)당기순이익 2026.03 값 없음 — 모델값 직접) — fin.cons.is.(지배주주지분)당기순이익</t>
      </text>
    </comment>
    <comment ref="AB19" authorId="0" shapeId="0">
      <text>
        <t>실측(BS연결 시트에 (지배주주지분)당기순이익 2026.06 값 없음 — 모델값 직접) — fin.cons.is.(지배주주지분)당기순이익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(순이익 − 배당): 순이익 = 순현금 증가 가정(CAPEX≈감가, 운전자본 불변)
[qoq]</t>
      </text>
    </comment>
    <comment ref="AD25" authorId="0" shapeId="0">
      <text>
        <t>추정: 전분기 − (순이익 − 배당): 순이익 = 순현금 증가 가정(CAPEX≈감가, 운전자본 불변)
[qoq]</t>
      </text>
    </comment>
    <comment ref="AF25" authorId="0" shapeId="0">
      <text>
        <t>추정: 전분기 − (순이익 − 배당): 순이익 = 순현금 증가 가정(CAPEX≈감가, 운전자본 불변)
[qoq]</t>
      </text>
    </comment>
    <comment ref="AG25" authorId="0" shapeId="0">
      <text>
        <t>추정: 전분기 − (순이익 − 배당): 순이익 = 순현금 증가 가정(CAPEX≈감가, 운전자본 불변)
[qoq]</t>
      </text>
    </comment>
    <comment ref="AH25" authorId="0" shapeId="0">
      <text>
        <t>추정: 전분기 − (순이익 − 배당): 순이익 = 순현금 증가 가정(CAPEX≈감가, 운전자본 불변)
[qoq]</t>
      </text>
    </comment>
    <comment ref="AI25" authorId="0" shapeId="0">
      <text>
        <t>추정: 전분기 − (순이익 − 배당): 순이익 = 순현금 증가 가정(CAPEX≈감가, 운전자본 불변)
[qoq]</t>
      </text>
    </comment>
    <comment ref="AK25" authorId="0" shapeId="0">
      <text>
        <t>추정: 전분기 − (순이익 − 배당): 순이익 = 순현금 증가 가정(CAPEX≈감가, 운전자본 불변)
[qoq]</t>
      </text>
    </comment>
    <comment ref="AL25" authorId="0" shapeId="0">
      <text>
        <t>추정: 전분기 − (순이익 − 배당): 순이익 = 순현금 증가 가정(CAPEX≈감가, 운전자본 불변)
[qoq]</t>
      </text>
    </comment>
    <comment ref="AM25" authorId="0" shapeId="0">
      <text>
        <t>추정: 전분기 − (순이익 − 배당): 순이익 = 순현금 증가 가정(CAPEX≈감가, 운전자본 불변)
[qoq]</t>
      </text>
    </comment>
    <comment ref="AN25" authorId="0" shapeId="0">
      <text>
        <t>추정: 전분기 − (순이익 − 배당): 순이익 = 순현금 증가 가정(CAPEX≈감가, 운전자본 불변)
[qoq]</t>
      </text>
    </comment>
    <comment ref="AC26" authorId="0" shapeId="0">
      <text>
        <t>추정: 전분기 + (순이익 − 배당) — 순차입금 롤과 같은 가정
[qoq]</t>
      </text>
    </comment>
    <comment ref="AD26" authorId="0" shapeId="0">
      <text>
        <t>추정: 전분기 + (순이익 − 배당) — 순차입금 롤과 같은 가정
[qoq]</t>
      </text>
    </comment>
    <comment ref="AF26" authorId="0" shapeId="0">
      <text>
        <t>추정: 전분기 + (순이익 − 배당) — 순차입금 롤과 같은 가정
[qoq]</t>
      </text>
    </comment>
    <comment ref="AG26" authorId="0" shapeId="0">
      <text>
        <t>추정: 전분기 + (순이익 − 배당) — 순차입금 롤과 같은 가정
[qoq]</t>
      </text>
    </comment>
    <comment ref="AH26" authorId="0" shapeId="0">
      <text>
        <t>추정: 전분기 + (순이익 − 배당) — 순차입금 롤과 같은 가정
[qoq]</t>
      </text>
    </comment>
    <comment ref="AI26" authorId="0" shapeId="0">
      <text>
        <t>추정: 전분기 + (순이익 − 배당) — 순차입금 롤과 같은 가정
[qoq]</t>
      </text>
    </comment>
    <comment ref="AK26" authorId="0" shapeId="0">
      <text>
        <t>추정: 전분기 + (순이익 − 배당) — 순차입금 롤과 같은 가정
[qoq]</t>
      </text>
    </comment>
    <comment ref="AL26" authorId="0" shapeId="0">
      <text>
        <t>추정: 전분기 + (순이익 − 배당) — 순차입금 롤과 같은 가정
[qoq]</t>
      </text>
    </comment>
    <comment ref="AM26" authorId="0" shapeId="0">
      <text>
        <t>추정: 전분기 + (순이익 − 배당) — 순차입금 롤과 같은 가정
[qoq]</t>
      </text>
    </comment>
    <comment ref="AN26" authorId="0" shapeId="0">
      <text>
        <t>추정: 전분기 + (순이익 − 배당) — 순차입금 롤과 같은 가정
[qoq]</t>
      </text>
    </comment>
    <comment ref="E29" authorId="0" shapeId="0">
      <text>
        <t>실측(계정 매핑 없음 — 모델값 직접) — fin.cons.cf.영업활동으로인한현금흐름</t>
      </text>
    </comment>
    <comment ref="G29" authorId="0" shapeId="0">
      <text>
        <t>실측(계정 매핑 없음 — 모델값 직접) — fin.cons.cf.영업활동으로인한현금흐름</t>
      </text>
    </comment>
    <comment ref="H29" authorId="0" shapeId="0">
      <text>
        <t>실측(계정 매핑 없음 — 모델값 직접) — fin.cons.cf.영업활동으로인한현금흐름</t>
      </text>
    </comment>
    <comment ref="I29" authorId="0" shapeId="0">
      <text>
        <t>실측(계정 매핑 없음 — 모델값 직접) — fin.cons.cf.영업활동으로인한현금흐름</t>
      </text>
    </comment>
    <comment ref="J29" authorId="0" shapeId="0">
      <text>
        <t>실측(계정 매핑 없음 — 모델값 직접) — fin.cons.cf.영업활동으로인한현금흐름</t>
      </text>
    </comment>
    <comment ref="L29" authorId="0" shapeId="0">
      <text>
        <t>실측(계정 매핑 없음 — 모델값 직접) — fin.cons.cf.영업활동으로인한현금흐름</t>
      </text>
    </comment>
    <comment ref="M29" authorId="0" shapeId="0">
      <text>
        <t>실측(계정 매핑 없음 — 모델값 직접) — fin.cons.cf.영업활동으로인한현금흐름</t>
      </text>
    </comment>
    <comment ref="N29" authorId="0" shapeId="0">
      <text>
        <t>실측(계정 매핑 없음 — 모델값 직접) — fin.cons.cf.영업활동으로인한현금흐름</t>
      </text>
    </comment>
    <comment ref="O29" authorId="0" shapeId="0">
      <text>
        <t>실측(계정 매핑 없음 — 모델값 직접) — fin.cons.cf.영업활동으로인한현금흐름</t>
      </text>
    </comment>
    <comment ref="Q29" authorId="0" shapeId="0">
      <text>
        <t>실측(계정 매핑 없음 — 모델값 직접) — fin.cons.cf.영업활동으로인한현금흐름</t>
      </text>
    </comment>
    <comment ref="R29" authorId="0" shapeId="0">
      <text>
        <t>실측(계정 매핑 없음 — 모델값 직접) — fin.cons.cf.영업활동으로인한현금흐름</t>
      </text>
    </comment>
    <comment ref="S29" authorId="0" shapeId="0">
      <text>
        <t>실측(계정 매핑 없음 — 모델값 직접) — fin.cons.cf.영업활동으로인한현금흐름</t>
      </text>
    </comment>
    <comment ref="T29" authorId="0" shapeId="0">
      <text>
        <t>실측(계정 매핑 없음 — 모델값 직접) — fin.cons.cf.영업활동으로인한현금흐름</t>
      </text>
    </comment>
    <comment ref="V29" authorId="0" shapeId="0">
      <text>
        <t>실측(계정 매핑 없음 — 모델값 직접) — fin.cons.cf.영업활동으로인한현금흐름</t>
      </text>
    </comment>
    <comment ref="W29" authorId="0" shapeId="0">
      <text>
        <t>실측(계정 매핑 없음 — 모델값 직접) — fin.cons.cf.영업활동으로인한현금흐름</t>
      </text>
    </comment>
    <comment ref="X29" authorId="0" shapeId="0">
      <text>
        <t>실측(계정 매핑 없음 — 모델값 직접) — fin.cons.cf.영업활동으로인한현금흐름</t>
      </text>
    </comment>
    <comment ref="Y29" authorId="0" shapeId="0">
      <text>
        <t>실측(계정 매핑 없음 — 모델값 직접) — fin.cons.cf.영업활동으로인한현금흐름</t>
      </text>
    </comment>
    <comment ref="AA29" authorId="0" shapeId="0">
      <text>
        <t>실측(계정 매핑 없음 — 모델값 직접) — fin.cons.cf.영업활동으로인한현금흐름</t>
      </text>
    </comment>
    <comment ref="AB29" authorId="0" shapeId="0">
      <text>
        <t>실측(계정 매핑 없음 — 모델값 직접) — fin.cons.cf.영업활동으로인한현금흐름</t>
      </text>
    </comment>
    <comment ref="E30" authorId="0" shapeId="0">
      <text>
        <t>실측(계정 매핑 없음 — 모델값 직접) — fin.shares.common_outstanding</t>
      </text>
    </comment>
    <comment ref="G30" authorId="0" shapeId="0">
      <text>
        <t>실측(계정 매핑 없음 — 모델값 직접) — fin.shares.common_outstanding</t>
      </text>
    </comment>
    <comment ref="H30" authorId="0" shapeId="0">
      <text>
        <t>실측(계정 매핑 없음 — 모델값 직접) — fin.shares.common_outstanding</t>
      </text>
    </comment>
    <comment ref="I30" authorId="0" shapeId="0">
      <text>
        <t>실측(계정 매핑 없음 — 모델값 직접) — fin.shares.common_outstanding</t>
      </text>
    </comment>
    <comment ref="J30" authorId="0" shapeId="0">
      <text>
        <t>실측(계정 매핑 없음 — 모델값 직접) — fin.shares.common_outstanding</t>
      </text>
    </comment>
    <comment ref="L30" authorId="0" shapeId="0">
      <text>
        <t>실측(계정 매핑 없음 — 모델값 직접) — fin.shares.common_outstanding</t>
      </text>
    </comment>
    <comment ref="M30" authorId="0" shapeId="0">
      <text>
        <t>실측(계정 매핑 없음 — 모델값 직접) — fin.shares.common_outstanding</t>
      </text>
    </comment>
    <comment ref="N30" authorId="0" shapeId="0">
      <text>
        <t>실측(계정 매핑 없음 — 모델값 직접) — fin.shares.common_outstanding</t>
      </text>
    </comment>
    <comment ref="O30" authorId="0" shapeId="0">
      <text>
        <t>실측(계정 매핑 없음 — 모델값 직접) — fin.shares.common_outstanding</t>
      </text>
    </comment>
    <comment ref="Q30" authorId="0" shapeId="0">
      <text>
        <t>실측(계정 매핑 없음 — 모델값 직접) — fin.shares.common_outstanding</t>
      </text>
    </comment>
    <comment ref="R30" authorId="0" shapeId="0">
      <text>
        <t>실측(계정 매핑 없음 — 모델값 직접) — fin.shares.common_outstanding</t>
      </text>
    </comment>
    <comment ref="S30" authorId="0" shapeId="0">
      <text>
        <t>실측(계정 매핑 없음 — 모델값 직접) — fin.shares.common_outstanding</t>
      </text>
    </comment>
    <comment ref="T30" authorId="0" shapeId="0">
      <text>
        <t>실측(계정 매핑 없음 — 모델값 직접) — fin.shares.common_outstanding</t>
      </text>
    </comment>
    <comment ref="V30" authorId="0" shapeId="0">
      <text>
        <t>실측(계정 매핑 없음 — 모델값 직접) — fin.shares.common_outstanding</t>
      </text>
    </comment>
    <comment ref="W30" authorId="0" shapeId="0">
      <text>
        <t>실측(계정 매핑 없음 — 모델값 직접) — fin.shares.common_outstanding</t>
      </text>
    </comment>
    <comment ref="X30" authorId="0" shapeId="0">
      <text>
        <t>실측(계정 매핑 없음 — 모델값 직접) — fin.shares.common_outstanding</t>
      </text>
    </comment>
    <comment ref="Y30" authorId="0" shapeId="0">
      <text>
        <t>실측(계정 매핑 없음 — 모델값 직접) — fin.shares.common_outstanding</t>
      </text>
    </comment>
    <comment ref="AA30" authorId="0" shapeId="0">
      <text>
        <t>실측(계정 매핑 없음 — 모델값 직접) — fin.shares.common_outstanding</t>
      </text>
    </comment>
    <comment ref="AB30" authorId="0" shapeId="0">
      <text>
        <t>실측(계정 매핑 없음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 — 모델값 직접) — fin.dividend.dps_common(연간, Q4 에 표기)</t>
      </text>
    </comment>
    <comment ref="O33" authorId="0" shapeId="0">
      <text>
        <t>실측(계정 매핑 없음 — 모델값 직접) — fin.dividend.dps_common(연간, Q4 에 표기)</t>
      </text>
    </comment>
    <comment ref="T33" authorId="0" shapeId="0">
      <text>
        <t>실측(계정 매핑 없음 — 모델값 직접) — fin.dividend.dps_common(연간, Q4 에 표기)</t>
      </text>
    </comment>
    <comment ref="Y33" authorId="0" shapeId="0">
      <text>
        <t>실측(계정 매핑 없음 — 모델값 직접) — fin.dividend.dps_common(연간, Q4 에 표기)</t>
      </text>
    </comment>
    <comment ref="AD33" authorId="0" shapeId="0">
      <text>
        <t>추정: 직전 결산 DPS 30원 유지
[yoy]</t>
      </text>
    </comment>
    <comment ref="AI33" authorId="0" shapeId="0">
      <text>
        <t>추정: 직전 결산 DPS 30원 유지
[yoy]</t>
      </text>
    </comment>
    <comment ref="AN33" authorId="0" shapeId="0">
      <text>
        <t>추정: 직전 결산 DPS 30원 유지
[yoy]</t>
      </text>
    </comment>
    <comment ref="I34" authorId="0" shapeId="0">
      <text>
        <t>실측(계정 매핑 없음 — 모델값 직접) — 토스 일봉 분기 평균 ÷ TTM EPS</t>
      </text>
    </comment>
    <comment ref="N34" authorId="0" shapeId="0">
      <text>
        <t>실측(계정 매핑 없음 — 모델값 직접) — 토스 일봉 분기 평균 ÷ TTM EPS</t>
      </text>
    </comment>
    <comment ref="W34" authorId="0" shapeId="0">
      <text>
        <t>실측(계정 매핑 없음 — 모델값 직접) — 토스 일봉 분기 평균 ÷ TTM EPS</t>
      </text>
    </comment>
    <comment ref="X34" authorId="0" shapeId="0">
      <text>
        <t>실측(계정 매핑 없음 — 모델값 직접) — 토스 일봉 분기 평균 ÷ TTM EPS</t>
      </text>
    </comment>
    <comment ref="E35" authorId="0" shapeId="0">
      <text>
        <t>실측(계정 매핑 없음 — 모델값 직접) — 토스 일봉 분기 평균 ÷ BPS</t>
      </text>
    </comment>
    <comment ref="F35" authorId="0" shapeId="0">
      <text>
        <t>연간(actual) — 분기 미완 연도, 모델 a 값 직접</t>
      </text>
    </comment>
    <comment ref="G35" authorId="0" shapeId="0">
      <text>
        <t>실측(계정 매핑 없음 — 모델값 직접) — 토스 일봉 분기 평균 ÷ BPS</t>
      </text>
    </comment>
    <comment ref="H35" authorId="0" shapeId="0">
      <text>
        <t>실측(계정 매핑 없음 — 모델값 직접) — 토스 일봉 분기 평균 ÷ BPS</t>
      </text>
    </comment>
    <comment ref="I35" authorId="0" shapeId="0">
      <text>
        <t>실측(계정 매핑 없음 — 모델값 직접) — 토스 일봉 분기 평균 ÷ BPS</t>
      </text>
    </comment>
    <comment ref="J35" authorId="0" shapeId="0">
      <text>
        <t>실측(계정 매핑 없음 — 모델값 직접) — 토스 일봉 분기 평균 ÷ BPS</t>
      </text>
    </comment>
    <comment ref="L35" authorId="0" shapeId="0">
      <text>
        <t>실측(계정 매핑 없음 — 모델값 직접) — 토스 일봉 분기 평균 ÷ BPS</t>
      </text>
    </comment>
    <comment ref="M35" authorId="0" shapeId="0">
      <text>
        <t>실측(계정 매핑 없음 — 모델값 직접) — 토스 일봉 분기 평균 ÷ BPS</t>
      </text>
    </comment>
    <comment ref="N35" authorId="0" shapeId="0">
      <text>
        <t>실측(계정 매핑 없음 — 모델값 직접) — 토스 일봉 분기 평균 ÷ BPS</t>
      </text>
    </comment>
    <comment ref="O35" authorId="0" shapeId="0">
      <text>
        <t>실측(계정 매핑 없음 — 모델값 직접) — 토스 일봉 분기 평균 ÷ BPS</t>
      </text>
    </comment>
    <comment ref="Q35" authorId="0" shapeId="0">
      <text>
        <t>실측(계정 매핑 없음 — 모델값 직접) — 토스 일봉 분기 평균 ÷ BPS</t>
      </text>
    </comment>
    <comment ref="R35" authorId="0" shapeId="0">
      <text>
        <t>실측(계정 매핑 없음 — 모델값 직접) — 토스 일봉 분기 평균 ÷ BPS</t>
      </text>
    </comment>
    <comment ref="S35" authorId="0" shapeId="0">
      <text>
        <t>실측(계정 매핑 없음 — 모델값 직접) — 토스 일봉 분기 평균 ÷ BPS</t>
      </text>
    </comment>
    <comment ref="T35" authorId="0" shapeId="0">
      <text>
        <t>실측(계정 매핑 없음 — 모델값 직접) — 토스 일봉 분기 평균 ÷ BPS</t>
      </text>
    </comment>
    <comment ref="V35" authorId="0" shapeId="0">
      <text>
        <t>실측(계정 매핑 없음 — 모델값 직접) — 토스 일봉 분기 평균 ÷ BPS</t>
      </text>
    </comment>
    <comment ref="W35" authorId="0" shapeId="0">
      <text>
        <t>실측(계정 매핑 없음 — 모델값 직접) — 토스 일봉 분기 평균 ÷ BPS</t>
      </text>
    </comment>
    <comment ref="X35" authorId="0" shapeId="0">
      <text>
        <t>실측(계정 매핑 없음 — 모델값 직접) — 토스 일봉 분기 평균 ÷ BPS</t>
      </text>
    </comment>
    <comment ref="Y35" authorId="0" shapeId="0">
      <text>
        <t>실측(계정 매핑 없음 — 모델값 직접) — 토스 일봉 분기 평균 ÷ BPS</t>
      </text>
    </comment>
    <comment ref="AA35" authorId="0" shapeId="0">
      <text>
        <t>실측(계정 매핑 없음 — 모델값 직접) — 토스 일봉 분기 평균 ÷ BPS</t>
      </text>
    </comment>
    <comment ref="AB35" authorId="0" shapeId="0">
      <text>
        <t>실측(계정 매핑 없음 — 모델값 직접) — 토스 일봉 분기 평균 ÷ BPS</t>
      </text>
    </comment>
    <comment ref="AC35" authorId="0" shapeId="0">
      <text>
        <t>추정: 현재 종가 ÷ BPS(추정 포함)
[yoy]</t>
      </text>
    </comment>
    <comment ref="AD35" authorId="0" shapeId="0">
      <text>
        <t>추정: 현재 종가 ÷ BPS(추정 포함)
[yoy]</t>
      </text>
    </comment>
    <comment ref="AF35" authorId="0" shapeId="0">
      <text>
        <t>추정: 현재 종가 ÷ BPS(추정 포함)
[yoy]</t>
      </text>
    </comment>
    <comment ref="AG35" authorId="0" shapeId="0">
      <text>
        <t>추정: 현재 종가 ÷ BPS(추정 포함)
[yoy]</t>
      </text>
    </comment>
    <comment ref="AH35" authorId="0" shapeId="0">
      <text>
        <t>추정: 현재 종가 ÷ BPS(추정 포함)
[yoy]</t>
      </text>
    </comment>
    <comment ref="AI35" authorId="0" shapeId="0">
      <text>
        <t>추정: 현재 종가 ÷ BPS(추정 포함)
[yoy]</t>
      </text>
    </comment>
    <comment ref="AK35" authorId="0" shapeId="0">
      <text>
        <t>추정: 현재 종가 ÷ BPS(추정 포함)
[yoy]</t>
      </text>
    </comment>
    <comment ref="AL35" authorId="0" shapeId="0">
      <text>
        <t>추정: 현재 종가 ÷ BPS(추정 포함)
[yoy]</t>
      </text>
    </comment>
    <comment ref="AM35" authorId="0" shapeId="0">
      <text>
        <t>추정: 현재 종가 ÷ BPS(추정 포함)
[yoy]</t>
      </text>
    </comment>
    <comment ref="AN35" authorId="0" shapeId="0">
      <text>
        <t>추정: 현재 종가 ÷ BPS(추정 포함)
[yoy]</t>
      </text>
    </comment>
    <comment ref="E36" authorId="0" shapeId="0">
      <text>
        <t>실측(계정 매핑 없음 — 모델값 직접) — = 매출액(부문 미분리)</t>
      </text>
    </comment>
    <comment ref="G36" authorId="0" shapeId="0">
      <text>
        <t>실측(계정 매핑 없음 — 모델값 직접) — = 매출액(부문 미분리)</t>
      </text>
    </comment>
    <comment ref="H36" authorId="0" shapeId="0">
      <text>
        <t>실측(계정 매핑 없음 — 모델값 직접) — = 매출액(부문 미분리)</t>
      </text>
    </comment>
    <comment ref="I36" authorId="0" shapeId="0">
      <text>
        <t>실측(계정 매핑 없음 — 모델값 직접) — = 매출액(부문 미분리)</t>
      </text>
    </comment>
    <comment ref="J36" authorId="0" shapeId="0">
      <text>
        <t>실측(계정 매핑 없음 — 모델값 직접) — = 매출액(부문 미분리)</t>
      </text>
    </comment>
    <comment ref="L36" authorId="0" shapeId="0">
      <text>
        <t>실측(계정 매핑 없음 — 모델값 직접) — = 매출액(부문 미분리)</t>
      </text>
    </comment>
    <comment ref="M36" authorId="0" shapeId="0">
      <text>
        <t>실측(계정 매핑 없음 — 모델값 직접) — = 매출액(부문 미분리)</t>
      </text>
    </comment>
    <comment ref="N36" authorId="0" shapeId="0">
      <text>
        <t>실측(계정 매핑 없음 — 모델값 직접) — = 매출액(부문 미분리)</t>
      </text>
    </comment>
    <comment ref="O36" authorId="0" shapeId="0">
      <text>
        <t>실측(계정 매핑 없음 — 모델값 직접) — = 매출액(부문 미분리)</t>
      </text>
    </comment>
    <comment ref="Q36" authorId="0" shapeId="0">
      <text>
        <t>실측(계정 매핑 없음 — 모델값 직접) — = 매출액(부문 미분리)</t>
      </text>
    </comment>
    <comment ref="R36" authorId="0" shapeId="0">
      <text>
        <t>실측(계정 매핑 없음 — 모델값 직접) — = 매출액(부문 미분리)</t>
      </text>
    </comment>
    <comment ref="S36" authorId="0" shapeId="0">
      <text>
        <t>실측(계정 매핑 없음 — 모델값 직접) — = 매출액(부문 미분리)</t>
      </text>
    </comment>
    <comment ref="T36" authorId="0" shapeId="0">
      <text>
        <t>실측(계정 매핑 없음 — 모델값 직접) — = 매출액(부문 미분리)</t>
      </text>
    </comment>
    <comment ref="V36" authorId="0" shapeId="0">
      <text>
        <t>실측(계정 매핑 없음 — 모델값 직접) — = 매출액(부문 미분리)</t>
      </text>
    </comment>
    <comment ref="W36" authorId="0" shapeId="0">
      <text>
        <t>실측(계정 매핑 없음 — 모델값 직접) — = 매출액(부문 미분리)</t>
      </text>
    </comment>
    <comment ref="X36" authorId="0" shapeId="0">
      <text>
        <t>실측(계정 매핑 없음 — 모델값 직접) — = 매출액(부문 미분리)</t>
      </text>
    </comment>
    <comment ref="Y36" authorId="0" shapeId="0">
      <text>
        <t>실측(계정 매핑 없음 — 모델값 직접) — = 매출액(부문 미분리)</t>
      </text>
    </comment>
    <comment ref="AA36" authorId="0" shapeId="0">
      <text>
        <t>실측(계정 매핑 없음 — 모델값 직접) — = 매출액(부문 미분리)</t>
      </text>
    </comment>
    <comment ref="AB36" authorId="0" shapeId="0">
      <text>
        <t>실측(계정 매핑 없음 — 모델값 직접) — = 매출액(부문 미분리)</t>
      </text>
    </comment>
    <comment ref="AC36" authorId="0" shapeId="0">
      <text>
        <t>추정: = 매출액 추정(부문 미분리)
[ratio]</t>
      </text>
    </comment>
    <comment ref="AD36" authorId="0" shapeId="0">
      <text>
        <t>추정: = 매출액 추정(부문 미분리)
[ratio]</t>
      </text>
    </comment>
    <comment ref="AF36" authorId="0" shapeId="0">
      <text>
        <t>추정: = 매출액 추정(부문 미분리)
[ratio]</t>
      </text>
    </comment>
    <comment ref="AG36" authorId="0" shapeId="0">
      <text>
        <t>추정: = 매출액 추정(부문 미분리)
[ratio]</t>
      </text>
    </comment>
    <comment ref="AH36" authorId="0" shapeId="0">
      <text>
        <t>추정: = 매출액 추정(부문 미분리)
[ratio]</t>
      </text>
    </comment>
    <comment ref="AI36" authorId="0" shapeId="0">
      <text>
        <t>추정: = 매출액 추정(부문 미분리)
[ratio]</t>
      </text>
    </comment>
    <comment ref="AK36" authorId="0" shapeId="0">
      <text>
        <t>추정: = 매출액 추정(부문 미분리)
[ratio]</t>
      </text>
    </comment>
    <comment ref="AL36" authorId="0" shapeId="0">
      <text>
        <t>추정: = 매출액 추정(부문 미분리)
[ratio]</t>
      </text>
    </comment>
    <comment ref="AM36" authorId="0" shapeId="0">
      <text>
        <t>추정: = 매출액 추정(부문 미분리)
[ratio]</t>
      </text>
    </comment>
    <comment ref="AN36" authorId="0" shapeId="0">
      <text>
        <t>추정: = 매출액 추정(부문 미분리)
[ratio]</t>
      </text>
    </comment>
    <comment ref="E37" authorId="0" shapeId="0">
      <text>
        <t>실측(계정 매핑 없음 — 모델값 직접) — = 영업이익(부문 미분리)</t>
      </text>
    </comment>
    <comment ref="G37" authorId="0" shapeId="0">
      <text>
        <t>실측(계정 매핑 없음 — 모델값 직접) — = 영업이익(부문 미분리)</t>
      </text>
    </comment>
    <comment ref="H37" authorId="0" shapeId="0">
      <text>
        <t>실측(계정 매핑 없음 — 모델값 직접) — = 영업이익(부문 미분리)</t>
      </text>
    </comment>
    <comment ref="I37" authorId="0" shapeId="0">
      <text>
        <t>실측(계정 매핑 없음 — 모델값 직접) — = 영업이익(부문 미분리)</t>
      </text>
    </comment>
    <comment ref="J37" authorId="0" shapeId="0">
      <text>
        <t>실측(계정 매핑 없음 — 모델값 직접) — = 영업이익(부문 미분리)</t>
      </text>
    </comment>
    <comment ref="L37" authorId="0" shapeId="0">
      <text>
        <t>실측(계정 매핑 없음 — 모델값 직접) — = 영업이익(부문 미분리)</t>
      </text>
    </comment>
    <comment ref="M37" authorId="0" shapeId="0">
      <text>
        <t>실측(계정 매핑 없음 — 모델값 직접) — = 영업이익(부문 미분리)</t>
      </text>
    </comment>
    <comment ref="N37" authorId="0" shapeId="0">
      <text>
        <t>실측(계정 매핑 없음 — 모델값 직접) — = 영업이익(부문 미분리)</t>
      </text>
    </comment>
    <comment ref="O37" authorId="0" shapeId="0">
      <text>
        <t>실측(계정 매핑 없음 — 모델값 직접) — = 영업이익(부문 미분리)</t>
      </text>
    </comment>
    <comment ref="Q37" authorId="0" shapeId="0">
      <text>
        <t>실측(계정 매핑 없음 — 모델값 직접) — = 영업이익(부문 미분리)</t>
      </text>
    </comment>
    <comment ref="R37" authorId="0" shapeId="0">
      <text>
        <t>실측(계정 매핑 없음 — 모델값 직접) — = 영업이익(부문 미분리)</t>
      </text>
    </comment>
    <comment ref="S37" authorId="0" shapeId="0">
      <text>
        <t>실측(계정 매핑 없음 — 모델값 직접) — = 영업이익(부문 미분리)</t>
      </text>
    </comment>
    <comment ref="T37" authorId="0" shapeId="0">
      <text>
        <t>실측(계정 매핑 없음 — 모델값 직접) — = 영업이익(부문 미분리)</t>
      </text>
    </comment>
    <comment ref="V37" authorId="0" shapeId="0">
      <text>
        <t>실측(계정 매핑 없음 — 모델값 직접) — = 영업이익(부문 미분리)</t>
      </text>
    </comment>
    <comment ref="W37" authorId="0" shapeId="0">
      <text>
        <t>실측(계정 매핑 없음 — 모델값 직접) — = 영업이익(부문 미분리)</t>
      </text>
    </comment>
    <comment ref="X37" authorId="0" shapeId="0">
      <text>
        <t>실측(계정 매핑 없음 — 모델값 직접) — = 영업이익(부문 미분리)</t>
      </text>
    </comment>
    <comment ref="Y37" authorId="0" shapeId="0">
      <text>
        <t>실측(계정 매핑 없음 — 모델값 직접) — = 영업이익(부문 미분리)</t>
      </text>
    </comment>
    <comment ref="AA37" authorId="0" shapeId="0">
      <text>
        <t>실측(계정 매핑 없음 — 모델값 직접) — = 영업이익(부문 미분리)</t>
      </text>
    </comment>
    <comment ref="AB37" authorId="0" shapeId="0">
      <text>
        <t>실측(계정 매핑 없음 — 모델값 직접) — = 영업이익(부문 미분리)</t>
      </text>
    </comment>
    <comment ref="AC37" authorId="0" shapeId="0">
      <text>
        <t>추정: = 매출액 × OPM(부문 미분리)
[ratio]</t>
      </text>
    </comment>
    <comment ref="AD37" authorId="0" shapeId="0">
      <text>
        <t>추정: = 매출액 × OPM(부문 미분리)
[ratio]</t>
      </text>
    </comment>
    <comment ref="AF37" authorId="0" shapeId="0">
      <text>
        <t>추정: = 매출액 × OPM(부문 미분리)
[ratio]</t>
      </text>
    </comment>
    <comment ref="AG37" authorId="0" shapeId="0">
      <text>
        <t>추정: = 매출액 × OPM(부문 미분리)
[ratio]</t>
      </text>
    </comment>
    <comment ref="AH37" authorId="0" shapeId="0">
      <text>
        <t>추정: = 매출액 × OPM(부문 미분리)
[ratio]</t>
      </text>
    </comment>
    <comment ref="AI37" authorId="0" shapeId="0">
      <text>
        <t>추정: = 매출액 × OPM(부문 미분리)
[ratio]</t>
      </text>
    </comment>
    <comment ref="AK37" authorId="0" shapeId="0">
      <text>
        <t>추정: = 매출액 × OPM(부문 미분리)
[ratio]</t>
      </text>
    </comment>
    <comment ref="AL37" authorId="0" shapeId="0">
      <text>
        <t>추정: = 매출액 × OPM(부문 미분리)
[ratio]</t>
      </text>
    </comment>
    <comment ref="AM37" authorId="0" shapeId="0">
      <text>
        <t>추정: = 매출액 × OPM(부문 미분리)
[ratio]</t>
      </text>
    </comment>
    <comment ref="AN37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assets/models/002220.json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</v>
      </c>
      <c r="AD21" s="24" t="n">
        <v>0.09965599999999999</v>
      </c>
      <c r="AE21" s="25" t="n"/>
      <c r="AF21" s="24" t="n">
        <v>0.099661</v>
      </c>
      <c r="AG21" s="24" t="n">
        <v>0.099661</v>
      </c>
      <c r="AH21" s="24" t="n">
        <v>0.049814</v>
      </c>
      <c r="AI21" s="24" t="n">
        <v>0.049832</v>
      </c>
      <c r="AJ21" s="25" t="n"/>
      <c r="AK21" s="24" t="n">
        <v>0.049824</v>
      </c>
      <c r="AL21" s="24" t="n">
        <v>0.049814</v>
      </c>
      <c r="AM21" s="24" t="n">
        <v>0.024926</v>
      </c>
      <c r="AN21" s="24" t="n">
        <v>0.024909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0.060206</v>
      </c>
      <c r="AD22" s="24" t="n">
        <v>0.0602</v>
      </c>
      <c r="AE22" s="25">
        <f>IFERROR(subQ!AE8/subQ!AE5,"")</f>
        <v/>
      </c>
      <c r="AF22" s="24" t="n">
        <v>0.0602</v>
      </c>
      <c r="AG22" s="24" t="n">
        <v>0.060196</v>
      </c>
      <c r="AH22" s="24" t="n">
        <v>0.060195</v>
      </c>
      <c r="AI22" s="24" t="n">
        <v>0.060205</v>
      </c>
      <c r="AJ22" s="25">
        <f>IFERROR(subQ!AJ8/subQ!AJ5,"")</f>
        <v/>
      </c>
      <c r="AK22" s="24" t="n">
        <v>0.060199</v>
      </c>
      <c r="AL22" s="24" t="n">
        <v>0.060201</v>
      </c>
      <c r="AM22" s="24" t="n">
        <v>0.060193</v>
      </c>
      <c r="AN22" s="24" t="n">
        <v>0.060203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</v>
      </c>
      <c r="AD23" s="24" t="n">
        <v>0.005652</v>
      </c>
      <c r="AE23" s="25">
        <f>IFERROR(subQ!AE9/subQ!AE5,"")</f>
        <v/>
      </c>
      <c r="AF23" s="24" t="n">
        <v>0.005644</v>
      </c>
      <c r="AG23" s="24" t="n">
        <v>0.00564</v>
      </c>
      <c r="AH23" s="24" t="n">
        <v>0.00564</v>
      </c>
      <c r="AI23" s="24" t="n">
        <v>0.005649</v>
      </c>
      <c r="AJ23" s="25">
        <f>IFERROR(subQ!AJ9/subQ!AJ5,"")</f>
        <v/>
      </c>
      <c r="AK23" s="24" t="n">
        <v>0.005642</v>
      </c>
      <c r="AL23" s="24" t="n">
        <v>0.005639</v>
      </c>
      <c r="AM23" s="24" t="n">
        <v>0.005652</v>
      </c>
      <c r="AN23" s="24" t="n">
        <v>0.005641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-0.8</v>
      </c>
      <c r="AD24" s="24" t="n">
        <v>8.333333</v>
      </c>
      <c r="AE24" s="25" t="n"/>
      <c r="AF24" s="24" t="n">
        <v>-0.253333</v>
      </c>
      <c r="AG24" s="24" t="n">
        <v>-0.878788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-18.76</v>
      </c>
      <c r="AD25" s="29" t="n">
        <v>-18.85</v>
      </c>
      <c r="AE25" s="30">
        <f>subQ!AE11</f>
        <v/>
      </c>
      <c r="AF25" s="29" t="n">
        <v>-18.94</v>
      </c>
      <c r="AG25" s="29" t="n">
        <v>-19.03</v>
      </c>
      <c r="AH25" s="29" t="n">
        <v>-19.17</v>
      </c>
      <c r="AI25" s="29" t="n">
        <v>-19.26</v>
      </c>
      <c r="AJ25" s="30">
        <f>subQ!AJ11</f>
        <v/>
      </c>
      <c r="AK25" s="29" t="n">
        <v>-19.36</v>
      </c>
      <c r="AL25" s="29" t="n">
        <v>-19.44</v>
      </c>
      <c r="AM25" s="29" t="n">
        <v>-19.59</v>
      </c>
      <c r="AN25" s="29" t="n">
        <v>-19.68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-18.76</v>
      </c>
      <c r="AD26" s="29" t="n">
        <v>-18.85</v>
      </c>
      <c r="AE26" s="30">
        <f>subQ!AE12</f>
        <v/>
      </c>
      <c r="AF26" s="29" t="n">
        <v>-18.94</v>
      </c>
      <c r="AG26" s="29" t="n">
        <v>-19.03</v>
      </c>
      <c r="AH26" s="29" t="n">
        <v>-19.17</v>
      </c>
      <c r="AI26" s="29" t="n">
        <v>-19.26</v>
      </c>
      <c r="AJ26" s="30">
        <f>subQ!AJ12</f>
        <v/>
      </c>
      <c r="AK26" s="29" t="n">
        <v>-19.36</v>
      </c>
      <c r="AL26" s="29" t="n">
        <v>-19.44</v>
      </c>
      <c r="AM26" s="29" t="n">
        <v>-19.59</v>
      </c>
      <c r="AN26" s="29" t="n">
        <v>-19.68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31" t="n"/>
      <c r="AD27" s="31" t="n"/>
      <c r="AE27" s="25" t="n"/>
      <c r="AF27" s="31" t="n"/>
      <c r="AG27" s="31" t="n"/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drv:지분법손익</t>
        </is>
      </c>
      <c r="B29" s="2" t="inlineStr">
        <is>
          <t>abs</t>
        </is>
      </c>
      <c r="C29" t="inlineStr">
        <is>
          <t>지분법손익 (가정, 억원)</t>
        </is>
      </c>
      <c r="E29" s="26">
        <f>subQ!E15</f>
        <v/>
      </c>
      <c r="F29" s="27">
        <f>subQ!F15</f>
        <v/>
      </c>
      <c r="G29" s="26">
        <f>subQ!G15</f>
        <v/>
      </c>
      <c r="H29" s="26">
        <f>subQ!H15</f>
        <v/>
      </c>
      <c r="I29" s="26">
        <f>subQ!I15</f>
        <v/>
      </c>
      <c r="J29" s="26">
        <f>subQ!J15</f>
        <v/>
      </c>
      <c r="K29" s="27">
        <f>subQ!K15</f>
        <v/>
      </c>
      <c r="L29" s="26">
        <f>subQ!L15</f>
        <v/>
      </c>
      <c r="M29" s="26">
        <f>subQ!M15</f>
        <v/>
      </c>
      <c r="N29" s="26">
        <f>subQ!N15</f>
        <v/>
      </c>
      <c r="O29" s="26">
        <f>subQ!O15</f>
        <v/>
      </c>
      <c r="P29" s="27">
        <f>subQ!P15</f>
        <v/>
      </c>
      <c r="Q29" s="26">
        <f>subQ!Q15</f>
        <v/>
      </c>
      <c r="R29" s="26">
        <f>subQ!R15</f>
        <v/>
      </c>
      <c r="S29" s="26">
        <f>subQ!S15</f>
        <v/>
      </c>
      <c r="T29" s="26">
        <f>subQ!T15</f>
        <v/>
      </c>
      <c r="U29" s="27">
        <f>subQ!U15</f>
        <v/>
      </c>
      <c r="V29" s="26">
        <f>subQ!V15</f>
        <v/>
      </c>
      <c r="W29" s="26">
        <f>subQ!W15</f>
        <v/>
      </c>
      <c r="X29" s="26">
        <f>subQ!X15</f>
        <v/>
      </c>
      <c r="Y29" s="26">
        <f>subQ!Y15</f>
        <v/>
      </c>
      <c r="Z29" s="27">
        <f>subQ!Z15</f>
        <v/>
      </c>
      <c r="AA29" s="26">
        <f>subQ!AA15</f>
        <v/>
      </c>
      <c r="AB29" s="28">
        <f>subQ!AB15</f>
        <v/>
      </c>
      <c r="AC29" s="29" t="n">
        <v>4.94</v>
      </c>
      <c r="AD29" s="29" t="n">
        <v>4.94</v>
      </c>
      <c r="AE29" s="30">
        <f>subQ!AE15</f>
        <v/>
      </c>
      <c r="AF29" s="29" t="n">
        <v>4.94</v>
      </c>
      <c r="AG29" s="29" t="n">
        <v>4.94</v>
      </c>
      <c r="AH29" s="29" t="n">
        <v>4.94</v>
      </c>
      <c r="AI29" s="29" t="n">
        <v>4.94</v>
      </c>
      <c r="AJ29" s="30">
        <f>subQ!AJ15</f>
        <v/>
      </c>
      <c r="AK29" s="29" t="n">
        <v>4.94</v>
      </c>
      <c r="AL29" s="29" t="n">
        <v>4.94</v>
      </c>
      <c r="AM29" s="29" t="n">
        <v>4.94</v>
      </c>
      <c r="AN29" s="29" t="n">
        <v>4.94</v>
      </c>
      <c r="AO29" s="30">
        <f>subQ!AO15</f>
        <v/>
      </c>
    </row>
    <row r="30">
      <c r="A30" s="12" t="inlineStr">
        <is>
          <t>drv:법인세비용</t>
        </is>
      </c>
      <c r="B30" s="2" t="inlineStr">
        <is>
          <t>ratio</t>
        </is>
      </c>
      <c r="C30" t="inlineStr">
        <is>
          <t>법인세율(/세전)</t>
        </is>
      </c>
      <c r="E30" s="21">
        <f>IFERROR(subQ!E17/subQ!E16,"")</f>
        <v/>
      </c>
      <c r="F30" s="22">
        <f>IFERROR(subQ!F17/subQ!F16,"")</f>
        <v/>
      </c>
      <c r="G30" s="21">
        <f>IFERROR(subQ!G17/subQ!G16,"")</f>
        <v/>
      </c>
      <c r="H30" s="21">
        <f>IFERROR(subQ!H17/subQ!H16,"")</f>
        <v/>
      </c>
      <c r="I30" s="21">
        <f>IFERROR(subQ!I17/subQ!I16,"")</f>
        <v/>
      </c>
      <c r="J30" s="21">
        <f>IFERROR(subQ!J17/subQ!J16,"")</f>
        <v/>
      </c>
      <c r="K30" s="22">
        <f>IFERROR(subQ!K17/subQ!K16,"")</f>
        <v/>
      </c>
      <c r="L30" s="21">
        <f>IFERROR(subQ!L17/subQ!L16,"")</f>
        <v/>
      </c>
      <c r="M30" s="21">
        <f>IFERROR(subQ!M17/subQ!M16,"")</f>
        <v/>
      </c>
      <c r="N30" s="21">
        <f>IFERROR(subQ!N17/subQ!N16,"")</f>
        <v/>
      </c>
      <c r="O30" s="21">
        <f>IFERROR(subQ!O17/subQ!O16,"")</f>
        <v/>
      </c>
      <c r="P30" s="22">
        <f>IFERROR(subQ!P17/subQ!P16,"")</f>
        <v/>
      </c>
      <c r="Q30" s="21">
        <f>IFERROR(subQ!Q17/subQ!Q16,"")</f>
        <v/>
      </c>
      <c r="R30" s="21">
        <f>IFERROR(subQ!R17/subQ!R16,"")</f>
        <v/>
      </c>
      <c r="S30" s="21">
        <f>IFERROR(subQ!S17/subQ!S16,"")</f>
        <v/>
      </c>
      <c r="T30" s="21">
        <f>IFERROR(subQ!T17/subQ!T16,"")</f>
        <v/>
      </c>
      <c r="U30" s="22">
        <f>IFERROR(subQ!U17/subQ!U16,"")</f>
        <v/>
      </c>
      <c r="V30" s="21">
        <f>IFERROR(subQ!V17/subQ!V16,"")</f>
        <v/>
      </c>
      <c r="W30" s="21">
        <f>IFERROR(subQ!W17/subQ!W16,"")</f>
        <v/>
      </c>
      <c r="X30" s="21">
        <f>IFERROR(subQ!X17/subQ!X16,"")</f>
        <v/>
      </c>
      <c r="Y30" s="21">
        <f>IFERROR(subQ!Y17/subQ!Y16,"")</f>
        <v/>
      </c>
      <c r="Z30" s="22">
        <f>IFERROR(subQ!Z17/subQ!Z16,"")</f>
        <v/>
      </c>
      <c r="AA30" s="21">
        <f>IFERROR(subQ!AA17/subQ!AA16,"")</f>
        <v/>
      </c>
      <c r="AB30" s="23">
        <f>IFERROR(subQ!AB17/subQ!AB16,"")</f>
        <v/>
      </c>
      <c r="AC30" s="24" t="n">
        <v>-0</v>
      </c>
      <c r="AD30" s="24" t="n">
        <v>-0</v>
      </c>
      <c r="AE30" s="25">
        <f>IFERROR(subQ!AE17/subQ!AE16,"")</f>
        <v/>
      </c>
      <c r="AF30" s="24" t="n">
        <v>-0</v>
      </c>
      <c r="AG30" s="24" t="n">
        <v>-0</v>
      </c>
      <c r="AH30" s="24" t="n">
        <v>-0</v>
      </c>
      <c r="AI30" s="24" t="n">
        <v>-0</v>
      </c>
      <c r="AJ30" s="25">
        <f>IFERROR(subQ!AJ17/subQ!AJ16,"")</f>
        <v/>
      </c>
      <c r="AK30" s="24" t="n">
        <v>-0</v>
      </c>
      <c r="AL30" s="24" t="n">
        <v>-0</v>
      </c>
      <c r="AM30" s="24" t="n">
        <v>-0</v>
      </c>
      <c r="AN30" s="24" t="n">
        <v>-0</v>
      </c>
      <c r="AO30" s="25">
        <f>IFERROR(subQ!AO17/subQ!AO16,"")</f>
        <v/>
      </c>
    </row>
    <row r="31">
      <c r="A31" s="12" t="inlineStr">
        <is>
          <t>drv:지배주주순이익</t>
        </is>
      </c>
      <c r="B31" s="2" t="inlineStr">
        <is>
          <t>ratio</t>
        </is>
      </c>
      <c r="C31" t="inlineStr">
        <is>
          <t>지배주주 비중(/당기순이익)</t>
        </is>
      </c>
      <c r="E31" s="21">
        <f>IFERROR(subQ!E19/subQ!E18,"")</f>
        <v/>
      </c>
      <c r="F31" s="22">
        <f>IFERROR(subQ!F19/subQ!F18,"")</f>
        <v/>
      </c>
      <c r="G31" s="21">
        <f>IFERROR(subQ!G19/subQ!G18,"")</f>
        <v/>
      </c>
      <c r="H31" s="21">
        <f>IFERROR(subQ!H19/subQ!H18,"")</f>
        <v/>
      </c>
      <c r="I31" s="21">
        <f>IFERROR(subQ!I19/subQ!I18,"")</f>
        <v/>
      </c>
      <c r="J31" s="21">
        <f>IFERROR(subQ!J19/subQ!J18,"")</f>
        <v/>
      </c>
      <c r="K31" s="22">
        <f>IFERROR(subQ!K19/subQ!K18,"")</f>
        <v/>
      </c>
      <c r="L31" s="21">
        <f>IFERROR(subQ!L19/subQ!L18,"")</f>
        <v/>
      </c>
      <c r="M31" s="21">
        <f>IFERROR(subQ!M19/subQ!M18,"")</f>
        <v/>
      </c>
      <c r="N31" s="21">
        <f>IFERROR(subQ!N19/subQ!N18,"")</f>
        <v/>
      </c>
      <c r="O31" s="21">
        <f>IFERROR(subQ!O19/subQ!O18,"")</f>
        <v/>
      </c>
      <c r="P31" s="22">
        <f>IFERROR(subQ!P19/subQ!P18,"")</f>
        <v/>
      </c>
      <c r="Q31" s="21">
        <f>IFERROR(subQ!Q19/subQ!Q18,"")</f>
        <v/>
      </c>
      <c r="R31" s="21">
        <f>IFERROR(subQ!R19/subQ!R18,"")</f>
        <v/>
      </c>
      <c r="S31" s="21">
        <f>IFERROR(subQ!S19/subQ!S18,"")</f>
        <v/>
      </c>
      <c r="T31" s="21">
        <f>IFERROR(subQ!T19/subQ!T18,"")</f>
        <v/>
      </c>
      <c r="U31" s="22">
        <f>IFERROR(subQ!U19/subQ!U18,"")</f>
        <v/>
      </c>
      <c r="V31" s="21">
        <f>IFERROR(subQ!V19/subQ!V18,"")</f>
        <v/>
      </c>
      <c r="W31" s="21">
        <f>IFERROR(subQ!W19/subQ!W18,"")</f>
        <v/>
      </c>
      <c r="X31" s="21">
        <f>IFERROR(subQ!X19/subQ!X18,"")</f>
        <v/>
      </c>
      <c r="Y31" s="21">
        <f>IFERROR(subQ!Y19/subQ!Y18,"")</f>
        <v/>
      </c>
      <c r="Z31" s="22">
        <f>IFERROR(subQ!Z19/subQ!Z18,"")</f>
        <v/>
      </c>
      <c r="AA31" s="21">
        <f>IFERROR(subQ!AA19/subQ!AA18,"")</f>
        <v/>
      </c>
      <c r="AB31" s="23">
        <f>IFERROR(subQ!AB19/subQ!AB18,"")</f>
        <v/>
      </c>
      <c r="AC31" s="24" t="n">
        <v>1</v>
      </c>
      <c r="AD31" s="24" t="n">
        <v>1</v>
      </c>
      <c r="AE31" s="25">
        <f>IFERROR(subQ!AE19/subQ!AE18,"")</f>
        <v/>
      </c>
      <c r="AF31" s="24" t="n">
        <v>1</v>
      </c>
      <c r="AG31" s="24" t="n">
        <v>1</v>
      </c>
      <c r="AH31" s="24" t="n">
        <v>1</v>
      </c>
      <c r="AI31" s="24" t="n">
        <v>1</v>
      </c>
      <c r="AJ31" s="25">
        <f>IFERROR(subQ!AJ19/subQ!AJ18,"")</f>
        <v/>
      </c>
      <c r="AK31" s="24" t="n">
        <v>1</v>
      </c>
      <c r="AL31" s="24" t="n">
        <v>1</v>
      </c>
      <c r="AM31" s="24" t="n">
        <v>1</v>
      </c>
      <c r="AN31" s="24" t="n">
        <v>1</v>
      </c>
      <c r="AO31" s="25">
        <f>IFERROR(subQ!AO19/subQ!AO18,"")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6" t="n"/>
      <c r="F33" s="27" t="n"/>
      <c r="G33" s="26">
        <f>IFERROR(subQ!E22+subQ!G18-subQ!G22,"")</f>
        <v/>
      </c>
      <c r="H33" s="26">
        <f>IFERROR(subQ!G22+subQ!H18-subQ!H22,"")</f>
        <v/>
      </c>
      <c r="I33" s="26">
        <f>IFERROR(subQ!H22+subQ!I18-subQ!I22,"")</f>
        <v/>
      </c>
      <c r="J33" s="26">
        <f>IFERROR(subQ!I22+subQ!J18-subQ!J22,"")</f>
        <v/>
      </c>
      <c r="K33" s="27" t="n"/>
      <c r="L33" s="26">
        <f>IFERROR(subQ!J22+subQ!L18-subQ!L22,"")</f>
        <v/>
      </c>
      <c r="M33" s="26">
        <f>IFERROR(subQ!L22+subQ!M18-subQ!M22,"")</f>
        <v/>
      </c>
      <c r="N33" s="26">
        <f>IFERROR(subQ!M22+subQ!N18-subQ!N22,"")</f>
        <v/>
      </c>
      <c r="O33" s="26">
        <f>IFERROR(subQ!N22+subQ!O18-subQ!O22,"")</f>
        <v/>
      </c>
      <c r="P33" s="27" t="n"/>
      <c r="Q33" s="26">
        <f>IFERROR(subQ!O22+subQ!Q18-subQ!Q22,"")</f>
        <v/>
      </c>
      <c r="R33" s="26">
        <f>IFERROR(subQ!Q22+subQ!R18-subQ!R22,"")</f>
        <v/>
      </c>
      <c r="S33" s="26">
        <f>IFERROR(subQ!R22+subQ!S18-subQ!S22,"")</f>
        <v/>
      </c>
      <c r="T33" s="26">
        <f>IFERROR(subQ!S22+subQ!T18-subQ!T22,"")</f>
        <v/>
      </c>
      <c r="U33" s="27" t="n"/>
      <c r="V33" s="26">
        <f>IFERROR(subQ!T22+subQ!V18-subQ!V22,"")</f>
        <v/>
      </c>
      <c r="W33" s="26">
        <f>IFERROR(subQ!V22+subQ!W18-subQ!W22,"")</f>
        <v/>
      </c>
      <c r="X33" s="26">
        <f>IFERROR(subQ!W22+subQ!X18-subQ!X22,"")</f>
        <v/>
      </c>
      <c r="Y33" s="26">
        <f>IFERROR(subQ!X22+subQ!Y18-subQ!Y22,"")</f>
        <v/>
      </c>
      <c r="Z33" s="27" t="n"/>
      <c r="AA33" s="26">
        <f>IFERROR(subQ!Y22+subQ!AA18-subQ!AA22,"")</f>
        <v/>
      </c>
      <c r="AB33" s="28">
        <f>IFERROR(subQ!AA22+subQ!AB18-subQ!AB22,"")</f>
        <v/>
      </c>
      <c r="AC33" s="29" t="n">
        <v>0.0022</v>
      </c>
      <c r="AD33" s="29" t="n">
        <v>-0.01</v>
      </c>
      <c r="AE33" s="30" t="n"/>
      <c r="AF33" s="29" t="n">
        <v>0</v>
      </c>
      <c r="AG33" s="29" t="n">
        <v>7.12</v>
      </c>
      <c r="AH33" s="29" t="n">
        <v>0</v>
      </c>
      <c r="AI33" s="29" t="n">
        <v>0</v>
      </c>
      <c r="AJ33" s="30" t="n"/>
      <c r="AK33" s="29" t="n">
        <v>0</v>
      </c>
      <c r="AL33" s="29" t="n">
        <v>7.12</v>
      </c>
      <c r="AM33" s="29" t="n">
        <v>-0.01</v>
      </c>
      <c r="AN33" s="29" t="n">
        <v>0.01</v>
      </c>
      <c r="AO33" s="30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6" t="n"/>
      <c r="F34" s="27" t="n"/>
      <c r="G34" s="26">
        <f>IFERROR(subQ!E23+subQ!G19-subQ!G23,"")</f>
        <v/>
      </c>
      <c r="H34" s="26">
        <f>IFERROR(subQ!G23+subQ!H19-subQ!H23,"")</f>
        <v/>
      </c>
      <c r="I34" s="26">
        <f>IFERROR(subQ!H23+subQ!I19-subQ!I23,"")</f>
        <v/>
      </c>
      <c r="J34" s="26">
        <f>IFERROR(subQ!I23+subQ!J19-subQ!J23,"")</f>
        <v/>
      </c>
      <c r="K34" s="27" t="n"/>
      <c r="L34" s="26">
        <f>IFERROR(subQ!J23+subQ!L19-subQ!L23,"")</f>
        <v/>
      </c>
      <c r="M34" s="26">
        <f>IFERROR(subQ!L23+subQ!M19-subQ!M23,"")</f>
        <v/>
      </c>
      <c r="N34" s="26">
        <f>IFERROR(subQ!M23+subQ!N19-subQ!N23,"")</f>
        <v/>
      </c>
      <c r="O34" s="26">
        <f>IFERROR(subQ!N23+subQ!O19-subQ!O23,"")</f>
        <v/>
      </c>
      <c r="P34" s="27" t="n"/>
      <c r="Q34" s="26">
        <f>IFERROR(subQ!O23+subQ!Q19-subQ!Q23,"")</f>
        <v/>
      </c>
      <c r="R34" s="26">
        <f>IFERROR(subQ!Q23+subQ!R19-subQ!R23,"")</f>
        <v/>
      </c>
      <c r="S34" s="26">
        <f>IFERROR(subQ!R23+subQ!S19-subQ!S23,"")</f>
        <v/>
      </c>
      <c r="T34" s="26">
        <f>IFERROR(subQ!S23+subQ!T19-subQ!T23,"")</f>
        <v/>
      </c>
      <c r="U34" s="27" t="n"/>
      <c r="V34" s="26">
        <f>IFERROR(subQ!T23+subQ!V19-subQ!V23,"")</f>
        <v/>
      </c>
      <c r="W34" s="26">
        <f>IFERROR(subQ!V23+subQ!W19-subQ!W23,"")</f>
        <v/>
      </c>
      <c r="X34" s="26">
        <f>IFERROR(subQ!W23+subQ!X19-subQ!X23,"")</f>
        <v/>
      </c>
      <c r="Y34" s="26">
        <f>IFERROR(subQ!X23+subQ!Y19-subQ!Y23,"")</f>
        <v/>
      </c>
      <c r="Z34" s="27" t="n"/>
      <c r="AA34" s="26">
        <f>IFERROR(subQ!Y23+subQ!AA19-subQ!AA23,"")</f>
        <v/>
      </c>
      <c r="AB34" s="28">
        <f>IFERROR(subQ!AA23+subQ!AB19-subQ!AB23,"")</f>
        <v/>
      </c>
      <c r="AC34" s="29" t="n">
        <v>-0.0035</v>
      </c>
      <c r="AD34" s="29" t="n">
        <v>0</v>
      </c>
      <c r="AE34" s="30" t="n"/>
      <c r="AF34" s="29" t="n">
        <v>0</v>
      </c>
      <c r="AG34" s="29" t="n">
        <v>7.12</v>
      </c>
      <c r="AH34" s="29" t="n">
        <v>0</v>
      </c>
      <c r="AI34" s="29" t="n">
        <v>-0.01</v>
      </c>
      <c r="AJ34" s="30" t="n"/>
      <c r="AK34" s="29" t="n">
        <v>-0</v>
      </c>
      <c r="AL34" s="29" t="n">
        <v>7.12</v>
      </c>
      <c r="AM34" s="29" t="n">
        <v>0</v>
      </c>
      <c r="AN34" s="29" t="n">
        <v>-0</v>
      </c>
      <c r="AO34" s="30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4e-06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0.014157</v>
      </c>
      <c r="AD36" s="24" t="n">
        <v>0.014483</v>
      </c>
      <c r="AE36" s="25" t="n"/>
      <c r="AF36" s="24" t="n">
        <v>0.013115</v>
      </c>
      <c r="AG36" s="24" t="n">
        <v>0.022123</v>
      </c>
      <c r="AH36" s="24" t="n">
        <v>0.013599</v>
      </c>
      <c r="AI36" s="24" t="n">
        <v>0.013933</v>
      </c>
      <c r="AJ36" s="25" t="n"/>
      <c r="AK36" s="24" t="n">
        <v>0.01259</v>
      </c>
      <c r="AL36" s="24" t="n">
        <v>0.021062</v>
      </c>
      <c r="AM36" s="24" t="n">
        <v>0.013197</v>
      </c>
      <c r="AN36" s="24" t="n">
        <v>0.013522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-0.023106</v>
      </c>
      <c r="AD37" s="24" t="n">
        <v>-0.024537</v>
      </c>
      <c r="AE37" s="25" t="n"/>
      <c r="AF37" s="24" t="n">
        <v>-0.023109</v>
      </c>
      <c r="AG37" s="24" t="n">
        <v>-0.040403</v>
      </c>
      <c r="AH37" s="24" t="n">
        <v>-0.02647</v>
      </c>
      <c r="AI37" s="24" t="n">
        <v>-0.02826</v>
      </c>
      <c r="AJ37" s="25" t="n"/>
      <c r="AK37" s="24" t="n">
        <v>-0.026622</v>
      </c>
      <c r="AL37" s="24" t="n">
        <v>-0.046329</v>
      </c>
      <c r="AM37" s="24" t="n">
        <v>-0.031052</v>
      </c>
      <c r="AN37" s="24" t="n">
        <v>-0.03333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yoy</t>
        </is>
      </c>
      <c r="C42" t="inlineStr">
        <is>
          <t>DPS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24" t="n">
        <v>0</v>
      </c>
      <c r="AE42" s="25" t="n"/>
      <c r="AF42" s="31" t="n"/>
      <c r="AG42" s="31" t="n"/>
      <c r="AH42" s="31" t="n"/>
      <c r="AI42" s="24" t="n">
        <v>0</v>
      </c>
      <c r="AJ42" s="25" t="n"/>
      <c r="AK42" s="31" t="n"/>
      <c r="AL42" s="31" t="n"/>
      <c r="AM42" s="31" t="n"/>
      <c r="AN42" s="24" t="n">
        <v>0</v>
      </c>
      <c r="AO42" s="25" t="n"/>
    </row>
    <row r="43">
      <c r="A43" s="12" t="inlineStr">
        <is>
          <t>drv:PER</t>
        </is>
      </c>
      <c r="B43" s="2" t="inlineStr">
        <is>
          <t>yoy</t>
        </is>
      </c>
      <c r="C43" t="inlineStr">
        <is>
          <t>PER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drv:PBR</t>
        </is>
      </c>
      <c r="B44" s="2" t="inlineStr">
        <is>
          <t>yoy</t>
        </is>
      </c>
      <c r="C44" t="inlineStr">
        <is>
          <t>PBR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-0.069767</v>
      </c>
      <c r="AD44" s="24" t="n">
        <v>-0.384615</v>
      </c>
      <c r="AE44" s="25" t="n"/>
      <c r="AF44" s="24" t="n">
        <v>-0.369231</v>
      </c>
      <c r="AG44" s="24" t="n">
        <v>-0.422535</v>
      </c>
      <c r="AH44" s="24" t="n">
        <v>0.025</v>
      </c>
      <c r="AI44" s="24" t="n">
        <v>0.05</v>
      </c>
      <c r="AJ44" s="25" t="n"/>
      <c r="AK44" s="24" t="n">
        <v>0.02439</v>
      </c>
      <c r="AL44" s="24" t="n">
        <v>0.04878</v>
      </c>
      <c r="AM44" s="24" t="n">
        <v>0.04878</v>
      </c>
      <c r="AN44" s="24" t="n">
        <v>0.02381</v>
      </c>
      <c r="AO44" s="25" t="n"/>
    </row>
    <row r="45">
      <c r="A45" s="12" t="inlineStr">
        <is>
          <t>drv:매출전사</t>
        </is>
      </c>
      <c r="B45" s="2" t="inlineStr">
        <is>
          <t>ratio</t>
        </is>
      </c>
      <c r="C45" t="inlineStr">
        <is>
          <t>매출전사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1</v>
      </c>
      <c r="AD45" s="24" t="n">
        <v>1</v>
      </c>
      <c r="AE45" s="25">
        <f>IFERROR(subQ!AE36/subQ!AE5,"")</f>
        <v/>
      </c>
      <c r="AF45" s="24" t="n">
        <v>1</v>
      </c>
      <c r="AG45" s="24" t="n">
        <v>1</v>
      </c>
      <c r="AH45" s="24" t="n">
        <v>1</v>
      </c>
      <c r="AI45" s="24" t="n">
        <v>1</v>
      </c>
      <c r="AJ45" s="25">
        <f>IFERROR(subQ!AJ36/subQ!AJ5,"")</f>
        <v/>
      </c>
      <c r="AK45" s="24" t="n">
        <v>1</v>
      </c>
      <c r="AL45" s="24" t="n">
        <v>1</v>
      </c>
      <c r="AM45" s="24" t="n">
        <v>1</v>
      </c>
      <c r="AN45" s="24" t="n">
        <v>1</v>
      </c>
      <c r="AO45" s="25">
        <f>IFERROR(subQ!AO36/subQ!AO5,"")</f>
        <v/>
      </c>
    </row>
    <row r="46">
      <c r="A46" s="12" t="inlineStr">
        <is>
          <t>drv:OP전사</t>
        </is>
      </c>
      <c r="B46" s="2" t="inlineStr">
        <is>
          <t>ratio</t>
        </is>
      </c>
      <c r="C46" t="inlineStr">
        <is>
          <t>OP전사 마진(/매출전사)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0.005652</v>
      </c>
      <c r="AD46" s="24" t="n">
        <v>0.005652</v>
      </c>
      <c r="AE46" s="25">
        <f>IFERROR(subQ!AE37/subQ!AE36,"")</f>
        <v/>
      </c>
      <c r="AF46" s="24" t="n">
        <v>0.005644</v>
      </c>
      <c r="AG46" s="24" t="n">
        <v>0.00564</v>
      </c>
      <c r="AH46" s="24" t="n">
        <v>0.00564</v>
      </c>
      <c r="AI46" s="24" t="n">
        <v>0.005649</v>
      </c>
      <c r="AJ46" s="25">
        <f>IFERROR(subQ!AJ37/subQ!AJ36,"")</f>
        <v/>
      </c>
      <c r="AK46" s="24" t="n">
        <v>0.005642</v>
      </c>
      <c r="AL46" s="24" t="n">
        <v>0.005639</v>
      </c>
      <c r="AM46" s="24" t="n">
        <v>0.005652</v>
      </c>
      <c r="AN46" s="24" t="n">
        <v>0.005641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2720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10</v>
      </c>
      <c r="E52" s="2" t="inlineStr">
        <is>
          <t>PER 밴드 하단(배) — sector_default(레퍼런스 TP_PE PB 예시 10/15/20배; 과거 PER 중위 99.3배가 3~40 밖(턴어라운드 왜곡))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15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20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0.1667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0.0602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4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4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4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4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4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4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4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4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4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4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4" t="n">
        <v>15764.23</v>
      </c>
      <c r="G7" s="18" t="n">
        <v>23915.86</v>
      </c>
      <c r="J7" s="18" t="n">
        <v>28060</v>
      </c>
      <c r="K7" s="34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4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4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4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4" t="n">
        <v>15764.23</v>
      </c>
      <c r="G8" s="18" t="n">
        <v>23915.86</v>
      </c>
      <c r="J8" s="18" t="n">
        <v>28060</v>
      </c>
      <c r="K8" s="34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4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4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4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4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4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4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4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4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4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4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4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4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4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4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4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4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4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4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4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4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4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4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4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4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4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4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4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4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4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4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4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4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4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4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4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4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4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4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4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4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4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4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4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4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4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4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4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4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4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4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4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4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4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4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4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4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4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4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4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4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4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4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4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4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4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4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4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4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4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4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4" t="n">
        <v>11865.99</v>
      </c>
      <c r="G23" s="18" t="n">
        <v>14499.47</v>
      </c>
      <c r="J23" s="18" t="n">
        <v>14960.61</v>
      </c>
      <c r="K23" s="34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4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4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4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4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4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4" t="n">
        <v>79006.06</v>
      </c>
      <c r="Q24" s="18" t="n">
        <v>95514.09</v>
      </c>
      <c r="R24" s="18" t="n">
        <v>107988.29</v>
      </c>
      <c r="T24" s="18" t="n">
        <v>105141.35</v>
      </c>
      <c r="U24" s="34" t="n">
        <v>105141.35</v>
      </c>
      <c r="W24" s="18" t="n">
        <v>105858.38</v>
      </c>
      <c r="Y24" s="18" t="n">
        <v>38800</v>
      </c>
      <c r="Z24" s="34" t="n">
        <v>38800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4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O25" s="18" t="n">
        <v>20494</v>
      </c>
      <c r="P25" s="34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4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4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4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4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4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단기사채</t>
        </is>
      </c>
      <c r="E27" s="18" t="n">
        <v>0</v>
      </c>
      <c r="F27" s="34" t="n">
        <v>0</v>
      </c>
      <c r="G27" s="18" t="n">
        <v>0</v>
      </c>
      <c r="K27" s="9" t="n"/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2156.76</v>
      </c>
      <c r="F28" s="34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1691</v>
      </c>
      <c r="K28" s="34" t="n">
        <v>1691</v>
      </c>
      <c r="L28" s="18" t="n">
        <v>1505</v>
      </c>
      <c r="M28" s="18" t="n">
        <v>1505</v>
      </c>
      <c r="N28" s="18" t="n">
        <v>1505</v>
      </c>
      <c r="O28" s="18" t="n">
        <v>1505</v>
      </c>
      <c r="P28" s="34" t="n">
        <v>1505</v>
      </c>
      <c r="Q28" s="18" t="n">
        <v>1505</v>
      </c>
      <c r="R28" s="18" t="n">
        <v>1505</v>
      </c>
      <c r="S28" s="18" t="n">
        <v>1605</v>
      </c>
      <c r="T28" s="18" t="n">
        <v>1605</v>
      </c>
      <c r="U28" s="34" t="n">
        <v>1605</v>
      </c>
      <c r="V28" s="18" t="n">
        <v>2305</v>
      </c>
      <c r="W28" s="18" t="n">
        <v>2290</v>
      </c>
      <c r="X28" s="18" t="n">
        <v>1990</v>
      </c>
      <c r="Y28" s="18" t="n">
        <v>1990</v>
      </c>
      <c r="Z28" s="34" t="n">
        <v>1990</v>
      </c>
      <c r="AA28" s="18" t="n">
        <v>1990</v>
      </c>
      <c r="AB28" s="19" t="n">
        <v>1990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2156.76</v>
      </c>
      <c r="F29" s="34" t="n">
        <v>2156.76</v>
      </c>
      <c r="G29" s="18" t="n">
        <v>2740.93</v>
      </c>
      <c r="H29" s="18" t="n">
        <v>5343.77</v>
      </c>
      <c r="I29" s="18" t="n">
        <v>8115.97</v>
      </c>
      <c r="J29" s="18" t="n">
        <v>1961.29</v>
      </c>
      <c r="K29" s="34" t="n">
        <v>1961.29</v>
      </c>
      <c r="L29" s="18" t="n">
        <v>1800.75</v>
      </c>
      <c r="M29" s="18" t="n">
        <v>1714.46</v>
      </c>
      <c r="N29" s="18" t="n">
        <v>1826.51</v>
      </c>
      <c r="O29" s="18" t="n">
        <v>1828.92</v>
      </c>
      <c r="P29" s="34" t="n">
        <v>1828.92</v>
      </c>
      <c r="Q29" s="18" t="n">
        <v>1831.37</v>
      </c>
      <c r="R29" s="18" t="n">
        <v>1835.69</v>
      </c>
      <c r="S29" s="18" t="n">
        <v>1943.81</v>
      </c>
      <c r="T29" s="18" t="n">
        <v>1947.3</v>
      </c>
      <c r="U29" s="34" t="n">
        <v>1947.3</v>
      </c>
      <c r="V29" s="18" t="n">
        <v>2650.83</v>
      </c>
      <c r="W29" s="18" t="n">
        <v>2639.39</v>
      </c>
      <c r="X29" s="18" t="n">
        <v>2341.25</v>
      </c>
      <c r="Y29" s="18" t="n">
        <v>2344.42</v>
      </c>
      <c r="Z29" s="34" t="n">
        <v>2344.42</v>
      </c>
      <c r="AA29" s="18" t="n">
        <v>2347.62</v>
      </c>
      <c r="AB29" s="19" t="n">
        <v>2350.85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2457.46</v>
      </c>
      <c r="F30" s="34" t="n">
        <v>2457.46</v>
      </c>
      <c r="G30" s="18" t="n">
        <v>2340.39</v>
      </c>
      <c r="H30" s="18" t="n">
        <v>2180.91</v>
      </c>
      <c r="I30" s="18" t="n">
        <v>2618</v>
      </c>
      <c r="J30" s="18" t="n">
        <v>2480.89</v>
      </c>
      <c r="K30" s="34" t="n">
        <v>2480.89</v>
      </c>
      <c r="L30" s="18" t="n">
        <v>3183.14</v>
      </c>
      <c r="M30" s="18" t="n">
        <v>2167.48</v>
      </c>
      <c r="N30" s="18" t="n">
        <v>3516.83</v>
      </c>
      <c r="O30" s="18" t="n">
        <v>2569.86</v>
      </c>
      <c r="P30" s="34" t="n">
        <v>2569.86</v>
      </c>
      <c r="Q30" s="18" t="n">
        <v>2617.7</v>
      </c>
      <c r="R30" s="18" t="n">
        <v>2531.35</v>
      </c>
      <c r="S30" s="18" t="n">
        <v>2901.9</v>
      </c>
      <c r="T30" s="18" t="n">
        <v>3425.84</v>
      </c>
      <c r="U30" s="34" t="n">
        <v>3425.84</v>
      </c>
      <c r="V30" s="18" t="n">
        <v>2646.48</v>
      </c>
      <c r="W30" s="18" t="n">
        <v>2182.69</v>
      </c>
      <c r="X30" s="18" t="n">
        <v>2116.29</v>
      </c>
      <c r="Y30" s="18" t="n">
        <v>2674.59</v>
      </c>
      <c r="Z30" s="34" t="n">
        <v>2674.59</v>
      </c>
      <c r="AA30" s="18" t="n">
        <v>2206.46</v>
      </c>
      <c r="AB30" s="19" t="n">
        <v>1952.06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단기파생상품부채</t>
        </is>
      </c>
      <c r="E31" s="18" t="n">
        <v>0</v>
      </c>
      <c r="F31" s="34" t="n">
        <v>0</v>
      </c>
      <c r="G31" s="18" t="n">
        <v>0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71869.08</v>
      </c>
      <c r="F32" s="34" t="n">
        <v>71869.08</v>
      </c>
      <c r="G32" s="18" t="n">
        <v>51629.61</v>
      </c>
      <c r="H32" s="18" t="n">
        <v>44371.91</v>
      </c>
      <c r="I32" s="18" t="n">
        <v>50439.46</v>
      </c>
      <c r="J32" s="18" t="n">
        <v>51833.29</v>
      </c>
      <c r="K32" s="34" t="n">
        <v>51833.29</v>
      </c>
      <c r="L32" s="18" t="n">
        <v>41227.03</v>
      </c>
      <c r="M32" s="18" t="n">
        <v>45324.58</v>
      </c>
      <c r="N32" s="18" t="n">
        <v>39578.38</v>
      </c>
      <c r="O32" s="18" t="n">
        <v>36300.81</v>
      </c>
      <c r="P32" s="34" t="n">
        <v>36300.81</v>
      </c>
      <c r="Q32" s="18" t="n">
        <v>36681.48</v>
      </c>
      <c r="R32" s="18" t="n">
        <v>36436.88</v>
      </c>
      <c r="S32" s="18" t="n">
        <v>42927.7</v>
      </c>
      <c r="T32" s="18" t="n">
        <v>41394.91</v>
      </c>
      <c r="U32" s="34" t="n">
        <v>41394.91</v>
      </c>
      <c r="V32" s="18" t="n">
        <v>41361.14</v>
      </c>
      <c r="W32" s="18" t="n">
        <v>41627.46</v>
      </c>
      <c r="X32" s="18" t="n">
        <v>35901.99</v>
      </c>
      <c r="Y32" s="18" t="n">
        <v>36858.97</v>
      </c>
      <c r="Z32" s="34" t="n">
        <v>36858.97</v>
      </c>
      <c r="AA32" s="18" t="n">
        <v>36768.36</v>
      </c>
      <c r="AB32" s="19" t="n">
        <v>36888.53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16421.5</v>
      </c>
      <c r="F33" s="34" t="n">
        <v>16421.5</v>
      </c>
      <c r="G33" s="18" t="n">
        <v>16548</v>
      </c>
      <c r="H33" s="18" t="n">
        <v>10494</v>
      </c>
      <c r="I33" s="18" t="n">
        <v>16494</v>
      </c>
      <c r="J33" s="18" t="n">
        <v>16494</v>
      </c>
      <c r="K33" s="34" t="n">
        <v>16494</v>
      </c>
      <c r="L33" s="18" t="n">
        <v>6000</v>
      </c>
      <c r="M33" s="18" t="n">
        <v>10000</v>
      </c>
      <c r="N33" s="18" t="n">
        <v>4000</v>
      </c>
      <c r="O33" s="18" t="n">
        <v>0</v>
      </c>
      <c r="P33" s="34" t="n">
        <v>0</v>
      </c>
      <c r="Q33" s="18" t="n">
        <v>0</v>
      </c>
      <c r="R33" s="18" t="n">
        <v>0</v>
      </c>
      <c r="T33" s="18" t="n">
        <v>6000</v>
      </c>
      <c r="U33" s="34" t="n">
        <v>6000</v>
      </c>
      <c r="W33" s="18" t="n">
        <v>6000</v>
      </c>
      <c r="Z33" s="9" t="n"/>
      <c r="AB33" s="19" t="n">
        <v>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21317.19</v>
      </c>
      <c r="F34" s="34" t="n">
        <v>21317.19</v>
      </c>
      <c r="G34" s="18" t="n">
        <v>0</v>
      </c>
      <c r="H34" s="18" t="n">
        <v>0</v>
      </c>
      <c r="I34" s="18" t="n">
        <v>0</v>
      </c>
      <c r="J34" s="18" t="n">
        <v>0</v>
      </c>
      <c r="K34" s="34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4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4" t="n">
        <v>0</v>
      </c>
      <c r="V34" s="18" t="n">
        <v>0</v>
      </c>
      <c r="W34" s="18" t="n">
        <v>0</v>
      </c>
      <c r="X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-36.18</v>
      </c>
      <c r="F35" s="34" t="n">
        <v>-36.18</v>
      </c>
      <c r="G35" s="18" t="n">
        <v>710.59</v>
      </c>
      <c r="H35" s="18" t="n">
        <v>0</v>
      </c>
      <c r="I35" s="18" t="n">
        <v>0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0</v>
      </c>
      <c r="R35" s="18" t="n">
        <v>0</v>
      </c>
      <c r="S35" s="18" t="n">
        <v>0</v>
      </c>
      <c r="T35" s="18" t="n">
        <v>0</v>
      </c>
      <c r="U35" s="34" t="n">
        <v>0</v>
      </c>
      <c r="V35" s="18" t="n">
        <v>138.85</v>
      </c>
      <c r="W35" s="18" t="n">
        <v>0</v>
      </c>
      <c r="X35" s="18" t="n">
        <v>2.67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34166.58</v>
      </c>
      <c r="F36" s="34" t="n">
        <v>34166.58</v>
      </c>
      <c r="G36" s="18" t="n">
        <v>34371.02</v>
      </c>
      <c r="H36" s="18" t="n">
        <v>33667.11</v>
      </c>
      <c r="I36" s="18" t="n">
        <v>33823.31</v>
      </c>
      <c r="J36" s="18" t="n">
        <v>35227.03</v>
      </c>
      <c r="K36" s="34" t="n">
        <v>35227.03</v>
      </c>
      <c r="L36" s="18" t="n">
        <v>35227.03</v>
      </c>
      <c r="M36" s="18" t="n">
        <v>35324.58</v>
      </c>
      <c r="N36" s="18" t="n">
        <v>35328.74</v>
      </c>
      <c r="O36" s="18" t="n">
        <v>36133.3</v>
      </c>
      <c r="P36" s="34" t="n">
        <v>36133.3</v>
      </c>
      <c r="Q36" s="18" t="n">
        <v>36597.17</v>
      </c>
      <c r="R36" s="18" t="n">
        <v>36436.88</v>
      </c>
      <c r="S36" s="18" t="n">
        <v>36664.32</v>
      </c>
      <c r="T36" s="18" t="n">
        <v>33712.52</v>
      </c>
      <c r="U36" s="34" t="n">
        <v>33712.52</v>
      </c>
      <c r="V36" s="18" t="n">
        <v>33627.69</v>
      </c>
      <c r="W36" s="18" t="n">
        <v>34121.57</v>
      </c>
      <c r="X36" s="18" t="n">
        <v>34121.57</v>
      </c>
      <c r="Y36" s="18" t="n">
        <v>35171.03</v>
      </c>
      <c r="Z36" s="34" t="n">
        <v>35171.03</v>
      </c>
      <c r="AA36" s="18" t="n">
        <v>35171.03</v>
      </c>
      <c r="AB36" s="19" t="n">
        <v>35382.63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0</v>
      </c>
      <c r="F37" s="34" t="n">
        <v>0</v>
      </c>
      <c r="G37" s="18" t="n">
        <v>0</v>
      </c>
      <c r="H37" s="18" t="n">
        <v>210.8</v>
      </c>
      <c r="I37" s="18" t="n">
        <v>122.15</v>
      </c>
      <c r="J37" s="18" t="n">
        <v>0</v>
      </c>
      <c r="K37" s="34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4" t="n">
        <v>0</v>
      </c>
      <c r="Q37" s="18" t="n">
        <v>0</v>
      </c>
      <c r="R37" s="18" t="n">
        <v>0</v>
      </c>
      <c r="S37" s="18" t="n">
        <v>0</v>
      </c>
      <c r="T37" s="18" t="n">
        <v>1505.9</v>
      </c>
      <c r="U37" s="34" t="n">
        <v>1505.9</v>
      </c>
      <c r="V37" s="18" t="n">
        <v>1505.9</v>
      </c>
      <c r="W37" s="18" t="n">
        <v>1505.9</v>
      </c>
      <c r="X37" s="18" t="n">
        <v>1505.9</v>
      </c>
      <c r="Y37" s="18" t="n">
        <v>1505.9</v>
      </c>
      <c r="Z37" s="34" t="n">
        <v>1505.9</v>
      </c>
      <c r="AA37" s="18" t="n">
        <v>1505.9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0</v>
      </c>
      <c r="F38" s="34" t="n">
        <v>0</v>
      </c>
      <c r="G38" s="18" t="n">
        <v>0</v>
      </c>
      <c r="H38" s="18" t="n">
        <v>210.8</v>
      </c>
      <c r="I38" s="18" t="n">
        <v>122.15</v>
      </c>
      <c r="J38" s="18" t="n">
        <v>112.26</v>
      </c>
      <c r="K38" s="34" t="n">
        <v>112.26</v>
      </c>
      <c r="L38" s="18" t="n">
        <v>0</v>
      </c>
      <c r="M38" s="18" t="n">
        <v>0</v>
      </c>
      <c r="N38" s="18" t="n">
        <v>249.64</v>
      </c>
      <c r="O38" s="18" t="n">
        <v>167.52</v>
      </c>
      <c r="P38" s="34" t="n">
        <v>167.52</v>
      </c>
      <c r="Q38" s="18" t="n">
        <v>84.31</v>
      </c>
      <c r="R38" s="18" t="n">
        <v>0</v>
      </c>
      <c r="S38" s="18" t="n">
        <v>263.38</v>
      </c>
      <c r="T38" s="18" t="n">
        <v>1682.39</v>
      </c>
      <c r="U38" s="34" t="n">
        <v>1682.39</v>
      </c>
      <c r="V38" s="18" t="n">
        <v>1594.6</v>
      </c>
      <c r="W38" s="18" t="n">
        <v>1505.9</v>
      </c>
      <c r="X38" s="18" t="n">
        <v>1777.75</v>
      </c>
      <c r="Y38" s="18" t="n">
        <v>1687.95</v>
      </c>
      <c r="Z38" s="34" t="n">
        <v>1687.95</v>
      </c>
      <c r="AA38" s="18" t="n">
        <v>1597.33</v>
      </c>
      <c r="AB38" s="19" t="n">
        <v>1505.9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4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4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4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4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4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4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4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4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4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4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4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4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4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4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4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4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4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4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4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4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4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4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4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4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4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4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4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4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4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4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4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4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4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4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4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4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4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4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4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4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4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4" t="n">
        <v>109876.91</v>
      </c>
      <c r="L47" s="18" t="n">
        <v>103263.34</v>
      </c>
      <c r="M47" s="18" t="n">
        <v>101819.41</v>
      </c>
      <c r="N47" s="18" t="n">
        <v>84225.72</v>
      </c>
      <c r="O47" s="18" t="n">
        <v>99500.06</v>
      </c>
      <c r="P47" s="34" t="n">
        <v>99500.06</v>
      </c>
      <c r="Q47" s="18" t="n">
        <v>95514.09</v>
      </c>
      <c r="R47" s="18" t="n">
        <v>107988.29</v>
      </c>
      <c r="S47" s="18" t="n">
        <v>0</v>
      </c>
      <c r="T47" s="18" t="n">
        <v>111141.35</v>
      </c>
      <c r="U47" s="34" t="n">
        <v>111141.35</v>
      </c>
      <c r="V47" s="18" t="n">
        <v>0</v>
      </c>
      <c r="W47" s="18" t="n">
        <v>111858.38</v>
      </c>
      <c r="X47" s="18" t="n">
        <v>6000</v>
      </c>
      <c r="Y47" s="18" t="n">
        <v>38800</v>
      </c>
      <c r="Z47" s="34" t="n">
        <v>38800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4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4" t="n">
        <v>69415.35000000001</v>
      </c>
      <c r="L48" s="18" t="n">
        <v>72395.10000000001</v>
      </c>
      <c r="M48" s="18" t="n">
        <v>72541.33</v>
      </c>
      <c r="N48" s="18" t="n">
        <v>56757.96</v>
      </c>
      <c r="O48" s="18" t="n">
        <v>69597.53</v>
      </c>
      <c r="P48" s="34" t="n">
        <v>69597.53</v>
      </c>
      <c r="Q48" s="18" t="n">
        <v>72882.72</v>
      </c>
      <c r="R48" s="18" t="n">
        <v>82612.64999999999</v>
      </c>
      <c r="S48" s="18" t="n">
        <v>-32134.49</v>
      </c>
      <c r="T48" s="18" t="n">
        <v>77162.12</v>
      </c>
      <c r="U48" s="34" t="n">
        <v>77162.12</v>
      </c>
      <c r="V48" s="18" t="n">
        <v>-37424.5</v>
      </c>
      <c r="W48" s="18" t="n">
        <v>77368.2</v>
      </c>
      <c r="X48" s="18" t="n">
        <v>-27057.29</v>
      </c>
      <c r="Y48" s="18" t="n">
        <v>9499.4</v>
      </c>
      <c r="Z48" s="34" t="n">
        <v>9499.4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4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4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4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4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4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4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4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4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4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4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4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4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4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4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4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4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4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4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4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4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4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4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4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4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4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4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4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4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4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4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4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4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68972.14999999999</v>
      </c>
      <c r="F59" s="9" t="n"/>
      <c r="G59" s="18" t="n">
        <v>72295.75</v>
      </c>
      <c r="H59" s="18" t="n">
        <v>60581.37</v>
      </c>
      <c r="I59" s="18" t="n">
        <v>63166.45</v>
      </c>
      <c r="J59" s="18" t="n">
        <v>59185.75</v>
      </c>
      <c r="K59" s="34" t="n">
        <v>255229.32</v>
      </c>
      <c r="L59" s="18" t="n">
        <v>60542.51</v>
      </c>
      <c r="M59" s="18" t="n">
        <v>51547.95</v>
      </c>
      <c r="N59" s="18" t="n">
        <v>53092.27</v>
      </c>
      <c r="O59" s="18" t="n">
        <v>51072.73</v>
      </c>
      <c r="P59" s="34" t="n">
        <v>216255.46</v>
      </c>
      <c r="Q59" s="18" t="n">
        <v>49991.04</v>
      </c>
      <c r="R59" s="18" t="n">
        <v>55504.69</v>
      </c>
      <c r="S59" s="18" t="n">
        <v>44028.11</v>
      </c>
      <c r="T59" s="18" t="n">
        <v>56318.4</v>
      </c>
      <c r="U59" s="34" t="n">
        <v>205842.24</v>
      </c>
      <c r="V59" s="18" t="n">
        <v>49758.06</v>
      </c>
      <c r="W59" s="18" t="n">
        <v>50110.08</v>
      </c>
      <c r="X59" s="18" t="n">
        <v>50841.03</v>
      </c>
      <c r="Y59" s="18" t="n">
        <v>45695.2</v>
      </c>
      <c r="Z59" s="34" t="n">
        <v>196404.37</v>
      </c>
      <c r="AA59" s="18" t="n">
        <v>61873.64</v>
      </c>
      <c r="AB59" s="19" t="n">
        <v>61757.19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59271.5</v>
      </c>
      <c r="F60" s="9" t="n"/>
      <c r="G60" s="18" t="n">
        <v>67728.53</v>
      </c>
      <c r="H60" s="18" t="n">
        <v>55838.34</v>
      </c>
      <c r="I60" s="18" t="n">
        <v>61631.2</v>
      </c>
      <c r="J60" s="18" t="n">
        <v>56472.84</v>
      </c>
      <c r="K60" s="34" t="n">
        <v>241670.91</v>
      </c>
      <c r="L60" s="18" t="n">
        <v>53902.99</v>
      </c>
      <c r="M60" s="18" t="n">
        <v>47634.08</v>
      </c>
      <c r="N60" s="18" t="n">
        <v>49124.99</v>
      </c>
      <c r="O60" s="18" t="n">
        <v>49228.29</v>
      </c>
      <c r="P60" s="34" t="n">
        <v>199890.35</v>
      </c>
      <c r="Q60" s="18" t="n">
        <v>45842.87</v>
      </c>
      <c r="R60" s="18" t="n">
        <v>51968.34</v>
      </c>
      <c r="S60" s="18" t="n">
        <v>41047.1</v>
      </c>
      <c r="T60" s="18" t="n">
        <v>52280.96</v>
      </c>
      <c r="U60" s="34" t="n">
        <v>191139.27</v>
      </c>
      <c r="V60" s="18" t="n">
        <v>46132.76</v>
      </c>
      <c r="W60" s="18" t="n">
        <v>45498.59</v>
      </c>
      <c r="X60" s="18" t="n">
        <v>46278.41</v>
      </c>
      <c r="Y60" s="18" t="n">
        <v>42474.7</v>
      </c>
      <c r="Z60" s="34" t="n">
        <v>180384.46</v>
      </c>
      <c r="AA60" s="18" t="n">
        <v>57857.85</v>
      </c>
      <c r="AB60" s="19" t="n">
        <v>55278.72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9700.65</v>
      </c>
      <c r="F61" s="9" t="n"/>
      <c r="G61" s="18" t="n">
        <v>4567.22</v>
      </c>
      <c r="H61" s="18" t="n">
        <v>4743.03</v>
      </c>
      <c r="I61" s="18" t="n">
        <v>1535.25</v>
      </c>
      <c r="J61" s="18" t="n">
        <v>2712.91</v>
      </c>
      <c r="K61" s="34" t="n">
        <v>13558.41</v>
      </c>
      <c r="L61" s="18" t="n">
        <v>6639.52</v>
      </c>
      <c r="M61" s="18" t="n">
        <v>3913.87</v>
      </c>
      <c r="N61" s="18" t="n">
        <v>3967.28</v>
      </c>
      <c r="O61" s="18" t="n">
        <v>1844.44</v>
      </c>
      <c r="P61" s="34" t="n">
        <v>16365.11</v>
      </c>
      <c r="Q61" s="18" t="n">
        <v>4148.17</v>
      </c>
      <c r="R61" s="18" t="n">
        <v>3536.36</v>
      </c>
      <c r="S61" s="18" t="n">
        <v>2981.01</v>
      </c>
      <c r="T61" s="18" t="n">
        <v>4037.44</v>
      </c>
      <c r="U61" s="34" t="n">
        <v>14702.98</v>
      </c>
      <c r="V61" s="18" t="n">
        <v>3625.3</v>
      </c>
      <c r="W61" s="18" t="n">
        <v>4611.49</v>
      </c>
      <c r="X61" s="18" t="n">
        <v>4562.62</v>
      </c>
      <c r="Y61" s="18" t="n">
        <v>3220.49</v>
      </c>
      <c r="Z61" s="34" t="n">
        <v>16019.9</v>
      </c>
      <c r="AA61" s="18" t="n">
        <v>4015.79</v>
      </c>
      <c r="AB61" s="19" t="n">
        <v>6478.47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2393.41</v>
      </c>
      <c r="F62" s="9" t="n"/>
      <c r="G62" s="18" t="n">
        <v>2581.49</v>
      </c>
      <c r="H62" s="18" t="n">
        <v>1587.55</v>
      </c>
      <c r="I62" s="18" t="n">
        <v>2275.26</v>
      </c>
      <c r="J62" s="18" t="n">
        <v>3082.37</v>
      </c>
      <c r="K62" s="34" t="n">
        <v>9526.67</v>
      </c>
      <c r="L62" s="18" t="n">
        <v>2938.67</v>
      </c>
      <c r="M62" s="18" t="n">
        <v>2712.19</v>
      </c>
      <c r="N62" s="18" t="n">
        <v>2462.02</v>
      </c>
      <c r="O62" s="18" t="n">
        <v>3392.44</v>
      </c>
      <c r="P62" s="34" t="n">
        <v>11505.32</v>
      </c>
      <c r="Q62" s="18" t="n">
        <v>3766.47</v>
      </c>
      <c r="R62" s="18" t="n">
        <v>3091.87</v>
      </c>
      <c r="S62" s="18" t="n">
        <v>3157.12</v>
      </c>
      <c r="T62" s="18" t="n">
        <v>4020.55</v>
      </c>
      <c r="U62" s="34" t="n">
        <v>14036.01</v>
      </c>
      <c r="V62" s="18" t="n">
        <v>3436.19</v>
      </c>
      <c r="W62" s="18" t="n">
        <v>3071.07</v>
      </c>
      <c r="X62" s="18" t="n">
        <v>3139.05</v>
      </c>
      <c r="Y62" s="18" t="n">
        <v>3194.51</v>
      </c>
      <c r="Z62" s="34" t="n">
        <v>12840.82</v>
      </c>
      <c r="AA62" s="18" t="n">
        <v>3552.51</v>
      </c>
      <c r="AB62" s="19" t="n">
        <v>3622.44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7307.24</v>
      </c>
      <c r="F63" s="9" t="n"/>
      <c r="G63" s="18" t="n">
        <v>1985.73</v>
      </c>
      <c r="H63" s="18" t="n">
        <v>3155.48</v>
      </c>
      <c r="I63" s="18" t="n">
        <v>-740.01</v>
      </c>
      <c r="J63" s="18" t="n">
        <v>-369.46</v>
      </c>
      <c r="K63" s="34" t="n">
        <v>4031.74</v>
      </c>
      <c r="L63" s="18" t="n">
        <v>3700.85</v>
      </c>
      <c r="M63" s="18" t="n">
        <v>1201.68</v>
      </c>
      <c r="N63" s="18" t="n">
        <v>1505.26</v>
      </c>
      <c r="O63" s="18" t="n">
        <v>-1548</v>
      </c>
      <c r="P63" s="34" t="n">
        <v>4859.79</v>
      </c>
      <c r="Q63" s="18" t="n">
        <v>381.7</v>
      </c>
      <c r="R63" s="18" t="n">
        <v>444.49</v>
      </c>
      <c r="S63" s="18" t="n">
        <v>-176.11</v>
      </c>
      <c r="T63" s="18" t="n">
        <v>16.88</v>
      </c>
      <c r="U63" s="34" t="n">
        <v>666.96</v>
      </c>
      <c r="V63" s="18" t="n">
        <v>189.11</v>
      </c>
      <c r="W63" s="18" t="n">
        <v>1540.42</v>
      </c>
      <c r="X63" s="18" t="n">
        <v>1423.57</v>
      </c>
      <c r="Y63" s="18" t="n">
        <v>25.98</v>
      </c>
      <c r="Z63" s="34" t="n">
        <v>3179.08</v>
      </c>
      <c r="AA63" s="18" t="n">
        <v>463.28</v>
      </c>
      <c r="AB63" s="19" t="n">
        <v>2856.03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602.01</v>
      </c>
      <c r="F64" s="9" t="n"/>
      <c r="G64" s="18" t="n">
        <v>924.4</v>
      </c>
      <c r="H64" s="18" t="n">
        <v>140.92</v>
      </c>
      <c r="I64" s="18" t="n">
        <v>-185.45</v>
      </c>
      <c r="J64" s="18" t="n">
        <v>-60.2</v>
      </c>
      <c r="K64" s="34" t="n">
        <v>819.67</v>
      </c>
      <c r="L64" s="18" t="n">
        <v>-213.5</v>
      </c>
      <c r="M64" s="18" t="n">
        <v>-254.44</v>
      </c>
      <c r="N64" s="18" t="n">
        <v>138.37</v>
      </c>
      <c r="O64" s="18" t="n">
        <v>1206.82</v>
      </c>
      <c r="P64" s="34" t="n">
        <v>877.25</v>
      </c>
      <c r="Q64" s="18" t="n">
        <v>162.73</v>
      </c>
      <c r="R64" s="18" t="n">
        <v>347.23</v>
      </c>
      <c r="S64" s="18" t="n">
        <v>-249.06</v>
      </c>
      <c r="T64" s="18" t="n">
        <v>587.13</v>
      </c>
      <c r="U64" s="34" t="n">
        <v>848.03</v>
      </c>
      <c r="V64" s="18" t="n">
        <v>440.83</v>
      </c>
      <c r="W64" s="18" t="n">
        <v>-773.16</v>
      </c>
      <c r="X64" s="18" t="n">
        <v>304.57</v>
      </c>
      <c r="Y64" s="18" t="n">
        <v>148.83</v>
      </c>
      <c r="Z64" s="34" t="n">
        <v>121.07</v>
      </c>
      <c r="AA64" s="18" t="n">
        <v>69.77</v>
      </c>
      <c r="AB64" s="19" t="n">
        <v>-24.83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540.78</v>
      </c>
      <c r="F65" s="9" t="n"/>
      <c r="G65" s="18" t="n">
        <v>579.6</v>
      </c>
      <c r="K65" s="9" t="n"/>
      <c r="L65" s="18" t="n">
        <v>1180.85</v>
      </c>
      <c r="M65" s="18" t="n">
        <v>640.42</v>
      </c>
      <c r="N65" s="18" t="n">
        <v>681.36</v>
      </c>
      <c r="O65" s="18" t="n">
        <v>-504.59</v>
      </c>
      <c r="P65" s="34" t="n">
        <v>1998.04</v>
      </c>
      <c r="Q65" s="18" t="n">
        <v>707.73</v>
      </c>
      <c r="R65" s="18" t="n">
        <v>181.4</v>
      </c>
      <c r="S65" s="18" t="n">
        <v>960.17</v>
      </c>
      <c r="T65" s="18" t="n">
        <v>155.93</v>
      </c>
      <c r="U65" s="34" t="n">
        <v>2005.23</v>
      </c>
      <c r="V65" s="18" t="n">
        <v>692.8200000000001</v>
      </c>
      <c r="W65" s="18" t="n">
        <v>700.47</v>
      </c>
      <c r="X65" s="18" t="n">
        <v>376.62</v>
      </c>
      <c r="Y65" s="18" t="n">
        <v>635.16</v>
      </c>
      <c r="Z65" s="34" t="n">
        <v>2405.07</v>
      </c>
      <c r="AA65" s="18" t="n">
        <v>635.9</v>
      </c>
      <c r="AB65" s="19" t="n">
        <v>669.8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3484.59</v>
      </c>
      <c r="F66" s="9" t="n"/>
      <c r="G66" s="18" t="n">
        <v>399.64</v>
      </c>
      <c r="K66" s="9" t="n"/>
      <c r="L66" s="18" t="n">
        <v>289.13</v>
      </c>
      <c r="M66" s="18" t="n">
        <v>383.73</v>
      </c>
      <c r="N66" s="18" t="n">
        <v>-80.59</v>
      </c>
      <c r="O66" s="18" t="n">
        <v>1550.87</v>
      </c>
      <c r="P66" s="34" t="n">
        <v>2143.14</v>
      </c>
      <c r="Q66" s="18" t="n">
        <v>142.85</v>
      </c>
      <c r="R66" s="18" t="n">
        <v>151.98</v>
      </c>
      <c r="S66" s="18" t="n">
        <v>230.43</v>
      </c>
      <c r="T66" s="18" t="n">
        <v>649.17</v>
      </c>
      <c r="U66" s="34" t="n">
        <v>1174.43</v>
      </c>
      <c r="V66" s="18" t="n">
        <v>348.75</v>
      </c>
      <c r="W66" s="18" t="n">
        <v>2952.86</v>
      </c>
      <c r="X66" s="18" t="n">
        <v>-1018.87</v>
      </c>
      <c r="Y66" s="18" t="n">
        <v>-647.9400000000001</v>
      </c>
      <c r="Z66" s="34" t="n">
        <v>1634.8</v>
      </c>
      <c r="AA66" s="18" t="n">
        <v>293.61</v>
      </c>
      <c r="AB66" s="19" t="n">
        <v>308.42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1583.77</v>
      </c>
      <c r="F67" s="9" t="n"/>
      <c r="G67" s="18" t="n">
        <v>472.97</v>
      </c>
      <c r="K67" s="9" t="n"/>
      <c r="L67" s="18" t="n">
        <v>2568.04</v>
      </c>
      <c r="M67" s="18" t="n">
        <v>1582.86</v>
      </c>
      <c r="N67" s="18" t="n">
        <v>2063.59</v>
      </c>
      <c r="O67" s="18" t="n">
        <v>453.84</v>
      </c>
      <c r="P67" s="34" t="n">
        <v>6668.33</v>
      </c>
      <c r="Q67" s="18" t="n">
        <v>2366.64</v>
      </c>
      <c r="R67" s="18" t="n">
        <v>2179.62</v>
      </c>
      <c r="S67" s="18" t="n">
        <v>34.99</v>
      </c>
      <c r="T67" s="18" t="n">
        <v>4821.97</v>
      </c>
      <c r="U67" s="34" t="n">
        <v>9403.219999999999</v>
      </c>
      <c r="V67" s="18" t="n">
        <v>1300.38</v>
      </c>
      <c r="W67" s="18" t="n">
        <v>1276.74</v>
      </c>
      <c r="X67" s="18" t="n">
        <v>1231.7</v>
      </c>
      <c r="Y67" s="18" t="n">
        <v>1224.25</v>
      </c>
      <c r="Z67" s="34" t="n">
        <v>5033.07</v>
      </c>
      <c r="AA67" s="18" t="n">
        <v>2768.35</v>
      </c>
      <c r="AB67" s="19" t="n">
        <v>1709.87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8898.049999999999</v>
      </c>
      <c r="F68" s="9" t="n"/>
      <c r="G68" s="18" t="n">
        <v>3222.71</v>
      </c>
      <c r="H68" s="18" t="n">
        <v>-670.4299999999999</v>
      </c>
      <c r="I68" s="18" t="n">
        <v>-4932.58</v>
      </c>
      <c r="J68" s="18" t="n">
        <v>2151.96</v>
      </c>
      <c r="K68" s="34" t="n">
        <v>-228.34</v>
      </c>
      <c r="L68" s="18" t="n">
        <v>1310.94</v>
      </c>
      <c r="M68" s="18" t="n">
        <v>-363.94</v>
      </c>
      <c r="N68" s="18" t="n">
        <v>-237.62</v>
      </c>
      <c r="O68" s="18" t="n">
        <v>762.17</v>
      </c>
      <c r="P68" s="34" t="n">
        <v>1471.55</v>
      </c>
      <c r="Q68" s="18" t="n">
        <v>-1642.29</v>
      </c>
      <c r="R68" s="18" t="n">
        <v>-1751.8</v>
      </c>
      <c r="S68" s="18" t="n">
        <v>-371.51</v>
      </c>
      <c r="T68" s="18" t="n">
        <v>-3114.8</v>
      </c>
      <c r="U68" s="34" t="n">
        <v>-6880.4</v>
      </c>
      <c r="V68" s="18" t="n">
        <v>-233.33</v>
      </c>
      <c r="W68" s="18" t="n">
        <v>2360.95</v>
      </c>
      <c r="X68" s="18" t="n">
        <v>-926.27</v>
      </c>
      <c r="Y68" s="18" t="n">
        <v>-1989.93</v>
      </c>
      <c r="Z68" s="34" t="n">
        <v>-788.58</v>
      </c>
      <c r="AA68" s="18" t="n">
        <v>-1606.33</v>
      </c>
      <c r="AB68" s="19" t="n">
        <v>1926.99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1645.43</v>
      </c>
      <c r="F69" s="9" t="n"/>
      <c r="G69" s="18" t="n">
        <v>212.05</v>
      </c>
      <c r="H69" s="18" t="n">
        <v>-226.78</v>
      </c>
      <c r="I69" s="18" t="n">
        <v>118.14</v>
      </c>
      <c r="J69" s="18" t="n">
        <v>966.5</v>
      </c>
      <c r="K69" s="34" t="n">
        <v>1069.91</v>
      </c>
      <c r="L69" s="18" t="n">
        <v>1.5</v>
      </c>
      <c r="M69" s="18" t="n">
        <v>171.55</v>
      </c>
      <c r="N69" s="18" t="n">
        <v>38.45</v>
      </c>
      <c r="O69" s="18" t="n">
        <v>890.6799999999999</v>
      </c>
      <c r="P69" s="34" t="n">
        <v>1102.18</v>
      </c>
      <c r="Q69" s="18" t="n">
        <v>427.89</v>
      </c>
      <c r="R69" s="18" t="n">
        <v>-108.39</v>
      </c>
      <c r="S69" s="18" t="n">
        <v>231.65</v>
      </c>
      <c r="T69" s="18" t="n">
        <v>-2821.45</v>
      </c>
      <c r="U69" s="34" t="n">
        <v>-2270.3</v>
      </c>
      <c r="V69" s="18" t="n">
        <v>-92.77</v>
      </c>
      <c r="W69" s="18" t="n">
        <v>520.36</v>
      </c>
      <c r="X69" s="18" t="n">
        <v>-14.6</v>
      </c>
      <c r="Y69" s="18" t="n">
        <v>-765.87</v>
      </c>
      <c r="Z69" s="34" t="n">
        <v>-352.88</v>
      </c>
      <c r="AA69" s="18" t="n">
        <v>-18.35</v>
      </c>
      <c r="AB69" s="19" t="n">
        <v>217.71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7252.61</v>
      </c>
      <c r="F70" s="9" t="n"/>
      <c r="G70" s="18" t="n">
        <v>3010.66</v>
      </c>
      <c r="H70" s="18" t="n">
        <v>-443.65</v>
      </c>
      <c r="I70" s="18" t="n">
        <v>-5050.72</v>
      </c>
      <c r="J70" s="18" t="n">
        <v>1185.46</v>
      </c>
      <c r="K70" s="34" t="n">
        <v>-1298.25</v>
      </c>
      <c r="L70" s="18" t="n">
        <v>1309.44</v>
      </c>
      <c r="M70" s="18" t="n">
        <v>-535.49</v>
      </c>
      <c r="N70" s="18" t="n">
        <v>-276.07</v>
      </c>
      <c r="O70" s="18" t="n">
        <v>-128.5</v>
      </c>
      <c r="P70" s="34" t="n">
        <v>369.38</v>
      </c>
      <c r="Q70" s="18" t="n">
        <v>-2070.18</v>
      </c>
      <c r="R70" s="18" t="n">
        <v>-1643.41</v>
      </c>
      <c r="S70" s="18" t="n">
        <v>-603.16</v>
      </c>
      <c r="T70" s="18" t="n">
        <v>-293.36</v>
      </c>
      <c r="U70" s="34" t="n">
        <v>-4610.11</v>
      </c>
      <c r="V70" s="18" t="n">
        <v>-140.56</v>
      </c>
      <c r="W70" s="18" t="n">
        <v>1840.59</v>
      </c>
      <c r="X70" s="18" t="n">
        <v>-911.67</v>
      </c>
      <c r="Y70" s="18" t="n">
        <v>-1224.07</v>
      </c>
      <c r="Z70" s="34" t="n">
        <v>-435.71</v>
      </c>
      <c r="AA70" s="18" t="n">
        <v>-1587.98</v>
      </c>
      <c r="AB70" s="19" t="n">
        <v>1709.28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7240.65</v>
      </c>
      <c r="F71" s="9" t="n"/>
      <c r="G71" s="18" t="n">
        <v>3161.47</v>
      </c>
      <c r="K71" s="9" t="n"/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1900.82</v>
      </c>
      <c r="F72" s="9" t="n"/>
      <c r="G72" s="18" t="n">
        <v>-73.33</v>
      </c>
      <c r="H72" s="18" t="n">
        <v>-4289.1</v>
      </c>
      <c r="I72" s="18" t="n">
        <v>-4672.81</v>
      </c>
      <c r="J72" s="18" t="n">
        <v>2849.02</v>
      </c>
      <c r="K72" s="34" t="n">
        <v>-6186.22</v>
      </c>
      <c r="L72" s="18" t="n">
        <v>-2278.91</v>
      </c>
      <c r="M72" s="18" t="n">
        <v>-1199.13</v>
      </c>
      <c r="N72" s="18" t="n">
        <v>-2144.18</v>
      </c>
      <c r="O72" s="18" t="n">
        <v>1097.03</v>
      </c>
      <c r="P72" s="34" t="n">
        <v>-4525.19</v>
      </c>
      <c r="Q72" s="18" t="n">
        <v>-2223.79</v>
      </c>
      <c r="R72" s="18" t="n">
        <v>-2027.64</v>
      </c>
      <c r="S72" s="18" t="n">
        <v>195.44</v>
      </c>
      <c r="T72" s="18" t="n">
        <v>-4172.8</v>
      </c>
      <c r="U72" s="34" t="n">
        <v>-8228.790000000001</v>
      </c>
      <c r="V72" s="18" t="n">
        <v>-951.63</v>
      </c>
      <c r="W72" s="18" t="n">
        <v>1676.12</v>
      </c>
      <c r="X72" s="18" t="n">
        <v>-2250.57</v>
      </c>
      <c r="Y72" s="18" t="n">
        <v>-1872.19</v>
      </c>
      <c r="Z72" s="34" t="n">
        <v>-3398.27</v>
      </c>
      <c r="AA72" s="18" t="n">
        <v>-2474.74</v>
      </c>
      <c r="AB72" s="19" t="n">
        <v>-1401.45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7252.61</v>
      </c>
      <c r="F73" s="9" t="n"/>
      <c r="G73" s="18" t="n">
        <v>3010.66</v>
      </c>
      <c r="H73" s="18" t="n">
        <v>-443.65</v>
      </c>
      <c r="I73" s="18" t="n">
        <v>-5050.72</v>
      </c>
      <c r="J73" s="18" t="n">
        <v>1185.46</v>
      </c>
      <c r="K73" s="34" t="n">
        <v>-1298.25</v>
      </c>
      <c r="P73" s="9" t="n"/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4" t="n">
        <v>-1298.25</v>
      </c>
      <c r="L74" s="18" t="n">
        <v>1309.44</v>
      </c>
      <c r="M74" s="18" t="n">
        <v>-535.49</v>
      </c>
      <c r="N74" s="18" t="n">
        <v>-276.07</v>
      </c>
      <c r="O74" s="18" t="n">
        <v>-128.5</v>
      </c>
      <c r="P74" s="34" t="n">
        <v>369.38</v>
      </c>
      <c r="Q74" s="18" t="n">
        <v>-2070.18</v>
      </c>
      <c r="R74" s="18" t="n">
        <v>-1643.41</v>
      </c>
      <c r="S74" s="18" t="n">
        <v>-603.16</v>
      </c>
      <c r="T74" s="18" t="n">
        <v>-293.36</v>
      </c>
      <c r="U74" s="34" t="n">
        <v>-4610.11</v>
      </c>
      <c r="V74" s="18" t="n">
        <v>-140.56</v>
      </c>
      <c r="W74" s="18" t="n">
        <v>1840.59</v>
      </c>
      <c r="X74" s="18" t="n">
        <v>-911.67</v>
      </c>
      <c r="Y74" s="18" t="n">
        <v>-1224.07</v>
      </c>
      <c r="Z74" s="34" t="n">
        <v>-435.71</v>
      </c>
      <c r="AA74" s="18" t="n">
        <v>-1587.98</v>
      </c>
      <c r="AB74" s="19" t="n">
        <v>1709.28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38.47</v>
      </c>
      <c r="H75" s="18" t="n">
        <v>61.82</v>
      </c>
      <c r="I75" s="18" t="n">
        <v>189.2</v>
      </c>
      <c r="J75" s="18" t="n">
        <v>301.99</v>
      </c>
      <c r="K75" s="34" t="n">
        <v>591.48</v>
      </c>
      <c r="L75" s="18" t="n">
        <v>228.6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817.42</v>
      </c>
      <c r="H76" s="18" t="n">
        <v>-932.62</v>
      </c>
      <c r="I76" s="18" t="n">
        <v>4693.5</v>
      </c>
      <c r="J76" s="18" t="n">
        <v>1498.57</v>
      </c>
      <c r="K76" s="34" t="n">
        <v>6076.87</v>
      </c>
      <c r="L76" s="18" t="n">
        <v>1797.75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G77" s="18" t="n">
        <v>70.84999999999999</v>
      </c>
      <c r="K77" s="9" t="n"/>
      <c r="L77" s="18" t="n">
        <v>19.21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외화환산손실</t>
        </is>
      </c>
      <c r="F78" s="9" t="n"/>
      <c r="G78" s="18" t="n">
        <v>-344.46</v>
      </c>
      <c r="K78" s="9" t="n"/>
      <c r="L78" s="18" t="n">
        <v>698.76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G79" s="18" t="n">
        <v>-778.95</v>
      </c>
      <c r="H79" s="18" t="n">
        <v>994.4400000000001</v>
      </c>
      <c r="I79" s="18" t="n">
        <v>-4504.3</v>
      </c>
      <c r="J79" s="18" t="n">
        <v>-1196.58</v>
      </c>
      <c r="K79" s="34" t="n">
        <v>-5485.39</v>
      </c>
      <c r="L79" s="18" t="n">
        <v>-1569.15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종속기업,공동지배기업및관계기업관련손익</t>
        </is>
      </c>
      <c r="F80" s="9" t="n"/>
      <c r="H80" s="18" t="n">
        <v>322.27</v>
      </c>
      <c r="I80" s="18" t="n">
        <v>665.6900000000001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배당금수익</t>
        </is>
      </c>
      <c r="F81" s="9" t="n"/>
      <c r="H81" s="18" t="n">
        <v>121.83</v>
      </c>
      <c r="I81" s="18" t="n">
        <v>0</v>
      </c>
      <c r="K81" s="9" t="n"/>
      <c r="L81" s="18" t="n">
        <v>-60.89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기타영업외수익</t>
        </is>
      </c>
      <c r="F82" s="9" t="n"/>
      <c r="K82" s="9" t="n"/>
      <c r="L82" s="18" t="n">
        <v>967.35</v>
      </c>
      <c r="M82" s="18" t="n">
        <v>385.98</v>
      </c>
      <c r="N82" s="18" t="n">
        <v>819.73</v>
      </c>
      <c r="O82" s="18" t="n">
        <v>702.23</v>
      </c>
      <c r="P82" s="34" t="n">
        <v>2875.29</v>
      </c>
      <c r="Q82" s="18" t="n">
        <v>870.46</v>
      </c>
      <c r="R82" s="18" t="n">
        <v>528.63</v>
      </c>
      <c r="S82" s="18" t="n">
        <v>711.11</v>
      </c>
      <c r="T82" s="18" t="n">
        <v>743.0599999999999</v>
      </c>
      <c r="U82" s="34" t="n">
        <v>2853.26</v>
      </c>
      <c r="V82" s="18" t="n">
        <v>1133.65</v>
      </c>
      <c r="W82" s="18" t="n">
        <v>-72.69</v>
      </c>
      <c r="X82" s="18" t="n">
        <v>681.1900000000001</v>
      </c>
      <c r="Y82" s="18" t="n">
        <v>783.99</v>
      </c>
      <c r="Z82" s="34" t="n">
        <v>2526.14</v>
      </c>
      <c r="AA82" s="18" t="n">
        <v>705.67</v>
      </c>
      <c r="AB82" s="19" t="n">
        <v>644.97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(비지배주주지분)당기순이익</t>
        </is>
      </c>
      <c r="F83" s="9" t="n"/>
      <c r="K83" s="9" t="n"/>
      <c r="L83" s="18" t="n">
        <v>41.54</v>
      </c>
      <c r="M83" s="18" t="n">
        <v>-36.17</v>
      </c>
      <c r="N83" s="18" t="n">
        <v>226.54</v>
      </c>
      <c r="O83" s="18" t="n">
        <v>197.62</v>
      </c>
      <c r="P83" s="34" t="n">
        <v>429.53</v>
      </c>
      <c r="Q83" s="18" t="n">
        <v>37.36</v>
      </c>
      <c r="R83" s="18" t="n">
        <v>146.07</v>
      </c>
      <c r="S83" s="18" t="n">
        <v>199.29</v>
      </c>
      <c r="T83" s="18" t="n">
        <v>266.01</v>
      </c>
      <c r="U83" s="34" t="n">
        <v>648.73</v>
      </c>
      <c r="V83" s="18" t="n">
        <v>45.32</v>
      </c>
      <c r="W83" s="18" t="n">
        <v>-19.4</v>
      </c>
      <c r="X83" s="18" t="n">
        <v>0.03</v>
      </c>
      <c r="Y83" s="18" t="n">
        <v>92.18000000000001</v>
      </c>
      <c r="Z83" s="34" t="n">
        <v>118.13</v>
      </c>
      <c r="AA83" s="18" t="n">
        <v>-124.06</v>
      </c>
      <c r="AB83" s="19" t="n">
        <v>-126.13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K84" s="9" t="n"/>
      <c r="L84" s="18" t="n">
        <v>94.39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K85" s="9" t="n"/>
      <c r="L85" s="18" t="n">
        <v>71.53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9622.98</v>
      </c>
      <c r="F86" s="9" t="n"/>
      <c r="G86" s="18" t="n">
        <v>803.41</v>
      </c>
      <c r="H86" s="18" t="n">
        <v>-2837</v>
      </c>
      <c r="I86" s="18" t="n">
        <v>10177.55</v>
      </c>
      <c r="J86" s="18" t="n">
        <v>13224.59</v>
      </c>
      <c r="K86" s="34" t="n">
        <v>21368.55</v>
      </c>
      <c r="L86" s="18" t="n">
        <v>-1917.88</v>
      </c>
      <c r="M86" s="18" t="n">
        <v>1628.53</v>
      </c>
      <c r="N86" s="18" t="n">
        <v>2595.32</v>
      </c>
      <c r="O86" s="18" t="n">
        <v>3415.51</v>
      </c>
      <c r="P86" s="34" t="n">
        <v>5721.48</v>
      </c>
      <c r="Q86" s="18" t="n">
        <v>-1.75</v>
      </c>
      <c r="R86" s="18" t="n">
        <v>-5617.4</v>
      </c>
      <c r="S86" s="18" t="n">
        <v>8728.219999999999</v>
      </c>
      <c r="T86" s="18" t="n">
        <v>170.82</v>
      </c>
      <c r="U86" s="34" t="n">
        <v>3279.89</v>
      </c>
      <c r="V86" s="18" t="n">
        <v>-4243.51</v>
      </c>
      <c r="W86" s="18" t="n">
        <v>4180.77</v>
      </c>
      <c r="X86" s="18" t="n">
        <v>-4896.89</v>
      </c>
      <c r="Y86" s="18" t="n">
        <v>5551.62</v>
      </c>
      <c r="Z86" s="34" t="n">
        <v>591.99</v>
      </c>
      <c r="AA86" s="18" t="n">
        <v>9173.299999999999</v>
      </c>
      <c r="AB86" s="19" t="n">
        <v>3154.04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E87" s="18" t="n">
        <v>-61</v>
      </c>
      <c r="F87" s="9" t="n"/>
      <c r="I87" s="18" t="n">
        <v>0</v>
      </c>
      <c r="K87" s="9" t="n"/>
      <c r="N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-1628.14</v>
      </c>
      <c r="F88" s="9" t="n"/>
      <c r="G88" s="18" t="n">
        <v>-320.08</v>
      </c>
      <c r="H88" s="18" t="n">
        <v>-515.28</v>
      </c>
      <c r="I88" s="18" t="n">
        <v>-450.84</v>
      </c>
      <c r="J88" s="18" t="n">
        <v>-6.05</v>
      </c>
      <c r="K88" s="34" t="n">
        <v>-1292.25</v>
      </c>
      <c r="L88" s="18" t="n">
        <v>422.91</v>
      </c>
      <c r="M88" s="18" t="n">
        <v>-19.25</v>
      </c>
      <c r="N88" s="18" t="n">
        <v>-195.18</v>
      </c>
      <c r="O88" s="18" t="n">
        <v>63.52</v>
      </c>
      <c r="P88" s="34" t="n">
        <v>272</v>
      </c>
      <c r="Q88" s="18" t="n">
        <v>89.94</v>
      </c>
      <c r="R88" s="18" t="n">
        <v>-13.56</v>
      </c>
      <c r="S88" s="18" t="n">
        <v>-74.02</v>
      </c>
      <c r="T88" s="18" t="n">
        <v>-38.71</v>
      </c>
      <c r="U88" s="34" t="n">
        <v>-36.35</v>
      </c>
      <c r="V88" s="18" t="n">
        <v>104.63</v>
      </c>
      <c r="W88" s="18" t="n">
        <v>-25.89</v>
      </c>
      <c r="X88" s="18" t="n">
        <v>-59.12</v>
      </c>
      <c r="Y88" s="18" t="n">
        <v>-32.86</v>
      </c>
      <c r="Z88" s="34" t="n">
        <v>-13.24</v>
      </c>
      <c r="AA88" s="18" t="n">
        <v>120.64</v>
      </c>
      <c r="AB88" s="19" t="n">
        <v>-7.33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-1246.16</v>
      </c>
      <c r="F89" s="9" t="n"/>
      <c r="G89" s="18" t="n">
        <v>-9449.74</v>
      </c>
      <c r="H89" s="18" t="n">
        <v>-4577</v>
      </c>
      <c r="I89" s="18" t="n">
        <v>-4926.04</v>
      </c>
      <c r="J89" s="18" t="n">
        <v>-456.24</v>
      </c>
      <c r="K89" s="34" t="n">
        <v>-19409.02</v>
      </c>
      <c r="L89" s="18" t="n">
        <v>9118.08</v>
      </c>
      <c r="M89" s="18" t="n">
        <v>-776.24</v>
      </c>
      <c r="N89" s="18" t="n">
        <v>-996.34</v>
      </c>
      <c r="O89" s="18" t="n">
        <v>-501.51</v>
      </c>
      <c r="P89" s="34" t="n">
        <v>6843.99</v>
      </c>
      <c r="Q89" s="18" t="n">
        <v>-671.61</v>
      </c>
      <c r="R89" s="18" t="n">
        <v>-3136.44</v>
      </c>
      <c r="S89" s="18" t="n">
        <v>-6712.62</v>
      </c>
      <c r="T89" s="18" t="n">
        <v>-2856.76</v>
      </c>
      <c r="U89" s="34" t="n">
        <v>-13377.43</v>
      </c>
      <c r="V89" s="18" t="n">
        <v>-2776.26</v>
      </c>
      <c r="W89" s="18" t="n">
        <v>-887.0700000000001</v>
      </c>
      <c r="X89" s="18" t="n">
        <v>-74.2</v>
      </c>
      <c r="Y89" s="18" t="n">
        <v>-2559.02</v>
      </c>
      <c r="Z89" s="34" t="n">
        <v>-6296.55</v>
      </c>
      <c r="AA89" s="18" t="n">
        <v>1790.08</v>
      </c>
      <c r="AB89" s="19" t="n">
        <v>-7954.02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I90" s="18" t="n">
        <v>340</v>
      </c>
      <c r="J90" s="18" t="n">
        <v>7.48</v>
      </c>
      <c r="K90" s="9" t="n"/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4" t="n">
        <v>0</v>
      </c>
      <c r="V90" s="18" t="n">
        <v>0</v>
      </c>
      <c r="W90" s="18" t="n">
        <v>0</v>
      </c>
      <c r="X90" s="18" t="n">
        <v>0</v>
      </c>
      <c r="Y90" s="18" t="n">
        <v>817.6</v>
      </c>
      <c r="Z90" s="34" t="n">
        <v>817.6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-3631.66</v>
      </c>
      <c r="F91" s="9" t="n"/>
      <c r="G91" s="18" t="n">
        <v>4309.18</v>
      </c>
      <c r="H91" s="18" t="n">
        <v>10020.44</v>
      </c>
      <c r="I91" s="18" t="n">
        <v>-8918.16</v>
      </c>
      <c r="J91" s="18" t="n">
        <v>-7691.82</v>
      </c>
      <c r="K91" s="34" t="n">
        <v>-2280.36</v>
      </c>
      <c r="L91" s="18" t="n">
        <v>-7695.17</v>
      </c>
      <c r="M91" s="18" t="n">
        <v>-2342.28</v>
      </c>
      <c r="N91" s="18" t="n">
        <v>-1556.26</v>
      </c>
      <c r="O91" s="18" t="n">
        <v>-450.71</v>
      </c>
      <c r="P91" s="34" t="n">
        <v>-12044.42</v>
      </c>
      <c r="Q91" s="18" t="n">
        <v>-6135.24</v>
      </c>
      <c r="R91" s="18" t="n">
        <v>11787.63</v>
      </c>
      <c r="S91" s="18" t="n">
        <v>3428.2</v>
      </c>
      <c r="T91" s="18" t="n">
        <v>-313.98</v>
      </c>
      <c r="U91" s="34" t="n">
        <v>8766.610000000001</v>
      </c>
      <c r="V91" s="18" t="n">
        <v>7407.36</v>
      </c>
      <c r="W91" s="18" t="n">
        <v>-5091.59</v>
      </c>
      <c r="X91" s="18" t="n">
        <v>4408.08</v>
      </c>
      <c r="Y91" s="18" t="n">
        <v>-6606.46</v>
      </c>
      <c r="Z91" s="34" t="n">
        <v>117.39</v>
      </c>
      <c r="AA91" s="18" t="n">
        <v>-1599.69</v>
      </c>
      <c r="AB91" s="19" t="n">
        <v>3911.8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156.25</v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4000</v>
      </c>
      <c r="P92" s="9" t="n"/>
      <c r="Q92" s="18" t="n">
        <v>0</v>
      </c>
      <c r="R92" s="18" t="n">
        <v>0</v>
      </c>
      <c r="S92" s="18" t="n">
        <v>0</v>
      </c>
      <c r="T92" s="18" t="n">
        <v>0</v>
      </c>
      <c r="U92" s="34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0</v>
      </c>
      <c r="F93" s="9" t="n"/>
      <c r="G93" s="18" t="n">
        <v>20347.2</v>
      </c>
      <c r="K93" s="9" t="n"/>
      <c r="P93" s="9" t="n"/>
      <c r="Q93" s="18" t="n">
        <v>0</v>
      </c>
      <c r="R93" s="18" t="n">
        <v>0</v>
      </c>
      <c r="S93" s="18" t="n">
        <v>6000</v>
      </c>
      <c r="T93" s="18" t="n">
        <v>0</v>
      </c>
      <c r="U93" s="34" t="n">
        <v>6000</v>
      </c>
      <c r="V93" s="18" t="n">
        <v>0</v>
      </c>
      <c r="W93" s="18" t="n">
        <v>0</v>
      </c>
      <c r="X93" s="18" t="n">
        <v>0</v>
      </c>
      <c r="Y93" s="18" t="n">
        <v>0</v>
      </c>
      <c r="Z93" s="34" t="n">
        <v>0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4813.69</v>
      </c>
      <c r="F94" s="9" t="n"/>
      <c r="G94" s="18" t="n">
        <v>-4286.7</v>
      </c>
      <c r="H94" s="18" t="n">
        <v>2555.99</v>
      </c>
      <c r="I94" s="18" t="n">
        <v>-3666.65</v>
      </c>
      <c r="J94" s="18" t="n">
        <v>5022.92</v>
      </c>
      <c r="K94" s="34" t="n">
        <v>-374.44</v>
      </c>
      <c r="L94" s="18" t="n">
        <v>-393.32</v>
      </c>
      <c r="M94" s="18" t="n">
        <v>-1590.17</v>
      </c>
      <c r="N94" s="18" t="n">
        <v>89.69</v>
      </c>
      <c r="O94" s="18" t="n">
        <v>2434.76</v>
      </c>
      <c r="P94" s="34" t="n">
        <v>540.96</v>
      </c>
      <c r="Q94" s="18" t="n">
        <v>-6771.16</v>
      </c>
      <c r="R94" s="18" t="n">
        <v>2744.28</v>
      </c>
      <c r="S94" s="18" t="n">
        <v>5758.84</v>
      </c>
      <c r="T94" s="18" t="n">
        <v>-2955.25</v>
      </c>
      <c r="U94" s="34" t="n">
        <v>-1223.29</v>
      </c>
      <c r="V94" s="18" t="n">
        <v>1445.27</v>
      </c>
      <c r="W94" s="18" t="n">
        <v>-2934.32</v>
      </c>
      <c r="X94" s="18" t="n">
        <v>-582.89</v>
      </c>
      <c r="Y94" s="18" t="n">
        <v>-3756.69</v>
      </c>
      <c r="Z94" s="34" t="n">
        <v>-5828.63</v>
      </c>
      <c r="AA94" s="18" t="n">
        <v>8643.440000000001</v>
      </c>
      <c r="AB94" s="19" t="n">
        <v>-121.54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154.55</v>
      </c>
      <c r="F95" s="9" t="n"/>
      <c r="G95" s="18" t="n">
        <v>8489.309999999999</v>
      </c>
      <c r="H95" s="18" t="n">
        <v>2636.28</v>
      </c>
      <c r="I95" s="18" t="n">
        <v>-3554.95</v>
      </c>
      <c r="J95" s="18" t="n">
        <v>4830.92</v>
      </c>
      <c r="K95" s="34" t="n">
        <v>12401.56</v>
      </c>
      <c r="L95" s="18" t="n">
        <v>12008.24</v>
      </c>
      <c r="M95" s="18" t="n">
        <v>-1590.16</v>
      </c>
      <c r="N95" s="18" t="n">
        <v>89.68000000000001</v>
      </c>
      <c r="O95" s="18" t="n">
        <v>2434.77</v>
      </c>
      <c r="P95" s="34" t="n">
        <v>12942.53</v>
      </c>
      <c r="Q95" s="18" t="n">
        <v>6171.37</v>
      </c>
      <c r="R95" s="18" t="n">
        <v>2744.27</v>
      </c>
      <c r="S95" s="18" t="n">
        <v>5758.85</v>
      </c>
      <c r="T95" s="18" t="n">
        <v>-2955.26</v>
      </c>
      <c r="U95" s="34" t="n">
        <v>11719.23</v>
      </c>
      <c r="V95" s="18" t="n">
        <v>13164.5</v>
      </c>
      <c r="W95" s="18" t="n">
        <v>-2934.32</v>
      </c>
      <c r="X95" s="18" t="n">
        <v>-582.89</v>
      </c>
      <c r="Y95" s="18" t="n">
        <v>-3756.69</v>
      </c>
      <c r="Z95" s="34" t="n">
        <v>5890.6</v>
      </c>
      <c r="AA95" s="18" t="n">
        <v>14534.04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CAPEX</t>
        </is>
      </c>
      <c r="E96" s="18" t="n">
        <v>0</v>
      </c>
      <c r="F96" s="9" t="n"/>
      <c r="G96" s="18" t="n">
        <v>1401.18</v>
      </c>
      <c r="H96" s="18" t="n">
        <v>1160.84</v>
      </c>
      <c r="I96" s="18" t="n">
        <v>2199.12</v>
      </c>
      <c r="J96" s="18" t="n">
        <v>2427.86</v>
      </c>
      <c r="K96" s="34" t="n">
        <v>7189</v>
      </c>
      <c r="L96" s="18" t="n">
        <v>159.22</v>
      </c>
      <c r="M96" s="18" t="n">
        <v>838</v>
      </c>
      <c r="N96" s="18" t="n">
        <v>2891.32</v>
      </c>
      <c r="O96" s="18" t="n">
        <v>1873.21</v>
      </c>
      <c r="P96" s="34" t="n">
        <v>5761.75</v>
      </c>
      <c r="Q96" s="18" t="n">
        <v>1744.42</v>
      </c>
      <c r="R96" s="18" t="n">
        <v>1633.23</v>
      </c>
      <c r="S96" s="18" t="n">
        <v>682.52</v>
      </c>
      <c r="T96" s="18" t="n">
        <v>2546.88</v>
      </c>
      <c r="U96" s="34" t="n">
        <v>6607.05</v>
      </c>
      <c r="V96" s="18" t="n">
        <v>26.26</v>
      </c>
      <c r="W96" s="18" t="n">
        <v>917.66</v>
      </c>
      <c r="X96" s="18" t="n">
        <v>959.61</v>
      </c>
      <c r="Y96" s="18" t="n">
        <v>2538.18</v>
      </c>
      <c r="Z96" s="34" t="n">
        <v>4441.71</v>
      </c>
      <c r="AA96" s="18" t="n">
        <v>907.99</v>
      </c>
      <c r="AB96" s="19" t="n">
        <v>1754.02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G97" s="18" t="n">
        <v>12.85</v>
      </c>
      <c r="I97" s="18" t="n">
        <v>244.98</v>
      </c>
      <c r="K97" s="9" t="n"/>
      <c r="L97" s="18" t="n">
        <v>71.16</v>
      </c>
      <c r="M97" s="18" t="n">
        <v>0.84</v>
      </c>
      <c r="N97" s="18" t="n">
        <v>4</v>
      </c>
      <c r="O97" s="18" t="n">
        <v>0</v>
      </c>
      <c r="P97" s="34" t="n">
        <v>76</v>
      </c>
      <c r="Q97" s="18" t="n">
        <v>65.02</v>
      </c>
      <c r="S97" s="18" t="n">
        <v>0</v>
      </c>
      <c r="T97" s="18" t="n">
        <v>0</v>
      </c>
      <c r="U97" s="9" t="n"/>
      <c r="V97" s="18" t="n">
        <v>0</v>
      </c>
      <c r="W97" s="18" t="n">
        <v>0</v>
      </c>
      <c r="X97" s="18" t="n">
        <v>0</v>
      </c>
      <c r="Y97" s="18" t="n">
        <v>0</v>
      </c>
      <c r="Z97" s="34" t="n">
        <v>0</v>
      </c>
      <c r="AA97" s="18" t="n">
        <v>57.36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G98" s="18" t="n">
        <v>1401.18</v>
      </c>
      <c r="H98" s="18" t="n">
        <v>1160.84</v>
      </c>
      <c r="I98" s="18" t="n">
        <v>1859.12</v>
      </c>
      <c r="J98" s="18" t="n">
        <v>2420.38</v>
      </c>
      <c r="K98" s="34" t="n">
        <v>6841.52</v>
      </c>
      <c r="L98" s="18" t="n">
        <v>159.22</v>
      </c>
      <c r="M98" s="18" t="n">
        <v>838</v>
      </c>
      <c r="N98" s="18" t="n">
        <v>2891.32</v>
      </c>
      <c r="O98" s="18" t="n">
        <v>1873.21</v>
      </c>
      <c r="P98" s="34" t="n">
        <v>5761.75</v>
      </c>
      <c r="Q98" s="18" t="n">
        <v>1744.42</v>
      </c>
      <c r="R98" s="18" t="n">
        <v>1633.23</v>
      </c>
      <c r="S98" s="18" t="n">
        <v>682.52</v>
      </c>
      <c r="T98" s="18" t="n">
        <v>2546.88</v>
      </c>
      <c r="U98" s="34" t="n">
        <v>6607.05</v>
      </c>
      <c r="V98" s="18" t="n">
        <v>26.26</v>
      </c>
      <c r="W98" s="18" t="n">
        <v>917.66</v>
      </c>
      <c r="X98" s="18" t="n">
        <v>959.61</v>
      </c>
      <c r="Y98" s="18" t="n">
        <v>1720.58</v>
      </c>
      <c r="Z98" s="34" t="n">
        <v>3624.11</v>
      </c>
      <c r="AA98" s="18" t="n">
        <v>907.99</v>
      </c>
      <c r="AB98" s="19" t="n">
        <v>1754.02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F99" s="9" t="n"/>
      <c r="G99" s="18" t="n">
        <v>24711.37</v>
      </c>
      <c r="H99" s="18" t="n">
        <v>40827.85</v>
      </c>
      <c r="K99" s="9" t="n"/>
      <c r="L99" s="18" t="n">
        <v>7422.36</v>
      </c>
      <c r="M99" s="18" t="n">
        <v>5525.39</v>
      </c>
      <c r="N99" s="18" t="n">
        <v>1668.31</v>
      </c>
      <c r="O99" s="18" t="n">
        <v>180.28</v>
      </c>
      <c r="P99" s="34" t="n">
        <v>14796.34</v>
      </c>
      <c r="Q99" s="18" t="n">
        <v>5080.7</v>
      </c>
      <c r="R99" s="18" t="n">
        <v>38757.06</v>
      </c>
      <c r="T99" s="18" t="n">
        <v>17654.99</v>
      </c>
      <c r="U99" s="9" t="n"/>
      <c r="V99" s="18" t="n">
        <v>8799.16</v>
      </c>
      <c r="W99" s="18" t="n">
        <v>10000</v>
      </c>
      <c r="X99" s="18" t="n">
        <v>11280.99</v>
      </c>
      <c r="Z99" s="9" t="n"/>
      <c r="AA99" s="18" t="n">
        <v>16300</v>
      </c>
      <c r="AB99" s="19" t="n">
        <v>4000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0</v>
      </c>
      <c r="K100" s="9" t="n"/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F101" s="9" t="n"/>
      <c r="G101" s="18" t="n">
        <v>0</v>
      </c>
      <c r="H101" s="18" t="n">
        <v>1217.69</v>
      </c>
      <c r="I101" s="18" t="n">
        <v>0</v>
      </c>
      <c r="J101" s="18" t="n">
        <v>0</v>
      </c>
      <c r="K101" s="34" t="n">
        <v>1217.69</v>
      </c>
      <c r="L101" s="18" t="n">
        <v>0</v>
      </c>
      <c r="M101" s="18" t="n">
        <v>730.61</v>
      </c>
      <c r="N101" s="18" t="n">
        <v>0</v>
      </c>
      <c r="O101" s="18" t="n">
        <v>0</v>
      </c>
      <c r="P101" s="34" t="n">
        <v>730.61</v>
      </c>
      <c r="Q101" s="18" t="n">
        <v>730.61</v>
      </c>
      <c r="R101" s="18" t="n">
        <v>0</v>
      </c>
      <c r="S101" s="18" t="n">
        <v>0</v>
      </c>
      <c r="T101" s="18" t="n">
        <v>0</v>
      </c>
      <c r="U101" s="34" t="n">
        <v>730.61</v>
      </c>
      <c r="V101" s="18" t="n">
        <v>243.54</v>
      </c>
      <c r="W101" s="18" t="n">
        <v>0</v>
      </c>
      <c r="X101" s="18" t="n">
        <v>0</v>
      </c>
      <c r="Y101" s="18" t="n">
        <v>0</v>
      </c>
      <c r="Z101" s="34" t="n">
        <v>243.54</v>
      </c>
      <c r="AA101" s="18" t="n">
        <v>712.28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F102" s="9" t="n"/>
      <c r="I102" s="18" t="n">
        <v>-1078.75</v>
      </c>
      <c r="K102" s="9" t="n"/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L103" s="18" t="n">
        <v>86.8</v>
      </c>
      <c r="M103" s="18" t="n">
        <v>86.29000000000001</v>
      </c>
      <c r="O103" s="18" t="n">
        <v>270.43</v>
      </c>
      <c r="P103" s="9" t="n"/>
      <c r="Q103" s="18" t="n">
        <v>323.92</v>
      </c>
      <c r="S103" s="18" t="n">
        <v>82.56</v>
      </c>
      <c r="T103" s="18" t="n">
        <v>83.40000000000001</v>
      </c>
      <c r="U103" s="9" t="n"/>
      <c r="V103" s="18" t="n">
        <v>84.26000000000001</v>
      </c>
      <c r="W103" s="18" t="n">
        <v>85.14</v>
      </c>
      <c r="X103" s="18" t="n">
        <v>172.9</v>
      </c>
      <c r="Y103" s="18" t="n">
        <v>0</v>
      </c>
      <c r="Z103" s="34" t="n">
        <v>342.3</v>
      </c>
      <c r="AA103" s="18" t="n">
        <v>87.41</v>
      </c>
      <c r="AB103" s="19" t="n">
        <v>88.20999999999999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K104" s="9" t="n"/>
      <c r="P104" s="9" t="n"/>
      <c r="T104" s="18" t="n">
        <v>19391.46</v>
      </c>
      <c r="U104" s="9" t="n"/>
      <c r="V104" s="18" t="n">
        <v>1764</v>
      </c>
      <c r="W104" s="18" t="n">
        <v>13800</v>
      </c>
      <c r="X104" s="18" t="n">
        <v>6400</v>
      </c>
      <c r="Z104" s="9" t="n"/>
      <c r="AA104" s="18" t="n">
        <v>17100</v>
      </c>
      <c r="AB104" s="19" t="n">
        <v>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4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4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4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4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4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4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4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4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4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4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4" t="n">
        <v>15764.23</v>
      </c>
      <c r="G7" s="18" t="n">
        <v>23915.86</v>
      </c>
      <c r="J7" s="18" t="n">
        <v>28060</v>
      </c>
      <c r="K7" s="34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4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4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4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4" t="n">
        <v>15764.23</v>
      </c>
      <c r="G8" s="18" t="n">
        <v>23915.86</v>
      </c>
      <c r="J8" s="18" t="n">
        <v>28060</v>
      </c>
      <c r="K8" s="34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4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4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4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4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4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4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4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4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4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4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4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4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4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4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4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4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4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4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4" t="n">
        <v>853.9299999999999</v>
      </c>
      <c r="G12" s="18" t="n">
        <v>1142.6</v>
      </c>
      <c r="J12" s="18" t="n">
        <v>463.78</v>
      </c>
      <c r="K12" s="34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4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4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4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4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4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4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4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4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4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4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4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4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4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4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4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4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4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4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4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4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4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4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4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4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4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4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4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4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4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4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4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4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4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4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4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4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4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4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4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4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4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4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4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4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4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4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4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4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4" t="n">
        <v>10647.08</v>
      </c>
      <c r="G22" s="18" t="n">
        <v>13256.08</v>
      </c>
      <c r="J22" s="18" t="n">
        <v>13281.56</v>
      </c>
      <c r="K22" s="34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4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4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4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4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4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4" t="n">
        <v>98053.34</v>
      </c>
      <c r="Q23" s="18" t="n">
        <v>94213.84</v>
      </c>
      <c r="R23" s="18" t="n">
        <v>107036.14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4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4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4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4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4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4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4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4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4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4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4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4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4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4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4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4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4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4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4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4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4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4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4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4" t="n">
        <v>0</v>
      </c>
      <c r="Q29" s="18" t="n">
        <v>0</v>
      </c>
      <c r="R29" s="18" t="n">
        <v>0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-36.18</v>
      </c>
      <c r="F30" s="34" t="n">
        <v>-36.18</v>
      </c>
      <c r="G30" s="18" t="n">
        <v>710.59</v>
      </c>
      <c r="J30" s="18" t="n">
        <v>0</v>
      </c>
      <c r="K30" s="34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4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4" t="n">
        <v>0</v>
      </c>
      <c r="V30" s="18" t="n">
        <v>138.85</v>
      </c>
      <c r="W30" s="18" t="n">
        <v>0</v>
      </c>
      <c r="X30" s="18" t="n">
        <v>2.67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33782.27</v>
      </c>
      <c r="F31" s="34" t="n">
        <v>33782.27</v>
      </c>
      <c r="G31" s="18" t="n">
        <v>33782.27</v>
      </c>
      <c r="H31" s="18" t="n">
        <v>33014.89</v>
      </c>
      <c r="I31" s="18" t="n">
        <v>33014.89</v>
      </c>
      <c r="J31" s="18" t="n">
        <v>34796.12</v>
      </c>
      <c r="K31" s="34" t="n">
        <v>34796.12</v>
      </c>
      <c r="L31" s="18" t="n">
        <v>34796.12</v>
      </c>
      <c r="M31" s="18" t="n">
        <v>34880.1</v>
      </c>
      <c r="N31" s="18" t="n">
        <v>34880.1</v>
      </c>
      <c r="O31" s="18" t="n">
        <v>35012.95</v>
      </c>
      <c r="P31" s="34" t="n">
        <v>35012.95</v>
      </c>
      <c r="Q31" s="18" t="n">
        <v>35012.95</v>
      </c>
      <c r="R31" s="18" t="n">
        <v>35432.1</v>
      </c>
      <c r="S31" s="18" t="n">
        <v>35432.1</v>
      </c>
      <c r="T31" s="18" t="n">
        <v>33176.57</v>
      </c>
      <c r="U31" s="34" t="n">
        <v>33176.57</v>
      </c>
      <c r="V31" s="18" t="n">
        <v>33176.57</v>
      </c>
      <c r="W31" s="18" t="n">
        <v>33624.58</v>
      </c>
      <c r="X31" s="18" t="n">
        <v>33624.58</v>
      </c>
      <c r="Y31" s="18" t="n">
        <v>34674.03</v>
      </c>
      <c r="Z31" s="34" t="n">
        <v>34674.03</v>
      </c>
      <c r="AA31" s="18" t="n">
        <v>34674.03</v>
      </c>
      <c r="AB31" s="19" t="n">
        <v>34885.64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0</v>
      </c>
      <c r="F32" s="34" t="n">
        <v>0</v>
      </c>
      <c r="G32" s="18" t="n">
        <v>0</v>
      </c>
      <c r="H32" s="18" t="n">
        <v>210.8</v>
      </c>
      <c r="I32" s="18" t="n">
        <v>122.15</v>
      </c>
      <c r="J32" s="18" t="n">
        <v>0</v>
      </c>
      <c r="K32" s="34" t="n">
        <v>0</v>
      </c>
      <c r="L32" s="18" t="n">
        <v>0</v>
      </c>
      <c r="M32" s="18" t="n">
        <v>0</v>
      </c>
      <c r="N32" s="18" t="n">
        <v>0</v>
      </c>
      <c r="O32" s="18" t="n">
        <v>0</v>
      </c>
      <c r="P32" s="34" t="n">
        <v>0</v>
      </c>
      <c r="Q32" s="18" t="n">
        <v>0</v>
      </c>
      <c r="R32" s="18" t="n">
        <v>0</v>
      </c>
      <c r="S32" s="18" t="n">
        <v>0</v>
      </c>
      <c r="T32" s="18" t="n">
        <v>1505.9</v>
      </c>
      <c r="U32" s="34" t="n">
        <v>1505.9</v>
      </c>
      <c r="V32" s="18" t="n">
        <v>1505.9</v>
      </c>
      <c r="W32" s="18" t="n">
        <v>1505.9</v>
      </c>
      <c r="X32" s="18" t="n">
        <v>1505.9</v>
      </c>
      <c r="Y32" s="18" t="n">
        <v>1505.9</v>
      </c>
      <c r="Z32" s="34" t="n">
        <v>1505.9</v>
      </c>
      <c r="AA32" s="18" t="n">
        <v>1505.9</v>
      </c>
      <c r="AB32" s="19" t="n">
        <v>1505.9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0</v>
      </c>
      <c r="F33" s="34" t="n">
        <v>0</v>
      </c>
      <c r="G33" s="18" t="n">
        <v>0</v>
      </c>
      <c r="H33" s="18" t="n">
        <v>210.8</v>
      </c>
      <c r="I33" s="18" t="n">
        <v>122.15</v>
      </c>
      <c r="J33" s="18" t="n">
        <v>112.26</v>
      </c>
      <c r="K33" s="34" t="n">
        <v>112.26</v>
      </c>
      <c r="L33" s="18" t="n">
        <v>0</v>
      </c>
      <c r="M33" s="18" t="n">
        <v>0</v>
      </c>
      <c r="N33" s="18" t="n">
        <v>249.64</v>
      </c>
      <c r="O33" s="18" t="n">
        <v>167.52</v>
      </c>
      <c r="P33" s="34" t="n">
        <v>167.52</v>
      </c>
      <c r="Q33" s="18" t="n">
        <v>84.31</v>
      </c>
      <c r="R33" s="18" t="n">
        <v>0</v>
      </c>
      <c r="S33" s="18" t="n">
        <v>263.38</v>
      </c>
      <c r="T33" s="18" t="n">
        <v>1682.39</v>
      </c>
      <c r="U33" s="34" t="n">
        <v>1682.39</v>
      </c>
      <c r="V33" s="18" t="n">
        <v>1594.6</v>
      </c>
      <c r="W33" s="18" t="n">
        <v>1505.9</v>
      </c>
      <c r="X33" s="18" t="n">
        <v>1777.75</v>
      </c>
      <c r="Y33" s="18" t="n">
        <v>1687.95</v>
      </c>
      <c r="Z33" s="34" t="n">
        <v>1687.95</v>
      </c>
      <c r="AA33" s="18" t="n">
        <v>1597.33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154866.44</v>
      </c>
      <c r="F34" s="34" t="n">
        <v>154866.44</v>
      </c>
      <c r="G34" s="18" t="n">
        <v>162640.66</v>
      </c>
      <c r="H34" s="18" t="n">
        <v>171052.21</v>
      </c>
      <c r="I34" s="18" t="n">
        <v>174987.59</v>
      </c>
      <c r="J34" s="18" t="n">
        <v>159460.03</v>
      </c>
      <c r="K34" s="34" t="n">
        <v>159460.03</v>
      </c>
      <c r="L34" s="18" t="n">
        <v>153385.32</v>
      </c>
      <c r="M34" s="18" t="n">
        <v>156186.77</v>
      </c>
      <c r="N34" s="18" t="n">
        <v>163396.37</v>
      </c>
      <c r="O34" s="18" t="n">
        <v>152995.49</v>
      </c>
      <c r="P34" s="34" t="n">
        <v>152995.49</v>
      </c>
      <c r="Q34" s="18" t="n">
        <v>154029.21</v>
      </c>
      <c r="R34" s="18" t="n">
        <v>161757.41</v>
      </c>
      <c r="S34" s="18" t="n">
        <v>162266.69</v>
      </c>
      <c r="T34" s="18" t="n">
        <v>166985.18</v>
      </c>
      <c r="U34" s="34" t="n">
        <v>166985.18</v>
      </c>
      <c r="V34" s="18" t="n">
        <v>171347.25</v>
      </c>
      <c r="W34" s="18" t="n">
        <v>164747.88</v>
      </c>
      <c r="X34" s="18" t="n">
        <v>174579.27</v>
      </c>
      <c r="Y34" s="18" t="n">
        <v>167957.12</v>
      </c>
      <c r="Z34" s="34" t="n">
        <v>167957.12</v>
      </c>
      <c r="AA34" s="18" t="n">
        <v>174058.56</v>
      </c>
      <c r="AB34" s="19" t="n">
        <v>200591.34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13348.73</v>
      </c>
      <c r="F35" s="34" t="n">
        <v>13348.73</v>
      </c>
      <c r="G35" s="18" t="n">
        <v>13348.73</v>
      </c>
      <c r="H35" s="18" t="n">
        <v>13348.73</v>
      </c>
      <c r="I35" s="18" t="n">
        <v>13348.73</v>
      </c>
      <c r="J35" s="18" t="n">
        <v>13348.73</v>
      </c>
      <c r="K35" s="34" t="n">
        <v>13348.73</v>
      </c>
      <c r="L35" s="18" t="n">
        <v>13348.73</v>
      </c>
      <c r="M35" s="18" t="n">
        <v>13348.73</v>
      </c>
      <c r="N35" s="18" t="n">
        <v>13348.73</v>
      </c>
      <c r="O35" s="18" t="n">
        <v>13348.73</v>
      </c>
      <c r="P35" s="34" t="n">
        <v>13348.73</v>
      </c>
      <c r="Q35" s="18" t="n">
        <v>13348.73</v>
      </c>
      <c r="R35" s="18" t="n">
        <v>13348.73</v>
      </c>
      <c r="S35" s="18" t="n">
        <v>13348.73</v>
      </c>
      <c r="T35" s="18" t="n">
        <v>13348.73</v>
      </c>
      <c r="U35" s="34" t="n">
        <v>13348.73</v>
      </c>
      <c r="V35" s="18" t="n">
        <v>13348.73</v>
      </c>
      <c r="W35" s="18" t="n">
        <v>13348.73</v>
      </c>
      <c r="X35" s="18" t="n">
        <v>13348.73</v>
      </c>
      <c r="Y35" s="18" t="n">
        <v>13348.73</v>
      </c>
      <c r="Z35" s="34" t="n">
        <v>13348.73</v>
      </c>
      <c r="AA35" s="18" t="n">
        <v>13348.73</v>
      </c>
      <c r="AB35" s="19" t="n">
        <v>13348.73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11140.41</v>
      </c>
      <c r="F36" s="34" t="n">
        <v>11140.41</v>
      </c>
      <c r="G36" s="18" t="n">
        <v>11140.41</v>
      </c>
      <c r="H36" s="18" t="n">
        <v>11140.41</v>
      </c>
      <c r="I36" s="18" t="n">
        <v>11140.41</v>
      </c>
      <c r="J36" s="18" t="n">
        <v>11140.41</v>
      </c>
      <c r="K36" s="34" t="n">
        <v>11140.41</v>
      </c>
      <c r="L36" s="18" t="n">
        <v>11140.41</v>
      </c>
      <c r="M36" s="18" t="n">
        <v>11140.41</v>
      </c>
      <c r="N36" s="18" t="n">
        <v>11140.41</v>
      </c>
      <c r="O36" s="18" t="n">
        <v>11140.41</v>
      </c>
      <c r="P36" s="34" t="n">
        <v>11140.41</v>
      </c>
      <c r="Q36" s="18" t="n">
        <v>11140.41</v>
      </c>
      <c r="R36" s="18" t="n">
        <v>11140.41</v>
      </c>
      <c r="S36" s="18" t="n">
        <v>11140.41</v>
      </c>
      <c r="T36" s="18" t="n">
        <v>11140.41</v>
      </c>
      <c r="U36" s="34" t="n">
        <v>11140.41</v>
      </c>
      <c r="V36" s="18" t="n">
        <v>11140.41</v>
      </c>
      <c r="W36" s="18" t="n">
        <v>9948.950000000001</v>
      </c>
      <c r="X36" s="18" t="n">
        <v>9948.950000000001</v>
      </c>
      <c r="Y36" s="18" t="n">
        <v>14513.78</v>
      </c>
      <c r="Z36" s="34" t="n">
        <v>14513.78</v>
      </c>
      <c r="AA36" s="18" t="n">
        <v>14513.78</v>
      </c>
      <c r="AB36" s="19" t="n">
        <v>14513.78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148994.34</v>
      </c>
      <c r="F37" s="34" t="n">
        <v>148994.34</v>
      </c>
      <c r="G37" s="18" t="n">
        <v>151197.62</v>
      </c>
      <c r="H37" s="18" t="n">
        <v>149475.92</v>
      </c>
      <c r="I37" s="18" t="n">
        <v>143895.6</v>
      </c>
      <c r="J37" s="18" t="n">
        <v>144613</v>
      </c>
      <c r="K37" s="34" t="n">
        <v>144613</v>
      </c>
      <c r="L37" s="18" t="n">
        <v>144990.53</v>
      </c>
      <c r="M37" s="18" t="n">
        <v>144694.54</v>
      </c>
      <c r="N37" s="18" t="n">
        <v>143578.91</v>
      </c>
      <c r="O37" s="18" t="n">
        <v>143195.25</v>
      </c>
      <c r="P37" s="34" t="n">
        <v>143195.25</v>
      </c>
      <c r="Q37" s="18" t="n">
        <v>140633.35</v>
      </c>
      <c r="R37" s="18" t="n">
        <v>138536.34</v>
      </c>
      <c r="S37" s="18" t="n">
        <v>137914.57</v>
      </c>
      <c r="T37" s="18" t="n">
        <v>135102.98</v>
      </c>
      <c r="U37" s="34" t="n">
        <v>135102.98</v>
      </c>
      <c r="V37" s="18" t="n">
        <v>134460.23</v>
      </c>
      <c r="W37" s="18" t="n">
        <v>136673.91</v>
      </c>
      <c r="X37" s="18" t="n">
        <v>136081.32</v>
      </c>
      <c r="Y37" s="18" t="n">
        <v>135033</v>
      </c>
      <c r="Z37" s="34" t="n">
        <v>135033</v>
      </c>
      <c r="AA37" s="18" t="n">
        <v>132568.77</v>
      </c>
      <c r="AB37" s="19" t="n">
        <v>134059.44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173337.65</v>
      </c>
      <c r="F38" s="34" t="n">
        <v>173337.65</v>
      </c>
      <c r="G38" s="18" t="n">
        <v>175542.21</v>
      </c>
      <c r="H38" s="18" t="n">
        <v>173814.63</v>
      </c>
      <c r="I38" s="18" t="n">
        <v>168230.23</v>
      </c>
      <c r="J38" s="18" t="n">
        <v>168944.1</v>
      </c>
      <c r="K38" s="34" t="n">
        <v>168944.1</v>
      </c>
      <c r="L38" s="18" t="n">
        <v>169316.31</v>
      </c>
      <c r="M38" s="18" t="n">
        <v>169023.96</v>
      </c>
      <c r="N38" s="18" t="n">
        <v>167909.1</v>
      </c>
      <c r="O38" s="18" t="n">
        <v>167526.03</v>
      </c>
      <c r="P38" s="34" t="n">
        <v>167526.03</v>
      </c>
      <c r="Q38" s="18" t="n">
        <v>164968.32</v>
      </c>
      <c r="R38" s="18" t="n">
        <v>162870.25</v>
      </c>
      <c r="S38" s="18" t="n">
        <v>162244.65</v>
      </c>
      <c r="T38" s="18" t="n">
        <v>159433.91</v>
      </c>
      <c r="U38" s="34" t="n">
        <v>159433.91</v>
      </c>
      <c r="V38" s="18" t="n">
        <v>158790.35</v>
      </c>
      <c r="W38" s="18" t="n">
        <v>159813.63</v>
      </c>
      <c r="X38" s="18" t="n">
        <v>159370.29</v>
      </c>
      <c r="Y38" s="18" t="n">
        <v>156433.92</v>
      </c>
      <c r="Z38" s="34" t="n">
        <v>156433.92</v>
      </c>
      <c r="AA38" s="18" t="n">
        <v>153969.68</v>
      </c>
      <c r="AB38" s="19" t="n">
        <v>155460.35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328204.09</v>
      </c>
      <c r="F39" s="34" t="n">
        <v>328204.09</v>
      </c>
      <c r="G39" s="18" t="n">
        <v>338182.87</v>
      </c>
      <c r="H39" s="18" t="n">
        <v>344866.84</v>
      </c>
      <c r="I39" s="18" t="n">
        <v>343217.83</v>
      </c>
      <c r="J39" s="18" t="n">
        <v>328404.14</v>
      </c>
      <c r="K39" s="34" t="n">
        <v>328404.14</v>
      </c>
      <c r="L39" s="18" t="n">
        <v>322701.63</v>
      </c>
      <c r="M39" s="18" t="n">
        <v>325210.72</v>
      </c>
      <c r="N39" s="18" t="n">
        <v>331305.48</v>
      </c>
      <c r="O39" s="18" t="n">
        <v>320521.52</v>
      </c>
      <c r="P39" s="34" t="n">
        <v>320521.52</v>
      </c>
      <c r="Q39" s="18" t="n">
        <v>318997.53</v>
      </c>
      <c r="R39" s="18" t="n">
        <v>324627.66</v>
      </c>
      <c r="S39" s="18" t="n">
        <v>324511.34</v>
      </c>
      <c r="T39" s="18" t="n">
        <v>326419.09</v>
      </c>
      <c r="U39" s="34" t="n">
        <v>326419.09</v>
      </c>
      <c r="V39" s="18" t="n">
        <v>330137.61</v>
      </c>
      <c r="W39" s="18" t="n">
        <v>324561.51</v>
      </c>
      <c r="X39" s="18" t="n">
        <v>333949.57</v>
      </c>
      <c r="Y39" s="18" t="n">
        <v>324391.04</v>
      </c>
      <c r="Z39" s="34" t="n">
        <v>324391.04</v>
      </c>
      <c r="AA39" s="18" t="n">
        <v>328028.24</v>
      </c>
      <c r="AB39" s="19" t="n">
        <v>356051.69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173337.65</v>
      </c>
      <c r="F40" s="34" t="n">
        <v>173337.65</v>
      </c>
      <c r="G40" s="18" t="n">
        <v>175542.21</v>
      </c>
      <c r="H40" s="18" t="n">
        <v>173814.63</v>
      </c>
      <c r="I40" s="18" t="n">
        <v>168230.23</v>
      </c>
      <c r="J40" s="18" t="n">
        <v>168944.1</v>
      </c>
      <c r="K40" s="34" t="n">
        <v>168944.1</v>
      </c>
      <c r="L40" s="18" t="n">
        <v>169316.31</v>
      </c>
      <c r="M40" s="18" t="n">
        <v>169023.96</v>
      </c>
      <c r="N40" s="18" t="n">
        <v>167909.1</v>
      </c>
      <c r="O40" s="18" t="n">
        <v>167526.03</v>
      </c>
      <c r="P40" s="34" t="n">
        <v>167526.03</v>
      </c>
      <c r="Q40" s="18" t="n">
        <v>164968.32</v>
      </c>
      <c r="R40" s="18" t="n">
        <v>162870.25</v>
      </c>
      <c r="S40" s="18" t="n">
        <v>162244.65</v>
      </c>
      <c r="T40" s="18" t="n">
        <v>159433.91</v>
      </c>
      <c r="U40" s="34" t="n">
        <v>159433.91</v>
      </c>
      <c r="V40" s="18" t="n">
        <v>158790.35</v>
      </c>
      <c r="W40" s="18" t="n">
        <v>159813.63</v>
      </c>
      <c r="X40" s="18" t="n">
        <v>159370.29</v>
      </c>
      <c r="Y40" s="18" t="n">
        <v>156433.92</v>
      </c>
      <c r="Z40" s="34" t="n">
        <v>156433.92</v>
      </c>
      <c r="AA40" s="18" t="n">
        <v>153969.68</v>
      </c>
      <c r="AB40" s="19" t="n">
        <v>155460.35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84610.12</v>
      </c>
      <c r="F41" s="34" t="n">
        <v>84610.12</v>
      </c>
      <c r="G41" s="18" t="n">
        <v>109915.77</v>
      </c>
      <c r="H41" s="18" t="n">
        <v>123632.89</v>
      </c>
      <c r="I41" s="18" t="n">
        <v>118961.94</v>
      </c>
      <c r="J41" s="18" t="n">
        <v>106970.5</v>
      </c>
      <c r="K41" s="34" t="n">
        <v>106970.5</v>
      </c>
      <c r="L41" s="18" t="n">
        <v>101053.95</v>
      </c>
      <c r="M41" s="18" t="n">
        <v>99726.24000000001</v>
      </c>
      <c r="N41" s="18" t="n">
        <v>99061.28999999999</v>
      </c>
      <c r="O41" s="18" t="n">
        <v>98053.34</v>
      </c>
      <c r="P41" s="34" t="n">
        <v>98053.34</v>
      </c>
      <c r="Q41" s="18" t="n">
        <v>94213.84</v>
      </c>
      <c r="R41" s="18" t="n">
        <v>107036.14</v>
      </c>
      <c r="S41" s="18" t="n">
        <v>0</v>
      </c>
      <c r="T41" s="18" t="n">
        <v>0</v>
      </c>
      <c r="U41" s="34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58399.89</v>
      </c>
      <c r="F42" s="34" t="n">
        <v>58399.89</v>
      </c>
      <c r="G42" s="18" t="n">
        <v>79921.89999999999</v>
      </c>
      <c r="H42" s="18" t="n">
        <v>115282.66</v>
      </c>
      <c r="I42" s="18" t="n">
        <v>114319.35</v>
      </c>
      <c r="J42" s="18" t="n">
        <v>68859.3</v>
      </c>
      <c r="K42" s="34" t="n">
        <v>68859.3</v>
      </c>
      <c r="L42" s="18" t="n">
        <v>72834.11</v>
      </c>
      <c r="M42" s="18" t="n">
        <v>72914.22</v>
      </c>
      <c r="N42" s="18" t="n">
        <v>73519.05</v>
      </c>
      <c r="O42" s="18" t="n">
        <v>69592.62</v>
      </c>
      <c r="P42" s="34" t="n">
        <v>69592.62</v>
      </c>
      <c r="Q42" s="18" t="n">
        <v>72871.23</v>
      </c>
      <c r="R42" s="18" t="n">
        <v>82733.37</v>
      </c>
      <c r="S42" s="18" t="n">
        <v>-30755.94</v>
      </c>
      <c r="T42" s="18" t="n">
        <v>-32902.71</v>
      </c>
      <c r="U42" s="34" t="n">
        <v>-32902.71</v>
      </c>
      <c r="V42" s="18" t="n">
        <v>-36467.98</v>
      </c>
      <c r="W42" s="18" t="n">
        <v>-33082.59</v>
      </c>
      <c r="X42" s="18" t="n">
        <v>-31725.96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28232.43</v>
      </c>
      <c r="F43" s="34" t="n">
        <v>28232.43</v>
      </c>
      <c r="G43" s="18" t="n">
        <v>32017.97</v>
      </c>
      <c r="H43" s="18" t="n">
        <v>11052.2</v>
      </c>
      <c r="I43" s="18" t="n">
        <v>7344.56</v>
      </c>
      <c r="J43" s="18" t="n">
        <v>40862.97</v>
      </c>
      <c r="K43" s="34" t="n">
        <v>40862.97</v>
      </c>
      <c r="L43" s="18" t="n">
        <v>30959.52</v>
      </c>
      <c r="M43" s="18" t="n">
        <v>29657.56</v>
      </c>
      <c r="N43" s="18" t="n">
        <v>28293.31</v>
      </c>
      <c r="O43" s="18" t="n">
        <v>30867.43</v>
      </c>
      <c r="P43" s="34" t="n">
        <v>30867.43</v>
      </c>
      <c r="Q43" s="18" t="n">
        <v>23776.33</v>
      </c>
      <c r="R43" s="18" t="n">
        <v>28192.45</v>
      </c>
      <c r="S43" s="18" t="n">
        <v>34613.07</v>
      </c>
      <c r="T43" s="18" t="n">
        <v>36998.08</v>
      </c>
      <c r="U43" s="34" t="n">
        <v>36998.08</v>
      </c>
      <c r="V43" s="18" t="n">
        <v>41316.4</v>
      </c>
      <c r="W43" s="18" t="n">
        <v>38042.46</v>
      </c>
      <c r="X43" s="18" t="n">
        <v>36485.77</v>
      </c>
      <c r="Y43" s="18" t="n">
        <v>33017.21</v>
      </c>
      <c r="Z43" s="34" t="n">
        <v>33017.21</v>
      </c>
      <c r="AA43" s="18" t="n">
        <v>38925.15</v>
      </c>
      <c r="AB43" s="19" t="n">
        <v>44927.4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기타유동금융자산</t>
        </is>
      </c>
      <c r="F44" s="9" t="n"/>
      <c r="H44" s="18" t="n">
        <v>27725.96</v>
      </c>
      <c r="I44" s="18" t="n">
        <v>29301.11</v>
      </c>
      <c r="J44" s="18" t="n">
        <v>0</v>
      </c>
      <c r="K44" s="34" t="n">
        <v>0</v>
      </c>
      <c r="L44" s="18" t="n">
        <v>0</v>
      </c>
      <c r="M44" s="18" t="n">
        <v>0</v>
      </c>
      <c r="N44" s="18" t="n">
        <v>0</v>
      </c>
      <c r="O44" s="18" t="n">
        <v>0</v>
      </c>
      <c r="P44" s="34" t="n">
        <v>0</v>
      </c>
      <c r="Q44" s="18" t="n">
        <v>0</v>
      </c>
      <c r="R44" s="18" t="n">
        <v>0</v>
      </c>
      <c r="S44" s="18" t="n">
        <v>0</v>
      </c>
      <c r="T44" s="18" t="n">
        <v>0</v>
      </c>
      <c r="U44" s="34" t="n">
        <v>0</v>
      </c>
      <c r="V44" s="18" t="n">
        <v>0</v>
      </c>
      <c r="W44" s="18" t="n">
        <v>0</v>
      </c>
      <c r="X44" s="18" t="n">
        <v>0</v>
      </c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단기투자자산(공정가치)</t>
        </is>
      </c>
      <c r="F45" s="9" t="n"/>
      <c r="H45" s="18" t="n">
        <v>501.19</v>
      </c>
      <c r="I45" s="18" t="n">
        <v>499.57</v>
      </c>
      <c r="J45" s="18" t="n">
        <v>502.49</v>
      </c>
      <c r="K45" s="34" t="n">
        <v>502.49</v>
      </c>
      <c r="L45" s="18" t="n">
        <v>509.45</v>
      </c>
      <c r="M45" s="18" t="n">
        <v>511.52</v>
      </c>
      <c r="N45" s="18" t="n">
        <v>513.77</v>
      </c>
      <c r="O45" s="18" t="n">
        <v>528.29</v>
      </c>
      <c r="P45" s="34" t="n">
        <v>528.29</v>
      </c>
      <c r="Q45" s="18" t="n">
        <v>0</v>
      </c>
      <c r="R45" s="18" t="n">
        <v>0</v>
      </c>
      <c r="S45" s="18" t="n">
        <v>5000</v>
      </c>
      <c r="T45" s="18" t="n">
        <v>0</v>
      </c>
      <c r="U45" s="34" t="n">
        <v>0</v>
      </c>
      <c r="V45" s="18" t="n">
        <v>0</v>
      </c>
      <c r="X45" s="18" t="n">
        <v>0</v>
      </c>
      <c r="Y45" s="18" t="n">
        <v>0.04</v>
      </c>
      <c r="Z45" s="34" t="n">
        <v>0.04</v>
      </c>
      <c r="AA45" s="18" t="n">
        <v>0</v>
      </c>
      <c r="AB45" s="19" t="n">
        <v>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H46" s="18" t="n">
        <v>492.57</v>
      </c>
      <c r="I46" s="18" t="n">
        <v>570.76</v>
      </c>
      <c r="J46" s="18" t="n">
        <v>841.2</v>
      </c>
      <c r="K46" s="34" t="n">
        <v>841.2</v>
      </c>
      <c r="L46" s="18" t="n">
        <v>707.8099999999999</v>
      </c>
      <c r="M46" s="18" t="n">
        <v>734.42</v>
      </c>
      <c r="N46" s="18" t="n">
        <v>601.04</v>
      </c>
      <c r="O46" s="18" t="n">
        <v>691.54</v>
      </c>
      <c r="P46" s="34" t="n">
        <v>691.54</v>
      </c>
      <c r="Q46" s="18" t="n">
        <v>547.76</v>
      </c>
      <c r="R46" s="18" t="n">
        <v>384.09</v>
      </c>
      <c r="S46" s="18" t="n">
        <v>230.8</v>
      </c>
      <c r="T46" s="18" t="n">
        <v>43.06</v>
      </c>
      <c r="U46" s="34" t="n">
        <v>43.06</v>
      </c>
      <c r="V46" s="18" t="n">
        <v>0</v>
      </c>
      <c r="W46" s="18" t="n">
        <v>179.24</v>
      </c>
      <c r="X46" s="18" t="n">
        <v>0</v>
      </c>
      <c r="Y46" s="18" t="n">
        <v>948.27</v>
      </c>
      <c r="Z46" s="34" t="n">
        <v>948.27</v>
      </c>
      <c r="AA46" s="18" t="n">
        <v>780.28</v>
      </c>
      <c r="AB46" s="19" t="n">
        <v>822.28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H47" s="18" t="n">
        <v>513.98</v>
      </c>
      <c r="I47" s="18" t="n">
        <v>65.62</v>
      </c>
      <c r="J47" s="18" t="n">
        <v>3.35</v>
      </c>
      <c r="K47" s="34" t="n">
        <v>3.35</v>
      </c>
      <c r="L47" s="18" t="n">
        <v>0</v>
      </c>
      <c r="M47" s="18" t="n">
        <v>98.98</v>
      </c>
      <c r="N47" s="18" t="n">
        <v>98.98</v>
      </c>
      <c r="O47" s="18" t="n">
        <v>0</v>
      </c>
      <c r="P47" s="34" t="n">
        <v>0</v>
      </c>
      <c r="Q47" s="18" t="n">
        <v>-62.83</v>
      </c>
      <c r="R47" s="18" t="n">
        <v>0</v>
      </c>
      <c r="S47" s="18" t="n">
        <v>0</v>
      </c>
      <c r="T47" s="18" t="n">
        <v>0</v>
      </c>
      <c r="U47" s="34" t="n">
        <v>0</v>
      </c>
      <c r="V47" s="18" t="n">
        <v>0</v>
      </c>
      <c r="W47" s="18" t="n">
        <v>0</v>
      </c>
      <c r="X47" s="18" t="n">
        <v>0</v>
      </c>
      <c r="Y47" s="18" t="n">
        <v>0.49</v>
      </c>
      <c r="Z47" s="34" t="n">
        <v>0.49</v>
      </c>
      <c r="AA47" s="18" t="n">
        <v>0.04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사채</t>
        </is>
      </c>
      <c r="F48" s="9" t="n"/>
      <c r="H48" s="18" t="n">
        <v>0</v>
      </c>
      <c r="I48" s="18" t="n">
        <v>0</v>
      </c>
      <c r="J48" s="18" t="n">
        <v>0</v>
      </c>
      <c r="K48" s="34" t="n">
        <v>0</v>
      </c>
      <c r="L48" s="18" t="n">
        <v>0</v>
      </c>
      <c r="M48" s="18" t="n">
        <v>0</v>
      </c>
      <c r="N48" s="18" t="n">
        <v>0</v>
      </c>
      <c r="O48" s="18" t="n">
        <v>0</v>
      </c>
      <c r="P48" s="34" t="n">
        <v>0</v>
      </c>
      <c r="Q48" s="18" t="n">
        <v>0</v>
      </c>
      <c r="R48" s="18" t="n">
        <v>0</v>
      </c>
      <c r="S48" s="18" t="n">
        <v>0</v>
      </c>
      <c r="T48" s="18" t="n">
        <v>0</v>
      </c>
      <c r="U48" s="34" t="n">
        <v>0</v>
      </c>
      <c r="V48" s="18" t="n">
        <v>0</v>
      </c>
      <c r="W48" s="18" t="n">
        <v>0</v>
      </c>
      <c r="X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4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4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4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4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4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4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4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4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4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4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4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4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4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4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4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4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4" t="n">
        <v>98053.34</v>
      </c>
      <c r="Q53" s="18" t="n">
        <v>94213.84</v>
      </c>
      <c r="R53" s="18" t="n">
        <v>107036.14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4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4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Y55" s="18" t="n">
        <v>-1896.77</v>
      </c>
      <c r="Z55" s="34" t="n">
        <v>-1896.77</v>
      </c>
      <c r="AA55" s="18" t="n">
        <v>-1896.77</v>
      </c>
      <c r="AB55" s="19" t="n">
        <v>-1896.77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66146.78999999999</v>
      </c>
      <c r="F56" s="9" t="n"/>
      <c r="G56" s="18" t="n">
        <v>69565.95</v>
      </c>
      <c r="H56" s="18" t="n">
        <v>58293.26</v>
      </c>
      <c r="I56" s="18" t="n">
        <v>59866.52</v>
      </c>
      <c r="J56" s="18" t="n">
        <v>54186.08</v>
      </c>
      <c r="K56" s="34" t="n">
        <v>241911.81</v>
      </c>
      <c r="L56" s="18" t="n">
        <v>57458.81</v>
      </c>
      <c r="M56" s="18" t="n">
        <v>48614.22</v>
      </c>
      <c r="N56" s="18" t="n">
        <v>48611.2</v>
      </c>
      <c r="O56" s="18" t="n">
        <v>46401.11</v>
      </c>
      <c r="P56" s="34" t="n">
        <v>201085.34</v>
      </c>
      <c r="Q56" s="18" t="n">
        <v>46198</v>
      </c>
      <c r="R56" s="18" t="n">
        <v>49841.3</v>
      </c>
      <c r="S56" s="18" t="n">
        <v>38203.5</v>
      </c>
      <c r="T56" s="18" t="n">
        <v>48723.46</v>
      </c>
      <c r="U56" s="34" t="n">
        <v>182966.26</v>
      </c>
      <c r="V56" s="18" t="n">
        <v>43671.02</v>
      </c>
      <c r="W56" s="18" t="n">
        <v>45976.78</v>
      </c>
      <c r="X56" s="18" t="n">
        <v>46050.96</v>
      </c>
      <c r="Y56" s="18" t="n">
        <v>40597.32</v>
      </c>
      <c r="Z56" s="34" t="n">
        <v>176296.08</v>
      </c>
      <c r="AA56" s="18" t="n">
        <v>57647.41</v>
      </c>
      <c r="AB56" s="19" t="n">
        <v>57497.5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56793.96</v>
      </c>
      <c r="F57" s="9" t="n"/>
      <c r="G57" s="18" t="n">
        <v>65319.72</v>
      </c>
      <c r="H57" s="18" t="n">
        <v>53679.31</v>
      </c>
      <c r="I57" s="18" t="n">
        <v>58757.1</v>
      </c>
      <c r="J57" s="18" t="n">
        <v>52720.96</v>
      </c>
      <c r="K57" s="34" t="n">
        <v>230477.09</v>
      </c>
      <c r="L57" s="18" t="n">
        <v>51256.22</v>
      </c>
      <c r="M57" s="18" t="n">
        <v>45082.43</v>
      </c>
      <c r="N57" s="18" t="n">
        <v>45625.48</v>
      </c>
      <c r="O57" s="18" t="n">
        <v>44904.75</v>
      </c>
      <c r="P57" s="34" t="n">
        <v>186868.88</v>
      </c>
      <c r="Q57" s="18" t="n">
        <v>42669.17</v>
      </c>
      <c r="R57" s="18" t="n">
        <v>47205.72</v>
      </c>
      <c r="S57" s="18" t="n">
        <v>36679.47</v>
      </c>
      <c r="T57" s="18" t="n">
        <v>45798.77</v>
      </c>
      <c r="U57" s="34" t="n">
        <v>172353.13</v>
      </c>
      <c r="V57" s="18" t="n">
        <v>41095.32</v>
      </c>
      <c r="W57" s="18" t="n">
        <v>42004.04</v>
      </c>
      <c r="X57" s="18" t="n">
        <v>42313.7</v>
      </c>
      <c r="Y57" s="18" t="n">
        <v>38357.31</v>
      </c>
      <c r="Z57" s="34" t="n">
        <v>163770.37</v>
      </c>
      <c r="AA57" s="18" t="n">
        <v>54347.59</v>
      </c>
      <c r="AB57" s="19" t="n">
        <v>51612.08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9352.83</v>
      </c>
      <c r="F58" s="9" t="n"/>
      <c r="G58" s="18" t="n">
        <v>4246.24</v>
      </c>
      <c r="H58" s="18" t="n">
        <v>4613.95</v>
      </c>
      <c r="I58" s="18" t="n">
        <v>1109.42</v>
      </c>
      <c r="J58" s="18" t="n">
        <v>1465.12</v>
      </c>
      <c r="K58" s="34" t="n">
        <v>11434.73</v>
      </c>
      <c r="L58" s="18" t="n">
        <v>6202.59</v>
      </c>
      <c r="M58" s="18" t="n">
        <v>3531.79</v>
      </c>
      <c r="N58" s="18" t="n">
        <v>2985.72</v>
      </c>
      <c r="O58" s="18" t="n">
        <v>1496.36</v>
      </c>
      <c r="P58" s="34" t="n">
        <v>14216.46</v>
      </c>
      <c r="Q58" s="18" t="n">
        <v>3528.82</v>
      </c>
      <c r="R58" s="18" t="n">
        <v>2635.59</v>
      </c>
      <c r="S58" s="18" t="n">
        <v>1524.03</v>
      </c>
      <c r="T58" s="18" t="n">
        <v>2924.69</v>
      </c>
      <c r="U58" s="34" t="n">
        <v>10613.13</v>
      </c>
      <c r="V58" s="18" t="n">
        <v>2575.71</v>
      </c>
      <c r="W58" s="18" t="n">
        <v>3972.74</v>
      </c>
      <c r="X58" s="18" t="n">
        <v>3737.26</v>
      </c>
      <c r="Y58" s="18" t="n">
        <v>2240</v>
      </c>
      <c r="Z58" s="34" t="n">
        <v>12525.71</v>
      </c>
      <c r="AA58" s="18" t="n">
        <v>3299.82</v>
      </c>
      <c r="AB58" s="19" t="n">
        <v>5885.43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2194.02</v>
      </c>
      <c r="F59" s="9" t="n"/>
      <c r="G59" s="18" t="n">
        <v>2298.5</v>
      </c>
      <c r="H59" s="18" t="n">
        <v>1351.15</v>
      </c>
      <c r="I59" s="18" t="n">
        <v>1968.17</v>
      </c>
      <c r="J59" s="18" t="n">
        <v>2167.3</v>
      </c>
      <c r="K59" s="34" t="n">
        <v>7785.12</v>
      </c>
      <c r="L59" s="18" t="n">
        <v>2611.09</v>
      </c>
      <c r="M59" s="18" t="n">
        <v>2427.33</v>
      </c>
      <c r="N59" s="18" t="n">
        <v>2201.76</v>
      </c>
      <c r="O59" s="18" t="n">
        <v>2836.79</v>
      </c>
      <c r="P59" s="34" t="n">
        <v>10076.97</v>
      </c>
      <c r="Q59" s="18" t="n">
        <v>3220.2</v>
      </c>
      <c r="R59" s="18" t="n">
        <v>2505.02</v>
      </c>
      <c r="S59" s="18" t="n">
        <v>2601.27</v>
      </c>
      <c r="T59" s="18" t="n">
        <v>3200.71</v>
      </c>
      <c r="U59" s="34" t="n">
        <v>11527.2</v>
      </c>
      <c r="V59" s="18" t="n">
        <v>2634.13</v>
      </c>
      <c r="W59" s="18" t="n">
        <v>2488.39</v>
      </c>
      <c r="X59" s="18" t="n">
        <v>2523.08</v>
      </c>
      <c r="Y59" s="18" t="n">
        <v>2563.48</v>
      </c>
      <c r="Z59" s="34" t="n">
        <v>10209.08</v>
      </c>
      <c r="AA59" s="18" t="n">
        <v>2782.56</v>
      </c>
      <c r="AB59" s="19" t="n">
        <v>2957.84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7158.81</v>
      </c>
      <c r="F60" s="9" t="n"/>
      <c r="G60" s="18" t="n">
        <v>1947.74</v>
      </c>
      <c r="H60" s="18" t="n">
        <v>3262.8</v>
      </c>
      <c r="I60" s="18" t="n">
        <v>-858.75</v>
      </c>
      <c r="J60" s="18" t="n">
        <v>-702.17</v>
      </c>
      <c r="K60" s="34" t="n">
        <v>3649.62</v>
      </c>
      <c r="L60" s="18" t="n">
        <v>3591.5</v>
      </c>
      <c r="M60" s="18" t="n">
        <v>1104.47</v>
      </c>
      <c r="N60" s="18" t="n">
        <v>783.96</v>
      </c>
      <c r="O60" s="18" t="n">
        <v>-1340.43</v>
      </c>
      <c r="P60" s="34" t="n">
        <v>4139.5</v>
      </c>
      <c r="Q60" s="18" t="n">
        <v>308.62</v>
      </c>
      <c r="R60" s="18" t="n">
        <v>130.57</v>
      </c>
      <c r="S60" s="18" t="n">
        <v>-1077.24</v>
      </c>
      <c r="T60" s="18" t="n">
        <v>-276.02</v>
      </c>
      <c r="U60" s="34" t="n">
        <v>-914.0700000000001</v>
      </c>
      <c r="V60" s="18" t="n">
        <v>-58.42</v>
      </c>
      <c r="W60" s="18" t="n">
        <v>1484.35</v>
      </c>
      <c r="X60" s="18" t="n">
        <v>1214.19</v>
      </c>
      <c r="Y60" s="18" t="n">
        <v>-323.48</v>
      </c>
      <c r="Z60" s="34" t="n">
        <v>2316.64</v>
      </c>
      <c r="AA60" s="18" t="n">
        <v>517.26</v>
      </c>
      <c r="AB60" s="19" t="n">
        <v>2927.59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17.67</v>
      </c>
      <c r="F61" s="9" t="n"/>
      <c r="G61" s="18" t="n">
        <v>245.97</v>
      </c>
      <c r="H61" s="18" t="n">
        <v>212.35</v>
      </c>
      <c r="I61" s="18" t="n">
        <v>116.23</v>
      </c>
      <c r="J61" s="18" t="n">
        <v>-81.77</v>
      </c>
      <c r="K61" s="34" t="n">
        <v>492.78</v>
      </c>
      <c r="L61" s="18" t="n">
        <v>-283.7</v>
      </c>
      <c r="M61" s="18" t="n">
        <v>-188.34</v>
      </c>
      <c r="N61" s="18" t="n">
        <v>188.1</v>
      </c>
      <c r="O61" s="18" t="n">
        <v>717.15</v>
      </c>
      <c r="P61" s="34" t="n">
        <v>433.21</v>
      </c>
      <c r="Q61" s="18" t="n">
        <v>59.5</v>
      </c>
      <c r="R61" s="18" t="n">
        <v>238.2</v>
      </c>
      <c r="S61" s="18" t="n">
        <v>249.44</v>
      </c>
      <c r="T61" s="18" t="n">
        <v>11.81</v>
      </c>
      <c r="U61" s="34" t="n">
        <v>558.95</v>
      </c>
      <c r="V61" s="18" t="n">
        <v>557.64</v>
      </c>
      <c r="W61" s="18" t="n">
        <v>-535.15</v>
      </c>
      <c r="X61" s="18" t="n">
        <v>417.21</v>
      </c>
      <c r="Y61" s="18" t="n">
        <v>207.9</v>
      </c>
      <c r="Z61" s="34" t="n">
        <v>647.6</v>
      </c>
      <c r="AA61" s="18" t="n">
        <v>193.96</v>
      </c>
      <c r="AB61" s="19" t="n">
        <v>169.54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3455.27</v>
      </c>
      <c r="F62" s="9" t="n"/>
      <c r="G62" s="18" t="n">
        <v>474.35</v>
      </c>
      <c r="K62" s="9" t="n"/>
      <c r="L62" s="18" t="n">
        <v>330.11</v>
      </c>
      <c r="M62" s="18" t="n">
        <v>400.7</v>
      </c>
      <c r="N62" s="18" t="n">
        <v>-81.91</v>
      </c>
      <c r="O62" s="18" t="n">
        <v>1300.01</v>
      </c>
      <c r="P62" s="34" t="n">
        <v>1948.91</v>
      </c>
      <c r="Q62" s="18" t="n">
        <v>156.07</v>
      </c>
      <c r="R62" s="18" t="n">
        <v>131</v>
      </c>
      <c r="S62" s="18" t="n">
        <v>235.5</v>
      </c>
      <c r="T62" s="18" t="n">
        <v>630.24</v>
      </c>
      <c r="U62" s="34" t="n">
        <v>1152.81</v>
      </c>
      <c r="V62" s="18" t="n">
        <v>365.66</v>
      </c>
      <c r="W62" s="18" t="n">
        <v>2947.69</v>
      </c>
      <c r="X62" s="18" t="n">
        <v>-1017.32</v>
      </c>
      <c r="Y62" s="18" t="n">
        <v>-640.21</v>
      </c>
      <c r="Z62" s="34" t="n">
        <v>1655.82</v>
      </c>
      <c r="AA62" s="18" t="n">
        <v>304.09</v>
      </c>
      <c r="AB62" s="19" t="n">
        <v>313.36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1571.73</v>
      </c>
      <c r="F63" s="9" t="n"/>
      <c r="G63" s="18" t="n">
        <v>465.15</v>
      </c>
      <c r="K63" s="9" t="n"/>
      <c r="L63" s="18" t="n">
        <v>2528.28</v>
      </c>
      <c r="M63" s="18" t="n">
        <v>1430.91</v>
      </c>
      <c r="N63" s="18" t="n">
        <v>2005.98</v>
      </c>
      <c r="O63" s="18" t="n">
        <v>454.57</v>
      </c>
      <c r="P63" s="34" t="n">
        <v>6419.74</v>
      </c>
      <c r="Q63" s="18" t="n">
        <v>2356.6</v>
      </c>
      <c r="R63" s="18" t="n">
        <v>2163.8</v>
      </c>
      <c r="S63" s="18" t="n">
        <v>28.46</v>
      </c>
      <c r="T63" s="18" t="n">
        <v>4764.25</v>
      </c>
      <c r="U63" s="34" t="n">
        <v>9313.110000000001</v>
      </c>
      <c r="V63" s="18" t="n">
        <v>1263.87</v>
      </c>
      <c r="W63" s="18" t="n">
        <v>1235.48</v>
      </c>
      <c r="X63" s="18" t="n">
        <v>1206.67</v>
      </c>
      <c r="Y63" s="18" t="n">
        <v>1222.08</v>
      </c>
      <c r="Z63" s="34" t="n">
        <v>4928.1</v>
      </c>
      <c r="AA63" s="18" t="n">
        <v>2767.27</v>
      </c>
      <c r="AB63" s="19" t="n">
        <v>1708.22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9060.02</v>
      </c>
      <c r="F64" s="9" t="n"/>
      <c r="G64" s="18" t="n">
        <v>2202.92</v>
      </c>
      <c r="H64" s="18" t="n">
        <v>-801.7</v>
      </c>
      <c r="I64" s="18" t="n">
        <v>-5579.17</v>
      </c>
      <c r="J64" s="18" t="n">
        <v>2492.21</v>
      </c>
      <c r="K64" s="34" t="n">
        <v>-1685.74</v>
      </c>
      <c r="L64" s="18" t="n">
        <v>1109.63</v>
      </c>
      <c r="M64" s="18" t="n">
        <v>-114.08</v>
      </c>
      <c r="N64" s="18" t="n">
        <v>-1115.83</v>
      </c>
      <c r="O64" s="18" t="n">
        <v>222.16</v>
      </c>
      <c r="P64" s="34" t="n">
        <v>101.88</v>
      </c>
      <c r="Q64" s="18" t="n">
        <v>-1832.4</v>
      </c>
      <c r="R64" s="18" t="n">
        <v>-1664.03</v>
      </c>
      <c r="S64" s="18" t="n">
        <v>-620.77</v>
      </c>
      <c r="T64" s="18" t="n">
        <v>-4398.21</v>
      </c>
      <c r="U64" s="34" t="n">
        <v>-8515.41</v>
      </c>
      <c r="V64" s="18" t="n">
        <v>-398.99</v>
      </c>
      <c r="W64" s="18" t="n">
        <v>2661.4</v>
      </c>
      <c r="X64" s="18" t="n">
        <v>-592.58</v>
      </c>
      <c r="Y64" s="18" t="n">
        <v>-1977.86</v>
      </c>
      <c r="Z64" s="34" t="n">
        <v>-308.03</v>
      </c>
      <c r="AA64" s="18" t="n">
        <v>-1751.96</v>
      </c>
      <c r="AB64" s="19" t="n">
        <v>1702.28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1727.11</v>
      </c>
      <c r="F65" s="9" t="n"/>
      <c r="G65" s="18" t="n">
        <v>-0.36</v>
      </c>
      <c r="H65" s="18" t="n">
        <v>-298.41</v>
      </c>
      <c r="I65" s="18" t="n">
        <v>1.15</v>
      </c>
      <c r="J65" s="18" t="n">
        <v>1341.26</v>
      </c>
      <c r="K65" s="34" t="n">
        <v>1043.64</v>
      </c>
      <c r="L65" s="18" t="n">
        <v>1.5</v>
      </c>
      <c r="M65" s="18" t="n">
        <v>181.91</v>
      </c>
      <c r="N65" s="18" t="n">
        <v>0.21</v>
      </c>
      <c r="O65" s="18" t="n">
        <v>206.28</v>
      </c>
      <c r="P65" s="34" t="n">
        <v>389.9</v>
      </c>
      <c r="Q65" s="18" t="n">
        <v>-1.11</v>
      </c>
      <c r="R65" s="18" t="n">
        <v>432.97</v>
      </c>
      <c r="S65" s="18" t="n">
        <v>1.01</v>
      </c>
      <c r="T65" s="18" t="n">
        <v>-2115.9</v>
      </c>
      <c r="U65" s="34" t="n">
        <v>-1683.03</v>
      </c>
      <c r="V65" s="18" t="n">
        <v>-0.22</v>
      </c>
      <c r="W65" s="18" t="n">
        <v>447.73</v>
      </c>
      <c r="X65" s="18" t="n">
        <v>0</v>
      </c>
      <c r="Y65" s="18" t="n">
        <v>-747.91</v>
      </c>
      <c r="Z65" s="34" t="n">
        <v>-300.4</v>
      </c>
      <c r="AA65" s="18" t="n">
        <v>0</v>
      </c>
      <c r="AB65" s="19" t="n">
        <v>211.6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7332.91</v>
      </c>
      <c r="F66" s="9" t="n"/>
      <c r="G66" s="18" t="n">
        <v>2203.28</v>
      </c>
      <c r="H66" s="18" t="n">
        <v>-503.29</v>
      </c>
      <c r="I66" s="18" t="n">
        <v>-5580.32</v>
      </c>
      <c r="J66" s="18" t="n">
        <v>1150.95</v>
      </c>
      <c r="K66" s="34" t="n">
        <v>-2729.38</v>
      </c>
      <c r="L66" s="18" t="n">
        <v>1108.14</v>
      </c>
      <c r="M66" s="18" t="n">
        <v>-295.99</v>
      </c>
      <c r="N66" s="18" t="n">
        <v>-1115.63</v>
      </c>
      <c r="O66" s="18" t="n">
        <v>15.88</v>
      </c>
      <c r="P66" s="34" t="n">
        <v>-287.6</v>
      </c>
      <c r="Q66" s="18" t="n">
        <v>-1831.3</v>
      </c>
      <c r="R66" s="18" t="n">
        <v>-2097.01</v>
      </c>
      <c r="S66" s="18" t="n">
        <v>-621.78</v>
      </c>
      <c r="T66" s="18" t="n">
        <v>-2282.3</v>
      </c>
      <c r="U66" s="34" t="n">
        <v>-6832.39</v>
      </c>
      <c r="V66" s="18" t="n">
        <v>-399.21</v>
      </c>
      <c r="W66" s="18" t="n">
        <v>2213.67</v>
      </c>
      <c r="X66" s="18" t="n">
        <v>-592.58</v>
      </c>
      <c r="Y66" s="18" t="n">
        <v>-1229.95</v>
      </c>
      <c r="Z66" s="34" t="n">
        <v>-8.07</v>
      </c>
      <c r="AA66" s="18" t="n">
        <v>-1751.96</v>
      </c>
      <c r="AB66" s="19" t="n">
        <v>1490.67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7217.56</v>
      </c>
      <c r="F67" s="9" t="n"/>
      <c r="G67" s="18" t="n">
        <v>2204.56</v>
      </c>
      <c r="H67" s="18" t="n">
        <v>-509.17</v>
      </c>
      <c r="I67" s="18" t="n">
        <v>-5584.4</v>
      </c>
      <c r="J67" s="18" t="n">
        <v>713.87</v>
      </c>
      <c r="K67" s="34" t="n">
        <v>-3175.14</v>
      </c>
      <c r="L67" s="18" t="n">
        <v>1102.82</v>
      </c>
      <c r="M67" s="18" t="n">
        <v>-292.36</v>
      </c>
      <c r="N67" s="18" t="n">
        <v>-1114.85</v>
      </c>
      <c r="O67" s="18" t="n">
        <v>-383.07</v>
      </c>
      <c r="P67" s="34" t="n">
        <v>-687.46</v>
      </c>
      <c r="Q67" s="18" t="n">
        <v>-1827.1</v>
      </c>
      <c r="R67" s="18" t="n">
        <v>-2098.07</v>
      </c>
      <c r="S67" s="18" t="n">
        <v>-625.6</v>
      </c>
      <c r="T67" s="18" t="n">
        <v>-2810.75</v>
      </c>
      <c r="U67" s="34" t="n">
        <v>-7361.52</v>
      </c>
      <c r="V67" s="18" t="n">
        <v>-400.02</v>
      </c>
      <c r="W67" s="18" t="n">
        <v>2214.74</v>
      </c>
      <c r="X67" s="18" t="n">
        <v>-443.34</v>
      </c>
      <c r="Y67" s="18" t="n">
        <v>-2936.38</v>
      </c>
      <c r="Z67" s="34" t="n">
        <v>-1565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1883.54</v>
      </c>
      <c r="F68" s="9" t="n"/>
      <c r="G68" s="18" t="n">
        <v>9.199999999999999</v>
      </c>
      <c r="H68" s="18" t="n">
        <v>-4276.85</v>
      </c>
      <c r="I68" s="18" t="n">
        <v>-4836.64</v>
      </c>
      <c r="J68" s="18" t="n">
        <v>3276.16</v>
      </c>
      <c r="K68" s="34" t="n">
        <v>-5828.13</v>
      </c>
      <c r="L68" s="18" t="n">
        <v>-2198.17</v>
      </c>
      <c r="M68" s="18" t="n">
        <v>-1030.21</v>
      </c>
      <c r="N68" s="18" t="n">
        <v>-2087.89</v>
      </c>
      <c r="O68" s="18" t="n">
        <v>845.4400000000001</v>
      </c>
      <c r="P68" s="34" t="n">
        <v>-4470.83</v>
      </c>
      <c r="Q68" s="18" t="n">
        <v>-2200.53</v>
      </c>
      <c r="R68" s="18" t="n">
        <v>-2032.8</v>
      </c>
      <c r="S68" s="18" t="n">
        <v>207.04</v>
      </c>
      <c r="T68" s="18" t="n">
        <v>-4134.01</v>
      </c>
      <c r="U68" s="34" t="n">
        <v>-8160.3</v>
      </c>
      <c r="V68" s="18" t="n">
        <v>-898.21</v>
      </c>
      <c r="W68" s="18" t="n">
        <v>1712.21</v>
      </c>
      <c r="X68" s="18" t="n">
        <v>-2223.99</v>
      </c>
      <c r="Y68" s="18" t="n">
        <v>-1862.29</v>
      </c>
      <c r="Z68" s="34" t="n">
        <v>-3272.28</v>
      </c>
      <c r="AA68" s="18" t="n">
        <v>-2463.18</v>
      </c>
      <c r="AB68" s="19" t="n">
        <v>-1394.86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7332.91</v>
      </c>
      <c r="F69" s="9" t="n"/>
      <c r="G69" s="18" t="n">
        <v>2203.28</v>
      </c>
      <c r="H69" s="18" t="n">
        <v>-503.29</v>
      </c>
      <c r="I69" s="18" t="n">
        <v>-5580.32</v>
      </c>
      <c r="J69" s="18" t="n">
        <v>1150.95</v>
      </c>
      <c r="K69" s="34" t="n">
        <v>-2729.38</v>
      </c>
      <c r="L69" s="18" t="n">
        <v>1108.14</v>
      </c>
      <c r="M69" s="18" t="n">
        <v>-295.99</v>
      </c>
      <c r="N69" s="18" t="n">
        <v>-1115.63</v>
      </c>
      <c r="O69" s="18" t="n">
        <v>15.88</v>
      </c>
      <c r="P69" s="34" t="n">
        <v>-287.6</v>
      </c>
      <c r="Q69" s="18" t="n">
        <v>-1831.3</v>
      </c>
      <c r="R69" s="18" t="n">
        <v>-2097.01</v>
      </c>
      <c r="S69" s="18" t="n">
        <v>-621.78</v>
      </c>
      <c r="T69" s="18" t="n">
        <v>-2282.3</v>
      </c>
      <c r="U69" s="34" t="n">
        <v>-6832.39</v>
      </c>
      <c r="V69" s="18" t="n">
        <v>-399.21</v>
      </c>
      <c r="W69" s="18" t="n">
        <v>2213.67</v>
      </c>
      <c r="X69" s="18" t="n">
        <v>-592.58</v>
      </c>
      <c r="Y69" s="18" t="n">
        <v>-1229.95</v>
      </c>
      <c r="Z69" s="34" t="n">
        <v>-8.07</v>
      </c>
      <c r="AA69" s="18" t="n">
        <v>-1751.96</v>
      </c>
      <c r="AB69" s="19" t="n">
        <v>1490.67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4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4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4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4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F71" s="9" t="n"/>
      <c r="K71" s="9" t="n"/>
      <c r="L71" s="18" t="n">
        <v>761.72</v>
      </c>
      <c r="M71" s="18" t="n">
        <v>280.46</v>
      </c>
      <c r="N71" s="18" t="n">
        <v>665.5700000000001</v>
      </c>
      <c r="O71" s="18" t="n">
        <v>665.37</v>
      </c>
      <c r="P71" s="34" t="n">
        <v>2373.12</v>
      </c>
      <c r="Q71" s="18" t="n">
        <v>660.5700000000001</v>
      </c>
      <c r="R71" s="18" t="n">
        <v>525.77</v>
      </c>
      <c r="S71" s="18" t="n">
        <v>693.25</v>
      </c>
      <c r="T71" s="18" t="n">
        <v>632.5700000000001</v>
      </c>
      <c r="U71" s="34" t="n">
        <v>2512.16</v>
      </c>
      <c r="V71" s="18" t="n">
        <v>1034.94</v>
      </c>
      <c r="W71" s="18" t="n">
        <v>-71.28</v>
      </c>
      <c r="X71" s="18" t="n">
        <v>632.67</v>
      </c>
      <c r="Y71" s="18" t="n">
        <v>725.05</v>
      </c>
      <c r="Z71" s="34" t="n">
        <v>2321.38</v>
      </c>
      <c r="AA71" s="18" t="n">
        <v>699.42</v>
      </c>
      <c r="AB71" s="19" t="n">
        <v>645.09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F72" s="9" t="n"/>
      <c r="K72" s="9" t="n"/>
      <c r="L72" s="18" t="n">
        <v>1045.42</v>
      </c>
      <c r="M72" s="18" t="n">
        <v>468.8</v>
      </c>
      <c r="N72" s="18" t="n">
        <v>477.47</v>
      </c>
      <c r="O72" s="18" t="n">
        <v>-51.78</v>
      </c>
      <c r="P72" s="34" t="n">
        <v>1939.91</v>
      </c>
      <c r="Q72" s="18" t="n">
        <v>601.0700000000001</v>
      </c>
      <c r="R72" s="18" t="n">
        <v>287.57</v>
      </c>
      <c r="S72" s="18" t="n">
        <v>443.81</v>
      </c>
      <c r="T72" s="18" t="n">
        <v>620.76</v>
      </c>
      <c r="U72" s="34" t="n">
        <v>1953.21</v>
      </c>
      <c r="V72" s="18" t="n">
        <v>477.3</v>
      </c>
      <c r="W72" s="18" t="n">
        <v>463.87</v>
      </c>
      <c r="X72" s="18" t="n">
        <v>215.46</v>
      </c>
      <c r="Y72" s="18" t="n">
        <v>517.15</v>
      </c>
      <c r="Z72" s="34" t="n">
        <v>1673.78</v>
      </c>
      <c r="AA72" s="18" t="n">
        <v>505.46</v>
      </c>
      <c r="AB72" s="19" t="n">
        <v>475.55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9069.93</v>
      </c>
      <c r="F73" s="9" t="n"/>
      <c r="G73" s="18" t="n">
        <v>754.9299999999999</v>
      </c>
      <c r="H73" s="18" t="n">
        <v>-2962.94</v>
      </c>
      <c r="I73" s="18" t="n">
        <v>9919.799999999999</v>
      </c>
      <c r="J73" s="18" t="n">
        <v>12965.6</v>
      </c>
      <c r="K73" s="34" t="n">
        <v>20677.39</v>
      </c>
      <c r="L73" s="18" t="n">
        <v>-2925.96</v>
      </c>
      <c r="M73" s="18" t="n">
        <v>1735.49</v>
      </c>
      <c r="N73" s="18" t="n">
        <v>2717.56</v>
      </c>
      <c r="O73" s="18" t="n">
        <v>3402.11</v>
      </c>
      <c r="P73" s="34" t="n">
        <v>4929.2</v>
      </c>
      <c r="Q73" s="18" t="n">
        <v>-24.3</v>
      </c>
      <c r="R73" s="18" t="n">
        <v>-6388.4</v>
      </c>
      <c r="S73" s="18" t="n">
        <v>8238.969999999999</v>
      </c>
      <c r="T73" s="18" t="n">
        <v>185.24</v>
      </c>
      <c r="U73" s="34" t="n">
        <v>2011.51</v>
      </c>
      <c r="V73" s="18" t="n">
        <v>-3092.03</v>
      </c>
      <c r="W73" s="18" t="n">
        <v>2560.29</v>
      </c>
      <c r="X73" s="18" t="n">
        <v>-4836.31</v>
      </c>
      <c r="Y73" s="18" t="n">
        <v>5914.03</v>
      </c>
      <c r="Z73" s="34" t="n">
        <v>545.98</v>
      </c>
      <c r="AA73" s="18" t="n">
        <v>8300.139999999999</v>
      </c>
      <c r="AB73" s="19" t="n">
        <v>3728.04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-61</v>
      </c>
      <c r="F74" s="9" t="n"/>
      <c r="I74" s="18" t="n">
        <v>0</v>
      </c>
      <c r="J74" s="18" t="n">
        <v>0</v>
      </c>
      <c r="K74" s="9" t="n"/>
      <c r="L74" s="18" t="n">
        <v>0</v>
      </c>
      <c r="M74" s="18" t="n">
        <v>60.92</v>
      </c>
      <c r="N74" s="18" t="n">
        <v>0</v>
      </c>
      <c r="O74" s="18" t="n">
        <v>0</v>
      </c>
      <c r="P74" s="34" t="n">
        <v>60.92</v>
      </c>
      <c r="Q74" s="18" t="n">
        <v>0</v>
      </c>
      <c r="R74" s="18" t="n">
        <v>30.46</v>
      </c>
      <c r="S74" s="18" t="n">
        <v>0</v>
      </c>
      <c r="T74" s="18" t="n">
        <v>0</v>
      </c>
      <c r="U74" s="34" t="n">
        <v>30.46</v>
      </c>
      <c r="V74" s="18" t="n">
        <v>0</v>
      </c>
      <c r="W74" s="18" t="n">
        <v>30.46</v>
      </c>
      <c r="X74" s="18" t="n">
        <v>0</v>
      </c>
      <c r="Y74" s="18" t="n">
        <v>0</v>
      </c>
      <c r="Z74" s="34" t="n">
        <v>30.46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-1628.13</v>
      </c>
      <c r="F75" s="9" t="n"/>
      <c r="G75" s="18" t="n">
        <v>-320.07</v>
      </c>
      <c r="H75" s="18" t="n">
        <v>-515.51</v>
      </c>
      <c r="I75" s="18" t="n">
        <v>-450.8</v>
      </c>
      <c r="J75" s="18" t="n">
        <v>-6.01</v>
      </c>
      <c r="K75" s="34" t="n">
        <v>-1292.39</v>
      </c>
      <c r="L75" s="18" t="n">
        <v>422.93</v>
      </c>
      <c r="M75" s="18" t="n">
        <v>-19.3</v>
      </c>
      <c r="N75" s="18" t="n">
        <v>-195.14</v>
      </c>
      <c r="O75" s="18" t="n">
        <v>63.57</v>
      </c>
      <c r="P75" s="34" t="n">
        <v>272.06</v>
      </c>
      <c r="Q75" s="18" t="n">
        <v>89.98999999999999</v>
      </c>
      <c r="R75" s="18" t="n">
        <v>-13.71</v>
      </c>
      <c r="S75" s="18" t="n">
        <v>-73.97</v>
      </c>
      <c r="T75" s="18" t="n">
        <v>-38.67</v>
      </c>
      <c r="U75" s="34" t="n">
        <v>-36.36</v>
      </c>
      <c r="V75" s="18" t="n">
        <v>104.67</v>
      </c>
      <c r="W75" s="18" t="n">
        <v>-26.05</v>
      </c>
      <c r="X75" s="18" t="n">
        <v>-59.08</v>
      </c>
      <c r="Y75" s="18" t="n">
        <v>-32.83</v>
      </c>
      <c r="Z75" s="34" t="n">
        <v>-13.29</v>
      </c>
      <c r="AA75" s="18" t="n">
        <v>120.67</v>
      </c>
      <c r="AB75" s="19" t="n">
        <v>-7.42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-1260.68</v>
      </c>
      <c r="F76" s="9" t="n"/>
      <c r="G76" s="18" t="n">
        <v>-9447.219999999999</v>
      </c>
      <c r="H76" s="18" t="n">
        <v>-4578.19</v>
      </c>
      <c r="I76" s="18" t="n">
        <v>-4903.35</v>
      </c>
      <c r="J76" s="18" t="n">
        <v>-468.6</v>
      </c>
      <c r="K76" s="34" t="n">
        <v>-19397.36</v>
      </c>
      <c r="L76" s="18" t="n">
        <v>9122.17</v>
      </c>
      <c r="M76" s="18" t="n">
        <v>-836.1</v>
      </c>
      <c r="N76" s="18" t="n">
        <v>-996.39</v>
      </c>
      <c r="O76" s="18" t="n">
        <v>-212.83</v>
      </c>
      <c r="P76" s="34" t="n">
        <v>7076.85</v>
      </c>
      <c r="Q76" s="18" t="n">
        <v>-643.71</v>
      </c>
      <c r="R76" s="18" t="n">
        <v>-2817.14</v>
      </c>
      <c r="S76" s="18" t="n">
        <v>-6966.02</v>
      </c>
      <c r="T76" s="18" t="n">
        <v>-2535.49</v>
      </c>
      <c r="U76" s="34" t="n">
        <v>-12962.36</v>
      </c>
      <c r="V76" s="18" t="n">
        <v>-2750</v>
      </c>
      <c r="W76" s="18" t="n">
        <v>-853.51</v>
      </c>
      <c r="X76" s="18" t="n">
        <v>-78.43000000000001</v>
      </c>
      <c r="Y76" s="18" t="n">
        <v>-2523.39</v>
      </c>
      <c r="Z76" s="34" t="n">
        <v>-6205.33</v>
      </c>
      <c r="AA76" s="18" t="n">
        <v>1793.07</v>
      </c>
      <c r="AB76" s="19" t="n">
        <v>-7879.79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무형자산의증가</t>
        </is>
      </c>
      <c r="E77" s="18" t="n">
        <v>0</v>
      </c>
      <c r="F77" s="9" t="n"/>
      <c r="I77" s="18" t="n">
        <v>340</v>
      </c>
      <c r="J77" s="18" t="n">
        <v>7.48</v>
      </c>
      <c r="K77" s="9" t="n"/>
      <c r="L77" s="18" t="n">
        <v>0</v>
      </c>
      <c r="M77" s="18" t="n">
        <v>0</v>
      </c>
      <c r="N77" s="18" t="n">
        <v>0</v>
      </c>
      <c r="O77" s="18" t="n">
        <v>0</v>
      </c>
      <c r="P77" s="34" t="n">
        <v>0</v>
      </c>
      <c r="Q77" s="18" t="n">
        <v>0</v>
      </c>
      <c r="R77" s="18" t="n">
        <v>0</v>
      </c>
      <c r="S77" s="18" t="n">
        <v>0</v>
      </c>
      <c r="T77" s="18" t="n">
        <v>0</v>
      </c>
      <c r="U77" s="34" t="n">
        <v>0</v>
      </c>
      <c r="V77" s="18" t="n">
        <v>0</v>
      </c>
      <c r="W77" s="18" t="n">
        <v>0</v>
      </c>
      <c r="X77" s="18" t="n">
        <v>0</v>
      </c>
      <c r="Y77" s="18" t="n">
        <v>817.6</v>
      </c>
      <c r="Z77" s="34" t="n">
        <v>817.6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-3574.2</v>
      </c>
      <c r="F78" s="9" t="n"/>
      <c r="G78" s="18" t="n">
        <v>4324.87</v>
      </c>
      <c r="H78" s="18" t="n">
        <v>9813.389999999999</v>
      </c>
      <c r="I78" s="18" t="n">
        <v>-8734.93</v>
      </c>
      <c r="J78" s="18" t="n">
        <v>-7088.25</v>
      </c>
      <c r="K78" s="34" t="n">
        <v>-1684.92</v>
      </c>
      <c r="L78" s="18" t="n">
        <v>-6888.11</v>
      </c>
      <c r="M78" s="18" t="n">
        <v>-2316.89</v>
      </c>
      <c r="N78" s="18" t="n">
        <v>-1091.89</v>
      </c>
      <c r="O78" s="18" t="n">
        <v>-270.43</v>
      </c>
      <c r="P78" s="34" t="n">
        <v>-10567.32</v>
      </c>
      <c r="Q78" s="18" t="n">
        <v>-5950.74</v>
      </c>
      <c r="R78" s="18" t="n">
        <v>12163.17</v>
      </c>
      <c r="S78" s="18" t="n">
        <v>4180.94</v>
      </c>
      <c r="T78" s="18" t="n">
        <v>-302.64</v>
      </c>
      <c r="U78" s="34" t="n">
        <v>10090.73</v>
      </c>
      <c r="V78" s="18" t="n">
        <v>7407.36</v>
      </c>
      <c r="W78" s="18" t="n">
        <v>-5091.59</v>
      </c>
      <c r="X78" s="18" t="n">
        <v>4408.08</v>
      </c>
      <c r="Y78" s="18" t="n">
        <v>-6606.46</v>
      </c>
      <c r="Z78" s="34" t="n">
        <v>117.39</v>
      </c>
      <c r="AA78" s="18" t="n">
        <v>-1599.69</v>
      </c>
      <c r="AB78" s="19" t="n">
        <v>3911.8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G79" s="18" t="n">
        <v>20347.2</v>
      </c>
      <c r="K79" s="9" t="n"/>
      <c r="O79" s="18" t="n">
        <v>4000</v>
      </c>
      <c r="P79" s="9" t="n"/>
      <c r="Q79" s="18" t="n">
        <v>0</v>
      </c>
      <c r="R79" s="18" t="n">
        <v>0</v>
      </c>
      <c r="S79" s="18" t="n">
        <v>6000</v>
      </c>
      <c r="T79" s="18" t="n">
        <v>0</v>
      </c>
      <c r="U79" s="34" t="n">
        <v>6000</v>
      </c>
      <c r="V79" s="18" t="n">
        <v>0</v>
      </c>
      <c r="W79" s="18" t="n">
        <v>0</v>
      </c>
      <c r="X79" s="18" t="n">
        <v>0</v>
      </c>
      <c r="Y79" s="18" t="n">
        <v>0</v>
      </c>
      <c r="Z79" s="34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4235</v>
      </c>
      <c r="F80" s="9" t="n"/>
      <c r="G80" s="18" t="n">
        <v>-4367.99</v>
      </c>
      <c r="H80" s="18" t="n">
        <v>2272.84</v>
      </c>
      <c r="I80" s="18" t="n">
        <v>-3718.49</v>
      </c>
      <c r="J80" s="18" t="n">
        <v>5418.84</v>
      </c>
      <c r="K80" s="34" t="n">
        <v>-394.8</v>
      </c>
      <c r="L80" s="18" t="n">
        <v>-691.36</v>
      </c>
      <c r="M80" s="18" t="n">
        <v>-1407.82</v>
      </c>
      <c r="N80" s="18" t="n">
        <v>630.22</v>
      </c>
      <c r="O80" s="18" t="n">
        <v>2918.48</v>
      </c>
      <c r="P80" s="34" t="n">
        <v>1449.52</v>
      </c>
      <c r="Q80" s="18" t="n">
        <v>-6618.11</v>
      </c>
      <c r="R80" s="18" t="n">
        <v>2960.16</v>
      </c>
      <c r="S80" s="18" t="n">
        <v>5453.17</v>
      </c>
      <c r="T80" s="18" t="n">
        <v>-2653.23</v>
      </c>
      <c r="U80" s="34" t="n">
        <v>-858.01</v>
      </c>
      <c r="V80" s="18" t="n">
        <v>1565.26</v>
      </c>
      <c r="W80" s="18" t="n">
        <v>-3385.38</v>
      </c>
      <c r="X80" s="18" t="n">
        <v>-506.63</v>
      </c>
      <c r="Y80" s="18" t="n">
        <v>-3215.85</v>
      </c>
      <c r="Z80" s="34" t="n">
        <v>-5542.6</v>
      </c>
      <c r="AA80" s="18" t="n">
        <v>8504.07</v>
      </c>
      <c r="AB80" s="19" t="n">
        <v>-197.52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4235</v>
      </c>
      <c r="F81" s="9" t="n"/>
      <c r="G81" s="18" t="n">
        <v>6078.01</v>
      </c>
      <c r="H81" s="18" t="n">
        <v>2272.22</v>
      </c>
      <c r="I81" s="18" t="n">
        <v>-3707.64</v>
      </c>
      <c r="J81" s="18" t="n">
        <v>5408.61</v>
      </c>
      <c r="K81" s="34" t="n">
        <v>10051.2</v>
      </c>
      <c r="L81" s="18" t="n">
        <v>9359.84</v>
      </c>
      <c r="M81" s="18" t="n">
        <v>-1407.82</v>
      </c>
      <c r="N81" s="18" t="n">
        <v>630.22</v>
      </c>
      <c r="O81" s="18" t="n">
        <v>2918.48</v>
      </c>
      <c r="P81" s="34" t="n">
        <v>11500.72</v>
      </c>
      <c r="Q81" s="18" t="n">
        <v>4882.61</v>
      </c>
      <c r="R81" s="18" t="n">
        <v>2960.16</v>
      </c>
      <c r="S81" s="18" t="n">
        <v>5453.17</v>
      </c>
      <c r="T81" s="18" t="n">
        <v>-2653.23</v>
      </c>
      <c r="U81" s="34" t="n">
        <v>10642.71</v>
      </c>
      <c r="V81" s="18" t="n">
        <v>12207.98</v>
      </c>
      <c r="W81" s="18" t="n">
        <v>-3385.39</v>
      </c>
      <c r="X81" s="18" t="n">
        <v>-506.63</v>
      </c>
      <c r="Y81" s="18" t="n">
        <v>-3215.85</v>
      </c>
      <c r="Z81" s="34" t="n">
        <v>5100.11</v>
      </c>
      <c r="AA81" s="18" t="n">
        <v>13604.18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0</v>
      </c>
      <c r="F82" s="9" t="n"/>
      <c r="G82" s="18" t="n">
        <v>1398.66</v>
      </c>
      <c r="H82" s="18" t="n">
        <v>1162.02</v>
      </c>
      <c r="I82" s="18" t="n">
        <v>2144.96</v>
      </c>
      <c r="J82" s="18" t="n">
        <v>2312.69</v>
      </c>
      <c r="K82" s="34" t="n">
        <v>7018.33</v>
      </c>
      <c r="L82" s="18" t="n">
        <v>155.13</v>
      </c>
      <c r="M82" s="18" t="n">
        <v>836.9400000000001</v>
      </c>
      <c r="N82" s="18" t="n">
        <v>2891.37</v>
      </c>
      <c r="O82" s="18" t="n">
        <v>1584.54</v>
      </c>
      <c r="P82" s="34" t="n">
        <v>5467.98</v>
      </c>
      <c r="Q82" s="18" t="n">
        <v>1716.52</v>
      </c>
      <c r="R82" s="18" t="n">
        <v>1283.47</v>
      </c>
      <c r="S82" s="18" t="n">
        <v>935.92</v>
      </c>
      <c r="T82" s="18" t="n">
        <v>2225.61</v>
      </c>
      <c r="U82" s="34" t="n">
        <v>6161.52</v>
      </c>
      <c r="V82" s="18" t="n">
        <v>0</v>
      </c>
      <c r="W82" s="18" t="n">
        <v>853.65</v>
      </c>
      <c r="X82" s="18" t="n">
        <v>963.83</v>
      </c>
      <c r="Y82" s="18" t="n">
        <v>2502.54</v>
      </c>
      <c r="Z82" s="34" t="n">
        <v>4320.02</v>
      </c>
      <c r="AA82" s="18" t="n">
        <v>905</v>
      </c>
      <c r="AB82" s="19" t="n">
        <v>1679.79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F83" s="9" t="n"/>
      <c r="G83" s="18" t="n">
        <v>12.85</v>
      </c>
      <c r="I83" s="18" t="n">
        <v>213.5</v>
      </c>
      <c r="K83" s="9" t="n"/>
      <c r="L83" s="18" t="n">
        <v>71.16</v>
      </c>
      <c r="M83" s="18" t="n">
        <v>0.84</v>
      </c>
      <c r="N83" s="18" t="n">
        <v>4</v>
      </c>
      <c r="O83" s="18" t="n">
        <v>0</v>
      </c>
      <c r="P83" s="34" t="n">
        <v>76</v>
      </c>
      <c r="Q83" s="18" t="n">
        <v>65.02</v>
      </c>
      <c r="S83" s="18" t="n">
        <v>0</v>
      </c>
      <c r="T83" s="18" t="n">
        <v>0</v>
      </c>
      <c r="U83" s="9" t="n"/>
      <c r="V83" s="18" t="n">
        <v>0</v>
      </c>
      <c r="W83" s="18" t="n">
        <v>0</v>
      </c>
      <c r="X83" s="18" t="n">
        <v>0</v>
      </c>
      <c r="Y83" s="18" t="n">
        <v>0</v>
      </c>
      <c r="Z83" s="34" t="n">
        <v>0</v>
      </c>
      <c r="AA83" s="18" t="n">
        <v>57.36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F84" s="9" t="n"/>
      <c r="G84" s="18" t="n">
        <v>1398.66</v>
      </c>
      <c r="H84" s="18" t="n">
        <v>1162.02</v>
      </c>
      <c r="I84" s="18" t="n">
        <v>1804.96</v>
      </c>
      <c r="J84" s="18" t="n">
        <v>2305.21</v>
      </c>
      <c r="K84" s="34" t="n">
        <v>6670.85</v>
      </c>
      <c r="L84" s="18" t="n">
        <v>155.13</v>
      </c>
      <c r="M84" s="18" t="n">
        <v>836.9400000000001</v>
      </c>
      <c r="N84" s="18" t="n">
        <v>2891.37</v>
      </c>
      <c r="O84" s="18" t="n">
        <v>1584.54</v>
      </c>
      <c r="P84" s="34" t="n">
        <v>5467.98</v>
      </c>
      <c r="Q84" s="18" t="n">
        <v>1716.52</v>
      </c>
      <c r="R84" s="18" t="n">
        <v>1283.47</v>
      </c>
      <c r="S84" s="18" t="n">
        <v>935.92</v>
      </c>
      <c r="T84" s="18" t="n">
        <v>2225.61</v>
      </c>
      <c r="U84" s="34" t="n">
        <v>6161.52</v>
      </c>
      <c r="V84" s="18" t="n">
        <v>0</v>
      </c>
      <c r="W84" s="18" t="n">
        <v>853.65</v>
      </c>
      <c r="X84" s="18" t="n">
        <v>963.83</v>
      </c>
      <c r="Y84" s="18" t="n">
        <v>1684.94</v>
      </c>
      <c r="Z84" s="34" t="n">
        <v>3502.42</v>
      </c>
      <c r="AA84" s="18" t="n">
        <v>905</v>
      </c>
      <c r="AB84" s="19" t="n">
        <v>1679.79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G85" s="18" t="n">
        <v>24727.06</v>
      </c>
      <c r="H85" s="18" t="n">
        <v>40620.8</v>
      </c>
      <c r="K85" s="9" t="n"/>
      <c r="L85" s="18" t="n">
        <v>6615.31</v>
      </c>
      <c r="M85" s="18" t="n">
        <v>5500</v>
      </c>
      <c r="N85" s="18" t="n">
        <v>1203.93</v>
      </c>
      <c r="O85" s="18" t="n">
        <v>0</v>
      </c>
      <c r="P85" s="34" t="n">
        <v>13319.24</v>
      </c>
      <c r="Q85" s="18" t="n">
        <v>4896.2</v>
      </c>
      <c r="R85" s="18" t="n">
        <v>39501.6</v>
      </c>
      <c r="U85" s="9" t="n"/>
      <c r="V85" s="18" t="n">
        <v>8799.16</v>
      </c>
      <c r="W85" s="18" t="n">
        <v>10000</v>
      </c>
      <c r="X85" s="18" t="n">
        <v>11280.99</v>
      </c>
      <c r="Z85" s="9" t="n"/>
      <c r="AA85" s="18" t="n">
        <v>16300</v>
      </c>
      <c r="AB85" s="19" t="n">
        <v>4000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이자지급(CF)</t>
        </is>
      </c>
      <c r="F86" s="9" t="n"/>
      <c r="I86" s="18" t="n">
        <v>-1107.59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I87" s="18" t="n">
        <v>0</v>
      </c>
      <c r="J87" s="18" t="n">
        <v>0</v>
      </c>
      <c r="K87" s="9" t="n"/>
      <c r="L87" s="18" t="n">
        <v>0</v>
      </c>
      <c r="M87" s="18" t="n">
        <v>730.61</v>
      </c>
      <c r="N87" s="18" t="n">
        <v>0</v>
      </c>
      <c r="O87" s="18" t="n">
        <v>0</v>
      </c>
      <c r="P87" s="34" t="n">
        <v>730.61</v>
      </c>
      <c r="Q87" s="18" t="n">
        <v>730.61</v>
      </c>
      <c r="R87" s="18" t="n">
        <v>0</v>
      </c>
      <c r="S87" s="18" t="n">
        <v>0</v>
      </c>
      <c r="T87" s="18" t="n">
        <v>0</v>
      </c>
      <c r="U87" s="34" t="n">
        <v>730.61</v>
      </c>
      <c r="V87" s="18" t="n">
        <v>243.54</v>
      </c>
      <c r="W87" s="18" t="n">
        <v>0</v>
      </c>
      <c r="X87" s="18" t="n">
        <v>0</v>
      </c>
      <c r="Y87" s="18" t="n">
        <v>0</v>
      </c>
      <c r="Z87" s="34" t="n">
        <v>243.54</v>
      </c>
      <c r="AA87" s="18" t="n">
        <v>712.28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0</v>
      </c>
      <c r="M88" s="18" t="n">
        <v>0</v>
      </c>
      <c r="N88" s="18" t="n">
        <v>0</v>
      </c>
      <c r="O88" s="18" t="n">
        <v>0</v>
      </c>
      <c r="P88" s="34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4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L89" s="18" t="n">
        <v>86.8</v>
      </c>
      <c r="M89" s="18" t="n">
        <v>86.29000000000001</v>
      </c>
      <c r="O89" s="18" t="n">
        <v>270.43</v>
      </c>
      <c r="P89" s="9" t="n"/>
      <c r="Q89" s="18" t="n">
        <v>323.92</v>
      </c>
      <c r="S89" s="18" t="n">
        <v>82.56</v>
      </c>
      <c r="T89" s="18" t="n">
        <v>83.40000000000001</v>
      </c>
      <c r="U89" s="9" t="n"/>
      <c r="V89" s="18" t="n">
        <v>84.26000000000001</v>
      </c>
      <c r="W89" s="18" t="n">
        <v>85.14</v>
      </c>
      <c r="X89" s="18" t="n">
        <v>172.9</v>
      </c>
      <c r="Y89" s="18" t="n">
        <v>0</v>
      </c>
      <c r="Z89" s="34" t="n">
        <v>342.3</v>
      </c>
      <c r="AA89" s="18" t="n">
        <v>87.41</v>
      </c>
      <c r="AB89" s="19" t="n">
        <v>88.20999999999999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1764</v>
      </c>
      <c r="W90" s="18" t="n">
        <v>13800</v>
      </c>
      <c r="X90" s="18" t="n">
        <v>6400</v>
      </c>
      <c r="Z90" s="9" t="n"/>
      <c r="AA90" s="18" t="n">
        <v>17100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0.1059</v>
      </c>
      <c r="F10" s="34" t="n"/>
      <c r="G10" s="18" t="n">
        <v>0.0275</v>
      </c>
      <c r="H10" s="18" t="n">
        <v>0.0521</v>
      </c>
      <c r="I10" s="18" t="n">
        <v>-0.0117</v>
      </c>
      <c r="J10" s="18" t="n">
        <v>-0.0062</v>
      </c>
      <c r="K10" s="34">
        <f>SUM(G10:J10)</f>
        <v/>
      </c>
      <c r="L10" s="18" t="n">
        <v>0.0611</v>
      </c>
      <c r="M10" s="18" t="n">
        <v>0.0233</v>
      </c>
      <c r="N10" s="18" t="n">
        <v>0.0284</v>
      </c>
      <c r="O10" s="18" t="n">
        <v>-0.0303</v>
      </c>
      <c r="P10" s="34">
        <f>SUM(L10:O10)</f>
        <v/>
      </c>
      <c r="Q10" s="18" t="n">
        <v>0.0076</v>
      </c>
      <c r="R10" s="18" t="n">
        <v>0.008</v>
      </c>
      <c r="S10" s="18" t="n">
        <v>-0.004</v>
      </c>
      <c r="T10" s="18" t="n">
        <v>0.0003</v>
      </c>
      <c r="U10" s="34">
        <f>SUM(Q10:T10)</f>
        <v/>
      </c>
      <c r="V10" s="18" t="n">
        <v>0.0038</v>
      </c>
      <c r="W10" s="18" t="n">
        <v>0.0307</v>
      </c>
      <c r="X10" s="18" t="n">
        <v>0.028</v>
      </c>
      <c r="Y10" s="18" t="n">
        <v>0.0005999999999999999</v>
      </c>
      <c r="Z10" s="34">
        <f>SUM(V10:Y10)</f>
        <v/>
      </c>
      <c r="AA10" s="18" t="n">
        <v>0.0075</v>
      </c>
      <c r="AB10" s="19" t="n">
        <v>0.0462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 t="n"/>
      <c r="W12" s="18" t="n"/>
      <c r="X12" s="18" t="n"/>
      <c r="Y12" s="18" t="n"/>
      <c r="Z12" s="34">
        <f>SUM(V12:Y12)</f>
        <v/>
      </c>
      <c r="AA12" s="18" t="n"/>
      <c r="AB12" s="19" t="n"/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>
        <v>-6.57</v>
      </c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 t="n">
        <v>0</v>
      </c>
      <c r="AD13" s="20" t="n">
        <v>0</v>
      </c>
      <c r="AE13" s="35">
        <f>SUM(AA13:AD13)</f>
        <v/>
      </c>
      <c r="AF13" s="20" t="n">
        <v>0</v>
      </c>
      <c r="AG13" s="20" t="n">
        <v>0</v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4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/>
      <c r="X15" s="18" t="n"/>
      <c r="Y15" s="18" t="n"/>
      <c r="Z15" s="34">
        <f>SUM(V15:Y15)</f>
        <v/>
      </c>
      <c r="AA15" s="18" t="n"/>
      <c r="AB15" s="19" t="n"/>
      <c r="AC15" s="20">
        <f>변수!AC29</f>
        <v/>
      </c>
      <c r="AD15" s="20">
        <f>변수!AD29</f>
        <v/>
      </c>
      <c r="AE15" s="35">
        <f>SUM(AA15:AD15)</f>
        <v/>
      </c>
      <c r="AF15" s="20">
        <f>변수!AF29</f>
        <v/>
      </c>
      <c r="AG15" s="20">
        <f>변수!AG29</f>
        <v/>
      </c>
      <c r="AH15" s="20">
        <f>변수!AH29</f>
        <v/>
      </c>
      <c r="AI15" s="20">
        <f>변수!AI29</f>
        <v/>
      </c>
      <c r="AJ15" s="35">
        <f>SUM(AF15:AI15)</f>
        <v/>
      </c>
      <c r="AK15" s="20">
        <f>변수!AK29</f>
        <v/>
      </c>
      <c r="AL15" s="20">
        <f>변수!AL29</f>
        <v/>
      </c>
      <c r="AM15" s="20">
        <f>변수!AM29</f>
        <v/>
      </c>
      <c r="AN15" s="20">
        <f>변수!AN29</f>
        <v/>
      </c>
      <c r="AO15" s="35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5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5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5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IFERROR(AC16*변수!AC30,"")</f>
        <v/>
      </c>
      <c r="AD17" s="20">
        <f>IFERROR(AD16*변수!AD30,"")</f>
        <v/>
      </c>
      <c r="AE17" s="35">
        <f>SUM(AA17:AD17)</f>
        <v/>
      </c>
      <c r="AF17" s="20">
        <f>IFERROR(AF16*변수!AF30,"")</f>
        <v/>
      </c>
      <c r="AG17" s="20">
        <f>IFERROR(AG16*변수!AG30,"")</f>
        <v/>
      </c>
      <c r="AH17" s="20">
        <f>IFERROR(AH16*변수!AH30,"")</f>
        <v/>
      </c>
      <c r="AI17" s="20">
        <f>IFERROR(AI16*변수!AI30,"")</f>
        <v/>
      </c>
      <c r="AJ17" s="35">
        <f>SUM(AF17:AI17)</f>
        <v/>
      </c>
      <c r="AK17" s="20">
        <f>IFERROR(AK16*변수!AK30,"")</f>
        <v/>
      </c>
      <c r="AL17" s="20">
        <f>IFERROR(AL16*변수!AL30,"")</f>
        <v/>
      </c>
      <c r="AM17" s="20">
        <f>IFERROR(AM16*변수!AM30,"")</f>
        <v/>
      </c>
      <c r="AN17" s="20">
        <f>IFERROR(AN16*변수!AN30,"")</f>
        <v/>
      </c>
      <c r="AO17" s="35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5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5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5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4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4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4">
        <f>SUM(V19:Y19)</f>
        <v/>
      </c>
      <c r="AA19" s="18" t="n">
        <v>-14.64</v>
      </c>
      <c r="AB19" s="19" t="n">
        <v>18.35</v>
      </c>
      <c r="AC19" s="20">
        <f>IFERROR(AC18*변수!AC31,"")</f>
        <v/>
      </c>
      <c r="AD19" s="20">
        <f>IFERROR(AD18*변수!AD31,"")</f>
        <v/>
      </c>
      <c r="AE19" s="35">
        <f>SUM(AA19:AD19)</f>
        <v/>
      </c>
      <c r="AF19" s="20">
        <f>IFERROR(AF18*변수!AF31,"")</f>
        <v/>
      </c>
      <c r="AG19" s="20">
        <f>IFERROR(AG18*변수!AG31,"")</f>
        <v/>
      </c>
      <c r="AH19" s="20">
        <f>IFERROR(AH18*변수!AH31,"")</f>
        <v/>
      </c>
      <c r="AI19" s="20">
        <f>IFERROR(AI18*변수!AI31,"")</f>
        <v/>
      </c>
      <c r="AJ19" s="35">
        <f>SUM(AF19:AI19)</f>
        <v/>
      </c>
      <c r="AK19" s="20">
        <f>IFERROR(AK18*변수!AK31,"")</f>
        <v/>
      </c>
      <c r="AL19" s="20">
        <f>IFERROR(AL18*변수!AL31,"")</f>
        <v/>
      </c>
      <c r="AM19" s="20">
        <f>IFERROR(AM18*변수!AM31,"")</f>
        <v/>
      </c>
      <c r="AN19" s="20">
        <f>IFERROR(AN18*변수!AN31,"")</f>
        <v/>
      </c>
      <c r="AO19" s="35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5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5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5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IFERROR(AB22+AC18-변수!AC33,"")</f>
        <v/>
      </c>
      <c r="AD22" s="20">
        <f>IFERROR(AC22+AD18-변수!AD33,"")</f>
        <v/>
      </c>
      <c r="AE22" s="35">
        <f>AD22</f>
        <v/>
      </c>
      <c r="AF22" s="20">
        <f>IFERROR(AD22+AF18-변수!AF33,"")</f>
        <v/>
      </c>
      <c r="AG22" s="20">
        <f>IFERROR(AF22+AG18-변수!AG33,"")</f>
        <v/>
      </c>
      <c r="AH22" s="20">
        <f>IFERROR(AG22+AH18-변수!AH33,"")</f>
        <v/>
      </c>
      <c r="AI22" s="20">
        <f>IFERROR(AH22+AI18-변수!AI33,"")</f>
        <v/>
      </c>
      <c r="AJ22" s="35">
        <f>AI22</f>
        <v/>
      </c>
      <c r="AK22" s="20">
        <f>IFERROR(AI22+AK18-변수!AK33,"")</f>
        <v/>
      </c>
      <c r="AL22" s="20">
        <f>IFERROR(AK22+AL18-변수!AL33,"")</f>
        <v/>
      </c>
      <c r="AM22" s="20">
        <f>IFERROR(AL22+AM18-변수!AM33,"")</f>
        <v/>
      </c>
      <c r="AN22" s="20">
        <f>IFERROR(AM22+AN18-변수!AN33,"")</f>
        <v/>
      </c>
      <c r="AO22" s="35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IFERROR(AB23+AC19-변수!AC34,"")</f>
        <v/>
      </c>
      <c r="AD23" s="20">
        <f>IFERROR(AC23+AD19-변수!AD34,"")</f>
        <v/>
      </c>
      <c r="AE23" s="35">
        <f>AD23</f>
        <v/>
      </c>
      <c r="AF23" s="20">
        <f>IFERROR(AD23+AF19-변수!AF34,"")</f>
        <v/>
      </c>
      <c r="AG23" s="20">
        <f>IFERROR(AF23+AG19-변수!AG34,"")</f>
        <v/>
      </c>
      <c r="AH23" s="20">
        <f>IFERROR(AG23+AH19-변수!AH34,"")</f>
        <v/>
      </c>
      <c r="AI23" s="20">
        <f>IFERROR(AH23+AI19-변수!AI34,"")</f>
        <v/>
      </c>
      <c r="AJ23" s="35">
        <f>AI23</f>
        <v/>
      </c>
      <c r="AK23" s="20">
        <f>IFERROR(AI23+AK19-변수!AK34,"")</f>
        <v/>
      </c>
      <c r="AL23" s="20">
        <f>IFERROR(AK23+AL19-변수!AL34,"")</f>
        <v/>
      </c>
      <c r="AM23" s="20">
        <f>IFERROR(AL23+AM19-변수!AM34,"")</f>
        <v/>
      </c>
      <c r="AN23" s="20">
        <f>IFERROR(AM23+AN19-변수!AN34,"")</f>
        <v/>
      </c>
      <c r="AO23" s="35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 t="n"/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 t="n"/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AD27</f>
        <v/>
      </c>
      <c r="AF27" s="20" t="n"/>
      <c r="AG27" s="20" t="n"/>
      <c r="AH27" s="20" t="n"/>
      <c r="AI27" s="20" t="n"/>
      <c r="AJ27" s="35">
        <f>AI27</f>
        <v/>
      </c>
      <c r="AK27" s="20" t="n"/>
      <c r="AL27" s="20" t="n"/>
      <c r="AM27" s="20" t="n"/>
      <c r="AN27" s="20" t="n"/>
      <c r="AO27" s="35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4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영업활동현금흐름</t>
        </is>
      </c>
      <c r="E29" s="18" t="n">
        <v>96.23</v>
      </c>
      <c r="F29" s="34" t="n"/>
      <c r="G29" s="18" t="n">
        <v>8.029999999999999</v>
      </c>
      <c r="H29" s="18" t="n">
        <v>-28.37</v>
      </c>
      <c r="I29" s="18" t="n">
        <v>101.78</v>
      </c>
      <c r="J29" s="18" t="n">
        <v>132.25</v>
      </c>
      <c r="K29" s="34">
        <f>SUM(G29:J29)</f>
        <v/>
      </c>
      <c r="L29" s="18" t="n">
        <v>-19.18</v>
      </c>
      <c r="M29" s="18" t="n">
        <v>16.29</v>
      </c>
      <c r="N29" s="18" t="n">
        <v>25.95</v>
      </c>
      <c r="O29" s="18" t="n">
        <v>34.16</v>
      </c>
      <c r="P29" s="34">
        <f>SUM(L29:O29)</f>
        <v/>
      </c>
      <c r="Q29" s="18" t="n">
        <v>-0.02</v>
      </c>
      <c r="R29" s="18" t="n">
        <v>-56.17</v>
      </c>
      <c r="S29" s="18" t="n">
        <v>87.28</v>
      </c>
      <c r="T29" s="18" t="n">
        <v>1.71</v>
      </c>
      <c r="U29" s="34">
        <f>SUM(Q29:T29)</f>
        <v/>
      </c>
      <c r="V29" s="18" t="n">
        <v>-42.44</v>
      </c>
      <c r="W29" s="18" t="n">
        <v>41.81</v>
      </c>
      <c r="X29" s="18" t="n">
        <v>-48.97</v>
      </c>
      <c r="Y29" s="18" t="n">
        <v>55.52</v>
      </c>
      <c r="Z29" s="34">
        <f>SUM(V29:Y29)</f>
        <v/>
      </c>
      <c r="AA29" s="18" t="n">
        <v>91.73</v>
      </c>
      <c r="AB29" s="19" t="n">
        <v>31.54</v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24.354</v>
      </c>
      <c r="F30" s="27">
        <f>E30</f>
        <v/>
      </c>
      <c r="G30" s="26" t="n">
        <v>24.354</v>
      </c>
      <c r="H30" s="26" t="n">
        <v>24.354</v>
      </c>
      <c r="I30" s="26" t="n">
        <v>24.354</v>
      </c>
      <c r="J30" s="26" t="n">
        <v>24.354</v>
      </c>
      <c r="K30" s="27">
        <f>J30</f>
        <v/>
      </c>
      <c r="L30" s="26" t="n">
        <v>24.354</v>
      </c>
      <c r="M30" s="26" t="n">
        <v>24.354</v>
      </c>
      <c r="N30" s="26" t="n">
        <v>24.354</v>
      </c>
      <c r="O30" s="26" t="n">
        <v>24.354</v>
      </c>
      <c r="P30" s="27">
        <f>O30</f>
        <v/>
      </c>
      <c r="Q30" s="26" t="n">
        <v>24.354</v>
      </c>
      <c r="R30" s="26" t="n">
        <v>24.354</v>
      </c>
      <c r="S30" s="26" t="n">
        <v>24.354</v>
      </c>
      <c r="T30" s="26" t="n">
        <v>24.354</v>
      </c>
      <c r="U30" s="27">
        <f>T30</f>
        <v/>
      </c>
      <c r="V30" s="26" t="n">
        <v>24.173</v>
      </c>
      <c r="W30" s="26" t="n">
        <v>23.743</v>
      </c>
      <c r="X30" s="26" t="n">
        <v>23.743</v>
      </c>
      <c r="Y30" s="26" t="n">
        <v>23.743</v>
      </c>
      <c r="Z30" s="27">
        <f>Y30</f>
        <v/>
      </c>
      <c r="AA30" s="26" t="n">
        <v>23.743</v>
      </c>
      <c r="AB30" s="28" t="n">
        <v>23.743</v>
      </c>
      <c r="AC30" s="36">
        <f>IFERROR(AB30*(1+변수!AC41),"")</f>
        <v/>
      </c>
      <c r="AD30" s="36">
        <f>IFERROR(AC30*(1+변수!AD41),"")</f>
        <v/>
      </c>
      <c r="AE30" s="30">
        <f>AD30</f>
        <v/>
      </c>
      <c r="AF30" s="36">
        <f>IFERROR(AD30*(1+변수!AF41),"")</f>
        <v/>
      </c>
      <c r="AG30" s="36">
        <f>IFERROR(AF30*(1+변수!AG41),"")</f>
        <v/>
      </c>
      <c r="AH30" s="36">
        <f>IFERROR(AG30*(1+변수!AH41),"")</f>
        <v/>
      </c>
      <c r="AI30" s="36">
        <f>IFERROR(AH30*(1+변수!AI41),"")</f>
        <v/>
      </c>
      <c r="AJ30" s="30">
        <f>AI30</f>
        <v/>
      </c>
      <c r="AK30" s="36">
        <f>IFERROR(AI30*(1+변수!AK41),"")</f>
        <v/>
      </c>
      <c r="AL30" s="36">
        <f>IFERROR(AK30*(1+변수!AL41),"")</f>
        <v/>
      </c>
      <c r="AM30" s="36">
        <f>IFERROR(AL30*(1+변수!AM41),"")</f>
        <v/>
      </c>
      <c r="AN30" s="36">
        <f>IFERROR(AM30*(1+변수!AN41),"")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4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4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4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4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4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5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5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5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4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4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4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4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4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5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5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5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4" t="n">
        <v>50</v>
      </c>
      <c r="G33" s="18" t="n"/>
      <c r="H33" s="18" t="n"/>
      <c r="I33" s="18" t="n"/>
      <c r="J33" s="18" t="n">
        <v>30</v>
      </c>
      <c r="K33" s="34">
        <f>SUM(G33:J33)</f>
        <v/>
      </c>
      <c r="L33" s="18" t="n"/>
      <c r="M33" s="18" t="n"/>
      <c r="N33" s="18" t="n"/>
      <c r="O33" s="18" t="n">
        <v>30</v>
      </c>
      <c r="P33" s="34">
        <f>SUM(L33:O33)</f>
        <v/>
      </c>
      <c r="Q33" s="18" t="n"/>
      <c r="R33" s="18" t="n"/>
      <c r="S33" s="18" t="n"/>
      <c r="T33" s="18" t="n">
        <v>10</v>
      </c>
      <c r="U33" s="34">
        <f>SUM(Q33:T33)</f>
        <v/>
      </c>
      <c r="V33" s="18" t="n"/>
      <c r="W33" s="18" t="n"/>
      <c r="X33" s="18" t="n"/>
      <c r="Y33" s="18" t="n">
        <v>30</v>
      </c>
      <c r="Z33" s="34">
        <f>SUM(V33:Y33)</f>
        <v/>
      </c>
      <c r="AA33" s="18" t="n"/>
      <c r="AB33" s="19" t="n"/>
      <c r="AC33" s="20" t="n"/>
      <c r="AD33" s="20">
        <f>IFERROR(Y33*(1+변수!AD42),"")</f>
        <v/>
      </c>
      <c r="AE33" s="35">
        <f>SUM(AA33:AD33)</f>
        <v/>
      </c>
      <c r="AF33" s="20" t="n"/>
      <c r="AG33" s="20" t="n"/>
      <c r="AH33" s="20" t="n"/>
      <c r="AI33" s="20">
        <f>IFERROR(AD33*(1+변수!AI42),"")</f>
        <v/>
      </c>
      <c r="AJ33" s="35">
        <f>SUM(AF33:AI33)</f>
        <v/>
      </c>
      <c r="AK33" s="20" t="n"/>
      <c r="AL33" s="20" t="n"/>
      <c r="AM33" s="20" t="n"/>
      <c r="AN33" s="20">
        <f>IFERROR(AI33*(1+변수!AN42),"")</f>
        <v/>
      </c>
      <c r="AO33" s="35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8" t="n"/>
      <c r="F34" s="34" t="n"/>
      <c r="G34" s="18" t="n"/>
      <c r="H34" s="18" t="n"/>
      <c r="I34" s="18" t="n">
        <v>20.13</v>
      </c>
      <c r="J34" s="18" t="n"/>
      <c r="K34" s="34">
        <f>SUM(G34:J34)</f>
        <v/>
      </c>
      <c r="L34" s="18" t="n"/>
      <c r="M34" s="18" t="n"/>
      <c r="N34" s="18" t="n">
        <v>51.63</v>
      </c>
      <c r="O34" s="18" t="n"/>
      <c r="P34" s="34">
        <f>SUM(L34:O34)</f>
        <v/>
      </c>
      <c r="Q34" s="18" t="n"/>
      <c r="R34" s="18" t="n"/>
      <c r="S34" s="18" t="n"/>
      <c r="T34" s="18" t="n"/>
      <c r="U34" s="34">
        <f>SUM(Q34:T34)</f>
        <v/>
      </c>
      <c r="V34" s="18" t="n"/>
      <c r="W34" s="18" t="n">
        <v>146.93</v>
      </c>
      <c r="X34" s="18" t="n">
        <v>323.48</v>
      </c>
      <c r="Y34" s="18" t="n"/>
      <c r="Z34" s="34">
        <f>SUM(V34:Y34)</f>
        <v/>
      </c>
      <c r="AA34" s="18" t="n"/>
      <c r="AB34" s="19" t="n"/>
      <c r="AC34" s="20" t="n"/>
      <c r="AD34" s="20" t="n"/>
      <c r="AE34" s="35">
        <f>SUM(AA34:AD34)</f>
        <v/>
      </c>
      <c r="AF34" s="20" t="n"/>
      <c r="AG34" s="20" t="n"/>
      <c r="AH34" s="20" t="n"/>
      <c r="AI34" s="20" t="n"/>
      <c r="AJ34" s="35">
        <f>SUM(AF34:AI34)</f>
        <v/>
      </c>
      <c r="AK34" s="20" t="n"/>
      <c r="AL34" s="20" t="n"/>
      <c r="AM34" s="20" t="n"/>
      <c r="AN34" s="20" t="n"/>
      <c r="AO34" s="35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8" t="n">
        <v>0.41</v>
      </c>
      <c r="F35" s="34" t="n">
        <v>0.37</v>
      </c>
      <c r="G35" s="18" t="n">
        <v>0.46</v>
      </c>
      <c r="H35" s="18" t="n">
        <v>0.64</v>
      </c>
      <c r="I35" s="18" t="n">
        <v>0.5600000000000001</v>
      </c>
      <c r="J35" s="18" t="n">
        <v>0.44</v>
      </c>
      <c r="K35" s="34">
        <f>SUM(G35:J35)</f>
        <v/>
      </c>
      <c r="L35" s="18" t="n">
        <v>0.43</v>
      </c>
      <c r="M35" s="18" t="n">
        <v>0.46</v>
      </c>
      <c r="N35" s="18" t="n">
        <v>0.44</v>
      </c>
      <c r="O35" s="18" t="n">
        <v>0.36</v>
      </c>
      <c r="P35" s="34">
        <f>SUM(L35:O35)</f>
        <v/>
      </c>
      <c r="Q35" s="18" t="n">
        <v>0.37</v>
      </c>
      <c r="R35" s="18" t="n">
        <v>0.35</v>
      </c>
      <c r="S35" s="18" t="n">
        <v>0.31</v>
      </c>
      <c r="T35" s="18" t="n">
        <v>0.3</v>
      </c>
      <c r="U35" s="34">
        <f>SUM(Q35:T35)</f>
        <v/>
      </c>
      <c r="V35" s="18" t="n">
        <v>0.28</v>
      </c>
      <c r="W35" s="18" t="n">
        <v>0.31</v>
      </c>
      <c r="X35" s="18" t="n">
        <v>0.43</v>
      </c>
      <c r="Y35" s="18" t="n">
        <v>0.65</v>
      </c>
      <c r="Z35" s="34">
        <f>SUM(V35:Y35)</f>
        <v/>
      </c>
      <c r="AA35" s="18" t="n">
        <v>0.65</v>
      </c>
      <c r="AB35" s="19" t="n">
        <v>0.71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4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4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4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4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4">
        <f>SUM(V36:Y36)</f>
        <v/>
      </c>
      <c r="AA36" s="18" t="n">
        <v>618.74</v>
      </c>
      <c r="AB36" s="19" t="n">
        <v>617.5700000000001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4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4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4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4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4">
        <f>SUM(V37:Y37)</f>
        <v/>
      </c>
      <c r="AA37" s="18" t="n">
        <v>4.63</v>
      </c>
      <c r="AB37" s="19" t="n">
        <v>28.56</v>
      </c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1">
        <f>IFERROR(AC19/AC5,"")</f>
        <v/>
      </c>
      <c r="AD40" s="31">
        <f>IFERROR(AD19/AD5,"")</f>
        <v/>
      </c>
      <c r="AE40" s="25">
        <f>IFERROR(AE19/AE5,"")</f>
        <v/>
      </c>
      <c r="AF40" s="31">
        <f>IFERROR(AF19/AF5,"")</f>
        <v/>
      </c>
      <c r="AG40" s="31">
        <f>IFERROR(AG19/AG5,"")</f>
        <v/>
      </c>
      <c r="AH40" s="31">
        <f>IFERROR(AH19/AH5,"")</f>
        <v/>
      </c>
      <c r="AI40" s="31">
        <f>IFERROR(AI19/AI5,"")</f>
        <v/>
      </c>
      <c r="AJ40" s="25">
        <f>IFERROR(AJ19/AJ5,"")</f>
        <v/>
      </c>
      <c r="AK40" s="31">
        <f>IFERROR(AK19/AK5,"")</f>
        <v/>
      </c>
      <c r="AL40" s="31">
        <f>IFERROR(AL19/AL5,"")</f>
        <v/>
      </c>
      <c r="AM40" s="31">
        <f>IFERROR(AM19/AM5,"")</f>
        <v/>
      </c>
      <c r="AN40" s="31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43">
        <f>IFERROR(VLOOKUP($A30,subQ,MATCH(W$1,SUBQH,0),0),"")</f>
        <v/>
      </c>
      <c r="X30" s="36">
        <f>IFERROR(VLOOKUP($A30,subQ,MATCH(X$1,SUBQH,0),0),"")</f>
        <v/>
      </c>
      <c r="Y30" s="36">
        <f>IFERROR(VLOOKUP($A30,subQ,MATCH(Y$1,SUBQH,0),0),"")</f>
        <v/>
      </c>
      <c r="Z30" s="36">
        <f>IFERROR(VLOOKUP($A30,subQ,MATCH(Z$1,SUBQH,0),0),"")</f>
        <v/>
      </c>
      <c r="AA30" s="36">
        <f>IFERROR(VLOOKUP($A30,subQ,MATCH(AA$1,SUBQH,0),0),"")</f>
        <v/>
      </c>
      <c r="AB30" s="36">
        <f>IFERROR(VLOOKUP($A30,subQ,MATCH(AB$1,SUBQH,0),0),"")</f>
        <v/>
      </c>
      <c r="AC30" s="36">
        <f>IFERROR(VLOOKUP($A30,subQ,MATCH(AC$1,SUBQH,0),0),"")</f>
        <v/>
      </c>
      <c r="AD30" s="36">
        <f>IFERROR(VLOOKUP($A30,subQ,MATCH(AD$1,SUBQH,0),0),"")</f>
        <v/>
      </c>
      <c r="AE30" s="36">
        <f>IFERROR(VLOOKUP($A30,subQ,MATCH(AE$1,SUBQH,0),0),"")</f>
        <v/>
      </c>
      <c r="AF30" s="36">
        <f>IFERROR(VLOOKUP($A30,subQ,MATCH(AF$1,SUBQH,0),0),"")</f>
        <v/>
      </c>
      <c r="AG30" s="36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2">
        <f>IFERROR(W19/S19-1,"")</f>
        <v/>
      </c>
      <c r="X42" s="31">
        <f>IFERROR(X19/T19-1,"")</f>
        <v/>
      </c>
      <c r="Y42" s="31">
        <f>IFERROR(Y19/U19-1,"")</f>
        <v/>
      </c>
      <c r="Z42" s="31">
        <f>IFERROR(Z19/V19-1,"")</f>
        <v/>
      </c>
      <c r="AA42" s="31">
        <f>IFERROR(AA19/W19-1,"")</f>
        <v/>
      </c>
      <c r="AB42" s="31">
        <f>IFERROR(AB19/X19-1,"")</f>
        <v/>
      </c>
      <c r="AC42" s="31">
        <f>IFERROR(AC19/Y19-1,"")</f>
        <v/>
      </c>
      <c r="AD42" s="31">
        <f>IFERROR(AD19/Z19-1,"")</f>
        <v/>
      </c>
      <c r="AE42" s="31">
        <f>IFERROR(AE19/AA19-1,"")</f>
        <v/>
      </c>
      <c r="AF42" s="31">
        <f>IFERROR(AF19/AB19-1,"")</f>
        <v/>
      </c>
      <c r="AG42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43">
        <f>IFERROR(VLOOKUP($A30,subQ,MATCH(I$1,SUBQH,0),0),"")</f>
        <v/>
      </c>
      <c r="J30" s="36">
        <f>IFERROR(VLOOKUP($A30,subQ,MATCH(J$1,SUBQH,0),0),"")</f>
        <v/>
      </c>
      <c r="K30" s="36">
        <f>IFERROR(VLOOKUP($A30,subQ,MATCH(K$1,SUBQH,0),0),"")</f>
        <v/>
      </c>
      <c r="L30" s="36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2">
        <f>IFERROR(I19/H19-1,"")</f>
        <v/>
      </c>
      <c r="J42" s="31">
        <f>IFERROR(J19/I19-1,"")</f>
        <v/>
      </c>
      <c r="K42" s="31">
        <f>IFERROR(K19/J19-1,"")</f>
        <v/>
      </c>
      <c r="L42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