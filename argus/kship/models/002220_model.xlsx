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6.02%(최근 4분기 중위)</t>
      </text>
    </comment>
    <comment ref="AD22" authorId="0" shapeId="0">
      <text>
        <t>3절 스칼라 '판관비율' 참조 — 숫자로 덮어쓰면 이 분기만 바뀐다
매출액 × 판관비율 6.02%(최근 4분기 중위)</t>
      </text>
    </comment>
    <comment ref="AF22" authorId="0" shapeId="0">
      <text>
        <t>3절 스칼라 '판관비율' 참조 — 숫자로 덮어쓰면 이 분기만 바뀐다
매출액 × 판관비율 6.02%(최근 4분기 중위)</t>
      </text>
    </comment>
    <comment ref="AG22" authorId="0" shapeId="0">
      <text>
        <t>3절 스칼라 '판관비율' 참조 — 숫자로 덮어쓰면 이 분기만 바뀐다
매출액 × 판관비율 6.02%(최근 4분기 중위)</t>
      </text>
    </comment>
    <comment ref="AH22" authorId="0" shapeId="0">
      <text>
        <t>3절 스칼라 '판관비율' 참조 — 숫자로 덮어쓰면 이 분기만 바뀐다
매출액 × 판관비율 6.02%(최근 4분기 중위)</t>
      </text>
    </comment>
    <comment ref="AI22" authorId="0" shapeId="0">
      <text>
        <t>3절 스칼라 '판관비율' 참조 — 숫자로 덮어쓰면 이 분기만 바뀐다
매출액 × 판관비율 6.02%(최근 4분기 중위)</t>
      </text>
    </comment>
    <comment ref="AK22" authorId="0" shapeId="0">
      <text>
        <t>3절 스칼라 '판관비율' 참조 — 숫자로 덮어쓰면 이 분기만 바뀐다
매출액 × 판관비율 6.02%(최근 4분기 중위)</t>
      </text>
    </comment>
    <comment ref="AL22" authorId="0" shapeId="0">
      <text>
        <t>3절 스칼라 '판관비율' 참조 — 숫자로 덮어쓰면 이 분기만 바뀐다
매출액 × 판관비율 6.02%(최근 4분기 중위)</t>
      </text>
    </comment>
    <comment ref="AM22" authorId="0" shapeId="0">
      <text>
        <t>3절 스칼라 '판관비율' 참조 — 숫자로 덮어쓰면 이 분기만 바뀐다
매출액 × 판관비율 6.02%(최근 4분기 중위)</t>
      </text>
    </comment>
    <comment ref="AN22" authorId="0" shapeId="0">
      <text>
        <t>3절 스칼라 '판관비율' 참조 — 숫자로 덮어쓰면 이 분기만 바뀐다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30원 유지</t>
      </text>
    </comment>
    <comment ref="AI39" authorId="0" shapeId="0">
      <text>
        <t>모델값 역산(implied): 모델 v 그대로
직전 결산 DPS 30원 유지</t>
      </text>
    </comment>
    <comment ref="AN39" authorId="0" shapeId="0">
      <text>
        <t>모델값 역산(implied): 모델 v 그대로
직전 결산 DPS 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[interest]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[interest]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[interest]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[interest]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[interest]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[interest]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[interest]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[interest]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[interest]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[interest]</t>
      </text>
    </comment>
    <comment ref="L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fin.cons.is.당기순이익 − fin.cons.is.(비지배주주지분)당기순이익(파생)</t>
      </text>
    </comment>
    <comment ref="M19" authorId="0" shapeId="0">
      <text>
        <t>실측(BS연결 시트에 (지배주주지분)당기순이익 2023.06 값 없음 — 모델값 직접) — fin.cons.is.당기순이익 − fin.cons.is.(비지배주주지분)당기순이익(파생)</t>
      </text>
    </comment>
    <comment ref="N19" authorId="0" shapeId="0">
      <text>
        <t>실측(BS연결 시트에 (지배주주지분)당기순이익 2023.09 값 없음 — 모델값 직접) — fin.cons.is.당기순이익 − fin.cons.is.(비지배주주지분)당기순이익(파생)</t>
      </text>
    </comment>
    <comment ref="O19" authorId="0" shapeId="0">
      <text>
        <t>실측(BS연결 시트에 (지배주주지분)당기순이익 2023.12 값 없음 — 모델값 직접) — fin.cons.is.당기순이익 − fin.cons.is.(비지배주주지분)당기순이익(파생)</t>
      </text>
    </comment>
    <comment ref="Q19" authorId="0" shapeId="0">
      <text>
        <t>실측(BS연결 시트에 (지배주주지분)당기순이익 2024.03 값 없음 — 모델값 직접) — fin.cons.is.당기순이익 − fin.cons.is.(비지배주주지분)당기순이익(파생)</t>
      </text>
    </comment>
    <comment ref="R19" authorId="0" shapeId="0">
      <text>
        <t>실측(BS연결 시트에 (지배주주지분)당기순이익 2024.06 값 없음 — 모델값 직접) — fin.cons.is.당기순이익 − fin.cons.is.(비지배주주지분)당기순이익(파생)</t>
      </text>
    </comment>
    <comment ref="S19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19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V19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W19" authorId="0" shapeId="0">
      <text>
        <t>실측(BS연결 시트에 (지배주주지분)당기순이익 2025.06 값 없음 — 모델값 직접) — fin.cons.is.당기순이익 − fin.cons.is.(비지배주주지분)당기순이익(파생)</t>
      </text>
    </comment>
    <comment ref="X19" authorId="0" shapeId="0">
      <text>
        <t>실측(BS연결 시트에 (지배주주지분)당기순이익 2025.09 값 없음 — 모델값 직접) — fin.cons.is.당기순이익 − fin.cons.is.(비지배주주지분)당기순이익(파생)</t>
      </text>
    </comment>
    <comment ref="Y19" authorId="0" shapeId="0">
      <text>
        <t>실측(BS연결 시트에 (지배주주지분)당기순이익 2025.12 값 없음 — 모델값 직접) — fin.cons.is.당기순이익 − fin.cons.is.(비지배주주지분)당기순이익(파생)</t>
      </text>
    </comment>
    <comment ref="AA19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B19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30원 유지
[abs]</t>
      </text>
    </comment>
    <comment ref="AI33" authorId="0" shapeId="0">
      <text>
        <t>추정: 직전 결산 DPS 30원 유지
[abs]</t>
      </text>
    </comment>
    <comment ref="AN33" authorId="0" shapeId="0">
      <text>
        <t>추정: 직전 결산 DPS 30원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16.67%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6.02%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3.32% / 부채 7.70% — 이자손익 = (전분기 이자발생자산 × 자산이자율 − 전분기 총차입금 × 부채이자율)/4, 최소자승 역산(모델 assumptions [0.0332, 0.077] 는 4자리 반올림이라 그대로 쓰면 ±1억 어긋남) · 출처: {"asset": "주석 이자수익 ÷ 평균 이자발생자산(2022Q2~2023Q1)", "debt": "주석 이자비용 ÷ 평균 총차입금(2022Q2~2023Q1)"}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99.3배가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assets/models/002220.json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20" t="n">
        <v>2900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20" t="n">
        <v>3150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20" t="n">
        <v>2725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20" t="n">
        <v>2845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0.099663008</v>
      </c>
      <c r="AD21" s="24" t="n">
        <v>0.099655981</v>
      </c>
      <c r="AE21" s="25" t="n"/>
      <c r="AF21" s="24" t="n">
        <v>0.099660534</v>
      </c>
      <c r="AG21" s="24" t="n">
        <v>0.09966143199999999</v>
      </c>
      <c r="AH21" s="24" t="n">
        <v>0.04981398</v>
      </c>
      <c r="AI21" s="24" t="n">
        <v>0.049831837</v>
      </c>
      <c r="AJ21" s="25" t="n"/>
      <c r="AK21" s="24" t="n">
        <v>0.049823633</v>
      </c>
      <c r="AL21" s="24" t="n">
        <v>0.049814466</v>
      </c>
      <c r="AM21" s="24" t="n">
        <v>0.024926311</v>
      </c>
      <c r="AN21" s="24" t="n">
        <v>0.024908536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0.005652143</v>
      </c>
      <c r="AD23" s="24" t="n">
        <v>0.005651854</v>
      </c>
      <c r="AE23" s="25">
        <f>IFERROR(subQ!AE9/subQ!AE5,"")</f>
        <v/>
      </c>
      <c r="AF23" s="24" t="n">
        <v>0.005643739</v>
      </c>
      <c r="AG23" s="24" t="n">
        <v>0.005639651</v>
      </c>
      <c r="AH23" s="24" t="n">
        <v>0.005639514</v>
      </c>
      <c r="AI23" s="24" t="n">
        <v>0.005648968</v>
      </c>
      <c r="AJ23" s="25">
        <f>IFERROR(subQ!AJ9/subQ!AJ5,"")</f>
        <v/>
      </c>
      <c r="AK23" s="24" t="n">
        <v>0.005641887</v>
      </c>
      <c r="AL23" s="24" t="n">
        <v>0.005638544</v>
      </c>
      <c r="AM23" s="24" t="n">
        <v>0.005651972</v>
      </c>
      <c r="AN23" s="24" t="n">
        <v>0.005641149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4.94</v>
      </c>
      <c r="AD26" s="30" t="n">
        <v>4.94</v>
      </c>
      <c r="AE26" s="31">
        <f>subQ!AE15</f>
        <v/>
      </c>
      <c r="AF26" s="30" t="n">
        <v>4.94</v>
      </c>
      <c r="AG26" s="30" t="n">
        <v>4.94</v>
      </c>
      <c r="AH26" s="30" t="n">
        <v>4.94</v>
      </c>
      <c r="AI26" s="30" t="n">
        <v>4.94</v>
      </c>
      <c r="AJ26" s="31">
        <f>subQ!AJ15</f>
        <v/>
      </c>
      <c r="AK26" s="30" t="n">
        <v>4.94</v>
      </c>
      <c r="AL26" s="30" t="n">
        <v>4.94</v>
      </c>
      <c r="AM26" s="30" t="n">
        <v>4.94</v>
      </c>
      <c r="AN26" s="30" t="n">
        <v>4.94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-0</v>
      </c>
      <c r="AD27" s="24" t="n">
        <v>-0</v>
      </c>
      <c r="AE27" s="25">
        <f>IFERROR(subQ!AE17/subQ!AE16,"")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IFERROR(subQ!AJ17/subQ!AJ16,"")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3.43e-07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0.011097911</v>
      </c>
      <c r="AD30" s="30" t="n">
        <v>0.00012058</v>
      </c>
      <c r="AE30" s="31" t="n"/>
      <c r="AF30" s="30" t="n">
        <v>-0.001880475</v>
      </c>
      <c r="AG30" s="30" t="n">
        <v>7.123598094</v>
      </c>
      <c r="AH30" s="30" t="n">
        <v>-0.000760963</v>
      </c>
      <c r="AI30" s="30" t="n">
        <v>0.008484846000000001</v>
      </c>
      <c r="AJ30" s="31" t="n"/>
      <c r="AK30" s="30" t="n">
        <v>0.004156655</v>
      </c>
      <c r="AL30" s="30" t="n">
        <v>7.117807134</v>
      </c>
      <c r="AM30" s="30" t="n">
        <v>0.001536749</v>
      </c>
      <c r="AN30" s="30" t="n">
        <v>0.008039599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0.005397911</v>
      </c>
      <c r="AD31" s="30" t="n">
        <v>0.01012058</v>
      </c>
      <c r="AE31" s="31" t="n"/>
      <c r="AF31" s="30" t="n">
        <v>-0.001880475</v>
      </c>
      <c r="AG31" s="30" t="n">
        <v>7.123598094</v>
      </c>
      <c r="AH31" s="30" t="n">
        <v>-0.000760963</v>
      </c>
      <c r="AI31" s="30" t="n">
        <v>-0.001515154</v>
      </c>
      <c r="AJ31" s="31" t="n"/>
      <c r="AK31" s="30" t="n">
        <v>0.004156655</v>
      </c>
      <c r="AL31" s="30" t="n">
        <v>7.117807134</v>
      </c>
      <c r="AM31" s="30" t="n">
        <v>0.011536749</v>
      </c>
      <c r="AN31" s="30" t="n">
        <v>-0.001960401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4.089e-06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0.014156745</v>
      </c>
      <c r="AD33" s="24" t="n">
        <v>0.014482704</v>
      </c>
      <c r="AE33" s="25" t="n"/>
      <c r="AF33" s="24" t="n">
        <v>0.013115304</v>
      </c>
      <c r="AG33" s="24" t="n">
        <v>0.022123218</v>
      </c>
      <c r="AH33" s="24" t="n">
        <v>0.013599342</v>
      </c>
      <c r="AI33" s="24" t="n">
        <v>0.013932916</v>
      </c>
      <c r="AJ33" s="25" t="n"/>
      <c r="AK33" s="24" t="n">
        <v>0.012590277</v>
      </c>
      <c r="AL33" s="24" t="n">
        <v>0.021061953</v>
      </c>
      <c r="AM33" s="24" t="n">
        <v>0.013196911</v>
      </c>
      <c r="AN33" s="24" t="n">
        <v>0.013522424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-0.023105855</v>
      </c>
      <c r="AD34" s="24" t="n">
        <v>-0.02453675</v>
      </c>
      <c r="AE34" s="25" t="n"/>
      <c r="AF34" s="24" t="n">
        <v>-0.02310891</v>
      </c>
      <c r="AG34" s="24" t="n">
        <v>-0.040402866</v>
      </c>
      <c r="AH34" s="24" t="n">
        <v>-0.026469519</v>
      </c>
      <c r="AI34" s="24" t="n">
        <v>-0.028259841</v>
      </c>
      <c r="AJ34" s="25" t="n"/>
      <c r="AK34" s="24" t="n">
        <v>-0.026621912</v>
      </c>
      <c r="AL34" s="24" t="n">
        <v>-0.046329201</v>
      </c>
      <c r="AM34" s="24" t="n">
        <v>-0.031052472</v>
      </c>
      <c r="AN34" s="24" t="n">
        <v>-0.033329535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0.414116151</v>
      </c>
      <c r="AD36" s="24" t="n">
        <v>-0.465364947</v>
      </c>
      <c r="AE36" s="25" t="n"/>
      <c r="AF36" s="24" t="n">
        <v>0.494509851</v>
      </c>
      <c r="AG36" s="24" t="n">
        <v>-0.226348616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30</v>
      </c>
      <c r="AE39" s="31">
        <f>subQ!AE33</f>
        <v/>
      </c>
      <c r="AF39" s="33" t="n"/>
      <c r="AG39" s="33" t="n"/>
      <c r="AH39" s="33" t="n"/>
      <c r="AI39" s="30" t="n">
        <v>30</v>
      </c>
      <c r="AJ39" s="31">
        <f>subQ!AJ33</f>
        <v/>
      </c>
      <c r="AK39" s="33" t="n"/>
      <c r="AL39" s="33" t="n"/>
      <c r="AM39" s="33" t="n"/>
      <c r="AN39" s="30" t="n">
        <v>30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2900</v>
      </c>
      <c r="E42" s="2" t="inlineStr">
        <is>
          <t>원 — 네이버 정규장 종가(aik 확정종가 대조 · aik 2,810원)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99.3배가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0.1667</v>
      </c>
      <c r="E49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2분기(2025Q2~2026Q2)의 법인세/세전 중위 16.7%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0.06019954037899895</v>
      </c>
      <c r="E50" s="2" t="inlineStr">
        <is>
          <t>연결 — 판관비 = 매출액 × 판관비율(역산, 재현 오차 ≤ 0.05억 · 모델 assumptions 0.0602)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0.03324334354667263</v>
      </c>
      <c r="E52" s="2" t="inlineStr">
        <is>
          <t>연결 — 이자손익 = (전분기 이자발생자산 × 자산이자율 − 전분기 총차입금 × 부채이자율)/4(역산, 재현 오차 ≤ 0.05억 · 모델 assumptions 0.0332)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0.07700489386235108</v>
      </c>
      <c r="E53" s="2" t="inlineStr">
        <is>
          <t>연결 — 같은 수식의 부채 쪽(총차입금 행이 없으면 0)(역산, 재현 오차 ≤ 0.05억 · 모델 assumptions 0.077)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7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7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7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7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7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7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7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7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7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7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7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7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7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7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7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7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7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7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7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7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7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7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7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7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7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7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7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7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7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7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7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7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7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7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7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7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7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7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7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7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7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7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7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7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7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7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7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7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7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7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7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7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7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7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7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7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7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7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7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7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7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7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7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7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7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7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7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7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7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7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7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7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7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7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7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7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7" t="n">
        <v>11865.99</v>
      </c>
      <c r="G23" s="18" t="n">
        <v>14499.47</v>
      </c>
      <c r="J23" s="18" t="n">
        <v>14960.61</v>
      </c>
      <c r="K23" s="37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7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7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7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7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7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7" t="n">
        <v>79006.06</v>
      </c>
      <c r="Q24" s="18" t="n">
        <v>95514.09</v>
      </c>
      <c r="R24" s="18" t="n">
        <v>107988.29</v>
      </c>
      <c r="S24" s="18" t="n">
        <v>103875.06</v>
      </c>
      <c r="T24" s="18" t="n">
        <v>105141.35</v>
      </c>
      <c r="U24" s="37" t="n">
        <v>105141.35</v>
      </c>
      <c r="V24" s="18" t="n">
        <v>112136.48</v>
      </c>
      <c r="W24" s="18" t="n">
        <v>105858.38</v>
      </c>
      <c r="X24" s="18" t="n">
        <v>111772.67</v>
      </c>
      <c r="Y24" s="18" t="n">
        <v>111910.03</v>
      </c>
      <c r="Z24" s="37" t="n">
        <v>111910.03</v>
      </c>
      <c r="AA24" s="18" t="n">
        <v>112787.7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7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N25" s="18" t="n">
        <v>16494</v>
      </c>
      <c r="O25" s="18" t="n">
        <v>20494</v>
      </c>
      <c r="P25" s="37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7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7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7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7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7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2156.76</v>
      </c>
      <c r="F27" s="37" t="n">
        <v>2156.76</v>
      </c>
      <c r="G27" s="18" t="n">
        <v>2740.93</v>
      </c>
      <c r="H27" s="18" t="n">
        <v>5343.77</v>
      </c>
      <c r="I27" s="18" t="n">
        <v>8115.97</v>
      </c>
      <c r="J27" s="18" t="n">
        <v>1691</v>
      </c>
      <c r="K27" s="37" t="n">
        <v>1691</v>
      </c>
      <c r="L27" s="18" t="n">
        <v>1505</v>
      </c>
      <c r="M27" s="18" t="n">
        <v>1505</v>
      </c>
      <c r="N27" s="18" t="n">
        <v>1505</v>
      </c>
      <c r="O27" s="18" t="n">
        <v>1505</v>
      </c>
      <c r="P27" s="37" t="n">
        <v>1505</v>
      </c>
      <c r="Q27" s="18" t="n">
        <v>1505</v>
      </c>
      <c r="R27" s="18" t="n">
        <v>1505</v>
      </c>
      <c r="S27" s="18" t="n">
        <v>1605</v>
      </c>
      <c r="T27" s="18" t="n">
        <v>1605</v>
      </c>
      <c r="U27" s="37" t="n">
        <v>1605</v>
      </c>
      <c r="V27" s="18" t="n">
        <v>2305</v>
      </c>
      <c r="W27" s="18" t="n">
        <v>2290</v>
      </c>
      <c r="X27" s="18" t="n">
        <v>1990</v>
      </c>
      <c r="Y27" s="18" t="n">
        <v>1990</v>
      </c>
      <c r="Z27" s="37" t="n">
        <v>1990</v>
      </c>
      <c r="AA27" s="18" t="n">
        <v>1990</v>
      </c>
      <c r="AB27" s="19" t="n">
        <v>1990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2156.76</v>
      </c>
      <c r="F28" s="37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1961.29</v>
      </c>
      <c r="K28" s="37" t="n">
        <v>1961.29</v>
      </c>
      <c r="L28" s="18" t="n">
        <v>1800.75</v>
      </c>
      <c r="M28" s="18" t="n">
        <v>1714.46</v>
      </c>
      <c r="N28" s="18" t="n">
        <v>1826.51</v>
      </c>
      <c r="O28" s="18" t="n">
        <v>1828.92</v>
      </c>
      <c r="P28" s="37" t="n">
        <v>1828.92</v>
      </c>
      <c r="Q28" s="18" t="n">
        <v>1831.37</v>
      </c>
      <c r="R28" s="18" t="n">
        <v>1835.69</v>
      </c>
      <c r="S28" s="18" t="n">
        <v>1943.81</v>
      </c>
      <c r="T28" s="18" t="n">
        <v>1947.3</v>
      </c>
      <c r="U28" s="37" t="n">
        <v>1947.3</v>
      </c>
      <c r="V28" s="18" t="n">
        <v>2650.83</v>
      </c>
      <c r="W28" s="18" t="n">
        <v>2639.39</v>
      </c>
      <c r="X28" s="18" t="n">
        <v>2341.25</v>
      </c>
      <c r="Y28" s="18" t="n">
        <v>2344.42</v>
      </c>
      <c r="Z28" s="37" t="n">
        <v>2344.42</v>
      </c>
      <c r="AA28" s="18" t="n">
        <v>2347.62</v>
      </c>
      <c r="AB28" s="19" t="n">
        <v>2350.85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2457.46</v>
      </c>
      <c r="F29" s="37" t="n">
        <v>2457.46</v>
      </c>
      <c r="G29" s="18" t="n">
        <v>2340.39</v>
      </c>
      <c r="H29" s="18" t="n">
        <v>2180.91</v>
      </c>
      <c r="I29" s="18" t="n">
        <v>2618</v>
      </c>
      <c r="J29" s="18" t="n">
        <v>2480.89</v>
      </c>
      <c r="K29" s="37" t="n">
        <v>2480.89</v>
      </c>
      <c r="L29" s="18" t="n">
        <v>3183.14</v>
      </c>
      <c r="M29" s="18" t="n">
        <v>2167.48</v>
      </c>
      <c r="N29" s="18" t="n">
        <v>3516.83</v>
      </c>
      <c r="O29" s="18" t="n">
        <v>2569.86</v>
      </c>
      <c r="P29" s="37" t="n">
        <v>2569.86</v>
      </c>
      <c r="Q29" s="18" t="n">
        <v>2617.7</v>
      </c>
      <c r="R29" s="18" t="n">
        <v>2531.35</v>
      </c>
      <c r="S29" s="18" t="n">
        <v>2901.9</v>
      </c>
      <c r="T29" s="18" t="n">
        <v>3425.84</v>
      </c>
      <c r="U29" s="37" t="n">
        <v>3425.84</v>
      </c>
      <c r="V29" s="18" t="n">
        <v>2646.48</v>
      </c>
      <c r="W29" s="18" t="n">
        <v>2182.69</v>
      </c>
      <c r="X29" s="18" t="n">
        <v>2116.29</v>
      </c>
      <c r="Y29" s="18" t="n">
        <v>2674.59</v>
      </c>
      <c r="Z29" s="37" t="n">
        <v>2674.59</v>
      </c>
      <c r="AA29" s="18" t="n">
        <v>2206.46</v>
      </c>
      <c r="AB29" s="19" t="n">
        <v>1952.06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단기파생상품부채</t>
        </is>
      </c>
      <c r="E30" s="18" t="n">
        <v>0</v>
      </c>
      <c r="F30" s="37" t="n">
        <v>0</v>
      </c>
      <c r="G30" s="18" t="n">
        <v>0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71869.08</v>
      </c>
      <c r="F31" s="37" t="n">
        <v>71869.08</v>
      </c>
      <c r="G31" s="18" t="n">
        <v>51629.61</v>
      </c>
      <c r="H31" s="18" t="n">
        <v>44371.91</v>
      </c>
      <c r="I31" s="18" t="n">
        <v>50439.46</v>
      </c>
      <c r="J31" s="18" t="n">
        <v>51833.29</v>
      </c>
      <c r="K31" s="37" t="n">
        <v>51833.29</v>
      </c>
      <c r="L31" s="18" t="n">
        <v>41227.03</v>
      </c>
      <c r="M31" s="18" t="n">
        <v>45324.58</v>
      </c>
      <c r="N31" s="18" t="n">
        <v>39578.38</v>
      </c>
      <c r="O31" s="18" t="n">
        <v>36300.81</v>
      </c>
      <c r="P31" s="37" t="n">
        <v>36300.81</v>
      </c>
      <c r="Q31" s="18" t="n">
        <v>36681.48</v>
      </c>
      <c r="R31" s="18" t="n">
        <v>36436.88</v>
      </c>
      <c r="S31" s="18" t="n">
        <v>42927.7</v>
      </c>
      <c r="T31" s="18" t="n">
        <v>41394.91</v>
      </c>
      <c r="U31" s="37" t="n">
        <v>41394.91</v>
      </c>
      <c r="V31" s="18" t="n">
        <v>41361.14</v>
      </c>
      <c r="W31" s="18" t="n">
        <v>41627.46</v>
      </c>
      <c r="X31" s="18" t="n">
        <v>35901.99</v>
      </c>
      <c r="Y31" s="18" t="n">
        <v>36858.97</v>
      </c>
      <c r="Z31" s="37" t="n">
        <v>36858.97</v>
      </c>
      <c r="AA31" s="18" t="n">
        <v>36768.36</v>
      </c>
      <c r="AB31" s="19" t="n">
        <v>36888.53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16421.5</v>
      </c>
      <c r="F32" s="37" t="n">
        <v>16421.5</v>
      </c>
      <c r="G32" s="18" t="n">
        <v>16548</v>
      </c>
      <c r="H32" s="18" t="n">
        <v>10494</v>
      </c>
      <c r="I32" s="18" t="n">
        <v>16494</v>
      </c>
      <c r="J32" s="18" t="n">
        <v>16494</v>
      </c>
      <c r="K32" s="37" t="n">
        <v>16494</v>
      </c>
      <c r="L32" s="18" t="n">
        <v>6000</v>
      </c>
      <c r="M32" s="18" t="n">
        <v>10000</v>
      </c>
      <c r="N32" s="18" t="n">
        <v>4000</v>
      </c>
      <c r="O32" s="18" t="n">
        <v>0</v>
      </c>
      <c r="P32" s="37" t="n">
        <v>0</v>
      </c>
      <c r="Q32" s="18" t="n">
        <v>0</v>
      </c>
      <c r="R32" s="18" t="n">
        <v>0</v>
      </c>
      <c r="S32" s="18" t="n">
        <v>6000</v>
      </c>
      <c r="T32" s="18" t="n">
        <v>6000</v>
      </c>
      <c r="U32" s="37" t="n">
        <v>6000</v>
      </c>
      <c r="V32" s="18" t="n">
        <v>6000</v>
      </c>
      <c r="W32" s="18" t="n">
        <v>6000</v>
      </c>
      <c r="X32" s="18" t="n">
        <v>0</v>
      </c>
      <c r="Y32" s="18" t="n">
        <v>0</v>
      </c>
      <c r="Z32" s="37" t="n">
        <v>0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21317.19</v>
      </c>
      <c r="F33" s="37" t="n">
        <v>21317.19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-36.18</v>
      </c>
      <c r="F34" s="37" t="n">
        <v>-36.18</v>
      </c>
      <c r="G34" s="18" t="n">
        <v>710.59</v>
      </c>
      <c r="H34" s="18" t="n">
        <v>0</v>
      </c>
      <c r="I34" s="18" t="n">
        <v>0</v>
      </c>
      <c r="J34" s="18" t="n">
        <v>0</v>
      </c>
      <c r="K34" s="37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138.85</v>
      </c>
      <c r="W34" s="18" t="n">
        <v>0</v>
      </c>
      <c r="X34" s="18" t="n">
        <v>2.67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34166.58</v>
      </c>
      <c r="F35" s="37" t="n">
        <v>34166.58</v>
      </c>
      <c r="G35" s="18" t="n">
        <v>34371.02</v>
      </c>
      <c r="H35" s="18" t="n">
        <v>33667.11</v>
      </c>
      <c r="I35" s="18" t="n">
        <v>33823.31</v>
      </c>
      <c r="J35" s="18" t="n">
        <v>35227.03</v>
      </c>
      <c r="K35" s="37" t="n">
        <v>35227.03</v>
      </c>
      <c r="L35" s="18" t="n">
        <v>35227.03</v>
      </c>
      <c r="M35" s="18" t="n">
        <v>35324.58</v>
      </c>
      <c r="N35" s="18" t="n">
        <v>35328.74</v>
      </c>
      <c r="O35" s="18" t="n">
        <v>36133.3</v>
      </c>
      <c r="P35" s="37" t="n">
        <v>36133.3</v>
      </c>
      <c r="Q35" s="18" t="n">
        <v>36597.17</v>
      </c>
      <c r="R35" s="18" t="n">
        <v>36436.88</v>
      </c>
      <c r="S35" s="18" t="n">
        <v>36664.32</v>
      </c>
      <c r="T35" s="18" t="n">
        <v>33712.52</v>
      </c>
      <c r="U35" s="37" t="n">
        <v>33712.52</v>
      </c>
      <c r="V35" s="18" t="n">
        <v>33627.69</v>
      </c>
      <c r="W35" s="18" t="n">
        <v>34121.57</v>
      </c>
      <c r="X35" s="18" t="n">
        <v>34121.57</v>
      </c>
      <c r="Y35" s="18" t="n">
        <v>35171.03</v>
      </c>
      <c r="Z35" s="37" t="n">
        <v>35171.03</v>
      </c>
      <c r="AA35" s="18" t="n">
        <v>35171.03</v>
      </c>
      <c r="AB35" s="19" t="n">
        <v>35382.63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0</v>
      </c>
      <c r="F36" s="37" t="n">
        <v>0</v>
      </c>
      <c r="G36" s="18" t="n">
        <v>0</v>
      </c>
      <c r="H36" s="18" t="n">
        <v>210.8</v>
      </c>
      <c r="I36" s="18" t="n">
        <v>122.15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1505.9</v>
      </c>
      <c r="U36" s="37" t="n">
        <v>1505.9</v>
      </c>
      <c r="V36" s="18" t="n">
        <v>1505.9</v>
      </c>
      <c r="W36" s="18" t="n">
        <v>1505.9</v>
      </c>
      <c r="X36" s="18" t="n">
        <v>1505.9</v>
      </c>
      <c r="Y36" s="18" t="n">
        <v>1505.9</v>
      </c>
      <c r="Z36" s="37" t="n">
        <v>1505.9</v>
      </c>
      <c r="AA36" s="18" t="n">
        <v>1505.9</v>
      </c>
      <c r="AB36" s="19" t="n">
        <v>1505.9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0</v>
      </c>
      <c r="F37" s="37" t="n">
        <v>0</v>
      </c>
      <c r="G37" s="18" t="n">
        <v>0</v>
      </c>
      <c r="H37" s="18" t="n">
        <v>210.8</v>
      </c>
      <c r="I37" s="18" t="n">
        <v>122.15</v>
      </c>
      <c r="J37" s="18" t="n">
        <v>112.26</v>
      </c>
      <c r="K37" s="37" t="n">
        <v>112.26</v>
      </c>
      <c r="L37" s="18" t="n">
        <v>0</v>
      </c>
      <c r="M37" s="18" t="n">
        <v>0</v>
      </c>
      <c r="N37" s="18" t="n">
        <v>249.64</v>
      </c>
      <c r="O37" s="18" t="n">
        <v>167.52</v>
      </c>
      <c r="P37" s="37" t="n">
        <v>167.52</v>
      </c>
      <c r="Q37" s="18" t="n">
        <v>84.31</v>
      </c>
      <c r="R37" s="18" t="n">
        <v>0</v>
      </c>
      <c r="S37" s="18" t="n">
        <v>263.38</v>
      </c>
      <c r="T37" s="18" t="n">
        <v>1682.39</v>
      </c>
      <c r="U37" s="37" t="n">
        <v>1682.39</v>
      </c>
      <c r="V37" s="18" t="n">
        <v>1594.6</v>
      </c>
      <c r="W37" s="18" t="n">
        <v>1505.9</v>
      </c>
      <c r="X37" s="18" t="n">
        <v>1777.75</v>
      </c>
      <c r="Y37" s="18" t="n">
        <v>1687.95</v>
      </c>
      <c r="Z37" s="37" t="n">
        <v>1687.95</v>
      </c>
      <c r="AA37" s="18" t="n">
        <v>1597.33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0</v>
      </c>
      <c r="F38" s="37" t="n">
        <v>0</v>
      </c>
      <c r="G38" s="18" t="n">
        <v>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7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7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7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7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7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7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7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7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7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7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7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7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7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7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7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7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7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7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7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7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7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7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7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7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7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7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7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7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7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7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7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7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7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7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7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7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7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7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7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7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7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7" t="n">
        <v>109876.91</v>
      </c>
      <c r="L47" s="18" t="n">
        <v>103263.34</v>
      </c>
      <c r="M47" s="18" t="n">
        <v>101819.41</v>
      </c>
      <c r="N47" s="18" t="n">
        <v>100719.72</v>
      </c>
      <c r="O47" s="18" t="n">
        <v>99500.06</v>
      </c>
      <c r="P47" s="37" t="n">
        <v>99500.06</v>
      </c>
      <c r="Q47" s="18" t="n">
        <v>95514.09</v>
      </c>
      <c r="R47" s="18" t="n">
        <v>107988.29</v>
      </c>
      <c r="S47" s="18" t="n">
        <v>109875.06</v>
      </c>
      <c r="T47" s="18" t="n">
        <v>111141.35</v>
      </c>
      <c r="U47" s="37" t="n">
        <v>111141.35</v>
      </c>
      <c r="V47" s="18" t="n">
        <v>118136.48</v>
      </c>
      <c r="W47" s="18" t="n">
        <v>111858.38</v>
      </c>
      <c r="X47" s="18" t="n">
        <v>117772.67</v>
      </c>
      <c r="Y47" s="18" t="n">
        <v>111910.03</v>
      </c>
      <c r="Z47" s="37" t="n">
        <v>111910.03</v>
      </c>
      <c r="AA47" s="18" t="n">
        <v>112787.7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7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7" t="n">
        <v>69415.35000000001</v>
      </c>
      <c r="L48" s="18" t="n">
        <v>72395.10000000001</v>
      </c>
      <c r="M48" s="18" t="n">
        <v>72541.33</v>
      </c>
      <c r="N48" s="18" t="n">
        <v>73251.96000000001</v>
      </c>
      <c r="O48" s="18" t="n">
        <v>69597.53</v>
      </c>
      <c r="P48" s="37" t="n">
        <v>69597.53</v>
      </c>
      <c r="Q48" s="18" t="n">
        <v>72882.72</v>
      </c>
      <c r="R48" s="18" t="n">
        <v>82612.64999999999</v>
      </c>
      <c r="S48" s="18" t="n">
        <v>77740.57000000001</v>
      </c>
      <c r="T48" s="18" t="n">
        <v>77162.12</v>
      </c>
      <c r="U48" s="37" t="n">
        <v>77162.12</v>
      </c>
      <c r="V48" s="18" t="n">
        <v>80711.98</v>
      </c>
      <c r="W48" s="18" t="n">
        <v>77368.2</v>
      </c>
      <c r="X48" s="18" t="n">
        <v>84715.38</v>
      </c>
      <c r="Y48" s="18" t="n">
        <v>82609.42999999999</v>
      </c>
      <c r="Z48" s="37" t="n">
        <v>82609.42999999999</v>
      </c>
      <c r="AA48" s="18" t="n">
        <v>76843.66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7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7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7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7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7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7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7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7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7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7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7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7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7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7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7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7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7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7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7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7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7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7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7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7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7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7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7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7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7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7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Y57" s="18" t="n">
        <v>111910.03</v>
      </c>
      <c r="Z57" s="37" t="n">
        <v>111910.03</v>
      </c>
      <c r="AA57" s="18" t="n">
        <v>112787.7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7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7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6000</v>
      </c>
      <c r="U59" s="9" t="n"/>
      <c r="V59" s="18" t="n">
        <v>6000</v>
      </c>
      <c r="X59" s="18" t="n">
        <v>0</v>
      </c>
      <c r="Y59" s="18" t="n">
        <v>0</v>
      </c>
      <c r="Z59" s="37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68972.14999999999</v>
      </c>
      <c r="F60" s="9" t="n"/>
      <c r="G60" s="18" t="n">
        <v>72295.75</v>
      </c>
      <c r="H60" s="18" t="n">
        <v>60581.37</v>
      </c>
      <c r="I60" s="18" t="n">
        <v>63166.45</v>
      </c>
      <c r="J60" s="18" t="n">
        <v>59185.75</v>
      </c>
      <c r="K60" s="37" t="n">
        <v>255229.32</v>
      </c>
      <c r="L60" s="18" t="n">
        <v>60542.51</v>
      </c>
      <c r="M60" s="18" t="n">
        <v>51547.95</v>
      </c>
      <c r="N60" s="18" t="n">
        <v>53092.27</v>
      </c>
      <c r="O60" s="18" t="n">
        <v>51072.73</v>
      </c>
      <c r="P60" s="37" t="n">
        <v>216255.46</v>
      </c>
      <c r="Q60" s="18" t="n">
        <v>49991.04</v>
      </c>
      <c r="R60" s="18" t="n">
        <v>55504.69</v>
      </c>
      <c r="S60" s="18" t="n">
        <v>44028.11</v>
      </c>
      <c r="T60" s="18" t="n">
        <v>56318.4</v>
      </c>
      <c r="U60" s="37" t="n">
        <v>205842.24</v>
      </c>
      <c r="V60" s="18" t="n">
        <v>49758.06</v>
      </c>
      <c r="W60" s="18" t="n">
        <v>50110.08</v>
      </c>
      <c r="X60" s="18" t="n">
        <v>50841.03</v>
      </c>
      <c r="Y60" s="18" t="n">
        <v>45695.2</v>
      </c>
      <c r="Z60" s="37" t="n">
        <v>196404.37</v>
      </c>
      <c r="AA60" s="18" t="n">
        <v>61873.64</v>
      </c>
      <c r="AB60" s="19" t="n">
        <v>61757.19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59271.5</v>
      </c>
      <c r="F61" s="9" t="n"/>
      <c r="G61" s="18" t="n">
        <v>67728.53</v>
      </c>
      <c r="H61" s="18" t="n">
        <v>55838.34</v>
      </c>
      <c r="I61" s="18" t="n">
        <v>61631.2</v>
      </c>
      <c r="J61" s="18" t="n">
        <v>56472.84</v>
      </c>
      <c r="K61" s="37" t="n">
        <v>241670.91</v>
      </c>
      <c r="L61" s="18" t="n">
        <v>53902.99</v>
      </c>
      <c r="M61" s="18" t="n">
        <v>47634.08</v>
      </c>
      <c r="N61" s="18" t="n">
        <v>49124.99</v>
      </c>
      <c r="O61" s="18" t="n">
        <v>49228.29</v>
      </c>
      <c r="P61" s="37" t="n">
        <v>199890.35</v>
      </c>
      <c r="Q61" s="18" t="n">
        <v>45842.87</v>
      </c>
      <c r="R61" s="18" t="n">
        <v>51968.34</v>
      </c>
      <c r="S61" s="18" t="n">
        <v>41047.1</v>
      </c>
      <c r="T61" s="18" t="n">
        <v>52280.96</v>
      </c>
      <c r="U61" s="37" t="n">
        <v>191139.27</v>
      </c>
      <c r="V61" s="18" t="n">
        <v>46132.76</v>
      </c>
      <c r="W61" s="18" t="n">
        <v>45498.59</v>
      </c>
      <c r="X61" s="18" t="n">
        <v>46278.41</v>
      </c>
      <c r="Y61" s="18" t="n">
        <v>42474.7</v>
      </c>
      <c r="Z61" s="37" t="n">
        <v>180384.46</v>
      </c>
      <c r="AA61" s="18" t="n">
        <v>57857.85</v>
      </c>
      <c r="AB61" s="19" t="n">
        <v>55278.72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9700.65</v>
      </c>
      <c r="F62" s="9" t="n"/>
      <c r="G62" s="18" t="n">
        <v>4567.22</v>
      </c>
      <c r="H62" s="18" t="n">
        <v>4743.03</v>
      </c>
      <c r="I62" s="18" t="n">
        <v>1535.25</v>
      </c>
      <c r="J62" s="18" t="n">
        <v>2712.91</v>
      </c>
      <c r="K62" s="37" t="n">
        <v>13558.41</v>
      </c>
      <c r="L62" s="18" t="n">
        <v>6639.52</v>
      </c>
      <c r="M62" s="18" t="n">
        <v>3913.87</v>
      </c>
      <c r="N62" s="18" t="n">
        <v>3967.28</v>
      </c>
      <c r="O62" s="18" t="n">
        <v>1844.44</v>
      </c>
      <c r="P62" s="37" t="n">
        <v>16365.11</v>
      </c>
      <c r="Q62" s="18" t="n">
        <v>4148.17</v>
      </c>
      <c r="R62" s="18" t="n">
        <v>3536.36</v>
      </c>
      <c r="S62" s="18" t="n">
        <v>2981.01</v>
      </c>
      <c r="T62" s="18" t="n">
        <v>4037.44</v>
      </c>
      <c r="U62" s="37" t="n">
        <v>14702.98</v>
      </c>
      <c r="V62" s="18" t="n">
        <v>3625.3</v>
      </c>
      <c r="W62" s="18" t="n">
        <v>4611.49</v>
      </c>
      <c r="X62" s="18" t="n">
        <v>4562.62</v>
      </c>
      <c r="Y62" s="18" t="n">
        <v>3220.49</v>
      </c>
      <c r="Z62" s="37" t="n">
        <v>16019.9</v>
      </c>
      <c r="AA62" s="18" t="n">
        <v>4015.79</v>
      </c>
      <c r="AB62" s="19" t="n">
        <v>6478.47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2393.41</v>
      </c>
      <c r="F63" s="9" t="n"/>
      <c r="G63" s="18" t="n">
        <v>2581.49</v>
      </c>
      <c r="H63" s="18" t="n">
        <v>1587.55</v>
      </c>
      <c r="I63" s="18" t="n">
        <v>2275.26</v>
      </c>
      <c r="J63" s="18" t="n">
        <v>3082.37</v>
      </c>
      <c r="K63" s="37" t="n">
        <v>9526.67</v>
      </c>
      <c r="L63" s="18" t="n">
        <v>2938.67</v>
      </c>
      <c r="M63" s="18" t="n">
        <v>2712.19</v>
      </c>
      <c r="N63" s="18" t="n">
        <v>2462.02</v>
      </c>
      <c r="O63" s="18" t="n">
        <v>3392.44</v>
      </c>
      <c r="P63" s="37" t="n">
        <v>11505.32</v>
      </c>
      <c r="Q63" s="18" t="n">
        <v>3766.47</v>
      </c>
      <c r="R63" s="18" t="n">
        <v>3091.87</v>
      </c>
      <c r="S63" s="18" t="n">
        <v>3157.12</v>
      </c>
      <c r="T63" s="18" t="n">
        <v>4020.55</v>
      </c>
      <c r="U63" s="37" t="n">
        <v>14036.01</v>
      </c>
      <c r="V63" s="18" t="n">
        <v>3436.19</v>
      </c>
      <c r="W63" s="18" t="n">
        <v>3071.07</v>
      </c>
      <c r="X63" s="18" t="n">
        <v>3139.05</v>
      </c>
      <c r="Y63" s="18" t="n">
        <v>3194.51</v>
      </c>
      <c r="Z63" s="37" t="n">
        <v>12840.82</v>
      </c>
      <c r="AA63" s="18" t="n">
        <v>3552.51</v>
      </c>
      <c r="AB63" s="19" t="n">
        <v>3622.44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7307.24</v>
      </c>
      <c r="F64" s="9" t="n"/>
      <c r="G64" s="18" t="n">
        <v>1985.73</v>
      </c>
      <c r="H64" s="18" t="n">
        <v>3155.48</v>
      </c>
      <c r="I64" s="18" t="n">
        <v>-740.01</v>
      </c>
      <c r="J64" s="18" t="n">
        <v>-369.46</v>
      </c>
      <c r="K64" s="37" t="n">
        <v>4031.74</v>
      </c>
      <c r="L64" s="18" t="n">
        <v>3700.85</v>
      </c>
      <c r="M64" s="18" t="n">
        <v>1201.68</v>
      </c>
      <c r="N64" s="18" t="n">
        <v>1505.26</v>
      </c>
      <c r="O64" s="18" t="n">
        <v>-1548</v>
      </c>
      <c r="P64" s="37" t="n">
        <v>4859.79</v>
      </c>
      <c r="Q64" s="18" t="n">
        <v>381.7</v>
      </c>
      <c r="R64" s="18" t="n">
        <v>444.49</v>
      </c>
      <c r="S64" s="18" t="n">
        <v>-176.11</v>
      </c>
      <c r="T64" s="18" t="n">
        <v>16.88</v>
      </c>
      <c r="U64" s="37" t="n">
        <v>666.96</v>
      </c>
      <c r="V64" s="18" t="n">
        <v>189.11</v>
      </c>
      <c r="W64" s="18" t="n">
        <v>1540.42</v>
      </c>
      <c r="X64" s="18" t="n">
        <v>1423.57</v>
      </c>
      <c r="Y64" s="18" t="n">
        <v>25.98</v>
      </c>
      <c r="Z64" s="37" t="n">
        <v>3179.08</v>
      </c>
      <c r="AA64" s="18" t="n">
        <v>463.28</v>
      </c>
      <c r="AB64" s="19" t="n">
        <v>2856.03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602.01</v>
      </c>
      <c r="F65" s="9" t="n"/>
      <c r="G65" s="18" t="n">
        <v>924.4</v>
      </c>
      <c r="H65" s="18" t="n">
        <v>140.92</v>
      </c>
      <c r="I65" s="18" t="n">
        <v>-185.45</v>
      </c>
      <c r="J65" s="18" t="n">
        <v>-60.2</v>
      </c>
      <c r="K65" s="37" t="n">
        <v>819.67</v>
      </c>
      <c r="L65" s="18" t="n">
        <v>-213.5</v>
      </c>
      <c r="M65" s="18" t="n">
        <v>-254.44</v>
      </c>
      <c r="N65" s="18" t="n">
        <v>138.37</v>
      </c>
      <c r="O65" s="18" t="n">
        <v>1206.82</v>
      </c>
      <c r="P65" s="37" t="n">
        <v>877.25</v>
      </c>
      <c r="Q65" s="18" t="n">
        <v>162.73</v>
      </c>
      <c r="R65" s="18" t="n">
        <v>347.23</v>
      </c>
      <c r="S65" s="18" t="n">
        <v>-249.06</v>
      </c>
      <c r="T65" s="18" t="n">
        <v>587.13</v>
      </c>
      <c r="U65" s="37" t="n">
        <v>848.03</v>
      </c>
      <c r="V65" s="18" t="n">
        <v>440.83</v>
      </c>
      <c r="W65" s="18" t="n">
        <v>-773.16</v>
      </c>
      <c r="X65" s="18" t="n">
        <v>304.57</v>
      </c>
      <c r="Y65" s="18" t="n">
        <v>148.83</v>
      </c>
      <c r="Z65" s="37" t="n">
        <v>121.07</v>
      </c>
      <c r="AA65" s="18" t="n">
        <v>69.77</v>
      </c>
      <c r="AB65" s="19" t="n">
        <v>-24.83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540.78</v>
      </c>
      <c r="F66" s="9" t="n"/>
      <c r="G66" s="18" t="n">
        <v>579.6</v>
      </c>
      <c r="K66" s="9" t="n"/>
      <c r="L66" s="18" t="n">
        <v>1180.85</v>
      </c>
      <c r="M66" s="18" t="n">
        <v>640.42</v>
      </c>
      <c r="N66" s="18" t="n">
        <v>681.36</v>
      </c>
      <c r="O66" s="18" t="n">
        <v>-504.59</v>
      </c>
      <c r="P66" s="37" t="n">
        <v>1998.04</v>
      </c>
      <c r="Q66" s="18" t="n">
        <v>707.73</v>
      </c>
      <c r="R66" s="18" t="n">
        <v>181.4</v>
      </c>
      <c r="S66" s="18" t="n">
        <v>960.17</v>
      </c>
      <c r="T66" s="18" t="n">
        <v>155.93</v>
      </c>
      <c r="U66" s="37" t="n">
        <v>2005.23</v>
      </c>
      <c r="V66" s="18" t="n">
        <v>692.8200000000001</v>
      </c>
      <c r="W66" s="18" t="n">
        <v>700.47</v>
      </c>
      <c r="X66" s="18" t="n">
        <v>376.62</v>
      </c>
      <c r="Y66" s="18" t="n">
        <v>635.16</v>
      </c>
      <c r="Z66" s="37" t="n">
        <v>2405.07</v>
      </c>
      <c r="AA66" s="18" t="n">
        <v>635.9</v>
      </c>
      <c r="AB66" s="19" t="n">
        <v>669.8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3484.59</v>
      </c>
      <c r="F67" s="9" t="n"/>
      <c r="G67" s="18" t="n">
        <v>399.64</v>
      </c>
      <c r="K67" s="9" t="n"/>
      <c r="L67" s="18" t="n">
        <v>289.13</v>
      </c>
      <c r="M67" s="18" t="n">
        <v>383.73</v>
      </c>
      <c r="N67" s="18" t="n">
        <v>-80.59</v>
      </c>
      <c r="O67" s="18" t="n">
        <v>1550.87</v>
      </c>
      <c r="P67" s="37" t="n">
        <v>2143.14</v>
      </c>
      <c r="Q67" s="18" t="n">
        <v>142.85</v>
      </c>
      <c r="R67" s="18" t="n">
        <v>151.98</v>
      </c>
      <c r="S67" s="18" t="n">
        <v>230.43</v>
      </c>
      <c r="T67" s="18" t="n">
        <v>649.17</v>
      </c>
      <c r="U67" s="37" t="n">
        <v>1174.43</v>
      </c>
      <c r="V67" s="18" t="n">
        <v>348.75</v>
      </c>
      <c r="W67" s="18" t="n">
        <v>2952.86</v>
      </c>
      <c r="X67" s="18" t="n">
        <v>-1018.87</v>
      </c>
      <c r="Y67" s="18" t="n">
        <v>-647.9400000000001</v>
      </c>
      <c r="Z67" s="37" t="n">
        <v>1634.8</v>
      </c>
      <c r="AA67" s="18" t="n">
        <v>293.61</v>
      </c>
      <c r="AB67" s="19" t="n">
        <v>308.42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1583.77</v>
      </c>
      <c r="F68" s="9" t="n"/>
      <c r="G68" s="18" t="n">
        <v>472.97</v>
      </c>
      <c r="K68" s="9" t="n"/>
      <c r="L68" s="18" t="n">
        <v>2568.04</v>
      </c>
      <c r="M68" s="18" t="n">
        <v>1582.86</v>
      </c>
      <c r="N68" s="18" t="n">
        <v>2063.59</v>
      </c>
      <c r="O68" s="18" t="n">
        <v>453.84</v>
      </c>
      <c r="P68" s="37" t="n">
        <v>6668.33</v>
      </c>
      <c r="Q68" s="18" t="n">
        <v>2366.64</v>
      </c>
      <c r="R68" s="18" t="n">
        <v>2179.62</v>
      </c>
      <c r="S68" s="18" t="n">
        <v>34.99</v>
      </c>
      <c r="T68" s="18" t="n">
        <v>4821.97</v>
      </c>
      <c r="U68" s="37" t="n">
        <v>9403.219999999999</v>
      </c>
      <c r="V68" s="18" t="n">
        <v>1300.38</v>
      </c>
      <c r="W68" s="18" t="n">
        <v>1276.74</v>
      </c>
      <c r="X68" s="18" t="n">
        <v>1231.7</v>
      </c>
      <c r="Y68" s="18" t="n">
        <v>1224.25</v>
      </c>
      <c r="Z68" s="37" t="n">
        <v>5033.07</v>
      </c>
      <c r="AA68" s="18" t="n">
        <v>2768.35</v>
      </c>
      <c r="AB68" s="19" t="n">
        <v>1709.87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8898.049999999999</v>
      </c>
      <c r="F69" s="9" t="n"/>
      <c r="G69" s="18" t="n">
        <v>3222.71</v>
      </c>
      <c r="H69" s="18" t="n">
        <v>-670.4299999999999</v>
      </c>
      <c r="I69" s="18" t="n">
        <v>-4932.58</v>
      </c>
      <c r="J69" s="18" t="n">
        <v>2151.96</v>
      </c>
      <c r="K69" s="37" t="n">
        <v>-228.34</v>
      </c>
      <c r="L69" s="18" t="n">
        <v>1310.94</v>
      </c>
      <c r="M69" s="18" t="n">
        <v>-363.94</v>
      </c>
      <c r="N69" s="18" t="n">
        <v>-237.62</v>
      </c>
      <c r="O69" s="18" t="n">
        <v>762.17</v>
      </c>
      <c r="P69" s="37" t="n">
        <v>1471.55</v>
      </c>
      <c r="Q69" s="18" t="n">
        <v>-1642.29</v>
      </c>
      <c r="R69" s="18" t="n">
        <v>-1751.8</v>
      </c>
      <c r="S69" s="18" t="n">
        <v>-371.51</v>
      </c>
      <c r="T69" s="18" t="n">
        <v>-3114.8</v>
      </c>
      <c r="U69" s="37" t="n">
        <v>-6880.4</v>
      </c>
      <c r="V69" s="18" t="n">
        <v>-233.33</v>
      </c>
      <c r="W69" s="18" t="n">
        <v>2360.95</v>
      </c>
      <c r="X69" s="18" t="n">
        <v>-926.27</v>
      </c>
      <c r="Y69" s="18" t="n">
        <v>-1989.93</v>
      </c>
      <c r="Z69" s="37" t="n">
        <v>-788.58</v>
      </c>
      <c r="AA69" s="18" t="n">
        <v>-1606.33</v>
      </c>
      <c r="AB69" s="19" t="n">
        <v>1926.99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1645.43</v>
      </c>
      <c r="F70" s="9" t="n"/>
      <c r="G70" s="18" t="n">
        <v>212.05</v>
      </c>
      <c r="H70" s="18" t="n">
        <v>-226.78</v>
      </c>
      <c r="I70" s="18" t="n">
        <v>118.14</v>
      </c>
      <c r="J70" s="18" t="n">
        <v>966.5</v>
      </c>
      <c r="K70" s="37" t="n">
        <v>1069.91</v>
      </c>
      <c r="L70" s="18" t="n">
        <v>1.5</v>
      </c>
      <c r="M70" s="18" t="n">
        <v>171.55</v>
      </c>
      <c r="N70" s="18" t="n">
        <v>38.45</v>
      </c>
      <c r="O70" s="18" t="n">
        <v>890.6799999999999</v>
      </c>
      <c r="P70" s="37" t="n">
        <v>1102.18</v>
      </c>
      <c r="Q70" s="18" t="n">
        <v>427.89</v>
      </c>
      <c r="R70" s="18" t="n">
        <v>-108.39</v>
      </c>
      <c r="S70" s="18" t="n">
        <v>231.65</v>
      </c>
      <c r="T70" s="18" t="n">
        <v>-2821.45</v>
      </c>
      <c r="U70" s="37" t="n">
        <v>-2270.3</v>
      </c>
      <c r="V70" s="18" t="n">
        <v>-92.77</v>
      </c>
      <c r="W70" s="18" t="n">
        <v>520.36</v>
      </c>
      <c r="X70" s="18" t="n">
        <v>-14.6</v>
      </c>
      <c r="Y70" s="18" t="n">
        <v>-765.87</v>
      </c>
      <c r="Z70" s="37" t="n">
        <v>-352.88</v>
      </c>
      <c r="AA70" s="18" t="n">
        <v>-18.35</v>
      </c>
      <c r="AB70" s="19" t="n">
        <v>217.71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7252.61</v>
      </c>
      <c r="F71" s="9" t="n"/>
      <c r="G71" s="18" t="n">
        <v>3010.66</v>
      </c>
      <c r="H71" s="18" t="n">
        <v>-443.65</v>
      </c>
      <c r="I71" s="18" t="n">
        <v>-5050.72</v>
      </c>
      <c r="J71" s="18" t="n">
        <v>1185.46</v>
      </c>
      <c r="K71" s="37" t="n">
        <v>-1298.25</v>
      </c>
      <c r="L71" s="18" t="n">
        <v>1309.44</v>
      </c>
      <c r="M71" s="18" t="n">
        <v>-535.49</v>
      </c>
      <c r="N71" s="18" t="n">
        <v>-276.07</v>
      </c>
      <c r="O71" s="18" t="n">
        <v>-128.5</v>
      </c>
      <c r="P71" s="37" t="n">
        <v>369.38</v>
      </c>
      <c r="Q71" s="18" t="n">
        <v>-2070.18</v>
      </c>
      <c r="R71" s="18" t="n">
        <v>-1643.41</v>
      </c>
      <c r="S71" s="18" t="n">
        <v>-603.16</v>
      </c>
      <c r="T71" s="18" t="n">
        <v>-293.36</v>
      </c>
      <c r="U71" s="37" t="n">
        <v>-4610.11</v>
      </c>
      <c r="V71" s="18" t="n">
        <v>-140.56</v>
      </c>
      <c r="W71" s="18" t="n">
        <v>1840.59</v>
      </c>
      <c r="X71" s="18" t="n">
        <v>-911.67</v>
      </c>
      <c r="Y71" s="18" t="n">
        <v>-1224.07</v>
      </c>
      <c r="Z71" s="37" t="n">
        <v>-435.71</v>
      </c>
      <c r="AA71" s="18" t="n">
        <v>-1587.98</v>
      </c>
      <c r="AB71" s="19" t="n">
        <v>1709.28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7240.65</v>
      </c>
      <c r="F72" s="9" t="n"/>
      <c r="G72" s="18" t="n">
        <v>3161.47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1900.82</v>
      </c>
      <c r="F73" s="9" t="n"/>
      <c r="G73" s="18" t="n">
        <v>-73.33</v>
      </c>
      <c r="H73" s="18" t="n">
        <v>-4289.1</v>
      </c>
      <c r="I73" s="18" t="n">
        <v>-4672.81</v>
      </c>
      <c r="J73" s="18" t="n">
        <v>2849.02</v>
      </c>
      <c r="K73" s="37" t="n">
        <v>-6186.22</v>
      </c>
      <c r="L73" s="18" t="n">
        <v>-2278.91</v>
      </c>
      <c r="M73" s="18" t="n">
        <v>-1199.13</v>
      </c>
      <c r="N73" s="18" t="n">
        <v>-2144.18</v>
      </c>
      <c r="O73" s="18" t="n">
        <v>1097.03</v>
      </c>
      <c r="P73" s="37" t="n">
        <v>-4525.19</v>
      </c>
      <c r="Q73" s="18" t="n">
        <v>-2223.79</v>
      </c>
      <c r="R73" s="18" t="n">
        <v>-2027.64</v>
      </c>
      <c r="S73" s="18" t="n">
        <v>195.44</v>
      </c>
      <c r="T73" s="18" t="n">
        <v>-4172.8</v>
      </c>
      <c r="U73" s="37" t="n">
        <v>-8228.790000000001</v>
      </c>
      <c r="V73" s="18" t="n">
        <v>-951.63</v>
      </c>
      <c r="W73" s="18" t="n">
        <v>1676.12</v>
      </c>
      <c r="X73" s="18" t="n">
        <v>-2250.57</v>
      </c>
      <c r="Y73" s="18" t="n">
        <v>-1872.19</v>
      </c>
      <c r="Z73" s="37" t="n">
        <v>-3398.27</v>
      </c>
      <c r="AA73" s="18" t="n">
        <v>-2474.74</v>
      </c>
      <c r="AB73" s="19" t="n">
        <v>-1401.45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7" t="n">
        <v>-1298.25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7252.61</v>
      </c>
      <c r="F75" s="9" t="n"/>
      <c r="G75" s="18" t="n">
        <v>3010.66</v>
      </c>
      <c r="H75" s="18" t="n">
        <v>-443.65</v>
      </c>
      <c r="I75" s="18" t="n">
        <v>-5050.72</v>
      </c>
      <c r="J75" s="18" t="n">
        <v>1185.46</v>
      </c>
      <c r="K75" s="37" t="n">
        <v>-1298.25</v>
      </c>
      <c r="L75" s="18" t="n">
        <v>1309.44</v>
      </c>
      <c r="M75" s="18" t="n">
        <v>-535.49</v>
      </c>
      <c r="N75" s="18" t="n">
        <v>-276.07</v>
      </c>
      <c r="O75" s="18" t="n">
        <v>-128.5</v>
      </c>
      <c r="P75" s="37" t="n">
        <v>369.38</v>
      </c>
      <c r="Q75" s="18" t="n">
        <v>-2070.18</v>
      </c>
      <c r="R75" s="18" t="n">
        <v>-1643.41</v>
      </c>
      <c r="S75" s="18" t="n">
        <v>-603.16</v>
      </c>
      <c r="T75" s="18" t="n">
        <v>-293.36</v>
      </c>
      <c r="U75" s="37" t="n">
        <v>-4610.11</v>
      </c>
      <c r="V75" s="18" t="n">
        <v>-140.56</v>
      </c>
      <c r="W75" s="18" t="n">
        <v>1840.59</v>
      </c>
      <c r="X75" s="18" t="n">
        <v>-911.67</v>
      </c>
      <c r="Y75" s="18" t="n">
        <v>-1224.07</v>
      </c>
      <c r="Z75" s="37" t="n">
        <v>-435.71</v>
      </c>
      <c r="AA75" s="18" t="n">
        <v>-1587.98</v>
      </c>
      <c r="AB75" s="19" t="n">
        <v>1709.28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38.47</v>
      </c>
      <c r="H76" s="18" t="n">
        <v>61.82</v>
      </c>
      <c r="I76" s="18" t="n">
        <v>189.2</v>
      </c>
      <c r="J76" s="18" t="n">
        <v>301.99</v>
      </c>
      <c r="K76" s="37" t="n">
        <v>591.48</v>
      </c>
      <c r="L76" s="18" t="n">
        <v>228.6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817.42</v>
      </c>
      <c r="H77" s="18" t="n">
        <v>932.62</v>
      </c>
      <c r="I77" s="18" t="n">
        <v>4693.5</v>
      </c>
      <c r="J77" s="18" t="n">
        <v>1498.57</v>
      </c>
      <c r="K77" s="37" t="n">
        <v>7942.11</v>
      </c>
      <c r="L77" s="18" t="n">
        <v>1797.75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70.84999999999999</v>
      </c>
      <c r="K78" s="9" t="n"/>
      <c r="L78" s="18" t="n">
        <v>19.21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-344.46</v>
      </c>
      <c r="K79" s="9" t="n"/>
      <c r="L79" s="18" t="n">
        <v>698.76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-778.95</v>
      </c>
      <c r="H80" s="18" t="n">
        <v>-870.8</v>
      </c>
      <c r="I80" s="18" t="n">
        <v>-4504.3</v>
      </c>
      <c r="J80" s="18" t="n">
        <v>-1196.58</v>
      </c>
      <c r="K80" s="37" t="n">
        <v>-7350.63</v>
      </c>
      <c r="L80" s="18" t="n">
        <v>-1569.15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F81" s="9" t="n"/>
      <c r="H81" s="18" t="n">
        <v>322.27</v>
      </c>
      <c r="I81" s="18" t="n">
        <v>665.6900000000001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121.83</v>
      </c>
      <c r="I82" s="18" t="n">
        <v>0</v>
      </c>
      <c r="K82" s="9" t="n"/>
      <c r="L82" s="18" t="n">
        <v>-60.89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기타영업외수익</t>
        </is>
      </c>
      <c r="F83" s="9" t="n"/>
      <c r="K83" s="9" t="n"/>
      <c r="L83" s="18" t="n">
        <v>967.35</v>
      </c>
      <c r="M83" s="18" t="n">
        <v>385.98</v>
      </c>
      <c r="N83" s="18" t="n">
        <v>819.73</v>
      </c>
      <c r="O83" s="18" t="n">
        <v>702.23</v>
      </c>
      <c r="P83" s="37" t="n">
        <v>2875.29</v>
      </c>
      <c r="Q83" s="18" t="n">
        <v>870.46</v>
      </c>
      <c r="R83" s="18" t="n">
        <v>528.63</v>
      </c>
      <c r="S83" s="18" t="n">
        <v>711.11</v>
      </c>
      <c r="T83" s="18" t="n">
        <v>743.0599999999999</v>
      </c>
      <c r="U83" s="37" t="n">
        <v>2853.26</v>
      </c>
      <c r="V83" s="18" t="n">
        <v>1133.65</v>
      </c>
      <c r="W83" s="18" t="n">
        <v>-72.69</v>
      </c>
      <c r="X83" s="18" t="n">
        <v>681.1900000000001</v>
      </c>
      <c r="Y83" s="18" t="n">
        <v>783.99</v>
      </c>
      <c r="Z83" s="37" t="n">
        <v>2526.14</v>
      </c>
      <c r="AA83" s="18" t="n">
        <v>705.67</v>
      </c>
      <c r="AB83" s="19" t="n">
        <v>644.97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L84" s="18" t="n">
        <v>41.54</v>
      </c>
      <c r="M84" s="18" t="n">
        <v>-36.17</v>
      </c>
      <c r="N84" s="18" t="n">
        <v>226.54</v>
      </c>
      <c r="O84" s="18" t="n">
        <v>197.62</v>
      </c>
      <c r="P84" s="37" t="n">
        <v>429.53</v>
      </c>
      <c r="Q84" s="18" t="n">
        <v>37.36</v>
      </c>
      <c r="R84" s="18" t="n">
        <v>146.07</v>
      </c>
      <c r="S84" s="18" t="n">
        <v>199.29</v>
      </c>
      <c r="T84" s="18" t="n">
        <v>266.01</v>
      </c>
      <c r="U84" s="37" t="n">
        <v>648.73</v>
      </c>
      <c r="V84" s="18" t="n">
        <v>45.32</v>
      </c>
      <c r="W84" s="18" t="n">
        <v>-19.4</v>
      </c>
      <c r="X84" s="18" t="n">
        <v>0.03</v>
      </c>
      <c r="Y84" s="18" t="n">
        <v>92.18000000000001</v>
      </c>
      <c r="Z84" s="37" t="n">
        <v>118.13</v>
      </c>
      <c r="AA84" s="18" t="n">
        <v>-124.06</v>
      </c>
      <c r="AB84" s="19" t="n">
        <v>-126.13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K85" s="9" t="n"/>
      <c r="L85" s="18" t="n">
        <v>94.39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K86" s="9" t="n"/>
      <c r="L86" s="18" t="n">
        <v>71.53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9622.98</v>
      </c>
      <c r="F87" s="9" t="n"/>
      <c r="G87" s="18" t="n">
        <v>803.41</v>
      </c>
      <c r="H87" s="18" t="n">
        <v>-2837</v>
      </c>
      <c r="I87" s="18" t="n">
        <v>10177.55</v>
      </c>
      <c r="J87" s="18" t="n">
        <v>13224.59</v>
      </c>
      <c r="K87" s="37" t="n">
        <v>21368.55</v>
      </c>
      <c r="L87" s="18" t="n">
        <v>-1917.88</v>
      </c>
      <c r="M87" s="18" t="n">
        <v>1628.53</v>
      </c>
      <c r="N87" s="18" t="n">
        <v>2595.32</v>
      </c>
      <c r="O87" s="18" t="n">
        <v>3415.51</v>
      </c>
      <c r="P87" s="37" t="n">
        <v>5721.48</v>
      </c>
      <c r="Q87" s="18" t="n">
        <v>-1.75</v>
      </c>
      <c r="R87" s="18" t="n">
        <v>-5617.4</v>
      </c>
      <c r="S87" s="18" t="n">
        <v>8728.219999999999</v>
      </c>
      <c r="T87" s="18" t="n">
        <v>170.82</v>
      </c>
      <c r="U87" s="37" t="n">
        <v>3279.89</v>
      </c>
      <c r="V87" s="18" t="n">
        <v>-4243.51</v>
      </c>
      <c r="W87" s="18" t="n">
        <v>4180.77</v>
      </c>
      <c r="X87" s="18" t="n">
        <v>-4896.89</v>
      </c>
      <c r="Y87" s="18" t="n">
        <v>5551.62</v>
      </c>
      <c r="Z87" s="37" t="n">
        <v>591.99</v>
      </c>
      <c r="AA87" s="18" t="n">
        <v>9173.299999999999</v>
      </c>
      <c r="AB87" s="19" t="n">
        <v>3154.04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-61</v>
      </c>
      <c r="F88" s="9" t="n"/>
      <c r="I88" s="18" t="n">
        <v>0</v>
      </c>
      <c r="K88" s="9" t="n"/>
      <c r="N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-1628.14</v>
      </c>
      <c r="F89" s="9" t="n"/>
      <c r="G89" s="18" t="n">
        <v>-320.08</v>
      </c>
      <c r="H89" s="18" t="n">
        <v>-515.28</v>
      </c>
      <c r="I89" s="18" t="n">
        <v>-450.84</v>
      </c>
      <c r="J89" s="18" t="n">
        <v>-6.05</v>
      </c>
      <c r="K89" s="37" t="n">
        <v>-1292.25</v>
      </c>
      <c r="L89" s="18" t="n">
        <v>422.91</v>
      </c>
      <c r="M89" s="18" t="n">
        <v>-19.25</v>
      </c>
      <c r="N89" s="18" t="n">
        <v>-195.18</v>
      </c>
      <c r="O89" s="18" t="n">
        <v>63.52</v>
      </c>
      <c r="P89" s="37" t="n">
        <v>272</v>
      </c>
      <c r="Q89" s="18" t="n">
        <v>89.94</v>
      </c>
      <c r="R89" s="18" t="n">
        <v>-13.56</v>
      </c>
      <c r="S89" s="18" t="n">
        <v>-74.02</v>
      </c>
      <c r="T89" s="18" t="n">
        <v>-38.71</v>
      </c>
      <c r="U89" s="37" t="n">
        <v>-36.35</v>
      </c>
      <c r="V89" s="18" t="n">
        <v>104.63</v>
      </c>
      <c r="W89" s="18" t="n">
        <v>-25.89</v>
      </c>
      <c r="X89" s="18" t="n">
        <v>-59.12</v>
      </c>
      <c r="Y89" s="18" t="n">
        <v>-32.86</v>
      </c>
      <c r="Z89" s="37" t="n">
        <v>-13.24</v>
      </c>
      <c r="AA89" s="18" t="n">
        <v>120.64</v>
      </c>
      <c r="AB89" s="19" t="n">
        <v>-7.33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-1246.16</v>
      </c>
      <c r="F90" s="9" t="n"/>
      <c r="G90" s="18" t="n">
        <v>-9449.74</v>
      </c>
      <c r="H90" s="18" t="n">
        <v>-4577</v>
      </c>
      <c r="I90" s="18" t="n">
        <v>-4926.04</v>
      </c>
      <c r="J90" s="18" t="n">
        <v>-456.24</v>
      </c>
      <c r="K90" s="37" t="n">
        <v>-19409.02</v>
      </c>
      <c r="L90" s="18" t="n">
        <v>9118.08</v>
      </c>
      <c r="M90" s="18" t="n">
        <v>-776.24</v>
      </c>
      <c r="N90" s="18" t="n">
        <v>-996.34</v>
      </c>
      <c r="O90" s="18" t="n">
        <v>-501.51</v>
      </c>
      <c r="P90" s="37" t="n">
        <v>6843.99</v>
      </c>
      <c r="Q90" s="18" t="n">
        <v>-671.61</v>
      </c>
      <c r="R90" s="18" t="n">
        <v>-3136.44</v>
      </c>
      <c r="S90" s="18" t="n">
        <v>-6712.62</v>
      </c>
      <c r="T90" s="18" t="n">
        <v>-2856.76</v>
      </c>
      <c r="U90" s="37" t="n">
        <v>-13377.43</v>
      </c>
      <c r="V90" s="18" t="n">
        <v>-2776.26</v>
      </c>
      <c r="W90" s="18" t="n">
        <v>-887.0700000000001</v>
      </c>
      <c r="X90" s="18" t="n">
        <v>-74.2</v>
      </c>
      <c r="Y90" s="18" t="n">
        <v>-2559.02</v>
      </c>
      <c r="Z90" s="37" t="n">
        <v>-6296.55</v>
      </c>
      <c r="AA90" s="18" t="n">
        <v>1790.08</v>
      </c>
      <c r="AB90" s="19" t="n">
        <v>-7954.02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I91" s="18" t="n">
        <v>340</v>
      </c>
      <c r="J91" s="18" t="n">
        <v>7.48</v>
      </c>
      <c r="K91" s="9" t="n"/>
      <c r="L91" s="18" t="n">
        <v>0</v>
      </c>
      <c r="M91" s="18" t="n">
        <v>0</v>
      </c>
      <c r="N91" s="18" t="n">
        <v>0</v>
      </c>
      <c r="O91" s="18" t="n">
        <v>0</v>
      </c>
      <c r="P91" s="37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Y91" s="18" t="n">
        <v>817.6</v>
      </c>
      <c r="Z91" s="37" t="n">
        <v>817.6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-3631.66</v>
      </c>
      <c r="F92" s="9" t="n"/>
      <c r="G92" s="18" t="n">
        <v>4309.18</v>
      </c>
      <c r="H92" s="18" t="n">
        <v>10020.44</v>
      </c>
      <c r="I92" s="18" t="n">
        <v>-8918.16</v>
      </c>
      <c r="J92" s="18" t="n">
        <v>-7691.82</v>
      </c>
      <c r="K92" s="37" t="n">
        <v>-2280.36</v>
      </c>
      <c r="L92" s="18" t="n">
        <v>-7695.17</v>
      </c>
      <c r="M92" s="18" t="n">
        <v>-2342.28</v>
      </c>
      <c r="N92" s="18" t="n">
        <v>-1556.26</v>
      </c>
      <c r="O92" s="18" t="n">
        <v>-450.71</v>
      </c>
      <c r="P92" s="37" t="n">
        <v>-12044.42</v>
      </c>
      <c r="Q92" s="18" t="n">
        <v>-6135.24</v>
      </c>
      <c r="R92" s="18" t="n">
        <v>11787.63</v>
      </c>
      <c r="S92" s="18" t="n">
        <v>3428.2</v>
      </c>
      <c r="T92" s="18" t="n">
        <v>-313.98</v>
      </c>
      <c r="U92" s="37" t="n">
        <v>8766.610000000001</v>
      </c>
      <c r="V92" s="18" t="n">
        <v>7407.36</v>
      </c>
      <c r="W92" s="18" t="n">
        <v>-5091.59</v>
      </c>
      <c r="X92" s="18" t="n">
        <v>4408.08</v>
      </c>
      <c r="Y92" s="18" t="n">
        <v>-6606.46</v>
      </c>
      <c r="Z92" s="37" t="n">
        <v>117.39</v>
      </c>
      <c r="AA92" s="18" t="n">
        <v>-1599.69</v>
      </c>
      <c r="AB92" s="19" t="n">
        <v>3911.8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156.25</v>
      </c>
      <c r="F93" s="9" t="n"/>
      <c r="I93" s="18" t="n">
        <v>0</v>
      </c>
      <c r="J93" s="18" t="n">
        <v>0</v>
      </c>
      <c r="K93" s="9" t="n"/>
      <c r="L93" s="18" t="n">
        <v>0</v>
      </c>
      <c r="M93" s="18" t="n">
        <v>0</v>
      </c>
      <c r="N93" s="18" t="n">
        <v>4000</v>
      </c>
      <c r="P93" s="9" t="n"/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G94" s="18" t="n">
        <v>20347.2</v>
      </c>
      <c r="K94" s="9" t="n"/>
      <c r="P94" s="9" t="n"/>
      <c r="Q94" s="18" t="n">
        <v>0</v>
      </c>
      <c r="R94" s="18" t="n">
        <v>0</v>
      </c>
      <c r="S94" s="18" t="n">
        <v>6000</v>
      </c>
      <c r="T94" s="18" t="n">
        <v>0</v>
      </c>
      <c r="U94" s="37" t="n">
        <v>6000</v>
      </c>
      <c r="V94" s="18" t="n">
        <v>0</v>
      </c>
      <c r="W94" s="18" t="n">
        <v>0</v>
      </c>
      <c r="X94" s="18" t="n">
        <v>0</v>
      </c>
      <c r="Y94" s="18" t="n">
        <v>0</v>
      </c>
      <c r="Z94" s="37" t="n">
        <v>0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4813.69</v>
      </c>
      <c r="F95" s="9" t="n"/>
      <c r="G95" s="18" t="n">
        <v>-4286.7</v>
      </c>
      <c r="H95" s="18" t="n">
        <v>2555.99</v>
      </c>
      <c r="I95" s="18" t="n">
        <v>-3666.65</v>
      </c>
      <c r="J95" s="18" t="n">
        <v>5022.92</v>
      </c>
      <c r="K95" s="37" t="n">
        <v>-374.44</v>
      </c>
      <c r="L95" s="18" t="n">
        <v>-393.32</v>
      </c>
      <c r="M95" s="18" t="n">
        <v>-1590.17</v>
      </c>
      <c r="N95" s="18" t="n">
        <v>89.69</v>
      </c>
      <c r="O95" s="18" t="n">
        <v>2434.76</v>
      </c>
      <c r="P95" s="37" t="n">
        <v>540.96</v>
      </c>
      <c r="Q95" s="18" t="n">
        <v>-6771.16</v>
      </c>
      <c r="R95" s="18" t="n">
        <v>2744.28</v>
      </c>
      <c r="S95" s="18" t="n">
        <v>5758.84</v>
      </c>
      <c r="T95" s="18" t="n">
        <v>-2955.25</v>
      </c>
      <c r="U95" s="37" t="n">
        <v>-1223.29</v>
      </c>
      <c r="V95" s="18" t="n">
        <v>1445.27</v>
      </c>
      <c r="W95" s="18" t="n">
        <v>-2934.32</v>
      </c>
      <c r="X95" s="18" t="n">
        <v>-582.89</v>
      </c>
      <c r="Y95" s="18" t="n">
        <v>-3756.69</v>
      </c>
      <c r="Z95" s="37" t="n">
        <v>-5828.63</v>
      </c>
      <c r="AA95" s="18" t="n">
        <v>8643.440000000001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154.55</v>
      </c>
      <c r="F96" s="9" t="n"/>
      <c r="G96" s="18" t="n">
        <v>8489.309999999999</v>
      </c>
      <c r="H96" s="18" t="n">
        <v>2636.28</v>
      </c>
      <c r="I96" s="18" t="n">
        <v>-3554.95</v>
      </c>
      <c r="J96" s="18" t="n">
        <v>4830.92</v>
      </c>
      <c r="K96" s="37" t="n">
        <v>12401.56</v>
      </c>
      <c r="L96" s="18" t="n">
        <v>12008.24</v>
      </c>
      <c r="M96" s="18" t="n">
        <v>-1590.16</v>
      </c>
      <c r="N96" s="18" t="n">
        <v>89.68000000000001</v>
      </c>
      <c r="O96" s="18" t="n">
        <v>2434.77</v>
      </c>
      <c r="P96" s="37" t="n">
        <v>12942.53</v>
      </c>
      <c r="Q96" s="18" t="n">
        <v>6171.37</v>
      </c>
      <c r="R96" s="18" t="n">
        <v>2744.27</v>
      </c>
      <c r="S96" s="18" t="n">
        <v>5758.85</v>
      </c>
      <c r="T96" s="18" t="n">
        <v>-2955.26</v>
      </c>
      <c r="U96" s="37" t="n">
        <v>11719.23</v>
      </c>
      <c r="V96" s="18" t="n">
        <v>13164.5</v>
      </c>
      <c r="W96" s="18" t="n">
        <v>-2934.32</v>
      </c>
      <c r="X96" s="18" t="n">
        <v>-582.89</v>
      </c>
      <c r="Y96" s="18" t="n">
        <v>-3756.69</v>
      </c>
      <c r="Z96" s="37" t="n">
        <v>5890.6</v>
      </c>
      <c r="AA96" s="18" t="n">
        <v>14534.04</v>
      </c>
      <c r="AB96" s="19" t="n">
        <v>-121.54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0</v>
      </c>
      <c r="F97" s="9" t="n"/>
      <c r="G97" s="18" t="n">
        <v>1401.18</v>
      </c>
      <c r="H97" s="18" t="n">
        <v>1160.84</v>
      </c>
      <c r="I97" s="18" t="n">
        <v>2199.12</v>
      </c>
      <c r="J97" s="18" t="n">
        <v>2427.86</v>
      </c>
      <c r="K97" s="37" t="n">
        <v>7189</v>
      </c>
      <c r="L97" s="18" t="n">
        <v>159.22</v>
      </c>
      <c r="M97" s="18" t="n">
        <v>838</v>
      </c>
      <c r="N97" s="18" t="n">
        <v>2891.32</v>
      </c>
      <c r="O97" s="18" t="n">
        <v>1873.21</v>
      </c>
      <c r="P97" s="37" t="n">
        <v>5761.75</v>
      </c>
      <c r="Q97" s="18" t="n">
        <v>1744.42</v>
      </c>
      <c r="R97" s="18" t="n">
        <v>1633.23</v>
      </c>
      <c r="S97" s="18" t="n">
        <v>682.52</v>
      </c>
      <c r="T97" s="18" t="n">
        <v>2546.88</v>
      </c>
      <c r="U97" s="37" t="n">
        <v>6607.05</v>
      </c>
      <c r="V97" s="18" t="n">
        <v>26.26</v>
      </c>
      <c r="W97" s="18" t="n">
        <v>917.66</v>
      </c>
      <c r="X97" s="18" t="n">
        <v>959.61</v>
      </c>
      <c r="Y97" s="18" t="n">
        <v>2538.18</v>
      </c>
      <c r="Z97" s="37" t="n">
        <v>4441.71</v>
      </c>
      <c r="AA97" s="18" t="n">
        <v>907.99</v>
      </c>
      <c r="AB97" s="19" t="n">
        <v>1754.02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12.85</v>
      </c>
      <c r="I98" s="18" t="n">
        <v>244.98</v>
      </c>
      <c r="K98" s="9" t="n"/>
      <c r="L98" s="18" t="n">
        <v>71.16</v>
      </c>
      <c r="M98" s="18" t="n">
        <v>0.84</v>
      </c>
      <c r="N98" s="18" t="n">
        <v>4</v>
      </c>
      <c r="O98" s="18" t="n">
        <v>0</v>
      </c>
      <c r="P98" s="37" t="n">
        <v>76</v>
      </c>
      <c r="Q98" s="18" t="n">
        <v>65.02</v>
      </c>
      <c r="S98" s="18" t="n">
        <v>0</v>
      </c>
      <c r="T98" s="18" t="n">
        <v>0</v>
      </c>
      <c r="U98" s="9" t="n"/>
      <c r="V98" s="18" t="n">
        <v>0</v>
      </c>
      <c r="W98" s="18" t="n">
        <v>0</v>
      </c>
      <c r="X98" s="18" t="n">
        <v>0</v>
      </c>
      <c r="Y98" s="18" t="n">
        <v>0</v>
      </c>
      <c r="Z98" s="37" t="n">
        <v>0</v>
      </c>
      <c r="AA98" s="18" t="n">
        <v>57.36</v>
      </c>
      <c r="AB98" s="19" t="n">
        <v>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F99" s="9" t="n"/>
      <c r="G99" s="18" t="n">
        <v>1401.18</v>
      </c>
      <c r="H99" s="18" t="n">
        <v>1160.84</v>
      </c>
      <c r="I99" s="18" t="n">
        <v>1859.12</v>
      </c>
      <c r="J99" s="18" t="n">
        <v>2420.38</v>
      </c>
      <c r="K99" s="37" t="n">
        <v>6841.52</v>
      </c>
      <c r="L99" s="18" t="n">
        <v>159.22</v>
      </c>
      <c r="M99" s="18" t="n">
        <v>838</v>
      </c>
      <c r="N99" s="18" t="n">
        <v>2891.32</v>
      </c>
      <c r="O99" s="18" t="n">
        <v>1873.21</v>
      </c>
      <c r="P99" s="37" t="n">
        <v>5761.75</v>
      </c>
      <c r="Q99" s="18" t="n">
        <v>1744.42</v>
      </c>
      <c r="R99" s="18" t="n">
        <v>1633.23</v>
      </c>
      <c r="S99" s="18" t="n">
        <v>682.52</v>
      </c>
      <c r="T99" s="18" t="n">
        <v>2546.88</v>
      </c>
      <c r="U99" s="37" t="n">
        <v>6607.05</v>
      </c>
      <c r="V99" s="18" t="n">
        <v>26.26</v>
      </c>
      <c r="W99" s="18" t="n">
        <v>917.66</v>
      </c>
      <c r="X99" s="18" t="n">
        <v>959.61</v>
      </c>
      <c r="Y99" s="18" t="n">
        <v>1720.58</v>
      </c>
      <c r="Z99" s="37" t="n">
        <v>3624.11</v>
      </c>
      <c r="AA99" s="18" t="n">
        <v>907.99</v>
      </c>
      <c r="AB99" s="19" t="n">
        <v>1754.02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F100" s="9" t="n"/>
      <c r="G100" s="18" t="n">
        <v>24711.37</v>
      </c>
      <c r="H100" s="18" t="n">
        <v>40827.85</v>
      </c>
      <c r="K100" s="9" t="n"/>
      <c r="L100" s="18" t="n">
        <v>7422.36</v>
      </c>
      <c r="M100" s="18" t="n">
        <v>5525.39</v>
      </c>
      <c r="N100" s="18" t="n">
        <v>1668.31</v>
      </c>
      <c r="O100" s="18" t="n">
        <v>180.28</v>
      </c>
      <c r="P100" s="37" t="n">
        <v>14796.34</v>
      </c>
      <c r="Q100" s="18" t="n">
        <v>5080.7</v>
      </c>
      <c r="R100" s="18" t="n">
        <v>38757.06</v>
      </c>
      <c r="T100" s="18" t="n">
        <v>17654.99</v>
      </c>
      <c r="U100" s="9" t="n"/>
      <c r="V100" s="18" t="n">
        <v>8799.16</v>
      </c>
      <c r="W100" s="18" t="n">
        <v>10000</v>
      </c>
      <c r="X100" s="18" t="n">
        <v>11280.99</v>
      </c>
      <c r="Z100" s="9" t="n"/>
      <c r="AA100" s="18" t="n">
        <v>16300</v>
      </c>
      <c r="AB100" s="19" t="n">
        <v>4000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G101" s="18" t="n">
        <v>0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G102" s="18" t="n">
        <v>0</v>
      </c>
      <c r="H102" s="18" t="n">
        <v>1217.69</v>
      </c>
      <c r="I102" s="18" t="n">
        <v>0</v>
      </c>
      <c r="J102" s="18" t="n">
        <v>0</v>
      </c>
      <c r="K102" s="37" t="n">
        <v>1217.69</v>
      </c>
      <c r="L102" s="18" t="n">
        <v>0</v>
      </c>
      <c r="M102" s="18" t="n">
        <v>730.61</v>
      </c>
      <c r="N102" s="18" t="n">
        <v>0</v>
      </c>
      <c r="O102" s="18" t="n">
        <v>0</v>
      </c>
      <c r="P102" s="37" t="n">
        <v>730.61</v>
      </c>
      <c r="Q102" s="18" t="n">
        <v>730.61</v>
      </c>
      <c r="R102" s="18" t="n">
        <v>0</v>
      </c>
      <c r="S102" s="18" t="n">
        <v>0</v>
      </c>
      <c r="T102" s="18" t="n">
        <v>0</v>
      </c>
      <c r="U102" s="37" t="n">
        <v>730.61</v>
      </c>
      <c r="V102" s="18" t="n">
        <v>243.54</v>
      </c>
      <c r="W102" s="18" t="n">
        <v>0</v>
      </c>
      <c r="X102" s="18" t="n">
        <v>0</v>
      </c>
      <c r="Y102" s="18" t="n">
        <v>0</v>
      </c>
      <c r="Z102" s="37" t="n">
        <v>243.54</v>
      </c>
      <c r="AA102" s="18" t="n">
        <v>712.28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이자지급(CF)</t>
        </is>
      </c>
      <c r="F103" s="9" t="n"/>
      <c r="I103" s="18" t="n">
        <v>-1078.75</v>
      </c>
      <c r="K103" s="9" t="n"/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L104" s="18" t="n">
        <v>86.8</v>
      </c>
      <c r="M104" s="18" t="n">
        <v>86.29000000000001</v>
      </c>
      <c r="O104" s="18" t="n">
        <v>270.43</v>
      </c>
      <c r="P104" s="9" t="n"/>
      <c r="Q104" s="18" t="n">
        <v>323.92</v>
      </c>
      <c r="S104" s="18" t="n">
        <v>82.56</v>
      </c>
      <c r="T104" s="18" t="n">
        <v>83.40000000000001</v>
      </c>
      <c r="U104" s="9" t="n"/>
      <c r="V104" s="18" t="n">
        <v>84.26000000000001</v>
      </c>
      <c r="W104" s="18" t="n">
        <v>85.14</v>
      </c>
      <c r="X104" s="18" t="n">
        <v>172.9</v>
      </c>
      <c r="Y104" s="18" t="n">
        <v>0</v>
      </c>
      <c r="Z104" s="37" t="n">
        <v>342.3</v>
      </c>
      <c r="AA104" s="18" t="n">
        <v>87.41</v>
      </c>
      <c r="AB104" s="19" t="n">
        <v>88.20999999999999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F105" s="9" t="n"/>
      <c r="K105" s="9" t="n"/>
      <c r="P105" s="9" t="n"/>
      <c r="T105" s="18" t="n">
        <v>19391.46</v>
      </c>
      <c r="U105" s="9" t="n"/>
      <c r="V105" s="18" t="n">
        <v>1764</v>
      </c>
      <c r="W105" s="18" t="n">
        <v>13800</v>
      </c>
      <c r="X105" s="18" t="n">
        <v>6400</v>
      </c>
      <c r="Z105" s="9" t="n"/>
      <c r="AA105" s="18" t="n">
        <v>17100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7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7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7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7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7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7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7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7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7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7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7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7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7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7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7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7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7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7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7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7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7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7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7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7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7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7" t="n">
        <v>853.9299999999999</v>
      </c>
      <c r="G12" s="18" t="n">
        <v>1142.6</v>
      </c>
      <c r="J12" s="18" t="n">
        <v>463.78</v>
      </c>
      <c r="K12" s="37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7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7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7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7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7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7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7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7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7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7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7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7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7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7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7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7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7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7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7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7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7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7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7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7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7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7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7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7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7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7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7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7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7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7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7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7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7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7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7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7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7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7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7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7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7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7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7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7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7" t="n">
        <v>10647.08</v>
      </c>
      <c r="G22" s="18" t="n">
        <v>13256.08</v>
      </c>
      <c r="J22" s="18" t="n">
        <v>13281.56</v>
      </c>
      <c r="K22" s="37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7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7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7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7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7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7" t="n">
        <v>98053.34</v>
      </c>
      <c r="Q23" s="18" t="n">
        <v>94213.84</v>
      </c>
      <c r="R23" s="18" t="n">
        <v>107036.14</v>
      </c>
      <c r="S23" s="18" t="n">
        <v>103686.32</v>
      </c>
      <c r="T23" s="18" t="n">
        <v>104940.08</v>
      </c>
      <c r="U23" s="37" t="n">
        <v>104940.08</v>
      </c>
      <c r="V23" s="18" t="n">
        <v>111934.8</v>
      </c>
      <c r="W23" s="18" t="n">
        <v>105669.22</v>
      </c>
      <c r="X23" s="18" t="n">
        <v>117575.85</v>
      </c>
      <c r="Y23" s="18" t="n">
        <v>111705.27</v>
      </c>
      <c r="Z23" s="37" t="n">
        <v>111705.27</v>
      </c>
      <c r="AA23" s="18" t="n">
        <v>112569</v>
      </c>
      <c r="AB23" s="19" t="n">
        <v>117164.55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7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N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7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7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7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7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7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7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7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7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7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7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7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7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7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7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7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7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7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7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7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7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7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7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6000</v>
      </c>
      <c r="T29" s="18" t="n">
        <v>6000</v>
      </c>
      <c r="U29" s="37" t="n">
        <v>6000</v>
      </c>
      <c r="V29" s="18" t="n">
        <v>6000</v>
      </c>
      <c r="W29" s="18" t="n">
        <v>6000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사채</t>
        </is>
      </c>
      <c r="E30" s="18" t="n">
        <v>21317.19</v>
      </c>
      <c r="F30" s="37" t="n">
        <v>21317.19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W30" s="18" t="n">
        <v>0</v>
      </c>
      <c r="X30" s="18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-36.18</v>
      </c>
      <c r="F31" s="37" t="n">
        <v>-36.18</v>
      </c>
      <c r="G31" s="18" t="n">
        <v>710.59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138.85</v>
      </c>
      <c r="W31" s="18" t="n">
        <v>0</v>
      </c>
      <c r="X31" s="18" t="n">
        <v>2.67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33782.27</v>
      </c>
      <c r="F32" s="37" t="n">
        <v>33782.27</v>
      </c>
      <c r="G32" s="18" t="n">
        <v>33782.27</v>
      </c>
      <c r="H32" s="18" t="n">
        <v>33014.89</v>
      </c>
      <c r="I32" s="18" t="n">
        <v>33014.89</v>
      </c>
      <c r="J32" s="18" t="n">
        <v>34796.12</v>
      </c>
      <c r="K32" s="37" t="n">
        <v>34796.12</v>
      </c>
      <c r="L32" s="18" t="n">
        <v>34796.12</v>
      </c>
      <c r="M32" s="18" t="n">
        <v>34880.1</v>
      </c>
      <c r="N32" s="18" t="n">
        <v>34880.1</v>
      </c>
      <c r="O32" s="18" t="n">
        <v>35012.95</v>
      </c>
      <c r="P32" s="37" t="n">
        <v>35012.95</v>
      </c>
      <c r="Q32" s="18" t="n">
        <v>35012.95</v>
      </c>
      <c r="R32" s="18" t="n">
        <v>35432.1</v>
      </c>
      <c r="S32" s="18" t="n">
        <v>35432.1</v>
      </c>
      <c r="T32" s="18" t="n">
        <v>33176.57</v>
      </c>
      <c r="U32" s="37" t="n">
        <v>33176.57</v>
      </c>
      <c r="V32" s="18" t="n">
        <v>33176.57</v>
      </c>
      <c r="W32" s="18" t="n">
        <v>33624.58</v>
      </c>
      <c r="X32" s="18" t="n">
        <v>33624.58</v>
      </c>
      <c r="Y32" s="18" t="n">
        <v>34674.03</v>
      </c>
      <c r="Z32" s="37" t="n">
        <v>34674.03</v>
      </c>
      <c r="AA32" s="18" t="n">
        <v>34674.03</v>
      </c>
      <c r="AB32" s="19" t="n">
        <v>34885.64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기타비유동금융부채</t>
        </is>
      </c>
      <c r="E33" s="18" t="n">
        <v>0</v>
      </c>
      <c r="F33" s="37" t="n">
        <v>0</v>
      </c>
      <c r="G33" s="18" t="n">
        <v>0</v>
      </c>
      <c r="H33" s="18" t="n">
        <v>210.8</v>
      </c>
      <c r="I33" s="18" t="n">
        <v>122.15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1505.9</v>
      </c>
      <c r="U33" s="37" t="n">
        <v>1505.9</v>
      </c>
      <c r="V33" s="18" t="n">
        <v>1505.9</v>
      </c>
      <c r="W33" s="18" t="n">
        <v>1505.9</v>
      </c>
      <c r="X33" s="18" t="n">
        <v>1505.9</v>
      </c>
      <c r="Y33" s="18" t="n">
        <v>1505.9</v>
      </c>
      <c r="Z33" s="37" t="n">
        <v>1505.9</v>
      </c>
      <c r="AA33" s="18" t="n">
        <v>1505.9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0</v>
      </c>
      <c r="F34" s="37" t="n">
        <v>0</v>
      </c>
      <c r="G34" s="18" t="n">
        <v>0</v>
      </c>
      <c r="H34" s="18" t="n">
        <v>210.8</v>
      </c>
      <c r="I34" s="18" t="n">
        <v>122.15</v>
      </c>
      <c r="J34" s="18" t="n">
        <v>112.26</v>
      </c>
      <c r="K34" s="37" t="n">
        <v>112.26</v>
      </c>
      <c r="L34" s="18" t="n">
        <v>0</v>
      </c>
      <c r="M34" s="18" t="n">
        <v>0</v>
      </c>
      <c r="N34" s="18" t="n">
        <v>249.64</v>
      </c>
      <c r="O34" s="18" t="n">
        <v>167.52</v>
      </c>
      <c r="P34" s="37" t="n">
        <v>167.52</v>
      </c>
      <c r="Q34" s="18" t="n">
        <v>84.31</v>
      </c>
      <c r="R34" s="18" t="n">
        <v>0</v>
      </c>
      <c r="S34" s="18" t="n">
        <v>263.38</v>
      </c>
      <c r="T34" s="18" t="n">
        <v>1682.39</v>
      </c>
      <c r="U34" s="37" t="n">
        <v>1682.39</v>
      </c>
      <c r="V34" s="18" t="n">
        <v>1594.6</v>
      </c>
      <c r="W34" s="18" t="n">
        <v>1505.9</v>
      </c>
      <c r="X34" s="18" t="n">
        <v>1777.75</v>
      </c>
      <c r="Y34" s="18" t="n">
        <v>1687.95</v>
      </c>
      <c r="Z34" s="37" t="n">
        <v>1687.95</v>
      </c>
      <c r="AA34" s="18" t="n">
        <v>1597.33</v>
      </c>
      <c r="AB34" s="19" t="n">
        <v>1505.9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154866.44</v>
      </c>
      <c r="F35" s="37" t="n">
        <v>154866.44</v>
      </c>
      <c r="G35" s="18" t="n">
        <v>162640.66</v>
      </c>
      <c r="H35" s="18" t="n">
        <v>171052.21</v>
      </c>
      <c r="I35" s="18" t="n">
        <v>174987.59</v>
      </c>
      <c r="J35" s="18" t="n">
        <v>159460.03</v>
      </c>
      <c r="K35" s="37" t="n">
        <v>159460.03</v>
      </c>
      <c r="L35" s="18" t="n">
        <v>153385.32</v>
      </c>
      <c r="M35" s="18" t="n">
        <v>156186.77</v>
      </c>
      <c r="N35" s="18" t="n">
        <v>163396.37</v>
      </c>
      <c r="O35" s="18" t="n">
        <v>152995.49</v>
      </c>
      <c r="P35" s="37" t="n">
        <v>152995.49</v>
      </c>
      <c r="Q35" s="18" t="n">
        <v>154029.21</v>
      </c>
      <c r="R35" s="18" t="n">
        <v>161757.41</v>
      </c>
      <c r="S35" s="18" t="n">
        <v>162266.69</v>
      </c>
      <c r="T35" s="18" t="n">
        <v>166985.18</v>
      </c>
      <c r="U35" s="37" t="n">
        <v>166985.18</v>
      </c>
      <c r="V35" s="18" t="n">
        <v>171347.25</v>
      </c>
      <c r="W35" s="18" t="n">
        <v>164747.88</v>
      </c>
      <c r="X35" s="18" t="n">
        <v>174579.27</v>
      </c>
      <c r="Y35" s="18" t="n">
        <v>167957.12</v>
      </c>
      <c r="Z35" s="37" t="n">
        <v>167957.12</v>
      </c>
      <c r="AA35" s="18" t="n">
        <v>174058.56</v>
      </c>
      <c r="AB35" s="19" t="n">
        <v>200591.34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13348.73</v>
      </c>
      <c r="F36" s="37" t="n">
        <v>13348.73</v>
      </c>
      <c r="G36" s="18" t="n">
        <v>13348.73</v>
      </c>
      <c r="H36" s="18" t="n">
        <v>13348.73</v>
      </c>
      <c r="I36" s="18" t="n">
        <v>13348.73</v>
      </c>
      <c r="J36" s="18" t="n">
        <v>13348.73</v>
      </c>
      <c r="K36" s="37" t="n">
        <v>13348.73</v>
      </c>
      <c r="L36" s="18" t="n">
        <v>13348.73</v>
      </c>
      <c r="M36" s="18" t="n">
        <v>13348.73</v>
      </c>
      <c r="N36" s="18" t="n">
        <v>13348.73</v>
      </c>
      <c r="O36" s="18" t="n">
        <v>13348.73</v>
      </c>
      <c r="P36" s="37" t="n">
        <v>13348.73</v>
      </c>
      <c r="Q36" s="18" t="n">
        <v>13348.73</v>
      </c>
      <c r="R36" s="18" t="n">
        <v>13348.73</v>
      </c>
      <c r="S36" s="18" t="n">
        <v>13348.73</v>
      </c>
      <c r="T36" s="18" t="n">
        <v>13348.73</v>
      </c>
      <c r="U36" s="37" t="n">
        <v>13348.73</v>
      </c>
      <c r="V36" s="18" t="n">
        <v>13348.73</v>
      </c>
      <c r="W36" s="18" t="n">
        <v>13348.73</v>
      </c>
      <c r="X36" s="18" t="n">
        <v>13348.73</v>
      </c>
      <c r="Y36" s="18" t="n">
        <v>13348.73</v>
      </c>
      <c r="Z36" s="37" t="n">
        <v>13348.73</v>
      </c>
      <c r="AA36" s="18" t="n">
        <v>13348.73</v>
      </c>
      <c r="AB36" s="19" t="n">
        <v>13348.73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11140.41</v>
      </c>
      <c r="F37" s="37" t="n">
        <v>11140.41</v>
      </c>
      <c r="G37" s="18" t="n">
        <v>11140.41</v>
      </c>
      <c r="H37" s="18" t="n">
        <v>11140.41</v>
      </c>
      <c r="I37" s="18" t="n">
        <v>11140.41</v>
      </c>
      <c r="J37" s="18" t="n">
        <v>11140.41</v>
      </c>
      <c r="K37" s="37" t="n">
        <v>11140.41</v>
      </c>
      <c r="L37" s="18" t="n">
        <v>11140.41</v>
      </c>
      <c r="M37" s="18" t="n">
        <v>11140.41</v>
      </c>
      <c r="N37" s="18" t="n">
        <v>11140.41</v>
      </c>
      <c r="O37" s="18" t="n">
        <v>11140.41</v>
      </c>
      <c r="P37" s="37" t="n">
        <v>11140.41</v>
      </c>
      <c r="Q37" s="18" t="n">
        <v>11140.41</v>
      </c>
      <c r="R37" s="18" t="n">
        <v>11140.41</v>
      </c>
      <c r="S37" s="18" t="n">
        <v>11140.41</v>
      </c>
      <c r="T37" s="18" t="n">
        <v>11140.41</v>
      </c>
      <c r="U37" s="37" t="n">
        <v>11140.41</v>
      </c>
      <c r="V37" s="18" t="n">
        <v>11140.41</v>
      </c>
      <c r="W37" s="18" t="n">
        <v>9948.950000000001</v>
      </c>
      <c r="X37" s="18" t="n">
        <v>9948.950000000001</v>
      </c>
      <c r="Y37" s="18" t="n">
        <v>14513.78</v>
      </c>
      <c r="Z37" s="37" t="n">
        <v>14513.78</v>
      </c>
      <c r="AA37" s="18" t="n">
        <v>14513.78</v>
      </c>
      <c r="AB37" s="19" t="n">
        <v>14513.78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148994.34</v>
      </c>
      <c r="F38" s="37" t="n">
        <v>148994.34</v>
      </c>
      <c r="G38" s="18" t="n">
        <v>151197.62</v>
      </c>
      <c r="H38" s="18" t="n">
        <v>149475.92</v>
      </c>
      <c r="I38" s="18" t="n">
        <v>143895.6</v>
      </c>
      <c r="J38" s="18" t="n">
        <v>144613</v>
      </c>
      <c r="K38" s="37" t="n">
        <v>144613</v>
      </c>
      <c r="L38" s="18" t="n">
        <v>144990.53</v>
      </c>
      <c r="M38" s="18" t="n">
        <v>144694.54</v>
      </c>
      <c r="N38" s="18" t="n">
        <v>143578.91</v>
      </c>
      <c r="O38" s="18" t="n">
        <v>143195.25</v>
      </c>
      <c r="P38" s="37" t="n">
        <v>143195.25</v>
      </c>
      <c r="Q38" s="18" t="n">
        <v>140633.35</v>
      </c>
      <c r="R38" s="18" t="n">
        <v>138536.34</v>
      </c>
      <c r="S38" s="18" t="n">
        <v>137914.57</v>
      </c>
      <c r="T38" s="18" t="n">
        <v>135102.98</v>
      </c>
      <c r="U38" s="37" t="n">
        <v>135102.98</v>
      </c>
      <c r="V38" s="18" t="n">
        <v>134460.23</v>
      </c>
      <c r="W38" s="18" t="n">
        <v>136673.91</v>
      </c>
      <c r="X38" s="18" t="n">
        <v>136081.32</v>
      </c>
      <c r="Y38" s="18" t="n">
        <v>135033</v>
      </c>
      <c r="Z38" s="37" t="n">
        <v>135033</v>
      </c>
      <c r="AA38" s="18" t="n">
        <v>132568.77</v>
      </c>
      <c r="AB38" s="19" t="n">
        <v>134059.44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173337.65</v>
      </c>
      <c r="F39" s="37" t="n">
        <v>173337.65</v>
      </c>
      <c r="G39" s="18" t="n">
        <v>175542.21</v>
      </c>
      <c r="H39" s="18" t="n">
        <v>173814.63</v>
      </c>
      <c r="I39" s="18" t="n">
        <v>168230.23</v>
      </c>
      <c r="J39" s="18" t="n">
        <v>168944.1</v>
      </c>
      <c r="K39" s="37" t="n">
        <v>168944.1</v>
      </c>
      <c r="L39" s="18" t="n">
        <v>169316.31</v>
      </c>
      <c r="M39" s="18" t="n">
        <v>169023.96</v>
      </c>
      <c r="N39" s="18" t="n">
        <v>167909.1</v>
      </c>
      <c r="O39" s="18" t="n">
        <v>167526.03</v>
      </c>
      <c r="P39" s="37" t="n">
        <v>167526.03</v>
      </c>
      <c r="Q39" s="18" t="n">
        <v>164968.32</v>
      </c>
      <c r="R39" s="18" t="n">
        <v>162870.25</v>
      </c>
      <c r="S39" s="18" t="n">
        <v>162244.65</v>
      </c>
      <c r="T39" s="18" t="n">
        <v>159433.91</v>
      </c>
      <c r="U39" s="37" t="n">
        <v>159433.91</v>
      </c>
      <c r="V39" s="18" t="n">
        <v>158790.35</v>
      </c>
      <c r="W39" s="18" t="n">
        <v>159813.63</v>
      </c>
      <c r="X39" s="18" t="n">
        <v>159370.29</v>
      </c>
      <c r="Y39" s="18" t="n">
        <v>156433.92</v>
      </c>
      <c r="Z39" s="37" t="n">
        <v>156433.92</v>
      </c>
      <c r="AA39" s="18" t="n">
        <v>153969.68</v>
      </c>
      <c r="AB39" s="19" t="n">
        <v>155460.35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328204.09</v>
      </c>
      <c r="F40" s="37" t="n">
        <v>328204.09</v>
      </c>
      <c r="G40" s="18" t="n">
        <v>338182.87</v>
      </c>
      <c r="H40" s="18" t="n">
        <v>344866.84</v>
      </c>
      <c r="I40" s="18" t="n">
        <v>343217.83</v>
      </c>
      <c r="J40" s="18" t="n">
        <v>328404.14</v>
      </c>
      <c r="K40" s="37" t="n">
        <v>328404.14</v>
      </c>
      <c r="L40" s="18" t="n">
        <v>322701.63</v>
      </c>
      <c r="M40" s="18" t="n">
        <v>325210.72</v>
      </c>
      <c r="N40" s="18" t="n">
        <v>331305.48</v>
      </c>
      <c r="O40" s="18" t="n">
        <v>320521.52</v>
      </c>
      <c r="P40" s="37" t="n">
        <v>320521.52</v>
      </c>
      <c r="Q40" s="18" t="n">
        <v>318997.53</v>
      </c>
      <c r="R40" s="18" t="n">
        <v>324627.66</v>
      </c>
      <c r="S40" s="18" t="n">
        <v>324511.34</v>
      </c>
      <c r="T40" s="18" t="n">
        <v>326419.09</v>
      </c>
      <c r="U40" s="37" t="n">
        <v>326419.09</v>
      </c>
      <c r="V40" s="18" t="n">
        <v>330137.61</v>
      </c>
      <c r="W40" s="18" t="n">
        <v>324561.51</v>
      </c>
      <c r="X40" s="18" t="n">
        <v>333949.57</v>
      </c>
      <c r="Y40" s="18" t="n">
        <v>324391.04</v>
      </c>
      <c r="Z40" s="37" t="n">
        <v>324391.04</v>
      </c>
      <c r="AA40" s="18" t="n">
        <v>328028.24</v>
      </c>
      <c r="AB40" s="19" t="n">
        <v>356051.69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173337.65</v>
      </c>
      <c r="F41" s="37" t="n">
        <v>173337.65</v>
      </c>
      <c r="G41" s="18" t="n">
        <v>175542.21</v>
      </c>
      <c r="H41" s="18" t="n">
        <v>173814.63</v>
      </c>
      <c r="I41" s="18" t="n">
        <v>168230.23</v>
      </c>
      <c r="J41" s="18" t="n">
        <v>168944.1</v>
      </c>
      <c r="K41" s="37" t="n">
        <v>168944.1</v>
      </c>
      <c r="L41" s="18" t="n">
        <v>169316.31</v>
      </c>
      <c r="M41" s="18" t="n">
        <v>169023.96</v>
      </c>
      <c r="N41" s="18" t="n">
        <v>167909.1</v>
      </c>
      <c r="O41" s="18" t="n">
        <v>167526.03</v>
      </c>
      <c r="P41" s="37" t="n">
        <v>167526.03</v>
      </c>
      <c r="Q41" s="18" t="n">
        <v>164968.32</v>
      </c>
      <c r="R41" s="18" t="n">
        <v>162870.25</v>
      </c>
      <c r="S41" s="18" t="n">
        <v>162244.65</v>
      </c>
      <c r="T41" s="18" t="n">
        <v>159433.91</v>
      </c>
      <c r="U41" s="37" t="n">
        <v>159433.91</v>
      </c>
      <c r="V41" s="18" t="n">
        <v>158790.35</v>
      </c>
      <c r="W41" s="18" t="n">
        <v>159813.63</v>
      </c>
      <c r="X41" s="18" t="n">
        <v>159370.29</v>
      </c>
      <c r="Y41" s="18" t="n">
        <v>156433.92</v>
      </c>
      <c r="Z41" s="37" t="n">
        <v>156433.92</v>
      </c>
      <c r="AA41" s="18" t="n">
        <v>153969.68</v>
      </c>
      <c r="AB41" s="19" t="n">
        <v>155460.35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105927.31</v>
      </c>
      <c r="F42" s="37" t="n">
        <v>105927.31</v>
      </c>
      <c r="G42" s="18" t="n">
        <v>109915.77</v>
      </c>
      <c r="H42" s="18" t="n">
        <v>123632.89</v>
      </c>
      <c r="I42" s="18" t="n">
        <v>118961.94</v>
      </c>
      <c r="J42" s="18" t="n">
        <v>106970.5</v>
      </c>
      <c r="K42" s="37" t="n">
        <v>106970.5</v>
      </c>
      <c r="L42" s="18" t="n">
        <v>101053.95</v>
      </c>
      <c r="M42" s="18" t="n">
        <v>99726.24000000001</v>
      </c>
      <c r="N42" s="18" t="n">
        <v>99061.28999999999</v>
      </c>
      <c r="O42" s="18" t="n">
        <v>98053.34</v>
      </c>
      <c r="P42" s="37" t="n">
        <v>98053.34</v>
      </c>
      <c r="Q42" s="18" t="n">
        <v>94213.84</v>
      </c>
      <c r="R42" s="18" t="n">
        <v>107036.14</v>
      </c>
      <c r="S42" s="18" t="n">
        <v>109686.32</v>
      </c>
      <c r="T42" s="18" t="n">
        <v>110940.08</v>
      </c>
      <c r="U42" s="37" t="n">
        <v>110940.08</v>
      </c>
      <c r="V42" s="18" t="n">
        <v>117934.8</v>
      </c>
      <c r="W42" s="18" t="n">
        <v>111669.22</v>
      </c>
      <c r="X42" s="18" t="n">
        <v>117575.85</v>
      </c>
      <c r="Y42" s="18" t="n">
        <v>111705.27</v>
      </c>
      <c r="Z42" s="37" t="n">
        <v>111705.27</v>
      </c>
      <c r="AA42" s="18" t="n">
        <v>112569</v>
      </c>
      <c r="AB42" s="19" t="n">
        <v>117164.55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79717.08</v>
      </c>
      <c r="F43" s="37" t="n">
        <v>79717.08</v>
      </c>
      <c r="G43" s="18" t="n">
        <v>79921.89999999999</v>
      </c>
      <c r="H43" s="18" t="n">
        <v>115282.66</v>
      </c>
      <c r="I43" s="18" t="n">
        <v>114319.35</v>
      </c>
      <c r="J43" s="18" t="n">
        <v>68859.3</v>
      </c>
      <c r="K43" s="37" t="n">
        <v>68859.3</v>
      </c>
      <c r="L43" s="18" t="n">
        <v>72834.11</v>
      </c>
      <c r="M43" s="18" t="n">
        <v>72914.22</v>
      </c>
      <c r="N43" s="18" t="n">
        <v>73519.05</v>
      </c>
      <c r="O43" s="18" t="n">
        <v>69592.62</v>
      </c>
      <c r="P43" s="37" t="n">
        <v>69592.62</v>
      </c>
      <c r="Q43" s="18" t="n">
        <v>72871.23</v>
      </c>
      <c r="R43" s="18" t="n">
        <v>82733.37</v>
      </c>
      <c r="S43" s="18" t="n">
        <v>78930.38</v>
      </c>
      <c r="T43" s="18" t="n">
        <v>78037.37</v>
      </c>
      <c r="U43" s="37" t="n">
        <v>78037.37</v>
      </c>
      <c r="V43" s="18" t="n">
        <v>81466.82000000001</v>
      </c>
      <c r="W43" s="18" t="n">
        <v>78586.63</v>
      </c>
      <c r="X43" s="18" t="n">
        <v>85849.89</v>
      </c>
      <c r="Y43" s="18" t="n">
        <v>83195.16</v>
      </c>
      <c r="Z43" s="37" t="n">
        <v>83195.16</v>
      </c>
      <c r="AA43" s="18" t="n">
        <v>77554.82000000001</v>
      </c>
      <c r="AB43" s="19" t="n">
        <v>76147.89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28232.43</v>
      </c>
      <c r="F44" s="37" t="n">
        <v>28232.43</v>
      </c>
      <c r="G44" s="18" t="n">
        <v>32017.97</v>
      </c>
      <c r="H44" s="18" t="n">
        <v>11052.2</v>
      </c>
      <c r="I44" s="18" t="n">
        <v>7344.56</v>
      </c>
      <c r="J44" s="18" t="n">
        <v>40862.97</v>
      </c>
      <c r="K44" s="37" t="n">
        <v>40862.97</v>
      </c>
      <c r="L44" s="18" t="n">
        <v>30959.52</v>
      </c>
      <c r="M44" s="18" t="n">
        <v>29657.56</v>
      </c>
      <c r="N44" s="18" t="n">
        <v>28293.31</v>
      </c>
      <c r="O44" s="18" t="n">
        <v>30867.43</v>
      </c>
      <c r="P44" s="37" t="n">
        <v>30867.43</v>
      </c>
      <c r="Q44" s="18" t="n">
        <v>23776.33</v>
      </c>
      <c r="R44" s="18" t="n">
        <v>28192.45</v>
      </c>
      <c r="S44" s="18" t="n">
        <v>34613.07</v>
      </c>
      <c r="T44" s="18" t="n">
        <v>36998.08</v>
      </c>
      <c r="U44" s="37" t="n">
        <v>36998.08</v>
      </c>
      <c r="V44" s="18" t="n">
        <v>41316.4</v>
      </c>
      <c r="W44" s="18" t="n">
        <v>38042.46</v>
      </c>
      <c r="X44" s="18" t="n">
        <v>36485.77</v>
      </c>
      <c r="Y44" s="18" t="n">
        <v>33017.21</v>
      </c>
      <c r="Z44" s="37" t="n">
        <v>33017.21</v>
      </c>
      <c r="AA44" s="18" t="n">
        <v>38925.15</v>
      </c>
      <c r="AB44" s="19" t="n">
        <v>44927.4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27725.96</v>
      </c>
      <c r="I45" s="18" t="n">
        <v>29301.11</v>
      </c>
      <c r="J45" s="18" t="n">
        <v>0</v>
      </c>
      <c r="K45" s="37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37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37" t="n">
        <v>0</v>
      </c>
      <c r="V45" s="18" t="n">
        <v>0</v>
      </c>
      <c r="W45" s="18" t="n">
        <v>0</v>
      </c>
      <c r="X45" s="18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H46" s="18" t="n">
        <v>501.19</v>
      </c>
      <c r="I46" s="18" t="n">
        <v>499.57</v>
      </c>
      <c r="J46" s="18" t="n">
        <v>502.49</v>
      </c>
      <c r="K46" s="37" t="n">
        <v>502.49</v>
      </c>
      <c r="L46" s="18" t="n">
        <v>509.45</v>
      </c>
      <c r="M46" s="18" t="n">
        <v>511.52</v>
      </c>
      <c r="N46" s="18" t="n">
        <v>513.77</v>
      </c>
      <c r="O46" s="18" t="n">
        <v>528.29</v>
      </c>
      <c r="P46" s="37" t="n">
        <v>528.29</v>
      </c>
      <c r="Q46" s="18" t="n">
        <v>0</v>
      </c>
      <c r="R46" s="18" t="n">
        <v>0</v>
      </c>
      <c r="S46" s="18" t="n">
        <v>5000</v>
      </c>
      <c r="T46" s="18" t="n">
        <v>0</v>
      </c>
      <c r="U46" s="37" t="n">
        <v>0</v>
      </c>
      <c r="V46" s="18" t="n">
        <v>0</v>
      </c>
      <c r="X46" s="18" t="n">
        <v>0</v>
      </c>
      <c r="Y46" s="18" t="n">
        <v>0.04</v>
      </c>
      <c r="Z46" s="37" t="n">
        <v>0.04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H47" s="18" t="n">
        <v>492.57</v>
      </c>
      <c r="I47" s="18" t="n">
        <v>570.76</v>
      </c>
      <c r="J47" s="18" t="n">
        <v>841.2</v>
      </c>
      <c r="K47" s="37" t="n">
        <v>841.2</v>
      </c>
      <c r="L47" s="18" t="n">
        <v>707.8099999999999</v>
      </c>
      <c r="M47" s="18" t="n">
        <v>734.42</v>
      </c>
      <c r="N47" s="18" t="n">
        <v>601.04</v>
      </c>
      <c r="O47" s="18" t="n">
        <v>691.54</v>
      </c>
      <c r="P47" s="37" t="n">
        <v>691.54</v>
      </c>
      <c r="Q47" s="18" t="n">
        <v>547.76</v>
      </c>
      <c r="R47" s="18" t="n">
        <v>384.09</v>
      </c>
      <c r="S47" s="18" t="n">
        <v>230.8</v>
      </c>
      <c r="T47" s="18" t="n">
        <v>43.06</v>
      </c>
      <c r="U47" s="37" t="n">
        <v>43.06</v>
      </c>
      <c r="V47" s="18" t="n">
        <v>0</v>
      </c>
      <c r="W47" s="18" t="n">
        <v>179.24</v>
      </c>
      <c r="X47" s="18" t="n">
        <v>0</v>
      </c>
      <c r="Y47" s="18" t="n">
        <v>948.27</v>
      </c>
      <c r="Z47" s="37" t="n">
        <v>948.27</v>
      </c>
      <c r="AA47" s="18" t="n">
        <v>780.28</v>
      </c>
      <c r="AB47" s="19" t="n">
        <v>822.28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H48" s="18" t="n">
        <v>513.98</v>
      </c>
      <c r="I48" s="18" t="n">
        <v>65.62</v>
      </c>
      <c r="J48" s="18" t="n">
        <v>3.35</v>
      </c>
      <c r="K48" s="37" t="n">
        <v>3.35</v>
      </c>
      <c r="L48" s="18" t="n">
        <v>0</v>
      </c>
      <c r="M48" s="18" t="n">
        <v>98.98</v>
      </c>
      <c r="N48" s="18" t="n">
        <v>98.98</v>
      </c>
      <c r="O48" s="18" t="n">
        <v>0</v>
      </c>
      <c r="P48" s="37" t="n">
        <v>0</v>
      </c>
      <c r="Q48" s="18" t="n">
        <v>-62.83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0.49</v>
      </c>
      <c r="Z48" s="37" t="n">
        <v>0.49</v>
      </c>
      <c r="AA48" s="18" t="n">
        <v>0.04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7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7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7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7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7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7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7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7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7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7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7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7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7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7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7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7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7" t="n">
        <v>98053.34</v>
      </c>
      <c r="Q53" s="18" t="n">
        <v>94213.84</v>
      </c>
      <c r="R53" s="18" t="n">
        <v>107036.14</v>
      </c>
      <c r="S53" s="18" t="n">
        <v>103686.32</v>
      </c>
      <c r="T53" s="18" t="n">
        <v>104940.08</v>
      </c>
      <c r="U53" s="37" t="n">
        <v>104940.08</v>
      </c>
      <c r="V53" s="18" t="n">
        <v>111934.8</v>
      </c>
      <c r="W53" s="18" t="n">
        <v>105669.22</v>
      </c>
      <c r="X53" s="18" t="n">
        <v>117575.85</v>
      </c>
      <c r="Y53" s="18" t="n">
        <v>111705.27</v>
      </c>
      <c r="Z53" s="37" t="n">
        <v>111705.27</v>
      </c>
      <c r="AA53" s="18" t="n">
        <v>112569</v>
      </c>
      <c r="AB53" s="19" t="n">
        <v>117164.55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S55" s="18" t="n">
        <v>6000</v>
      </c>
      <c r="T55" s="18" t="n">
        <v>6000</v>
      </c>
      <c r="U55" s="37" t="n">
        <v>6000</v>
      </c>
      <c r="V55" s="18" t="n">
        <v>6000</v>
      </c>
      <c r="W55" s="18" t="n">
        <v>6000</v>
      </c>
      <c r="X55" s="18" t="n">
        <v>0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-1896.77</v>
      </c>
      <c r="Z56" s="37" t="n">
        <v>-1896.77</v>
      </c>
      <c r="AA56" s="18" t="n">
        <v>-1896.77</v>
      </c>
      <c r="AB56" s="19" t="n">
        <v>-1896.77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66146.78999999999</v>
      </c>
      <c r="F57" s="9" t="n"/>
      <c r="G57" s="18" t="n">
        <v>69565.95</v>
      </c>
      <c r="H57" s="18" t="n">
        <v>58293.26</v>
      </c>
      <c r="I57" s="18" t="n">
        <v>59866.52</v>
      </c>
      <c r="J57" s="18" t="n">
        <v>54186.08</v>
      </c>
      <c r="K57" s="37" t="n">
        <v>241911.81</v>
      </c>
      <c r="L57" s="18" t="n">
        <v>57458.81</v>
      </c>
      <c r="M57" s="18" t="n">
        <v>48614.22</v>
      </c>
      <c r="N57" s="18" t="n">
        <v>48611.2</v>
      </c>
      <c r="O57" s="18" t="n">
        <v>46401.11</v>
      </c>
      <c r="P57" s="37" t="n">
        <v>201085.34</v>
      </c>
      <c r="Q57" s="18" t="n">
        <v>46198</v>
      </c>
      <c r="R57" s="18" t="n">
        <v>49841.3</v>
      </c>
      <c r="S57" s="18" t="n">
        <v>38203.5</v>
      </c>
      <c r="T57" s="18" t="n">
        <v>48723.46</v>
      </c>
      <c r="U57" s="37" t="n">
        <v>182966.26</v>
      </c>
      <c r="V57" s="18" t="n">
        <v>43671.02</v>
      </c>
      <c r="W57" s="18" t="n">
        <v>45976.78</v>
      </c>
      <c r="X57" s="18" t="n">
        <v>46050.96</v>
      </c>
      <c r="Y57" s="18" t="n">
        <v>40597.32</v>
      </c>
      <c r="Z57" s="37" t="n">
        <v>176296.08</v>
      </c>
      <c r="AA57" s="18" t="n">
        <v>57647.41</v>
      </c>
      <c r="AB57" s="19" t="n">
        <v>57497.5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56793.96</v>
      </c>
      <c r="F58" s="9" t="n"/>
      <c r="G58" s="18" t="n">
        <v>65319.72</v>
      </c>
      <c r="H58" s="18" t="n">
        <v>53679.31</v>
      </c>
      <c r="I58" s="18" t="n">
        <v>58757.1</v>
      </c>
      <c r="J58" s="18" t="n">
        <v>52720.96</v>
      </c>
      <c r="K58" s="37" t="n">
        <v>230477.09</v>
      </c>
      <c r="L58" s="18" t="n">
        <v>51256.22</v>
      </c>
      <c r="M58" s="18" t="n">
        <v>45082.43</v>
      </c>
      <c r="N58" s="18" t="n">
        <v>45625.48</v>
      </c>
      <c r="O58" s="18" t="n">
        <v>44904.75</v>
      </c>
      <c r="P58" s="37" t="n">
        <v>186868.88</v>
      </c>
      <c r="Q58" s="18" t="n">
        <v>42669.17</v>
      </c>
      <c r="R58" s="18" t="n">
        <v>47205.72</v>
      </c>
      <c r="S58" s="18" t="n">
        <v>36679.47</v>
      </c>
      <c r="T58" s="18" t="n">
        <v>45798.77</v>
      </c>
      <c r="U58" s="37" t="n">
        <v>172353.13</v>
      </c>
      <c r="V58" s="18" t="n">
        <v>41095.32</v>
      </c>
      <c r="W58" s="18" t="n">
        <v>42004.04</v>
      </c>
      <c r="X58" s="18" t="n">
        <v>42313.7</v>
      </c>
      <c r="Y58" s="18" t="n">
        <v>38357.31</v>
      </c>
      <c r="Z58" s="37" t="n">
        <v>163770.37</v>
      </c>
      <c r="AA58" s="18" t="n">
        <v>54347.59</v>
      </c>
      <c r="AB58" s="19" t="n">
        <v>51612.08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9352.83</v>
      </c>
      <c r="F59" s="9" t="n"/>
      <c r="G59" s="18" t="n">
        <v>4246.24</v>
      </c>
      <c r="H59" s="18" t="n">
        <v>4613.95</v>
      </c>
      <c r="I59" s="18" t="n">
        <v>1109.42</v>
      </c>
      <c r="J59" s="18" t="n">
        <v>1465.12</v>
      </c>
      <c r="K59" s="37" t="n">
        <v>11434.73</v>
      </c>
      <c r="L59" s="18" t="n">
        <v>6202.59</v>
      </c>
      <c r="M59" s="18" t="n">
        <v>3531.79</v>
      </c>
      <c r="N59" s="18" t="n">
        <v>2985.72</v>
      </c>
      <c r="O59" s="18" t="n">
        <v>1496.36</v>
      </c>
      <c r="P59" s="37" t="n">
        <v>14216.46</v>
      </c>
      <c r="Q59" s="18" t="n">
        <v>3528.82</v>
      </c>
      <c r="R59" s="18" t="n">
        <v>2635.59</v>
      </c>
      <c r="S59" s="18" t="n">
        <v>1524.03</v>
      </c>
      <c r="T59" s="18" t="n">
        <v>2924.69</v>
      </c>
      <c r="U59" s="37" t="n">
        <v>10613.13</v>
      </c>
      <c r="V59" s="18" t="n">
        <v>2575.71</v>
      </c>
      <c r="W59" s="18" t="n">
        <v>3972.74</v>
      </c>
      <c r="X59" s="18" t="n">
        <v>3737.26</v>
      </c>
      <c r="Y59" s="18" t="n">
        <v>2240</v>
      </c>
      <c r="Z59" s="37" t="n">
        <v>12525.71</v>
      </c>
      <c r="AA59" s="18" t="n">
        <v>3299.82</v>
      </c>
      <c r="AB59" s="19" t="n">
        <v>5885.43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2194.02</v>
      </c>
      <c r="F60" s="9" t="n"/>
      <c r="G60" s="18" t="n">
        <v>2298.5</v>
      </c>
      <c r="H60" s="18" t="n">
        <v>1351.15</v>
      </c>
      <c r="I60" s="18" t="n">
        <v>1968.17</v>
      </c>
      <c r="J60" s="18" t="n">
        <v>2167.3</v>
      </c>
      <c r="K60" s="37" t="n">
        <v>7785.12</v>
      </c>
      <c r="L60" s="18" t="n">
        <v>2611.09</v>
      </c>
      <c r="M60" s="18" t="n">
        <v>2427.33</v>
      </c>
      <c r="N60" s="18" t="n">
        <v>2201.76</v>
      </c>
      <c r="O60" s="18" t="n">
        <v>2836.79</v>
      </c>
      <c r="P60" s="37" t="n">
        <v>10076.97</v>
      </c>
      <c r="Q60" s="18" t="n">
        <v>3220.2</v>
      </c>
      <c r="R60" s="18" t="n">
        <v>2505.02</v>
      </c>
      <c r="S60" s="18" t="n">
        <v>2601.27</v>
      </c>
      <c r="T60" s="18" t="n">
        <v>3200.71</v>
      </c>
      <c r="U60" s="37" t="n">
        <v>11527.2</v>
      </c>
      <c r="V60" s="18" t="n">
        <v>2634.13</v>
      </c>
      <c r="W60" s="18" t="n">
        <v>2488.39</v>
      </c>
      <c r="X60" s="18" t="n">
        <v>2523.08</v>
      </c>
      <c r="Y60" s="18" t="n">
        <v>2563.48</v>
      </c>
      <c r="Z60" s="37" t="n">
        <v>10209.08</v>
      </c>
      <c r="AA60" s="18" t="n">
        <v>2782.56</v>
      </c>
      <c r="AB60" s="19" t="n">
        <v>2957.84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7158.81</v>
      </c>
      <c r="F61" s="9" t="n"/>
      <c r="G61" s="18" t="n">
        <v>1947.74</v>
      </c>
      <c r="H61" s="18" t="n">
        <v>3262.8</v>
      </c>
      <c r="I61" s="18" t="n">
        <v>-858.75</v>
      </c>
      <c r="J61" s="18" t="n">
        <v>-702.17</v>
      </c>
      <c r="K61" s="37" t="n">
        <v>3649.62</v>
      </c>
      <c r="L61" s="18" t="n">
        <v>3591.5</v>
      </c>
      <c r="M61" s="18" t="n">
        <v>1104.47</v>
      </c>
      <c r="N61" s="18" t="n">
        <v>783.96</v>
      </c>
      <c r="O61" s="18" t="n">
        <v>-1340.43</v>
      </c>
      <c r="P61" s="37" t="n">
        <v>4139.5</v>
      </c>
      <c r="Q61" s="18" t="n">
        <v>308.62</v>
      </c>
      <c r="R61" s="18" t="n">
        <v>130.57</v>
      </c>
      <c r="S61" s="18" t="n">
        <v>-1077.24</v>
      </c>
      <c r="T61" s="18" t="n">
        <v>-276.02</v>
      </c>
      <c r="U61" s="37" t="n">
        <v>-914.0700000000001</v>
      </c>
      <c r="V61" s="18" t="n">
        <v>-58.42</v>
      </c>
      <c r="W61" s="18" t="n">
        <v>1484.35</v>
      </c>
      <c r="X61" s="18" t="n">
        <v>1214.19</v>
      </c>
      <c r="Y61" s="18" t="n">
        <v>-323.48</v>
      </c>
      <c r="Z61" s="37" t="n">
        <v>2316.64</v>
      </c>
      <c r="AA61" s="18" t="n">
        <v>517.26</v>
      </c>
      <c r="AB61" s="19" t="n">
        <v>2927.59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17.67</v>
      </c>
      <c r="F62" s="9" t="n"/>
      <c r="G62" s="18" t="n">
        <v>245.97</v>
      </c>
      <c r="H62" s="18" t="n">
        <v>212.35</v>
      </c>
      <c r="I62" s="18" t="n">
        <v>116.23</v>
      </c>
      <c r="J62" s="18" t="n">
        <v>-81.77</v>
      </c>
      <c r="K62" s="37" t="n">
        <v>492.78</v>
      </c>
      <c r="L62" s="18" t="n">
        <v>-283.7</v>
      </c>
      <c r="M62" s="18" t="n">
        <v>-188.34</v>
      </c>
      <c r="N62" s="18" t="n">
        <v>188.1</v>
      </c>
      <c r="O62" s="18" t="n">
        <v>717.15</v>
      </c>
      <c r="P62" s="37" t="n">
        <v>433.21</v>
      </c>
      <c r="Q62" s="18" t="n">
        <v>59.5</v>
      </c>
      <c r="R62" s="18" t="n">
        <v>238.2</v>
      </c>
      <c r="S62" s="18" t="n">
        <v>249.44</v>
      </c>
      <c r="T62" s="18" t="n">
        <v>11.81</v>
      </c>
      <c r="U62" s="37" t="n">
        <v>558.95</v>
      </c>
      <c r="V62" s="18" t="n">
        <v>557.64</v>
      </c>
      <c r="W62" s="18" t="n">
        <v>-535.15</v>
      </c>
      <c r="X62" s="18" t="n">
        <v>417.21</v>
      </c>
      <c r="Y62" s="18" t="n">
        <v>207.9</v>
      </c>
      <c r="Z62" s="37" t="n">
        <v>647.6</v>
      </c>
      <c r="AA62" s="18" t="n">
        <v>193.96</v>
      </c>
      <c r="AB62" s="19" t="n">
        <v>169.54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3455.27</v>
      </c>
      <c r="F63" s="9" t="n"/>
      <c r="G63" s="18" t="n">
        <v>474.35</v>
      </c>
      <c r="K63" s="9" t="n"/>
      <c r="L63" s="18" t="n">
        <v>330.11</v>
      </c>
      <c r="M63" s="18" t="n">
        <v>400.7</v>
      </c>
      <c r="N63" s="18" t="n">
        <v>-81.91</v>
      </c>
      <c r="O63" s="18" t="n">
        <v>1300.01</v>
      </c>
      <c r="P63" s="37" t="n">
        <v>1948.91</v>
      </c>
      <c r="Q63" s="18" t="n">
        <v>156.07</v>
      </c>
      <c r="R63" s="18" t="n">
        <v>131</v>
      </c>
      <c r="S63" s="18" t="n">
        <v>235.5</v>
      </c>
      <c r="T63" s="18" t="n">
        <v>630.24</v>
      </c>
      <c r="U63" s="37" t="n">
        <v>1152.81</v>
      </c>
      <c r="V63" s="18" t="n">
        <v>365.66</v>
      </c>
      <c r="W63" s="18" t="n">
        <v>2947.69</v>
      </c>
      <c r="X63" s="18" t="n">
        <v>-1017.32</v>
      </c>
      <c r="Y63" s="18" t="n">
        <v>-640.21</v>
      </c>
      <c r="Z63" s="37" t="n">
        <v>1655.82</v>
      </c>
      <c r="AA63" s="18" t="n">
        <v>304.09</v>
      </c>
      <c r="AB63" s="19" t="n">
        <v>313.36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1571.73</v>
      </c>
      <c r="F64" s="9" t="n"/>
      <c r="G64" s="18" t="n">
        <v>465.15</v>
      </c>
      <c r="K64" s="9" t="n"/>
      <c r="L64" s="18" t="n">
        <v>2528.28</v>
      </c>
      <c r="M64" s="18" t="n">
        <v>1430.91</v>
      </c>
      <c r="N64" s="18" t="n">
        <v>2005.98</v>
      </c>
      <c r="O64" s="18" t="n">
        <v>454.57</v>
      </c>
      <c r="P64" s="37" t="n">
        <v>6419.74</v>
      </c>
      <c r="Q64" s="18" t="n">
        <v>2356.6</v>
      </c>
      <c r="R64" s="18" t="n">
        <v>2163.8</v>
      </c>
      <c r="S64" s="18" t="n">
        <v>28.46</v>
      </c>
      <c r="T64" s="18" t="n">
        <v>4764.25</v>
      </c>
      <c r="U64" s="37" t="n">
        <v>9313.110000000001</v>
      </c>
      <c r="V64" s="18" t="n">
        <v>1263.87</v>
      </c>
      <c r="W64" s="18" t="n">
        <v>1235.48</v>
      </c>
      <c r="X64" s="18" t="n">
        <v>1206.67</v>
      </c>
      <c r="Y64" s="18" t="n">
        <v>1222.08</v>
      </c>
      <c r="Z64" s="37" t="n">
        <v>4928.1</v>
      </c>
      <c r="AA64" s="18" t="n">
        <v>2767.27</v>
      </c>
      <c r="AB64" s="19" t="n">
        <v>1708.22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9060.02</v>
      </c>
      <c r="F65" s="9" t="n"/>
      <c r="G65" s="18" t="n">
        <v>2202.92</v>
      </c>
      <c r="H65" s="18" t="n">
        <v>-801.7</v>
      </c>
      <c r="I65" s="18" t="n">
        <v>-5579.17</v>
      </c>
      <c r="J65" s="18" t="n">
        <v>2492.21</v>
      </c>
      <c r="K65" s="37" t="n">
        <v>-1685.74</v>
      </c>
      <c r="L65" s="18" t="n">
        <v>1109.63</v>
      </c>
      <c r="M65" s="18" t="n">
        <v>-114.08</v>
      </c>
      <c r="N65" s="18" t="n">
        <v>-1115.83</v>
      </c>
      <c r="O65" s="18" t="n">
        <v>222.16</v>
      </c>
      <c r="P65" s="37" t="n">
        <v>101.88</v>
      </c>
      <c r="Q65" s="18" t="n">
        <v>-1832.4</v>
      </c>
      <c r="R65" s="18" t="n">
        <v>-1664.03</v>
      </c>
      <c r="S65" s="18" t="n">
        <v>-620.77</v>
      </c>
      <c r="T65" s="18" t="n">
        <v>-4398.21</v>
      </c>
      <c r="U65" s="37" t="n">
        <v>-8515.41</v>
      </c>
      <c r="V65" s="18" t="n">
        <v>-398.99</v>
      </c>
      <c r="W65" s="18" t="n">
        <v>2661.4</v>
      </c>
      <c r="X65" s="18" t="n">
        <v>-592.58</v>
      </c>
      <c r="Y65" s="18" t="n">
        <v>-1977.86</v>
      </c>
      <c r="Z65" s="37" t="n">
        <v>-308.03</v>
      </c>
      <c r="AA65" s="18" t="n">
        <v>-1751.96</v>
      </c>
      <c r="AB65" s="19" t="n">
        <v>1702.28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1727.11</v>
      </c>
      <c r="F66" s="9" t="n"/>
      <c r="G66" s="18" t="n">
        <v>-0.36</v>
      </c>
      <c r="H66" s="18" t="n">
        <v>-298.41</v>
      </c>
      <c r="I66" s="18" t="n">
        <v>1.15</v>
      </c>
      <c r="J66" s="18" t="n">
        <v>1341.26</v>
      </c>
      <c r="K66" s="37" t="n">
        <v>1043.64</v>
      </c>
      <c r="L66" s="18" t="n">
        <v>1.5</v>
      </c>
      <c r="M66" s="18" t="n">
        <v>181.91</v>
      </c>
      <c r="N66" s="18" t="n">
        <v>0.21</v>
      </c>
      <c r="O66" s="18" t="n">
        <v>206.28</v>
      </c>
      <c r="P66" s="37" t="n">
        <v>389.9</v>
      </c>
      <c r="Q66" s="18" t="n">
        <v>-1.11</v>
      </c>
      <c r="R66" s="18" t="n">
        <v>432.97</v>
      </c>
      <c r="S66" s="18" t="n">
        <v>1.01</v>
      </c>
      <c r="T66" s="18" t="n">
        <v>-2115.9</v>
      </c>
      <c r="U66" s="37" t="n">
        <v>-1683.03</v>
      </c>
      <c r="V66" s="18" t="n">
        <v>-0.22</v>
      </c>
      <c r="W66" s="18" t="n">
        <v>447.73</v>
      </c>
      <c r="X66" s="18" t="n">
        <v>0</v>
      </c>
      <c r="Y66" s="18" t="n">
        <v>-747.91</v>
      </c>
      <c r="Z66" s="37" t="n">
        <v>-300.4</v>
      </c>
      <c r="AA66" s="18" t="n">
        <v>0</v>
      </c>
      <c r="AB66" s="19" t="n">
        <v>211.6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7332.91</v>
      </c>
      <c r="F67" s="9" t="n"/>
      <c r="G67" s="18" t="n">
        <v>2203.28</v>
      </c>
      <c r="H67" s="18" t="n">
        <v>-503.29</v>
      </c>
      <c r="I67" s="18" t="n">
        <v>-5580.32</v>
      </c>
      <c r="J67" s="18" t="n">
        <v>1150.95</v>
      </c>
      <c r="K67" s="37" t="n">
        <v>-2729.38</v>
      </c>
      <c r="L67" s="18" t="n">
        <v>1108.14</v>
      </c>
      <c r="M67" s="18" t="n">
        <v>-295.99</v>
      </c>
      <c r="N67" s="18" t="n">
        <v>-1115.63</v>
      </c>
      <c r="O67" s="18" t="n">
        <v>15.88</v>
      </c>
      <c r="P67" s="37" t="n">
        <v>-287.6</v>
      </c>
      <c r="Q67" s="18" t="n">
        <v>-1831.3</v>
      </c>
      <c r="R67" s="18" t="n">
        <v>-2097.01</v>
      </c>
      <c r="S67" s="18" t="n">
        <v>-621.78</v>
      </c>
      <c r="T67" s="18" t="n">
        <v>-2282.3</v>
      </c>
      <c r="U67" s="37" t="n">
        <v>-6832.39</v>
      </c>
      <c r="V67" s="18" t="n">
        <v>-399.21</v>
      </c>
      <c r="W67" s="18" t="n">
        <v>2213.67</v>
      </c>
      <c r="X67" s="18" t="n">
        <v>-592.58</v>
      </c>
      <c r="Y67" s="18" t="n">
        <v>-1229.95</v>
      </c>
      <c r="Z67" s="37" t="n">
        <v>-8.07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7217.56</v>
      </c>
      <c r="F68" s="9" t="n"/>
      <c r="G68" s="18" t="n">
        <v>2204.56</v>
      </c>
      <c r="H68" s="18" t="n">
        <v>-509.17</v>
      </c>
      <c r="I68" s="18" t="n">
        <v>-5584.4</v>
      </c>
      <c r="J68" s="18" t="n">
        <v>713.87</v>
      </c>
      <c r="K68" s="37" t="n">
        <v>-3175.14</v>
      </c>
      <c r="L68" s="18" t="n">
        <v>1102.82</v>
      </c>
      <c r="M68" s="18" t="n">
        <v>-292.36</v>
      </c>
      <c r="N68" s="18" t="n">
        <v>-1114.85</v>
      </c>
      <c r="O68" s="18" t="n">
        <v>-383.07</v>
      </c>
      <c r="P68" s="37" t="n">
        <v>-687.46</v>
      </c>
      <c r="Q68" s="18" t="n">
        <v>-1827.1</v>
      </c>
      <c r="R68" s="18" t="n">
        <v>-2098.07</v>
      </c>
      <c r="S68" s="18" t="n">
        <v>-625.6</v>
      </c>
      <c r="T68" s="18" t="n">
        <v>-2810.75</v>
      </c>
      <c r="U68" s="37" t="n">
        <v>-7361.52</v>
      </c>
      <c r="V68" s="18" t="n">
        <v>-400.02</v>
      </c>
      <c r="W68" s="18" t="n">
        <v>2214.74</v>
      </c>
      <c r="X68" s="18" t="n">
        <v>-443.34</v>
      </c>
      <c r="Y68" s="18" t="n">
        <v>-2936.38</v>
      </c>
      <c r="Z68" s="37" t="n">
        <v>-1565</v>
      </c>
      <c r="AA68" s="18" t="n">
        <v>-1751.96</v>
      </c>
      <c r="AB68" s="19" t="n">
        <v>1490.67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1883.54</v>
      </c>
      <c r="F69" s="9" t="n"/>
      <c r="G69" s="18" t="n">
        <v>9.199999999999999</v>
      </c>
      <c r="H69" s="18" t="n">
        <v>-4276.85</v>
      </c>
      <c r="I69" s="18" t="n">
        <v>-4836.64</v>
      </c>
      <c r="J69" s="18" t="n">
        <v>3276.16</v>
      </c>
      <c r="K69" s="37" t="n">
        <v>-5828.13</v>
      </c>
      <c r="L69" s="18" t="n">
        <v>-2198.17</v>
      </c>
      <c r="M69" s="18" t="n">
        <v>-1030.21</v>
      </c>
      <c r="N69" s="18" t="n">
        <v>-2087.89</v>
      </c>
      <c r="O69" s="18" t="n">
        <v>845.4400000000001</v>
      </c>
      <c r="P69" s="37" t="n">
        <v>-4470.83</v>
      </c>
      <c r="Q69" s="18" t="n">
        <v>-2200.53</v>
      </c>
      <c r="R69" s="18" t="n">
        <v>-2032.8</v>
      </c>
      <c r="S69" s="18" t="n">
        <v>207.04</v>
      </c>
      <c r="T69" s="18" t="n">
        <v>-4134.01</v>
      </c>
      <c r="U69" s="37" t="n">
        <v>-8160.3</v>
      </c>
      <c r="V69" s="18" t="n">
        <v>-898.21</v>
      </c>
      <c r="W69" s="18" t="n">
        <v>1712.21</v>
      </c>
      <c r="X69" s="18" t="n">
        <v>-2223.99</v>
      </c>
      <c r="Y69" s="18" t="n">
        <v>-1862.29</v>
      </c>
      <c r="Z69" s="37" t="n">
        <v>-3272.28</v>
      </c>
      <c r="AA69" s="18" t="n">
        <v>-2463.18</v>
      </c>
      <c r="AB69" s="19" t="n">
        <v>-1394.86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7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7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7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7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7332.91</v>
      </c>
      <c r="F71" s="9" t="n"/>
      <c r="G71" s="18" t="n">
        <v>2203.28</v>
      </c>
      <c r="H71" s="18" t="n">
        <v>-503.29</v>
      </c>
      <c r="I71" s="18" t="n">
        <v>-5580.32</v>
      </c>
      <c r="J71" s="18" t="n">
        <v>1150.95</v>
      </c>
      <c r="K71" s="37" t="n">
        <v>-2729.38</v>
      </c>
      <c r="L71" s="18" t="n">
        <v>1108.14</v>
      </c>
      <c r="M71" s="18" t="n">
        <v>-295.99</v>
      </c>
      <c r="N71" s="18" t="n">
        <v>-1115.63</v>
      </c>
      <c r="O71" s="18" t="n">
        <v>15.88</v>
      </c>
      <c r="P71" s="37" t="n">
        <v>-287.6</v>
      </c>
      <c r="Q71" s="18" t="n">
        <v>-1831.3</v>
      </c>
      <c r="R71" s="18" t="n">
        <v>-2097.01</v>
      </c>
      <c r="S71" s="18" t="n">
        <v>-621.78</v>
      </c>
      <c r="T71" s="18" t="n">
        <v>-2282.3</v>
      </c>
      <c r="U71" s="37" t="n">
        <v>-6832.39</v>
      </c>
      <c r="V71" s="18" t="n">
        <v>-399.21</v>
      </c>
      <c r="W71" s="18" t="n">
        <v>2213.67</v>
      </c>
      <c r="X71" s="18" t="n">
        <v>-592.58</v>
      </c>
      <c r="Y71" s="18" t="n">
        <v>-1229.95</v>
      </c>
      <c r="Z71" s="37" t="n">
        <v>-8.07</v>
      </c>
      <c r="AA71" s="18" t="n">
        <v>-1751.96</v>
      </c>
      <c r="AB71" s="19" t="n">
        <v>1490.67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F72" s="9" t="n"/>
      <c r="K72" s="9" t="n"/>
      <c r="L72" s="18" t="n">
        <v>761.72</v>
      </c>
      <c r="M72" s="18" t="n">
        <v>280.46</v>
      </c>
      <c r="N72" s="18" t="n">
        <v>665.5700000000001</v>
      </c>
      <c r="O72" s="18" t="n">
        <v>665.37</v>
      </c>
      <c r="P72" s="37" t="n">
        <v>2373.12</v>
      </c>
      <c r="Q72" s="18" t="n">
        <v>660.5700000000001</v>
      </c>
      <c r="R72" s="18" t="n">
        <v>525.77</v>
      </c>
      <c r="S72" s="18" t="n">
        <v>693.25</v>
      </c>
      <c r="T72" s="18" t="n">
        <v>632.5700000000001</v>
      </c>
      <c r="U72" s="37" t="n">
        <v>2512.16</v>
      </c>
      <c r="V72" s="18" t="n">
        <v>1034.94</v>
      </c>
      <c r="W72" s="18" t="n">
        <v>-71.28</v>
      </c>
      <c r="X72" s="18" t="n">
        <v>632.67</v>
      </c>
      <c r="Y72" s="18" t="n">
        <v>725.05</v>
      </c>
      <c r="Z72" s="37" t="n">
        <v>2321.38</v>
      </c>
      <c r="AA72" s="18" t="n">
        <v>699.42</v>
      </c>
      <c r="AB72" s="19" t="n">
        <v>645.09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F73" s="9" t="n"/>
      <c r="K73" s="9" t="n"/>
      <c r="L73" s="18" t="n">
        <v>1045.42</v>
      </c>
      <c r="M73" s="18" t="n">
        <v>468.8</v>
      </c>
      <c r="N73" s="18" t="n">
        <v>477.47</v>
      </c>
      <c r="O73" s="18" t="n">
        <v>-51.78</v>
      </c>
      <c r="P73" s="37" t="n">
        <v>1939.91</v>
      </c>
      <c r="Q73" s="18" t="n">
        <v>601.0700000000001</v>
      </c>
      <c r="R73" s="18" t="n">
        <v>287.57</v>
      </c>
      <c r="S73" s="18" t="n">
        <v>443.81</v>
      </c>
      <c r="T73" s="18" t="n">
        <v>620.76</v>
      </c>
      <c r="U73" s="37" t="n">
        <v>1953.21</v>
      </c>
      <c r="V73" s="18" t="n">
        <v>477.3</v>
      </c>
      <c r="W73" s="18" t="n">
        <v>463.87</v>
      </c>
      <c r="X73" s="18" t="n">
        <v>215.46</v>
      </c>
      <c r="Y73" s="18" t="n">
        <v>517.15</v>
      </c>
      <c r="Z73" s="37" t="n">
        <v>1673.78</v>
      </c>
      <c r="AA73" s="18" t="n">
        <v>505.46</v>
      </c>
      <c r="AB73" s="19" t="n">
        <v>475.55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9069.93</v>
      </c>
      <c r="F74" s="9" t="n"/>
      <c r="G74" s="18" t="n">
        <v>754.9299999999999</v>
      </c>
      <c r="H74" s="18" t="n">
        <v>-2962.94</v>
      </c>
      <c r="I74" s="18" t="n">
        <v>9919.799999999999</v>
      </c>
      <c r="J74" s="18" t="n">
        <v>12965.6</v>
      </c>
      <c r="K74" s="37" t="n">
        <v>20677.39</v>
      </c>
      <c r="L74" s="18" t="n">
        <v>-2925.96</v>
      </c>
      <c r="M74" s="18" t="n">
        <v>1735.49</v>
      </c>
      <c r="N74" s="18" t="n">
        <v>2717.56</v>
      </c>
      <c r="O74" s="18" t="n">
        <v>3402.11</v>
      </c>
      <c r="P74" s="37" t="n">
        <v>4929.2</v>
      </c>
      <c r="Q74" s="18" t="n">
        <v>-24.3</v>
      </c>
      <c r="R74" s="18" t="n">
        <v>-6388.4</v>
      </c>
      <c r="S74" s="18" t="n">
        <v>8238.969999999999</v>
      </c>
      <c r="T74" s="18" t="n">
        <v>185.24</v>
      </c>
      <c r="U74" s="37" t="n">
        <v>2011.51</v>
      </c>
      <c r="V74" s="18" t="n">
        <v>-3092.03</v>
      </c>
      <c r="W74" s="18" t="n">
        <v>2560.29</v>
      </c>
      <c r="X74" s="18" t="n">
        <v>-4836.31</v>
      </c>
      <c r="Y74" s="18" t="n">
        <v>5914.03</v>
      </c>
      <c r="Z74" s="37" t="n">
        <v>545.98</v>
      </c>
      <c r="AA74" s="18" t="n">
        <v>8300.139999999999</v>
      </c>
      <c r="AB74" s="19" t="n">
        <v>3728.04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-61</v>
      </c>
      <c r="F75" s="9" t="n"/>
      <c r="I75" s="18" t="n">
        <v>0</v>
      </c>
      <c r="J75" s="18" t="n">
        <v>0</v>
      </c>
      <c r="K75" s="9" t="n"/>
      <c r="L75" s="18" t="n">
        <v>0</v>
      </c>
      <c r="M75" s="18" t="n">
        <v>60.92</v>
      </c>
      <c r="N75" s="18" t="n">
        <v>0</v>
      </c>
      <c r="O75" s="18" t="n">
        <v>0</v>
      </c>
      <c r="P75" s="37" t="n">
        <v>60.92</v>
      </c>
      <c r="Q75" s="18" t="n">
        <v>0</v>
      </c>
      <c r="R75" s="18" t="n">
        <v>30.46</v>
      </c>
      <c r="S75" s="18" t="n">
        <v>0</v>
      </c>
      <c r="T75" s="18" t="n">
        <v>0</v>
      </c>
      <c r="U75" s="37" t="n">
        <v>30.46</v>
      </c>
      <c r="V75" s="18" t="n">
        <v>0</v>
      </c>
      <c r="W75" s="18" t="n">
        <v>30.46</v>
      </c>
      <c r="X75" s="18" t="n">
        <v>0</v>
      </c>
      <c r="Y75" s="18" t="n">
        <v>0</v>
      </c>
      <c r="Z75" s="37" t="n">
        <v>30.46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-1628.13</v>
      </c>
      <c r="F76" s="9" t="n"/>
      <c r="G76" s="18" t="n">
        <v>-320.07</v>
      </c>
      <c r="H76" s="18" t="n">
        <v>-515.51</v>
      </c>
      <c r="I76" s="18" t="n">
        <v>-450.8</v>
      </c>
      <c r="J76" s="18" t="n">
        <v>-6.01</v>
      </c>
      <c r="K76" s="37" t="n">
        <v>-1292.39</v>
      </c>
      <c r="L76" s="18" t="n">
        <v>422.93</v>
      </c>
      <c r="M76" s="18" t="n">
        <v>-19.3</v>
      </c>
      <c r="N76" s="18" t="n">
        <v>-195.14</v>
      </c>
      <c r="O76" s="18" t="n">
        <v>63.57</v>
      </c>
      <c r="P76" s="37" t="n">
        <v>272.06</v>
      </c>
      <c r="Q76" s="18" t="n">
        <v>89.98999999999999</v>
      </c>
      <c r="R76" s="18" t="n">
        <v>-13.71</v>
      </c>
      <c r="S76" s="18" t="n">
        <v>-73.97</v>
      </c>
      <c r="T76" s="18" t="n">
        <v>-38.67</v>
      </c>
      <c r="U76" s="37" t="n">
        <v>-36.36</v>
      </c>
      <c r="V76" s="18" t="n">
        <v>104.67</v>
      </c>
      <c r="W76" s="18" t="n">
        <v>-26.05</v>
      </c>
      <c r="X76" s="18" t="n">
        <v>-59.08</v>
      </c>
      <c r="Y76" s="18" t="n">
        <v>-32.83</v>
      </c>
      <c r="Z76" s="37" t="n">
        <v>-13.29</v>
      </c>
      <c r="AA76" s="18" t="n">
        <v>120.67</v>
      </c>
      <c r="AB76" s="19" t="n">
        <v>-7.42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-1260.68</v>
      </c>
      <c r="F77" s="9" t="n"/>
      <c r="G77" s="18" t="n">
        <v>-9447.219999999999</v>
      </c>
      <c r="H77" s="18" t="n">
        <v>-4578.19</v>
      </c>
      <c r="I77" s="18" t="n">
        <v>-4903.35</v>
      </c>
      <c r="J77" s="18" t="n">
        <v>-468.6</v>
      </c>
      <c r="K77" s="37" t="n">
        <v>-19397.36</v>
      </c>
      <c r="L77" s="18" t="n">
        <v>9122.17</v>
      </c>
      <c r="M77" s="18" t="n">
        <v>-836.1</v>
      </c>
      <c r="N77" s="18" t="n">
        <v>-996.39</v>
      </c>
      <c r="O77" s="18" t="n">
        <v>-212.83</v>
      </c>
      <c r="P77" s="37" t="n">
        <v>7076.85</v>
      </c>
      <c r="Q77" s="18" t="n">
        <v>-643.71</v>
      </c>
      <c r="R77" s="18" t="n">
        <v>-2817.14</v>
      </c>
      <c r="S77" s="18" t="n">
        <v>-6966.02</v>
      </c>
      <c r="T77" s="18" t="n">
        <v>-2535.49</v>
      </c>
      <c r="U77" s="37" t="n">
        <v>-12962.36</v>
      </c>
      <c r="V77" s="18" t="n">
        <v>-2750</v>
      </c>
      <c r="W77" s="18" t="n">
        <v>-853.51</v>
      </c>
      <c r="X77" s="18" t="n">
        <v>-78.43000000000001</v>
      </c>
      <c r="Y77" s="18" t="n">
        <v>-2523.39</v>
      </c>
      <c r="Z77" s="37" t="n">
        <v>-6205.33</v>
      </c>
      <c r="AA77" s="18" t="n">
        <v>1793.07</v>
      </c>
      <c r="AB77" s="19" t="n">
        <v>-7879.79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9" t="n"/>
      <c r="I78" s="18" t="n">
        <v>340</v>
      </c>
      <c r="J78" s="18" t="n">
        <v>7.48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817.6</v>
      </c>
      <c r="Z78" s="37" t="n">
        <v>817.6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-3574.2</v>
      </c>
      <c r="F79" s="9" t="n"/>
      <c r="G79" s="18" t="n">
        <v>4324.87</v>
      </c>
      <c r="H79" s="18" t="n">
        <v>9813.389999999999</v>
      </c>
      <c r="I79" s="18" t="n">
        <v>-8734.93</v>
      </c>
      <c r="J79" s="18" t="n">
        <v>-7088.25</v>
      </c>
      <c r="K79" s="37" t="n">
        <v>-1684.92</v>
      </c>
      <c r="L79" s="18" t="n">
        <v>-6888.11</v>
      </c>
      <c r="M79" s="18" t="n">
        <v>-2316.89</v>
      </c>
      <c r="N79" s="18" t="n">
        <v>-1091.89</v>
      </c>
      <c r="O79" s="18" t="n">
        <v>-270.43</v>
      </c>
      <c r="P79" s="37" t="n">
        <v>-10567.32</v>
      </c>
      <c r="Q79" s="18" t="n">
        <v>-5950.74</v>
      </c>
      <c r="R79" s="18" t="n">
        <v>12163.17</v>
      </c>
      <c r="S79" s="18" t="n">
        <v>4180.94</v>
      </c>
      <c r="T79" s="18" t="n">
        <v>-302.64</v>
      </c>
      <c r="U79" s="37" t="n">
        <v>10090.73</v>
      </c>
      <c r="V79" s="18" t="n">
        <v>7407.36</v>
      </c>
      <c r="W79" s="18" t="n">
        <v>-5091.59</v>
      </c>
      <c r="X79" s="18" t="n">
        <v>4408.08</v>
      </c>
      <c r="Y79" s="18" t="n">
        <v>-6606.46</v>
      </c>
      <c r="Z79" s="37" t="n">
        <v>117.39</v>
      </c>
      <c r="AA79" s="18" t="n">
        <v>-1599.69</v>
      </c>
      <c r="AB79" s="19" t="n">
        <v>3911.8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G80" s="18" t="n">
        <v>20347.2</v>
      </c>
      <c r="K80" s="9" t="n"/>
      <c r="O80" s="18" t="n">
        <v>4000</v>
      </c>
      <c r="P80" s="9" t="n"/>
      <c r="Q80" s="18" t="n">
        <v>0</v>
      </c>
      <c r="R80" s="18" t="n">
        <v>0</v>
      </c>
      <c r="S80" s="18" t="n">
        <v>6000</v>
      </c>
      <c r="T80" s="18" t="n">
        <v>0</v>
      </c>
      <c r="U80" s="37" t="n">
        <v>6000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4235</v>
      </c>
      <c r="F81" s="9" t="n"/>
      <c r="G81" s="18" t="n">
        <v>-4367.99</v>
      </c>
      <c r="H81" s="18" t="n">
        <v>2272.84</v>
      </c>
      <c r="I81" s="18" t="n">
        <v>-3718.49</v>
      </c>
      <c r="J81" s="18" t="n">
        <v>5418.84</v>
      </c>
      <c r="K81" s="37" t="n">
        <v>-394.8</v>
      </c>
      <c r="L81" s="18" t="n">
        <v>-691.36</v>
      </c>
      <c r="M81" s="18" t="n">
        <v>-1407.82</v>
      </c>
      <c r="N81" s="18" t="n">
        <v>630.22</v>
      </c>
      <c r="O81" s="18" t="n">
        <v>2918.48</v>
      </c>
      <c r="P81" s="37" t="n">
        <v>1449.52</v>
      </c>
      <c r="Q81" s="18" t="n">
        <v>-6618.11</v>
      </c>
      <c r="R81" s="18" t="n">
        <v>2960.16</v>
      </c>
      <c r="S81" s="18" t="n">
        <v>5453.17</v>
      </c>
      <c r="T81" s="18" t="n">
        <v>-2653.23</v>
      </c>
      <c r="U81" s="37" t="n">
        <v>-858.01</v>
      </c>
      <c r="V81" s="18" t="n">
        <v>1565.26</v>
      </c>
      <c r="W81" s="18" t="n">
        <v>-3385.38</v>
      </c>
      <c r="X81" s="18" t="n">
        <v>-506.63</v>
      </c>
      <c r="Y81" s="18" t="n">
        <v>-3215.85</v>
      </c>
      <c r="Z81" s="37" t="n">
        <v>-5542.6</v>
      </c>
      <c r="AA81" s="18" t="n">
        <v>8504.07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4235</v>
      </c>
      <c r="F82" s="9" t="n"/>
      <c r="G82" s="18" t="n">
        <v>6078.01</v>
      </c>
      <c r="H82" s="18" t="n">
        <v>2272.22</v>
      </c>
      <c r="I82" s="18" t="n">
        <v>-3707.64</v>
      </c>
      <c r="J82" s="18" t="n">
        <v>5408.61</v>
      </c>
      <c r="K82" s="37" t="n">
        <v>10051.2</v>
      </c>
      <c r="L82" s="18" t="n">
        <v>9359.84</v>
      </c>
      <c r="M82" s="18" t="n">
        <v>-1407.82</v>
      </c>
      <c r="N82" s="18" t="n">
        <v>630.22</v>
      </c>
      <c r="O82" s="18" t="n">
        <v>2918.48</v>
      </c>
      <c r="P82" s="37" t="n">
        <v>11500.72</v>
      </c>
      <c r="Q82" s="18" t="n">
        <v>4882.61</v>
      </c>
      <c r="R82" s="18" t="n">
        <v>2960.16</v>
      </c>
      <c r="S82" s="18" t="n">
        <v>5453.17</v>
      </c>
      <c r="T82" s="18" t="n">
        <v>-2653.23</v>
      </c>
      <c r="U82" s="37" t="n">
        <v>10642.71</v>
      </c>
      <c r="V82" s="18" t="n">
        <v>12207.98</v>
      </c>
      <c r="W82" s="18" t="n">
        <v>-3385.39</v>
      </c>
      <c r="X82" s="18" t="n">
        <v>-506.63</v>
      </c>
      <c r="Y82" s="18" t="n">
        <v>-3215.85</v>
      </c>
      <c r="Z82" s="37" t="n">
        <v>5100.11</v>
      </c>
      <c r="AA82" s="18" t="n">
        <v>13604.18</v>
      </c>
      <c r="AB82" s="19" t="n">
        <v>-197.52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0</v>
      </c>
      <c r="F83" s="9" t="n"/>
      <c r="G83" s="18" t="n">
        <v>1398.66</v>
      </c>
      <c r="H83" s="18" t="n">
        <v>1162.02</v>
      </c>
      <c r="I83" s="18" t="n">
        <v>2144.96</v>
      </c>
      <c r="J83" s="18" t="n">
        <v>2312.69</v>
      </c>
      <c r="K83" s="37" t="n">
        <v>7018.33</v>
      </c>
      <c r="L83" s="18" t="n">
        <v>155.13</v>
      </c>
      <c r="M83" s="18" t="n">
        <v>836.9400000000001</v>
      </c>
      <c r="N83" s="18" t="n">
        <v>2891.37</v>
      </c>
      <c r="O83" s="18" t="n">
        <v>1584.54</v>
      </c>
      <c r="P83" s="37" t="n">
        <v>5467.98</v>
      </c>
      <c r="Q83" s="18" t="n">
        <v>1716.52</v>
      </c>
      <c r="R83" s="18" t="n">
        <v>1283.47</v>
      </c>
      <c r="S83" s="18" t="n">
        <v>935.92</v>
      </c>
      <c r="T83" s="18" t="n">
        <v>2225.61</v>
      </c>
      <c r="U83" s="37" t="n">
        <v>6161.52</v>
      </c>
      <c r="V83" s="18" t="n">
        <v>0</v>
      </c>
      <c r="W83" s="18" t="n">
        <v>853.65</v>
      </c>
      <c r="X83" s="18" t="n">
        <v>963.83</v>
      </c>
      <c r="Y83" s="18" t="n">
        <v>2502.54</v>
      </c>
      <c r="Z83" s="37" t="n">
        <v>4320.02</v>
      </c>
      <c r="AA83" s="18" t="n">
        <v>905</v>
      </c>
      <c r="AB83" s="19" t="n">
        <v>1679.79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F84" s="9" t="n"/>
      <c r="G84" s="18" t="n">
        <v>12.85</v>
      </c>
      <c r="I84" s="18" t="n">
        <v>213.5</v>
      </c>
      <c r="K84" s="9" t="n"/>
      <c r="L84" s="18" t="n">
        <v>71.16</v>
      </c>
      <c r="M84" s="18" t="n">
        <v>0.84</v>
      </c>
      <c r="N84" s="18" t="n">
        <v>4</v>
      </c>
      <c r="O84" s="18" t="n">
        <v>0</v>
      </c>
      <c r="P84" s="37" t="n">
        <v>76</v>
      </c>
      <c r="Q84" s="18" t="n">
        <v>65.02</v>
      </c>
      <c r="S84" s="18" t="n">
        <v>0</v>
      </c>
      <c r="T84" s="18" t="n">
        <v>0</v>
      </c>
      <c r="U84" s="9" t="n"/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A84" s="18" t="n">
        <v>57.36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F85" s="9" t="n"/>
      <c r="G85" s="18" t="n">
        <v>1398.66</v>
      </c>
      <c r="H85" s="18" t="n">
        <v>1162.02</v>
      </c>
      <c r="I85" s="18" t="n">
        <v>1804.96</v>
      </c>
      <c r="J85" s="18" t="n">
        <v>2305.21</v>
      </c>
      <c r="K85" s="37" t="n">
        <v>6670.85</v>
      </c>
      <c r="L85" s="18" t="n">
        <v>155.13</v>
      </c>
      <c r="M85" s="18" t="n">
        <v>836.9400000000001</v>
      </c>
      <c r="N85" s="18" t="n">
        <v>2891.37</v>
      </c>
      <c r="O85" s="18" t="n">
        <v>1584.54</v>
      </c>
      <c r="P85" s="37" t="n">
        <v>5467.98</v>
      </c>
      <c r="Q85" s="18" t="n">
        <v>1716.52</v>
      </c>
      <c r="R85" s="18" t="n">
        <v>1283.47</v>
      </c>
      <c r="S85" s="18" t="n">
        <v>935.92</v>
      </c>
      <c r="T85" s="18" t="n">
        <v>2225.61</v>
      </c>
      <c r="U85" s="37" t="n">
        <v>6161.52</v>
      </c>
      <c r="V85" s="18" t="n">
        <v>0</v>
      </c>
      <c r="W85" s="18" t="n">
        <v>853.65</v>
      </c>
      <c r="X85" s="18" t="n">
        <v>963.83</v>
      </c>
      <c r="Y85" s="18" t="n">
        <v>1684.94</v>
      </c>
      <c r="Z85" s="37" t="n">
        <v>3502.42</v>
      </c>
      <c r="AA85" s="18" t="n">
        <v>905</v>
      </c>
      <c r="AB85" s="19" t="n">
        <v>1679.79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G86" s="18" t="n">
        <v>24727.06</v>
      </c>
      <c r="H86" s="18" t="n">
        <v>40620.8</v>
      </c>
      <c r="K86" s="9" t="n"/>
      <c r="L86" s="18" t="n">
        <v>6615.31</v>
      </c>
      <c r="M86" s="18" t="n">
        <v>5500</v>
      </c>
      <c r="N86" s="18" t="n">
        <v>1203.93</v>
      </c>
      <c r="O86" s="18" t="n">
        <v>0</v>
      </c>
      <c r="P86" s="37" t="n">
        <v>13319.24</v>
      </c>
      <c r="Q86" s="18" t="n">
        <v>4896.2</v>
      </c>
      <c r="R86" s="18" t="n">
        <v>39501.6</v>
      </c>
      <c r="U86" s="9" t="n"/>
      <c r="V86" s="18" t="n">
        <v>8799.16</v>
      </c>
      <c r="W86" s="18" t="n">
        <v>10000</v>
      </c>
      <c r="X86" s="18" t="n">
        <v>11280.99</v>
      </c>
      <c r="Z86" s="9" t="n"/>
      <c r="AA86" s="18" t="n">
        <v>16300</v>
      </c>
      <c r="AB86" s="19" t="n">
        <v>4000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F87" s="9" t="n"/>
      <c r="I87" s="18" t="n">
        <v>-1107.59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730.61</v>
      </c>
      <c r="N88" s="18" t="n">
        <v>0</v>
      </c>
      <c r="O88" s="18" t="n">
        <v>0</v>
      </c>
      <c r="P88" s="37" t="n">
        <v>730.61</v>
      </c>
      <c r="Q88" s="18" t="n">
        <v>730.61</v>
      </c>
      <c r="R88" s="18" t="n">
        <v>0</v>
      </c>
      <c r="S88" s="18" t="n">
        <v>0</v>
      </c>
      <c r="T88" s="18" t="n">
        <v>0</v>
      </c>
      <c r="U88" s="37" t="n">
        <v>730.61</v>
      </c>
      <c r="V88" s="18" t="n">
        <v>243.54</v>
      </c>
      <c r="W88" s="18" t="n">
        <v>0</v>
      </c>
      <c r="X88" s="18" t="n">
        <v>0</v>
      </c>
      <c r="Y88" s="18" t="n">
        <v>0</v>
      </c>
      <c r="Z88" s="37" t="n">
        <v>243.54</v>
      </c>
      <c r="AA88" s="18" t="n">
        <v>712.28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L90" s="18" t="n">
        <v>86.8</v>
      </c>
      <c r="M90" s="18" t="n">
        <v>86.29000000000001</v>
      </c>
      <c r="O90" s="18" t="n">
        <v>270.43</v>
      </c>
      <c r="P90" s="9" t="n"/>
      <c r="Q90" s="18" t="n">
        <v>323.92</v>
      </c>
      <c r="S90" s="18" t="n">
        <v>82.56</v>
      </c>
      <c r="T90" s="18" t="n">
        <v>83.40000000000001</v>
      </c>
      <c r="U90" s="9" t="n"/>
      <c r="V90" s="18" t="n">
        <v>84.26000000000001</v>
      </c>
      <c r="W90" s="18" t="n">
        <v>85.14</v>
      </c>
      <c r="X90" s="18" t="n">
        <v>172.9</v>
      </c>
      <c r="Y90" s="18" t="n">
        <v>0</v>
      </c>
      <c r="Z90" s="37" t="n">
        <v>342.3</v>
      </c>
      <c r="AA90" s="18" t="n">
        <v>87.41</v>
      </c>
      <c r="AB90" s="19" t="n">
        <v>88.20999999999999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K91" s="9" t="n"/>
      <c r="P91" s="9" t="n"/>
      <c r="U91" s="9" t="n"/>
      <c r="V91" s="18" t="n">
        <v>1764</v>
      </c>
      <c r="W91" s="18" t="n">
        <v>13800</v>
      </c>
      <c r="X91" s="18" t="n">
        <v>6400</v>
      </c>
      <c r="Z91" s="9" t="n"/>
      <c r="AA91" s="18" t="n">
        <v>17100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IFERROR(AC16*변수!AC27,"")</f>
        <v/>
      </c>
      <c r="AD17" s="20">
        <f>IFERROR(AD16*변수!AD27,"")</f>
        <v/>
      </c>
      <c r="AE17" s="38">
        <f>SUM(AA17:AD17)</f>
        <v/>
      </c>
      <c r="AF17" s="20">
        <f>IFERROR(AF16*변수!AF27,"")</f>
        <v/>
      </c>
      <c r="AG17" s="20">
        <f>IFERROR(AG16*변수!AG27,"")</f>
        <v/>
      </c>
      <c r="AH17" s="20">
        <f>IFERROR(AH16*변수!AH27,"")</f>
        <v/>
      </c>
      <c r="AI17" s="20">
        <f>IFERROR(AI16*변수!AI27,"")</f>
        <v/>
      </c>
      <c r="AJ17" s="38">
        <f>SUM(AF17:AI17)</f>
        <v/>
      </c>
      <c r="AK17" s="20">
        <f>IFERROR(AK16*변수!AK27,"")</f>
        <v/>
      </c>
      <c r="AL17" s="20">
        <f>IFERROR(AL16*변수!AL27,"")</f>
        <v/>
      </c>
      <c r="AM17" s="20">
        <f>IFERROR(AM16*변수!AM27,"")</f>
        <v/>
      </c>
      <c r="AN17" s="20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SUM(Q18:T18)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7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7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7">
        <f>SUM(V19:Y19)</f>
        <v/>
      </c>
      <c r="AA19" s="18" t="n">
        <v>-14.64</v>
      </c>
      <c r="AB19" s="19" t="n">
        <v>18.35</v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24.354</v>
      </c>
      <c r="F30" s="28">
        <f>E30</f>
        <v/>
      </c>
      <c r="G30" s="27" t="n">
        <v>24.354</v>
      </c>
      <c r="H30" s="27" t="n">
        <v>24.354</v>
      </c>
      <c r="I30" s="27" t="n">
        <v>24.354</v>
      </c>
      <c r="J30" s="27" t="n">
        <v>24.354</v>
      </c>
      <c r="K30" s="28">
        <f>J30</f>
        <v/>
      </c>
      <c r="L30" s="27" t="n">
        <v>24.354</v>
      </c>
      <c r="M30" s="27" t="n">
        <v>24.354</v>
      </c>
      <c r="N30" s="27" t="n">
        <v>24.354</v>
      </c>
      <c r="O30" s="27" t="n">
        <v>24.354</v>
      </c>
      <c r="P30" s="28">
        <f>O30</f>
        <v/>
      </c>
      <c r="Q30" s="27" t="n">
        <v>24.354</v>
      </c>
      <c r="R30" s="27" t="n">
        <v>24.354</v>
      </c>
      <c r="S30" s="27" t="n">
        <v>24.354</v>
      </c>
      <c r="T30" s="27" t="n">
        <v>24.354</v>
      </c>
      <c r="U30" s="28">
        <f>T30</f>
        <v/>
      </c>
      <c r="V30" s="27" t="n">
        <v>24.173</v>
      </c>
      <c r="W30" s="27" t="n">
        <v>23.743</v>
      </c>
      <c r="X30" s="27" t="n">
        <v>23.743</v>
      </c>
      <c r="Y30" s="27" t="n">
        <v>23.743</v>
      </c>
      <c r="Z30" s="28">
        <f>Y30</f>
        <v/>
      </c>
      <c r="AA30" s="27" t="n">
        <v>23.743</v>
      </c>
      <c r="AB30" s="29" t="n">
        <v>23.743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7" t="n">
        <v>50</v>
      </c>
      <c r="G33" s="18" t="n"/>
      <c r="H33" s="18" t="n"/>
      <c r="I33" s="18" t="n"/>
      <c r="J33" s="18" t="n">
        <v>30</v>
      </c>
      <c r="K33" s="37">
        <f>SUM(G33:J33)</f>
        <v/>
      </c>
      <c r="L33" s="18" t="n"/>
      <c r="M33" s="18" t="n"/>
      <c r="N33" s="18" t="n"/>
      <c r="O33" s="18" t="n">
        <v>30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30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 t="n"/>
      <c r="K34" s="14">
        <f>J34</f>
        <v/>
      </c>
      <c r="L34" s="13" t="n"/>
      <c r="M34" s="13" t="n"/>
      <c r="N34" s="13">
        <f>IFERROR(변수!N18/(J31+L31+M31+N31),"")</f>
        <v/>
      </c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 t="n"/>
      <c r="AE34" s="40">
        <f>AD34</f>
        <v/>
      </c>
      <c r="AF34" s="39" t="n"/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7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7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7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7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7">
        <f>SUM(V36:Y36)</f>
        <v/>
      </c>
      <c r="AA36" s="18" t="n">
        <v>618.74</v>
      </c>
      <c r="AB36" s="19" t="n">
        <v>617.5700000000001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7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7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7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7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7">
        <f>SUM(V37:Y37)</f>
        <v/>
      </c>
      <c r="AA37" s="18" t="n">
        <v>4.63</v>
      </c>
      <c r="AB37" s="19" t="n">
        <v>28.56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0.43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