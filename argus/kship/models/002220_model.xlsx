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BS연결!$C$5:$AO$105</definedName>
    <definedName name="BS별도H">BS별도!$C$1:$AO$1</definedName>
    <definedName name="BS별도">BS별도!$C$5:$AO$91</definedName>
    <definedName name="SUBQH">subQ!$A$1:$AO$1</definedName>
    <definedName name="subQ">subQ!$A$5:$AO$41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(1+10.0%) — g=최근 4분기 합 YoY 10.0% 클립(−30~+50%), 연차별 절반 감쇠(가정)</t>
      </text>
    </comment>
    <comment ref="AD21" authorId="0" shapeId="0">
      <text>
        <t>모델값 역산(implied): v / 전년동기 − 1
전년동기 × (1+10.0%) — g=최근 4분기 합 YoY 10.0% 클립(−30~+50%), 연차별 절반 감쇠(가정)</t>
      </text>
    </comment>
    <comment ref="AF21" authorId="0" shapeId="0">
      <text>
        <t>모델값 역산(implied): v / 전년동기 − 1
전년동기 × (1+10.0%) — g=최근 4분기 합 YoY 10.0% 클립(−30~+50%), 연차별 절반 감쇠(가정)</t>
      </text>
    </comment>
    <comment ref="AG21" authorId="0" shapeId="0">
      <text>
        <t>모델값 역산(implied): v / 전년동기 − 1
전년동기 × (1+10.0%) — g=최근 4분기 합 YoY 10.0% 클립(−30~+50%), 연차별 절반 감쇠(가정)</t>
      </text>
    </comment>
    <comment ref="AH21" authorId="0" shapeId="0">
      <text>
        <t>모델값 역산(implied): v / 전년동기 − 1
전년동기 × (1+5.0%) — g=최근 4분기 합 YoY 10.0% 클립(−30~+50%), 연차별 절반 감쇠(가정)</t>
      </text>
    </comment>
    <comment ref="AI21" authorId="0" shapeId="0">
      <text>
        <t>모델값 역산(implied): v / 전년동기 − 1
전년동기 × (1+5.0%) — g=최근 4분기 합 YoY 10.0% 클립(−30~+50%), 연차별 절반 감쇠(가정)</t>
      </text>
    </comment>
    <comment ref="AK21" authorId="0" shapeId="0">
      <text>
        <t>모델값 역산(implied): v / 전년동기 − 1
전년동기 × (1+5.0%) — g=최근 4분기 합 YoY 10.0% 클립(−30~+50%), 연차별 절반 감쇠(가정)</t>
      </text>
    </comment>
    <comment ref="AL21" authorId="0" shapeId="0">
      <text>
        <t>모델값 역산(implied): v / 전년동기 − 1
전년동기 × (1+5.0%) — g=최근 4분기 합 YoY 10.0% 클립(−30~+50%), 연차별 절반 감쇠(가정)</t>
      </text>
    </comment>
    <comment ref="AM21" authorId="0" shapeId="0">
      <text>
        <t>모델값 역산(implied): v / 전년동기 − 1
전년동기 × (1+2.5%) — g=최근 4분기 합 YoY 10.0% 클립(−30~+50%), 연차별 절반 감쇠(가정)</t>
      </text>
    </comment>
    <comment ref="AN21" authorId="0" shapeId="0">
      <text>
        <t>모델값 역산(implied): v / 전년동기 − 1
전년동기 × (1+2.5%) — g=최근 4분기 합 YoY 10.0% 클립(−30~+50%), 연차별 절반 감쇠(가정)</t>
      </text>
    </comment>
    <comment ref="AC22" authorId="0" shapeId="0">
      <text>
        <t>3절 스칼라 '판관비율' 참조 — 숫자로 덮어쓰면 이 분기만 바뀐다
매출액 × 판관비율 6.02%(최근 4분기 중위)</t>
      </text>
    </comment>
    <comment ref="AD22" authorId="0" shapeId="0">
      <text>
        <t>3절 스칼라 '판관비율' 참조 — 숫자로 덮어쓰면 이 분기만 바뀐다
매출액 × 판관비율 6.02%(최근 4분기 중위)</t>
      </text>
    </comment>
    <comment ref="AF22" authorId="0" shapeId="0">
      <text>
        <t>3절 스칼라 '판관비율' 참조 — 숫자로 덮어쓰면 이 분기만 바뀐다
매출액 × 판관비율 6.02%(최근 4분기 중위)</t>
      </text>
    </comment>
    <comment ref="AG22" authorId="0" shapeId="0">
      <text>
        <t>3절 스칼라 '판관비율' 참조 — 숫자로 덮어쓰면 이 분기만 바뀐다
매출액 × 판관비율 6.02%(최근 4분기 중위)</t>
      </text>
    </comment>
    <comment ref="AH22" authorId="0" shapeId="0">
      <text>
        <t>3절 스칼라 '판관비율' 참조 — 숫자로 덮어쓰면 이 분기만 바뀐다
매출액 × 판관비율 6.02%(최근 4분기 중위)</t>
      </text>
    </comment>
    <comment ref="AI22" authorId="0" shapeId="0">
      <text>
        <t>3절 스칼라 '판관비율' 참조 — 숫자로 덮어쓰면 이 분기만 바뀐다
매출액 × 판관비율 6.02%(최근 4분기 중위)</t>
      </text>
    </comment>
    <comment ref="AK22" authorId="0" shapeId="0">
      <text>
        <t>3절 스칼라 '판관비율' 참조 — 숫자로 덮어쓰면 이 분기만 바뀐다
매출액 × 판관비율 6.02%(최근 4분기 중위)</t>
      </text>
    </comment>
    <comment ref="AL22" authorId="0" shapeId="0">
      <text>
        <t>3절 스칼라 '판관비율' 참조 — 숫자로 덮어쓰면 이 분기만 바뀐다
매출액 × 판관비율 6.02%(최근 4분기 중위)</t>
      </text>
    </comment>
    <comment ref="AM22" authorId="0" shapeId="0">
      <text>
        <t>3절 스칼라 '판관비율' 참조 — 숫자로 덮어쓰면 이 분기만 바뀐다
매출액 × 판관비율 6.02%(최근 4분기 중위)</t>
      </text>
    </comment>
    <comment ref="AN22" authorId="0" shapeId="0">
      <text>
        <t>3절 스칼라 '판관비율' 참조 — 숫자로 덮어쓰면 이 분기만 바뀐다
매출액 × 판관비율 6.02%(최근 4분기 중위)</t>
      </text>
    </comment>
    <comment ref="AC23" authorId="0" shapeId="0">
      <text>
        <t>모델값 역산(implied): v / 매출액
매출액 × OPM(최근 8분기 OPM 중위 0.6% 유지(클립 −20~40%))</t>
      </text>
    </comment>
    <comment ref="AD23" authorId="0" shapeId="0">
      <text>
        <t>모델값 역산(implied): v / 매출액
매출액 × OPM(최근 8분기 OPM 중위 0.6% 유지(클립 −20~40%))</t>
      </text>
    </comment>
    <comment ref="AF23" authorId="0" shapeId="0">
      <text>
        <t>모델값 역산(implied): v / 매출액
매출액 × OPM(최근 8분기 OPM 중위 0.6% 유지(클립 −20~40%))</t>
      </text>
    </comment>
    <comment ref="AG23" authorId="0" shapeId="0">
      <text>
        <t>모델값 역산(implied): v / 매출액
매출액 × OPM(최근 8분기 OPM 중위 0.6% 유지(클립 −20~40%))</t>
      </text>
    </comment>
    <comment ref="AH23" authorId="0" shapeId="0">
      <text>
        <t>모델값 역산(implied): v / 매출액
매출액 × OPM(최근 8분기 OPM 중위 0.6% 유지(클립 −20~40%))</t>
      </text>
    </comment>
    <comment ref="AI23" authorId="0" shapeId="0">
      <text>
        <t>모델값 역산(implied): v / 매출액
매출액 × OPM(최근 8분기 OPM 중위 0.6% 유지(클립 −20~40%))</t>
      </text>
    </comment>
    <comment ref="AK23" authorId="0" shapeId="0">
      <text>
        <t>모델값 역산(implied): v / 매출액
매출액 × OPM(최근 8분기 OPM 중위 0.6% 유지(클립 −20~40%))</t>
      </text>
    </comment>
    <comment ref="AL23" authorId="0" shapeId="0">
      <text>
        <t>모델값 역산(implied): v / 매출액
매출액 × OPM(최근 8분기 OPM 중위 0.6% 유지(클립 −20~40%))</t>
      </text>
    </comment>
    <comment ref="AM23" authorId="0" shapeId="0">
      <text>
        <t>모델값 역산(implied): v / 매출액
매출액 × OPM(최근 8분기 OPM 중위 0.6% 유지(클립 −20~40%))</t>
      </text>
    </comment>
    <comment ref="AN23" authorId="0" shapeId="0">
      <text>
        <t>모델값 역산(implied): v / 매출액
매출액 × OPM(최근 8분기 OPM 중위 0.6% 유지(클립 −20~40%))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일회성 미가정 → 0</t>
      </text>
    </comment>
    <comment ref="AD25" authorId="0" shapeId="0">
      <text>
        <t>모델값 역산(implied): 모델 v 그대로
일회성 미가정 → 0</t>
      </text>
    </comment>
    <comment ref="AF25" authorId="0" shapeId="0">
      <text>
        <t>모델값 역산(implied): 모델 v 그대로
일회성 미가정 → 0</t>
      </text>
    </comment>
    <comment ref="AG25" authorId="0" shapeId="0">
      <text>
        <t>모델값 역산(implied): 모델 v 그대로
일회성 미가정 → 0</t>
      </text>
    </comment>
    <comment ref="AH25" authorId="0" shapeId="0">
      <text>
        <t>모델값 역산(implied): 모델 v 그대로
일회성 미가정 → 0</t>
      </text>
    </comment>
    <comment ref="AI25" authorId="0" shapeId="0">
      <text>
        <t>모델값 역산(implied): 모델 v 그대로
일회성 미가정 → 0</t>
      </text>
    </comment>
    <comment ref="AK25" authorId="0" shapeId="0">
      <text>
        <t>모델값 역산(implied): 모델 v 그대로
일회성 미가정 → 0</t>
      </text>
    </comment>
    <comment ref="AL25" authorId="0" shapeId="0">
      <text>
        <t>모델값 역산(implied): 모델 v 그대로
일회성 미가정 → 0</t>
      </text>
    </comment>
    <comment ref="AM25" authorId="0" shapeId="0">
      <text>
        <t>모델값 역산(implied): 모델 v 그대로
일회성 미가정 → 0</t>
      </text>
    </comment>
    <comment ref="AN25" authorId="0" shapeId="0">
      <text>
        <t>모델값 역산(implied): 모델 v 그대로
일회성 미가정 → 0</t>
      </text>
    </comment>
    <comment ref="AC26" authorId="0" shapeId="0">
      <text>
        <t>모델값 역산(implied): 모델 v 그대로
최근 4분기 중위</t>
      </text>
    </comment>
    <comment ref="AD26" authorId="0" shapeId="0">
      <text>
        <t>모델값 역산(implied): 모델 v 그대로
최근 4분기 중위</t>
      </text>
    </comment>
    <comment ref="AF26" authorId="0" shapeId="0">
      <text>
        <t>모델값 역산(implied): 모델 v 그대로
최근 4분기 중위</t>
      </text>
    </comment>
    <comment ref="AG26" authorId="0" shapeId="0">
      <text>
        <t>모델값 역산(implied): 모델 v 그대로
최근 4분기 중위</t>
      </text>
    </comment>
    <comment ref="AH26" authorId="0" shapeId="0">
      <text>
        <t>모델값 역산(implied): 모델 v 그대로
최근 4분기 중위</t>
      </text>
    </comment>
    <comment ref="AI26" authorId="0" shapeId="0">
      <text>
        <t>모델값 역산(implied): 모델 v 그대로
최근 4분기 중위</t>
      </text>
    </comment>
    <comment ref="AK26" authorId="0" shapeId="0">
      <text>
        <t>모델값 역산(implied): 모델 v 그대로
최근 4분기 중위</t>
      </text>
    </comment>
    <comment ref="AL26" authorId="0" shapeId="0">
      <text>
        <t>모델값 역산(implied): 모델 v 그대로
최근 4분기 중위</t>
      </text>
    </comment>
    <comment ref="AM26" authorId="0" shapeId="0">
      <text>
        <t>모델값 역산(implied): 모델 v 그대로
최근 4분기 중위</t>
      </text>
    </comment>
    <comment ref="AN26" authorId="0" shapeId="0">
      <text>
        <t>모델값 역산(implied): 모델 v 그대로
최근 4분기 중위</t>
      </text>
    </comment>
    <comment ref="AC27" authorId="0" shapeId="0">
      <text>
        <t>모델값 역산(implied): v / 세전이익
max(세전, 0) × 세율 16.7%(최근 12분기 세전 합 ≤ 0 → 클립 대신 최근 8분기 중 세전 &gt; 0 인 2분기(2025Q2~2026Q2)의 법인세/세전 중위 16.7%)</t>
      </text>
    </comment>
    <comment ref="AD27" authorId="0" shapeId="0">
      <text>
        <t>모델값 역산(implied): v / 세전이익
max(세전, 0) × 세율 16.7%(최근 12분기 세전 합 ≤ 0 → 클립 대신 최근 8분기 중 세전 &gt; 0 인 2분기(2025Q2~2026Q2)의 법인세/세전 중위 16.7%)</t>
      </text>
    </comment>
    <comment ref="AF27" authorId="0" shapeId="0">
      <text>
        <t>모델값 역산(implied): v / 세전이익
max(세전, 0) × 세율 16.7%(최근 12분기 세전 합 ≤ 0 → 클립 대신 최근 8분기 중 세전 &gt; 0 인 2분기(2025Q2~2026Q2)의 법인세/세전 중위 16.7%)</t>
      </text>
    </comment>
    <comment ref="AG27" authorId="0" shapeId="0">
      <text>
        <t>모델값 역산(implied): v / 세전이익
max(세전, 0) × 세율 16.7%(최근 12분기 세전 합 ≤ 0 → 클립 대신 최근 8분기 중 세전 &gt; 0 인 2분기(2025Q2~2026Q2)의 법인세/세전 중위 16.7%)</t>
      </text>
    </comment>
    <comment ref="AH27" authorId="0" shapeId="0">
      <text>
        <t>모델값 역산(implied): v / 세전이익
max(세전, 0) × 세율 16.7%(최근 12분기 세전 합 ≤ 0 → 클립 대신 최근 8분기 중 세전 &gt; 0 인 2분기(2025Q2~2026Q2)의 법인세/세전 중위 16.7%)</t>
      </text>
    </comment>
    <comment ref="AI27" authorId="0" shapeId="0">
      <text>
        <t>모델값 역산(implied): v / 세전이익
max(세전, 0) × 세율 16.7%(최근 12분기 세전 합 ≤ 0 → 클립 대신 최근 8분기 중 세전 &gt; 0 인 2분기(2025Q2~2026Q2)의 법인세/세전 중위 16.7%)</t>
      </text>
    </comment>
    <comment ref="AK27" authorId="0" shapeId="0">
      <text>
        <t>모델값 역산(implied): v / 세전이익
max(세전, 0) × 세율 16.7%(최근 12분기 세전 합 ≤ 0 → 클립 대신 최근 8분기 중 세전 &gt; 0 인 2분기(2025Q2~2026Q2)의 법인세/세전 중위 16.7%)</t>
      </text>
    </comment>
    <comment ref="AL27" authorId="0" shapeId="0">
      <text>
        <t>모델값 역산(implied): v / 세전이익
max(세전, 0) × 세율 16.7%(최근 12분기 세전 합 ≤ 0 → 클립 대신 최근 8분기 중 세전 &gt; 0 인 2분기(2025Q2~2026Q2)의 법인세/세전 중위 16.7%)</t>
      </text>
    </comment>
    <comment ref="AM27" authorId="0" shapeId="0">
      <text>
        <t>모델값 역산(implied): v / 세전이익
max(세전, 0) × 세율 16.7%(최근 12분기 세전 합 ≤ 0 → 클립 대신 최근 8분기 중 세전 &gt; 0 인 2분기(2025Q2~2026Q2)의 법인세/세전 중위 16.7%)</t>
      </text>
    </comment>
    <comment ref="AN27" authorId="0" shapeId="0">
      <text>
        <t>모델값 역산(implied): v / 세전이익
max(세전, 0) × 세율 16.7%(최근 12분기 세전 합 ≤ 0 → 클립 대신 최근 8분기 중 세전 &gt; 0 인 2분기(2025Q2~2026Q2)의 법인세/세전 중위 16.7%)</t>
      </text>
    </comment>
    <comment ref="AC28" authorId="0" shapeId="0">
      <text>
        <t>3절 스칼라 '지배주주비중' 참조 — 숫자로 덮어쓰면 이 분기만 바뀐다
당기순이익 × (1 − 비지배 비중 0.0%, 최근 8분기 실측)</t>
      </text>
    </comment>
    <comment ref="AD28" authorId="0" shapeId="0">
      <text>
        <t>3절 스칼라 '지배주주비중' 참조 — 숫자로 덮어쓰면 이 분기만 바뀐다
당기순이익 × (1 − 비지배 비중 0.0%, 최근 8분기 실측)</t>
      </text>
    </comment>
    <comment ref="AF28" authorId="0" shapeId="0">
      <text>
        <t>3절 스칼라 '지배주주비중' 참조 — 숫자로 덮어쓰면 이 분기만 바뀐다
당기순이익 × (1 − 비지배 비중 0.0%, 최근 8분기 실측)</t>
      </text>
    </comment>
    <comment ref="AG28" authorId="0" shapeId="0">
      <text>
        <t>3절 스칼라 '지배주주비중' 참조 — 숫자로 덮어쓰면 이 분기만 바뀐다
당기순이익 × (1 − 비지배 비중 0.0%, 최근 8분기 실측)</t>
      </text>
    </comment>
    <comment ref="AH28" authorId="0" shapeId="0">
      <text>
        <t>3절 스칼라 '지배주주비중' 참조 — 숫자로 덮어쓰면 이 분기만 바뀐다
당기순이익 × (1 − 비지배 비중 0.0%, 최근 8분기 실측)</t>
      </text>
    </comment>
    <comment ref="AI28" authorId="0" shapeId="0">
      <text>
        <t>3절 스칼라 '지배주주비중' 참조 — 숫자로 덮어쓰면 이 분기만 바뀐다
당기순이익 × (1 − 비지배 비중 0.0%, 최근 8분기 실측)</t>
      </text>
    </comment>
    <comment ref="AK28" authorId="0" shapeId="0">
      <text>
        <t>3절 스칼라 '지배주주비중' 참조 — 숫자로 덮어쓰면 이 분기만 바뀐다
당기순이익 × (1 − 비지배 비중 0.0%, 최근 8분기 실측)</t>
      </text>
    </comment>
    <comment ref="AL28" authorId="0" shapeId="0">
      <text>
        <t>3절 스칼라 '지배주주비중' 참조 — 숫자로 덮어쓰면 이 분기만 바뀐다
당기순이익 × (1 − 비지배 비중 0.0%, 최근 8분기 실측)</t>
      </text>
    </comment>
    <comment ref="AM28" authorId="0" shapeId="0">
      <text>
        <t>3절 스칼라 '지배주주비중' 참조 — 숫자로 덮어쓰면 이 분기만 바뀐다
당기순이익 × (1 − 비지배 비중 0.0%, 최근 8분기 실측)</t>
      </text>
    </comment>
    <comment ref="AN28" authorId="0" shapeId="0">
      <text>
        <t>3절 스칼라 '지배주주비중' 참조 — 숫자로 덮어쓰면 이 분기만 바뀐다
당기순이익 × (1 − 비지배 비중 0.0%, 최근 8분기 실측)</t>
      </text>
    </comment>
    <comment ref="AC29" authorId="0" shapeId="0">
      <text>
        <t>모델값 역산(implied): v / 전분기 − 1
마지막 실적 유지(가정)</t>
      </text>
    </comment>
    <comment ref="AD29" authorId="0" shapeId="0">
      <text>
        <t>모델값 역산(implied): v / 전분기 − 1
마지막 실적 유지(가정)</t>
      </text>
    </comment>
    <comment ref="AF29" authorId="0" shapeId="0">
      <text>
        <t>모델값 역산(implied): v / 전분기 − 1
마지막 실적 유지(가정)</t>
      </text>
    </comment>
    <comment ref="AG29" authorId="0" shapeId="0">
      <text>
        <t>모델값 역산(implied): v / 전분기 − 1
마지막 실적 유지(가정)</t>
      </text>
    </comment>
    <comment ref="AH29" authorId="0" shapeId="0">
      <text>
        <t>모델값 역산(implied): v / 전분기 − 1
마지막 실적 유지(가정)</t>
      </text>
    </comment>
    <comment ref="AI29" authorId="0" shapeId="0">
      <text>
        <t>모델값 역산(implied): v / 전분기 − 1
마지막 실적 유지(가정)</t>
      </text>
    </comment>
    <comment ref="AK29" authorId="0" shapeId="0">
      <text>
        <t>모델값 역산(implied): v / 전분기 − 1
마지막 실적 유지(가정)</t>
      </text>
    </comment>
    <comment ref="AL29" authorId="0" shapeId="0">
      <text>
        <t>모델값 역산(implied): v / 전분기 − 1
마지막 실적 유지(가정)</t>
      </text>
    </comment>
    <comment ref="AM29" authorId="0" shapeId="0">
      <text>
        <t>모델값 역산(implied): v / 전분기 − 1
마지막 실적 유지(가정)</t>
      </text>
    </comment>
    <comment ref="AN29" authorId="0" shapeId="0">
      <text>
        <t>모델값 역산(implied): v / 전분기 − 1
마지막 실적 유지(가정)</t>
      </text>
    </comment>
    <comment ref="AC30" authorId="0" shapeId="0">
      <text>
        <t>모델값 역산(implied): 전분기(시트값) + 당기순이익(시트 수식값) − v
전분기 + 당기순이익 − 배당(Q2 지급 가정)</t>
      </text>
    </comment>
    <comment ref="AD30" authorId="0" shapeId="0">
      <text>
        <t>모델값 역산(implied): 전분기(시트값) + 당기순이익(시트 수식값) − v
전분기 + 당기순이익 − 배당(Q2 지급 가정)</t>
      </text>
    </comment>
    <comment ref="AF30" authorId="0" shapeId="0">
      <text>
        <t>모델값 역산(implied): 전분기(시트값) + 당기순이익(시트 수식값) − v
전분기 + 당기순이익 − 배당(Q2 지급 가정)</t>
      </text>
    </comment>
    <comment ref="AG30" authorId="0" shapeId="0">
      <text>
        <t>모델값 역산(implied): 전분기(시트값) + 당기순이익(시트 수식값) − v
전분기 + 당기순이익 − 배당(Q2 지급 가정)</t>
      </text>
    </comment>
    <comment ref="AH30" authorId="0" shapeId="0">
      <text>
        <t>모델값 역산(implied): 전분기(시트값) + 당기순이익(시트 수식값) − v
전분기 + 당기순이익 − 배당(Q2 지급 가정)</t>
      </text>
    </comment>
    <comment ref="AI30" authorId="0" shapeId="0">
      <text>
        <t>모델값 역산(implied): 전분기(시트값) + 당기순이익(시트 수식값) − v
전분기 + 당기순이익 − 배당(Q2 지급 가정)</t>
      </text>
    </comment>
    <comment ref="AK30" authorId="0" shapeId="0">
      <text>
        <t>모델값 역산(implied): 전분기(시트값) + 당기순이익(시트 수식값) − v
전분기 + 당기순이익 − 배당(Q2 지급 가정)</t>
      </text>
    </comment>
    <comment ref="AL30" authorId="0" shapeId="0">
      <text>
        <t>모델값 역산(implied): 전분기(시트값) + 당기순이익(시트 수식값) − v
전분기 + 당기순이익 − 배당(Q2 지급 가정)</t>
      </text>
    </comment>
    <comment ref="AM30" authorId="0" shapeId="0">
      <text>
        <t>모델값 역산(implied): 전분기(시트값) + 당기순이익(시트 수식값) − v
전분기 + 당기순이익 − 배당(Q2 지급 가정)</t>
      </text>
    </comment>
    <comment ref="AN30" authorId="0" shapeId="0">
      <text>
        <t>모델값 역산(implied): 전분기(시트값) + 당기순이익(시트 수식값) − v
전분기 + 당기순이익 − 배당(Q2 지급 가정)</t>
      </text>
    </comment>
    <comment ref="AC31" authorId="0" shapeId="0">
      <text>
        <t>모델값 역산(implied): 전분기(시트값) + 지배주주순이익(시트 수식값) − v
전분기 + 지배주주순이익 − 배당</t>
      </text>
    </comment>
    <comment ref="AD31" authorId="0" shapeId="0">
      <text>
        <t>모델값 역산(implied): 전분기(시트값) + 지배주주순이익(시트 수식값) − v
전분기 + 지배주주순이익 − 배당</t>
      </text>
    </comment>
    <comment ref="AF31" authorId="0" shapeId="0">
      <text>
        <t>모델값 역산(implied): 전분기(시트값) + 지배주주순이익(시트 수식값) − v
전분기 + 지배주주순이익 − 배당</t>
      </text>
    </comment>
    <comment ref="AG31" authorId="0" shapeId="0">
      <text>
        <t>모델값 역산(implied): 전분기(시트값) + 지배주주순이익(시트 수식값) − v
전분기 + 지배주주순이익 − 배당</t>
      </text>
    </comment>
    <comment ref="AH31" authorId="0" shapeId="0">
      <text>
        <t>모델값 역산(implied): 전분기(시트값) + 지배주주순이익(시트 수식값) − v
전분기 + 지배주주순이익 − 배당</t>
      </text>
    </comment>
    <comment ref="AI31" authorId="0" shapeId="0">
      <text>
        <t>모델값 역산(implied): 전분기(시트값) + 지배주주순이익(시트 수식값) − v
전분기 + 지배주주순이익 − 배당</t>
      </text>
    </comment>
    <comment ref="AK31" authorId="0" shapeId="0">
      <text>
        <t>모델값 역산(implied): 전분기(시트값) + 지배주주순이익(시트 수식값) − v
전분기 + 지배주주순이익 − 배당</t>
      </text>
    </comment>
    <comment ref="AL31" authorId="0" shapeId="0">
      <text>
        <t>모델값 역산(implied): 전분기(시트값) + 지배주주순이익(시트 수식값) − v
전분기 + 지배주주순이익 − 배당</t>
      </text>
    </comment>
    <comment ref="AM31" authorId="0" shapeId="0">
      <text>
        <t>모델값 역산(implied): 전분기(시트값) + 지배주주순이익(시트 수식값) − v
전분기 + 지배주주순이익 − 배당</t>
      </text>
    </comment>
    <comment ref="AN31" authorId="0" shapeId="0">
      <text>
        <t>모델값 역산(implied): 전분기(시트값) + 지배주주순이익(시트 수식값) − v
전분기 + 지배주주순이익 − 배당</t>
      </text>
    </comment>
    <comment ref="AC32" authorId="0" shapeId="0">
      <text>
        <t>모델값 역산(implied): v / 전분기 − 1
마지막 실적 유지(가정)</t>
      </text>
    </comment>
    <comment ref="AD32" authorId="0" shapeId="0">
      <text>
        <t>모델값 역산(implied): v / 전분기 − 1
마지막 실적 유지(가정)</t>
      </text>
    </comment>
    <comment ref="AF32" authorId="0" shapeId="0">
      <text>
        <t>모델값 역산(implied): v / 전분기 − 1
마지막 실적 유지(가정)</t>
      </text>
    </comment>
    <comment ref="AG32" authorId="0" shapeId="0">
      <text>
        <t>모델값 역산(implied): v / 전분기 − 1
마지막 실적 유지(가정)</t>
      </text>
    </comment>
    <comment ref="AH32" authorId="0" shapeId="0">
      <text>
        <t>모델값 역산(implied): v / 전분기 − 1
마지막 실적 유지(가정)</t>
      </text>
    </comment>
    <comment ref="AI32" authorId="0" shapeId="0">
      <text>
        <t>모델값 역산(implied): v / 전분기 − 1
마지막 실적 유지(가정)</t>
      </text>
    </comment>
    <comment ref="AK32" authorId="0" shapeId="0">
      <text>
        <t>모델값 역산(implied): v / 전분기 − 1
마지막 실적 유지(가정)</t>
      </text>
    </comment>
    <comment ref="AL32" authorId="0" shapeId="0">
      <text>
        <t>모델값 역산(implied): v / 전분기 − 1
마지막 실적 유지(가정)</t>
      </text>
    </comment>
    <comment ref="AM32" authorId="0" shapeId="0">
      <text>
        <t>모델값 역산(implied): v / 전분기 − 1
마지막 실적 유지(가정)</t>
      </text>
    </comment>
    <comment ref="AN32" authorId="0" shapeId="0">
      <text>
        <t>모델값 역산(implied): v / 전분기 − 1
마지막 실적 유지(가정)</t>
      </text>
    </comment>
    <comment ref="AC33" authorId="0" shapeId="0">
      <text>
        <t>모델값 역산(implied): v / 전분기 − 1
전분기 − FCF 근사[순이익 − 배당(감가상각비 없음 → CAPEX≈감가 가정, CAPEX 중위 14억은 행에만)] (운전자본 불변·총차입금 유지 가정 → 변동은 전부 현금)</t>
      </text>
    </comment>
    <comment ref="AD33" authorId="0" shapeId="0">
      <text>
        <t>모델값 역산(implied): v / 전분기 − 1
전분기 − FCF 근사[순이익 − 배당(감가상각비 없음 → CAPEX≈감가 가정, CAPEX 중위 14억은 행에만)] (운전자본 불변·총차입금 유지 가정 → 변동은 전부 현금)</t>
      </text>
    </comment>
    <comment ref="AF33" authorId="0" shapeId="0">
      <text>
        <t>모델값 역산(implied): v / 전분기 − 1
전분기 − FCF 근사[순이익 − 배당(감가상각비 없음 → CAPEX≈감가 가정, CAPEX 중위 14억은 행에만)] (운전자본 불변·총차입금 유지 가정 → 변동은 전부 현금)</t>
      </text>
    </comment>
    <comment ref="AG33" authorId="0" shapeId="0">
      <text>
        <t>모델값 역산(implied): v / 전분기 − 1
전분기 − FCF 근사[순이익 − 배당(감가상각비 없음 → CAPEX≈감가 가정, CAPEX 중위 14억은 행에만)] (운전자본 불변·총차입금 유지 가정 → 변동은 전부 현금)</t>
      </text>
    </comment>
    <comment ref="AH33" authorId="0" shapeId="0">
      <text>
        <t>모델값 역산(implied): v / 전분기 − 1
전분기 − FCF 근사[순이익 − 배당(감가상각비 없음 → CAPEX≈감가 가정, CAPEX 중위 14억은 행에만)] (운전자본 불변·총차입금 유지 가정 → 변동은 전부 현금)</t>
      </text>
    </comment>
    <comment ref="AI33" authorId="0" shapeId="0">
      <text>
        <t>모델값 역산(implied): v / 전분기 − 1
전분기 − FCF 근사[순이익 − 배당(감가상각비 없음 → CAPEX≈감가 가정, CAPEX 중위 14억은 행에만)] (운전자본 불변·총차입금 유지 가정 → 변동은 전부 현금)</t>
      </text>
    </comment>
    <comment ref="AK33" authorId="0" shapeId="0">
      <text>
        <t>모델값 역산(implied): v / 전분기 − 1
전분기 − FCF 근사[순이익 − 배당(감가상각비 없음 → CAPEX≈감가 가정, CAPEX 중위 14억은 행에만)] (운전자본 불변·총차입금 유지 가정 → 변동은 전부 현금)</t>
      </text>
    </comment>
    <comment ref="AL33" authorId="0" shapeId="0">
      <text>
        <t>모델값 역산(implied): v / 전분기 − 1
전분기 − FCF 근사[순이익 − 배당(감가상각비 없음 → CAPEX≈감가 가정, CAPEX 중위 14억은 행에만)] (운전자본 불변·총차입금 유지 가정 → 변동은 전부 현금)</t>
      </text>
    </comment>
    <comment ref="AM33" authorId="0" shapeId="0">
      <text>
        <t>모델값 역산(implied): v / 전분기 − 1
전분기 − FCF 근사[순이익 − 배당(감가상각비 없음 → CAPEX≈감가 가정, CAPEX 중위 14억은 행에만)] (운전자본 불변·총차입금 유지 가정 → 변동은 전부 현금)</t>
      </text>
    </comment>
    <comment ref="AN33" authorId="0" shapeId="0">
      <text>
        <t>모델값 역산(implied): v / 전분기 − 1
전분기 − FCF 근사[순이익 − 배당(감가상각비 없음 → CAPEX≈감가 가정, CAPEX 중위 14억은 행에만)] (운전자본 불변·총차입금 유지 가정 → 변동은 전부 현금)</t>
      </text>
    </comment>
    <comment ref="AC34" authorId="0" shapeId="0">
      <text>
        <t>모델값 역산(implied): v / 전분기 − 1
전분기 + FCF 근사 — 순차입금 롤과 같은 가정</t>
      </text>
    </comment>
    <comment ref="AD34" authorId="0" shapeId="0">
      <text>
        <t>모델값 역산(implied): v / 전분기 − 1
전분기 + FCF 근사 — 순차입금 롤과 같은 가정</t>
      </text>
    </comment>
    <comment ref="AF34" authorId="0" shapeId="0">
      <text>
        <t>모델값 역산(implied): v / 전분기 − 1
전분기 + FCF 근사 — 순차입금 롤과 같은 가정</t>
      </text>
    </comment>
    <comment ref="AG34" authorId="0" shapeId="0">
      <text>
        <t>모델값 역산(implied): v / 전분기 − 1
전분기 + FCF 근사 — 순차입금 롤과 같은 가정</t>
      </text>
    </comment>
    <comment ref="AH34" authorId="0" shapeId="0">
      <text>
        <t>모델값 역산(implied): v / 전분기 − 1
전분기 + FCF 근사 — 순차입금 롤과 같은 가정</t>
      </text>
    </comment>
    <comment ref="AI34" authorId="0" shapeId="0">
      <text>
        <t>모델값 역산(implied): v / 전분기 − 1
전분기 + FCF 근사 — 순차입금 롤과 같은 가정</t>
      </text>
    </comment>
    <comment ref="AK34" authorId="0" shapeId="0">
      <text>
        <t>모델값 역산(implied): v / 전분기 − 1
전분기 + FCF 근사 — 순차입금 롤과 같은 가정</t>
      </text>
    </comment>
    <comment ref="AL34" authorId="0" shapeId="0">
      <text>
        <t>모델값 역산(implied): v / 전분기 − 1
전분기 + FCF 근사 — 순차입금 롤과 같은 가정</t>
      </text>
    </comment>
    <comment ref="AM34" authorId="0" shapeId="0">
      <text>
        <t>모델값 역산(implied): v / 전분기 − 1
전분기 + FCF 근사 — 순차입금 롤과 같은 가정</t>
      </text>
    </comment>
    <comment ref="AN34" authorId="0" shapeId="0">
      <text>
        <t>모델값 역산(implied): v / 전분기 − 1
전분기 + FCF 근사 — 순차입금 롤과 같은 가정</t>
      </text>
    </comment>
    <comment ref="AC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8" authorId="0" shapeId="0">
      <text>
        <t>모델값 역산(implied): v / 전분기 − 1
유통주식수 유지 — fin.shares.common_outstanding(2026Q2)</t>
      </text>
    </comment>
    <comment ref="AD38" authorId="0" shapeId="0">
      <text>
        <t>모델값 역산(implied): v / 전분기 − 1
유통주식수 유지 — fin.shares.common_outstanding(2026Q2)</t>
      </text>
    </comment>
    <comment ref="AF38" authorId="0" shapeId="0">
      <text>
        <t>모델값 역산(implied): v / 전분기 − 1
유통주식수 유지 — fin.shares.common_outstanding(2026Q2)</t>
      </text>
    </comment>
    <comment ref="AG38" authorId="0" shapeId="0">
      <text>
        <t>모델값 역산(implied): v / 전분기 − 1
유통주식수 유지 — fin.shares.common_outstanding(2026Q2)</t>
      </text>
    </comment>
    <comment ref="AH38" authorId="0" shapeId="0">
      <text>
        <t>모델값 역산(implied): v / 전분기 − 1
유통주식수 유지 — fin.shares.common_outstanding(2026Q2)</t>
      </text>
    </comment>
    <comment ref="AI38" authorId="0" shapeId="0">
      <text>
        <t>모델값 역산(implied): v / 전분기 − 1
유통주식수 유지 — fin.shares.common_outstanding(2026Q2)</t>
      </text>
    </comment>
    <comment ref="AK38" authorId="0" shapeId="0">
      <text>
        <t>모델값 역산(implied): v / 전분기 − 1
유통주식수 유지 — fin.shares.common_outstanding(2026Q2)</t>
      </text>
    </comment>
    <comment ref="AL38" authorId="0" shapeId="0">
      <text>
        <t>모델값 역산(implied): v / 전분기 − 1
유통주식수 유지 — fin.shares.common_outstanding(2026Q2)</t>
      </text>
    </comment>
    <comment ref="AM38" authorId="0" shapeId="0">
      <text>
        <t>모델값 역산(implied): v / 전분기 − 1
유통주식수 유지 — fin.shares.common_outstanding(2026Q2)</t>
      </text>
    </comment>
    <comment ref="AN38" authorId="0" shapeId="0">
      <text>
        <t>모델값 역산(implied): v / 전분기 − 1
유통주식수 유지 — fin.shares.common_outstanding(2026Q2)</t>
      </text>
    </comment>
    <comment ref="AD39" authorId="0" shapeId="0">
      <text>
        <t>모델값 역산(implied): 모델 v 그대로
직전 결산 DPS 30원 유지</t>
      </text>
    </comment>
    <comment ref="AI39" authorId="0" shapeId="0">
      <text>
        <t>모델값 역산(implied): 모델 v 그대로
직전 결산 DPS 30원 유지</t>
      </text>
    </comment>
    <comment ref="AN39" authorId="0" shapeId="0">
      <text>
        <t>모델값 역산(implied): 모델 v 그대로
직전 결산 DPS 30원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(1+10.0%) — g=최근 4분기 합 YoY 10.0% 클립(−30~+50%), 연차별 절반 감쇠(가정)
[yoy]</t>
      </text>
    </comment>
    <comment ref="AD5" authorId="0" shapeId="0">
      <text>
        <t>추정: 전년동기 × (1+10.0%) — g=최근 4분기 합 YoY 10.0% 클립(−30~+50%), 연차별 절반 감쇠(가정)
[yoy]</t>
      </text>
    </comment>
    <comment ref="AF5" authorId="0" shapeId="0">
      <text>
        <t>추정: 전년동기 × (1+10.0%) — g=최근 4분기 합 YoY 10.0% 클립(−30~+50%), 연차별 절반 감쇠(가정)
[yoy]</t>
      </text>
    </comment>
    <comment ref="AG5" authorId="0" shapeId="0">
      <text>
        <t>추정: 전년동기 × (1+10.0%) — g=최근 4분기 합 YoY 10.0% 클립(−30~+50%), 연차별 절반 감쇠(가정)
[yoy]</t>
      </text>
    </comment>
    <comment ref="AH5" authorId="0" shapeId="0">
      <text>
        <t>추정: 전년동기 × (1+5.0%) — g=최근 4분기 합 YoY 10.0% 클립(−30~+50%), 연차별 절반 감쇠(가정)
[yoy]</t>
      </text>
    </comment>
    <comment ref="AI5" authorId="0" shapeId="0">
      <text>
        <t>추정: 전년동기 × (1+5.0%) — g=최근 4분기 합 YoY 10.0% 클립(−30~+50%), 연차별 절반 감쇠(가정)
[yoy]</t>
      </text>
    </comment>
    <comment ref="AK5" authorId="0" shapeId="0">
      <text>
        <t>추정: 전년동기 × (1+5.0%) — g=최근 4분기 합 YoY 10.0% 클립(−30~+50%), 연차별 절반 감쇠(가정)
[yoy]</t>
      </text>
    </comment>
    <comment ref="AL5" authorId="0" shapeId="0">
      <text>
        <t>추정: 전년동기 × (1+5.0%) — g=최근 4분기 합 YoY 10.0% 클립(−30~+50%), 연차별 절반 감쇠(가정)
[yoy]</t>
      </text>
    </comment>
    <comment ref="AM5" authorId="0" shapeId="0">
      <text>
        <t>추정: 전년동기 × (1+2.5%) — g=최근 4분기 합 YoY 10.0% 클립(−30~+50%), 연차별 절반 감쇠(가정)
[yoy]</t>
      </text>
    </comment>
    <comment ref="AN5" authorId="0" shapeId="0">
      <text>
        <t>추정: 전년동기 × (1+2.5%) — g=최근 4분기 합 YoY 10.0%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6.02%(최근 4분기 중위)
[ratio]</t>
      </text>
    </comment>
    <comment ref="AD8" authorId="0" shapeId="0">
      <text>
        <t>추정: 매출액 × 판관비율 6.02%(최근 4분기 중위)
[ratio]</t>
      </text>
    </comment>
    <comment ref="AF8" authorId="0" shapeId="0">
      <text>
        <t>추정: 매출액 × 판관비율 6.02%(최근 4분기 중위)
[ratio]</t>
      </text>
    </comment>
    <comment ref="AG8" authorId="0" shapeId="0">
      <text>
        <t>추정: 매출액 × 판관비율 6.02%(최근 4분기 중위)
[ratio]</t>
      </text>
    </comment>
    <comment ref="AH8" authorId="0" shapeId="0">
      <text>
        <t>추정: 매출액 × 판관비율 6.02%(최근 4분기 중위)
[ratio]</t>
      </text>
    </comment>
    <comment ref="AI8" authorId="0" shapeId="0">
      <text>
        <t>추정: 매출액 × 판관비율 6.02%(최근 4분기 중위)
[ratio]</t>
      </text>
    </comment>
    <comment ref="AK8" authorId="0" shapeId="0">
      <text>
        <t>추정: 매출액 × 판관비율 6.02%(최근 4분기 중위)
[ratio]</t>
      </text>
    </comment>
    <comment ref="AL8" authorId="0" shapeId="0">
      <text>
        <t>추정: 매출액 × 판관비율 6.02%(최근 4분기 중위)
[ratio]</t>
      </text>
    </comment>
    <comment ref="AM8" authorId="0" shapeId="0">
      <text>
        <t>추정: 매출액 × 판관비율 6.02%(최근 4분기 중위)
[ratio]</t>
      </text>
    </comment>
    <comment ref="AN8" authorId="0" shapeId="0">
      <text>
        <t>추정: 매출액 × 판관비율 6.02%(최근 4분기 중위)
[ratio]</t>
      </text>
    </comment>
    <comment ref="AC9" authorId="0" shapeId="0">
      <text>
        <t>추정: 매출액 × OPM(최근 8분기 OPM 중위 0.6% 유지(클립 −20~40%))
[ratio]</t>
      </text>
    </comment>
    <comment ref="AD9" authorId="0" shapeId="0">
      <text>
        <t>추정: 매출액 × OPM(최근 8분기 OPM 중위 0.6% 유지(클립 −20~40%))
[ratio]</t>
      </text>
    </comment>
    <comment ref="AF9" authorId="0" shapeId="0">
      <text>
        <t>추정: 매출액 × OPM(최근 8분기 OPM 중위 0.6% 유지(클립 −20~40%))
[ratio]</t>
      </text>
    </comment>
    <comment ref="AG9" authorId="0" shapeId="0">
      <text>
        <t>추정: 매출액 × OPM(최근 8분기 OPM 중위 0.6% 유지(클립 −20~40%))
[ratio]</t>
      </text>
    </comment>
    <comment ref="AH9" authorId="0" shapeId="0">
      <text>
        <t>추정: 매출액 × OPM(최근 8분기 OPM 중위 0.6% 유지(클립 −20~40%))
[ratio]</t>
      </text>
    </comment>
    <comment ref="AI9" authorId="0" shapeId="0">
      <text>
        <t>추정: 매출액 × OPM(최근 8분기 OPM 중위 0.6% 유지(클립 −20~40%))
[ratio]</t>
      </text>
    </comment>
    <comment ref="AK9" authorId="0" shapeId="0">
      <text>
        <t>추정: 매출액 × OPM(최근 8분기 OPM 중위 0.6% 유지(클립 −20~40%))
[ratio]</t>
      </text>
    </comment>
    <comment ref="AL9" authorId="0" shapeId="0">
      <text>
        <t>추정: 매출액 × OPM(최근 8분기 OPM 중위 0.6% 유지(클립 −20~40%))
[ratio]</t>
      </text>
    </comment>
    <comment ref="AM9" authorId="0" shapeId="0">
      <text>
        <t>추정: 매출액 × OPM(최근 8분기 OPM 중위 0.6% 유지(클립 −20~40%))
[ratio]</t>
      </text>
    </comment>
    <comment ref="AN9" authorId="0" shapeId="0">
      <text>
        <t>추정: 매출액 × OPM(최근 8분기 OPM 중위 0.6% 유지(클립 −20~40%))
[ratio]</t>
      </text>
    </comment>
    <comment ref="AC10" authorId="0" shapeId="0">
      <text>
        <t>추정: 최근 8분기 OPM 중위 0.6% 유지(클립 −20~40%)
[divide]</t>
      </text>
    </comment>
    <comment ref="AD10" authorId="0" shapeId="0">
      <text>
        <t>추정: 최근 8분기 OPM 중위 0.6% 유지(클립 −20~40%)
[divide]</t>
      </text>
    </comment>
    <comment ref="AF10" authorId="0" shapeId="0">
      <text>
        <t>추정: 최근 8분기 OPM 중위 0.6% 유지(클립 −20~40%)
[divide]</t>
      </text>
    </comment>
    <comment ref="AG10" authorId="0" shapeId="0">
      <text>
        <t>추정: 최근 8분기 OPM 중위 0.6% 유지(클립 −20~40%)
[divide]</t>
      </text>
    </comment>
    <comment ref="AH10" authorId="0" shapeId="0">
      <text>
        <t>추정: 최근 8분기 OPM 중위 0.6% 유지(클립 −20~40%)
[divide]</t>
      </text>
    </comment>
    <comment ref="AI10" authorId="0" shapeId="0">
      <text>
        <t>추정: 최근 8분기 OPM 중위 0.6% 유지(클립 −20~40%)
[divide]</t>
      </text>
    </comment>
    <comment ref="AK10" authorId="0" shapeId="0">
      <text>
        <t>추정: 최근 8분기 OPM 중위 0.6% 유지(클립 −20~40%)
[divide]</t>
      </text>
    </comment>
    <comment ref="AL10" authorId="0" shapeId="0">
      <text>
        <t>추정: 최근 8분기 OPM 중위 0.6% 유지(클립 −20~40%)
[divide]</t>
      </text>
    </comment>
    <comment ref="AM10" authorId="0" shapeId="0">
      <text>
        <t>추정: 최근 8분기 OPM 중위 0.6% 유지(클립 −20~40%)
[divide]</t>
      </text>
    </comment>
    <comment ref="AN10" authorId="0" shapeId="0">
      <text>
        <t>추정: 최근 8분기 OPM 중위 0.6% 유지(클립 −20~40%)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462억 × 3.32%(주석 이자수익 ÷ 평균 이자발생자산(2022Q2~2023Q1)) − 총차입금 1174억 × 7.70%(주석 이자비용 ÷ 평균 총차입금(2022Q2~2023Q1))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451억 × 3.32%(주석 이자수익 ÷ 평균 이자발생자산(2022Q2~2023Q1)) − 총차입금 1174억 × 7.70%(주석 이자비용 ÷ 평균 총차입금(2022Q2~2023Q1))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440억 × 3.32%(주석 이자수익 ÷ 평균 이자발생자산(2022Q2~2023Q1)) − 총차입금 1174억 × 7.70%(주석 이자비용 ÷ 평균 총차입금(2022Q2~2023Q1))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430억 × 3.32%(주석 이자수익 ÷ 평균 이자발생자산(2022Q2~2023Q1)) − 총차입금 1174억 × 7.70%(주석 이자비용 ÷ 평균 총차입금(2022Q2~2023Q1))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413억 × 3.32%(주석 이자수익 ÷ 평균 이자발생자산(2022Q2~2023Q1)) − 총차입금 1174억 × 7.70%(주석 이자비용 ÷ 평균 총차입금(2022Q2~2023Q1))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402억 × 3.32%(주석 이자수익 ÷ 평균 이자발생자산(2022Q2~2023Q1)) − 총차입금 1174억 × 7.70%(주석 이자비용 ÷ 평균 총차입금(2022Q2~2023Q1))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390억 × 3.32%(주석 이자수익 ÷ 평균 이자발생자산(2022Q2~2023Q1)) − 총차입금 1174억 × 7.70%(주석 이자비용 ÷ 평균 총차입금(2022Q2~2023Q1))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380억 × 3.32%(주석 이자수익 ÷ 평균 이자발생자산(2022Q2~2023Q1)) − 총차입금 1174억 × 7.70%(주석 이자비용 ÷ 평균 총차입금(2022Q2~2023Q1))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362억 × 3.32%(주석 이자수익 ÷ 평균 이자발생자산(2022Q2~2023Q1)) − 총차입금 1174억 × 7.70%(주석 이자비용 ÷ 평균 총차입금(2022Q2~2023Q1))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351억 × 3.32%(주석 이자수익 ÷ 평균 이자발생자산(2022Q2~2023Q1)) − 총차입금 1174억 × 7.70%(주석 이자비용 ÷ 평균 총차입금(2022Q2~2023Q1)) (연율) ÷ 4; 환율 효과는 환관련손익 행 별도
[identity]</t>
      </text>
    </comment>
    <comment ref="AC12" authorId="0" shapeId="0">
      <text>
        <t>추정: 이자발생자산 462억 × 3.32%(주석 이자수익 ÷ 평균 이자발생자산(2022Q2~2023Q1)) − 총차입금 1174억 × 7.70%(주석 이자비용 ÷ 평균 총차입금(2022Q2~2023Q1)) (연율) ÷ 4
[interest]</t>
      </text>
    </comment>
    <comment ref="AD12" authorId="0" shapeId="0">
      <text>
        <t>추정: 이자발생자산 451억 × 3.32%(주석 이자수익 ÷ 평균 이자발생자산(2022Q2~2023Q1)) − 총차입금 1174억 × 7.70%(주석 이자비용 ÷ 평균 총차입금(2022Q2~2023Q1)) (연율) ÷ 4
[interest]</t>
      </text>
    </comment>
    <comment ref="AF12" authorId="0" shapeId="0">
      <text>
        <t>추정: 이자발생자산 440억 × 3.32%(주석 이자수익 ÷ 평균 이자발생자산(2022Q2~2023Q1)) − 총차입금 1174억 × 7.70%(주석 이자비용 ÷ 평균 총차입금(2022Q2~2023Q1)) (연율) ÷ 4
[interest]</t>
      </text>
    </comment>
    <comment ref="AG12" authorId="0" shapeId="0">
      <text>
        <t>추정: 이자발생자산 430억 × 3.32%(주석 이자수익 ÷ 평균 이자발생자산(2022Q2~2023Q1)) − 총차입금 1174억 × 7.70%(주석 이자비용 ÷ 평균 총차입금(2022Q2~2023Q1)) (연율) ÷ 4
[interest]</t>
      </text>
    </comment>
    <comment ref="AH12" authorId="0" shapeId="0">
      <text>
        <t>추정: 이자발생자산 413억 × 3.32%(주석 이자수익 ÷ 평균 이자발생자산(2022Q2~2023Q1)) − 총차입금 1174억 × 7.70%(주석 이자비용 ÷ 평균 총차입금(2022Q2~2023Q1)) (연율) ÷ 4
[interest]</t>
      </text>
    </comment>
    <comment ref="AI12" authorId="0" shapeId="0">
      <text>
        <t>추정: 이자발생자산 402억 × 3.32%(주석 이자수익 ÷ 평균 이자발생자산(2022Q2~2023Q1)) − 총차입금 1174억 × 7.70%(주석 이자비용 ÷ 평균 총차입금(2022Q2~2023Q1)) (연율) ÷ 4
[interest]</t>
      </text>
    </comment>
    <comment ref="AK12" authorId="0" shapeId="0">
      <text>
        <t>추정: 이자발생자산 390억 × 3.32%(주석 이자수익 ÷ 평균 이자발생자산(2022Q2~2023Q1)) − 총차입금 1174억 × 7.70%(주석 이자비용 ÷ 평균 총차입금(2022Q2~2023Q1)) (연율) ÷ 4
[interest]</t>
      </text>
    </comment>
    <comment ref="AL12" authorId="0" shapeId="0">
      <text>
        <t>추정: 이자발생자산 380억 × 3.32%(주석 이자수익 ÷ 평균 이자발생자산(2022Q2~2023Q1)) − 총차입금 1174억 × 7.70%(주석 이자비용 ÷ 평균 총차입금(2022Q2~2023Q1)) (연율) ÷ 4
[interest]</t>
      </text>
    </comment>
    <comment ref="AM12" authorId="0" shapeId="0">
      <text>
        <t>추정: 이자발생자산 362억 × 3.32%(주석 이자수익 ÷ 평균 이자발생자산(2022Q2~2023Q1)) − 총차입금 1174억 × 7.70%(주석 이자비용 ÷ 평균 총차입금(2022Q2~2023Q1)) (연율) ÷ 4
[interest]</t>
      </text>
    </comment>
    <comment ref="AN12" authorId="0" shapeId="0">
      <text>
        <t>추정: 이자발생자산 351억 × 3.32%(주석 이자수익 ÷ 평균 이자발생자산(2022Q2~2023Q1)) − 총차입금 1174억 × 7.70%(주석 이자비용 ÷ 평균 총차입금(2022Q2~2023Q1)) (연율) ÷ 4
[interest]</t>
      </text>
    </comment>
    <comment ref="L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C14" authorId="0" shapeId="0">
      <text>
        <t>추정: 일회성 미가정 → 0
[abs]</t>
      </text>
    </comment>
    <comment ref="AD14" authorId="0" shapeId="0">
      <text>
        <t>추정: 일회성 미가정 → 0
[abs]</t>
      </text>
    </comment>
    <comment ref="AF14" authorId="0" shapeId="0">
      <text>
        <t>추정: 일회성 미가정 → 0
[abs]</t>
      </text>
    </comment>
    <comment ref="AG14" authorId="0" shapeId="0">
      <text>
        <t>추정: 일회성 미가정 → 0
[abs]</t>
      </text>
    </comment>
    <comment ref="AH14" authorId="0" shapeId="0">
      <text>
        <t>추정: 일회성 미가정 → 0
[abs]</t>
      </text>
    </comment>
    <comment ref="AI14" authorId="0" shapeId="0">
      <text>
        <t>추정: 일회성 미가정 → 0
[abs]</t>
      </text>
    </comment>
    <comment ref="AK14" authorId="0" shapeId="0">
      <text>
        <t>추정: 일회성 미가정 → 0
[abs]</t>
      </text>
    </comment>
    <comment ref="AL14" authorId="0" shapeId="0">
      <text>
        <t>추정: 일회성 미가정 → 0
[abs]</t>
      </text>
    </comment>
    <comment ref="AM14" authorId="0" shapeId="0">
      <text>
        <t>추정: 일회성 미가정 → 0
[abs]</t>
      </text>
    </comment>
    <comment ref="AN14" authorId="0" shapeId="0">
      <text>
        <t>추정: 일회성 미가정 → 0
[abs]</t>
      </text>
    </comment>
    <comment ref="AC15" authorId="0" shapeId="0">
      <text>
        <t>추정: 최근 4분기 중위
[abs]</t>
      </text>
    </comment>
    <comment ref="AD15" authorId="0" shapeId="0">
      <text>
        <t>추정: 최근 4분기 중위
[abs]</t>
      </text>
    </comment>
    <comment ref="AF15" authorId="0" shapeId="0">
      <text>
        <t>추정: 최근 4분기 중위
[abs]</t>
      </text>
    </comment>
    <comment ref="AG15" authorId="0" shapeId="0">
      <text>
        <t>추정: 최근 4분기 중위
[abs]</t>
      </text>
    </comment>
    <comment ref="AH15" authorId="0" shapeId="0">
      <text>
        <t>추정: 최근 4분기 중위
[abs]</t>
      </text>
    </comment>
    <comment ref="AI15" authorId="0" shapeId="0">
      <text>
        <t>추정: 최근 4분기 중위
[abs]</t>
      </text>
    </comment>
    <comment ref="AK15" authorId="0" shapeId="0">
      <text>
        <t>추정: 최근 4분기 중위
[abs]</t>
      </text>
    </comment>
    <comment ref="AL15" authorId="0" shapeId="0">
      <text>
        <t>추정: 최근 4분기 중위
[abs]</t>
      </text>
    </comment>
    <comment ref="AM15" authorId="0" shapeId="0">
      <text>
        <t>추정: 최근 4분기 중위
[abs]</t>
      </text>
    </comment>
    <comment ref="AN15" authorId="0" shapeId="0">
      <text>
        <t>추정: 최근 4분기 중위
[abs]</t>
      </text>
    </comment>
    <comment ref="AC16" authorId="0" shapeId="0">
      <text>
        <t>추정: 영업이익 + 금융손익 + 기타영업외 + 지분법 + 환관련(항등식)
[identity]</t>
      </text>
    </comment>
    <comment ref="AD16" authorId="0" shapeId="0">
      <text>
        <t>추정: 영업이익 + 금융손익 + 기타영업외 + 지분법 + 환관련(항등식)
[identity]</t>
      </text>
    </comment>
    <comment ref="AF16" authorId="0" shapeId="0">
      <text>
        <t>추정: 영업이익 + 금융손익 + 기타영업외 + 지분법 + 환관련(항등식)
[identity]</t>
      </text>
    </comment>
    <comment ref="AG16" authorId="0" shapeId="0">
      <text>
        <t>추정: 영업이익 + 금융손익 + 기타영업외 + 지분법 + 환관련(항등식)
[identity]</t>
      </text>
    </comment>
    <comment ref="AH16" authorId="0" shapeId="0">
      <text>
        <t>추정: 영업이익 + 금융손익 + 기타영업외 + 지분법 + 환관련(항등식)
[identity]</t>
      </text>
    </comment>
    <comment ref="AI16" authorId="0" shapeId="0">
      <text>
        <t>추정: 영업이익 + 금융손익 + 기타영업외 + 지분법 + 환관련(항등식)
[identity]</t>
      </text>
    </comment>
    <comment ref="AK16" authorId="0" shapeId="0">
      <text>
        <t>추정: 영업이익 + 금융손익 + 기타영업외 + 지분법 + 환관련(항등식)
[identity]</t>
      </text>
    </comment>
    <comment ref="AL16" authorId="0" shapeId="0">
      <text>
        <t>추정: 영업이익 + 금융손익 + 기타영업외 + 지분법 + 환관련(항등식)
[identity]</t>
      </text>
    </comment>
    <comment ref="AM16" authorId="0" shapeId="0">
      <text>
        <t>추정: 영업이익 + 금융손익 + 기타영업외 + 지분법 + 환관련(항등식)
[identity]</t>
      </text>
    </comment>
    <comment ref="AN16" authorId="0" shapeId="0">
      <text>
        <t>추정: 영업이익 + 금융손익 + 기타영업외 + 지분법 + 환관련(항등식)
[identity]</t>
      </text>
    </comment>
    <comment ref="AC17" authorId="0" shapeId="0">
      <text>
        <t>추정: max(세전, 0) × 세율 16.7%(최근 12분기 세전 합 ≤ 0 → 클립 대신 최근 8분기 중 세전 &gt; 0 인 2분기(2025Q2~2026Q2)의 법인세/세전 중위 16.7%)
[ratio]</t>
      </text>
    </comment>
    <comment ref="AD17" authorId="0" shapeId="0">
      <text>
        <t>추정: max(세전, 0) × 세율 16.7%(최근 12분기 세전 합 ≤ 0 → 클립 대신 최근 8분기 중 세전 &gt; 0 인 2분기(2025Q2~2026Q2)의 법인세/세전 중위 16.7%)
[ratio]</t>
      </text>
    </comment>
    <comment ref="AF17" authorId="0" shapeId="0">
      <text>
        <t>추정: max(세전, 0) × 세율 16.7%(최근 12분기 세전 합 ≤ 0 → 클립 대신 최근 8분기 중 세전 &gt; 0 인 2분기(2025Q2~2026Q2)의 법인세/세전 중위 16.7%)
[ratio]</t>
      </text>
    </comment>
    <comment ref="AG17" authorId="0" shapeId="0">
      <text>
        <t>추정: max(세전, 0) × 세율 16.7%(최근 12분기 세전 합 ≤ 0 → 클립 대신 최근 8분기 중 세전 &gt; 0 인 2분기(2025Q2~2026Q2)의 법인세/세전 중위 16.7%)
[ratio]</t>
      </text>
    </comment>
    <comment ref="AH17" authorId="0" shapeId="0">
      <text>
        <t>추정: max(세전, 0) × 세율 16.7%(최근 12분기 세전 합 ≤ 0 → 클립 대신 최근 8분기 중 세전 &gt; 0 인 2분기(2025Q2~2026Q2)의 법인세/세전 중위 16.7%)
[ratio]</t>
      </text>
    </comment>
    <comment ref="AI17" authorId="0" shapeId="0">
      <text>
        <t>추정: max(세전, 0) × 세율 16.7%(최근 12분기 세전 합 ≤ 0 → 클립 대신 최근 8분기 중 세전 &gt; 0 인 2분기(2025Q2~2026Q2)의 법인세/세전 중위 16.7%)
[ratio]</t>
      </text>
    </comment>
    <comment ref="AK17" authorId="0" shapeId="0">
      <text>
        <t>추정: max(세전, 0) × 세율 16.7%(최근 12분기 세전 합 ≤ 0 → 클립 대신 최근 8분기 중 세전 &gt; 0 인 2분기(2025Q2~2026Q2)의 법인세/세전 중위 16.7%)
[ratio]</t>
      </text>
    </comment>
    <comment ref="AL17" authorId="0" shapeId="0">
      <text>
        <t>추정: max(세전, 0) × 세율 16.7%(최근 12분기 세전 합 ≤ 0 → 클립 대신 최근 8분기 중 세전 &gt; 0 인 2분기(2025Q2~2026Q2)의 법인세/세전 중위 16.7%)
[ratio]</t>
      </text>
    </comment>
    <comment ref="AM17" authorId="0" shapeId="0">
      <text>
        <t>추정: max(세전, 0) × 세율 16.7%(최근 12분기 세전 합 ≤ 0 → 클립 대신 최근 8분기 중 세전 &gt; 0 인 2분기(2025Q2~2026Q2)의 법인세/세전 중위 16.7%)
[ratio]</t>
      </text>
    </comment>
    <comment ref="AN17" authorId="0" shapeId="0">
      <text>
        <t>추정: max(세전, 0) × 세율 16.7%(최근 12분기 세전 합 ≤ 0 → 클립 대신 최근 8분기 중 세전 &gt; 0 인 2분기(2025Q2~2026Q2)의 법인세/세전 중위 16.7%)
[ratio]</t>
      </text>
    </comment>
    <comment ref="AC18" authorId="0" shapeId="0">
      <text>
        <t>추정: 세전이익 − 법인세비용(항등식)
[identity]</t>
      </text>
    </comment>
    <comment ref="AD18" authorId="0" shapeId="0">
      <text>
        <t>추정: 세전이익 − 법인세비용(항등식)
[identity]</t>
      </text>
    </comment>
    <comment ref="AF18" authorId="0" shapeId="0">
      <text>
        <t>추정: 세전이익 − 법인세비용(항등식)
[identity]</t>
      </text>
    </comment>
    <comment ref="AG18" authorId="0" shapeId="0">
      <text>
        <t>추정: 세전이익 − 법인세비용(항등식)
[identity]</t>
      </text>
    </comment>
    <comment ref="AH18" authorId="0" shapeId="0">
      <text>
        <t>추정: 세전이익 − 법인세비용(항등식)
[identity]</t>
      </text>
    </comment>
    <comment ref="AI18" authorId="0" shapeId="0">
      <text>
        <t>추정: 세전이익 − 법인세비용(항등식)
[identity]</t>
      </text>
    </comment>
    <comment ref="AK18" authorId="0" shapeId="0">
      <text>
        <t>추정: 세전이익 − 법인세비용(항등식)
[identity]</t>
      </text>
    </comment>
    <comment ref="AL18" authorId="0" shapeId="0">
      <text>
        <t>추정: 세전이익 − 법인세비용(항등식)
[identity]</t>
      </text>
    </comment>
    <comment ref="AM18" authorId="0" shapeId="0">
      <text>
        <t>추정: 세전이익 − 법인세비용(항등식)
[identity]</t>
      </text>
    </comment>
    <comment ref="AN18" authorId="0" shapeId="0">
      <text>
        <t>추정: 세전이익 − 법인세비용(항등식)
[identity]</t>
      </text>
    </comment>
    <comment ref="L19" authorId="0" shapeId="0">
      <text>
        <t>실측(BS연결 시트에 (지배주주지분)당기순이익 2023.03 값 없음 — 모델값 직접) — fin.cons.is.당기순이익 − fin.cons.is.(비지배주주지분)당기순이익(파생)</t>
      </text>
    </comment>
    <comment ref="M19" authorId="0" shapeId="0">
      <text>
        <t>실측(BS연결 시트에 (지배주주지분)당기순이익 2023.06 값 없음 — 모델값 직접) — fin.cons.is.당기순이익 − fin.cons.is.(비지배주주지분)당기순이익(파생)</t>
      </text>
    </comment>
    <comment ref="N19" authorId="0" shapeId="0">
      <text>
        <t>실측(BS연결 시트에 (지배주주지분)당기순이익 2023.09 값 없음 — 모델값 직접) — fin.cons.is.당기순이익 − fin.cons.is.(비지배주주지분)당기순이익(파생)</t>
      </text>
    </comment>
    <comment ref="O19" authorId="0" shapeId="0">
      <text>
        <t>실측(BS연결 시트에 (지배주주지분)당기순이익 2023.12 값 없음 — 모델값 직접) — fin.cons.is.당기순이익 − fin.cons.is.(비지배주주지분)당기순이익(파생)</t>
      </text>
    </comment>
    <comment ref="Q19" authorId="0" shapeId="0">
      <text>
        <t>실측(BS연결 시트에 (지배주주지분)당기순이익 2024.03 값 없음 — 모델값 직접) — fin.cons.is.당기순이익 − fin.cons.is.(비지배주주지분)당기순이익(파생)</t>
      </text>
    </comment>
    <comment ref="R19" authorId="0" shapeId="0">
      <text>
        <t>실측(BS연결 시트에 (지배주주지분)당기순이익 2024.06 값 없음 — 모델값 직접) — fin.cons.is.당기순이익 − fin.cons.is.(비지배주주지분)당기순이익(파생)</t>
      </text>
    </comment>
    <comment ref="S19" authorId="0" shapeId="0">
      <text>
        <t>실측(BS연결 시트에 (지배주주지분)당기순이익 2024.09 값 없음 — 모델값 직접) — fin.cons.is.당기순이익 − fin.cons.is.(비지배주주지분)당기순이익(파생)</t>
      </text>
    </comment>
    <comment ref="T19" authorId="0" shapeId="0">
      <text>
        <t>실측(BS연결 시트에 (지배주주지분)당기순이익 2024.12 값 없음 — 모델값 직접) — fin.cons.is.당기순이익 − fin.cons.is.(비지배주주지분)당기순이익(파생)</t>
      </text>
    </comment>
    <comment ref="V19" authorId="0" shapeId="0">
      <text>
        <t>실측(BS연결 시트에 (지배주주지분)당기순이익 2025.03 값 없음 — 모델값 직접) — fin.cons.is.당기순이익 − fin.cons.is.(비지배주주지분)당기순이익(파생)</t>
      </text>
    </comment>
    <comment ref="W19" authorId="0" shapeId="0">
      <text>
        <t>실측(BS연결 시트에 (지배주주지분)당기순이익 2025.06 값 없음 — 모델값 직접) — fin.cons.is.당기순이익 − fin.cons.is.(비지배주주지분)당기순이익(파생)</t>
      </text>
    </comment>
    <comment ref="X19" authorId="0" shapeId="0">
      <text>
        <t>실측(BS연결 시트에 (지배주주지분)당기순이익 2025.09 값 없음 — 모델값 직접) — fin.cons.is.당기순이익 − fin.cons.is.(비지배주주지분)당기순이익(파생)</t>
      </text>
    </comment>
    <comment ref="Y19" authorId="0" shapeId="0">
      <text>
        <t>실측(BS연결 시트에 (지배주주지분)당기순이익 2025.12 값 없음 — 모델값 직접) — fin.cons.is.당기순이익 − fin.cons.is.(비지배주주지분)당기순이익(파생)</t>
      </text>
    </comment>
    <comment ref="AA19" authorId="0" shapeId="0">
      <text>
        <t>실측(BS연결 시트에 (지배주주지분)당기순이익 2026.03 값 없음 — 모델값 직접) — fin.cons.is.당기순이익 − fin.cons.is.(비지배주주지분)당기순이익(파생)</t>
      </text>
    </comment>
    <comment ref="AB19" authorId="0" shapeId="0">
      <text>
        <t>실측(BS연결 시트에 (지배주주지분)당기순이익 2026.06 값 없음 — 모델값 직접) — fin.cons.is.당기순이익 − fin.cons.is.(비지배주주지분)당기순이익(파생)</t>
      </text>
    </comment>
    <comment ref="AC19" authorId="0" shapeId="0">
      <text>
        <t>추정: 당기순이익 × (1 − 비지배 비중 0.0%, 최근 8분기 실측)
[ratio]</t>
      </text>
    </comment>
    <comment ref="AD19" authorId="0" shapeId="0">
      <text>
        <t>추정: 당기순이익 × (1 − 비지배 비중 0.0%, 최근 8분기 실측)
[ratio]</t>
      </text>
    </comment>
    <comment ref="AF19" authorId="0" shapeId="0">
      <text>
        <t>추정: 당기순이익 × (1 − 비지배 비중 0.0%, 최근 8분기 실측)
[ratio]</t>
      </text>
    </comment>
    <comment ref="AG19" authorId="0" shapeId="0">
      <text>
        <t>추정: 당기순이익 × (1 − 비지배 비중 0.0%, 최근 8분기 실측)
[ratio]</t>
      </text>
    </comment>
    <comment ref="AH19" authorId="0" shapeId="0">
      <text>
        <t>추정: 당기순이익 × (1 − 비지배 비중 0.0%, 최근 8분기 실측)
[ratio]</t>
      </text>
    </comment>
    <comment ref="AI19" authorId="0" shapeId="0">
      <text>
        <t>추정: 당기순이익 × (1 − 비지배 비중 0.0%, 최근 8분기 실측)
[ratio]</t>
      </text>
    </comment>
    <comment ref="AK19" authorId="0" shapeId="0">
      <text>
        <t>추정: 당기순이익 × (1 − 비지배 비중 0.0%, 최근 8분기 실측)
[ratio]</t>
      </text>
    </comment>
    <comment ref="AL19" authorId="0" shapeId="0">
      <text>
        <t>추정: 당기순이익 × (1 − 비지배 비중 0.0%, 최근 8분기 실측)
[ratio]</t>
      </text>
    </comment>
    <comment ref="AM19" authorId="0" shapeId="0">
      <text>
        <t>추정: 당기순이익 × (1 − 비지배 비중 0.0%, 최근 8분기 실측)
[ratio]</t>
      </text>
    </comment>
    <comment ref="AN19" authorId="0" shapeId="0">
      <text>
        <t>추정: 당기순이익 × (1 − 비지배 비중 0.0%, 최근 8분기 실측)
[ratio]</t>
      </text>
    </comment>
    <comment ref="AC20" authorId="0" shapeId="0">
      <text>
        <t>추정: 부채총계 + 자본총계(항등식)
[identity]</t>
      </text>
    </comment>
    <comment ref="AD20" authorId="0" shapeId="0">
      <text>
        <t>추정: 부채총계 + 자본총계(항등식)
[identity]</t>
      </text>
    </comment>
    <comment ref="AF20" authorId="0" shapeId="0">
      <text>
        <t>추정: 부채총계 + 자본총계(항등식)
[identity]</t>
      </text>
    </comment>
    <comment ref="AG20" authorId="0" shapeId="0">
      <text>
        <t>추정: 부채총계 + 자본총계(항등식)
[identity]</t>
      </text>
    </comment>
    <comment ref="AH20" authorId="0" shapeId="0">
      <text>
        <t>추정: 부채총계 + 자본총계(항등식)
[identity]</t>
      </text>
    </comment>
    <comment ref="AI20" authorId="0" shapeId="0">
      <text>
        <t>추정: 부채총계 + 자본총계(항등식)
[identity]</t>
      </text>
    </comment>
    <comment ref="AK20" authorId="0" shapeId="0">
      <text>
        <t>추정: 부채총계 + 자본총계(항등식)
[identity]</t>
      </text>
    </comment>
    <comment ref="AL20" authorId="0" shapeId="0">
      <text>
        <t>추정: 부채총계 + 자본총계(항등식)
[identity]</t>
      </text>
    </comment>
    <comment ref="AM20" authorId="0" shapeId="0">
      <text>
        <t>추정: 부채총계 + 자본총계(항등식)
[identity]</t>
      </text>
    </comment>
    <comment ref="AN20" authorId="0" shapeId="0">
      <text>
        <t>추정: 부채총계 + 자본총계(항등식)
[identity]</t>
      </text>
    </comment>
    <comment ref="AC21" authorId="0" shapeId="0">
      <text>
        <t>추정: 마지막 실적 유지(가정)
[qoq]</t>
      </text>
    </comment>
    <comment ref="AD21" authorId="0" shapeId="0">
      <text>
        <t>추정: 마지막 실적 유지(가정)
[qoq]</t>
      </text>
    </comment>
    <comment ref="AF21" authorId="0" shapeId="0">
      <text>
        <t>추정: 마지막 실적 유지(가정)
[qoq]</t>
      </text>
    </comment>
    <comment ref="AG21" authorId="0" shapeId="0">
      <text>
        <t>추정: 마지막 실적 유지(가정)
[qoq]</t>
      </text>
    </comment>
    <comment ref="AH21" authorId="0" shapeId="0">
      <text>
        <t>추정: 마지막 실적 유지(가정)
[qoq]</t>
      </text>
    </comment>
    <comment ref="AI21" authorId="0" shapeId="0">
      <text>
        <t>추정: 마지막 실적 유지(가정)
[qoq]</t>
      </text>
    </comment>
    <comment ref="AK21" authorId="0" shapeId="0">
      <text>
        <t>추정: 마지막 실적 유지(가정)
[qoq]</t>
      </text>
    </comment>
    <comment ref="AL21" authorId="0" shapeId="0">
      <text>
        <t>추정: 마지막 실적 유지(가정)
[qoq]</t>
      </text>
    </comment>
    <comment ref="AM21" authorId="0" shapeId="0">
      <text>
        <t>추정: 마지막 실적 유지(가정)
[qoq]</t>
      </text>
    </comment>
    <comment ref="AN21" authorId="0" shapeId="0">
      <text>
        <t>추정: 마지막 실적 유지(가정)
[qoq]</t>
      </text>
    </comment>
    <comment ref="AC22" authorId="0" shapeId="0">
      <text>
        <t>추정: 전분기 + 당기순이익 − 배당(Q2 지급 가정)
[roll]</t>
      </text>
    </comment>
    <comment ref="AD22" authorId="0" shapeId="0">
      <text>
        <t>추정: 전분기 + 당기순이익 − 배당(Q2 지급 가정)
[roll]</t>
      </text>
    </comment>
    <comment ref="AF22" authorId="0" shapeId="0">
      <text>
        <t>추정: 전분기 + 당기순이익 − 배당(Q2 지급 가정)
[roll]</t>
      </text>
    </comment>
    <comment ref="AG22" authorId="0" shapeId="0">
      <text>
        <t>추정: 전분기 + 당기순이익 − 배당(Q2 지급 가정)
[roll]</t>
      </text>
    </comment>
    <comment ref="AH22" authorId="0" shapeId="0">
      <text>
        <t>추정: 전분기 + 당기순이익 − 배당(Q2 지급 가정)
[roll]</t>
      </text>
    </comment>
    <comment ref="AI22" authorId="0" shapeId="0">
      <text>
        <t>추정: 전분기 + 당기순이익 − 배당(Q2 지급 가정)
[roll]</t>
      </text>
    </comment>
    <comment ref="AK22" authorId="0" shapeId="0">
      <text>
        <t>추정: 전분기 + 당기순이익 − 배당(Q2 지급 가정)
[roll]</t>
      </text>
    </comment>
    <comment ref="AL22" authorId="0" shapeId="0">
      <text>
        <t>추정: 전분기 + 당기순이익 − 배당(Q2 지급 가정)
[roll]</t>
      </text>
    </comment>
    <comment ref="AM22" authorId="0" shapeId="0">
      <text>
        <t>추정: 전분기 + 당기순이익 − 배당(Q2 지급 가정)
[roll]</t>
      </text>
    </comment>
    <comment ref="AN22" authorId="0" shapeId="0">
      <text>
        <t>추정: 전분기 + 당기순이익 − 배당(Q2 지급 가정)
[roll]</t>
      </text>
    </comment>
    <comment ref="AC23" authorId="0" shapeId="0">
      <text>
        <t>추정: 전분기 + 지배주주순이익 − 배당
[roll]</t>
      </text>
    </comment>
    <comment ref="AD23" authorId="0" shapeId="0">
      <text>
        <t>추정: 전분기 + 지배주주순이익 − 배당
[roll]</t>
      </text>
    </comment>
    <comment ref="AF23" authorId="0" shapeId="0">
      <text>
        <t>추정: 전분기 + 지배주주순이익 − 배당
[roll]</t>
      </text>
    </comment>
    <comment ref="AG23" authorId="0" shapeId="0">
      <text>
        <t>추정: 전분기 + 지배주주순이익 − 배당
[roll]</t>
      </text>
    </comment>
    <comment ref="AH23" authorId="0" shapeId="0">
      <text>
        <t>추정: 전분기 + 지배주주순이익 − 배당
[roll]</t>
      </text>
    </comment>
    <comment ref="AI23" authorId="0" shapeId="0">
      <text>
        <t>추정: 전분기 + 지배주주순이익 − 배당
[roll]</t>
      </text>
    </comment>
    <comment ref="AK23" authorId="0" shapeId="0">
      <text>
        <t>추정: 전분기 + 지배주주순이익 − 배당
[roll]</t>
      </text>
    </comment>
    <comment ref="AL23" authorId="0" shapeId="0">
      <text>
        <t>추정: 전분기 + 지배주주순이익 − 배당
[roll]</t>
      </text>
    </comment>
    <comment ref="AM23" authorId="0" shapeId="0">
      <text>
        <t>추정: 전분기 + 지배주주순이익 − 배당
[roll]</t>
      </text>
    </comment>
    <comment ref="AN23" authorId="0" shapeId="0">
      <text>
        <t>추정: 전분기 + 지배주주순이익 − 배당
[roll]</t>
      </text>
    </comment>
    <comment ref="AC24" authorId="0" shapeId="0">
      <text>
        <t>추정: 마지막 실적 유지(가정)
[qoq]</t>
      </text>
    </comment>
    <comment ref="AD24" authorId="0" shapeId="0">
      <text>
        <t>추정: 마지막 실적 유지(가정)
[qoq]</t>
      </text>
    </comment>
    <comment ref="AF24" authorId="0" shapeId="0">
      <text>
        <t>추정: 마지막 실적 유지(가정)
[qoq]</t>
      </text>
    </comment>
    <comment ref="AG24" authorId="0" shapeId="0">
      <text>
        <t>추정: 마지막 실적 유지(가정)
[qoq]</t>
      </text>
    </comment>
    <comment ref="AH24" authorId="0" shapeId="0">
      <text>
        <t>추정: 마지막 실적 유지(가정)
[qoq]</t>
      </text>
    </comment>
    <comment ref="AI24" authorId="0" shapeId="0">
      <text>
        <t>추정: 마지막 실적 유지(가정)
[qoq]</t>
      </text>
    </comment>
    <comment ref="AK24" authorId="0" shapeId="0">
      <text>
        <t>추정: 마지막 실적 유지(가정)
[qoq]</t>
      </text>
    </comment>
    <comment ref="AL24" authorId="0" shapeId="0">
      <text>
        <t>추정: 마지막 실적 유지(가정)
[qoq]</t>
      </text>
    </comment>
    <comment ref="AM24" authorId="0" shapeId="0">
      <text>
        <t>추정: 마지막 실적 유지(가정)
[qoq]</t>
      </text>
    </comment>
    <comment ref="AN24" authorId="0" shapeId="0">
      <text>
        <t>추정: 마지막 실적 유지(가정)
[qoq]</t>
      </text>
    </comment>
    <comment ref="AC25" authorId="0" shapeId="0">
      <text>
        <t>추정: 전분기 − FCF 근사[순이익 − 배당(감가상각비 없음 → CAPEX≈감가 가정, CAPEX 중위 14억은 행에만)] (운전자본 불변·총차입금 유지 가정 → 변동은 전부 현금)
[qoq]</t>
      </text>
    </comment>
    <comment ref="AD25" authorId="0" shapeId="0">
      <text>
        <t>추정: 전분기 − FCF 근사[순이익 − 배당(감가상각비 없음 → CAPEX≈감가 가정, CAPEX 중위 14억은 행에만)] (운전자본 불변·총차입금 유지 가정 → 변동은 전부 현금)
[qoq]</t>
      </text>
    </comment>
    <comment ref="AF25" authorId="0" shapeId="0">
      <text>
        <t>추정: 전분기 − FCF 근사[순이익 − 배당(감가상각비 없음 → CAPEX≈감가 가정, CAPEX 중위 14억은 행에만)] (운전자본 불변·총차입금 유지 가정 → 변동은 전부 현금)
[qoq]</t>
      </text>
    </comment>
    <comment ref="AG25" authorId="0" shapeId="0">
      <text>
        <t>추정: 전분기 − FCF 근사[순이익 − 배당(감가상각비 없음 → CAPEX≈감가 가정, CAPEX 중위 14억은 행에만)] (운전자본 불변·총차입금 유지 가정 → 변동은 전부 현금)
[qoq]</t>
      </text>
    </comment>
    <comment ref="AH25" authorId="0" shapeId="0">
      <text>
        <t>추정: 전분기 − FCF 근사[순이익 − 배당(감가상각비 없음 → CAPEX≈감가 가정, CAPEX 중위 14억은 행에만)] (운전자본 불변·총차입금 유지 가정 → 변동은 전부 현금)
[qoq]</t>
      </text>
    </comment>
    <comment ref="AI25" authorId="0" shapeId="0">
      <text>
        <t>추정: 전분기 − FCF 근사[순이익 − 배당(감가상각비 없음 → CAPEX≈감가 가정, CAPEX 중위 14억은 행에만)] (운전자본 불변·총차입금 유지 가정 → 변동은 전부 현금)
[qoq]</t>
      </text>
    </comment>
    <comment ref="AK25" authorId="0" shapeId="0">
      <text>
        <t>추정: 전분기 − FCF 근사[순이익 − 배당(감가상각비 없음 → CAPEX≈감가 가정, CAPEX 중위 14억은 행에만)] (운전자본 불변·총차입금 유지 가정 → 변동은 전부 현금)
[qoq]</t>
      </text>
    </comment>
    <comment ref="AL25" authorId="0" shapeId="0">
      <text>
        <t>추정: 전분기 − FCF 근사[순이익 − 배당(감가상각비 없음 → CAPEX≈감가 가정, CAPEX 중위 14억은 행에만)] (운전자본 불변·총차입금 유지 가정 → 변동은 전부 현금)
[qoq]</t>
      </text>
    </comment>
    <comment ref="AM25" authorId="0" shapeId="0">
      <text>
        <t>추정: 전분기 − FCF 근사[순이익 − 배당(감가상각비 없음 → CAPEX≈감가 가정, CAPEX 중위 14억은 행에만)] (운전자본 불변·총차입금 유지 가정 → 변동은 전부 현금)
[qoq]</t>
      </text>
    </comment>
    <comment ref="AN25" authorId="0" shapeId="0">
      <text>
        <t>추정: 전분기 − FCF 근사[순이익 − 배당(감가상각비 없음 → CAPEX≈감가 가정, CAPEX 중위 14억은 행에만)] (운전자본 불변·총차입금 유지 가정 → 변동은 전부 현금)
[qoq]</t>
      </text>
    </comment>
    <comment ref="AC26" authorId="0" shapeId="0">
      <text>
        <t>추정: 전분기 + FCF 근사 — 순차입금 롤과 같은 가정
[qoq]</t>
      </text>
    </comment>
    <comment ref="AD26" authorId="0" shapeId="0">
      <text>
        <t>추정: 전분기 + FCF 근사 — 순차입금 롤과 같은 가정
[qoq]</t>
      </text>
    </comment>
    <comment ref="AF26" authorId="0" shapeId="0">
      <text>
        <t>추정: 전분기 + FCF 근사 — 순차입금 롤과 같은 가정
[qoq]</t>
      </text>
    </comment>
    <comment ref="AG26" authorId="0" shapeId="0">
      <text>
        <t>추정: 전분기 + FCF 근사 — 순차입금 롤과 같은 가정
[qoq]</t>
      </text>
    </comment>
    <comment ref="AH26" authorId="0" shapeId="0">
      <text>
        <t>추정: 전분기 + FCF 근사 — 순차입금 롤과 같은 가정
[qoq]</t>
      </text>
    </comment>
    <comment ref="AI26" authorId="0" shapeId="0">
      <text>
        <t>추정: 전분기 + FCF 근사 — 순차입금 롤과 같은 가정
[qoq]</t>
      </text>
    </comment>
    <comment ref="AK26" authorId="0" shapeId="0">
      <text>
        <t>추정: 전분기 + FCF 근사 — 순차입금 롤과 같은 가정
[qoq]</t>
      </text>
    </comment>
    <comment ref="AL26" authorId="0" shapeId="0">
      <text>
        <t>추정: 전분기 + FCF 근사 — 순차입금 롤과 같은 가정
[qoq]</t>
      </text>
    </comment>
    <comment ref="AM26" authorId="0" shapeId="0">
      <text>
        <t>추정: 전분기 + FCF 근사 — 순차입금 롤과 같은 가정
[qoq]</t>
      </text>
    </comment>
    <comment ref="AN26" authorId="0" shapeId="0">
      <text>
        <t>추정: 전분기 + FCF 근사 — 순차입금 롤과 같은 가정
[qoq]</t>
      </text>
    </comment>
    <comment ref="AC28" authorId="0" shapeId="0">
      <text>
        <t>추정: 최근 4분기(2025Q3~2026Q2) CAPEX 중위 유지 — 순차입금 롤에 미반영(감가상각비 없음 → CAPEX≈감가 가정)
[yoy]</t>
      </text>
    </comment>
    <comment ref="AD28" authorId="0" shapeId="0">
      <text>
        <t>추정: 최근 4분기(2025Q3~2026Q2) CAPEX 중위 유지 — 순차입금 롤에 미반영(감가상각비 없음 → CAPEX≈감가 가정)
[yoy]</t>
      </text>
    </comment>
    <comment ref="AF28" authorId="0" shapeId="0">
      <text>
        <t>추정: 최근 4분기(2025Q3~2026Q2) CAPEX 중위 유지 — 순차입금 롤에 미반영(감가상각비 없음 → CAPEX≈감가 가정)
[yoy]</t>
      </text>
    </comment>
    <comment ref="AG28" authorId="0" shapeId="0">
      <text>
        <t>추정: 최근 4분기(2025Q3~2026Q2) CAPEX 중위 유지 — 순차입금 롤에 미반영(감가상각비 없음 → CAPEX≈감가 가정)
[yoy]</t>
      </text>
    </comment>
    <comment ref="AH28" authorId="0" shapeId="0">
      <text>
        <t>추정: 최근 4분기(2025Q3~2026Q2) CAPEX 중위 유지 — 순차입금 롤에 미반영(감가상각비 없음 → CAPEX≈감가 가정)
[yoy]</t>
      </text>
    </comment>
    <comment ref="AI28" authorId="0" shapeId="0">
      <text>
        <t>추정: 최근 4분기(2025Q3~2026Q2) CAPEX 중위 유지 — 순차입금 롤에 미반영(감가상각비 없음 → CAPEX≈감가 가정)
[yoy]</t>
      </text>
    </comment>
    <comment ref="AK28" authorId="0" shapeId="0">
      <text>
        <t>추정: 최근 4분기(2025Q3~2026Q2) CAPEX 중위 유지 — 순차입금 롤에 미반영(감가상각비 없음 → CAPEX≈감가 가정)
[yoy]</t>
      </text>
    </comment>
    <comment ref="AL28" authorId="0" shapeId="0">
      <text>
        <t>추정: 최근 4분기(2025Q3~2026Q2) CAPEX 중위 유지 — 순차입금 롤에 미반영(감가상각비 없음 → CAPEX≈감가 가정)
[yoy]</t>
      </text>
    </comment>
    <comment ref="AM28" authorId="0" shapeId="0">
      <text>
        <t>추정: 최근 4분기(2025Q3~2026Q2) CAPEX 중위 유지 — 순차입금 롤에 미반영(감가상각비 없음 → CAPEX≈감가 가정)
[yoy]</t>
      </text>
    </comment>
    <comment ref="AN28" authorId="0" shapeId="0">
      <text>
        <t>추정: 최근 4분기(2025Q3~2026Q2) CAPEX 중위 유지 — 순차입금 롤에 미반영(감가상각비 없음 → CAPEX≈감가 가정)
[yoy]</t>
      </text>
    </comment>
    <comment ref="E30" authorId="0" shapeId="0">
      <text>
        <t>실측(계정 매핑 없음(파생·부문·시세 행) — 모델값 직접) — fin.shares.common_outstanding</t>
      </text>
    </comment>
    <comment ref="G30" authorId="0" shapeId="0">
      <text>
        <t>실측(계정 매핑 없음(파생·부문·시세 행) — 모델값 직접) — fin.shares.common_outstanding</t>
      </text>
    </comment>
    <comment ref="H30" authorId="0" shapeId="0">
      <text>
        <t>실측(계정 매핑 없음(파생·부문·시세 행) — 모델값 직접) — fin.shares.common_outstanding</t>
      </text>
    </comment>
    <comment ref="I30" authorId="0" shapeId="0">
      <text>
        <t>실측(계정 매핑 없음(파생·부문·시세 행) — 모델값 직접) — fin.shares.common_outstanding</t>
      </text>
    </comment>
    <comment ref="J30" authorId="0" shapeId="0">
      <text>
        <t>실측(계정 매핑 없음(파생·부문·시세 행) — 모델값 직접) — fin.shares.common_outstanding</t>
      </text>
    </comment>
    <comment ref="L30" authorId="0" shapeId="0">
      <text>
        <t>실측(계정 매핑 없음(파생·부문·시세 행) — 모델값 직접) — fin.shares.common_outstanding</t>
      </text>
    </comment>
    <comment ref="M30" authorId="0" shapeId="0">
      <text>
        <t>실측(계정 매핑 없음(파생·부문·시세 행) — 모델값 직접) — fin.shares.common_outstanding</t>
      </text>
    </comment>
    <comment ref="N30" authorId="0" shapeId="0">
      <text>
        <t>실측(계정 매핑 없음(파생·부문·시세 행) — 모델값 직접) — fin.shares.common_outstanding</t>
      </text>
    </comment>
    <comment ref="O30" authorId="0" shapeId="0">
      <text>
        <t>실측(계정 매핑 없음(파생·부문·시세 행) — 모델값 직접) — fin.shares.common_outstanding</t>
      </text>
    </comment>
    <comment ref="Q30" authorId="0" shapeId="0">
      <text>
        <t>실측(계정 매핑 없음(파생·부문·시세 행) — 모델값 직접) — fin.shares.common_outstanding</t>
      </text>
    </comment>
    <comment ref="R30" authorId="0" shapeId="0">
      <text>
        <t>실측(계정 매핑 없음(파생·부문·시세 행) — 모델값 직접) — fin.shares.common_outstanding</t>
      </text>
    </comment>
    <comment ref="S30" authorId="0" shapeId="0">
      <text>
        <t>실측(계정 매핑 없음(파생·부문·시세 행) — 모델값 직접) — fin.shares.common_outstanding</t>
      </text>
    </comment>
    <comment ref="T30" authorId="0" shapeId="0">
      <text>
        <t>실측(계정 매핑 없음(파생·부문·시세 행) — 모델값 직접) — fin.shares.common_outstanding</t>
      </text>
    </comment>
    <comment ref="V30" authorId="0" shapeId="0">
      <text>
        <t>실측(계정 매핑 없음(파생·부문·시세 행) — 모델값 직접) — fin.shares.common_outstanding</t>
      </text>
    </comment>
    <comment ref="W30" authorId="0" shapeId="0">
      <text>
        <t>실측(계정 매핑 없음(파생·부문·시세 행) — 모델값 직접) — fin.shares.common_outstanding</t>
      </text>
    </comment>
    <comment ref="X30" authorId="0" shapeId="0">
      <text>
        <t>실측(계정 매핑 없음(파생·부문·시세 행) — 모델값 직접) — fin.shares.common_outstanding</t>
      </text>
    </comment>
    <comment ref="Y30" authorId="0" shapeId="0">
      <text>
        <t>실측(계정 매핑 없음(파생·부문·시세 행) — 모델값 직접) — fin.shares.common_outstanding</t>
      </text>
    </comment>
    <comment ref="AA30" authorId="0" shapeId="0">
      <text>
        <t>실측(계정 매핑 없음(파생·부문·시세 행) — 모델값 직접) — fin.shares.common_outstanding</t>
      </text>
    </comment>
    <comment ref="AB30" authorId="0" shapeId="0">
      <text>
        <t>실측(계정 매핑 없음(파생·부문·시세 행) — 모델값 직접) — fin.shares.common_outstanding</t>
      </text>
    </comment>
    <comment ref="AC30" authorId="0" shapeId="0">
      <text>
        <t>추정: 유통주식수 유지 — fin.shares.common_outstanding(2026Q2)
[qoq]</t>
      </text>
    </comment>
    <comment ref="AD30" authorId="0" shapeId="0">
      <text>
        <t>추정: 유통주식수 유지 — fin.shares.common_outstanding(2026Q2)
[qoq]</t>
      </text>
    </comment>
    <comment ref="AF30" authorId="0" shapeId="0">
      <text>
        <t>추정: 유통주식수 유지 — fin.shares.common_outstanding(2026Q2)
[qoq]</t>
      </text>
    </comment>
    <comment ref="AG30" authorId="0" shapeId="0">
      <text>
        <t>추정: 유통주식수 유지 — fin.shares.common_outstanding(2026Q2)
[qoq]</t>
      </text>
    </comment>
    <comment ref="AH30" authorId="0" shapeId="0">
      <text>
        <t>추정: 유통주식수 유지 — fin.shares.common_outstanding(2026Q2)
[qoq]</t>
      </text>
    </comment>
    <comment ref="AI30" authorId="0" shapeId="0">
      <text>
        <t>추정: 유통주식수 유지 — fin.shares.common_outstanding(2026Q2)
[qoq]</t>
      </text>
    </comment>
    <comment ref="AK30" authorId="0" shapeId="0">
      <text>
        <t>추정: 유통주식수 유지 — fin.shares.common_outstanding(2026Q2)
[qoq]</t>
      </text>
    </comment>
    <comment ref="AL30" authorId="0" shapeId="0">
      <text>
        <t>추정: 유통주식수 유지 — fin.shares.common_outstanding(2026Q2)
[qoq]</t>
      </text>
    </comment>
    <comment ref="AM30" authorId="0" shapeId="0">
      <text>
        <t>추정: 유통주식수 유지 — fin.shares.common_outstanding(2026Q2)
[qoq]</t>
      </text>
    </comment>
    <comment ref="AN30" authorId="0" shapeId="0">
      <text>
        <t>추정: 유통주식수 유지 — fin.shares.common_outstanding(2026Q2)
[qoq]</t>
      </text>
    </comment>
    <comment ref="AC31" authorId="0" shapeId="0">
      <text>
        <t>추정: 지배주주순이익 ÷ 유통주식수
[per_share]</t>
      </text>
    </comment>
    <comment ref="AD31" authorId="0" shapeId="0">
      <text>
        <t>추정: 지배주주순이익 ÷ 유통주식수
[per_share]</t>
      </text>
    </comment>
    <comment ref="AF31" authorId="0" shapeId="0">
      <text>
        <t>추정: 지배주주순이익 ÷ 유통주식수
[per_share]</t>
      </text>
    </comment>
    <comment ref="AG31" authorId="0" shapeId="0">
      <text>
        <t>추정: 지배주주순이익 ÷ 유통주식수
[per_share]</t>
      </text>
    </comment>
    <comment ref="AH31" authorId="0" shapeId="0">
      <text>
        <t>추정: 지배주주순이익 ÷ 유통주식수
[per_share]</t>
      </text>
    </comment>
    <comment ref="AI31" authorId="0" shapeId="0">
      <text>
        <t>추정: 지배주주순이익 ÷ 유통주식수
[per_share]</t>
      </text>
    </comment>
    <comment ref="AK31" authorId="0" shapeId="0">
      <text>
        <t>추정: 지배주주순이익 ÷ 유통주식수
[per_share]</t>
      </text>
    </comment>
    <comment ref="AL31" authorId="0" shapeId="0">
      <text>
        <t>추정: 지배주주순이익 ÷ 유통주식수
[per_share]</t>
      </text>
    </comment>
    <comment ref="AM31" authorId="0" shapeId="0">
      <text>
        <t>추정: 지배주주순이익 ÷ 유통주식수
[per_share]</t>
      </text>
    </comment>
    <comment ref="AN31" authorId="0" shapeId="0">
      <text>
        <t>추정: 지배주주순이익 ÷ 유통주식수
[per_share]</t>
      </text>
    </comment>
    <comment ref="AC32" authorId="0" shapeId="0">
      <text>
        <t>추정: 지배주주지분 ÷ 유통주식수
[per_share]</t>
      </text>
    </comment>
    <comment ref="AD32" authorId="0" shapeId="0">
      <text>
        <t>추정: 지배주주지분 ÷ 유통주식수
[per_share]</t>
      </text>
    </comment>
    <comment ref="AF32" authorId="0" shapeId="0">
      <text>
        <t>추정: 지배주주지분 ÷ 유통주식수
[per_share]</t>
      </text>
    </comment>
    <comment ref="AG32" authorId="0" shapeId="0">
      <text>
        <t>추정: 지배주주지분 ÷ 유통주식수
[per_share]</t>
      </text>
    </comment>
    <comment ref="AH32" authorId="0" shapeId="0">
      <text>
        <t>추정: 지배주주지분 ÷ 유통주식수
[per_share]</t>
      </text>
    </comment>
    <comment ref="AI32" authorId="0" shapeId="0">
      <text>
        <t>추정: 지배주주지분 ÷ 유통주식수
[per_share]</t>
      </text>
    </comment>
    <comment ref="AK32" authorId="0" shapeId="0">
      <text>
        <t>추정: 지배주주지분 ÷ 유통주식수
[per_share]</t>
      </text>
    </comment>
    <comment ref="AL32" authorId="0" shapeId="0">
      <text>
        <t>추정: 지배주주지분 ÷ 유통주식수
[per_share]</t>
      </text>
    </comment>
    <comment ref="AM32" authorId="0" shapeId="0">
      <text>
        <t>추정: 지배주주지분 ÷ 유통주식수
[per_share]</t>
      </text>
    </comment>
    <comment ref="AN32" authorId="0" shapeId="0">
      <text>
        <t>추정: 지배주주지분 ÷ 유통주식수
[per_share]</t>
      </text>
    </comment>
    <comment ref="E33" authorId="0" shapeId="0">
      <text>
        <t>실측(계정 매핑 없음(파생·부문·시세 행) — 모델값 직접) — fin.dividend.dps_common(연간, Q4 에 표기)</t>
      </text>
    </comment>
    <comment ref="F33" authorId="0" shapeId="0">
      <text>
        <t>연간(actual) — 분기 미완 연도, 모델 a 값 직접</t>
      </text>
    </comment>
    <comment ref="J33" authorId="0" shapeId="0">
      <text>
        <t>실측(계정 매핑 없음(파생·부문·시세 행) — 모델값 직접) — fin.dividend.dps_common(연간, Q4 에 표기)</t>
      </text>
    </comment>
    <comment ref="O33" authorId="0" shapeId="0">
      <text>
        <t>실측(계정 매핑 없음(파생·부문·시세 행) — 모델값 직접) — fin.dividend.dps_common(연간, Q4 에 표기)</t>
      </text>
    </comment>
    <comment ref="T33" authorId="0" shapeId="0">
      <text>
        <t>실측(계정 매핑 없음(파생·부문·시세 행) — 모델값 직접) — fin.dividend.dps_common(연간, Q4 에 표기)</t>
      </text>
    </comment>
    <comment ref="Y33" authorId="0" shapeId="0">
      <text>
        <t>실측(계정 매핑 없음(파생·부문·시세 행) — 모델값 직접) — fin.dividend.dps_common(연간, Q4 에 표기)</t>
      </text>
    </comment>
    <comment ref="AD33" authorId="0" shapeId="0">
      <text>
        <t>추정: 직전 결산 DPS 30원 유지
[abs]</t>
      </text>
    </comment>
    <comment ref="AI33" authorId="0" shapeId="0">
      <text>
        <t>추정: 직전 결산 DPS 30원 유지
[abs]</t>
      </text>
    </comment>
    <comment ref="AN33" authorId="0" shapeId="0">
      <text>
        <t>추정: 직전 결산 DPS 30원 유지
[abs]</t>
      </text>
    </comment>
    <comment ref="AC35" authorId="0" shapeId="0">
      <text>
        <t>추정: 현재 종가 ÷ BPS(추정 포함)
[valuation]</t>
      </text>
    </comment>
    <comment ref="AD35" authorId="0" shapeId="0">
      <text>
        <t>추정: 현재 종가 ÷ BPS(추정 포함)
[valuation]</t>
      </text>
    </comment>
    <comment ref="AF35" authorId="0" shapeId="0">
      <text>
        <t>추정: 현재 종가 ÷ BPS(추정 포함)
[valuation]</t>
      </text>
    </comment>
    <comment ref="AG35" authorId="0" shapeId="0">
      <text>
        <t>추정: 현재 종가 ÷ BPS(추정 포함)
[valuation]</t>
      </text>
    </comment>
    <comment ref="AH35" authorId="0" shapeId="0">
      <text>
        <t>추정: 현재 종가 ÷ BPS(추정 포함)
[valuation]</t>
      </text>
    </comment>
    <comment ref="AI35" authorId="0" shapeId="0">
      <text>
        <t>추정: 현재 종가 ÷ BPS(추정 포함)
[valuation]</t>
      </text>
    </comment>
    <comment ref="AK35" authorId="0" shapeId="0">
      <text>
        <t>추정: 현재 종가 ÷ BPS(추정 포함)
[valuation]</t>
      </text>
    </comment>
    <comment ref="AL35" authorId="0" shapeId="0">
      <text>
        <t>추정: 현재 종가 ÷ BPS(추정 포함)
[valuation]</t>
      </text>
    </comment>
    <comment ref="AM35" authorId="0" shapeId="0">
      <text>
        <t>추정: 현재 종가 ÷ BPS(추정 포함)
[valuation]</t>
      </text>
    </comment>
    <comment ref="AN35" authorId="0" shapeId="0">
      <text>
        <t>추정: 현재 종가 ÷ BPS(추정 포함)
[valuation]</t>
      </text>
    </comment>
    <comment ref="E36" authorId="0" shapeId="0">
      <text>
        <t>실측(계정 매핑 없음(파생·부문·시세 행) — 모델값 직접) — = 매출액(부문 미분리)</t>
      </text>
    </comment>
    <comment ref="G36" authorId="0" shapeId="0">
      <text>
        <t>실측(계정 매핑 없음(파생·부문·시세 행) — 모델값 직접) — = 매출액(부문 미분리)</t>
      </text>
    </comment>
    <comment ref="H36" authorId="0" shapeId="0">
      <text>
        <t>실측(계정 매핑 없음(파생·부문·시세 행) — 모델값 직접) — = 매출액(부문 미분리)</t>
      </text>
    </comment>
    <comment ref="I36" authorId="0" shapeId="0">
      <text>
        <t>실측(계정 매핑 없음(파생·부문·시세 행) — 모델값 직접) — = 매출액(부문 미분리)</t>
      </text>
    </comment>
    <comment ref="J36" authorId="0" shapeId="0">
      <text>
        <t>실측(계정 매핑 없음(파생·부문·시세 행) — 모델값 직접) — = 매출액(부문 미분리)</t>
      </text>
    </comment>
    <comment ref="L36" authorId="0" shapeId="0">
      <text>
        <t>실측(계정 매핑 없음(파생·부문·시세 행) — 모델값 직접) — = 매출액(부문 미분리)</t>
      </text>
    </comment>
    <comment ref="M36" authorId="0" shapeId="0">
      <text>
        <t>실측(계정 매핑 없음(파생·부문·시세 행) — 모델값 직접) — = 매출액(부문 미분리)</t>
      </text>
    </comment>
    <comment ref="N36" authorId="0" shapeId="0">
      <text>
        <t>실측(계정 매핑 없음(파생·부문·시세 행) — 모델값 직접) — = 매출액(부문 미분리)</t>
      </text>
    </comment>
    <comment ref="O36" authorId="0" shapeId="0">
      <text>
        <t>실측(계정 매핑 없음(파생·부문·시세 행) — 모델값 직접) — = 매출액(부문 미분리)</t>
      </text>
    </comment>
    <comment ref="Q36" authorId="0" shapeId="0">
      <text>
        <t>실측(계정 매핑 없음(파생·부문·시세 행) — 모델값 직접) — = 매출액(부문 미분리)</t>
      </text>
    </comment>
    <comment ref="R36" authorId="0" shapeId="0">
      <text>
        <t>실측(계정 매핑 없음(파생·부문·시세 행) — 모델값 직접) — = 매출액(부문 미분리)</t>
      </text>
    </comment>
    <comment ref="S36" authorId="0" shapeId="0">
      <text>
        <t>실측(계정 매핑 없음(파생·부문·시세 행) — 모델값 직접) — = 매출액(부문 미분리)</t>
      </text>
    </comment>
    <comment ref="T36" authorId="0" shapeId="0">
      <text>
        <t>실측(계정 매핑 없음(파생·부문·시세 행) — 모델값 직접) — = 매출액(부문 미분리)</t>
      </text>
    </comment>
    <comment ref="V36" authorId="0" shapeId="0">
      <text>
        <t>실측(계정 매핑 없음(파생·부문·시세 행) — 모델값 직접) — = 매출액(부문 미분리)</t>
      </text>
    </comment>
    <comment ref="W36" authorId="0" shapeId="0">
      <text>
        <t>실측(계정 매핑 없음(파생·부문·시세 행) — 모델값 직접) — = 매출액(부문 미분리)</t>
      </text>
    </comment>
    <comment ref="X36" authorId="0" shapeId="0">
      <text>
        <t>실측(계정 매핑 없음(파생·부문·시세 행) — 모델값 직접) — = 매출액(부문 미분리)</t>
      </text>
    </comment>
    <comment ref="Y36" authorId="0" shapeId="0">
      <text>
        <t>실측(계정 매핑 없음(파생·부문·시세 행) — 모델값 직접) — = 매출액(부문 미분리)</t>
      </text>
    </comment>
    <comment ref="AA36" authorId="0" shapeId="0">
      <text>
        <t>실측(계정 매핑 없음(파생·부문·시세 행) — 모델값 직접) — = 매출액(부문 미분리)</t>
      </text>
    </comment>
    <comment ref="AB36" authorId="0" shapeId="0">
      <text>
        <t>실측(계정 매핑 없음(파생·부문·시세 행) — 모델값 직접) — = 매출액(부문 미분리)</t>
      </text>
    </comment>
    <comment ref="AC36" authorId="0" shapeId="0">
      <text>
        <t>추정: = 매출액 추정(부문 미분리)
[identity]</t>
      </text>
    </comment>
    <comment ref="AD36" authorId="0" shapeId="0">
      <text>
        <t>추정: = 매출액 추정(부문 미분리)
[identity]</t>
      </text>
    </comment>
    <comment ref="AF36" authorId="0" shapeId="0">
      <text>
        <t>추정: = 매출액 추정(부문 미분리)
[identity]</t>
      </text>
    </comment>
    <comment ref="AG36" authorId="0" shapeId="0">
      <text>
        <t>추정: = 매출액 추정(부문 미분리)
[identity]</t>
      </text>
    </comment>
    <comment ref="AH36" authorId="0" shapeId="0">
      <text>
        <t>추정: = 매출액 추정(부문 미분리)
[identity]</t>
      </text>
    </comment>
    <comment ref="AI36" authorId="0" shapeId="0">
      <text>
        <t>추정: = 매출액 추정(부문 미분리)
[identity]</t>
      </text>
    </comment>
    <comment ref="AK36" authorId="0" shapeId="0">
      <text>
        <t>추정: = 매출액 추정(부문 미분리)
[identity]</t>
      </text>
    </comment>
    <comment ref="AL36" authorId="0" shapeId="0">
      <text>
        <t>추정: = 매출액 추정(부문 미분리)
[identity]</t>
      </text>
    </comment>
    <comment ref="AM36" authorId="0" shapeId="0">
      <text>
        <t>추정: = 매출액 추정(부문 미분리)
[identity]</t>
      </text>
    </comment>
    <comment ref="AN36" authorId="0" shapeId="0">
      <text>
        <t>추정: = 매출액 추정(부문 미분리)
[identity]</t>
      </text>
    </comment>
    <comment ref="E37" authorId="0" shapeId="0">
      <text>
        <t>실측(계정 매핑 없음(파생·부문·시세 행) — 모델값 직접) — = 영업이익(부문 미분리)</t>
      </text>
    </comment>
    <comment ref="G37" authorId="0" shapeId="0">
      <text>
        <t>실측(계정 매핑 없음(파생·부문·시세 행) — 모델값 직접) — = 영업이익(부문 미분리)</t>
      </text>
    </comment>
    <comment ref="H37" authorId="0" shapeId="0">
      <text>
        <t>실측(계정 매핑 없음(파생·부문·시세 행) — 모델값 직접) — = 영업이익(부문 미분리)</t>
      </text>
    </comment>
    <comment ref="I37" authorId="0" shapeId="0">
      <text>
        <t>실측(계정 매핑 없음(파생·부문·시세 행) — 모델값 직접) — = 영업이익(부문 미분리)</t>
      </text>
    </comment>
    <comment ref="J37" authorId="0" shapeId="0">
      <text>
        <t>실측(계정 매핑 없음(파생·부문·시세 행) — 모델값 직접) — = 영업이익(부문 미분리)</t>
      </text>
    </comment>
    <comment ref="L37" authorId="0" shapeId="0">
      <text>
        <t>실측(계정 매핑 없음(파생·부문·시세 행) — 모델값 직접) — = 영업이익(부문 미분리)</t>
      </text>
    </comment>
    <comment ref="M37" authorId="0" shapeId="0">
      <text>
        <t>실측(계정 매핑 없음(파생·부문·시세 행) — 모델값 직접) — = 영업이익(부문 미분리)</t>
      </text>
    </comment>
    <comment ref="N37" authorId="0" shapeId="0">
      <text>
        <t>실측(계정 매핑 없음(파생·부문·시세 행) — 모델값 직접) — = 영업이익(부문 미분리)</t>
      </text>
    </comment>
    <comment ref="O37" authorId="0" shapeId="0">
      <text>
        <t>실측(계정 매핑 없음(파생·부문·시세 행) — 모델값 직접) — = 영업이익(부문 미분리)</t>
      </text>
    </comment>
    <comment ref="Q37" authorId="0" shapeId="0">
      <text>
        <t>실측(계정 매핑 없음(파생·부문·시세 행) — 모델값 직접) — = 영업이익(부문 미분리)</t>
      </text>
    </comment>
    <comment ref="R37" authorId="0" shapeId="0">
      <text>
        <t>실측(계정 매핑 없음(파생·부문·시세 행) — 모델값 직접) — = 영업이익(부문 미분리)</t>
      </text>
    </comment>
    <comment ref="S37" authorId="0" shapeId="0">
      <text>
        <t>실측(계정 매핑 없음(파생·부문·시세 행) — 모델값 직접) — = 영업이익(부문 미분리)</t>
      </text>
    </comment>
    <comment ref="T37" authorId="0" shapeId="0">
      <text>
        <t>실측(계정 매핑 없음(파생·부문·시세 행) — 모델값 직접) — = 영업이익(부문 미분리)</t>
      </text>
    </comment>
    <comment ref="V37" authorId="0" shapeId="0">
      <text>
        <t>실측(계정 매핑 없음(파생·부문·시세 행) — 모델값 직접) — = 영업이익(부문 미분리)</t>
      </text>
    </comment>
    <comment ref="W37" authorId="0" shapeId="0">
      <text>
        <t>실측(계정 매핑 없음(파생·부문·시세 행) — 모델값 직접) — = 영업이익(부문 미분리)</t>
      </text>
    </comment>
    <comment ref="X37" authorId="0" shapeId="0">
      <text>
        <t>실측(계정 매핑 없음(파생·부문·시세 행) — 모델값 직접) — = 영업이익(부문 미분리)</t>
      </text>
    </comment>
    <comment ref="Y37" authorId="0" shapeId="0">
      <text>
        <t>실측(계정 매핑 없음(파생·부문·시세 행) — 모델값 직접) — = 영업이익(부문 미분리)</t>
      </text>
    </comment>
    <comment ref="AA37" authorId="0" shapeId="0">
      <text>
        <t>실측(계정 매핑 없음(파생·부문·시세 행) — 모델값 직접) — = 영업이익(부문 미분리)</t>
      </text>
    </comment>
    <comment ref="AB37" authorId="0" shapeId="0">
      <text>
        <t>실측(계정 매핑 없음(파생·부문·시세 행) — 모델값 직접) — = 영업이익(부문 미분리)</t>
      </text>
    </comment>
    <comment ref="AC37" authorId="0" shapeId="0">
      <text>
        <t>추정: = 매출액 × OPM(부문 미분리)
[identity]</t>
      </text>
    </comment>
    <comment ref="AD37" authorId="0" shapeId="0">
      <text>
        <t>추정: = 매출액 × OPM(부문 미분리)
[identity]</t>
      </text>
    </comment>
    <comment ref="AF37" authorId="0" shapeId="0">
      <text>
        <t>추정: = 매출액 × OPM(부문 미분리)
[identity]</t>
      </text>
    </comment>
    <comment ref="AG37" authorId="0" shapeId="0">
      <text>
        <t>추정: = 매출액 × OPM(부문 미분리)
[identity]</t>
      </text>
    </comment>
    <comment ref="AH37" authorId="0" shapeId="0">
      <text>
        <t>추정: = 매출액 × OPM(부문 미분리)
[identity]</t>
      </text>
    </comment>
    <comment ref="AI37" authorId="0" shapeId="0">
      <text>
        <t>추정: = 매출액 × OPM(부문 미분리)
[identity]</t>
      </text>
    </comment>
    <comment ref="AK37" authorId="0" shapeId="0">
      <text>
        <t>추정: = 매출액 × OPM(부문 미분리)
[identity]</t>
      </text>
    </comment>
    <comment ref="AL37" authorId="0" shapeId="0">
      <text>
        <t>추정: = 매출액 × OPM(부문 미분리)
[identity]</t>
      </text>
    </comment>
    <comment ref="AM37" authorId="0" shapeId="0">
      <text>
        <t>추정: = 매출액 × OPM(부문 미분리)
[identity]</t>
      </text>
    </comment>
    <comment ref="AN37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한일철강(002220) 실적 모델 — ARGUS 한국조선</t>
        </is>
      </c>
    </row>
    <row r="2">
      <c r="A2" t="inlineStr">
        <is>
          <t>기준 분기 2026Q2 · 마지막 실적 2026Q2 · 생성 2026-10-13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16.67% — 연결 안 됨(MAX(세전,0)×단일 세율로 재현 불가(지주 자회사 합산 등) → 분기별 역산) — 드라이버 행 분기별 역산값 사용</t>
        </is>
      </c>
    </row>
    <row r="23">
      <c r="A23" t="inlineStr">
        <is>
          <t>· 판관비율 6.02%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3.32% / 부채 7.70% — 이자손익 = (전분기 이자발생자산 × 자산이자율 − 전분기 총차입금 × 부채이자율)/4, 최소자승 역산(모델 assumptions [0.0332, 0.077] 는 4자리 반올림이라 그대로 쓰면 ±1억 어긋남) · 출처: {"asset": "주석 이자수익 ÷ 평균 이자발생자산(2022Q2~2023Q1)", "debt": "주석 이자비용 ÷ 평균 총차입금(2022Q2~2023Q1)"}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판관비율, 지배주주비중, 이자율 · 연결 안 된 가정(모델값·분기별 역산 그대로): 세율(MAX(세전,0)×단일 세율로 재현 불가(지주 자회사 합산 등) → 분기별 역산)</t>
        </is>
      </c>
    </row>
    <row r="28">
      <c r="A28" t="inlineStr">
        <is>
          <t>· 밸류에이션 — PER 밴드 10.0/15.0/20.0배(sector_default(레퍼런스 TP_PE PB 예시 10/15/20배; 과거 PER 중위 99.3배가 3~40 밖(턴어라운드 왜곡)))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assets/models/002220.json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지배주주순이익 face 누락 분기는 당기순이익 − 비지배 로 파생: 2023Q1, 2023Q2, 2023Q3, 2023Q4, 2024Q1, 2024Q2, 2024Q3, 2024Q4, 2025Q1, 2025Q2, 2025Q3, 2025Q4, 2026Q1, 2026Q2 / 매출 드라이버 폴백(고객 조선사 연결 없음(suppliers.json)): 전년동기 × (1+g) 추세 / 감가상각비가 face·CF 에 없음(주석 미파싱) → EBITDA·EV/EBITDA 미산출</t>
        </is>
      </c>
    </row>
    <row r="34">
      <c r="A34" t="inlineStr">
        <is>
          <t>백테스트: {"freeze": "2025Q2", "horizon": 4, "revenue_wape_pct": 20.5, "op_wape_pct": 88.9,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420.44, "rev_act": 508.41, "op_pred": 2.4, "op_act": 14.24}, {"q": "2025Q4", "rev_pred": 537.81, "rev_act": 456.95, "op_pred": 3.08, "op_act": 0.26}, {"q": "2026Q1", "rev_pred": 475.16, "rev_act": 618.74, "op_pred": 2.72, "op_act": 4.63}, {"q": "2026Q2", "rev_pred": 478.52, "rev_act": 617.57, "op_pred": 2.74, "op_act": 28.56}]}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1343.63</v>
      </c>
      <c r="AE6" s="17" t="n">
        <v>1456.58</v>
      </c>
      <c r="AF6" s="16" t="n">
        <v>1333.09</v>
      </c>
      <c r="AG6" s="16" t="n">
        <v>1333.09</v>
      </c>
      <c r="AH6" s="16" t="n">
        <v>1333.09</v>
      </c>
      <c r="AI6" s="16" t="n">
        <v>1333.09</v>
      </c>
      <c r="AJ6" s="11" t="n"/>
      <c r="AK6" s="16" t="n">
        <v>1333.09</v>
      </c>
      <c r="AL6" s="16" t="n">
        <v>1333.09</v>
      </c>
      <c r="AM6" s="16" t="n">
        <v>1333.09</v>
      </c>
      <c r="AN6" s="16" t="n">
        <v>1333.09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1333.09</v>
      </c>
      <c r="AE7" s="17" t="n">
        <v>1333.09</v>
      </c>
      <c r="AF7" s="16" t="n">
        <v>1333.09</v>
      </c>
      <c r="AG7" s="16" t="n">
        <v>1333.09</v>
      </c>
      <c r="AH7" s="16" t="n">
        <v>1333.09</v>
      </c>
      <c r="AI7" s="16" t="n">
        <v>1333.09</v>
      </c>
      <c r="AJ7" s="11" t="n"/>
      <c r="AK7" s="16" t="n">
        <v>1333.09</v>
      </c>
      <c r="AL7" s="16" t="n">
        <v>1333.09</v>
      </c>
      <c r="AM7" s="16" t="n">
        <v>1333.09</v>
      </c>
      <c r="AN7" s="16" t="n">
        <v>1333.09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849.51</v>
      </c>
      <c r="AE8" s="17" t="n">
        <v>918.8099999999999</v>
      </c>
      <c r="AF8" s="16" t="n">
        <v>840.54</v>
      </c>
      <c r="AG8" s="16" t="n">
        <v>840.54</v>
      </c>
      <c r="AH8" s="16" t="n">
        <v>840.54</v>
      </c>
      <c r="AI8" s="16" t="n">
        <v>840.54</v>
      </c>
      <c r="AJ8" s="11" t="n"/>
      <c r="AK8" s="16" t="n">
        <v>840.54</v>
      </c>
      <c r="AL8" s="16" t="n">
        <v>840.54</v>
      </c>
      <c r="AM8" s="16" t="n">
        <v>840.54</v>
      </c>
      <c r="AN8" s="16" t="n">
        <v>840.54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840.54</v>
      </c>
      <c r="AE9" s="17" t="n">
        <v>840.54</v>
      </c>
      <c r="AF9" s="16" t="n">
        <v>840.54</v>
      </c>
      <c r="AG9" s="16" t="n">
        <v>840.54</v>
      </c>
      <c r="AH9" s="16" t="n">
        <v>840.54</v>
      </c>
      <c r="AI9" s="16" t="n">
        <v>840.54</v>
      </c>
      <c r="AJ9" s="11" t="n"/>
      <c r="AK9" s="16" t="n">
        <v>840.54</v>
      </c>
      <c r="AL9" s="16" t="n">
        <v>840.54</v>
      </c>
      <c r="AM9" s="16" t="n">
        <v>840.54</v>
      </c>
      <c r="AN9" s="16" t="n">
        <v>840.54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1507.34</v>
      </c>
      <c r="AE10" s="17" t="n">
        <v>1688.95</v>
      </c>
      <c r="AF10" s="16" t="n">
        <v>1490.54</v>
      </c>
      <c r="AG10" s="16" t="n">
        <v>1490.54</v>
      </c>
      <c r="AH10" s="16" t="n">
        <v>1490.54</v>
      </c>
      <c r="AI10" s="16" t="n">
        <v>1490.54</v>
      </c>
      <c r="AJ10" s="11" t="n"/>
      <c r="AK10" s="16" t="n">
        <v>1490.54</v>
      </c>
      <c r="AL10" s="16" t="n">
        <v>1490.54</v>
      </c>
      <c r="AM10" s="16" t="n">
        <v>1490.54</v>
      </c>
      <c r="AN10" s="16" t="n">
        <v>1490.54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1490.54</v>
      </c>
      <c r="AE11" s="17" t="n">
        <v>1490.54</v>
      </c>
      <c r="AF11" s="16" t="n">
        <v>1490.54</v>
      </c>
      <c r="AG11" s="16" t="n">
        <v>1490.54</v>
      </c>
      <c r="AH11" s="16" t="n">
        <v>1490.54</v>
      </c>
      <c r="AI11" s="16" t="n">
        <v>1490.54</v>
      </c>
      <c r="AJ11" s="11" t="n"/>
      <c r="AK11" s="16" t="n">
        <v>1490.54</v>
      </c>
      <c r="AL11" s="16" t="n">
        <v>1490.54</v>
      </c>
      <c r="AM11" s="16" t="n">
        <v>1490.54</v>
      </c>
      <c r="AN11" s="16" t="n">
        <v>1490.54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200.5</v>
      </c>
      <c r="AE12" s="17" t="n">
        <v>213.68</v>
      </c>
      <c r="AF12" s="16" t="n">
        <v>199.18</v>
      </c>
      <c r="AG12" s="16" t="n">
        <v>199.18</v>
      </c>
      <c r="AH12" s="16" t="n">
        <v>199.18</v>
      </c>
      <c r="AI12" s="16" t="n">
        <v>199.18</v>
      </c>
      <c r="AJ12" s="11" t="n"/>
      <c r="AK12" s="16" t="n">
        <v>199.18</v>
      </c>
      <c r="AL12" s="16" t="n">
        <v>199.18</v>
      </c>
      <c r="AM12" s="16" t="n">
        <v>199.18</v>
      </c>
      <c r="AN12" s="16" t="n">
        <v>199.18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199.18</v>
      </c>
      <c r="AE13" s="17" t="n">
        <v>199.18</v>
      </c>
      <c r="AF13" s="16" t="n">
        <v>199.18</v>
      </c>
      <c r="AG13" s="16" t="n">
        <v>199.18</v>
      </c>
      <c r="AH13" s="16" t="n">
        <v>199.18</v>
      </c>
      <c r="AI13" s="16" t="n">
        <v>199.18</v>
      </c>
      <c r="AJ13" s="11" t="n"/>
      <c r="AK13" s="16" t="n">
        <v>199.18</v>
      </c>
      <c r="AL13" s="16" t="n">
        <v>199.18</v>
      </c>
      <c r="AM13" s="16" t="n">
        <v>199.18</v>
      </c>
      <c r="AN13" s="16" t="n">
        <v>199.18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2675</v>
      </c>
      <c r="F15" s="9" t="n"/>
      <c r="G15" s="18" t="n">
        <v>4050</v>
      </c>
      <c r="H15" s="18" t="n">
        <v>3785</v>
      </c>
      <c r="I15" s="18" t="n">
        <v>3335</v>
      </c>
      <c r="J15" s="18" t="n">
        <v>2815</v>
      </c>
      <c r="K15" s="9" t="n"/>
      <c r="L15" s="18" t="n">
        <v>3060</v>
      </c>
      <c r="M15" s="18" t="n">
        <v>3375</v>
      </c>
      <c r="N15" s="18" t="n">
        <v>2720</v>
      </c>
      <c r="O15" s="18" t="n">
        <v>2390</v>
      </c>
      <c r="P15" s="9" t="n"/>
      <c r="Q15" s="18" t="n">
        <v>2640</v>
      </c>
      <c r="R15" s="18" t="n">
        <v>2310</v>
      </c>
      <c r="S15" s="18" t="n">
        <v>2030</v>
      </c>
      <c r="T15" s="18" t="n">
        <v>1910</v>
      </c>
      <c r="U15" s="9" t="n"/>
      <c r="V15" s="18" t="n">
        <v>1834</v>
      </c>
      <c r="W15" s="18" t="n">
        <v>2550</v>
      </c>
      <c r="X15" s="18" t="n">
        <v>3310</v>
      </c>
      <c r="Y15" s="18" t="n">
        <v>5070</v>
      </c>
      <c r="Z15" s="9" t="n"/>
      <c r="AA15" s="18" t="n">
        <v>3835</v>
      </c>
      <c r="AB15" s="19" t="n">
        <v>4205</v>
      </c>
      <c r="AC15" s="20" t="n">
        <v>2830</v>
      </c>
      <c r="AD15" s="20" t="n">
        <v>2900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3635</v>
      </c>
      <c r="F16" s="9" t="n"/>
      <c r="G16" s="18" t="n">
        <v>4700</v>
      </c>
      <c r="H16" s="18" t="n">
        <v>6730</v>
      </c>
      <c r="I16" s="18" t="n">
        <v>4705</v>
      </c>
      <c r="J16" s="18" t="n">
        <v>3900</v>
      </c>
      <c r="K16" s="9" t="n"/>
      <c r="L16" s="18" t="n">
        <v>3525</v>
      </c>
      <c r="M16" s="18" t="n">
        <v>4065</v>
      </c>
      <c r="N16" s="18" t="n">
        <v>3470</v>
      </c>
      <c r="O16" s="18" t="n">
        <v>2760</v>
      </c>
      <c r="P16" s="9" t="n"/>
      <c r="Q16" s="18" t="n">
        <v>2890</v>
      </c>
      <c r="R16" s="18" t="n">
        <v>2765</v>
      </c>
      <c r="S16" s="18" t="n">
        <v>2305</v>
      </c>
      <c r="T16" s="18" t="n">
        <v>2190</v>
      </c>
      <c r="U16" s="9" t="n"/>
      <c r="V16" s="18" t="n">
        <v>2025</v>
      </c>
      <c r="W16" s="18" t="n">
        <v>3060</v>
      </c>
      <c r="X16" s="18" t="n">
        <v>3600</v>
      </c>
      <c r="Y16" s="18" t="n">
        <v>5500</v>
      </c>
      <c r="Z16" s="9" t="n"/>
      <c r="AA16" s="18" t="n">
        <v>5700</v>
      </c>
      <c r="AB16" s="19" t="n">
        <v>6470</v>
      </c>
      <c r="AC16" s="20" t="n">
        <v>4770</v>
      </c>
      <c r="AD16" s="20" t="n">
        <v>3150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2495</v>
      </c>
      <c r="F17" s="9" t="n"/>
      <c r="G17" s="18" t="n">
        <v>2675</v>
      </c>
      <c r="H17" s="18" t="n">
        <v>3400</v>
      </c>
      <c r="I17" s="18" t="n">
        <v>3275</v>
      </c>
      <c r="J17" s="18" t="n">
        <v>2755</v>
      </c>
      <c r="K17" s="9" t="n"/>
      <c r="L17" s="18" t="n">
        <v>2640</v>
      </c>
      <c r="M17" s="18" t="n">
        <v>2970</v>
      </c>
      <c r="N17" s="18" t="n">
        <v>2635</v>
      </c>
      <c r="O17" s="18" t="n">
        <v>2245</v>
      </c>
      <c r="P17" s="9" t="n"/>
      <c r="Q17" s="18" t="n">
        <v>2330</v>
      </c>
      <c r="R17" s="18" t="n">
        <v>2265</v>
      </c>
      <c r="S17" s="18" t="n">
        <v>1950</v>
      </c>
      <c r="T17" s="18" t="n">
        <v>1854</v>
      </c>
      <c r="U17" s="9" t="n"/>
      <c r="V17" s="18" t="n">
        <v>1609</v>
      </c>
      <c r="W17" s="18" t="n">
        <v>1765</v>
      </c>
      <c r="X17" s="18" t="n">
        <v>2485</v>
      </c>
      <c r="Y17" s="18" t="n">
        <v>3190</v>
      </c>
      <c r="Z17" s="9" t="n"/>
      <c r="AA17" s="18" t="n">
        <v>3500</v>
      </c>
      <c r="AB17" s="19" t="n">
        <v>3810</v>
      </c>
      <c r="AC17" s="20" t="n">
        <v>2330</v>
      </c>
      <c r="AD17" s="20" t="n">
        <v>2725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2948.2</v>
      </c>
      <c r="F18" s="9" t="n"/>
      <c r="G18" s="18" t="n">
        <v>3349.1</v>
      </c>
      <c r="H18" s="18" t="n">
        <v>4652.4</v>
      </c>
      <c r="I18" s="18" t="n">
        <v>3941.8</v>
      </c>
      <c r="J18" s="18" t="n">
        <v>3124.7</v>
      </c>
      <c r="K18" s="9" t="n"/>
      <c r="L18" s="18" t="n">
        <v>3078.4</v>
      </c>
      <c r="M18" s="18" t="n">
        <v>3248.4</v>
      </c>
      <c r="N18" s="18" t="n">
        <v>3082.1</v>
      </c>
      <c r="O18" s="18" t="n">
        <v>2531.2</v>
      </c>
      <c r="P18" s="9" t="n"/>
      <c r="Q18" s="18" t="n">
        <v>2554.8</v>
      </c>
      <c r="R18" s="18" t="n">
        <v>2421.8</v>
      </c>
      <c r="S18" s="18" t="n">
        <v>2123.5</v>
      </c>
      <c r="T18" s="18" t="n">
        <v>1995.6</v>
      </c>
      <c r="U18" s="9" t="n"/>
      <c r="V18" s="18" t="n">
        <v>1890.9</v>
      </c>
      <c r="W18" s="18" t="n">
        <v>2159.9</v>
      </c>
      <c r="X18" s="18" t="n">
        <v>2976</v>
      </c>
      <c r="Y18" s="18" t="n">
        <v>4424.1</v>
      </c>
      <c r="Z18" s="9" t="n"/>
      <c r="AA18" s="18" t="n">
        <v>4393.9</v>
      </c>
      <c r="AB18" s="19" t="n">
        <v>4846.3</v>
      </c>
      <c r="AC18" s="20" t="n">
        <v>3358.6</v>
      </c>
      <c r="AD18" s="20" t="n">
        <v>2882.9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0.099663008</v>
      </c>
      <c r="AD21" s="24" t="n">
        <v>0.099655981</v>
      </c>
      <c r="AE21" s="25" t="n"/>
      <c r="AF21" s="24" t="n">
        <v>0.099660534</v>
      </c>
      <c r="AG21" s="24" t="n">
        <v>0.09966143199999999</v>
      </c>
      <c r="AH21" s="24" t="n">
        <v>0.04981398</v>
      </c>
      <c r="AI21" s="24" t="n">
        <v>0.049831837</v>
      </c>
      <c r="AJ21" s="25" t="n"/>
      <c r="AK21" s="24" t="n">
        <v>0.049823633</v>
      </c>
      <c r="AL21" s="24" t="n">
        <v>0.049814466</v>
      </c>
      <c r="AM21" s="24" t="n">
        <v>0.024926311</v>
      </c>
      <c r="AN21" s="24" t="n">
        <v>0.024908536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$D$50</f>
        <v/>
      </c>
      <c r="AD22" s="26">
        <f>$D$50</f>
        <v/>
      </c>
      <c r="AE22" s="25">
        <f>IFERROR(subQ!AE8/subQ!AE5,"")</f>
        <v/>
      </c>
      <c r="AF22" s="26">
        <f>$D$50</f>
        <v/>
      </c>
      <c r="AG22" s="26">
        <f>$D$50</f>
        <v/>
      </c>
      <c r="AH22" s="26">
        <f>$D$50</f>
        <v/>
      </c>
      <c r="AI22" s="26">
        <f>$D$50</f>
        <v/>
      </c>
      <c r="AJ22" s="25">
        <f>IFERROR(subQ!AJ8/subQ!AJ5,"")</f>
        <v/>
      </c>
      <c r="AK22" s="26">
        <f>$D$50</f>
        <v/>
      </c>
      <c r="AL22" s="26">
        <f>$D$50</f>
        <v/>
      </c>
      <c r="AM22" s="26">
        <f>$D$50</f>
        <v/>
      </c>
      <c r="AN22" s="26">
        <f>$D$50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0.005652143</v>
      </c>
      <c r="AD23" s="24" t="n">
        <v>0.005651854</v>
      </c>
      <c r="AE23" s="25">
        <f>IFERROR(subQ!AE9/subQ!AE5,"")</f>
        <v/>
      </c>
      <c r="AF23" s="24" t="n">
        <v>0.005643739</v>
      </c>
      <c r="AG23" s="24" t="n">
        <v>0.005639651</v>
      </c>
      <c r="AH23" s="24" t="n">
        <v>0.005639514</v>
      </c>
      <c r="AI23" s="24" t="n">
        <v>0.005648968</v>
      </c>
      <c r="AJ23" s="25">
        <f>IFERROR(subQ!AJ9/subQ!AJ5,"")</f>
        <v/>
      </c>
      <c r="AK23" s="24" t="n">
        <v>0.005641887</v>
      </c>
      <c r="AL23" s="24" t="n">
        <v>0.005638544</v>
      </c>
      <c r="AM23" s="24" t="n">
        <v>0.005651972</v>
      </c>
      <c r="AN23" s="24" t="n">
        <v>0.005641149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drv:기타영업외손익</t>
        </is>
      </c>
      <c r="B25" s="2" t="inlineStr">
        <is>
          <t>abs</t>
        </is>
      </c>
      <c r="C25" t="inlineStr">
        <is>
          <t>기타영업외손익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drv:지분법손익</t>
        </is>
      </c>
      <c r="B26" s="2" t="inlineStr">
        <is>
          <t>abs</t>
        </is>
      </c>
      <c r="C26" t="inlineStr">
        <is>
          <t>지분법손익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4.94</v>
      </c>
      <c r="AD26" s="30" t="n">
        <v>4.94</v>
      </c>
      <c r="AE26" s="31">
        <f>subQ!AE15</f>
        <v/>
      </c>
      <c r="AF26" s="30" t="n">
        <v>4.94</v>
      </c>
      <c r="AG26" s="30" t="n">
        <v>4.94</v>
      </c>
      <c r="AH26" s="30" t="n">
        <v>4.94</v>
      </c>
      <c r="AI26" s="30" t="n">
        <v>4.94</v>
      </c>
      <c r="AJ26" s="31">
        <f>subQ!AJ15</f>
        <v/>
      </c>
      <c r="AK26" s="30" t="n">
        <v>4.94</v>
      </c>
      <c r="AL26" s="30" t="n">
        <v>4.94</v>
      </c>
      <c r="AM26" s="30" t="n">
        <v>4.94</v>
      </c>
      <c r="AN26" s="30" t="n">
        <v>4.94</v>
      </c>
      <c r="AO26" s="31">
        <f>subQ!AO15</f>
        <v/>
      </c>
    </row>
    <row r="27">
      <c r="A27" s="12" t="inlineStr">
        <is>
          <t>drv:법인세비용</t>
        </is>
      </c>
      <c r="B27" s="2" t="inlineStr">
        <is>
          <t>ratio</t>
        </is>
      </c>
      <c r="C27" t="inlineStr">
        <is>
          <t>법인세율(/세전)</t>
        </is>
      </c>
      <c r="E27" s="21">
        <f>IFERROR(subQ!E17/subQ!E16,"")</f>
        <v/>
      </c>
      <c r="F27" s="22">
        <f>IFERROR(subQ!F17/subQ!F16,"")</f>
        <v/>
      </c>
      <c r="G27" s="21">
        <f>IFERROR(subQ!G17/subQ!G16,"")</f>
        <v/>
      </c>
      <c r="H27" s="21">
        <f>IFERROR(subQ!H17/subQ!H16,"")</f>
        <v/>
      </c>
      <c r="I27" s="21">
        <f>IFERROR(subQ!I17/subQ!I16,"")</f>
        <v/>
      </c>
      <c r="J27" s="21">
        <f>IFERROR(subQ!J17/subQ!J16,"")</f>
        <v/>
      </c>
      <c r="K27" s="22">
        <f>IFERROR(subQ!K17/subQ!K16,"")</f>
        <v/>
      </c>
      <c r="L27" s="21">
        <f>IFERROR(subQ!L17/subQ!L16,"")</f>
        <v/>
      </c>
      <c r="M27" s="21">
        <f>IFERROR(subQ!M17/subQ!M16,"")</f>
        <v/>
      </c>
      <c r="N27" s="21">
        <f>IFERROR(subQ!N17/subQ!N16,"")</f>
        <v/>
      </c>
      <c r="O27" s="21">
        <f>IFERROR(subQ!O17/subQ!O16,"")</f>
        <v/>
      </c>
      <c r="P27" s="22">
        <f>IFERROR(subQ!P17/subQ!P16,"")</f>
        <v/>
      </c>
      <c r="Q27" s="21">
        <f>IFERROR(subQ!Q17/subQ!Q16,"")</f>
        <v/>
      </c>
      <c r="R27" s="21">
        <f>IFERROR(subQ!R17/subQ!R16,"")</f>
        <v/>
      </c>
      <c r="S27" s="21">
        <f>IFERROR(subQ!S17/subQ!S16,"")</f>
        <v/>
      </c>
      <c r="T27" s="21">
        <f>IFERROR(subQ!T17/subQ!T16,"")</f>
        <v/>
      </c>
      <c r="U27" s="22">
        <f>IFERROR(subQ!U17/subQ!U16,"")</f>
        <v/>
      </c>
      <c r="V27" s="21">
        <f>IFERROR(subQ!V17/subQ!V16,"")</f>
        <v/>
      </c>
      <c r="W27" s="21">
        <f>IFERROR(subQ!W17/subQ!W16,"")</f>
        <v/>
      </c>
      <c r="X27" s="21">
        <f>IFERROR(subQ!X17/subQ!X16,"")</f>
        <v/>
      </c>
      <c r="Y27" s="21">
        <f>IFERROR(subQ!Y17/subQ!Y16,"")</f>
        <v/>
      </c>
      <c r="Z27" s="22">
        <f>IFERROR(subQ!Z17/subQ!Z16,"")</f>
        <v/>
      </c>
      <c r="AA27" s="21">
        <f>IFERROR(subQ!AA17/subQ!AA16,"")</f>
        <v/>
      </c>
      <c r="AB27" s="23">
        <f>IFERROR(subQ!AB17/subQ!AB16,"")</f>
        <v/>
      </c>
      <c r="AC27" s="24" t="n">
        <v>-0</v>
      </c>
      <c r="AD27" s="24" t="n">
        <v>-0</v>
      </c>
      <c r="AE27" s="25">
        <f>IFERROR(subQ!AE17/subQ!AE16,"")</f>
        <v/>
      </c>
      <c r="AF27" s="24" t="n">
        <v>-0</v>
      </c>
      <c r="AG27" s="24" t="n">
        <v>-0</v>
      </c>
      <c r="AH27" s="24" t="n">
        <v>-0</v>
      </c>
      <c r="AI27" s="24" t="n">
        <v>-0</v>
      </c>
      <c r="AJ27" s="25">
        <f>IFERROR(subQ!AJ17/subQ!AJ16,"")</f>
        <v/>
      </c>
      <c r="AK27" s="24" t="n">
        <v>-0</v>
      </c>
      <c r="AL27" s="24" t="n">
        <v>-0</v>
      </c>
      <c r="AM27" s="24" t="n">
        <v>-0</v>
      </c>
      <c r="AN27" s="24" t="n">
        <v>-0</v>
      </c>
      <c r="AO27" s="25">
        <f>IFERROR(subQ!AO17/subQ!AO16,"")</f>
        <v/>
      </c>
    </row>
    <row r="28">
      <c r="A28" s="12" t="inlineStr">
        <is>
          <t>drv:지배주주순이익</t>
        </is>
      </c>
      <c r="B28" s="2" t="inlineStr">
        <is>
          <t>ratio</t>
        </is>
      </c>
      <c r="C28" t="inlineStr">
        <is>
          <t>지배주주 비중(/당기순이익)</t>
        </is>
      </c>
      <c r="E28" s="21">
        <f>IFERROR(subQ!E19/subQ!E18,"")</f>
        <v/>
      </c>
      <c r="F28" s="22">
        <f>IFERROR(subQ!F19/subQ!F18,"")</f>
        <v/>
      </c>
      <c r="G28" s="21">
        <f>IFERROR(subQ!G19/subQ!G18,"")</f>
        <v/>
      </c>
      <c r="H28" s="21">
        <f>IFERROR(subQ!H19/subQ!H18,"")</f>
        <v/>
      </c>
      <c r="I28" s="21">
        <f>IFERROR(subQ!I19/subQ!I18,"")</f>
        <v/>
      </c>
      <c r="J28" s="21">
        <f>IFERROR(subQ!J19/subQ!J18,"")</f>
        <v/>
      </c>
      <c r="K28" s="22">
        <f>IFERROR(subQ!K19/subQ!K18,"")</f>
        <v/>
      </c>
      <c r="L28" s="21">
        <f>IFERROR(subQ!L19/subQ!L18,"")</f>
        <v/>
      </c>
      <c r="M28" s="21">
        <f>IFERROR(subQ!M19/subQ!M18,"")</f>
        <v/>
      </c>
      <c r="N28" s="21">
        <f>IFERROR(subQ!N19/subQ!N18,"")</f>
        <v/>
      </c>
      <c r="O28" s="21">
        <f>IFERROR(subQ!O19/subQ!O18,"")</f>
        <v/>
      </c>
      <c r="P28" s="22">
        <f>IFERROR(subQ!P19/subQ!P18,"")</f>
        <v/>
      </c>
      <c r="Q28" s="21">
        <f>IFERROR(subQ!Q19/subQ!Q18,"")</f>
        <v/>
      </c>
      <c r="R28" s="21">
        <f>IFERROR(subQ!R19/subQ!R18,"")</f>
        <v/>
      </c>
      <c r="S28" s="21">
        <f>IFERROR(subQ!S19/subQ!S18,"")</f>
        <v/>
      </c>
      <c r="T28" s="21">
        <f>IFERROR(subQ!T19/subQ!T18,"")</f>
        <v/>
      </c>
      <c r="U28" s="22">
        <f>IFERROR(subQ!U19/subQ!U18,"")</f>
        <v/>
      </c>
      <c r="V28" s="21">
        <f>IFERROR(subQ!V19/subQ!V18,"")</f>
        <v/>
      </c>
      <c r="W28" s="21">
        <f>IFERROR(subQ!W19/subQ!W18,"")</f>
        <v/>
      </c>
      <c r="X28" s="21">
        <f>IFERROR(subQ!X19/subQ!X18,"")</f>
        <v/>
      </c>
      <c r="Y28" s="21">
        <f>IFERROR(subQ!Y19/subQ!Y18,"")</f>
        <v/>
      </c>
      <c r="Z28" s="22">
        <f>IFERROR(subQ!Z19/subQ!Z18,"")</f>
        <v/>
      </c>
      <c r="AA28" s="21">
        <f>IFERROR(subQ!AA19/subQ!AA18,"")</f>
        <v/>
      </c>
      <c r="AB28" s="23">
        <f>IFERROR(subQ!AB19/subQ!AB18,"")</f>
        <v/>
      </c>
      <c r="AC28" s="26">
        <f>$D$51</f>
        <v/>
      </c>
      <c r="AD28" s="26">
        <f>$D$51</f>
        <v/>
      </c>
      <c r="AE28" s="25">
        <f>IFERROR(subQ!AE19/subQ!AE18,"")</f>
        <v/>
      </c>
      <c r="AF28" s="26">
        <f>$D$51</f>
        <v/>
      </c>
      <c r="AG28" s="26">
        <f>$D$51</f>
        <v/>
      </c>
      <c r="AH28" s="26">
        <f>$D$51</f>
        <v/>
      </c>
      <c r="AI28" s="26">
        <f>$D$51</f>
        <v/>
      </c>
      <c r="AJ28" s="25">
        <f>IFERROR(subQ!AJ19/subQ!AJ18,"")</f>
        <v/>
      </c>
      <c r="AK28" s="26">
        <f>$D$51</f>
        <v/>
      </c>
      <c r="AL28" s="26">
        <f>$D$51</f>
        <v/>
      </c>
      <c r="AM28" s="26">
        <f>$D$51</f>
        <v/>
      </c>
      <c r="AN28" s="26">
        <f>$D$51</f>
        <v/>
      </c>
      <c r="AO28" s="25">
        <f>IFERROR(subQ!AO19/subQ!AO18,"")</f>
        <v/>
      </c>
    </row>
    <row r="29">
      <c r="A29" s="12" t="inlineStr">
        <is>
          <t>drv:부채총계</t>
        </is>
      </c>
      <c r="B29" s="2" t="inlineStr">
        <is>
          <t>qoq</t>
        </is>
      </c>
      <c r="C29" t="inlineStr">
        <is>
          <t>부채총계 QoQ</t>
        </is>
      </c>
      <c r="E29" s="21" t="n"/>
      <c r="F29" s="22" t="n"/>
      <c r="G29" s="21">
        <f>IFERROR(subQ!G21/subQ!E21-1,"")</f>
        <v/>
      </c>
      <c r="H29" s="21">
        <f>IFERROR(subQ!H21/subQ!G21-1,"")</f>
        <v/>
      </c>
      <c r="I29" s="21">
        <f>IFERROR(subQ!I21/subQ!H21-1,"")</f>
        <v/>
      </c>
      <c r="J29" s="21">
        <f>IFERROR(subQ!J21/subQ!I21-1,"")</f>
        <v/>
      </c>
      <c r="K29" s="22" t="n"/>
      <c r="L29" s="21">
        <f>IFERROR(subQ!L21/subQ!J21-1,"")</f>
        <v/>
      </c>
      <c r="M29" s="21">
        <f>IFERROR(subQ!M21/subQ!L21-1,"")</f>
        <v/>
      </c>
      <c r="N29" s="21">
        <f>IFERROR(subQ!N21/subQ!M21-1,"")</f>
        <v/>
      </c>
      <c r="O29" s="21">
        <f>IFERROR(subQ!O21/subQ!N21-1,"")</f>
        <v/>
      </c>
      <c r="P29" s="22" t="n"/>
      <c r="Q29" s="21">
        <f>IFERROR(subQ!Q21/subQ!O21-1,"")</f>
        <v/>
      </c>
      <c r="R29" s="21">
        <f>IFERROR(subQ!R21/subQ!Q21-1,"")</f>
        <v/>
      </c>
      <c r="S29" s="21">
        <f>IFERROR(subQ!S21/subQ!R21-1,"")</f>
        <v/>
      </c>
      <c r="T29" s="21">
        <f>IFERROR(subQ!T21/subQ!S21-1,"")</f>
        <v/>
      </c>
      <c r="U29" s="22" t="n"/>
      <c r="V29" s="21">
        <f>IFERROR(subQ!V21/subQ!T21-1,"")</f>
        <v/>
      </c>
      <c r="W29" s="21">
        <f>IFERROR(subQ!W21/subQ!V21-1,"")</f>
        <v/>
      </c>
      <c r="X29" s="21">
        <f>IFERROR(subQ!X21/subQ!W21-1,"")</f>
        <v/>
      </c>
      <c r="Y29" s="21">
        <f>IFERROR(subQ!Y21/subQ!X21-1,"")</f>
        <v/>
      </c>
      <c r="Z29" s="22" t="n"/>
      <c r="AA29" s="21">
        <f>IFERROR(subQ!AA21/subQ!Y21-1,"")</f>
        <v/>
      </c>
      <c r="AB29" s="23">
        <f>IFERROR(subQ!AB21/subQ!AA21-1,"")</f>
        <v/>
      </c>
      <c r="AC29" s="24" t="n">
        <v>3.43e-07</v>
      </c>
      <c r="AD29" s="24" t="n">
        <v>0</v>
      </c>
      <c r="AE29" s="25" t="n"/>
      <c r="AF29" s="24" t="n">
        <v>0</v>
      </c>
      <c r="AG29" s="24" t="n">
        <v>0</v>
      </c>
      <c r="AH29" s="24" t="n">
        <v>0</v>
      </c>
      <c r="AI29" s="24" t="n">
        <v>0</v>
      </c>
      <c r="AJ29" s="25" t="n"/>
      <c r="AK29" s="24" t="n">
        <v>0</v>
      </c>
      <c r="AL29" s="24" t="n">
        <v>0</v>
      </c>
      <c r="AM29" s="24" t="n">
        <v>0</v>
      </c>
      <c r="AN29" s="24" t="n">
        <v>0</v>
      </c>
      <c r="AO29" s="25" t="n"/>
    </row>
    <row r="30">
      <c r="A30" s="12" t="inlineStr">
        <is>
          <t>drv:자본총계</t>
        </is>
      </c>
      <c r="B30" s="2" t="inlineStr">
        <is>
          <t>roll</t>
        </is>
      </c>
      <c r="C30" t="inlineStr">
        <is>
          <t>자본총계 기타변동(배당 등, 억원)</t>
        </is>
      </c>
      <c r="E30" s="27" t="n"/>
      <c r="F30" s="28" t="n"/>
      <c r="G30" s="27">
        <f>IFERROR(subQ!E22+subQ!G18-subQ!G22,"")</f>
        <v/>
      </c>
      <c r="H30" s="27">
        <f>IFERROR(subQ!G22+subQ!H18-subQ!H22,"")</f>
        <v/>
      </c>
      <c r="I30" s="27">
        <f>IFERROR(subQ!H22+subQ!I18-subQ!I22,"")</f>
        <v/>
      </c>
      <c r="J30" s="27">
        <f>IFERROR(subQ!I22+subQ!J18-subQ!J22,"")</f>
        <v/>
      </c>
      <c r="K30" s="28" t="n"/>
      <c r="L30" s="27">
        <f>IFERROR(subQ!J22+subQ!L18-subQ!L22,"")</f>
        <v/>
      </c>
      <c r="M30" s="27">
        <f>IFERROR(subQ!L22+subQ!M18-subQ!M22,"")</f>
        <v/>
      </c>
      <c r="N30" s="27">
        <f>IFERROR(subQ!M22+subQ!N18-subQ!N22,"")</f>
        <v/>
      </c>
      <c r="O30" s="27">
        <f>IFERROR(subQ!N22+subQ!O18-subQ!O22,"")</f>
        <v/>
      </c>
      <c r="P30" s="28" t="n"/>
      <c r="Q30" s="27">
        <f>IFERROR(subQ!O22+subQ!Q18-subQ!Q22,"")</f>
        <v/>
      </c>
      <c r="R30" s="27">
        <f>IFERROR(subQ!Q22+subQ!R18-subQ!R22,"")</f>
        <v/>
      </c>
      <c r="S30" s="27">
        <f>IFERROR(subQ!R22+subQ!S18-subQ!S22,"")</f>
        <v/>
      </c>
      <c r="T30" s="27">
        <f>IFERROR(subQ!S22+subQ!T18-subQ!T22,"")</f>
        <v/>
      </c>
      <c r="U30" s="28" t="n"/>
      <c r="V30" s="27">
        <f>IFERROR(subQ!T22+subQ!V18-subQ!V22,"")</f>
        <v/>
      </c>
      <c r="W30" s="27">
        <f>IFERROR(subQ!V22+subQ!W18-subQ!W22,"")</f>
        <v/>
      </c>
      <c r="X30" s="27">
        <f>IFERROR(subQ!W22+subQ!X18-subQ!X22,"")</f>
        <v/>
      </c>
      <c r="Y30" s="27">
        <f>IFERROR(subQ!X22+subQ!Y18-subQ!Y22,"")</f>
        <v/>
      </c>
      <c r="Z30" s="28" t="n"/>
      <c r="AA30" s="27">
        <f>IFERROR(subQ!Y22+subQ!AA18-subQ!AA22,"")</f>
        <v/>
      </c>
      <c r="AB30" s="29">
        <f>IFERROR(subQ!AA22+subQ!AB18-subQ!AB22,"")</f>
        <v/>
      </c>
      <c r="AC30" s="30" t="n">
        <v>0.011097911</v>
      </c>
      <c r="AD30" s="30" t="n">
        <v>0.00012058</v>
      </c>
      <c r="AE30" s="31" t="n"/>
      <c r="AF30" s="30" t="n">
        <v>-0.001880475</v>
      </c>
      <c r="AG30" s="30" t="n">
        <v>7.123598094</v>
      </c>
      <c r="AH30" s="30" t="n">
        <v>-0.000760963</v>
      </c>
      <c r="AI30" s="30" t="n">
        <v>0.008484846000000001</v>
      </c>
      <c r="AJ30" s="31" t="n"/>
      <c r="AK30" s="30" t="n">
        <v>0.004156655</v>
      </c>
      <c r="AL30" s="30" t="n">
        <v>7.117807134</v>
      </c>
      <c r="AM30" s="30" t="n">
        <v>0.001536749</v>
      </c>
      <c r="AN30" s="30" t="n">
        <v>0.008039599</v>
      </c>
      <c r="AO30" s="31" t="n"/>
    </row>
    <row r="31">
      <c r="A31" s="12" t="inlineStr">
        <is>
          <t>drv:지배주주지분</t>
        </is>
      </c>
      <c r="B31" s="2" t="inlineStr">
        <is>
          <t>roll</t>
        </is>
      </c>
      <c r="C31" t="inlineStr">
        <is>
          <t>지배주주지분 기타변동(배당 등, 억원)</t>
        </is>
      </c>
      <c r="E31" s="27" t="n"/>
      <c r="F31" s="28" t="n"/>
      <c r="G31" s="27">
        <f>IFERROR(subQ!E23+subQ!G19-subQ!G23,"")</f>
        <v/>
      </c>
      <c r="H31" s="27">
        <f>IFERROR(subQ!G23+subQ!H19-subQ!H23,"")</f>
        <v/>
      </c>
      <c r="I31" s="27">
        <f>IFERROR(subQ!H23+subQ!I19-subQ!I23,"")</f>
        <v/>
      </c>
      <c r="J31" s="27">
        <f>IFERROR(subQ!I23+subQ!J19-subQ!J23,"")</f>
        <v/>
      </c>
      <c r="K31" s="28" t="n"/>
      <c r="L31" s="27">
        <f>IFERROR(subQ!J23+subQ!L19-subQ!L23,"")</f>
        <v/>
      </c>
      <c r="M31" s="27">
        <f>IFERROR(subQ!L23+subQ!M19-subQ!M23,"")</f>
        <v/>
      </c>
      <c r="N31" s="27">
        <f>IFERROR(subQ!M23+subQ!N19-subQ!N23,"")</f>
        <v/>
      </c>
      <c r="O31" s="27">
        <f>IFERROR(subQ!N23+subQ!O19-subQ!O23,"")</f>
        <v/>
      </c>
      <c r="P31" s="28" t="n"/>
      <c r="Q31" s="27">
        <f>IFERROR(subQ!O23+subQ!Q19-subQ!Q23,"")</f>
        <v/>
      </c>
      <c r="R31" s="27">
        <f>IFERROR(subQ!Q23+subQ!R19-subQ!R23,"")</f>
        <v/>
      </c>
      <c r="S31" s="27">
        <f>IFERROR(subQ!R23+subQ!S19-subQ!S23,"")</f>
        <v/>
      </c>
      <c r="T31" s="27">
        <f>IFERROR(subQ!S23+subQ!T19-subQ!T23,"")</f>
        <v/>
      </c>
      <c r="U31" s="28" t="n"/>
      <c r="V31" s="27">
        <f>IFERROR(subQ!T23+subQ!V19-subQ!V23,"")</f>
        <v/>
      </c>
      <c r="W31" s="27">
        <f>IFERROR(subQ!V23+subQ!W19-subQ!W23,"")</f>
        <v/>
      </c>
      <c r="X31" s="27">
        <f>IFERROR(subQ!W23+subQ!X19-subQ!X23,"")</f>
        <v/>
      </c>
      <c r="Y31" s="27">
        <f>IFERROR(subQ!X23+subQ!Y19-subQ!Y23,"")</f>
        <v/>
      </c>
      <c r="Z31" s="28" t="n"/>
      <c r="AA31" s="27">
        <f>IFERROR(subQ!Y23+subQ!AA19-subQ!AA23,"")</f>
        <v/>
      </c>
      <c r="AB31" s="29">
        <f>IFERROR(subQ!AA23+subQ!AB19-subQ!AB23,"")</f>
        <v/>
      </c>
      <c r="AC31" s="30" t="n">
        <v>0.005397911</v>
      </c>
      <c r="AD31" s="30" t="n">
        <v>0.01012058</v>
      </c>
      <c r="AE31" s="31" t="n"/>
      <c r="AF31" s="30" t="n">
        <v>-0.001880475</v>
      </c>
      <c r="AG31" s="30" t="n">
        <v>7.123598094</v>
      </c>
      <c r="AH31" s="30" t="n">
        <v>-0.000760963</v>
      </c>
      <c r="AI31" s="30" t="n">
        <v>-0.001515154</v>
      </c>
      <c r="AJ31" s="31" t="n"/>
      <c r="AK31" s="30" t="n">
        <v>0.004156655</v>
      </c>
      <c r="AL31" s="30" t="n">
        <v>7.117807134</v>
      </c>
      <c r="AM31" s="30" t="n">
        <v>0.011536749</v>
      </c>
      <c r="AN31" s="30" t="n">
        <v>-0.001960401</v>
      </c>
      <c r="AO31" s="31" t="n"/>
    </row>
    <row r="32">
      <c r="A32" s="12" t="inlineStr">
        <is>
          <t>drv:총차입금</t>
        </is>
      </c>
      <c r="B32" s="2" t="inlineStr">
        <is>
          <t>qoq</t>
        </is>
      </c>
      <c r="C32" t="inlineStr">
        <is>
          <t>총차입금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1">
        <f>IFERROR(subQ!R24/subQ!Q24-1,"")</f>
        <v/>
      </c>
      <c r="S32" s="21">
        <f>IFERROR(subQ!S24/subQ!R24-1,"")</f>
        <v/>
      </c>
      <c r="T32" s="21">
        <f>IFERROR(subQ!T24/subQ!S24-1,"")</f>
        <v/>
      </c>
      <c r="U32" s="22" t="n"/>
      <c r="V32" s="21">
        <f>IFERROR(subQ!V24/subQ!T24-1,"")</f>
        <v/>
      </c>
      <c r="W32" s="21">
        <f>IFERROR(subQ!W24/subQ!V24-1,"")</f>
        <v/>
      </c>
      <c r="X32" s="21">
        <f>IFERROR(subQ!X24/subQ!W24-1,"")</f>
        <v/>
      </c>
      <c r="Y32" s="21">
        <f>IFERROR(subQ!Y24/subQ!X24-1,"")</f>
        <v/>
      </c>
      <c r="Z32" s="22" t="n"/>
      <c r="AA32" s="21">
        <f>IFERROR(subQ!AA24/subQ!Y24-1,"")</f>
        <v/>
      </c>
      <c r="AB32" s="23">
        <f>IFERROR(subQ!AB24/subQ!AA24-1,"")</f>
        <v/>
      </c>
      <c r="AC32" s="24" t="n">
        <v>4.089e-06</v>
      </c>
      <c r="AD32" s="24" t="n">
        <v>0</v>
      </c>
      <c r="AE32" s="25" t="n"/>
      <c r="AF32" s="24" t="n">
        <v>0</v>
      </c>
      <c r="AG32" s="24" t="n">
        <v>0</v>
      </c>
      <c r="AH32" s="24" t="n">
        <v>0</v>
      </c>
      <c r="AI32" s="24" t="n">
        <v>0</v>
      </c>
      <c r="AJ32" s="25" t="n"/>
      <c r="AK32" s="24" t="n">
        <v>0</v>
      </c>
      <c r="AL32" s="24" t="n">
        <v>0</v>
      </c>
      <c r="AM32" s="24" t="n">
        <v>0</v>
      </c>
      <c r="AN32" s="24" t="n">
        <v>0</v>
      </c>
      <c r="AO32" s="25" t="n"/>
    </row>
    <row r="33">
      <c r="A33" s="12" t="inlineStr">
        <is>
          <t>drv:순차입금</t>
        </is>
      </c>
      <c r="B33" s="2" t="inlineStr">
        <is>
          <t>qoq</t>
        </is>
      </c>
      <c r="C33" t="inlineStr">
        <is>
          <t>순차입금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1">
        <f>IFERROR(subQ!W25/subQ!V25-1,"")</f>
        <v/>
      </c>
      <c r="X33" s="21">
        <f>IFERROR(subQ!X25/subQ!W25-1,"")</f>
        <v/>
      </c>
      <c r="Y33" s="21">
        <f>IFERROR(subQ!Y25/subQ!X25-1,"")</f>
        <v/>
      </c>
      <c r="Z33" s="22" t="n"/>
      <c r="AA33" s="21">
        <f>IFERROR(subQ!AA25/subQ!Y25-1,"")</f>
        <v/>
      </c>
      <c r="AB33" s="23">
        <f>IFERROR(subQ!AB25/subQ!AA25-1,"")</f>
        <v/>
      </c>
      <c r="AC33" s="24" t="n">
        <v>0.014156745</v>
      </c>
      <c r="AD33" s="24" t="n">
        <v>0.014482704</v>
      </c>
      <c r="AE33" s="25" t="n"/>
      <c r="AF33" s="24" t="n">
        <v>0.013115304</v>
      </c>
      <c r="AG33" s="24" t="n">
        <v>0.022123218</v>
      </c>
      <c r="AH33" s="24" t="n">
        <v>0.013599342</v>
      </c>
      <c r="AI33" s="24" t="n">
        <v>0.013932916</v>
      </c>
      <c r="AJ33" s="25" t="n"/>
      <c r="AK33" s="24" t="n">
        <v>0.012590277</v>
      </c>
      <c r="AL33" s="24" t="n">
        <v>0.021061953</v>
      </c>
      <c r="AM33" s="24" t="n">
        <v>0.013196911</v>
      </c>
      <c r="AN33" s="24" t="n">
        <v>0.013522424</v>
      </c>
      <c r="AO33" s="25" t="n"/>
    </row>
    <row r="34">
      <c r="A34" s="12" t="inlineStr">
        <is>
          <t>drv:이자발생자산</t>
        </is>
      </c>
      <c r="B34" s="2" t="inlineStr">
        <is>
          <t>qoq</t>
        </is>
      </c>
      <c r="C34" t="inlineStr">
        <is>
          <t>이자발생자산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24" t="n">
        <v>-0.023105855</v>
      </c>
      <c r="AD34" s="24" t="n">
        <v>-0.02453675</v>
      </c>
      <c r="AE34" s="25" t="n"/>
      <c r="AF34" s="24" t="n">
        <v>-0.02310891</v>
      </c>
      <c r="AG34" s="24" t="n">
        <v>-0.040402866</v>
      </c>
      <c r="AH34" s="24" t="n">
        <v>-0.026469519</v>
      </c>
      <c r="AI34" s="24" t="n">
        <v>-0.028259841</v>
      </c>
      <c r="AJ34" s="25" t="n"/>
      <c r="AK34" s="24" t="n">
        <v>-0.026621912</v>
      </c>
      <c r="AL34" s="24" t="n">
        <v>-0.046329201</v>
      </c>
      <c r="AM34" s="24" t="n">
        <v>-0.031052472</v>
      </c>
      <c r="AN34" s="24" t="n">
        <v>-0.033329535</v>
      </c>
      <c r="AO34" s="25" t="n"/>
    </row>
    <row r="35">
      <c r="A35" s="12" t="inlineStr">
        <is>
          <t>drv:현금및현금성자산</t>
        </is>
      </c>
      <c r="B35" s="2" t="inlineStr">
        <is>
          <t>qoq</t>
        </is>
      </c>
      <c r="C35" t="inlineStr">
        <is>
          <t>현금및현금성자산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32" t="n"/>
      <c r="AD35" s="32" t="n"/>
      <c r="AE35" s="25" t="n"/>
      <c r="AF35" s="32" t="n"/>
      <c r="AG35" s="32" t="n"/>
      <c r="AH35" s="32" t="n"/>
      <c r="AI35" s="32" t="n"/>
      <c r="AJ35" s="25" t="n"/>
      <c r="AK35" s="32" t="n"/>
      <c r="AL35" s="32" t="n"/>
      <c r="AM35" s="32" t="n"/>
      <c r="AN35" s="32" t="n"/>
      <c r="AO35" s="25" t="n"/>
    </row>
    <row r="36">
      <c r="A36" s="12" t="inlineStr">
        <is>
          <t>drv:CAPEX</t>
        </is>
      </c>
      <c r="B36" s="2" t="inlineStr">
        <is>
          <t>yoy</t>
        </is>
      </c>
      <c r="C36" t="inlineStr">
        <is>
          <t>CAPEX YoY</t>
        </is>
      </c>
      <c r="E36" s="21" t="n"/>
      <c r="F36" s="22" t="n"/>
      <c r="G36" s="21" t="n"/>
      <c r="H36" s="21" t="n"/>
      <c r="I36" s="21" t="n"/>
      <c r="J36" s="21">
        <f>IFERROR(subQ!J28/subQ!E28-1,"")</f>
        <v/>
      </c>
      <c r="K36" s="22" t="n"/>
      <c r="L36" s="21">
        <f>IFERROR(subQ!L28/subQ!G28-1,"")</f>
        <v/>
      </c>
      <c r="M36" s="21">
        <f>IFERROR(subQ!M28/subQ!H28-1,"")</f>
        <v/>
      </c>
      <c r="N36" s="21">
        <f>IFERROR(subQ!N28/subQ!I28-1,"")</f>
        <v/>
      </c>
      <c r="O36" s="21">
        <f>IFERROR(subQ!O28/subQ!J28-1,"")</f>
        <v/>
      </c>
      <c r="P36" s="22" t="n"/>
      <c r="Q36" s="21">
        <f>IFERROR(subQ!Q28/subQ!L28-1,"")</f>
        <v/>
      </c>
      <c r="R36" s="21">
        <f>IFERROR(subQ!R28/subQ!M28-1,"")</f>
        <v/>
      </c>
      <c r="S36" s="21">
        <f>IFERROR(subQ!S28/subQ!N28-1,"")</f>
        <v/>
      </c>
      <c r="T36" s="21">
        <f>IFERROR(subQ!T28/subQ!O28-1,"")</f>
        <v/>
      </c>
      <c r="U36" s="22" t="n"/>
      <c r="V36" s="21">
        <f>IFERROR(subQ!V28/subQ!Q28-1,"")</f>
        <v/>
      </c>
      <c r="W36" s="21">
        <f>IFERROR(subQ!W28/subQ!R28-1,"")</f>
        <v/>
      </c>
      <c r="X36" s="21">
        <f>IFERROR(subQ!X28/subQ!S28-1,"")</f>
        <v/>
      </c>
      <c r="Y36" s="21">
        <f>IFERROR(subQ!Y28/subQ!T28-1,"")</f>
        <v/>
      </c>
      <c r="Z36" s="22" t="n"/>
      <c r="AA36" s="21">
        <f>IFERROR(subQ!AA28/subQ!V28-1,"")</f>
        <v/>
      </c>
      <c r="AB36" s="23">
        <f>IFERROR(subQ!AB28/subQ!W28-1,"")</f>
        <v/>
      </c>
      <c r="AC36" s="24" t="n">
        <v>0.414116151</v>
      </c>
      <c r="AD36" s="24" t="n">
        <v>-0.465364947</v>
      </c>
      <c r="AE36" s="25" t="n"/>
      <c r="AF36" s="24" t="n">
        <v>0.494509851</v>
      </c>
      <c r="AG36" s="24" t="n">
        <v>-0.226348616</v>
      </c>
      <c r="AH36" s="24" t="n">
        <v>0</v>
      </c>
      <c r="AI36" s="24" t="n">
        <v>0</v>
      </c>
      <c r="AJ36" s="25" t="n"/>
      <c r="AK36" s="24" t="n">
        <v>0</v>
      </c>
      <c r="AL36" s="24" t="n">
        <v>0</v>
      </c>
      <c r="AM36" s="24" t="n">
        <v>0</v>
      </c>
      <c r="AN36" s="24" t="n">
        <v>0</v>
      </c>
      <c r="AO36" s="25" t="n"/>
    </row>
    <row r="37">
      <c r="A37" s="12" t="inlineStr">
        <is>
          <t>drv:영업활동현금흐름</t>
        </is>
      </c>
      <c r="B37" s="2" t="inlineStr">
        <is>
          <t>yoy</t>
        </is>
      </c>
      <c r="C37" t="inlineStr">
        <is>
          <t>영업활동현금흐름 YoY</t>
        </is>
      </c>
      <c r="E37" s="21" t="n"/>
      <c r="F37" s="22" t="n"/>
      <c r="G37" s="21" t="n"/>
      <c r="H37" s="21" t="n"/>
      <c r="I37" s="21" t="n"/>
      <c r="J37" s="21">
        <f>IFERROR(subQ!J29/subQ!E29-1,"")</f>
        <v/>
      </c>
      <c r="K37" s="22" t="n"/>
      <c r="L37" s="21">
        <f>IFERROR(subQ!L29/subQ!G29-1,"")</f>
        <v/>
      </c>
      <c r="M37" s="21">
        <f>IFERROR(subQ!M29/subQ!H29-1,"")</f>
        <v/>
      </c>
      <c r="N37" s="21">
        <f>IFERROR(subQ!N29/subQ!I29-1,"")</f>
        <v/>
      </c>
      <c r="O37" s="21">
        <f>IFERROR(subQ!O29/subQ!J29-1,"")</f>
        <v/>
      </c>
      <c r="P37" s="22" t="n"/>
      <c r="Q37" s="21">
        <f>IFERROR(subQ!Q29/subQ!L29-1,"")</f>
        <v/>
      </c>
      <c r="R37" s="21">
        <f>IFERROR(subQ!R29/subQ!M29-1,"")</f>
        <v/>
      </c>
      <c r="S37" s="21">
        <f>IFERROR(subQ!S29/subQ!N29-1,"")</f>
        <v/>
      </c>
      <c r="T37" s="21">
        <f>IFERROR(subQ!T29/subQ!O29-1,"")</f>
        <v/>
      </c>
      <c r="U37" s="22" t="n"/>
      <c r="V37" s="21">
        <f>IFERROR(subQ!V29/subQ!Q29-1,"")</f>
        <v/>
      </c>
      <c r="W37" s="21">
        <f>IFERROR(subQ!W29/subQ!R29-1,"")</f>
        <v/>
      </c>
      <c r="X37" s="21">
        <f>IFERROR(subQ!X29/subQ!S29-1,"")</f>
        <v/>
      </c>
      <c r="Y37" s="21">
        <f>IFERROR(subQ!Y29/subQ!T29-1,"")</f>
        <v/>
      </c>
      <c r="Z37" s="22" t="n"/>
      <c r="AA37" s="21">
        <f>IFERROR(subQ!AA29/subQ!V29-1,"")</f>
        <v/>
      </c>
      <c r="AB37" s="23">
        <f>IFERROR(subQ!AB29/subQ!W29-1,"")</f>
        <v/>
      </c>
      <c r="AC37" s="32" t="n"/>
      <c r="AD37" s="32" t="n"/>
      <c r="AE37" s="25" t="n"/>
      <c r="AF37" s="32" t="n"/>
      <c r="AG37" s="32" t="n"/>
      <c r="AH37" s="32" t="n"/>
      <c r="AI37" s="32" t="n"/>
      <c r="AJ37" s="25" t="n"/>
      <c r="AK37" s="32" t="n"/>
      <c r="AL37" s="32" t="n"/>
      <c r="AM37" s="32" t="n"/>
      <c r="AN37" s="32" t="n"/>
      <c r="AO37" s="25" t="n"/>
    </row>
    <row r="38">
      <c r="A38" s="12" t="inlineStr">
        <is>
          <t>drv:주식수</t>
        </is>
      </c>
      <c r="B38" s="2" t="inlineStr">
        <is>
          <t>qoq</t>
        </is>
      </c>
      <c r="C38" t="inlineStr">
        <is>
          <t>주식수 QoQ</t>
        </is>
      </c>
      <c r="E38" s="21" t="n"/>
      <c r="F38" s="22" t="n"/>
      <c r="G38" s="21">
        <f>IFERROR(subQ!G30/subQ!E30-1,"")</f>
        <v/>
      </c>
      <c r="H38" s="21">
        <f>IFERROR(subQ!H30/subQ!G30-1,"")</f>
        <v/>
      </c>
      <c r="I38" s="21">
        <f>IFERROR(subQ!I30/subQ!H30-1,"")</f>
        <v/>
      </c>
      <c r="J38" s="21">
        <f>IFERROR(subQ!J30/subQ!I30-1,"")</f>
        <v/>
      </c>
      <c r="K38" s="22" t="n"/>
      <c r="L38" s="21">
        <f>IFERROR(subQ!L30/subQ!J30-1,"")</f>
        <v/>
      </c>
      <c r="M38" s="21">
        <f>IFERROR(subQ!M30/subQ!L30-1,"")</f>
        <v/>
      </c>
      <c r="N38" s="21">
        <f>IFERROR(subQ!N30/subQ!M30-1,"")</f>
        <v/>
      </c>
      <c r="O38" s="21">
        <f>IFERROR(subQ!O30/subQ!N30-1,"")</f>
        <v/>
      </c>
      <c r="P38" s="22" t="n"/>
      <c r="Q38" s="21">
        <f>IFERROR(subQ!Q30/subQ!O30-1,"")</f>
        <v/>
      </c>
      <c r="R38" s="21">
        <f>IFERROR(subQ!R30/subQ!Q30-1,"")</f>
        <v/>
      </c>
      <c r="S38" s="21">
        <f>IFERROR(subQ!S30/subQ!R30-1,"")</f>
        <v/>
      </c>
      <c r="T38" s="21">
        <f>IFERROR(subQ!T30/subQ!S30-1,"")</f>
        <v/>
      </c>
      <c r="U38" s="22" t="n"/>
      <c r="V38" s="21">
        <f>IFERROR(subQ!V30/subQ!T30-1,"")</f>
        <v/>
      </c>
      <c r="W38" s="21">
        <f>IFERROR(subQ!W30/subQ!V30-1,"")</f>
        <v/>
      </c>
      <c r="X38" s="21">
        <f>IFERROR(subQ!X30/subQ!W30-1,"")</f>
        <v/>
      </c>
      <c r="Y38" s="21">
        <f>IFERROR(subQ!Y30/subQ!X30-1,"")</f>
        <v/>
      </c>
      <c r="Z38" s="22" t="n"/>
      <c r="AA38" s="21">
        <f>IFERROR(subQ!AA30/subQ!Y30-1,"")</f>
        <v/>
      </c>
      <c r="AB38" s="23">
        <f>IFERROR(subQ!AB30/subQ!AA30-1,"")</f>
        <v/>
      </c>
      <c r="AC38" s="24" t="n">
        <v>0</v>
      </c>
      <c r="AD38" s="24" t="n">
        <v>0</v>
      </c>
      <c r="AE38" s="25" t="n"/>
      <c r="AF38" s="24" t="n">
        <v>0</v>
      </c>
      <c r="AG38" s="24" t="n">
        <v>0</v>
      </c>
      <c r="AH38" s="24" t="n">
        <v>0</v>
      </c>
      <c r="AI38" s="24" t="n">
        <v>0</v>
      </c>
      <c r="AJ38" s="25" t="n"/>
      <c r="AK38" s="24" t="n">
        <v>0</v>
      </c>
      <c r="AL38" s="24" t="n">
        <v>0</v>
      </c>
      <c r="AM38" s="24" t="n">
        <v>0</v>
      </c>
      <c r="AN38" s="24" t="n">
        <v>0</v>
      </c>
      <c r="AO38" s="25" t="n"/>
    </row>
    <row r="39">
      <c r="A39" s="12" t="inlineStr">
        <is>
          <t>drv:DPS</t>
        </is>
      </c>
      <c r="B39" s="2" t="inlineStr">
        <is>
          <t>abs</t>
        </is>
      </c>
      <c r="C39" t="inlineStr">
        <is>
          <t>DPS (가정, 원)</t>
        </is>
      </c>
      <c r="E39" s="27">
        <f>subQ!E33</f>
        <v/>
      </c>
      <c r="F39" s="28">
        <f>subQ!F33</f>
        <v/>
      </c>
      <c r="G39" s="27">
        <f>subQ!G33</f>
        <v/>
      </c>
      <c r="H39" s="27">
        <f>subQ!H33</f>
        <v/>
      </c>
      <c r="I39" s="27">
        <f>subQ!I33</f>
        <v/>
      </c>
      <c r="J39" s="27">
        <f>subQ!J33</f>
        <v/>
      </c>
      <c r="K39" s="28">
        <f>subQ!K33</f>
        <v/>
      </c>
      <c r="L39" s="27">
        <f>subQ!L33</f>
        <v/>
      </c>
      <c r="M39" s="27">
        <f>subQ!M33</f>
        <v/>
      </c>
      <c r="N39" s="27">
        <f>subQ!N33</f>
        <v/>
      </c>
      <c r="O39" s="27">
        <f>subQ!O33</f>
        <v/>
      </c>
      <c r="P39" s="28">
        <f>subQ!P33</f>
        <v/>
      </c>
      <c r="Q39" s="27">
        <f>subQ!Q33</f>
        <v/>
      </c>
      <c r="R39" s="27">
        <f>subQ!R33</f>
        <v/>
      </c>
      <c r="S39" s="27">
        <f>subQ!S33</f>
        <v/>
      </c>
      <c r="T39" s="27">
        <f>subQ!T33</f>
        <v/>
      </c>
      <c r="U39" s="28">
        <f>subQ!U33</f>
        <v/>
      </c>
      <c r="V39" s="27">
        <f>subQ!V33</f>
        <v/>
      </c>
      <c r="W39" s="27">
        <f>subQ!W33</f>
        <v/>
      </c>
      <c r="X39" s="27">
        <f>subQ!X33</f>
        <v/>
      </c>
      <c r="Y39" s="27">
        <f>subQ!Y33</f>
        <v/>
      </c>
      <c r="Z39" s="28">
        <f>subQ!Z33</f>
        <v/>
      </c>
      <c r="AA39" s="27">
        <f>subQ!AA33</f>
        <v/>
      </c>
      <c r="AB39" s="29">
        <f>subQ!AB33</f>
        <v/>
      </c>
      <c r="AC39" s="33" t="n"/>
      <c r="AD39" s="30" t="n">
        <v>30</v>
      </c>
      <c r="AE39" s="31">
        <f>subQ!AE33</f>
        <v/>
      </c>
      <c r="AF39" s="33" t="n"/>
      <c r="AG39" s="33" t="n"/>
      <c r="AH39" s="33" t="n"/>
      <c r="AI39" s="30" t="n">
        <v>30</v>
      </c>
      <c r="AJ39" s="31">
        <f>subQ!AJ33</f>
        <v/>
      </c>
      <c r="AK39" s="33" t="n"/>
      <c r="AL39" s="33" t="n"/>
      <c r="AM39" s="33" t="n"/>
      <c r="AN39" s="30" t="n">
        <v>30</v>
      </c>
      <c r="AO39" s="31">
        <f>subQ!AO33</f>
        <v/>
      </c>
    </row>
    <row r="40"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B41" s="1" t="inlineStr">
        <is>
          <t>3. 밸류에이션·스칼라</t>
        </is>
      </c>
      <c r="C41" s="2" t="inlineStr">
        <is>
          <t>노란 셀 = 가정. '연결' 표시는 추정 전 분기 수식이 이 셀을 참조한다는 뜻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sc:종가</t>
        </is>
      </c>
      <c r="C42" t="inlineStr">
        <is>
          <t>종가</t>
        </is>
      </c>
      <c r="D42" s="34" t="n">
        <v>2900</v>
      </c>
      <c r="E42" s="2" t="inlineStr">
        <is>
          <t>원 — 네이버 정규장 종가(aik 확정종가 대조 · aik 3,020원)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sc:기준일</t>
        </is>
      </c>
      <c r="C43" t="inlineStr">
        <is>
          <t>기준일</t>
        </is>
      </c>
      <c r="D43" s="35" t="inlineStr">
        <is>
          <t>20261013</t>
        </is>
      </c>
      <c r="E43" s="2" t="inlineStr">
        <is>
          <t>종가 기준일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sc:COE</t>
        </is>
      </c>
      <c r="C44" t="inlineStr">
        <is>
          <t>COE</t>
        </is>
      </c>
      <c r="D44" s="24" t="n">
        <v>0.09</v>
      </c>
      <c r="E44" s="2" t="inlineStr">
        <is>
          <t>자기자본비용(가정) — TP 적정 PBR = ROE/COE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sc:PER_lo</t>
        </is>
      </c>
      <c r="C45" t="inlineStr">
        <is>
          <t>PER_lo</t>
        </is>
      </c>
      <c r="D45" s="30" t="n">
        <v>10</v>
      </c>
      <c r="E45" s="2" t="inlineStr">
        <is>
          <t>PER 밴드 하단(배) — sector_default(레퍼런스 TP_PE PB 예시 10/15/20배; 과거 PER 중위 99.3배가 3~40 밖(턴어라운드 왜곡))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sc:PER_mid</t>
        </is>
      </c>
      <c r="C46" t="inlineStr">
        <is>
          <t>PER_mid</t>
        </is>
      </c>
      <c r="D46" s="30" t="n">
        <v>15</v>
      </c>
      <c r="E46" s="2" t="inlineStr">
        <is>
          <t>PER 밴드 중단(배)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sc:PER_hi</t>
        </is>
      </c>
      <c r="C47" t="inlineStr">
        <is>
          <t>PER_hi</t>
        </is>
      </c>
      <c r="D47" s="30" t="n">
        <v>20</v>
      </c>
      <c r="E47" s="2" t="inlineStr">
        <is>
          <t>PER 밴드 상단(배)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sc:EPS_Y1가중</t>
        </is>
      </c>
      <c r="C48" t="inlineStr">
        <is>
          <t>EPS_Y1가중</t>
        </is>
      </c>
      <c r="D48" s="24" t="n">
        <v>0.5</v>
      </c>
      <c r="E48" s="2" t="inlineStr">
        <is>
          <t>12M fwd EPS = FY(last_actual연도)E × w + FY+1E × (1−w) — 기준 분기 2Q 이면 0.5(가정)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sc:세율</t>
        </is>
      </c>
      <c r="C49" t="inlineStr">
        <is>
          <t>세율</t>
        </is>
      </c>
      <c r="D49" s="36" t="n">
        <v>0.1667</v>
      </c>
      <c r="E49" s="2" t="inlineStr">
        <is>
          <t>참고(연결 안 됨: MAX(세전,0)×단일 세율로 재현 불가(지주 자회사 합산 등) → 분기별 역산) — 모델 assumptions 값 · 최근 12분기 세전 합 ≤ 0 → 클립 대신 최근 8분기 중 세전 &gt; 0 인 2분기(2025Q2~2026Q2)의 법인세/세전 중위 16.7%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sc:판관비율</t>
        </is>
      </c>
      <c r="C50" t="inlineStr">
        <is>
          <t>판관비율</t>
        </is>
      </c>
      <c r="D50" s="36" t="n">
        <v>0.06019954037899895</v>
      </c>
      <c r="E50" s="2" t="inlineStr">
        <is>
          <t>연결 — 판관비 = 매출액 × 판관비율(역산, 재현 오차 ≤ 0.05억 · 모델 assumptions 0.0602)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sc:지배주주비중</t>
        </is>
      </c>
      <c r="C51" t="inlineStr">
        <is>
          <t>지배주주비중</t>
        </is>
      </c>
      <c r="D51" s="36" t="n">
        <v>1</v>
      </c>
      <c r="E51" s="2" t="inlineStr">
        <is>
          <t>연결 — 지배주주순이익 = 당기순이익 × 비중(역산, 재현 오차 ≤ 0.05억)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sc:이자율_자산</t>
        </is>
      </c>
      <c r="C52" t="inlineStr">
        <is>
          <t>이자율_자산</t>
        </is>
      </c>
      <c r="D52" s="36" t="n">
        <v>0.03324334354667263</v>
      </c>
      <c r="E52" s="2" t="inlineStr">
        <is>
          <t>연결 — 이자손익 = (전분기 이자발생자산 × 자산이자율 − 전분기 총차입금 × 부채이자율)/4(역산, 재현 오차 ≤ 0.05억 · 모델 assumptions 0.0332)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sc:이자율_부채</t>
        </is>
      </c>
      <c r="C53" t="inlineStr">
        <is>
          <t>이자율_부채</t>
        </is>
      </c>
      <c r="D53" s="36" t="n">
        <v>0.07700489386235108</v>
      </c>
      <c r="E53" s="2" t="inlineStr">
        <is>
          <t>연결 — 같은 수식의 부채 쪽(총차입금 행이 없으면 0)(역산, 재현 오차 ≤ 0.05억 · 모델 assumptions 0.077)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sc:배당성향</t>
        </is>
      </c>
      <c r="C54" t="inlineStr">
        <is>
          <t>배당성향</t>
        </is>
      </c>
      <c r="D54" s="24" t="n"/>
      <c r="E54" s="2" t="inlineStr">
        <is>
          <t>배당성향(참고 — 모델은 직전 DPS 유지·Q2 지급 가정)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sc:외화순노출_백만$</t>
        </is>
      </c>
      <c r="C55" t="inlineStr">
        <is>
          <t>외화순노출_백만$</t>
        </is>
      </c>
      <c r="D55" s="30" t="n"/>
      <c r="E55" s="2" t="inlineStr">
        <is>
          <t>외화 순노출 × Δ기말환율 (외화 시트 방식) — 외화 순노출 미공시(face) → 0 + 표기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sc:헤지비율</t>
        </is>
      </c>
      <c r="C56" t="inlineStr">
        <is>
          <t>헤지비율</t>
        </is>
      </c>
      <c r="D56" s="24" t="n"/>
      <c r="E56" s="2" t="inlineStr">
        <is>
          <t>sls 없음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sc:헤지환율_약정</t>
        </is>
      </c>
      <c r="C57" t="inlineStr">
        <is>
          <t>헤지환율_약정</t>
        </is>
      </c>
      <c r="D57" s="16" t="n"/>
      <c r="E57" s="2" t="inlineStr">
        <is>
          <t>sls 없음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한일철강(연)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109937.95</v>
      </c>
      <c r="F5" s="37" t="n">
        <v>109937.95</v>
      </c>
      <c r="G5" s="18" t="n">
        <v>118389.01</v>
      </c>
      <c r="H5" s="18" t="n">
        <v>124221.47</v>
      </c>
      <c r="I5" s="18" t="n">
        <v>120714.71</v>
      </c>
      <c r="J5" s="18" t="n">
        <v>105439.73</v>
      </c>
      <c r="K5" s="37" t="n">
        <v>105439.73</v>
      </c>
      <c r="L5" s="18" t="n">
        <v>100867.84</v>
      </c>
      <c r="M5" s="18" t="n">
        <v>103150.61</v>
      </c>
      <c r="N5" s="18" t="n">
        <v>109295.75</v>
      </c>
      <c r="O5" s="18" t="n">
        <v>96584.58</v>
      </c>
      <c r="P5" s="37" t="n">
        <v>96584.58</v>
      </c>
      <c r="Q5" s="18" t="n">
        <v>94917.36</v>
      </c>
      <c r="R5" s="18" t="n">
        <v>99915.72</v>
      </c>
      <c r="S5" s="18" t="n">
        <v>100005.89</v>
      </c>
      <c r="T5" s="18" t="n">
        <v>102427.18</v>
      </c>
      <c r="U5" s="37" t="n">
        <v>102427.18</v>
      </c>
      <c r="V5" s="18" t="n">
        <v>106184.2</v>
      </c>
      <c r="W5" s="18" t="n">
        <v>98415.96000000001</v>
      </c>
      <c r="X5" s="18" t="n">
        <v>109120.87</v>
      </c>
      <c r="Y5" s="18" t="n">
        <v>97807.53999999999</v>
      </c>
      <c r="Z5" s="37" t="n">
        <v>97807.53999999999</v>
      </c>
      <c r="AA5" s="18" t="n">
        <v>103061.93</v>
      </c>
      <c r="AB5" s="19" t="n">
        <v>129882.74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12776.01</v>
      </c>
      <c r="F6" s="37" t="n">
        <v>12776.01</v>
      </c>
      <c r="G6" s="18" t="n">
        <v>8489.309999999999</v>
      </c>
      <c r="H6" s="18" t="n">
        <v>11125.59</v>
      </c>
      <c r="I6" s="18" t="n">
        <v>7570.64</v>
      </c>
      <c r="J6" s="18" t="n">
        <v>12401.56</v>
      </c>
      <c r="K6" s="37" t="n">
        <v>12401.56</v>
      </c>
      <c r="L6" s="18" t="n">
        <v>12008.24</v>
      </c>
      <c r="M6" s="18" t="n">
        <v>10418.08</v>
      </c>
      <c r="N6" s="18" t="n">
        <v>10507.76</v>
      </c>
      <c r="O6" s="18" t="n">
        <v>12942.53</v>
      </c>
      <c r="P6" s="37" t="n">
        <v>12942.53</v>
      </c>
      <c r="Q6" s="18" t="n">
        <v>6171.37</v>
      </c>
      <c r="R6" s="18" t="n">
        <v>8915.639999999999</v>
      </c>
      <c r="S6" s="18" t="n">
        <v>14674.49</v>
      </c>
      <c r="T6" s="18" t="n">
        <v>11719.23</v>
      </c>
      <c r="U6" s="37" t="n">
        <v>11719.23</v>
      </c>
      <c r="V6" s="18" t="n">
        <v>13164.5</v>
      </c>
      <c r="W6" s="18" t="n">
        <v>10230.18</v>
      </c>
      <c r="X6" s="18" t="n">
        <v>9647.290000000001</v>
      </c>
      <c r="Y6" s="18" t="n">
        <v>5890.6</v>
      </c>
      <c r="Z6" s="37" t="n">
        <v>5890.6</v>
      </c>
      <c r="AA6" s="18" t="n">
        <v>14534.04</v>
      </c>
      <c r="AB6" s="19" t="n">
        <v>14412.5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15764.23</v>
      </c>
      <c r="F7" s="37" t="n">
        <v>15764.23</v>
      </c>
      <c r="G7" s="18" t="n">
        <v>23915.86</v>
      </c>
      <c r="J7" s="18" t="n">
        <v>28060</v>
      </c>
      <c r="K7" s="37" t="n">
        <v>28060</v>
      </c>
      <c r="L7" s="18" t="n">
        <v>18860</v>
      </c>
      <c r="M7" s="18" t="n">
        <v>18860</v>
      </c>
      <c r="N7" s="18" t="n">
        <v>16960</v>
      </c>
      <c r="O7" s="18" t="n">
        <v>16960</v>
      </c>
      <c r="P7" s="37" t="n">
        <v>16960</v>
      </c>
      <c r="Q7" s="18" t="n">
        <v>16460</v>
      </c>
      <c r="R7" s="18" t="n">
        <v>16460</v>
      </c>
      <c r="S7" s="18" t="n">
        <v>17460</v>
      </c>
      <c r="T7" s="18" t="n">
        <v>22260</v>
      </c>
      <c r="U7" s="37" t="n">
        <v>22260</v>
      </c>
      <c r="V7" s="18" t="n">
        <v>24260</v>
      </c>
      <c r="W7" s="18" t="n">
        <v>24260</v>
      </c>
      <c r="X7" s="18" t="n">
        <v>23410</v>
      </c>
      <c r="Y7" s="18" t="n">
        <v>23410</v>
      </c>
      <c r="Z7" s="37" t="n">
        <v>23410</v>
      </c>
      <c r="AA7" s="18" t="n">
        <v>21410</v>
      </c>
      <c r="AB7" s="19" t="n">
        <v>27610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15764.23</v>
      </c>
      <c r="F8" s="37" t="n">
        <v>15764.23</v>
      </c>
      <c r="G8" s="18" t="n">
        <v>23915.86</v>
      </c>
      <c r="J8" s="18" t="n">
        <v>28060</v>
      </c>
      <c r="K8" s="37" t="n">
        <v>28060</v>
      </c>
      <c r="L8" s="18" t="n">
        <v>18860</v>
      </c>
      <c r="M8" s="18" t="n">
        <v>18860</v>
      </c>
      <c r="N8" s="18" t="n">
        <v>16960</v>
      </c>
      <c r="O8" s="18" t="n">
        <v>16960</v>
      </c>
      <c r="P8" s="37" t="n">
        <v>16960</v>
      </c>
      <c r="Q8" s="18" t="n">
        <v>16460</v>
      </c>
      <c r="R8" s="18" t="n">
        <v>16460</v>
      </c>
      <c r="S8" s="18" t="n">
        <v>17460</v>
      </c>
      <c r="T8" s="18" t="n">
        <v>22260</v>
      </c>
      <c r="U8" s="37" t="n">
        <v>22260</v>
      </c>
      <c r="V8" s="18" t="n">
        <v>24260</v>
      </c>
      <c r="W8" s="18" t="n">
        <v>24260</v>
      </c>
      <c r="X8" s="18" t="n">
        <v>23410</v>
      </c>
      <c r="Y8" s="18" t="n">
        <v>23410</v>
      </c>
      <c r="Z8" s="37" t="n">
        <v>23410</v>
      </c>
      <c r="AA8" s="18" t="n">
        <v>21410</v>
      </c>
      <c r="AB8" s="19" t="n">
        <v>27610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37085.46</v>
      </c>
      <c r="F9" s="37" t="n">
        <v>37085.46</v>
      </c>
      <c r="G9" s="18" t="n">
        <v>41100.6</v>
      </c>
      <c r="H9" s="18" t="n">
        <v>36743.63</v>
      </c>
      <c r="I9" s="18" t="n">
        <v>39143.39</v>
      </c>
      <c r="J9" s="18" t="n">
        <v>36796.2</v>
      </c>
      <c r="K9" s="37" t="n">
        <v>36796.2</v>
      </c>
      <c r="L9" s="18" t="n">
        <v>34123.23</v>
      </c>
      <c r="M9" s="18" t="n">
        <v>31403.44</v>
      </c>
      <c r="N9" s="18" t="n">
        <v>33549.25</v>
      </c>
      <c r="O9" s="18" t="n">
        <v>30795.01</v>
      </c>
      <c r="P9" s="37" t="n">
        <v>30795.01</v>
      </c>
      <c r="Q9" s="18" t="n">
        <v>30030.49</v>
      </c>
      <c r="R9" s="18" t="n">
        <v>31252.87</v>
      </c>
      <c r="S9" s="18" t="n">
        <v>24368.33</v>
      </c>
      <c r="T9" s="18" t="n">
        <v>31744.1</v>
      </c>
      <c r="U9" s="37" t="n">
        <v>31744.1</v>
      </c>
      <c r="V9" s="18" t="n">
        <v>29160.69</v>
      </c>
      <c r="W9" s="18" t="n">
        <v>26084.76</v>
      </c>
      <c r="X9" s="18" t="n">
        <v>30811.22</v>
      </c>
      <c r="Y9" s="18" t="n">
        <v>27655.13</v>
      </c>
      <c r="Z9" s="37" t="n">
        <v>27655.13</v>
      </c>
      <c r="AA9" s="18" t="n">
        <v>40017.83</v>
      </c>
      <c r="AB9" s="19" t="n">
        <v>39561.82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기타유동자산</t>
        </is>
      </c>
      <c r="E10" s="18" t="n">
        <v>2311.65</v>
      </c>
      <c r="F10" s="37" t="n">
        <v>2311.65</v>
      </c>
      <c r="G10" s="18" t="n">
        <v>1648.85</v>
      </c>
      <c r="H10" s="18" t="n">
        <v>321.66</v>
      </c>
      <c r="I10" s="18" t="n">
        <v>1403.57</v>
      </c>
      <c r="J10" s="18" t="n">
        <v>159.22</v>
      </c>
      <c r="K10" s="37" t="n">
        <v>159.22</v>
      </c>
      <c r="L10" s="18" t="n">
        <v>108.21</v>
      </c>
      <c r="M10" s="18" t="n">
        <v>268.95</v>
      </c>
      <c r="N10" s="18" t="n">
        <v>355.02</v>
      </c>
      <c r="O10" s="18" t="n">
        <v>195.94</v>
      </c>
      <c r="P10" s="37" t="n">
        <v>195.94</v>
      </c>
      <c r="Q10" s="18" t="n">
        <v>670.66</v>
      </c>
      <c r="R10" s="18" t="n">
        <v>1196.03</v>
      </c>
      <c r="S10" s="18" t="n">
        <v>304.9</v>
      </c>
      <c r="T10" s="18" t="n">
        <v>1209.62</v>
      </c>
      <c r="U10" s="37" t="n">
        <v>1209.62</v>
      </c>
      <c r="V10" s="18" t="n">
        <v>1101.65</v>
      </c>
      <c r="W10" s="18" t="n">
        <v>808.89</v>
      </c>
      <c r="X10" s="18" t="n">
        <v>1429.32</v>
      </c>
      <c r="Z10" s="9" t="n"/>
      <c r="AA10" s="18" t="n">
        <v>1004.28</v>
      </c>
      <c r="AB10" s="19" t="n">
        <v>1033.6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기타유동금융자산</t>
        </is>
      </c>
      <c r="E11" s="18" t="n">
        <v>853.9299999999999</v>
      </c>
      <c r="F11" s="37" t="n">
        <v>853.9299999999999</v>
      </c>
      <c r="G11" s="18" t="n">
        <v>1142.6</v>
      </c>
      <c r="H11" s="18" t="n">
        <v>27724.32</v>
      </c>
      <c r="I11" s="18" t="n">
        <v>29300.95</v>
      </c>
      <c r="J11" s="18" t="n">
        <v>0</v>
      </c>
      <c r="K11" s="37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37" t="n">
        <v>0</v>
      </c>
      <c r="Q11" s="18" t="n">
        <v>0</v>
      </c>
      <c r="R11" s="18" t="n">
        <v>0</v>
      </c>
      <c r="S11" s="18" t="n">
        <v>0</v>
      </c>
      <c r="T11" s="18" t="n">
        <v>0</v>
      </c>
      <c r="U11" s="37" t="n">
        <v>0</v>
      </c>
      <c r="V11" s="18" t="n">
        <v>0</v>
      </c>
      <c r="W11" s="18" t="n">
        <v>0</v>
      </c>
      <c r="X11" s="18" t="n">
        <v>0</v>
      </c>
      <c r="Z11" s="9" t="n"/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재고자산</t>
        </is>
      </c>
      <c r="E12" s="18" t="n">
        <v>41146.48</v>
      </c>
      <c r="F12" s="37" t="n">
        <v>41146.48</v>
      </c>
      <c r="G12" s="18" t="n">
        <v>42652.67</v>
      </c>
      <c r="H12" s="18" t="n">
        <v>47805.07</v>
      </c>
      <c r="I12" s="18" t="n">
        <v>42796.59</v>
      </c>
      <c r="J12" s="18" t="n">
        <v>27056.33</v>
      </c>
      <c r="K12" s="37" t="n">
        <v>27056.33</v>
      </c>
      <c r="L12" s="18" t="n">
        <v>35222.56</v>
      </c>
      <c r="M12" s="18" t="n">
        <v>41631.71</v>
      </c>
      <c r="N12" s="18" t="n">
        <v>47241.83</v>
      </c>
      <c r="O12" s="18" t="n">
        <v>35045.74</v>
      </c>
      <c r="P12" s="37" t="n">
        <v>35045.74</v>
      </c>
      <c r="Q12" s="18" t="n">
        <v>41370.67</v>
      </c>
      <c r="R12" s="18" t="n">
        <v>42064.67</v>
      </c>
      <c r="S12" s="18" t="n">
        <v>38097.63</v>
      </c>
      <c r="T12" s="18" t="n">
        <v>35354.35</v>
      </c>
      <c r="U12" s="37" t="n">
        <v>35354.35</v>
      </c>
      <c r="V12" s="18" t="n">
        <v>38462.11</v>
      </c>
      <c r="W12" s="18" t="n">
        <v>36970.98</v>
      </c>
      <c r="X12" s="18" t="n">
        <v>43702.79</v>
      </c>
      <c r="Y12" s="18" t="n">
        <v>39224.09</v>
      </c>
      <c r="Z12" s="37" t="n">
        <v>39224.09</v>
      </c>
      <c r="AA12" s="18" t="n">
        <v>26063.29</v>
      </c>
      <c r="AB12" s="19" t="n">
        <v>47225.02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당기법인세자산(선급법인세)</t>
        </is>
      </c>
      <c r="E13" s="18" t="n">
        <v>0.2</v>
      </c>
      <c r="F13" s="37" t="n">
        <v>0.2</v>
      </c>
      <c r="G13" s="18" t="n">
        <v>-560.88</v>
      </c>
      <c r="H13" s="18" t="n">
        <v>0</v>
      </c>
      <c r="I13" s="18" t="n">
        <v>0</v>
      </c>
      <c r="J13" s="18" t="n">
        <v>463.92</v>
      </c>
      <c r="K13" s="37" t="n">
        <v>463.92</v>
      </c>
      <c r="L13" s="18" t="n">
        <v>36.16</v>
      </c>
      <c r="M13" s="18" t="n">
        <v>56.91</v>
      </c>
      <c r="N13" s="18" t="n">
        <v>168.11</v>
      </c>
      <c r="O13" s="18" t="n">
        <v>117.08</v>
      </c>
      <c r="P13" s="37" t="n">
        <v>117.08</v>
      </c>
      <c r="Q13" s="18" t="n">
        <v>-35.69</v>
      </c>
      <c r="R13" s="18" t="n">
        <v>26.52</v>
      </c>
      <c r="S13" s="18" t="n">
        <v>100.54</v>
      </c>
      <c r="T13" s="18" t="n">
        <v>139.88</v>
      </c>
      <c r="U13" s="37" t="n">
        <v>139.88</v>
      </c>
      <c r="V13" s="18" t="n">
        <v>35.25</v>
      </c>
      <c r="W13" s="18" t="n">
        <v>61.15</v>
      </c>
      <c r="X13" s="18" t="n">
        <v>120.26</v>
      </c>
      <c r="Y13" s="18" t="n">
        <v>153.12</v>
      </c>
      <c r="Z13" s="37" t="n">
        <v>153.12</v>
      </c>
      <c r="AA13" s="18" t="n">
        <v>32.49</v>
      </c>
      <c r="AB13" s="19" t="n">
        <v>39.81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비유동자산</t>
        </is>
      </c>
      <c r="E14" s="18" t="n">
        <v>228804.89</v>
      </c>
      <c r="F14" s="37" t="n">
        <v>228804.89</v>
      </c>
      <c r="G14" s="18" t="n">
        <v>230737.7</v>
      </c>
      <c r="H14" s="18" t="n">
        <v>231574.9</v>
      </c>
      <c r="I14" s="18" t="n">
        <v>235241.32</v>
      </c>
      <c r="J14" s="18" t="n">
        <v>233715.25</v>
      </c>
      <c r="K14" s="37" t="n">
        <v>233715.25</v>
      </c>
      <c r="L14" s="18" t="n">
        <v>232023.34</v>
      </c>
      <c r="M14" s="18" t="n">
        <v>231521.2</v>
      </c>
      <c r="N14" s="18" t="n">
        <v>233192.62</v>
      </c>
      <c r="O14" s="18" t="n">
        <v>234444.41</v>
      </c>
      <c r="P14" s="37" t="n">
        <v>234444.41</v>
      </c>
      <c r="Q14" s="18" t="n">
        <v>234992.25</v>
      </c>
      <c r="R14" s="18" t="n">
        <v>236204.63</v>
      </c>
      <c r="S14" s="18" t="n">
        <v>235904.86</v>
      </c>
      <c r="T14" s="18" t="n">
        <v>238024.87</v>
      </c>
      <c r="U14" s="37" t="n">
        <v>238024.87</v>
      </c>
      <c r="V14" s="18" t="n">
        <v>236992.17</v>
      </c>
      <c r="W14" s="18" t="n">
        <v>236534.3</v>
      </c>
      <c r="X14" s="18" t="n">
        <v>236131.59</v>
      </c>
      <c r="Y14" s="18" t="n">
        <v>238311.7</v>
      </c>
      <c r="Z14" s="37" t="n">
        <v>238311.7</v>
      </c>
      <c r="AA14" s="18" t="n">
        <v>237987.52</v>
      </c>
      <c r="AB14" s="19" t="n">
        <v>240223.41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2022.2</v>
      </c>
      <c r="F15" s="37" t="n">
        <v>2022.2</v>
      </c>
      <c r="G15" s="18" t="n">
        <v>2024.1</v>
      </c>
      <c r="H15" s="18" t="n">
        <v>1001.97</v>
      </c>
      <c r="I15" s="18" t="n">
        <v>1001.97</v>
      </c>
      <c r="J15" s="18" t="n">
        <v>1019.08</v>
      </c>
      <c r="K15" s="37" t="n">
        <v>1019.08</v>
      </c>
      <c r="L15" s="18" t="n">
        <v>1006.13</v>
      </c>
      <c r="M15" s="18" t="n">
        <v>1010.81</v>
      </c>
      <c r="N15" s="18" t="n">
        <v>1020.81</v>
      </c>
      <c r="O15" s="18" t="n">
        <v>1021.24</v>
      </c>
      <c r="P15" s="37" t="n">
        <v>1021.24</v>
      </c>
      <c r="Q15" s="18" t="n">
        <v>1026.54</v>
      </c>
      <c r="R15" s="18" t="n">
        <v>1025.2</v>
      </c>
      <c r="S15" s="18" t="n">
        <v>1025.36</v>
      </c>
      <c r="T15" s="18" t="n">
        <v>1026.43</v>
      </c>
      <c r="U15" s="37" t="n">
        <v>1026.43</v>
      </c>
      <c r="V15" s="18" t="n">
        <v>1025.4</v>
      </c>
      <c r="W15" s="18" t="n">
        <v>1026.75</v>
      </c>
      <c r="X15" s="18" t="n">
        <v>269.28</v>
      </c>
      <c r="Y15" s="18" t="n">
        <v>4756.97</v>
      </c>
      <c r="Z15" s="37" t="n">
        <v>4756.97</v>
      </c>
      <c r="AA15" s="18" t="n">
        <v>4160.83</v>
      </c>
      <c r="AB15" s="19" t="n">
        <v>4160.6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19410.42</v>
      </c>
      <c r="F16" s="37" t="n">
        <v>19410.42</v>
      </c>
      <c r="G16" s="18" t="n">
        <v>20341.59</v>
      </c>
      <c r="H16" s="18" t="n">
        <v>19607.94</v>
      </c>
      <c r="I16" s="18" t="n">
        <v>20439.76</v>
      </c>
      <c r="J16" s="18" t="n">
        <v>19901.21</v>
      </c>
      <c r="K16" s="37" t="n">
        <v>19901.21</v>
      </c>
      <c r="L16" s="18" t="n">
        <v>19914.05</v>
      </c>
      <c r="M16" s="18" t="n">
        <v>19730.23</v>
      </c>
      <c r="N16" s="18" t="n">
        <v>20023.5</v>
      </c>
      <c r="O16" s="18" t="n">
        <v>19963.51</v>
      </c>
      <c r="P16" s="37" t="n">
        <v>19963.51</v>
      </c>
      <c r="Q16" s="18" t="n">
        <v>19996.52</v>
      </c>
      <c r="R16" s="18" t="n">
        <v>19441.4</v>
      </c>
      <c r="S16" s="18" t="n">
        <v>19283.03</v>
      </c>
      <c r="T16" s="18" t="n">
        <v>19786.7</v>
      </c>
      <c r="U16" s="37" t="n">
        <v>19786.7</v>
      </c>
      <c r="V16" s="18" t="n">
        <v>19886.32</v>
      </c>
      <c r="W16" s="18" t="n">
        <v>19664.93</v>
      </c>
      <c r="X16" s="18" t="n">
        <v>18580.16</v>
      </c>
      <c r="Y16" s="18" t="n">
        <v>4756.97</v>
      </c>
      <c r="Z16" s="37" t="n">
        <v>4756.97</v>
      </c>
      <c r="AA16" s="18" t="n">
        <v>4160.83</v>
      </c>
      <c r="AB16" s="19" t="n">
        <v>4160.6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종속기업및관계기업투자</t>
        </is>
      </c>
      <c r="E17" s="18" t="n">
        <v>17388.22</v>
      </c>
      <c r="F17" s="37" t="n">
        <v>17388.22</v>
      </c>
      <c r="G17" s="18" t="n">
        <v>18317.49</v>
      </c>
      <c r="H17" s="18" t="n">
        <v>18605.97</v>
      </c>
      <c r="I17" s="18" t="n">
        <v>19437.79</v>
      </c>
      <c r="J17" s="18" t="n">
        <v>18882.13</v>
      </c>
      <c r="K17" s="37" t="n">
        <v>18882.13</v>
      </c>
      <c r="L17" s="18" t="n">
        <v>18907.92</v>
      </c>
      <c r="M17" s="18" t="n">
        <v>18719.42</v>
      </c>
      <c r="N17" s="18" t="n">
        <v>19002.69</v>
      </c>
      <c r="O17" s="18" t="n">
        <v>18942.27</v>
      </c>
      <c r="P17" s="37" t="n">
        <v>18942.27</v>
      </c>
      <c r="Q17" s="18" t="n">
        <v>18969.98</v>
      </c>
      <c r="R17" s="18" t="n">
        <v>18416.2</v>
      </c>
      <c r="S17" s="18" t="n">
        <v>18257.67</v>
      </c>
      <c r="T17" s="18" t="n">
        <v>18760.27</v>
      </c>
      <c r="U17" s="37" t="n">
        <v>18760.27</v>
      </c>
      <c r="V17" s="18" t="n">
        <v>18860.92</v>
      </c>
      <c r="W17" s="18" t="n">
        <v>18638.18</v>
      </c>
      <c r="X17" s="18" t="n">
        <v>18310.88</v>
      </c>
      <c r="Z17" s="9" t="n"/>
      <c r="AB17" s="5" t="n"/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투자부동산</t>
        </is>
      </c>
      <c r="E18" s="18" t="n">
        <v>123818.87</v>
      </c>
      <c r="F18" s="37" t="n">
        <v>123818.87</v>
      </c>
      <c r="G18" s="18" t="n">
        <v>123772.16</v>
      </c>
      <c r="H18" s="18" t="n">
        <v>123725.45</v>
      </c>
      <c r="I18" s="18" t="n">
        <v>123678.75</v>
      </c>
      <c r="J18" s="18" t="n">
        <v>126970.6</v>
      </c>
      <c r="K18" s="37" t="n">
        <v>126970.6</v>
      </c>
      <c r="L18" s="18" t="n">
        <v>126917.2</v>
      </c>
      <c r="M18" s="18" t="n">
        <v>126864.93</v>
      </c>
      <c r="N18" s="18" t="n">
        <v>126812.67</v>
      </c>
      <c r="O18" s="18" t="n">
        <v>126760.4</v>
      </c>
      <c r="P18" s="37" t="n">
        <v>126760.4</v>
      </c>
      <c r="Q18" s="18" t="n">
        <v>126708.73</v>
      </c>
      <c r="R18" s="18" t="n">
        <v>126657.06</v>
      </c>
      <c r="S18" s="18" t="n">
        <v>127437.03</v>
      </c>
      <c r="T18" s="18" t="n">
        <v>129203.81</v>
      </c>
      <c r="U18" s="37" t="n">
        <v>129203.81</v>
      </c>
      <c r="V18" s="18" t="n">
        <v>129078.73</v>
      </c>
      <c r="W18" s="18" t="n">
        <v>129005.13</v>
      </c>
      <c r="X18" s="18" t="n">
        <v>128931.53</v>
      </c>
      <c r="Y18" s="18" t="n">
        <v>129028.38</v>
      </c>
      <c r="Z18" s="37" t="n">
        <v>129028.38</v>
      </c>
      <c r="AA18" s="18" t="n">
        <v>128953.32</v>
      </c>
      <c r="AB18" s="19" t="n">
        <v>128878.27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유형자산</t>
        </is>
      </c>
      <c r="E19" s="18" t="n">
        <v>83403.78</v>
      </c>
      <c r="F19" s="37" t="n">
        <v>83403.78</v>
      </c>
      <c r="G19" s="18" t="n">
        <v>84428.42</v>
      </c>
      <c r="H19" s="18" t="n">
        <v>83789.91</v>
      </c>
      <c r="I19" s="18" t="n">
        <v>86230.94</v>
      </c>
      <c r="J19" s="18" t="n">
        <v>81789.07000000001</v>
      </c>
      <c r="K19" s="37" t="n">
        <v>81789.07000000001</v>
      </c>
      <c r="L19" s="18" t="n">
        <v>80242.11</v>
      </c>
      <c r="M19" s="18" t="n">
        <v>79910.87</v>
      </c>
      <c r="N19" s="18" t="n">
        <v>81575.55</v>
      </c>
      <c r="O19" s="18" t="n">
        <v>82980.53999999999</v>
      </c>
      <c r="P19" s="37" t="n">
        <v>82980.53999999999</v>
      </c>
      <c r="Q19" s="18" t="n">
        <v>83904.66</v>
      </c>
      <c r="R19" s="18" t="n">
        <v>84168.14</v>
      </c>
      <c r="S19" s="18" t="n">
        <v>83457.64999999999</v>
      </c>
      <c r="T19" s="18" t="n">
        <v>83201.22</v>
      </c>
      <c r="U19" s="37" t="n">
        <v>83201.22</v>
      </c>
      <c r="V19" s="18" t="n">
        <v>81479.21000000001</v>
      </c>
      <c r="W19" s="18" t="n">
        <v>81112.24000000001</v>
      </c>
      <c r="X19" s="18" t="n">
        <v>81461.88</v>
      </c>
      <c r="Y19" s="18" t="n">
        <v>82202.22</v>
      </c>
      <c r="Z19" s="37" t="n">
        <v>82202.22</v>
      </c>
      <c r="AA19" s="18" t="n">
        <v>82226.49000000001</v>
      </c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무형자산</t>
        </is>
      </c>
      <c r="E20" s="18" t="n">
        <v>2171.82</v>
      </c>
      <c r="F20" s="37" t="n">
        <v>2171.82</v>
      </c>
      <c r="G20" s="18" t="n">
        <v>2195.54</v>
      </c>
      <c r="H20" s="18" t="n">
        <v>2234.71</v>
      </c>
      <c r="I20" s="18" t="n">
        <v>2602.04</v>
      </c>
      <c r="J20" s="18" t="n">
        <v>2480.47</v>
      </c>
      <c r="K20" s="37" t="n">
        <v>2480.47</v>
      </c>
      <c r="L20" s="18" t="n">
        <v>2508.63</v>
      </c>
      <c r="M20" s="18" t="n">
        <v>2446.01</v>
      </c>
      <c r="N20" s="18" t="n">
        <v>2449.6</v>
      </c>
      <c r="O20" s="18" t="n">
        <v>2413.09</v>
      </c>
      <c r="P20" s="37" t="n">
        <v>2413.09</v>
      </c>
      <c r="Q20" s="18" t="n">
        <v>2427.41</v>
      </c>
      <c r="R20" s="18" t="n">
        <v>2439.6</v>
      </c>
      <c r="S20" s="18" t="n">
        <v>2414.72</v>
      </c>
      <c r="T20" s="18" t="n">
        <v>2471.27</v>
      </c>
      <c r="U20" s="37" t="n">
        <v>2471.27</v>
      </c>
      <c r="V20" s="18" t="n">
        <v>2475.03</v>
      </c>
      <c r="W20" s="18" t="n">
        <v>2389.78</v>
      </c>
      <c r="X20" s="18" t="n">
        <v>2417.63</v>
      </c>
      <c r="Y20" s="18" t="n">
        <v>3263.45</v>
      </c>
      <c r="Z20" s="37" t="n">
        <v>3263.45</v>
      </c>
      <c r="AA20" s="18" t="n">
        <v>3322.62</v>
      </c>
      <c r="AB20" s="19" t="n">
        <v>3420.56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자산총계</t>
        </is>
      </c>
      <c r="E21" s="18" t="n">
        <v>338742.84</v>
      </c>
      <c r="F21" s="37" t="n">
        <v>338742.84</v>
      </c>
      <c r="G21" s="18" t="n">
        <v>349126.71</v>
      </c>
      <c r="H21" s="18" t="n">
        <v>355796.37</v>
      </c>
      <c r="I21" s="18" t="n">
        <v>355956.03</v>
      </c>
      <c r="J21" s="18" t="n">
        <v>339154.97</v>
      </c>
      <c r="K21" s="37" t="n">
        <v>339154.97</v>
      </c>
      <c r="L21" s="18" t="n">
        <v>332891.18</v>
      </c>
      <c r="M21" s="18" t="n">
        <v>334671.81</v>
      </c>
      <c r="N21" s="18" t="n">
        <v>342488.37</v>
      </c>
      <c r="O21" s="18" t="n">
        <v>331029</v>
      </c>
      <c r="P21" s="37" t="n">
        <v>331029</v>
      </c>
      <c r="Q21" s="18" t="n">
        <v>329909.61</v>
      </c>
      <c r="R21" s="18" t="n">
        <v>336120.36</v>
      </c>
      <c r="S21" s="18" t="n">
        <v>335910.75</v>
      </c>
      <c r="T21" s="18" t="n">
        <v>340452.05</v>
      </c>
      <c r="U21" s="37" t="n">
        <v>340452.05</v>
      </c>
      <c r="V21" s="18" t="n">
        <v>343176.37</v>
      </c>
      <c r="W21" s="18" t="n">
        <v>334950.25</v>
      </c>
      <c r="X21" s="18" t="n">
        <v>345252.46</v>
      </c>
      <c r="Y21" s="18" t="n">
        <v>336119.24</v>
      </c>
      <c r="Z21" s="37" t="n">
        <v>336119.24</v>
      </c>
      <c r="AA21" s="18" t="n">
        <v>341049.45</v>
      </c>
      <c r="AB21" s="19" t="n">
        <v>370106.16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유동부채</t>
        </is>
      </c>
      <c r="E22" s="18" t="n">
        <v>89112.97</v>
      </c>
      <c r="F22" s="37" t="n">
        <v>89112.97</v>
      </c>
      <c r="G22" s="18" t="n">
        <v>116574.85</v>
      </c>
      <c r="H22" s="18" t="n">
        <v>132097.58</v>
      </c>
      <c r="I22" s="18" t="n">
        <v>130826.02</v>
      </c>
      <c r="J22" s="18" t="n">
        <v>112789.05</v>
      </c>
      <c r="K22" s="37" t="n">
        <v>112789.05</v>
      </c>
      <c r="L22" s="18" t="n">
        <v>116243.12</v>
      </c>
      <c r="M22" s="18" t="n">
        <v>114861.62</v>
      </c>
      <c r="N22" s="18" t="n">
        <v>128507.5</v>
      </c>
      <c r="O22" s="18" t="n">
        <v>121158.78</v>
      </c>
      <c r="P22" s="37" t="n">
        <v>121158.78</v>
      </c>
      <c r="Q22" s="18" t="n">
        <v>122286.13</v>
      </c>
      <c r="R22" s="18" t="n">
        <v>130229.48</v>
      </c>
      <c r="S22" s="18" t="n">
        <v>124334.16</v>
      </c>
      <c r="T22" s="18" t="n">
        <v>130607.4</v>
      </c>
      <c r="U22" s="37" t="n">
        <v>130607.4</v>
      </c>
      <c r="V22" s="18" t="n">
        <v>133771.7</v>
      </c>
      <c r="W22" s="18" t="n">
        <v>125461.37</v>
      </c>
      <c r="X22" s="18" t="n">
        <v>141760.88</v>
      </c>
      <c r="Y22" s="18" t="n">
        <v>134154.2</v>
      </c>
      <c r="Z22" s="37" t="n">
        <v>134154.2</v>
      </c>
      <c r="AA22" s="18" t="n">
        <v>140352.17</v>
      </c>
      <c r="AB22" s="19" t="n">
        <v>167169.41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매입채무및기타채무</t>
        </is>
      </c>
      <c r="E23" s="18" t="n">
        <v>11865.99</v>
      </c>
      <c r="F23" s="37" t="n">
        <v>11865.99</v>
      </c>
      <c r="G23" s="18" t="n">
        <v>14499.47</v>
      </c>
      <c r="J23" s="18" t="n">
        <v>14960.61</v>
      </c>
      <c r="K23" s="37" t="n">
        <v>14960.61</v>
      </c>
      <c r="L23" s="18" t="n">
        <v>13995.89</v>
      </c>
      <c r="M23" s="18" t="n">
        <v>19061.29</v>
      </c>
      <c r="N23" s="18" t="n">
        <v>26345.46</v>
      </c>
      <c r="O23" s="18" t="n">
        <v>17259.94</v>
      </c>
      <c r="P23" s="37" t="n">
        <v>17259.94</v>
      </c>
      <c r="Q23" s="18" t="n">
        <v>22385.8</v>
      </c>
      <c r="R23" s="18" t="n">
        <v>17874.15</v>
      </c>
      <c r="S23" s="18" t="n">
        <v>15613.39</v>
      </c>
      <c r="T23" s="18" t="n">
        <v>20092.91</v>
      </c>
      <c r="U23" s="37" t="n">
        <v>20092.91</v>
      </c>
      <c r="V23" s="18" t="n">
        <v>16094.37</v>
      </c>
      <c r="W23" s="18" t="n">
        <v>14780.91</v>
      </c>
      <c r="X23" s="18" t="n">
        <v>19530.68</v>
      </c>
      <c r="Y23" s="18" t="n">
        <v>17224.67</v>
      </c>
      <c r="Z23" s="37" t="n">
        <v>17224.67</v>
      </c>
      <c r="AA23" s="18" t="n">
        <v>23010.35</v>
      </c>
      <c r="AB23" s="19" t="n">
        <v>45474.98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단기차입금</t>
        </is>
      </c>
      <c r="E24" s="18" t="n">
        <v>71751.24000000001</v>
      </c>
      <c r="F24" s="37" t="n">
        <v>71751.24000000001</v>
      </c>
      <c r="G24" s="18" t="n">
        <v>96994.05</v>
      </c>
      <c r="H24" s="18" t="n">
        <v>110555.26</v>
      </c>
      <c r="I24" s="18" t="n">
        <v>99830.82000000001</v>
      </c>
      <c r="J24" s="18" t="n">
        <v>93382.91</v>
      </c>
      <c r="K24" s="37" t="n">
        <v>93382.91</v>
      </c>
      <c r="L24" s="18" t="n">
        <v>97263.34</v>
      </c>
      <c r="M24" s="18" t="n">
        <v>81325.41</v>
      </c>
      <c r="N24" s="18" t="n">
        <v>80225.72</v>
      </c>
      <c r="O24" s="18" t="n">
        <v>79006.06</v>
      </c>
      <c r="P24" s="37" t="n">
        <v>79006.06</v>
      </c>
      <c r="Q24" s="18" t="n">
        <v>95514.09</v>
      </c>
      <c r="R24" s="18" t="n">
        <v>107988.29</v>
      </c>
      <c r="S24" s="18" t="n">
        <v>103875.06</v>
      </c>
      <c r="T24" s="18" t="n">
        <v>105141.35</v>
      </c>
      <c r="U24" s="37" t="n">
        <v>105141.35</v>
      </c>
      <c r="V24" s="18" t="n">
        <v>112136.48</v>
      </c>
      <c r="W24" s="18" t="n">
        <v>105858.38</v>
      </c>
      <c r="X24" s="18" t="n">
        <v>111772.67</v>
      </c>
      <c r="Y24" s="18" t="n">
        <v>111910.03</v>
      </c>
      <c r="Z24" s="37" t="n">
        <v>111910.03</v>
      </c>
      <c r="AA24" s="18" t="n">
        <v>112787.7</v>
      </c>
      <c r="AB24" s="19" t="n">
        <v>117391.52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유동성장기부채</t>
        </is>
      </c>
      <c r="E25" s="18" t="n">
        <v>0</v>
      </c>
      <c r="F25" s="37" t="n">
        <v>0</v>
      </c>
      <c r="G25" s="18" t="n">
        <v>0</v>
      </c>
      <c r="H25" s="18" t="n">
        <v>6464.5</v>
      </c>
      <c r="I25" s="18" t="n">
        <v>6464.5</v>
      </c>
      <c r="K25" s="9" t="n"/>
      <c r="M25" s="18" t="n">
        <v>10494</v>
      </c>
      <c r="N25" s="18" t="n">
        <v>16494</v>
      </c>
      <c r="O25" s="18" t="n">
        <v>20494</v>
      </c>
      <c r="P25" s="37" t="n">
        <v>20494</v>
      </c>
      <c r="U25" s="9" t="n"/>
      <c r="X25" s="18" t="n">
        <v>6000</v>
      </c>
      <c r="Z25" s="9" t="n"/>
      <c r="AB25" s="19" t="n">
        <v>0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당기법인세부채(미지급법인세)</t>
        </is>
      </c>
      <c r="E26" s="18" t="n">
        <v>881.52</v>
      </c>
      <c r="F26" s="37" t="n">
        <v>881.52</v>
      </c>
      <c r="G26" s="18" t="n">
        <v>0</v>
      </c>
      <c r="H26" s="18" t="n">
        <v>513.91</v>
      </c>
      <c r="I26" s="18" t="n">
        <v>65.52</v>
      </c>
      <c r="J26" s="18" t="n">
        <v>3.35</v>
      </c>
      <c r="K26" s="37" t="n">
        <v>3.35</v>
      </c>
      <c r="L26" s="18" t="n">
        <v>0</v>
      </c>
      <c r="M26" s="18" t="n">
        <v>98.98</v>
      </c>
      <c r="N26" s="18" t="n">
        <v>98.98</v>
      </c>
      <c r="O26" s="18" t="n">
        <v>0</v>
      </c>
      <c r="P26" s="37" t="n">
        <v>0</v>
      </c>
      <c r="Q26" s="18" t="n">
        <v>-62.83</v>
      </c>
      <c r="R26" s="18" t="n">
        <v>0</v>
      </c>
      <c r="S26" s="18" t="n">
        <v>0</v>
      </c>
      <c r="T26" s="18" t="n">
        <v>0</v>
      </c>
      <c r="U26" s="37" t="n">
        <v>0</v>
      </c>
      <c r="V26" s="18" t="n">
        <v>243.54</v>
      </c>
      <c r="W26" s="18" t="n">
        <v>0</v>
      </c>
      <c r="X26" s="18" t="n">
        <v>0</v>
      </c>
      <c r="Y26" s="18" t="n">
        <v>0.49</v>
      </c>
      <c r="Z26" s="37" t="n">
        <v>0.49</v>
      </c>
      <c r="AA26" s="18" t="n">
        <v>0.04</v>
      </c>
      <c r="AB26" s="19" t="n">
        <v>0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기타유동금융부채</t>
        </is>
      </c>
      <c r="E27" s="18" t="n">
        <v>2156.76</v>
      </c>
      <c r="F27" s="37" t="n">
        <v>2156.76</v>
      </c>
      <c r="G27" s="18" t="n">
        <v>2740.93</v>
      </c>
      <c r="H27" s="18" t="n">
        <v>5343.77</v>
      </c>
      <c r="I27" s="18" t="n">
        <v>8115.97</v>
      </c>
      <c r="J27" s="18" t="n">
        <v>1691</v>
      </c>
      <c r="K27" s="37" t="n">
        <v>1691</v>
      </c>
      <c r="L27" s="18" t="n">
        <v>1505</v>
      </c>
      <c r="M27" s="18" t="n">
        <v>1505</v>
      </c>
      <c r="N27" s="18" t="n">
        <v>1505</v>
      </c>
      <c r="O27" s="18" t="n">
        <v>1505</v>
      </c>
      <c r="P27" s="37" t="n">
        <v>1505</v>
      </c>
      <c r="Q27" s="18" t="n">
        <v>1505</v>
      </c>
      <c r="R27" s="18" t="n">
        <v>1505</v>
      </c>
      <c r="S27" s="18" t="n">
        <v>1605</v>
      </c>
      <c r="T27" s="18" t="n">
        <v>1605</v>
      </c>
      <c r="U27" s="37" t="n">
        <v>1605</v>
      </c>
      <c r="V27" s="18" t="n">
        <v>2305</v>
      </c>
      <c r="W27" s="18" t="n">
        <v>2290</v>
      </c>
      <c r="X27" s="18" t="n">
        <v>1990</v>
      </c>
      <c r="Y27" s="18" t="n">
        <v>1990</v>
      </c>
      <c r="Z27" s="37" t="n">
        <v>1990</v>
      </c>
      <c r="AA27" s="18" t="n">
        <v>1990</v>
      </c>
      <c r="AB27" s="19" t="n">
        <v>1990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단기금융부채</t>
        </is>
      </c>
      <c r="E28" s="18" t="n">
        <v>2156.76</v>
      </c>
      <c r="F28" s="37" t="n">
        <v>2156.76</v>
      </c>
      <c r="G28" s="18" t="n">
        <v>2740.93</v>
      </c>
      <c r="H28" s="18" t="n">
        <v>5343.77</v>
      </c>
      <c r="I28" s="18" t="n">
        <v>8115.97</v>
      </c>
      <c r="J28" s="18" t="n">
        <v>1961.29</v>
      </c>
      <c r="K28" s="37" t="n">
        <v>1961.29</v>
      </c>
      <c r="L28" s="18" t="n">
        <v>1800.75</v>
      </c>
      <c r="M28" s="18" t="n">
        <v>1714.46</v>
      </c>
      <c r="N28" s="18" t="n">
        <v>1826.51</v>
      </c>
      <c r="O28" s="18" t="n">
        <v>1828.92</v>
      </c>
      <c r="P28" s="37" t="n">
        <v>1828.92</v>
      </c>
      <c r="Q28" s="18" t="n">
        <v>1831.37</v>
      </c>
      <c r="R28" s="18" t="n">
        <v>1835.69</v>
      </c>
      <c r="S28" s="18" t="n">
        <v>1943.81</v>
      </c>
      <c r="T28" s="18" t="n">
        <v>1947.3</v>
      </c>
      <c r="U28" s="37" t="n">
        <v>1947.3</v>
      </c>
      <c r="V28" s="18" t="n">
        <v>2650.83</v>
      </c>
      <c r="W28" s="18" t="n">
        <v>2639.39</v>
      </c>
      <c r="X28" s="18" t="n">
        <v>2341.25</v>
      </c>
      <c r="Y28" s="18" t="n">
        <v>2344.42</v>
      </c>
      <c r="Z28" s="37" t="n">
        <v>2344.42</v>
      </c>
      <c r="AA28" s="18" t="n">
        <v>2347.62</v>
      </c>
      <c r="AB28" s="19" t="n">
        <v>2350.85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기타유동부채</t>
        </is>
      </c>
      <c r="E29" s="18" t="n">
        <v>2457.46</v>
      </c>
      <c r="F29" s="37" t="n">
        <v>2457.46</v>
      </c>
      <c r="G29" s="18" t="n">
        <v>2340.39</v>
      </c>
      <c r="H29" s="18" t="n">
        <v>2180.91</v>
      </c>
      <c r="I29" s="18" t="n">
        <v>2618</v>
      </c>
      <c r="J29" s="18" t="n">
        <v>2480.89</v>
      </c>
      <c r="K29" s="37" t="n">
        <v>2480.89</v>
      </c>
      <c r="L29" s="18" t="n">
        <v>3183.14</v>
      </c>
      <c r="M29" s="18" t="n">
        <v>2167.48</v>
      </c>
      <c r="N29" s="18" t="n">
        <v>3516.83</v>
      </c>
      <c r="O29" s="18" t="n">
        <v>2569.86</v>
      </c>
      <c r="P29" s="37" t="n">
        <v>2569.86</v>
      </c>
      <c r="Q29" s="18" t="n">
        <v>2617.7</v>
      </c>
      <c r="R29" s="18" t="n">
        <v>2531.35</v>
      </c>
      <c r="S29" s="18" t="n">
        <v>2901.9</v>
      </c>
      <c r="T29" s="18" t="n">
        <v>3425.84</v>
      </c>
      <c r="U29" s="37" t="n">
        <v>3425.84</v>
      </c>
      <c r="V29" s="18" t="n">
        <v>2646.48</v>
      </c>
      <c r="W29" s="18" t="n">
        <v>2182.69</v>
      </c>
      <c r="X29" s="18" t="n">
        <v>2116.29</v>
      </c>
      <c r="Y29" s="18" t="n">
        <v>2674.59</v>
      </c>
      <c r="Z29" s="37" t="n">
        <v>2674.59</v>
      </c>
      <c r="AA29" s="18" t="n">
        <v>2206.46</v>
      </c>
      <c r="AB29" s="19" t="n">
        <v>1952.06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단기파생상품부채</t>
        </is>
      </c>
      <c r="E30" s="18" t="n">
        <v>0</v>
      </c>
      <c r="F30" s="37" t="n">
        <v>0</v>
      </c>
      <c r="G30" s="18" t="n">
        <v>0</v>
      </c>
      <c r="K30" s="9" t="n"/>
      <c r="P30" s="9" t="n"/>
      <c r="U30" s="9" t="n"/>
      <c r="Z30" s="9" t="n"/>
      <c r="AB30" s="5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비유동부채</t>
        </is>
      </c>
      <c r="E31" s="18" t="n">
        <v>71869.08</v>
      </c>
      <c r="F31" s="37" t="n">
        <v>71869.08</v>
      </c>
      <c r="G31" s="18" t="n">
        <v>51629.61</v>
      </c>
      <c r="H31" s="18" t="n">
        <v>44371.91</v>
      </c>
      <c r="I31" s="18" t="n">
        <v>50439.46</v>
      </c>
      <c r="J31" s="18" t="n">
        <v>51833.29</v>
      </c>
      <c r="K31" s="37" t="n">
        <v>51833.29</v>
      </c>
      <c r="L31" s="18" t="n">
        <v>41227.03</v>
      </c>
      <c r="M31" s="18" t="n">
        <v>45324.58</v>
      </c>
      <c r="N31" s="18" t="n">
        <v>39578.38</v>
      </c>
      <c r="O31" s="18" t="n">
        <v>36300.81</v>
      </c>
      <c r="P31" s="37" t="n">
        <v>36300.81</v>
      </c>
      <c r="Q31" s="18" t="n">
        <v>36681.48</v>
      </c>
      <c r="R31" s="18" t="n">
        <v>36436.88</v>
      </c>
      <c r="S31" s="18" t="n">
        <v>42927.7</v>
      </c>
      <c r="T31" s="18" t="n">
        <v>41394.91</v>
      </c>
      <c r="U31" s="37" t="n">
        <v>41394.91</v>
      </c>
      <c r="V31" s="18" t="n">
        <v>41361.14</v>
      </c>
      <c r="W31" s="18" t="n">
        <v>41627.46</v>
      </c>
      <c r="X31" s="18" t="n">
        <v>35901.99</v>
      </c>
      <c r="Y31" s="18" t="n">
        <v>36858.97</v>
      </c>
      <c r="Z31" s="37" t="n">
        <v>36858.97</v>
      </c>
      <c r="AA31" s="18" t="n">
        <v>36768.36</v>
      </c>
      <c r="AB31" s="19" t="n">
        <v>36888.53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장기차입금</t>
        </is>
      </c>
      <c r="E32" s="18" t="n">
        <v>16421.5</v>
      </c>
      <c r="F32" s="37" t="n">
        <v>16421.5</v>
      </c>
      <c r="G32" s="18" t="n">
        <v>16548</v>
      </c>
      <c r="H32" s="18" t="n">
        <v>10494</v>
      </c>
      <c r="I32" s="18" t="n">
        <v>16494</v>
      </c>
      <c r="J32" s="18" t="n">
        <v>16494</v>
      </c>
      <c r="K32" s="37" t="n">
        <v>16494</v>
      </c>
      <c r="L32" s="18" t="n">
        <v>6000</v>
      </c>
      <c r="M32" s="18" t="n">
        <v>10000</v>
      </c>
      <c r="N32" s="18" t="n">
        <v>4000</v>
      </c>
      <c r="O32" s="18" t="n">
        <v>0</v>
      </c>
      <c r="P32" s="37" t="n">
        <v>0</v>
      </c>
      <c r="Q32" s="18" t="n">
        <v>0</v>
      </c>
      <c r="R32" s="18" t="n">
        <v>0</v>
      </c>
      <c r="S32" s="18" t="n">
        <v>6000</v>
      </c>
      <c r="T32" s="18" t="n">
        <v>6000</v>
      </c>
      <c r="U32" s="37" t="n">
        <v>6000</v>
      </c>
      <c r="V32" s="18" t="n">
        <v>6000</v>
      </c>
      <c r="W32" s="18" t="n">
        <v>6000</v>
      </c>
      <c r="X32" s="18" t="n">
        <v>0</v>
      </c>
      <c r="Y32" s="18" t="n">
        <v>0</v>
      </c>
      <c r="Z32" s="37" t="n">
        <v>0</v>
      </c>
      <c r="AB32" s="19" t="n">
        <v>0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사채</t>
        </is>
      </c>
      <c r="E33" s="18" t="n">
        <v>21317.19</v>
      </c>
      <c r="F33" s="37" t="n">
        <v>21317.19</v>
      </c>
      <c r="G33" s="18" t="n">
        <v>0</v>
      </c>
      <c r="H33" s="18" t="n">
        <v>0</v>
      </c>
      <c r="I33" s="18" t="n">
        <v>0</v>
      </c>
      <c r="J33" s="18" t="n">
        <v>0</v>
      </c>
      <c r="K33" s="37" t="n">
        <v>0</v>
      </c>
      <c r="L33" s="18" t="n">
        <v>0</v>
      </c>
      <c r="M33" s="18" t="n">
        <v>0</v>
      </c>
      <c r="N33" s="18" t="n">
        <v>0</v>
      </c>
      <c r="O33" s="18" t="n">
        <v>0</v>
      </c>
      <c r="P33" s="37" t="n">
        <v>0</v>
      </c>
      <c r="Q33" s="18" t="n">
        <v>0</v>
      </c>
      <c r="R33" s="18" t="n">
        <v>0</v>
      </c>
      <c r="S33" s="18" t="n">
        <v>0</v>
      </c>
      <c r="T33" s="18" t="n">
        <v>0</v>
      </c>
      <c r="U33" s="37" t="n">
        <v>0</v>
      </c>
      <c r="V33" s="18" t="n">
        <v>0</v>
      </c>
      <c r="W33" s="18" t="n">
        <v>0</v>
      </c>
      <c r="X33" s="18" t="n">
        <v>0</v>
      </c>
      <c r="Z33" s="9" t="n"/>
      <c r="AB33" s="5" t="n"/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확정급여부채</t>
        </is>
      </c>
      <c r="E34" s="18" t="n">
        <v>-36.18</v>
      </c>
      <c r="F34" s="37" t="n">
        <v>-36.18</v>
      </c>
      <c r="G34" s="18" t="n">
        <v>710.59</v>
      </c>
      <c r="H34" s="18" t="n">
        <v>0</v>
      </c>
      <c r="I34" s="18" t="n">
        <v>0</v>
      </c>
      <c r="J34" s="18" t="n">
        <v>0</v>
      </c>
      <c r="K34" s="37" t="n">
        <v>0</v>
      </c>
      <c r="L34" s="18" t="n">
        <v>0</v>
      </c>
      <c r="M34" s="18" t="n">
        <v>0</v>
      </c>
      <c r="N34" s="18" t="n">
        <v>0</v>
      </c>
      <c r="O34" s="18" t="n">
        <v>0</v>
      </c>
      <c r="P34" s="37" t="n">
        <v>0</v>
      </c>
      <c r="Q34" s="18" t="n">
        <v>0</v>
      </c>
      <c r="R34" s="18" t="n">
        <v>0</v>
      </c>
      <c r="S34" s="18" t="n">
        <v>0</v>
      </c>
      <c r="T34" s="18" t="n">
        <v>0</v>
      </c>
      <c r="U34" s="37" t="n">
        <v>0</v>
      </c>
      <c r="V34" s="18" t="n">
        <v>138.85</v>
      </c>
      <c r="W34" s="18" t="n">
        <v>0</v>
      </c>
      <c r="X34" s="18" t="n">
        <v>2.67</v>
      </c>
      <c r="Z34" s="9" t="n"/>
      <c r="AB34" s="5" t="n"/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이연법인세부채</t>
        </is>
      </c>
      <c r="E35" s="18" t="n">
        <v>34166.58</v>
      </c>
      <c r="F35" s="37" t="n">
        <v>34166.58</v>
      </c>
      <c r="G35" s="18" t="n">
        <v>34371.02</v>
      </c>
      <c r="H35" s="18" t="n">
        <v>33667.11</v>
      </c>
      <c r="I35" s="18" t="n">
        <v>33823.31</v>
      </c>
      <c r="J35" s="18" t="n">
        <v>35227.03</v>
      </c>
      <c r="K35" s="37" t="n">
        <v>35227.03</v>
      </c>
      <c r="L35" s="18" t="n">
        <v>35227.03</v>
      </c>
      <c r="M35" s="18" t="n">
        <v>35324.58</v>
      </c>
      <c r="N35" s="18" t="n">
        <v>35328.74</v>
      </c>
      <c r="O35" s="18" t="n">
        <v>36133.3</v>
      </c>
      <c r="P35" s="37" t="n">
        <v>36133.3</v>
      </c>
      <c r="Q35" s="18" t="n">
        <v>36597.17</v>
      </c>
      <c r="R35" s="18" t="n">
        <v>36436.88</v>
      </c>
      <c r="S35" s="18" t="n">
        <v>36664.32</v>
      </c>
      <c r="T35" s="18" t="n">
        <v>33712.52</v>
      </c>
      <c r="U35" s="37" t="n">
        <v>33712.52</v>
      </c>
      <c r="V35" s="18" t="n">
        <v>33627.69</v>
      </c>
      <c r="W35" s="18" t="n">
        <v>34121.57</v>
      </c>
      <c r="X35" s="18" t="n">
        <v>34121.57</v>
      </c>
      <c r="Y35" s="18" t="n">
        <v>35171.03</v>
      </c>
      <c r="Z35" s="37" t="n">
        <v>35171.03</v>
      </c>
      <c r="AA35" s="18" t="n">
        <v>35171.03</v>
      </c>
      <c r="AB35" s="19" t="n">
        <v>35382.63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기타비유동금융부채</t>
        </is>
      </c>
      <c r="E36" s="18" t="n">
        <v>0</v>
      </c>
      <c r="F36" s="37" t="n">
        <v>0</v>
      </c>
      <c r="G36" s="18" t="n">
        <v>0</v>
      </c>
      <c r="H36" s="18" t="n">
        <v>210.8</v>
      </c>
      <c r="I36" s="18" t="n">
        <v>122.15</v>
      </c>
      <c r="J36" s="18" t="n">
        <v>0</v>
      </c>
      <c r="K36" s="37" t="n">
        <v>0</v>
      </c>
      <c r="L36" s="18" t="n">
        <v>0</v>
      </c>
      <c r="M36" s="18" t="n">
        <v>0</v>
      </c>
      <c r="N36" s="18" t="n">
        <v>0</v>
      </c>
      <c r="O36" s="18" t="n">
        <v>0</v>
      </c>
      <c r="P36" s="37" t="n">
        <v>0</v>
      </c>
      <c r="Q36" s="18" t="n">
        <v>0</v>
      </c>
      <c r="R36" s="18" t="n">
        <v>0</v>
      </c>
      <c r="S36" s="18" t="n">
        <v>0</v>
      </c>
      <c r="T36" s="18" t="n">
        <v>1505.9</v>
      </c>
      <c r="U36" s="37" t="n">
        <v>1505.9</v>
      </c>
      <c r="V36" s="18" t="n">
        <v>1505.9</v>
      </c>
      <c r="W36" s="18" t="n">
        <v>1505.9</v>
      </c>
      <c r="X36" s="18" t="n">
        <v>1505.9</v>
      </c>
      <c r="Y36" s="18" t="n">
        <v>1505.9</v>
      </c>
      <c r="Z36" s="37" t="n">
        <v>1505.9</v>
      </c>
      <c r="AA36" s="18" t="n">
        <v>1505.9</v>
      </c>
      <c r="AB36" s="19" t="n">
        <v>1505.9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장기금융부채</t>
        </is>
      </c>
      <c r="E37" s="18" t="n">
        <v>0</v>
      </c>
      <c r="F37" s="37" t="n">
        <v>0</v>
      </c>
      <c r="G37" s="18" t="n">
        <v>0</v>
      </c>
      <c r="H37" s="18" t="n">
        <v>210.8</v>
      </c>
      <c r="I37" s="18" t="n">
        <v>122.15</v>
      </c>
      <c r="J37" s="18" t="n">
        <v>112.26</v>
      </c>
      <c r="K37" s="37" t="n">
        <v>112.26</v>
      </c>
      <c r="L37" s="18" t="n">
        <v>0</v>
      </c>
      <c r="M37" s="18" t="n">
        <v>0</v>
      </c>
      <c r="N37" s="18" t="n">
        <v>249.64</v>
      </c>
      <c r="O37" s="18" t="n">
        <v>167.52</v>
      </c>
      <c r="P37" s="37" t="n">
        <v>167.52</v>
      </c>
      <c r="Q37" s="18" t="n">
        <v>84.31</v>
      </c>
      <c r="R37" s="18" t="n">
        <v>0</v>
      </c>
      <c r="S37" s="18" t="n">
        <v>263.38</v>
      </c>
      <c r="T37" s="18" t="n">
        <v>1682.39</v>
      </c>
      <c r="U37" s="37" t="n">
        <v>1682.39</v>
      </c>
      <c r="V37" s="18" t="n">
        <v>1594.6</v>
      </c>
      <c r="W37" s="18" t="n">
        <v>1505.9</v>
      </c>
      <c r="X37" s="18" t="n">
        <v>1777.75</v>
      </c>
      <c r="Y37" s="18" t="n">
        <v>1687.95</v>
      </c>
      <c r="Z37" s="37" t="n">
        <v>1687.95</v>
      </c>
      <c r="AA37" s="18" t="n">
        <v>1597.33</v>
      </c>
      <c r="AB37" s="19" t="n">
        <v>1505.9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장기파생상품부채</t>
        </is>
      </c>
      <c r="E38" s="18" t="n">
        <v>0</v>
      </c>
      <c r="F38" s="37" t="n">
        <v>0</v>
      </c>
      <c r="G38" s="18" t="n">
        <v>0</v>
      </c>
      <c r="K38" s="9" t="n"/>
      <c r="P38" s="9" t="n"/>
      <c r="U38" s="9" t="n"/>
      <c r="Z38" s="9" t="n"/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부채총계</t>
        </is>
      </c>
      <c r="E39" s="18" t="n">
        <v>160982.05</v>
      </c>
      <c r="F39" s="37" t="n">
        <v>160982.05</v>
      </c>
      <c r="G39" s="18" t="n">
        <v>168204.46</v>
      </c>
      <c r="H39" s="18" t="n">
        <v>176469.49</v>
      </c>
      <c r="I39" s="18" t="n">
        <v>181265.48</v>
      </c>
      <c r="J39" s="18" t="n">
        <v>164622.34</v>
      </c>
      <c r="K39" s="37" t="n">
        <v>164622.34</v>
      </c>
      <c r="L39" s="18" t="n">
        <v>157470.15</v>
      </c>
      <c r="M39" s="18" t="n">
        <v>160186.2</v>
      </c>
      <c r="N39" s="18" t="n">
        <v>168085.88</v>
      </c>
      <c r="O39" s="18" t="n">
        <v>157459.59</v>
      </c>
      <c r="P39" s="37" t="n">
        <v>157459.59</v>
      </c>
      <c r="Q39" s="18" t="n">
        <v>158967.6</v>
      </c>
      <c r="R39" s="18" t="n">
        <v>166666.36</v>
      </c>
      <c r="S39" s="18" t="n">
        <v>167261.86</v>
      </c>
      <c r="T39" s="18" t="n">
        <v>172002.31</v>
      </c>
      <c r="U39" s="37" t="n">
        <v>172002.31</v>
      </c>
      <c r="V39" s="18" t="n">
        <v>175132.83</v>
      </c>
      <c r="W39" s="18" t="n">
        <v>167088.84</v>
      </c>
      <c r="X39" s="18" t="n">
        <v>177662.88</v>
      </c>
      <c r="Y39" s="18" t="n">
        <v>171013.17</v>
      </c>
      <c r="Z39" s="37" t="n">
        <v>171013.17</v>
      </c>
      <c r="AA39" s="18" t="n">
        <v>177120.53</v>
      </c>
      <c r="AB39" s="19" t="n">
        <v>204057.93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지배주주지분</t>
        </is>
      </c>
      <c r="E40" s="18" t="n">
        <v>175373.74</v>
      </c>
      <c r="F40" s="37" t="n">
        <v>175373.74</v>
      </c>
      <c r="G40" s="18" t="n">
        <v>178416.58</v>
      </c>
      <c r="H40" s="18" t="n">
        <v>176777.89</v>
      </c>
      <c r="I40" s="18" t="n">
        <v>172119.68</v>
      </c>
      <c r="J40" s="18" t="n">
        <v>172060.81</v>
      </c>
      <c r="K40" s="37" t="n">
        <v>172060.81</v>
      </c>
      <c r="L40" s="18" t="n">
        <v>172775.39</v>
      </c>
      <c r="M40" s="18" t="n">
        <v>172021.78</v>
      </c>
      <c r="N40" s="18" t="n">
        <v>171657.17</v>
      </c>
      <c r="O40" s="18" t="n">
        <v>170727.11</v>
      </c>
      <c r="P40" s="37" t="n">
        <v>170727.11</v>
      </c>
      <c r="Q40" s="18" t="n">
        <v>167995.92</v>
      </c>
      <c r="R40" s="18" t="n">
        <v>166292.58</v>
      </c>
      <c r="S40" s="18" t="n">
        <v>165362</v>
      </c>
      <c r="T40" s="18" t="n">
        <v>164663.51</v>
      </c>
      <c r="U40" s="37" t="n">
        <v>164663.51</v>
      </c>
      <c r="V40" s="18" t="n">
        <v>164234.34</v>
      </c>
      <c r="W40" s="18" t="n">
        <v>164359.13</v>
      </c>
      <c r="X40" s="18" t="n">
        <v>163915.81</v>
      </c>
      <c r="Y40" s="18" t="n">
        <v>161191.79</v>
      </c>
      <c r="Z40" s="37" t="n">
        <v>161191.79</v>
      </c>
      <c r="AA40" s="18" t="n">
        <v>159720.6</v>
      </c>
      <c r="AB40" s="19" t="n">
        <v>161791.65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자본금</t>
        </is>
      </c>
      <c r="E41" s="18" t="n">
        <v>13348.73</v>
      </c>
      <c r="F41" s="37" t="n">
        <v>13348.73</v>
      </c>
      <c r="G41" s="18" t="n">
        <v>13348.73</v>
      </c>
      <c r="H41" s="18" t="n">
        <v>13348.73</v>
      </c>
      <c r="I41" s="18" t="n">
        <v>13348.73</v>
      </c>
      <c r="J41" s="18" t="n">
        <v>13348.73</v>
      </c>
      <c r="K41" s="37" t="n">
        <v>13348.73</v>
      </c>
      <c r="L41" s="18" t="n">
        <v>13348.73</v>
      </c>
      <c r="M41" s="18" t="n">
        <v>13348.73</v>
      </c>
      <c r="N41" s="18" t="n">
        <v>13348.73</v>
      </c>
      <c r="O41" s="18" t="n">
        <v>13348.73</v>
      </c>
      <c r="P41" s="37" t="n">
        <v>13348.73</v>
      </c>
      <c r="Q41" s="18" t="n">
        <v>13348.73</v>
      </c>
      <c r="R41" s="18" t="n">
        <v>13348.73</v>
      </c>
      <c r="S41" s="18" t="n">
        <v>13348.73</v>
      </c>
      <c r="T41" s="18" t="n">
        <v>13348.73</v>
      </c>
      <c r="U41" s="37" t="n">
        <v>13348.73</v>
      </c>
      <c r="V41" s="18" t="n">
        <v>13348.73</v>
      </c>
      <c r="W41" s="18" t="n">
        <v>13348.73</v>
      </c>
      <c r="X41" s="18" t="n">
        <v>13348.73</v>
      </c>
      <c r="Y41" s="18" t="n">
        <v>13348.73</v>
      </c>
      <c r="Z41" s="37" t="n">
        <v>13348.73</v>
      </c>
      <c r="AA41" s="18" t="n">
        <v>13348.73</v>
      </c>
      <c r="AB41" s="19" t="n">
        <v>13348.73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자본잉여금</t>
        </is>
      </c>
      <c r="E42" s="18" t="n">
        <v>11140.41</v>
      </c>
      <c r="F42" s="37" t="n">
        <v>11140.41</v>
      </c>
      <c r="G42" s="18" t="n">
        <v>11140.41</v>
      </c>
      <c r="H42" s="18" t="n">
        <v>11140.41</v>
      </c>
      <c r="I42" s="18" t="n">
        <v>11140.41</v>
      </c>
      <c r="J42" s="18" t="n">
        <v>11140.41</v>
      </c>
      <c r="K42" s="37" t="n">
        <v>11140.41</v>
      </c>
      <c r="L42" s="18" t="n">
        <v>11140.41</v>
      </c>
      <c r="M42" s="18" t="n">
        <v>11140.41</v>
      </c>
      <c r="N42" s="18" t="n">
        <v>11140.41</v>
      </c>
      <c r="O42" s="18" t="n">
        <v>11140.41</v>
      </c>
      <c r="P42" s="37" t="n">
        <v>11140.41</v>
      </c>
      <c r="Q42" s="18" t="n">
        <v>11140.41</v>
      </c>
      <c r="R42" s="18" t="n">
        <v>11140.41</v>
      </c>
      <c r="S42" s="18" t="n">
        <v>11140.41</v>
      </c>
      <c r="T42" s="18" t="n">
        <v>11140.41</v>
      </c>
      <c r="U42" s="37" t="n">
        <v>11140.41</v>
      </c>
      <c r="V42" s="18" t="n">
        <v>11140.41</v>
      </c>
      <c r="W42" s="18" t="n">
        <v>9948.950000000001</v>
      </c>
      <c r="X42" s="18" t="n">
        <v>9948.950000000001</v>
      </c>
      <c r="Y42" s="18" t="n">
        <v>14513.78</v>
      </c>
      <c r="Z42" s="37" t="n">
        <v>14513.78</v>
      </c>
      <c r="AA42" s="18" t="n">
        <v>14513.78</v>
      </c>
      <c r="AB42" s="19" t="n">
        <v>14513.78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이익잉여금</t>
        </is>
      </c>
      <c r="E43" s="18" t="n">
        <v>150476.96</v>
      </c>
      <c r="F43" s="37" t="n">
        <v>150476.96</v>
      </c>
      <c r="G43" s="18" t="n">
        <v>153440.11</v>
      </c>
      <c r="H43" s="18" t="n">
        <v>151774.75</v>
      </c>
      <c r="I43" s="18" t="n">
        <v>146789.3</v>
      </c>
      <c r="J43" s="18" t="n">
        <v>147320.7</v>
      </c>
      <c r="K43" s="37" t="n">
        <v>147320.7</v>
      </c>
      <c r="L43" s="18" t="n">
        <v>147857.99</v>
      </c>
      <c r="M43" s="18" t="n">
        <v>147419.56</v>
      </c>
      <c r="N43" s="18" t="n">
        <v>146916.95</v>
      </c>
      <c r="O43" s="18" t="n">
        <v>146191.29</v>
      </c>
      <c r="P43" s="37" t="n">
        <v>146191.29</v>
      </c>
      <c r="Q43" s="18" t="n">
        <v>143353.14</v>
      </c>
      <c r="R43" s="18" t="n">
        <v>141563.66</v>
      </c>
      <c r="S43" s="18" t="n">
        <v>140761.21</v>
      </c>
      <c r="T43" s="18" t="n">
        <v>139672.54</v>
      </c>
      <c r="U43" s="37" t="n">
        <v>139672.54</v>
      </c>
      <c r="V43" s="18" t="n">
        <v>139243.12</v>
      </c>
      <c r="W43" s="18" t="n">
        <v>141103.11</v>
      </c>
      <c r="X43" s="18" t="n">
        <v>140191.41</v>
      </c>
      <c r="Y43" s="18" t="n">
        <v>139056.79</v>
      </c>
      <c r="Z43" s="37" t="n">
        <v>139056.79</v>
      </c>
      <c r="AA43" s="18" t="n">
        <v>136880.6</v>
      </c>
      <c r="AB43" s="19" t="n">
        <v>138716.01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비지배주주지분</t>
        </is>
      </c>
      <c r="E44" s="18" t="n">
        <v>2387.05</v>
      </c>
      <c r="F44" s="37" t="n">
        <v>2387.05</v>
      </c>
      <c r="G44" s="18" t="n">
        <v>2505.68</v>
      </c>
      <c r="H44" s="18" t="n">
        <v>2548.98</v>
      </c>
      <c r="I44" s="18" t="n">
        <v>2570.87</v>
      </c>
      <c r="J44" s="18" t="n">
        <v>2471.82</v>
      </c>
      <c r="K44" s="37" t="n">
        <v>2471.82</v>
      </c>
      <c r="L44" s="18" t="n">
        <v>2645.64</v>
      </c>
      <c r="M44" s="18" t="n">
        <v>2463.83</v>
      </c>
      <c r="N44" s="18" t="n">
        <v>2745.31</v>
      </c>
      <c r="O44" s="18" t="n">
        <v>2842.29</v>
      </c>
      <c r="P44" s="37" t="n">
        <v>2842.29</v>
      </c>
      <c r="Q44" s="18" t="n">
        <v>2946.08</v>
      </c>
      <c r="R44" s="18" t="n">
        <v>3161.42</v>
      </c>
      <c r="S44" s="18" t="n">
        <v>3286.89</v>
      </c>
      <c r="T44" s="18" t="n">
        <v>3786.22</v>
      </c>
      <c r="U44" s="37" t="n">
        <v>3786.22</v>
      </c>
      <c r="V44" s="18" t="n">
        <v>3809.19</v>
      </c>
      <c r="W44" s="18" t="n">
        <v>3502.28</v>
      </c>
      <c r="X44" s="18" t="n">
        <v>3673.78</v>
      </c>
      <c r="Y44" s="18" t="n">
        <v>3914.29</v>
      </c>
      <c r="Z44" s="37" t="n">
        <v>3914.29</v>
      </c>
      <c r="AA44" s="18" t="n">
        <v>4208.32</v>
      </c>
      <c r="AB44" s="19" t="n">
        <v>4256.57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자본총계</t>
        </is>
      </c>
      <c r="E45" s="18" t="n">
        <v>177760.79</v>
      </c>
      <c r="F45" s="37" t="n">
        <v>177760.79</v>
      </c>
      <c r="G45" s="18" t="n">
        <v>180922.26</v>
      </c>
      <c r="H45" s="18" t="n">
        <v>179326.88</v>
      </c>
      <c r="I45" s="18" t="n">
        <v>174690.55</v>
      </c>
      <c r="J45" s="18" t="n">
        <v>174532.63</v>
      </c>
      <c r="K45" s="37" t="n">
        <v>174532.63</v>
      </c>
      <c r="L45" s="18" t="n">
        <v>175421.03</v>
      </c>
      <c r="M45" s="18" t="n">
        <v>174485.61</v>
      </c>
      <c r="N45" s="18" t="n">
        <v>174402.49</v>
      </c>
      <c r="O45" s="18" t="n">
        <v>173569.4</v>
      </c>
      <c r="P45" s="37" t="n">
        <v>173569.4</v>
      </c>
      <c r="Q45" s="18" t="n">
        <v>170942.01</v>
      </c>
      <c r="R45" s="18" t="n">
        <v>169454</v>
      </c>
      <c r="S45" s="18" t="n">
        <v>168648.89</v>
      </c>
      <c r="T45" s="18" t="n">
        <v>168449.74</v>
      </c>
      <c r="U45" s="37" t="n">
        <v>168449.74</v>
      </c>
      <c r="V45" s="18" t="n">
        <v>168043.54</v>
      </c>
      <c r="W45" s="18" t="n">
        <v>167861.41</v>
      </c>
      <c r="X45" s="18" t="n">
        <v>167589.59</v>
      </c>
      <c r="Y45" s="18" t="n">
        <v>165106.07</v>
      </c>
      <c r="Z45" s="37" t="n">
        <v>165106.07</v>
      </c>
      <c r="AA45" s="18" t="n">
        <v>163928.93</v>
      </c>
      <c r="AB45" s="19" t="n">
        <v>166048.22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부채와자본총계</t>
        </is>
      </c>
      <c r="E46" s="18" t="n">
        <v>338742.84</v>
      </c>
      <c r="F46" s="37" t="n">
        <v>338742.84</v>
      </c>
      <c r="G46" s="18" t="n">
        <v>349126.71</v>
      </c>
      <c r="H46" s="18" t="n">
        <v>355796.37</v>
      </c>
      <c r="I46" s="18" t="n">
        <v>355956.03</v>
      </c>
      <c r="J46" s="18" t="n">
        <v>339154.97</v>
      </c>
      <c r="K46" s="37" t="n">
        <v>339154.97</v>
      </c>
      <c r="L46" s="18" t="n">
        <v>332891.18</v>
      </c>
      <c r="M46" s="18" t="n">
        <v>334671.81</v>
      </c>
      <c r="N46" s="18" t="n">
        <v>342488.37</v>
      </c>
      <c r="O46" s="18" t="n">
        <v>331029</v>
      </c>
      <c r="P46" s="37" t="n">
        <v>331029</v>
      </c>
      <c r="Q46" s="18" t="n">
        <v>329909.61</v>
      </c>
      <c r="R46" s="18" t="n">
        <v>336120.36</v>
      </c>
      <c r="S46" s="18" t="n">
        <v>335910.75</v>
      </c>
      <c r="T46" s="18" t="n">
        <v>340452.05</v>
      </c>
      <c r="U46" s="37" t="n">
        <v>340452.05</v>
      </c>
      <c r="V46" s="18" t="n">
        <v>343176.37</v>
      </c>
      <c r="W46" s="18" t="n">
        <v>334950.25</v>
      </c>
      <c r="X46" s="18" t="n">
        <v>345252.46</v>
      </c>
      <c r="Y46" s="18" t="n">
        <v>336119.24</v>
      </c>
      <c r="Z46" s="37" t="n">
        <v>336119.24</v>
      </c>
      <c r="AA46" s="18" t="n">
        <v>341049.45</v>
      </c>
      <c r="AB46" s="19" t="n">
        <v>370106.16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총차입금</t>
        </is>
      </c>
      <c r="E47" s="18" t="n">
        <v>109489.93</v>
      </c>
      <c r="F47" s="37" t="n">
        <v>109489.93</v>
      </c>
      <c r="G47" s="18" t="n">
        <v>113542.05</v>
      </c>
      <c r="H47" s="18" t="n">
        <v>127513.76</v>
      </c>
      <c r="I47" s="18" t="n">
        <v>122789.32</v>
      </c>
      <c r="J47" s="18" t="n">
        <v>109876.91</v>
      </c>
      <c r="K47" s="37" t="n">
        <v>109876.91</v>
      </c>
      <c r="L47" s="18" t="n">
        <v>103263.34</v>
      </c>
      <c r="M47" s="18" t="n">
        <v>101819.41</v>
      </c>
      <c r="N47" s="18" t="n">
        <v>100719.72</v>
      </c>
      <c r="O47" s="18" t="n">
        <v>99500.06</v>
      </c>
      <c r="P47" s="37" t="n">
        <v>99500.06</v>
      </c>
      <c r="Q47" s="18" t="n">
        <v>95514.09</v>
      </c>
      <c r="R47" s="18" t="n">
        <v>107988.29</v>
      </c>
      <c r="S47" s="18" t="n">
        <v>109875.06</v>
      </c>
      <c r="T47" s="18" t="n">
        <v>111141.35</v>
      </c>
      <c r="U47" s="37" t="n">
        <v>111141.35</v>
      </c>
      <c r="V47" s="18" t="n">
        <v>118136.48</v>
      </c>
      <c r="W47" s="18" t="n">
        <v>111858.38</v>
      </c>
      <c r="X47" s="18" t="n">
        <v>117772.67</v>
      </c>
      <c r="Y47" s="18" t="n">
        <v>111910.03</v>
      </c>
      <c r="Z47" s="37" t="n">
        <v>111910.03</v>
      </c>
      <c r="AA47" s="18" t="n">
        <v>112787.7</v>
      </c>
      <c r="AB47" s="19" t="n">
        <v>117391.52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순차입금</t>
        </is>
      </c>
      <c r="E48" s="18" t="n">
        <v>80949.69</v>
      </c>
      <c r="F48" s="37" t="n">
        <v>80949.69</v>
      </c>
      <c r="G48" s="18" t="n">
        <v>81136.88</v>
      </c>
      <c r="H48" s="18" t="n">
        <v>116388.17</v>
      </c>
      <c r="I48" s="18" t="n">
        <v>115218.68</v>
      </c>
      <c r="J48" s="18" t="n">
        <v>69415.35000000001</v>
      </c>
      <c r="K48" s="37" t="n">
        <v>69415.35000000001</v>
      </c>
      <c r="L48" s="18" t="n">
        <v>72395.10000000001</v>
      </c>
      <c r="M48" s="18" t="n">
        <v>72541.33</v>
      </c>
      <c r="N48" s="18" t="n">
        <v>73251.96000000001</v>
      </c>
      <c r="O48" s="18" t="n">
        <v>69597.53</v>
      </c>
      <c r="P48" s="37" t="n">
        <v>69597.53</v>
      </c>
      <c r="Q48" s="18" t="n">
        <v>72882.72</v>
      </c>
      <c r="R48" s="18" t="n">
        <v>82612.64999999999</v>
      </c>
      <c r="S48" s="18" t="n">
        <v>77740.57000000001</v>
      </c>
      <c r="T48" s="18" t="n">
        <v>77162.12</v>
      </c>
      <c r="U48" s="37" t="n">
        <v>77162.12</v>
      </c>
      <c r="V48" s="18" t="n">
        <v>80711.98</v>
      </c>
      <c r="W48" s="18" t="n">
        <v>77368.2</v>
      </c>
      <c r="X48" s="18" t="n">
        <v>84715.38</v>
      </c>
      <c r="Y48" s="18" t="n">
        <v>82609.42999999999</v>
      </c>
      <c r="Z48" s="37" t="n">
        <v>82609.42999999999</v>
      </c>
      <c r="AA48" s="18" t="n">
        <v>76843.66</v>
      </c>
      <c r="AB48" s="19" t="n">
        <v>75369.02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이자발생자산</t>
        </is>
      </c>
      <c r="E49" s="18" t="n">
        <v>30562.44</v>
      </c>
      <c r="F49" s="37" t="n">
        <v>30562.44</v>
      </c>
      <c r="G49" s="18" t="n">
        <v>34429.27</v>
      </c>
      <c r="H49" s="18" t="n">
        <v>12127.56</v>
      </c>
      <c r="I49" s="18" t="n">
        <v>8572.610000000001</v>
      </c>
      <c r="J49" s="18" t="n">
        <v>41480.64</v>
      </c>
      <c r="K49" s="37" t="n">
        <v>41480.64</v>
      </c>
      <c r="L49" s="18" t="n">
        <v>31874.37</v>
      </c>
      <c r="M49" s="18" t="n">
        <v>30288.89</v>
      </c>
      <c r="N49" s="18" t="n">
        <v>28488.57</v>
      </c>
      <c r="O49" s="18" t="n">
        <v>30923.77</v>
      </c>
      <c r="P49" s="37" t="n">
        <v>30923.77</v>
      </c>
      <c r="Q49" s="18" t="n">
        <v>23657.91</v>
      </c>
      <c r="R49" s="18" t="n">
        <v>26400.84</v>
      </c>
      <c r="S49" s="18" t="n">
        <v>33159.85</v>
      </c>
      <c r="T49" s="18" t="n">
        <v>35005.66</v>
      </c>
      <c r="U49" s="37" t="n">
        <v>35005.66</v>
      </c>
      <c r="V49" s="18" t="n">
        <v>38449.9</v>
      </c>
      <c r="W49" s="18" t="n">
        <v>35516.93</v>
      </c>
      <c r="X49" s="18" t="n">
        <v>33326.57</v>
      </c>
      <c r="Y49" s="18" t="n">
        <v>34057.57</v>
      </c>
      <c r="Z49" s="37" t="n">
        <v>34057.57</v>
      </c>
      <c r="AA49" s="18" t="n">
        <v>40104.87</v>
      </c>
      <c r="AB49" s="19" t="n">
        <v>46183.1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기타비유동자산</t>
        </is>
      </c>
      <c r="F50" s="9" t="n"/>
      <c r="H50" s="18" t="n">
        <v>492.57</v>
      </c>
      <c r="I50" s="18" t="n">
        <v>570.76</v>
      </c>
      <c r="J50" s="18" t="n">
        <v>841.2</v>
      </c>
      <c r="K50" s="37" t="n">
        <v>841.2</v>
      </c>
      <c r="L50" s="18" t="n">
        <v>707.8099999999999</v>
      </c>
      <c r="M50" s="18" t="n">
        <v>734.42</v>
      </c>
      <c r="N50" s="18" t="n">
        <v>601.04</v>
      </c>
      <c r="O50" s="18" t="n">
        <v>691.54</v>
      </c>
      <c r="P50" s="37" t="n">
        <v>691.54</v>
      </c>
      <c r="Q50" s="18" t="n">
        <v>547.76</v>
      </c>
      <c r="R50" s="18" t="n">
        <v>384.09</v>
      </c>
      <c r="S50" s="18" t="n">
        <v>230.8</v>
      </c>
      <c r="T50" s="18" t="n">
        <v>43.06</v>
      </c>
      <c r="U50" s="37" t="n">
        <v>43.06</v>
      </c>
      <c r="V50" s="18" t="n">
        <v>0</v>
      </c>
      <c r="W50" s="18" t="n">
        <v>179.24</v>
      </c>
      <c r="X50" s="18" t="n">
        <v>0</v>
      </c>
      <c r="Y50" s="18" t="n">
        <v>948.27</v>
      </c>
      <c r="Z50" s="37" t="n">
        <v>948.27</v>
      </c>
      <c r="AA50" s="18" t="n">
        <v>780.28</v>
      </c>
      <c r="AB50" s="19" t="n">
        <v>822.28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기타포괄이익누계액</t>
        </is>
      </c>
      <c r="F51" s="9" t="n"/>
      <c r="H51" s="18" t="n">
        <v>514.01</v>
      </c>
      <c r="I51" s="18" t="n">
        <v>841.24</v>
      </c>
      <c r="K51" s="9" t="n"/>
      <c r="P51" s="9" t="n"/>
      <c r="U51" s="9" t="n"/>
      <c r="Y51" s="18" t="n">
        <v>-1268.64</v>
      </c>
      <c r="Z51" s="37" t="n">
        <v>-1268.64</v>
      </c>
      <c r="AA51" s="18" t="n">
        <v>-563.63</v>
      </c>
      <c r="AB51" s="19" t="n">
        <v>-327.99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단기투자자산(공정가치)</t>
        </is>
      </c>
      <c r="F52" s="9" t="n"/>
      <c r="J52" s="18" t="n">
        <v>502.49</v>
      </c>
      <c r="K52" s="37" t="n">
        <v>502.49</v>
      </c>
      <c r="L52" s="18" t="n">
        <v>509.45</v>
      </c>
      <c r="M52" s="18" t="n">
        <v>511.52</v>
      </c>
      <c r="N52" s="18" t="n">
        <v>513.77</v>
      </c>
      <c r="O52" s="18" t="n">
        <v>528.29</v>
      </c>
      <c r="P52" s="37" t="n">
        <v>528.29</v>
      </c>
      <c r="Q52" s="18" t="n">
        <v>249.86</v>
      </c>
      <c r="R52" s="18" t="n">
        <v>0</v>
      </c>
      <c r="S52" s="18" t="n">
        <v>5000</v>
      </c>
      <c r="T52" s="18" t="n">
        <v>0</v>
      </c>
      <c r="U52" s="37" t="n">
        <v>0</v>
      </c>
      <c r="V52" s="18" t="n">
        <v>0</v>
      </c>
      <c r="W52" s="18" t="n">
        <v>0</v>
      </c>
      <c r="X52" s="18" t="n">
        <v>0</v>
      </c>
      <c r="Y52" s="18" t="n">
        <v>0.04</v>
      </c>
      <c r="Z52" s="37" t="n">
        <v>0.04</v>
      </c>
      <c r="AA52" s="18" t="n">
        <v>0</v>
      </c>
      <c r="AB52" s="19" t="n">
        <v>0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유동리스부채</t>
        </is>
      </c>
      <c r="F53" s="9" t="n"/>
      <c r="J53" s="18" t="n">
        <v>270.29</v>
      </c>
      <c r="K53" s="37" t="n">
        <v>270.29</v>
      </c>
      <c r="L53" s="18" t="n">
        <v>295.75</v>
      </c>
      <c r="M53" s="18" t="n">
        <v>209.46</v>
      </c>
      <c r="N53" s="18" t="n">
        <v>321.51</v>
      </c>
      <c r="O53" s="18" t="n">
        <v>323.92</v>
      </c>
      <c r="P53" s="37" t="n">
        <v>323.92</v>
      </c>
      <c r="Q53" s="18" t="n">
        <v>326.37</v>
      </c>
      <c r="R53" s="18" t="n">
        <v>330.69</v>
      </c>
      <c r="S53" s="18" t="n">
        <v>338.81</v>
      </c>
      <c r="T53" s="18" t="n">
        <v>342.3</v>
      </c>
      <c r="U53" s="37" t="n">
        <v>342.3</v>
      </c>
      <c r="V53" s="18" t="n">
        <v>345.83</v>
      </c>
      <c r="W53" s="18" t="n">
        <v>349.39</v>
      </c>
      <c r="X53" s="18" t="n">
        <v>351.25</v>
      </c>
      <c r="Y53" s="18" t="n">
        <v>354.42</v>
      </c>
      <c r="Z53" s="37" t="n">
        <v>354.42</v>
      </c>
      <c r="AA53" s="18" t="n">
        <v>357.62</v>
      </c>
      <c r="AB53" s="19" t="n">
        <v>360.85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리스부채</t>
        </is>
      </c>
      <c r="F54" s="9" t="n"/>
      <c r="J54" s="18" t="n">
        <v>382.55</v>
      </c>
      <c r="K54" s="37" t="n">
        <v>382.55</v>
      </c>
      <c r="L54" s="18" t="n">
        <v>295.75</v>
      </c>
      <c r="M54" s="18" t="n">
        <v>209.46</v>
      </c>
      <c r="N54" s="18" t="n">
        <v>571.15</v>
      </c>
      <c r="O54" s="18" t="n">
        <v>491.44</v>
      </c>
      <c r="P54" s="37" t="n">
        <v>491.44</v>
      </c>
      <c r="Q54" s="18" t="n">
        <v>410.68</v>
      </c>
      <c r="R54" s="18" t="n">
        <v>330.69</v>
      </c>
      <c r="S54" s="18" t="n">
        <v>602.1900000000001</v>
      </c>
      <c r="T54" s="18" t="n">
        <v>518.79</v>
      </c>
      <c r="U54" s="37" t="n">
        <v>518.79</v>
      </c>
      <c r="V54" s="18" t="n">
        <v>434.53</v>
      </c>
      <c r="W54" s="18" t="n">
        <v>349.39</v>
      </c>
      <c r="X54" s="18" t="n">
        <v>623.1</v>
      </c>
      <c r="Y54" s="18" t="n">
        <v>536.47</v>
      </c>
      <c r="Z54" s="37" t="n">
        <v>536.47</v>
      </c>
      <c r="AA54" s="18" t="n">
        <v>449.05</v>
      </c>
      <c r="AB54" s="19" t="n">
        <v>360.85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비유동리스부채</t>
        </is>
      </c>
      <c r="F55" s="9" t="n"/>
      <c r="J55" s="18" t="n">
        <v>112.26</v>
      </c>
      <c r="K55" s="37" t="n">
        <v>112.26</v>
      </c>
      <c r="L55" s="18" t="n">
        <v>0</v>
      </c>
      <c r="M55" s="18" t="n">
        <v>0</v>
      </c>
      <c r="N55" s="18" t="n">
        <v>249.64</v>
      </c>
      <c r="O55" s="18" t="n">
        <v>167.52</v>
      </c>
      <c r="P55" s="37" t="n">
        <v>167.52</v>
      </c>
      <c r="Q55" s="18" t="n">
        <v>84.31</v>
      </c>
      <c r="R55" s="18" t="n">
        <v>0</v>
      </c>
      <c r="S55" s="18" t="n">
        <v>263.38</v>
      </c>
      <c r="T55" s="18" t="n">
        <v>176.49</v>
      </c>
      <c r="U55" s="37" t="n">
        <v>176.49</v>
      </c>
      <c r="V55" s="18" t="n">
        <v>88.7</v>
      </c>
      <c r="W55" s="18" t="n">
        <v>0</v>
      </c>
      <c r="X55" s="18" t="n">
        <v>271.85</v>
      </c>
      <c r="Y55" s="18" t="n">
        <v>182.05</v>
      </c>
      <c r="Z55" s="37" t="n">
        <v>182.05</v>
      </c>
      <c r="AA55" s="18" t="n">
        <v>91.43000000000001</v>
      </c>
      <c r="AB55" s="19" t="n">
        <v>0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기타자본</t>
        </is>
      </c>
      <c r="F56" s="9" t="n"/>
      <c r="J56" s="18" t="n">
        <v>250.97</v>
      </c>
      <c r="K56" s="37" t="n">
        <v>250.97</v>
      </c>
      <c r="L56" s="18" t="n">
        <v>428.26</v>
      </c>
      <c r="M56" s="18" t="n">
        <v>113.08</v>
      </c>
      <c r="N56" s="18" t="n">
        <v>251.08</v>
      </c>
      <c r="O56" s="18" t="n">
        <v>46.68</v>
      </c>
      <c r="P56" s="37" t="n">
        <v>46.68</v>
      </c>
      <c r="Q56" s="18" t="n">
        <v>153.64</v>
      </c>
      <c r="R56" s="18" t="n">
        <v>239.78</v>
      </c>
      <c r="S56" s="18" t="n">
        <v>111.65</v>
      </c>
      <c r="T56" s="18" t="n">
        <v>501.83</v>
      </c>
      <c r="U56" s="37" t="n">
        <v>501.83</v>
      </c>
      <c r="V56" s="18" t="n">
        <v>502.08</v>
      </c>
      <c r="W56" s="18" t="n">
        <v>-41.66</v>
      </c>
      <c r="X56" s="18" t="n">
        <v>426.72</v>
      </c>
      <c r="Y56" s="18" t="n">
        <v>-4458.88</v>
      </c>
      <c r="Z56" s="37" t="n">
        <v>-4458.88</v>
      </c>
      <c r="AA56" s="18" t="n">
        <v>-4458.88</v>
      </c>
      <c r="AB56" s="19" t="n">
        <v>-4458.88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단기금융부채(face)</t>
        </is>
      </c>
      <c r="F57" s="9" t="n"/>
      <c r="K57" s="9" t="n"/>
      <c r="N57" s="18" t="n">
        <v>80225.72</v>
      </c>
      <c r="P57" s="9" t="n"/>
      <c r="U57" s="9" t="n"/>
      <c r="Y57" s="18" t="n">
        <v>111910.03</v>
      </c>
      <c r="Z57" s="37" t="n">
        <v>111910.03</v>
      </c>
      <c r="AA57" s="18" t="n">
        <v>112787.7</v>
      </c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기타비유동부채</t>
        </is>
      </c>
      <c r="F58" s="9" t="n"/>
      <c r="K58" s="9" t="n"/>
      <c r="N58" s="18" t="n">
        <v>0</v>
      </c>
      <c r="O58" s="18" t="n">
        <v>0</v>
      </c>
      <c r="P58" s="37" t="n">
        <v>0</v>
      </c>
      <c r="Q58" s="18" t="n">
        <v>0</v>
      </c>
      <c r="R58" s="18" t="n">
        <v>0</v>
      </c>
      <c r="S58" s="18" t="n">
        <v>0</v>
      </c>
      <c r="T58" s="18" t="n">
        <v>0</v>
      </c>
      <c r="U58" s="37" t="n">
        <v>0</v>
      </c>
      <c r="V58" s="18" t="n">
        <v>0</v>
      </c>
      <c r="W58" s="18" t="n">
        <v>0</v>
      </c>
      <c r="X58" s="18" t="n">
        <v>0</v>
      </c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장기금융부채(face)</t>
        </is>
      </c>
      <c r="F59" s="9" t="n"/>
      <c r="K59" s="9" t="n"/>
      <c r="P59" s="9" t="n"/>
      <c r="S59" s="18" t="n">
        <v>6000</v>
      </c>
      <c r="U59" s="9" t="n"/>
      <c r="V59" s="18" t="n">
        <v>6000</v>
      </c>
      <c r="X59" s="18" t="n">
        <v>0</v>
      </c>
      <c r="Y59" s="18" t="n">
        <v>0</v>
      </c>
      <c r="Z59" s="37" t="n">
        <v>0</v>
      </c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매출액(수익)</t>
        </is>
      </c>
      <c r="E60" s="18" t="n">
        <v>68972.14999999999</v>
      </c>
      <c r="F60" s="9" t="n"/>
      <c r="G60" s="18" t="n">
        <v>72295.75</v>
      </c>
      <c r="H60" s="18" t="n">
        <v>60581.37</v>
      </c>
      <c r="I60" s="18" t="n">
        <v>63166.45</v>
      </c>
      <c r="J60" s="18" t="n">
        <v>59185.75</v>
      </c>
      <c r="K60" s="37" t="n">
        <v>255229.32</v>
      </c>
      <c r="L60" s="18" t="n">
        <v>60542.51</v>
      </c>
      <c r="M60" s="18" t="n">
        <v>51547.95</v>
      </c>
      <c r="N60" s="18" t="n">
        <v>53092.27</v>
      </c>
      <c r="O60" s="18" t="n">
        <v>51072.73</v>
      </c>
      <c r="P60" s="37" t="n">
        <v>216255.46</v>
      </c>
      <c r="Q60" s="18" t="n">
        <v>49991.04</v>
      </c>
      <c r="R60" s="18" t="n">
        <v>55504.69</v>
      </c>
      <c r="S60" s="18" t="n">
        <v>44028.11</v>
      </c>
      <c r="T60" s="18" t="n">
        <v>56318.4</v>
      </c>
      <c r="U60" s="37" t="n">
        <v>205842.24</v>
      </c>
      <c r="V60" s="18" t="n">
        <v>49758.06</v>
      </c>
      <c r="W60" s="18" t="n">
        <v>50110.08</v>
      </c>
      <c r="X60" s="18" t="n">
        <v>50841.03</v>
      </c>
      <c r="Y60" s="18" t="n">
        <v>45695.2</v>
      </c>
      <c r="Z60" s="37" t="n">
        <v>196404.37</v>
      </c>
      <c r="AA60" s="18" t="n">
        <v>61873.64</v>
      </c>
      <c r="AB60" s="19" t="n">
        <v>61757.19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매출원가</t>
        </is>
      </c>
      <c r="E61" s="18" t="n">
        <v>59271.5</v>
      </c>
      <c r="F61" s="9" t="n"/>
      <c r="G61" s="18" t="n">
        <v>67728.53</v>
      </c>
      <c r="H61" s="18" t="n">
        <v>55838.34</v>
      </c>
      <c r="I61" s="18" t="n">
        <v>61631.2</v>
      </c>
      <c r="J61" s="18" t="n">
        <v>56472.84</v>
      </c>
      <c r="K61" s="37" t="n">
        <v>241670.91</v>
      </c>
      <c r="L61" s="18" t="n">
        <v>53902.99</v>
      </c>
      <c r="M61" s="18" t="n">
        <v>47634.08</v>
      </c>
      <c r="N61" s="18" t="n">
        <v>49124.99</v>
      </c>
      <c r="O61" s="18" t="n">
        <v>49228.29</v>
      </c>
      <c r="P61" s="37" t="n">
        <v>199890.35</v>
      </c>
      <c r="Q61" s="18" t="n">
        <v>45842.87</v>
      </c>
      <c r="R61" s="18" t="n">
        <v>51968.34</v>
      </c>
      <c r="S61" s="18" t="n">
        <v>41047.1</v>
      </c>
      <c r="T61" s="18" t="n">
        <v>52280.96</v>
      </c>
      <c r="U61" s="37" t="n">
        <v>191139.27</v>
      </c>
      <c r="V61" s="18" t="n">
        <v>46132.76</v>
      </c>
      <c r="W61" s="18" t="n">
        <v>45498.59</v>
      </c>
      <c r="X61" s="18" t="n">
        <v>46278.41</v>
      </c>
      <c r="Y61" s="18" t="n">
        <v>42474.7</v>
      </c>
      <c r="Z61" s="37" t="n">
        <v>180384.46</v>
      </c>
      <c r="AA61" s="18" t="n">
        <v>57857.85</v>
      </c>
      <c r="AB61" s="19" t="n">
        <v>55278.72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매출총이익</t>
        </is>
      </c>
      <c r="E62" s="18" t="n">
        <v>9700.65</v>
      </c>
      <c r="F62" s="9" t="n"/>
      <c r="G62" s="18" t="n">
        <v>4567.22</v>
      </c>
      <c r="H62" s="18" t="n">
        <v>4743.03</v>
      </c>
      <c r="I62" s="18" t="n">
        <v>1535.25</v>
      </c>
      <c r="J62" s="18" t="n">
        <v>2712.91</v>
      </c>
      <c r="K62" s="37" t="n">
        <v>13558.41</v>
      </c>
      <c r="L62" s="18" t="n">
        <v>6639.52</v>
      </c>
      <c r="M62" s="18" t="n">
        <v>3913.87</v>
      </c>
      <c r="N62" s="18" t="n">
        <v>3967.28</v>
      </c>
      <c r="O62" s="18" t="n">
        <v>1844.44</v>
      </c>
      <c r="P62" s="37" t="n">
        <v>16365.11</v>
      </c>
      <c r="Q62" s="18" t="n">
        <v>4148.17</v>
      </c>
      <c r="R62" s="18" t="n">
        <v>3536.36</v>
      </c>
      <c r="S62" s="18" t="n">
        <v>2981.01</v>
      </c>
      <c r="T62" s="18" t="n">
        <v>4037.44</v>
      </c>
      <c r="U62" s="37" t="n">
        <v>14702.98</v>
      </c>
      <c r="V62" s="18" t="n">
        <v>3625.3</v>
      </c>
      <c r="W62" s="18" t="n">
        <v>4611.49</v>
      </c>
      <c r="X62" s="18" t="n">
        <v>4562.62</v>
      </c>
      <c r="Y62" s="18" t="n">
        <v>3220.49</v>
      </c>
      <c r="Z62" s="37" t="n">
        <v>16019.9</v>
      </c>
      <c r="AA62" s="18" t="n">
        <v>4015.79</v>
      </c>
      <c r="AB62" s="19" t="n">
        <v>6478.47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판관비</t>
        </is>
      </c>
      <c r="E63" s="18" t="n">
        <v>2393.41</v>
      </c>
      <c r="F63" s="9" t="n"/>
      <c r="G63" s="18" t="n">
        <v>2581.49</v>
      </c>
      <c r="H63" s="18" t="n">
        <v>1587.55</v>
      </c>
      <c r="I63" s="18" t="n">
        <v>2275.26</v>
      </c>
      <c r="J63" s="18" t="n">
        <v>3082.37</v>
      </c>
      <c r="K63" s="37" t="n">
        <v>9526.67</v>
      </c>
      <c r="L63" s="18" t="n">
        <v>2938.67</v>
      </c>
      <c r="M63" s="18" t="n">
        <v>2712.19</v>
      </c>
      <c r="N63" s="18" t="n">
        <v>2462.02</v>
      </c>
      <c r="O63" s="18" t="n">
        <v>3392.44</v>
      </c>
      <c r="P63" s="37" t="n">
        <v>11505.32</v>
      </c>
      <c r="Q63" s="18" t="n">
        <v>3766.47</v>
      </c>
      <c r="R63" s="18" t="n">
        <v>3091.87</v>
      </c>
      <c r="S63" s="18" t="n">
        <v>3157.12</v>
      </c>
      <c r="T63" s="18" t="n">
        <v>4020.55</v>
      </c>
      <c r="U63" s="37" t="n">
        <v>14036.01</v>
      </c>
      <c r="V63" s="18" t="n">
        <v>3436.19</v>
      </c>
      <c r="W63" s="18" t="n">
        <v>3071.07</v>
      </c>
      <c r="X63" s="18" t="n">
        <v>3139.05</v>
      </c>
      <c r="Y63" s="18" t="n">
        <v>3194.51</v>
      </c>
      <c r="Z63" s="37" t="n">
        <v>12840.82</v>
      </c>
      <c r="AA63" s="18" t="n">
        <v>3552.51</v>
      </c>
      <c r="AB63" s="19" t="n">
        <v>3622.44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영업이익</t>
        </is>
      </c>
      <c r="E64" s="18" t="n">
        <v>7307.24</v>
      </c>
      <c r="F64" s="9" t="n"/>
      <c r="G64" s="18" t="n">
        <v>1985.73</v>
      </c>
      <c r="H64" s="18" t="n">
        <v>3155.48</v>
      </c>
      <c r="I64" s="18" t="n">
        <v>-740.01</v>
      </c>
      <c r="J64" s="18" t="n">
        <v>-369.46</v>
      </c>
      <c r="K64" s="37" t="n">
        <v>4031.74</v>
      </c>
      <c r="L64" s="18" t="n">
        <v>3700.85</v>
      </c>
      <c r="M64" s="18" t="n">
        <v>1201.68</v>
      </c>
      <c r="N64" s="18" t="n">
        <v>1505.26</v>
      </c>
      <c r="O64" s="18" t="n">
        <v>-1548</v>
      </c>
      <c r="P64" s="37" t="n">
        <v>4859.79</v>
      </c>
      <c r="Q64" s="18" t="n">
        <v>381.7</v>
      </c>
      <c r="R64" s="18" t="n">
        <v>444.49</v>
      </c>
      <c r="S64" s="18" t="n">
        <v>-176.11</v>
      </c>
      <c r="T64" s="18" t="n">
        <v>16.88</v>
      </c>
      <c r="U64" s="37" t="n">
        <v>666.96</v>
      </c>
      <c r="V64" s="18" t="n">
        <v>189.11</v>
      </c>
      <c r="W64" s="18" t="n">
        <v>1540.42</v>
      </c>
      <c r="X64" s="18" t="n">
        <v>1423.57</v>
      </c>
      <c r="Y64" s="18" t="n">
        <v>25.98</v>
      </c>
      <c r="Z64" s="37" t="n">
        <v>3179.08</v>
      </c>
      <c r="AA64" s="18" t="n">
        <v>463.28</v>
      </c>
      <c r="AB64" s="19" t="n">
        <v>2856.03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기타영업외손익</t>
        </is>
      </c>
      <c r="E65" s="18" t="n">
        <v>602.01</v>
      </c>
      <c r="F65" s="9" t="n"/>
      <c r="G65" s="18" t="n">
        <v>924.4</v>
      </c>
      <c r="H65" s="18" t="n">
        <v>140.92</v>
      </c>
      <c r="I65" s="18" t="n">
        <v>-185.45</v>
      </c>
      <c r="J65" s="18" t="n">
        <v>-60.2</v>
      </c>
      <c r="K65" s="37" t="n">
        <v>819.67</v>
      </c>
      <c r="L65" s="18" t="n">
        <v>-213.5</v>
      </c>
      <c r="M65" s="18" t="n">
        <v>-254.44</v>
      </c>
      <c r="N65" s="18" t="n">
        <v>138.37</v>
      </c>
      <c r="O65" s="18" t="n">
        <v>1206.82</v>
      </c>
      <c r="P65" s="37" t="n">
        <v>877.25</v>
      </c>
      <c r="Q65" s="18" t="n">
        <v>162.73</v>
      </c>
      <c r="R65" s="18" t="n">
        <v>347.23</v>
      </c>
      <c r="S65" s="18" t="n">
        <v>-249.06</v>
      </c>
      <c r="T65" s="18" t="n">
        <v>587.13</v>
      </c>
      <c r="U65" s="37" t="n">
        <v>848.03</v>
      </c>
      <c r="V65" s="18" t="n">
        <v>440.83</v>
      </c>
      <c r="W65" s="18" t="n">
        <v>-773.16</v>
      </c>
      <c r="X65" s="18" t="n">
        <v>304.57</v>
      </c>
      <c r="Y65" s="18" t="n">
        <v>148.83</v>
      </c>
      <c r="Z65" s="37" t="n">
        <v>121.07</v>
      </c>
      <c r="AA65" s="18" t="n">
        <v>69.77</v>
      </c>
      <c r="AB65" s="19" t="n">
        <v>-24.83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기타영업외비용</t>
        </is>
      </c>
      <c r="E66" s="18" t="n">
        <v>540.78</v>
      </c>
      <c r="F66" s="9" t="n"/>
      <c r="G66" s="18" t="n">
        <v>579.6</v>
      </c>
      <c r="K66" s="9" t="n"/>
      <c r="L66" s="18" t="n">
        <v>1180.85</v>
      </c>
      <c r="M66" s="18" t="n">
        <v>640.42</v>
      </c>
      <c r="N66" s="18" t="n">
        <v>681.36</v>
      </c>
      <c r="O66" s="18" t="n">
        <v>-504.59</v>
      </c>
      <c r="P66" s="37" t="n">
        <v>1998.04</v>
      </c>
      <c r="Q66" s="18" t="n">
        <v>707.73</v>
      </c>
      <c r="R66" s="18" t="n">
        <v>181.4</v>
      </c>
      <c r="S66" s="18" t="n">
        <v>960.17</v>
      </c>
      <c r="T66" s="18" t="n">
        <v>155.93</v>
      </c>
      <c r="U66" s="37" t="n">
        <v>2005.23</v>
      </c>
      <c r="V66" s="18" t="n">
        <v>692.8200000000001</v>
      </c>
      <c r="W66" s="18" t="n">
        <v>700.47</v>
      </c>
      <c r="X66" s="18" t="n">
        <v>376.62</v>
      </c>
      <c r="Y66" s="18" t="n">
        <v>635.16</v>
      </c>
      <c r="Z66" s="37" t="n">
        <v>2405.07</v>
      </c>
      <c r="AA66" s="18" t="n">
        <v>635.9</v>
      </c>
      <c r="AB66" s="19" t="n">
        <v>669.8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금융수익</t>
        </is>
      </c>
      <c r="E67" s="18" t="n">
        <v>3484.59</v>
      </c>
      <c r="F67" s="9" t="n"/>
      <c r="G67" s="18" t="n">
        <v>399.64</v>
      </c>
      <c r="K67" s="9" t="n"/>
      <c r="L67" s="18" t="n">
        <v>289.13</v>
      </c>
      <c r="M67" s="18" t="n">
        <v>383.73</v>
      </c>
      <c r="N67" s="18" t="n">
        <v>-80.59</v>
      </c>
      <c r="O67" s="18" t="n">
        <v>1550.87</v>
      </c>
      <c r="P67" s="37" t="n">
        <v>2143.14</v>
      </c>
      <c r="Q67" s="18" t="n">
        <v>142.85</v>
      </c>
      <c r="R67" s="18" t="n">
        <v>151.98</v>
      </c>
      <c r="S67" s="18" t="n">
        <v>230.43</v>
      </c>
      <c r="T67" s="18" t="n">
        <v>649.17</v>
      </c>
      <c r="U67" s="37" t="n">
        <v>1174.43</v>
      </c>
      <c r="V67" s="18" t="n">
        <v>348.75</v>
      </c>
      <c r="W67" s="18" t="n">
        <v>2952.86</v>
      </c>
      <c r="X67" s="18" t="n">
        <v>-1018.87</v>
      </c>
      <c r="Y67" s="18" t="n">
        <v>-647.9400000000001</v>
      </c>
      <c r="Z67" s="37" t="n">
        <v>1634.8</v>
      </c>
      <c r="AA67" s="18" t="n">
        <v>293.61</v>
      </c>
      <c r="AB67" s="19" t="n">
        <v>308.42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금융비용</t>
        </is>
      </c>
      <c r="E68" s="18" t="n">
        <v>1583.77</v>
      </c>
      <c r="F68" s="9" t="n"/>
      <c r="G68" s="18" t="n">
        <v>472.97</v>
      </c>
      <c r="K68" s="9" t="n"/>
      <c r="L68" s="18" t="n">
        <v>2568.04</v>
      </c>
      <c r="M68" s="18" t="n">
        <v>1582.86</v>
      </c>
      <c r="N68" s="18" t="n">
        <v>2063.59</v>
      </c>
      <c r="O68" s="18" t="n">
        <v>453.84</v>
      </c>
      <c r="P68" s="37" t="n">
        <v>6668.33</v>
      </c>
      <c r="Q68" s="18" t="n">
        <v>2366.64</v>
      </c>
      <c r="R68" s="18" t="n">
        <v>2179.62</v>
      </c>
      <c r="S68" s="18" t="n">
        <v>34.99</v>
      </c>
      <c r="T68" s="18" t="n">
        <v>4821.97</v>
      </c>
      <c r="U68" s="37" t="n">
        <v>9403.219999999999</v>
      </c>
      <c r="V68" s="18" t="n">
        <v>1300.38</v>
      </c>
      <c r="W68" s="18" t="n">
        <v>1276.74</v>
      </c>
      <c r="X68" s="18" t="n">
        <v>1231.7</v>
      </c>
      <c r="Y68" s="18" t="n">
        <v>1224.25</v>
      </c>
      <c r="Z68" s="37" t="n">
        <v>5033.07</v>
      </c>
      <c r="AA68" s="18" t="n">
        <v>2768.35</v>
      </c>
      <c r="AB68" s="19" t="n">
        <v>1709.87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법인세비용차감전계속사업이익</t>
        </is>
      </c>
      <c r="E69" s="18" t="n">
        <v>8898.049999999999</v>
      </c>
      <c r="F69" s="9" t="n"/>
      <c r="G69" s="18" t="n">
        <v>3222.71</v>
      </c>
      <c r="H69" s="18" t="n">
        <v>-670.4299999999999</v>
      </c>
      <c r="I69" s="18" t="n">
        <v>-4932.58</v>
      </c>
      <c r="J69" s="18" t="n">
        <v>2151.96</v>
      </c>
      <c r="K69" s="37" t="n">
        <v>-228.34</v>
      </c>
      <c r="L69" s="18" t="n">
        <v>1310.94</v>
      </c>
      <c r="M69" s="18" t="n">
        <v>-363.94</v>
      </c>
      <c r="N69" s="18" t="n">
        <v>-237.62</v>
      </c>
      <c r="O69" s="18" t="n">
        <v>762.17</v>
      </c>
      <c r="P69" s="37" t="n">
        <v>1471.55</v>
      </c>
      <c r="Q69" s="18" t="n">
        <v>-1642.29</v>
      </c>
      <c r="R69" s="18" t="n">
        <v>-1751.8</v>
      </c>
      <c r="S69" s="18" t="n">
        <v>-371.51</v>
      </c>
      <c r="T69" s="18" t="n">
        <v>-3114.8</v>
      </c>
      <c r="U69" s="37" t="n">
        <v>-6880.4</v>
      </c>
      <c r="V69" s="18" t="n">
        <v>-233.33</v>
      </c>
      <c r="W69" s="18" t="n">
        <v>2360.95</v>
      </c>
      <c r="X69" s="18" t="n">
        <v>-926.27</v>
      </c>
      <c r="Y69" s="18" t="n">
        <v>-1989.93</v>
      </c>
      <c r="Z69" s="37" t="n">
        <v>-788.58</v>
      </c>
      <c r="AA69" s="18" t="n">
        <v>-1606.33</v>
      </c>
      <c r="AB69" s="19" t="n">
        <v>1926.99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</t>
        </is>
      </c>
      <c r="E70" s="18" t="n">
        <v>1645.43</v>
      </c>
      <c r="F70" s="9" t="n"/>
      <c r="G70" s="18" t="n">
        <v>212.05</v>
      </c>
      <c r="H70" s="18" t="n">
        <v>-226.78</v>
      </c>
      <c r="I70" s="18" t="n">
        <v>118.14</v>
      </c>
      <c r="J70" s="18" t="n">
        <v>966.5</v>
      </c>
      <c r="K70" s="37" t="n">
        <v>1069.91</v>
      </c>
      <c r="L70" s="18" t="n">
        <v>1.5</v>
      </c>
      <c r="M70" s="18" t="n">
        <v>171.55</v>
      </c>
      <c r="N70" s="18" t="n">
        <v>38.45</v>
      </c>
      <c r="O70" s="18" t="n">
        <v>890.6799999999999</v>
      </c>
      <c r="P70" s="37" t="n">
        <v>1102.18</v>
      </c>
      <c r="Q70" s="18" t="n">
        <v>427.89</v>
      </c>
      <c r="R70" s="18" t="n">
        <v>-108.39</v>
      </c>
      <c r="S70" s="18" t="n">
        <v>231.65</v>
      </c>
      <c r="T70" s="18" t="n">
        <v>-2821.45</v>
      </c>
      <c r="U70" s="37" t="n">
        <v>-2270.3</v>
      </c>
      <c r="V70" s="18" t="n">
        <v>-92.77</v>
      </c>
      <c r="W70" s="18" t="n">
        <v>520.36</v>
      </c>
      <c r="X70" s="18" t="n">
        <v>-14.6</v>
      </c>
      <c r="Y70" s="18" t="n">
        <v>-765.87</v>
      </c>
      <c r="Z70" s="37" t="n">
        <v>-352.88</v>
      </c>
      <c r="AA70" s="18" t="n">
        <v>-18.35</v>
      </c>
      <c r="AB70" s="19" t="n">
        <v>217.71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당기순이익</t>
        </is>
      </c>
      <c r="E71" s="18" t="n">
        <v>7252.61</v>
      </c>
      <c r="F71" s="9" t="n"/>
      <c r="G71" s="18" t="n">
        <v>3010.66</v>
      </c>
      <c r="H71" s="18" t="n">
        <v>-443.65</v>
      </c>
      <c r="I71" s="18" t="n">
        <v>-5050.72</v>
      </c>
      <c r="J71" s="18" t="n">
        <v>1185.46</v>
      </c>
      <c r="K71" s="37" t="n">
        <v>-1298.25</v>
      </c>
      <c r="L71" s="18" t="n">
        <v>1309.44</v>
      </c>
      <c r="M71" s="18" t="n">
        <v>-535.49</v>
      </c>
      <c r="N71" s="18" t="n">
        <v>-276.07</v>
      </c>
      <c r="O71" s="18" t="n">
        <v>-128.5</v>
      </c>
      <c r="P71" s="37" t="n">
        <v>369.38</v>
      </c>
      <c r="Q71" s="18" t="n">
        <v>-2070.18</v>
      </c>
      <c r="R71" s="18" t="n">
        <v>-1643.41</v>
      </c>
      <c r="S71" s="18" t="n">
        <v>-603.16</v>
      </c>
      <c r="T71" s="18" t="n">
        <v>-293.36</v>
      </c>
      <c r="U71" s="37" t="n">
        <v>-4610.11</v>
      </c>
      <c r="V71" s="18" t="n">
        <v>-140.56</v>
      </c>
      <c r="W71" s="18" t="n">
        <v>1840.59</v>
      </c>
      <c r="X71" s="18" t="n">
        <v>-911.67</v>
      </c>
      <c r="Y71" s="18" t="n">
        <v>-1224.07</v>
      </c>
      <c r="Z71" s="37" t="n">
        <v>-435.71</v>
      </c>
      <c r="AA71" s="18" t="n">
        <v>-1587.98</v>
      </c>
      <c r="AB71" s="19" t="n">
        <v>1709.28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총포괄손익</t>
        </is>
      </c>
      <c r="E72" s="18" t="n">
        <v>7240.65</v>
      </c>
      <c r="F72" s="9" t="n"/>
      <c r="G72" s="18" t="n">
        <v>3161.47</v>
      </c>
      <c r="K72" s="9" t="n"/>
      <c r="P72" s="9" t="n"/>
      <c r="U72" s="9" t="n"/>
      <c r="Z72" s="9" t="n"/>
      <c r="AB72" s="5" t="n"/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금융손익</t>
        </is>
      </c>
      <c r="E73" s="18" t="n">
        <v>1900.82</v>
      </c>
      <c r="F73" s="9" t="n"/>
      <c r="G73" s="18" t="n">
        <v>-73.33</v>
      </c>
      <c r="H73" s="18" t="n">
        <v>-4289.1</v>
      </c>
      <c r="I73" s="18" t="n">
        <v>-4672.81</v>
      </c>
      <c r="J73" s="18" t="n">
        <v>2849.02</v>
      </c>
      <c r="K73" s="37" t="n">
        <v>-6186.22</v>
      </c>
      <c r="L73" s="18" t="n">
        <v>-2278.91</v>
      </c>
      <c r="M73" s="18" t="n">
        <v>-1199.13</v>
      </c>
      <c r="N73" s="18" t="n">
        <v>-2144.18</v>
      </c>
      <c r="O73" s="18" t="n">
        <v>1097.03</v>
      </c>
      <c r="P73" s="37" t="n">
        <v>-4525.19</v>
      </c>
      <c r="Q73" s="18" t="n">
        <v>-2223.79</v>
      </c>
      <c r="R73" s="18" t="n">
        <v>-2027.64</v>
      </c>
      <c r="S73" s="18" t="n">
        <v>195.44</v>
      </c>
      <c r="T73" s="18" t="n">
        <v>-4172.8</v>
      </c>
      <c r="U73" s="37" t="n">
        <v>-8228.790000000001</v>
      </c>
      <c r="V73" s="18" t="n">
        <v>-951.63</v>
      </c>
      <c r="W73" s="18" t="n">
        <v>1676.12</v>
      </c>
      <c r="X73" s="18" t="n">
        <v>-2250.57</v>
      </c>
      <c r="Y73" s="18" t="n">
        <v>-1872.19</v>
      </c>
      <c r="Z73" s="37" t="n">
        <v>-3398.27</v>
      </c>
      <c r="AA73" s="18" t="n">
        <v>-2474.74</v>
      </c>
      <c r="AB73" s="19" t="n">
        <v>-1401.45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(지배주주지분)당기순이익</t>
        </is>
      </c>
      <c r="E74" s="18" t="n">
        <v>7252.61</v>
      </c>
      <c r="F74" s="9" t="n"/>
      <c r="G74" s="18" t="n">
        <v>3010.66</v>
      </c>
      <c r="H74" s="18" t="n">
        <v>-443.65</v>
      </c>
      <c r="I74" s="18" t="n">
        <v>-5050.72</v>
      </c>
      <c r="J74" s="18" t="n">
        <v>1185.46</v>
      </c>
      <c r="K74" s="37" t="n">
        <v>-1298.25</v>
      </c>
      <c r="P74" s="9" t="n"/>
      <c r="U74" s="9" t="n"/>
      <c r="Z74" s="9" t="n"/>
      <c r="AB74" s="5" t="n"/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계속사업이익</t>
        </is>
      </c>
      <c r="E75" s="18" t="n">
        <v>7252.61</v>
      </c>
      <c r="F75" s="9" t="n"/>
      <c r="G75" s="18" t="n">
        <v>3010.66</v>
      </c>
      <c r="H75" s="18" t="n">
        <v>-443.65</v>
      </c>
      <c r="I75" s="18" t="n">
        <v>-5050.72</v>
      </c>
      <c r="J75" s="18" t="n">
        <v>1185.46</v>
      </c>
      <c r="K75" s="37" t="n">
        <v>-1298.25</v>
      </c>
      <c r="L75" s="18" t="n">
        <v>1309.44</v>
      </c>
      <c r="M75" s="18" t="n">
        <v>-535.49</v>
      </c>
      <c r="N75" s="18" t="n">
        <v>-276.07</v>
      </c>
      <c r="O75" s="18" t="n">
        <v>-128.5</v>
      </c>
      <c r="P75" s="37" t="n">
        <v>369.38</v>
      </c>
      <c r="Q75" s="18" t="n">
        <v>-2070.18</v>
      </c>
      <c r="R75" s="18" t="n">
        <v>-1643.41</v>
      </c>
      <c r="S75" s="18" t="n">
        <v>-603.16</v>
      </c>
      <c r="T75" s="18" t="n">
        <v>-293.36</v>
      </c>
      <c r="U75" s="37" t="n">
        <v>-4610.11</v>
      </c>
      <c r="V75" s="18" t="n">
        <v>-140.56</v>
      </c>
      <c r="W75" s="18" t="n">
        <v>1840.59</v>
      </c>
      <c r="X75" s="18" t="n">
        <v>-911.67</v>
      </c>
      <c r="Y75" s="18" t="n">
        <v>-1224.07</v>
      </c>
      <c r="Z75" s="37" t="n">
        <v>-435.71</v>
      </c>
      <c r="AA75" s="18" t="n">
        <v>-1587.98</v>
      </c>
      <c r="AB75" s="19" t="n">
        <v>1709.28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이자수익</t>
        </is>
      </c>
      <c r="F76" s="9" t="n"/>
      <c r="G76" s="18" t="n">
        <v>38.47</v>
      </c>
      <c r="H76" s="18" t="n">
        <v>61.82</v>
      </c>
      <c r="I76" s="18" t="n">
        <v>189.2</v>
      </c>
      <c r="J76" s="18" t="n">
        <v>301.99</v>
      </c>
      <c r="K76" s="37" t="n">
        <v>591.48</v>
      </c>
      <c r="L76" s="18" t="n">
        <v>228.6</v>
      </c>
      <c r="P76" s="9" t="n"/>
      <c r="U76" s="9" t="n"/>
      <c r="Z76" s="9" t="n"/>
      <c r="AB76" s="5" t="n"/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이자비용</t>
        </is>
      </c>
      <c r="F77" s="9" t="n"/>
      <c r="G77" s="18" t="n">
        <v>817.42</v>
      </c>
      <c r="H77" s="18" t="n">
        <v>932.62</v>
      </c>
      <c r="I77" s="18" t="n">
        <v>4693.5</v>
      </c>
      <c r="J77" s="18" t="n">
        <v>1498.57</v>
      </c>
      <c r="K77" s="37" t="n">
        <v>7942.11</v>
      </c>
      <c r="L77" s="18" t="n">
        <v>1797.75</v>
      </c>
      <c r="P77" s="9" t="n"/>
      <c r="U77" s="9" t="n"/>
      <c r="Z77" s="9" t="n"/>
      <c r="AB77" s="5" t="n"/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외화환산이익</t>
        </is>
      </c>
      <c r="F78" s="9" t="n"/>
      <c r="G78" s="18" t="n">
        <v>70.84999999999999</v>
      </c>
      <c r="K78" s="9" t="n"/>
      <c r="L78" s="18" t="n">
        <v>19.21</v>
      </c>
      <c r="P78" s="9" t="n"/>
      <c r="U78" s="9" t="n"/>
      <c r="Z78" s="9" t="n"/>
      <c r="AB78" s="5" t="n"/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외화환산손실</t>
        </is>
      </c>
      <c r="F79" s="9" t="n"/>
      <c r="G79" s="18" t="n">
        <v>-344.46</v>
      </c>
      <c r="K79" s="9" t="n"/>
      <c r="L79" s="18" t="n">
        <v>698.76</v>
      </c>
      <c r="P79" s="9" t="n"/>
      <c r="U79" s="9" t="n"/>
      <c r="Z79" s="9" t="n"/>
      <c r="AB79" s="5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이자손익</t>
        </is>
      </c>
      <c r="F80" s="9" t="n"/>
      <c r="G80" s="18" t="n">
        <v>-778.95</v>
      </c>
      <c r="H80" s="18" t="n">
        <v>-870.8</v>
      </c>
      <c r="I80" s="18" t="n">
        <v>-4504.3</v>
      </c>
      <c r="J80" s="18" t="n">
        <v>-1196.58</v>
      </c>
      <c r="K80" s="37" t="n">
        <v>-7350.63</v>
      </c>
      <c r="L80" s="18" t="n">
        <v>-1569.15</v>
      </c>
      <c r="P80" s="9" t="n"/>
      <c r="U80" s="9" t="n"/>
      <c r="Z80" s="9" t="n"/>
      <c r="AB80" s="5" t="n"/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종속기업,공동지배기업및관계기업관련손익</t>
        </is>
      </c>
      <c r="F81" s="9" t="n"/>
      <c r="H81" s="18" t="n">
        <v>322.27</v>
      </c>
      <c r="I81" s="18" t="n">
        <v>665.6900000000001</v>
      </c>
      <c r="K81" s="9" t="n"/>
      <c r="P81" s="9" t="n"/>
      <c r="U81" s="9" t="n"/>
      <c r="Z81" s="9" t="n"/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배당금수익</t>
        </is>
      </c>
      <c r="F82" s="9" t="n"/>
      <c r="H82" s="18" t="n">
        <v>121.83</v>
      </c>
      <c r="I82" s="18" t="n">
        <v>0</v>
      </c>
      <c r="K82" s="9" t="n"/>
      <c r="L82" s="18" t="n">
        <v>-60.89</v>
      </c>
      <c r="P82" s="9" t="n"/>
      <c r="U82" s="9" t="n"/>
      <c r="Z82" s="9" t="n"/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기타영업외수익</t>
        </is>
      </c>
      <c r="F83" s="9" t="n"/>
      <c r="K83" s="9" t="n"/>
      <c r="L83" s="18" t="n">
        <v>967.35</v>
      </c>
      <c r="M83" s="18" t="n">
        <v>385.98</v>
      </c>
      <c r="N83" s="18" t="n">
        <v>819.73</v>
      </c>
      <c r="O83" s="18" t="n">
        <v>702.23</v>
      </c>
      <c r="P83" s="37" t="n">
        <v>2875.29</v>
      </c>
      <c r="Q83" s="18" t="n">
        <v>870.46</v>
      </c>
      <c r="R83" s="18" t="n">
        <v>528.63</v>
      </c>
      <c r="S83" s="18" t="n">
        <v>711.11</v>
      </c>
      <c r="T83" s="18" t="n">
        <v>743.0599999999999</v>
      </c>
      <c r="U83" s="37" t="n">
        <v>2853.26</v>
      </c>
      <c r="V83" s="18" t="n">
        <v>1133.65</v>
      </c>
      <c r="W83" s="18" t="n">
        <v>-72.69</v>
      </c>
      <c r="X83" s="18" t="n">
        <v>681.1900000000001</v>
      </c>
      <c r="Y83" s="18" t="n">
        <v>783.99</v>
      </c>
      <c r="Z83" s="37" t="n">
        <v>2526.14</v>
      </c>
      <c r="AA83" s="18" t="n">
        <v>705.67</v>
      </c>
      <c r="AB83" s="19" t="n">
        <v>644.97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(비지배주주지분)당기순이익</t>
        </is>
      </c>
      <c r="F84" s="9" t="n"/>
      <c r="K84" s="9" t="n"/>
      <c r="L84" s="18" t="n">
        <v>41.54</v>
      </c>
      <c r="M84" s="18" t="n">
        <v>-36.17</v>
      </c>
      <c r="N84" s="18" t="n">
        <v>226.54</v>
      </c>
      <c r="O84" s="18" t="n">
        <v>197.62</v>
      </c>
      <c r="P84" s="37" t="n">
        <v>429.53</v>
      </c>
      <c r="Q84" s="18" t="n">
        <v>37.36</v>
      </c>
      <c r="R84" s="18" t="n">
        <v>146.07</v>
      </c>
      <c r="S84" s="18" t="n">
        <v>199.29</v>
      </c>
      <c r="T84" s="18" t="n">
        <v>266.01</v>
      </c>
      <c r="U84" s="37" t="n">
        <v>648.73</v>
      </c>
      <c r="V84" s="18" t="n">
        <v>45.32</v>
      </c>
      <c r="W84" s="18" t="n">
        <v>-19.4</v>
      </c>
      <c r="X84" s="18" t="n">
        <v>0.03</v>
      </c>
      <c r="Y84" s="18" t="n">
        <v>92.18000000000001</v>
      </c>
      <c r="Z84" s="37" t="n">
        <v>118.13</v>
      </c>
      <c r="AA84" s="18" t="n">
        <v>-124.06</v>
      </c>
      <c r="AB84" s="19" t="n">
        <v>-126.13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외환차익</t>
        </is>
      </c>
      <c r="F85" s="9" t="n"/>
      <c r="K85" s="9" t="n"/>
      <c r="L85" s="18" t="n">
        <v>94.39</v>
      </c>
      <c r="P85" s="9" t="n"/>
      <c r="U85" s="9" t="n"/>
      <c r="Z85" s="9" t="n"/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외환차손</t>
        </is>
      </c>
      <c r="F86" s="9" t="n"/>
      <c r="K86" s="9" t="n"/>
      <c r="L86" s="18" t="n">
        <v>71.53</v>
      </c>
      <c r="P86" s="9" t="n"/>
      <c r="U86" s="9" t="n"/>
      <c r="Z86" s="9" t="n"/>
      <c r="AB86" s="5" t="n"/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영업활동으로인한현금흐름</t>
        </is>
      </c>
      <c r="E87" s="18" t="n">
        <v>9622.98</v>
      </c>
      <c r="F87" s="9" t="n"/>
      <c r="G87" s="18" t="n">
        <v>803.41</v>
      </c>
      <c r="H87" s="18" t="n">
        <v>-2837</v>
      </c>
      <c r="I87" s="18" t="n">
        <v>10177.55</v>
      </c>
      <c r="J87" s="18" t="n">
        <v>13224.59</v>
      </c>
      <c r="K87" s="37" t="n">
        <v>21368.55</v>
      </c>
      <c r="L87" s="18" t="n">
        <v>-1917.88</v>
      </c>
      <c r="M87" s="18" t="n">
        <v>1628.53</v>
      </c>
      <c r="N87" s="18" t="n">
        <v>2595.32</v>
      </c>
      <c r="O87" s="18" t="n">
        <v>3415.51</v>
      </c>
      <c r="P87" s="37" t="n">
        <v>5721.48</v>
      </c>
      <c r="Q87" s="18" t="n">
        <v>-1.75</v>
      </c>
      <c r="R87" s="18" t="n">
        <v>-5617.4</v>
      </c>
      <c r="S87" s="18" t="n">
        <v>8728.219999999999</v>
      </c>
      <c r="T87" s="18" t="n">
        <v>170.82</v>
      </c>
      <c r="U87" s="37" t="n">
        <v>3279.89</v>
      </c>
      <c r="V87" s="18" t="n">
        <v>-4243.51</v>
      </c>
      <c r="W87" s="18" t="n">
        <v>4180.77</v>
      </c>
      <c r="X87" s="18" t="n">
        <v>-4896.89</v>
      </c>
      <c r="Y87" s="18" t="n">
        <v>5551.62</v>
      </c>
      <c r="Z87" s="37" t="n">
        <v>591.99</v>
      </c>
      <c r="AA87" s="18" t="n">
        <v>9173.299999999999</v>
      </c>
      <c r="AB87" s="19" t="n">
        <v>3154.04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배당금수취(CF)</t>
        </is>
      </c>
      <c r="E88" s="18" t="n">
        <v>-61</v>
      </c>
      <c r="F88" s="9" t="n"/>
      <c r="I88" s="18" t="n">
        <v>0</v>
      </c>
      <c r="K88" s="9" t="n"/>
      <c r="N88" s="18" t="n">
        <v>0</v>
      </c>
      <c r="P88" s="9" t="n"/>
      <c r="S88" s="18" t="n">
        <v>0</v>
      </c>
      <c r="T88" s="18" t="n">
        <v>0</v>
      </c>
      <c r="U88" s="9" t="n"/>
      <c r="X88" s="18" t="n">
        <v>0</v>
      </c>
      <c r="Z88" s="9" t="n"/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법인세납부(CF)</t>
        </is>
      </c>
      <c r="E89" s="18" t="n">
        <v>-1628.14</v>
      </c>
      <c r="F89" s="9" t="n"/>
      <c r="G89" s="18" t="n">
        <v>-320.08</v>
      </c>
      <c r="H89" s="18" t="n">
        <v>-515.28</v>
      </c>
      <c r="I89" s="18" t="n">
        <v>-450.84</v>
      </c>
      <c r="J89" s="18" t="n">
        <v>-6.05</v>
      </c>
      <c r="K89" s="37" t="n">
        <v>-1292.25</v>
      </c>
      <c r="L89" s="18" t="n">
        <v>422.91</v>
      </c>
      <c r="M89" s="18" t="n">
        <v>-19.25</v>
      </c>
      <c r="N89" s="18" t="n">
        <v>-195.18</v>
      </c>
      <c r="O89" s="18" t="n">
        <v>63.52</v>
      </c>
      <c r="P89" s="37" t="n">
        <v>272</v>
      </c>
      <c r="Q89" s="18" t="n">
        <v>89.94</v>
      </c>
      <c r="R89" s="18" t="n">
        <v>-13.56</v>
      </c>
      <c r="S89" s="18" t="n">
        <v>-74.02</v>
      </c>
      <c r="T89" s="18" t="n">
        <v>-38.71</v>
      </c>
      <c r="U89" s="37" t="n">
        <v>-36.35</v>
      </c>
      <c r="V89" s="18" t="n">
        <v>104.63</v>
      </c>
      <c r="W89" s="18" t="n">
        <v>-25.89</v>
      </c>
      <c r="X89" s="18" t="n">
        <v>-59.12</v>
      </c>
      <c r="Y89" s="18" t="n">
        <v>-32.86</v>
      </c>
      <c r="Z89" s="37" t="n">
        <v>-13.24</v>
      </c>
      <c r="AA89" s="18" t="n">
        <v>120.64</v>
      </c>
      <c r="AB89" s="19" t="n">
        <v>-7.33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투자활동으로인한현금흐름</t>
        </is>
      </c>
      <c r="E90" s="18" t="n">
        <v>-1246.16</v>
      </c>
      <c r="F90" s="9" t="n"/>
      <c r="G90" s="18" t="n">
        <v>-9449.74</v>
      </c>
      <c r="H90" s="18" t="n">
        <v>-4577</v>
      </c>
      <c r="I90" s="18" t="n">
        <v>-4926.04</v>
      </c>
      <c r="J90" s="18" t="n">
        <v>-456.24</v>
      </c>
      <c r="K90" s="37" t="n">
        <v>-19409.02</v>
      </c>
      <c r="L90" s="18" t="n">
        <v>9118.08</v>
      </c>
      <c r="M90" s="18" t="n">
        <v>-776.24</v>
      </c>
      <c r="N90" s="18" t="n">
        <v>-996.34</v>
      </c>
      <c r="O90" s="18" t="n">
        <v>-501.51</v>
      </c>
      <c r="P90" s="37" t="n">
        <v>6843.99</v>
      </c>
      <c r="Q90" s="18" t="n">
        <v>-671.61</v>
      </c>
      <c r="R90" s="18" t="n">
        <v>-3136.44</v>
      </c>
      <c r="S90" s="18" t="n">
        <v>-6712.62</v>
      </c>
      <c r="T90" s="18" t="n">
        <v>-2856.76</v>
      </c>
      <c r="U90" s="37" t="n">
        <v>-13377.43</v>
      </c>
      <c r="V90" s="18" t="n">
        <v>-2776.26</v>
      </c>
      <c r="W90" s="18" t="n">
        <v>-887.0700000000001</v>
      </c>
      <c r="X90" s="18" t="n">
        <v>-74.2</v>
      </c>
      <c r="Y90" s="18" t="n">
        <v>-2559.02</v>
      </c>
      <c r="Z90" s="37" t="n">
        <v>-6296.55</v>
      </c>
      <c r="AA90" s="18" t="n">
        <v>1790.08</v>
      </c>
      <c r="AB90" s="19" t="n">
        <v>-7954.02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무형자산의증가</t>
        </is>
      </c>
      <c r="E91" s="18" t="n">
        <v>0</v>
      </c>
      <c r="F91" s="9" t="n"/>
      <c r="I91" s="18" t="n">
        <v>340</v>
      </c>
      <c r="J91" s="18" t="n">
        <v>7.48</v>
      </c>
      <c r="K91" s="9" t="n"/>
      <c r="L91" s="18" t="n">
        <v>0</v>
      </c>
      <c r="M91" s="18" t="n">
        <v>0</v>
      </c>
      <c r="N91" s="18" t="n">
        <v>0</v>
      </c>
      <c r="O91" s="18" t="n">
        <v>0</v>
      </c>
      <c r="P91" s="37" t="n">
        <v>0</v>
      </c>
      <c r="Q91" s="18" t="n">
        <v>0</v>
      </c>
      <c r="R91" s="18" t="n">
        <v>0</v>
      </c>
      <c r="S91" s="18" t="n">
        <v>0</v>
      </c>
      <c r="T91" s="18" t="n">
        <v>0</v>
      </c>
      <c r="U91" s="37" t="n">
        <v>0</v>
      </c>
      <c r="V91" s="18" t="n">
        <v>0</v>
      </c>
      <c r="W91" s="18" t="n">
        <v>0</v>
      </c>
      <c r="X91" s="18" t="n">
        <v>0</v>
      </c>
      <c r="Y91" s="18" t="n">
        <v>817.6</v>
      </c>
      <c r="Z91" s="37" t="n">
        <v>817.6</v>
      </c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재무활동으로인한현금흐름</t>
        </is>
      </c>
      <c r="E92" s="18" t="n">
        <v>-3631.66</v>
      </c>
      <c r="F92" s="9" t="n"/>
      <c r="G92" s="18" t="n">
        <v>4309.18</v>
      </c>
      <c r="H92" s="18" t="n">
        <v>10020.44</v>
      </c>
      <c r="I92" s="18" t="n">
        <v>-8918.16</v>
      </c>
      <c r="J92" s="18" t="n">
        <v>-7691.82</v>
      </c>
      <c r="K92" s="37" t="n">
        <v>-2280.36</v>
      </c>
      <c r="L92" s="18" t="n">
        <v>-7695.17</v>
      </c>
      <c r="M92" s="18" t="n">
        <v>-2342.28</v>
      </c>
      <c r="N92" s="18" t="n">
        <v>-1556.26</v>
      </c>
      <c r="O92" s="18" t="n">
        <v>-450.71</v>
      </c>
      <c r="P92" s="37" t="n">
        <v>-12044.42</v>
      </c>
      <c r="Q92" s="18" t="n">
        <v>-6135.24</v>
      </c>
      <c r="R92" s="18" t="n">
        <v>11787.63</v>
      </c>
      <c r="S92" s="18" t="n">
        <v>3428.2</v>
      </c>
      <c r="T92" s="18" t="n">
        <v>-313.98</v>
      </c>
      <c r="U92" s="37" t="n">
        <v>8766.610000000001</v>
      </c>
      <c r="V92" s="18" t="n">
        <v>7407.36</v>
      </c>
      <c r="W92" s="18" t="n">
        <v>-5091.59</v>
      </c>
      <c r="X92" s="18" t="n">
        <v>4408.08</v>
      </c>
      <c r="Y92" s="18" t="n">
        <v>-6606.46</v>
      </c>
      <c r="Z92" s="37" t="n">
        <v>117.39</v>
      </c>
      <c r="AA92" s="18" t="n">
        <v>-1599.69</v>
      </c>
      <c r="AB92" s="19" t="n">
        <v>3911.8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유동성장기부채의감소</t>
        </is>
      </c>
      <c r="E93" s="18" t="n">
        <v>156.25</v>
      </c>
      <c r="F93" s="9" t="n"/>
      <c r="I93" s="18" t="n">
        <v>0</v>
      </c>
      <c r="J93" s="18" t="n">
        <v>0</v>
      </c>
      <c r="K93" s="9" t="n"/>
      <c r="L93" s="18" t="n">
        <v>0</v>
      </c>
      <c r="M93" s="18" t="n">
        <v>0</v>
      </c>
      <c r="N93" s="18" t="n">
        <v>4000</v>
      </c>
      <c r="P93" s="9" t="n"/>
      <c r="Q93" s="18" t="n">
        <v>0</v>
      </c>
      <c r="R93" s="18" t="n">
        <v>0</v>
      </c>
      <c r="S93" s="18" t="n">
        <v>0</v>
      </c>
      <c r="T93" s="18" t="n">
        <v>0</v>
      </c>
      <c r="U93" s="37" t="n">
        <v>0</v>
      </c>
      <c r="V93" s="18" t="n">
        <v>0</v>
      </c>
      <c r="W93" s="18" t="n">
        <v>0</v>
      </c>
      <c r="X93" s="18" t="n">
        <v>0</v>
      </c>
      <c r="Z93" s="9" t="n"/>
      <c r="AB93" s="5" t="n"/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장기차입금의증가</t>
        </is>
      </c>
      <c r="E94" s="18" t="n">
        <v>0</v>
      </c>
      <c r="F94" s="9" t="n"/>
      <c r="G94" s="18" t="n">
        <v>20347.2</v>
      </c>
      <c r="K94" s="9" t="n"/>
      <c r="P94" s="9" t="n"/>
      <c r="Q94" s="18" t="n">
        <v>0</v>
      </c>
      <c r="R94" s="18" t="n">
        <v>0</v>
      </c>
      <c r="S94" s="18" t="n">
        <v>6000</v>
      </c>
      <c r="T94" s="18" t="n">
        <v>0</v>
      </c>
      <c r="U94" s="37" t="n">
        <v>6000</v>
      </c>
      <c r="V94" s="18" t="n">
        <v>0</v>
      </c>
      <c r="W94" s="18" t="n">
        <v>0</v>
      </c>
      <c r="X94" s="18" t="n">
        <v>0</v>
      </c>
      <c r="Y94" s="18" t="n">
        <v>0</v>
      </c>
      <c r="Z94" s="37" t="n">
        <v>0</v>
      </c>
      <c r="AB94" s="5" t="n"/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현금및현금성자산의증감</t>
        </is>
      </c>
      <c r="E95" s="18" t="n">
        <v>4813.69</v>
      </c>
      <c r="F95" s="9" t="n"/>
      <c r="G95" s="18" t="n">
        <v>-4286.7</v>
      </c>
      <c r="H95" s="18" t="n">
        <v>2555.99</v>
      </c>
      <c r="I95" s="18" t="n">
        <v>-3666.65</v>
      </c>
      <c r="J95" s="18" t="n">
        <v>5022.92</v>
      </c>
      <c r="K95" s="37" t="n">
        <v>-374.44</v>
      </c>
      <c r="L95" s="18" t="n">
        <v>-393.32</v>
      </c>
      <c r="M95" s="18" t="n">
        <v>-1590.17</v>
      </c>
      <c r="N95" s="18" t="n">
        <v>89.69</v>
      </c>
      <c r="O95" s="18" t="n">
        <v>2434.76</v>
      </c>
      <c r="P95" s="37" t="n">
        <v>540.96</v>
      </c>
      <c r="Q95" s="18" t="n">
        <v>-6771.16</v>
      </c>
      <c r="R95" s="18" t="n">
        <v>2744.28</v>
      </c>
      <c r="S95" s="18" t="n">
        <v>5758.84</v>
      </c>
      <c r="T95" s="18" t="n">
        <v>-2955.25</v>
      </c>
      <c r="U95" s="37" t="n">
        <v>-1223.29</v>
      </c>
      <c r="V95" s="18" t="n">
        <v>1445.27</v>
      </c>
      <c r="W95" s="18" t="n">
        <v>-2934.32</v>
      </c>
      <c r="X95" s="18" t="n">
        <v>-582.89</v>
      </c>
      <c r="Y95" s="18" t="n">
        <v>-3756.69</v>
      </c>
      <c r="Z95" s="37" t="n">
        <v>-5828.63</v>
      </c>
      <c r="AA95" s="18" t="n">
        <v>8643.440000000001</v>
      </c>
      <c r="AB95" s="19" t="n">
        <v>-121.54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기말현금및현금성자산</t>
        </is>
      </c>
      <c r="E96" s="18" t="n">
        <v>154.55</v>
      </c>
      <c r="F96" s="9" t="n"/>
      <c r="G96" s="18" t="n">
        <v>8489.309999999999</v>
      </c>
      <c r="H96" s="18" t="n">
        <v>2636.28</v>
      </c>
      <c r="I96" s="18" t="n">
        <v>-3554.95</v>
      </c>
      <c r="J96" s="18" t="n">
        <v>4830.92</v>
      </c>
      <c r="K96" s="37" t="n">
        <v>12401.56</v>
      </c>
      <c r="L96" s="18" t="n">
        <v>12008.24</v>
      </c>
      <c r="M96" s="18" t="n">
        <v>-1590.16</v>
      </c>
      <c r="N96" s="18" t="n">
        <v>89.68000000000001</v>
      </c>
      <c r="O96" s="18" t="n">
        <v>2434.77</v>
      </c>
      <c r="P96" s="37" t="n">
        <v>12942.53</v>
      </c>
      <c r="Q96" s="18" t="n">
        <v>6171.37</v>
      </c>
      <c r="R96" s="18" t="n">
        <v>2744.27</v>
      </c>
      <c r="S96" s="18" t="n">
        <v>5758.85</v>
      </c>
      <c r="T96" s="18" t="n">
        <v>-2955.26</v>
      </c>
      <c r="U96" s="37" t="n">
        <v>11719.23</v>
      </c>
      <c r="V96" s="18" t="n">
        <v>13164.5</v>
      </c>
      <c r="W96" s="18" t="n">
        <v>-2934.32</v>
      </c>
      <c r="X96" s="18" t="n">
        <v>-582.89</v>
      </c>
      <c r="Y96" s="18" t="n">
        <v>-3756.69</v>
      </c>
      <c r="Z96" s="37" t="n">
        <v>5890.6</v>
      </c>
      <c r="AA96" s="18" t="n">
        <v>14534.04</v>
      </c>
      <c r="AB96" s="19" t="n">
        <v>-121.54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CAPEX</t>
        </is>
      </c>
      <c r="E97" s="18" t="n">
        <v>0</v>
      </c>
      <c r="F97" s="9" t="n"/>
      <c r="G97" s="18" t="n">
        <v>1401.18</v>
      </c>
      <c r="H97" s="18" t="n">
        <v>1160.84</v>
      </c>
      <c r="I97" s="18" t="n">
        <v>2199.12</v>
      </c>
      <c r="J97" s="18" t="n">
        <v>2427.86</v>
      </c>
      <c r="K97" s="37" t="n">
        <v>7189</v>
      </c>
      <c r="L97" s="18" t="n">
        <v>159.22</v>
      </c>
      <c r="M97" s="18" t="n">
        <v>838</v>
      </c>
      <c r="N97" s="18" t="n">
        <v>2891.32</v>
      </c>
      <c r="O97" s="18" t="n">
        <v>1873.21</v>
      </c>
      <c r="P97" s="37" t="n">
        <v>5761.75</v>
      </c>
      <c r="Q97" s="18" t="n">
        <v>1744.42</v>
      </c>
      <c r="R97" s="18" t="n">
        <v>1633.23</v>
      </c>
      <c r="S97" s="18" t="n">
        <v>682.52</v>
      </c>
      <c r="T97" s="18" t="n">
        <v>2546.88</v>
      </c>
      <c r="U97" s="37" t="n">
        <v>6607.05</v>
      </c>
      <c r="V97" s="18" t="n">
        <v>26.26</v>
      </c>
      <c r="W97" s="18" t="n">
        <v>917.66</v>
      </c>
      <c r="X97" s="18" t="n">
        <v>959.61</v>
      </c>
      <c r="Y97" s="18" t="n">
        <v>2538.18</v>
      </c>
      <c r="Z97" s="37" t="n">
        <v>4441.71</v>
      </c>
      <c r="AA97" s="18" t="n">
        <v>907.99</v>
      </c>
      <c r="AB97" s="19" t="n">
        <v>1754.02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유형자산의감소</t>
        </is>
      </c>
      <c r="F98" s="9" t="n"/>
      <c r="G98" s="18" t="n">
        <v>12.85</v>
      </c>
      <c r="I98" s="18" t="n">
        <v>244.98</v>
      </c>
      <c r="K98" s="9" t="n"/>
      <c r="L98" s="18" t="n">
        <v>71.16</v>
      </c>
      <c r="M98" s="18" t="n">
        <v>0.84</v>
      </c>
      <c r="N98" s="18" t="n">
        <v>4</v>
      </c>
      <c r="O98" s="18" t="n">
        <v>0</v>
      </c>
      <c r="P98" s="37" t="n">
        <v>76</v>
      </c>
      <c r="Q98" s="18" t="n">
        <v>65.02</v>
      </c>
      <c r="S98" s="18" t="n">
        <v>0</v>
      </c>
      <c r="T98" s="18" t="n">
        <v>0</v>
      </c>
      <c r="U98" s="9" t="n"/>
      <c r="V98" s="18" t="n">
        <v>0</v>
      </c>
      <c r="W98" s="18" t="n">
        <v>0</v>
      </c>
      <c r="X98" s="18" t="n">
        <v>0</v>
      </c>
      <c r="Y98" s="18" t="n">
        <v>0</v>
      </c>
      <c r="Z98" s="37" t="n">
        <v>0</v>
      </c>
      <c r="AA98" s="18" t="n">
        <v>57.36</v>
      </c>
      <c r="AB98" s="19" t="n">
        <v>0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유형자산의증가</t>
        </is>
      </c>
      <c r="F99" s="9" t="n"/>
      <c r="G99" s="18" t="n">
        <v>1401.18</v>
      </c>
      <c r="H99" s="18" t="n">
        <v>1160.84</v>
      </c>
      <c r="I99" s="18" t="n">
        <v>1859.12</v>
      </c>
      <c r="J99" s="18" t="n">
        <v>2420.38</v>
      </c>
      <c r="K99" s="37" t="n">
        <v>6841.52</v>
      </c>
      <c r="L99" s="18" t="n">
        <v>159.22</v>
      </c>
      <c r="M99" s="18" t="n">
        <v>838</v>
      </c>
      <c r="N99" s="18" t="n">
        <v>2891.32</v>
      </c>
      <c r="O99" s="18" t="n">
        <v>1873.21</v>
      </c>
      <c r="P99" s="37" t="n">
        <v>5761.75</v>
      </c>
      <c r="Q99" s="18" t="n">
        <v>1744.42</v>
      </c>
      <c r="R99" s="18" t="n">
        <v>1633.23</v>
      </c>
      <c r="S99" s="18" t="n">
        <v>682.52</v>
      </c>
      <c r="T99" s="18" t="n">
        <v>2546.88</v>
      </c>
      <c r="U99" s="37" t="n">
        <v>6607.05</v>
      </c>
      <c r="V99" s="18" t="n">
        <v>26.26</v>
      </c>
      <c r="W99" s="18" t="n">
        <v>917.66</v>
      </c>
      <c r="X99" s="18" t="n">
        <v>959.61</v>
      </c>
      <c r="Y99" s="18" t="n">
        <v>1720.58</v>
      </c>
      <c r="Z99" s="37" t="n">
        <v>3624.11</v>
      </c>
      <c r="AA99" s="18" t="n">
        <v>907.99</v>
      </c>
      <c r="AB99" s="19" t="n">
        <v>1754.02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단기차입금의증가</t>
        </is>
      </c>
      <c r="F100" s="9" t="n"/>
      <c r="G100" s="18" t="n">
        <v>24711.37</v>
      </c>
      <c r="H100" s="18" t="n">
        <v>40827.85</v>
      </c>
      <c r="K100" s="9" t="n"/>
      <c r="L100" s="18" t="n">
        <v>7422.36</v>
      </c>
      <c r="M100" s="18" t="n">
        <v>5525.39</v>
      </c>
      <c r="N100" s="18" t="n">
        <v>1668.31</v>
      </c>
      <c r="O100" s="18" t="n">
        <v>180.28</v>
      </c>
      <c r="P100" s="37" t="n">
        <v>14796.34</v>
      </c>
      <c r="Q100" s="18" t="n">
        <v>5080.7</v>
      </c>
      <c r="R100" s="18" t="n">
        <v>38757.06</v>
      </c>
      <c r="T100" s="18" t="n">
        <v>17654.99</v>
      </c>
      <c r="U100" s="9" t="n"/>
      <c r="V100" s="18" t="n">
        <v>8799.16</v>
      </c>
      <c r="W100" s="18" t="n">
        <v>10000</v>
      </c>
      <c r="X100" s="18" t="n">
        <v>11280.99</v>
      </c>
      <c r="Z100" s="9" t="n"/>
      <c r="AA100" s="18" t="n">
        <v>16300</v>
      </c>
      <c r="AB100" s="19" t="n">
        <v>4000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장기차입금의감소</t>
        </is>
      </c>
      <c r="F101" s="9" t="n"/>
      <c r="G101" s="18" t="n">
        <v>0</v>
      </c>
      <c r="K101" s="9" t="n"/>
      <c r="P101" s="9" t="n"/>
      <c r="U101" s="9" t="n"/>
      <c r="Z101" s="9" t="n"/>
      <c r="AB101" s="5" t="n"/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배당금지급</t>
        </is>
      </c>
      <c r="F102" s="9" t="n"/>
      <c r="G102" s="18" t="n">
        <v>0</v>
      </c>
      <c r="H102" s="18" t="n">
        <v>1217.69</v>
      </c>
      <c r="I102" s="18" t="n">
        <v>0</v>
      </c>
      <c r="J102" s="18" t="n">
        <v>0</v>
      </c>
      <c r="K102" s="37" t="n">
        <v>1217.69</v>
      </c>
      <c r="L102" s="18" t="n">
        <v>0</v>
      </c>
      <c r="M102" s="18" t="n">
        <v>730.61</v>
      </c>
      <c r="N102" s="18" t="n">
        <v>0</v>
      </c>
      <c r="O102" s="18" t="n">
        <v>0</v>
      </c>
      <c r="P102" s="37" t="n">
        <v>730.61</v>
      </c>
      <c r="Q102" s="18" t="n">
        <v>730.61</v>
      </c>
      <c r="R102" s="18" t="n">
        <v>0</v>
      </c>
      <c r="S102" s="18" t="n">
        <v>0</v>
      </c>
      <c r="T102" s="18" t="n">
        <v>0</v>
      </c>
      <c r="U102" s="37" t="n">
        <v>730.61</v>
      </c>
      <c r="V102" s="18" t="n">
        <v>243.54</v>
      </c>
      <c r="W102" s="18" t="n">
        <v>0</v>
      </c>
      <c r="X102" s="18" t="n">
        <v>0</v>
      </c>
      <c r="Y102" s="18" t="n">
        <v>0</v>
      </c>
      <c r="Z102" s="37" t="n">
        <v>243.54</v>
      </c>
      <c r="AA102" s="18" t="n">
        <v>712.28</v>
      </c>
      <c r="AB102" s="19" t="n">
        <v>0</v>
      </c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이자지급(CF)</t>
        </is>
      </c>
      <c r="F103" s="9" t="n"/>
      <c r="I103" s="18" t="n">
        <v>-1078.75</v>
      </c>
      <c r="K103" s="9" t="n"/>
      <c r="P103" s="9" t="n"/>
      <c r="U103" s="9" t="n"/>
      <c r="Z103" s="9" t="n"/>
      <c r="AB103" s="5" t="n"/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리스부채의상환</t>
        </is>
      </c>
      <c r="F104" s="9" t="n"/>
      <c r="K104" s="9" t="n"/>
      <c r="L104" s="18" t="n">
        <v>86.8</v>
      </c>
      <c r="M104" s="18" t="n">
        <v>86.29000000000001</v>
      </c>
      <c r="O104" s="18" t="n">
        <v>270.43</v>
      </c>
      <c r="P104" s="9" t="n"/>
      <c r="Q104" s="18" t="n">
        <v>323.92</v>
      </c>
      <c r="S104" s="18" t="n">
        <v>82.56</v>
      </c>
      <c r="T104" s="18" t="n">
        <v>83.40000000000001</v>
      </c>
      <c r="U104" s="9" t="n"/>
      <c r="V104" s="18" t="n">
        <v>84.26000000000001</v>
      </c>
      <c r="W104" s="18" t="n">
        <v>85.14</v>
      </c>
      <c r="X104" s="18" t="n">
        <v>172.9</v>
      </c>
      <c r="Y104" s="18" t="n">
        <v>0</v>
      </c>
      <c r="Z104" s="37" t="n">
        <v>342.3</v>
      </c>
      <c r="AA104" s="18" t="n">
        <v>87.41</v>
      </c>
      <c r="AB104" s="19" t="n">
        <v>88.20999999999999</v>
      </c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단기차입금의감소</t>
        </is>
      </c>
      <c r="F105" s="9" t="n"/>
      <c r="K105" s="9" t="n"/>
      <c r="P105" s="9" t="n"/>
      <c r="T105" s="18" t="n">
        <v>19391.46</v>
      </c>
      <c r="U105" s="9" t="n"/>
      <c r="V105" s="18" t="n">
        <v>1764</v>
      </c>
      <c r="W105" s="18" t="n">
        <v>13800</v>
      </c>
      <c r="X105" s="18" t="n">
        <v>6400</v>
      </c>
      <c r="Z105" s="9" t="n"/>
      <c r="AA105" s="18" t="n">
        <v>17100</v>
      </c>
      <c r="AB105" s="19" t="n">
        <v>0</v>
      </c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한일철강(별)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100757.61</v>
      </c>
      <c r="F5" s="37" t="n">
        <v>100757.61</v>
      </c>
      <c r="G5" s="18" t="n">
        <v>109694.49</v>
      </c>
      <c r="H5" s="18" t="n">
        <v>115803.92</v>
      </c>
      <c r="I5" s="18" t="n">
        <v>111415.04</v>
      </c>
      <c r="J5" s="18" t="n">
        <v>97097.75999999999</v>
      </c>
      <c r="K5" s="37" t="n">
        <v>97097.75999999999</v>
      </c>
      <c r="L5" s="18" t="n">
        <v>93163.67999999999</v>
      </c>
      <c r="M5" s="18" t="n">
        <v>95669.95</v>
      </c>
      <c r="N5" s="18" t="n">
        <v>100327.26</v>
      </c>
      <c r="O5" s="18" t="n">
        <v>88583.78999999999</v>
      </c>
      <c r="P5" s="37" t="n">
        <v>88583.78999999999</v>
      </c>
      <c r="Q5" s="18" t="n">
        <v>86581.44</v>
      </c>
      <c r="R5" s="18" t="n">
        <v>90750.88</v>
      </c>
      <c r="S5" s="18" t="n">
        <v>90620.84</v>
      </c>
      <c r="T5" s="18" t="n">
        <v>91087.56</v>
      </c>
      <c r="U5" s="37" t="n">
        <v>91087.56</v>
      </c>
      <c r="V5" s="18" t="n">
        <v>95796.32000000001</v>
      </c>
      <c r="W5" s="18" t="n">
        <v>90092.83</v>
      </c>
      <c r="X5" s="18" t="n">
        <v>99580.08</v>
      </c>
      <c r="Y5" s="18" t="n">
        <v>87689.27</v>
      </c>
      <c r="Z5" s="37" t="n">
        <v>87689.27</v>
      </c>
      <c r="AA5" s="18" t="n">
        <v>92414.99000000001</v>
      </c>
      <c r="AB5" s="19" t="n">
        <v>118854.64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10446</v>
      </c>
      <c r="F6" s="37" t="n">
        <v>10446</v>
      </c>
      <c r="G6" s="18" t="n">
        <v>6078.01</v>
      </c>
      <c r="H6" s="18" t="n">
        <v>8350.23</v>
      </c>
      <c r="I6" s="18" t="n">
        <v>4642.59</v>
      </c>
      <c r="J6" s="18" t="n">
        <v>10051.2</v>
      </c>
      <c r="K6" s="37" t="n">
        <v>10051.2</v>
      </c>
      <c r="L6" s="18" t="n">
        <v>9359.84</v>
      </c>
      <c r="M6" s="18" t="n">
        <v>7952.02</v>
      </c>
      <c r="N6" s="18" t="n">
        <v>8582.24</v>
      </c>
      <c r="O6" s="18" t="n">
        <v>11500.72</v>
      </c>
      <c r="P6" s="37" t="n">
        <v>11500.72</v>
      </c>
      <c r="Q6" s="18" t="n">
        <v>4882.61</v>
      </c>
      <c r="R6" s="18" t="n">
        <v>7842.77</v>
      </c>
      <c r="S6" s="18" t="n">
        <v>13295.94</v>
      </c>
      <c r="T6" s="18" t="n">
        <v>10642.71</v>
      </c>
      <c r="U6" s="37" t="n">
        <v>10642.71</v>
      </c>
      <c r="V6" s="18" t="n">
        <v>12207.98</v>
      </c>
      <c r="W6" s="18" t="n">
        <v>8822.59</v>
      </c>
      <c r="X6" s="18" t="n">
        <v>8315.959999999999</v>
      </c>
      <c r="Y6" s="18" t="n">
        <v>5100.11</v>
      </c>
      <c r="Z6" s="37" t="n">
        <v>5100.11</v>
      </c>
      <c r="AA6" s="18" t="n">
        <v>13604.18</v>
      </c>
      <c r="AB6" s="19" t="n">
        <v>13406.66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15764.23</v>
      </c>
      <c r="F7" s="37" t="n">
        <v>15764.23</v>
      </c>
      <c r="G7" s="18" t="n">
        <v>23915.86</v>
      </c>
      <c r="J7" s="18" t="n">
        <v>28060</v>
      </c>
      <c r="K7" s="37" t="n">
        <v>28060</v>
      </c>
      <c r="L7" s="18" t="n">
        <v>18860</v>
      </c>
      <c r="M7" s="18" t="n">
        <v>18860</v>
      </c>
      <c r="N7" s="18" t="n">
        <v>16960</v>
      </c>
      <c r="O7" s="18" t="n">
        <v>16960</v>
      </c>
      <c r="P7" s="37" t="n">
        <v>16960</v>
      </c>
      <c r="Q7" s="18" t="n">
        <v>16460</v>
      </c>
      <c r="R7" s="18" t="n">
        <v>16460</v>
      </c>
      <c r="S7" s="18" t="n">
        <v>17460</v>
      </c>
      <c r="T7" s="18" t="n">
        <v>22260</v>
      </c>
      <c r="U7" s="37" t="n">
        <v>22260</v>
      </c>
      <c r="V7" s="18" t="n">
        <v>24260</v>
      </c>
      <c r="W7" s="18" t="n">
        <v>24260</v>
      </c>
      <c r="X7" s="18" t="n">
        <v>23410</v>
      </c>
      <c r="Y7" s="18" t="n">
        <v>23410</v>
      </c>
      <c r="Z7" s="37" t="n">
        <v>23410</v>
      </c>
      <c r="AA7" s="18" t="n">
        <v>21410</v>
      </c>
      <c r="AB7" s="19" t="n">
        <v>27610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15764.23</v>
      </c>
      <c r="F8" s="37" t="n">
        <v>15764.23</v>
      </c>
      <c r="G8" s="18" t="n">
        <v>23915.86</v>
      </c>
      <c r="J8" s="18" t="n">
        <v>28060</v>
      </c>
      <c r="K8" s="37" t="n">
        <v>28060</v>
      </c>
      <c r="L8" s="18" t="n">
        <v>18860</v>
      </c>
      <c r="M8" s="18" t="n">
        <v>18860</v>
      </c>
      <c r="N8" s="18" t="n">
        <v>16960</v>
      </c>
      <c r="O8" s="18" t="n">
        <v>16960</v>
      </c>
      <c r="P8" s="37" t="n">
        <v>16960</v>
      </c>
      <c r="Q8" s="18" t="n">
        <v>16460</v>
      </c>
      <c r="R8" s="18" t="n">
        <v>16460</v>
      </c>
      <c r="S8" s="18" t="n">
        <v>17460</v>
      </c>
      <c r="T8" s="18" t="n">
        <v>22260</v>
      </c>
      <c r="U8" s="37" t="n">
        <v>22260</v>
      </c>
      <c r="V8" s="18" t="n">
        <v>24260</v>
      </c>
      <c r="W8" s="18" t="n">
        <v>24260</v>
      </c>
      <c r="X8" s="18" t="n">
        <v>23410</v>
      </c>
      <c r="Y8" s="18" t="n">
        <v>23410</v>
      </c>
      <c r="Z8" s="37" t="n">
        <v>23410</v>
      </c>
      <c r="AA8" s="18" t="n">
        <v>21410</v>
      </c>
      <c r="AB8" s="19" t="n">
        <v>27610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33674.87</v>
      </c>
      <c r="F9" s="37" t="n">
        <v>33674.87</v>
      </c>
      <c r="G9" s="18" t="n">
        <v>37446.69</v>
      </c>
      <c r="H9" s="18" t="n">
        <v>33382.63</v>
      </c>
      <c r="I9" s="18" t="n">
        <v>34950.15</v>
      </c>
      <c r="J9" s="18" t="n">
        <v>32939.3</v>
      </c>
      <c r="K9" s="37" t="n">
        <v>32939.3</v>
      </c>
      <c r="L9" s="18" t="n">
        <v>31261.88</v>
      </c>
      <c r="M9" s="18" t="n">
        <v>28341.76</v>
      </c>
      <c r="N9" s="18" t="n">
        <v>28785.92</v>
      </c>
      <c r="O9" s="18" t="n">
        <v>26576.18</v>
      </c>
      <c r="P9" s="37" t="n">
        <v>26576.18</v>
      </c>
      <c r="Q9" s="18" t="n">
        <v>25875.81</v>
      </c>
      <c r="R9" s="18" t="n">
        <v>25940.53</v>
      </c>
      <c r="S9" s="18" t="n">
        <v>18749.58</v>
      </c>
      <c r="T9" s="18" t="n">
        <v>24842.89</v>
      </c>
      <c r="U9" s="37" t="n">
        <v>24842.89</v>
      </c>
      <c r="V9" s="18" t="n">
        <v>23191.57</v>
      </c>
      <c r="W9" s="18" t="n">
        <v>22222.42</v>
      </c>
      <c r="X9" s="18" t="n">
        <v>25583.11</v>
      </c>
      <c r="Y9" s="18" t="n">
        <v>21243.36</v>
      </c>
      <c r="Z9" s="37" t="n">
        <v>21243.36</v>
      </c>
      <c r="AA9" s="18" t="n">
        <v>33824.43</v>
      </c>
      <c r="AB9" s="19" t="n">
        <v>33298.82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기타유동자산</t>
        </is>
      </c>
      <c r="E10" s="18" t="n">
        <v>1266.27</v>
      </c>
      <c r="F10" s="37" t="n">
        <v>1266.27</v>
      </c>
      <c r="G10" s="18" t="n">
        <v>1009.1</v>
      </c>
      <c r="H10" s="18" t="n">
        <v>207.8</v>
      </c>
      <c r="I10" s="18" t="n">
        <v>1224.4</v>
      </c>
      <c r="J10" s="18" t="n">
        <v>84.45999999999999</v>
      </c>
      <c r="K10" s="37" t="n">
        <v>84.45999999999999</v>
      </c>
      <c r="L10" s="18" t="n">
        <v>24.02</v>
      </c>
      <c r="M10" s="18" t="n">
        <v>209.47</v>
      </c>
      <c r="N10" s="18" t="n">
        <v>265.63</v>
      </c>
      <c r="O10" s="18" t="n">
        <v>110.58</v>
      </c>
      <c r="P10" s="37" t="n">
        <v>110.58</v>
      </c>
      <c r="Q10" s="18" t="n">
        <v>569.98</v>
      </c>
      <c r="R10" s="18" t="n">
        <v>1063.43</v>
      </c>
      <c r="S10" s="18" t="n">
        <v>162.85</v>
      </c>
      <c r="T10" s="18" t="n">
        <v>1123.6</v>
      </c>
      <c r="U10" s="37" t="n">
        <v>1123.6</v>
      </c>
      <c r="V10" s="18" t="n">
        <v>993.03</v>
      </c>
      <c r="W10" s="18" t="n">
        <v>744.38</v>
      </c>
      <c r="X10" s="18" t="n">
        <v>1325.08</v>
      </c>
      <c r="Y10" s="18" t="n">
        <v>1388.99</v>
      </c>
      <c r="Z10" s="37" t="n">
        <v>1388.99</v>
      </c>
      <c r="AA10" s="18" t="n">
        <v>734.33</v>
      </c>
      <c r="AB10" s="19" t="n">
        <v>685.74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38752.31</v>
      </c>
      <c r="F11" s="37" t="n">
        <v>38752.31</v>
      </c>
      <c r="G11" s="18" t="n">
        <v>40102.23</v>
      </c>
      <c r="H11" s="18" t="n">
        <v>45636.11</v>
      </c>
      <c r="I11" s="18" t="n">
        <v>40797.23</v>
      </c>
      <c r="J11" s="18" t="n">
        <v>24996.52</v>
      </c>
      <c r="K11" s="37" t="n">
        <v>24996.52</v>
      </c>
      <c r="L11" s="18" t="n">
        <v>33112.48</v>
      </c>
      <c r="M11" s="18" t="n">
        <v>39738.38</v>
      </c>
      <c r="N11" s="18" t="n">
        <v>45051.74</v>
      </c>
      <c r="O11" s="18" t="n">
        <v>32791.14</v>
      </c>
      <c r="P11" s="37" t="n">
        <v>32791.14</v>
      </c>
      <c r="Q11" s="18" t="n">
        <v>38828.97</v>
      </c>
      <c r="R11" s="18" t="n">
        <v>39417.72</v>
      </c>
      <c r="S11" s="18" t="n">
        <v>35852.07</v>
      </c>
      <c r="T11" s="18" t="n">
        <v>32078.65</v>
      </c>
      <c r="U11" s="37" t="n">
        <v>32078.65</v>
      </c>
      <c r="V11" s="18" t="n">
        <v>35108.71</v>
      </c>
      <c r="W11" s="18" t="n">
        <v>33982.36</v>
      </c>
      <c r="X11" s="18" t="n">
        <v>40825.76</v>
      </c>
      <c r="Y11" s="18" t="n">
        <v>36393.77</v>
      </c>
      <c r="Z11" s="37" t="n">
        <v>36393.77</v>
      </c>
      <c r="AA11" s="18" t="n">
        <v>22809.72</v>
      </c>
      <c r="AB11" s="19" t="n">
        <v>43813.67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당기법인세자산(선급법인세)</t>
        </is>
      </c>
      <c r="E12" s="18" t="n">
        <v>853.9299999999999</v>
      </c>
      <c r="F12" s="37" t="n">
        <v>853.9299999999999</v>
      </c>
      <c r="G12" s="18" t="n">
        <v>1142.6</v>
      </c>
      <c r="J12" s="18" t="n">
        <v>463.78</v>
      </c>
      <c r="K12" s="37" t="n">
        <v>463.78</v>
      </c>
      <c r="L12" s="18" t="n">
        <v>36.01</v>
      </c>
      <c r="M12" s="18" t="n">
        <v>56.8</v>
      </c>
      <c r="N12" s="18" t="n">
        <v>167.96</v>
      </c>
      <c r="O12" s="18" t="n">
        <v>116.89</v>
      </c>
      <c r="P12" s="37" t="n">
        <v>116.89</v>
      </c>
      <c r="Q12" s="18" t="n">
        <v>-35.93</v>
      </c>
      <c r="R12" s="18" t="n">
        <v>26.43</v>
      </c>
      <c r="S12" s="18" t="n">
        <v>100.39</v>
      </c>
      <c r="T12" s="18" t="n">
        <v>139.7</v>
      </c>
      <c r="U12" s="37" t="n">
        <v>139.7</v>
      </c>
      <c r="V12" s="18" t="n">
        <v>35.03</v>
      </c>
      <c r="W12" s="18" t="n">
        <v>61.08</v>
      </c>
      <c r="X12" s="18" t="n">
        <v>120.16</v>
      </c>
      <c r="Y12" s="18" t="n">
        <v>152.99</v>
      </c>
      <c r="Z12" s="37" t="n">
        <v>152.99</v>
      </c>
      <c r="AA12" s="18" t="n">
        <v>32.32</v>
      </c>
      <c r="AB12" s="19" t="n">
        <v>39.75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비유동자산</t>
        </is>
      </c>
      <c r="E13" s="18" t="n">
        <v>227446.48</v>
      </c>
      <c r="F13" s="37" t="n">
        <v>227446.48</v>
      </c>
      <c r="G13" s="18" t="n">
        <v>228488.38</v>
      </c>
      <c r="H13" s="18" t="n">
        <v>229062.92</v>
      </c>
      <c r="I13" s="18" t="n">
        <v>231802.79</v>
      </c>
      <c r="J13" s="18" t="n">
        <v>231306.38</v>
      </c>
      <c r="K13" s="37" t="n">
        <v>231306.38</v>
      </c>
      <c r="L13" s="18" t="n">
        <v>229537.95</v>
      </c>
      <c r="M13" s="18" t="n">
        <v>229540.78</v>
      </c>
      <c r="N13" s="18" t="n">
        <v>230978.22</v>
      </c>
      <c r="O13" s="18" t="n">
        <v>231937.73</v>
      </c>
      <c r="P13" s="37" t="n">
        <v>231937.73</v>
      </c>
      <c r="Q13" s="18" t="n">
        <v>232416.09</v>
      </c>
      <c r="R13" s="18" t="n">
        <v>233876.77</v>
      </c>
      <c r="S13" s="18" t="n">
        <v>233890.5</v>
      </c>
      <c r="T13" s="18" t="n">
        <v>235331.54</v>
      </c>
      <c r="U13" s="37" t="n">
        <v>235331.54</v>
      </c>
      <c r="V13" s="18" t="n">
        <v>234341.28</v>
      </c>
      <c r="W13" s="18" t="n">
        <v>234468.68</v>
      </c>
      <c r="X13" s="18" t="n">
        <v>234369.48</v>
      </c>
      <c r="Y13" s="18" t="n">
        <v>236701.77</v>
      </c>
      <c r="Z13" s="37" t="n">
        <v>236701.77</v>
      </c>
      <c r="AA13" s="18" t="n">
        <v>235613.25</v>
      </c>
      <c r="AB13" s="19" t="n">
        <v>237197.05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장기금융자산</t>
        </is>
      </c>
      <c r="E14" s="18" t="n">
        <v>2022.2</v>
      </c>
      <c r="F14" s="37" t="n">
        <v>2022.2</v>
      </c>
      <c r="G14" s="18" t="n">
        <v>2024.1</v>
      </c>
      <c r="H14" s="18" t="n">
        <v>2701.97</v>
      </c>
      <c r="I14" s="18" t="n">
        <v>2701.97</v>
      </c>
      <c r="J14" s="18" t="n">
        <v>2751.77</v>
      </c>
      <c r="K14" s="37" t="n">
        <v>2751.77</v>
      </c>
      <c r="L14" s="18" t="n">
        <v>2739.68</v>
      </c>
      <c r="M14" s="18" t="n">
        <v>2845.54</v>
      </c>
      <c r="N14" s="18" t="n">
        <v>2751.07</v>
      </c>
      <c r="O14" s="18" t="n">
        <v>2406.71</v>
      </c>
      <c r="P14" s="37" t="n">
        <v>2406.71</v>
      </c>
      <c r="Q14" s="18" t="n">
        <v>2433.72</v>
      </c>
      <c r="R14" s="18" t="n">
        <v>3889.68</v>
      </c>
      <c r="S14" s="18" t="n">
        <v>3857.13</v>
      </c>
      <c r="T14" s="18" t="n">
        <v>4095.37</v>
      </c>
      <c r="U14" s="37" t="n">
        <v>4095.37</v>
      </c>
      <c r="V14" s="18" t="n">
        <v>4848.42</v>
      </c>
      <c r="W14" s="18" t="n">
        <v>4959.87</v>
      </c>
      <c r="X14" s="18" t="n">
        <v>4759.81</v>
      </c>
      <c r="Y14" s="18" t="n">
        <v>4507.1</v>
      </c>
      <c r="Z14" s="37" t="n">
        <v>4507.1</v>
      </c>
      <c r="AA14" s="18" t="n">
        <v>3910.97</v>
      </c>
      <c r="AB14" s="19" t="n">
        <v>3910.74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투자자산</t>
        </is>
      </c>
      <c r="E15" s="18" t="n">
        <v>23065.17</v>
      </c>
      <c r="F15" s="37" t="n">
        <v>23065.17</v>
      </c>
      <c r="G15" s="18" t="n">
        <v>23067.07</v>
      </c>
      <c r="H15" s="18" t="n">
        <v>23744.94</v>
      </c>
      <c r="I15" s="18" t="n">
        <v>23744.94</v>
      </c>
      <c r="J15" s="18" t="n">
        <v>23794.74</v>
      </c>
      <c r="K15" s="37" t="n">
        <v>23794.74</v>
      </c>
      <c r="L15" s="18" t="n">
        <v>23782.65</v>
      </c>
      <c r="M15" s="18" t="n">
        <v>23888.51</v>
      </c>
      <c r="N15" s="18" t="n">
        <v>23794.04</v>
      </c>
      <c r="O15" s="18" t="n">
        <v>23449.68</v>
      </c>
      <c r="P15" s="37" t="n">
        <v>23449.68</v>
      </c>
      <c r="Q15" s="18" t="n">
        <v>23476.69</v>
      </c>
      <c r="R15" s="18" t="n">
        <v>24932.65</v>
      </c>
      <c r="S15" s="18" t="n">
        <v>24900.1</v>
      </c>
      <c r="T15" s="18" t="n">
        <v>25138.34</v>
      </c>
      <c r="U15" s="37" t="n">
        <v>25138.34</v>
      </c>
      <c r="V15" s="18" t="n">
        <v>25891.39</v>
      </c>
      <c r="W15" s="18" t="n">
        <v>26002.84</v>
      </c>
      <c r="X15" s="18" t="n">
        <v>25802.78</v>
      </c>
      <c r="Y15" s="18" t="n">
        <v>25550.07</v>
      </c>
      <c r="Z15" s="37" t="n">
        <v>25550.07</v>
      </c>
      <c r="AA15" s="18" t="n">
        <v>24953.94</v>
      </c>
      <c r="AB15" s="19" t="n">
        <v>24953.71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종속기업및관계기업투자</t>
        </is>
      </c>
      <c r="E16" s="18" t="n">
        <v>21042.97</v>
      </c>
      <c r="F16" s="37" t="n">
        <v>21042.97</v>
      </c>
      <c r="G16" s="18" t="n">
        <v>21042.97</v>
      </c>
      <c r="H16" s="18" t="n">
        <v>21042.97</v>
      </c>
      <c r="I16" s="18" t="n">
        <v>21042.97</v>
      </c>
      <c r="J16" s="18" t="n">
        <v>21042.97</v>
      </c>
      <c r="K16" s="37" t="n">
        <v>21042.97</v>
      </c>
      <c r="L16" s="18" t="n">
        <v>21042.97</v>
      </c>
      <c r="M16" s="18" t="n">
        <v>21042.97</v>
      </c>
      <c r="N16" s="18" t="n">
        <v>21042.97</v>
      </c>
      <c r="O16" s="18" t="n">
        <v>21042.97</v>
      </c>
      <c r="P16" s="37" t="n">
        <v>21042.97</v>
      </c>
      <c r="Q16" s="18" t="n">
        <v>21042.97</v>
      </c>
      <c r="R16" s="18" t="n">
        <v>21042.97</v>
      </c>
      <c r="S16" s="18" t="n">
        <v>21042.97</v>
      </c>
      <c r="T16" s="18" t="n">
        <v>21042.97</v>
      </c>
      <c r="U16" s="37" t="n">
        <v>21042.97</v>
      </c>
      <c r="V16" s="18" t="n">
        <v>21042.97</v>
      </c>
      <c r="W16" s="18" t="n">
        <v>21042.97</v>
      </c>
      <c r="X16" s="18" t="n">
        <v>21042.97</v>
      </c>
      <c r="Y16" s="18" t="n">
        <v>21042.97</v>
      </c>
      <c r="Z16" s="37" t="n">
        <v>21042.97</v>
      </c>
      <c r="AA16" s="18" t="n">
        <v>21042.97</v>
      </c>
      <c r="AB16" s="19" t="n">
        <v>21042.97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투자부동산</t>
        </is>
      </c>
      <c r="E17" s="18" t="n">
        <v>123818.87</v>
      </c>
      <c r="F17" s="37" t="n">
        <v>123818.87</v>
      </c>
      <c r="G17" s="18" t="n">
        <v>123772.16</v>
      </c>
      <c r="H17" s="18" t="n">
        <v>123725.45</v>
      </c>
      <c r="I17" s="18" t="n">
        <v>123678.75</v>
      </c>
      <c r="J17" s="18" t="n">
        <v>126970.6</v>
      </c>
      <c r="K17" s="37" t="n">
        <v>126970.6</v>
      </c>
      <c r="L17" s="18" t="n">
        <v>126917.2</v>
      </c>
      <c r="M17" s="18" t="n">
        <v>126864.93</v>
      </c>
      <c r="N17" s="18" t="n">
        <v>126812.67</v>
      </c>
      <c r="O17" s="18" t="n">
        <v>126760.4</v>
      </c>
      <c r="P17" s="37" t="n">
        <v>126760.4</v>
      </c>
      <c r="Q17" s="18" t="n">
        <v>126708.73</v>
      </c>
      <c r="R17" s="18" t="n">
        <v>126657.06</v>
      </c>
      <c r="S17" s="18" t="n">
        <v>127437.03</v>
      </c>
      <c r="T17" s="18" t="n">
        <v>129203.81</v>
      </c>
      <c r="U17" s="37" t="n">
        <v>129203.81</v>
      </c>
      <c r="V17" s="18" t="n">
        <v>129078.73</v>
      </c>
      <c r="W17" s="18" t="n">
        <v>129005.13</v>
      </c>
      <c r="X17" s="18" t="n">
        <v>128931.53</v>
      </c>
      <c r="Y17" s="18" t="n">
        <v>129028.38</v>
      </c>
      <c r="Z17" s="37" t="n">
        <v>129028.38</v>
      </c>
      <c r="AA17" s="18" t="n">
        <v>128953.32</v>
      </c>
      <c r="AB17" s="19" t="n">
        <v>128878.27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79576.92999999999</v>
      </c>
      <c r="F18" s="37" t="n">
        <v>79576.92999999999</v>
      </c>
      <c r="G18" s="18" t="n">
        <v>80663.64</v>
      </c>
      <c r="H18" s="18" t="n">
        <v>80090.14</v>
      </c>
      <c r="I18" s="18" t="n">
        <v>82463.75999999999</v>
      </c>
      <c r="J18" s="18" t="n">
        <v>78366.85000000001</v>
      </c>
      <c r="K18" s="37" t="n">
        <v>78366.85000000001</v>
      </c>
      <c r="L18" s="18" t="n">
        <v>76797.3</v>
      </c>
      <c r="M18" s="18" t="n">
        <v>76719.92</v>
      </c>
      <c r="N18" s="18" t="n">
        <v>78437.49000000001</v>
      </c>
      <c r="O18" s="18" t="n">
        <v>79703.13</v>
      </c>
      <c r="P18" s="37" t="n">
        <v>79703.13</v>
      </c>
      <c r="Q18" s="18" t="n">
        <v>80349.92999999999</v>
      </c>
      <c r="R18" s="18" t="n">
        <v>80569.99000000001</v>
      </c>
      <c r="S18" s="18" t="n">
        <v>79989.58</v>
      </c>
      <c r="T18" s="18" t="n">
        <v>79613.34</v>
      </c>
      <c r="U18" s="37" t="n">
        <v>79613.34</v>
      </c>
      <c r="V18" s="18" t="n">
        <v>78038.17</v>
      </c>
      <c r="W18" s="18" t="n">
        <v>77948.49000000001</v>
      </c>
      <c r="X18" s="18" t="n">
        <v>78302.19</v>
      </c>
      <c r="Y18" s="18" t="n">
        <v>79024.46000000001</v>
      </c>
      <c r="Z18" s="37" t="n">
        <v>79024.46000000001</v>
      </c>
      <c r="AA18" s="18" t="n">
        <v>78775.13</v>
      </c>
      <c r="AB18" s="19" t="n">
        <v>80392.2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무형자산</t>
        </is>
      </c>
      <c r="E19" s="18" t="n">
        <v>985.51</v>
      </c>
      <c r="F19" s="37" t="n">
        <v>985.51</v>
      </c>
      <c r="G19" s="18" t="n">
        <v>985.51</v>
      </c>
      <c r="H19" s="18" t="n">
        <v>985.51</v>
      </c>
      <c r="I19" s="18" t="n">
        <v>1325.51</v>
      </c>
      <c r="J19" s="18" t="n">
        <v>1332.99</v>
      </c>
      <c r="K19" s="37" t="n">
        <v>1332.99</v>
      </c>
      <c r="L19" s="18" t="n">
        <v>1332.99</v>
      </c>
      <c r="M19" s="18" t="n">
        <v>1332.99</v>
      </c>
      <c r="N19" s="18" t="n">
        <v>1332.99</v>
      </c>
      <c r="O19" s="18" t="n">
        <v>1332.99</v>
      </c>
      <c r="P19" s="37" t="n">
        <v>1332.99</v>
      </c>
      <c r="Q19" s="18" t="n">
        <v>1332.99</v>
      </c>
      <c r="R19" s="18" t="n">
        <v>1332.99</v>
      </c>
      <c r="S19" s="18" t="n">
        <v>1332.99</v>
      </c>
      <c r="T19" s="18" t="n">
        <v>1332.99</v>
      </c>
      <c r="U19" s="37" t="n">
        <v>1332.99</v>
      </c>
      <c r="V19" s="18" t="n">
        <v>1332.99</v>
      </c>
      <c r="W19" s="18" t="n">
        <v>1332.99</v>
      </c>
      <c r="X19" s="18" t="n">
        <v>1332.99</v>
      </c>
      <c r="Y19" s="18" t="n">
        <v>2150.59</v>
      </c>
      <c r="Z19" s="37" t="n">
        <v>2150.59</v>
      </c>
      <c r="AA19" s="18" t="n">
        <v>2150.59</v>
      </c>
      <c r="AB19" s="19" t="n">
        <v>2150.59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자산총계</t>
        </is>
      </c>
      <c r="E20" s="18" t="n">
        <v>328204.09</v>
      </c>
      <c r="F20" s="37" t="n">
        <v>328204.09</v>
      </c>
      <c r="G20" s="18" t="n">
        <v>338182.87</v>
      </c>
      <c r="H20" s="18" t="n">
        <v>344866.84</v>
      </c>
      <c r="I20" s="18" t="n">
        <v>343217.83</v>
      </c>
      <c r="J20" s="18" t="n">
        <v>328404.14</v>
      </c>
      <c r="K20" s="37" t="n">
        <v>328404.14</v>
      </c>
      <c r="L20" s="18" t="n">
        <v>322701.63</v>
      </c>
      <c r="M20" s="18" t="n">
        <v>325210.72</v>
      </c>
      <c r="N20" s="18" t="n">
        <v>331305.48</v>
      </c>
      <c r="O20" s="18" t="n">
        <v>320521.52</v>
      </c>
      <c r="P20" s="37" t="n">
        <v>320521.52</v>
      </c>
      <c r="Q20" s="18" t="n">
        <v>318997.53</v>
      </c>
      <c r="R20" s="18" t="n">
        <v>324627.66</v>
      </c>
      <c r="S20" s="18" t="n">
        <v>324511.34</v>
      </c>
      <c r="T20" s="18" t="n">
        <v>326419.09</v>
      </c>
      <c r="U20" s="37" t="n">
        <v>326419.09</v>
      </c>
      <c r="V20" s="18" t="n">
        <v>330137.61</v>
      </c>
      <c r="W20" s="18" t="n">
        <v>324561.51</v>
      </c>
      <c r="X20" s="18" t="n">
        <v>333949.57</v>
      </c>
      <c r="Y20" s="18" t="n">
        <v>324391.04</v>
      </c>
      <c r="Z20" s="37" t="n">
        <v>324391.04</v>
      </c>
      <c r="AA20" s="18" t="n">
        <v>328028.24</v>
      </c>
      <c r="AB20" s="19" t="n">
        <v>356051.69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유동부채</t>
        </is>
      </c>
      <c r="E21" s="18" t="n">
        <v>83381.67</v>
      </c>
      <c r="F21" s="37" t="n">
        <v>83381.67</v>
      </c>
      <c r="G21" s="18" t="n">
        <v>111599.8</v>
      </c>
      <c r="H21" s="18" t="n">
        <v>127332.52</v>
      </c>
      <c r="I21" s="18" t="n">
        <v>125356.55</v>
      </c>
      <c r="J21" s="18" t="n">
        <v>108057.66</v>
      </c>
      <c r="K21" s="37" t="n">
        <v>108057.66</v>
      </c>
      <c r="L21" s="18" t="n">
        <v>112589.2</v>
      </c>
      <c r="M21" s="18" t="n">
        <v>111306.67</v>
      </c>
      <c r="N21" s="18" t="n">
        <v>124266.64</v>
      </c>
      <c r="O21" s="18" t="n">
        <v>117815.02</v>
      </c>
      <c r="P21" s="37" t="n">
        <v>117815.02</v>
      </c>
      <c r="Q21" s="18" t="n">
        <v>118931.95</v>
      </c>
      <c r="R21" s="18" t="n">
        <v>126325.31</v>
      </c>
      <c r="S21" s="18" t="n">
        <v>120571.21</v>
      </c>
      <c r="T21" s="18" t="n">
        <v>126126.23</v>
      </c>
      <c r="U21" s="37" t="n">
        <v>126126.23</v>
      </c>
      <c r="V21" s="18" t="n">
        <v>130437.25</v>
      </c>
      <c r="W21" s="18" t="n">
        <v>123617.41</v>
      </c>
      <c r="X21" s="18" t="n">
        <v>139174.27</v>
      </c>
      <c r="Y21" s="18" t="n">
        <v>131595.14</v>
      </c>
      <c r="Z21" s="37" t="n">
        <v>131595.14</v>
      </c>
      <c r="AA21" s="18" t="n">
        <v>137787.2</v>
      </c>
      <c r="AB21" s="19" t="n">
        <v>164199.8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매입채무및기타채무</t>
        </is>
      </c>
      <c r="E22" s="18" t="n">
        <v>10647.08</v>
      </c>
      <c r="F22" s="37" t="n">
        <v>10647.08</v>
      </c>
      <c r="G22" s="18" t="n">
        <v>13256.08</v>
      </c>
      <c r="J22" s="18" t="n">
        <v>13281.56</v>
      </c>
      <c r="K22" s="37" t="n">
        <v>13281.56</v>
      </c>
      <c r="L22" s="18" t="n">
        <v>12620.22</v>
      </c>
      <c r="M22" s="18" t="n">
        <v>17648.35</v>
      </c>
      <c r="N22" s="18" t="n">
        <v>23860.85</v>
      </c>
      <c r="O22" s="18" t="n">
        <v>15496.3</v>
      </c>
      <c r="P22" s="37" t="n">
        <v>15496.3</v>
      </c>
      <c r="Q22" s="18" t="n">
        <v>20538.31</v>
      </c>
      <c r="R22" s="18" t="n">
        <v>15120.43</v>
      </c>
      <c r="S22" s="18" t="n">
        <v>12816.33</v>
      </c>
      <c r="T22" s="18" t="n">
        <v>16179.18</v>
      </c>
      <c r="U22" s="37" t="n">
        <v>16179.18</v>
      </c>
      <c r="V22" s="18" t="n">
        <v>13331.37</v>
      </c>
      <c r="W22" s="18" t="n">
        <v>13166.01</v>
      </c>
      <c r="X22" s="18" t="n">
        <v>17296.07</v>
      </c>
      <c r="Y22" s="18" t="n">
        <v>15340.61</v>
      </c>
      <c r="Z22" s="37" t="n">
        <v>15340.61</v>
      </c>
      <c r="AA22" s="18" t="n">
        <v>20765.19</v>
      </c>
      <c r="AB22" s="19" t="n">
        <v>42765.12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단기차입금</t>
        </is>
      </c>
      <c r="E23" s="18" t="n">
        <v>68188.62</v>
      </c>
      <c r="F23" s="37" t="n">
        <v>68188.62</v>
      </c>
      <c r="G23" s="18" t="n">
        <v>93367.77</v>
      </c>
      <c r="H23" s="18" t="n">
        <v>106674.39</v>
      </c>
      <c r="I23" s="18" t="n">
        <v>102467.94</v>
      </c>
      <c r="J23" s="18" t="n">
        <v>90476.5</v>
      </c>
      <c r="K23" s="37" t="n">
        <v>90476.5</v>
      </c>
      <c r="L23" s="18" t="n">
        <v>95053.95</v>
      </c>
      <c r="M23" s="18" t="n">
        <v>79232.24000000001</v>
      </c>
      <c r="N23" s="18" t="n">
        <v>95061.28999999999</v>
      </c>
      <c r="O23" s="18" t="n">
        <v>98053.34</v>
      </c>
      <c r="P23" s="37" t="n">
        <v>98053.34</v>
      </c>
      <c r="Q23" s="18" t="n">
        <v>94213.84</v>
      </c>
      <c r="R23" s="18" t="n">
        <v>107036.14</v>
      </c>
      <c r="S23" s="18" t="n">
        <v>103686.32</v>
      </c>
      <c r="T23" s="18" t="n">
        <v>104940.08</v>
      </c>
      <c r="U23" s="37" t="n">
        <v>104940.08</v>
      </c>
      <c r="V23" s="18" t="n">
        <v>111934.8</v>
      </c>
      <c r="W23" s="18" t="n">
        <v>105669.22</v>
      </c>
      <c r="X23" s="18" t="n">
        <v>117575.85</v>
      </c>
      <c r="Y23" s="18" t="n">
        <v>111705.27</v>
      </c>
      <c r="Z23" s="37" t="n">
        <v>111705.27</v>
      </c>
      <c r="AA23" s="18" t="n">
        <v>112569</v>
      </c>
      <c r="AB23" s="19" t="n">
        <v>117164.55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유동성장기부채</t>
        </is>
      </c>
      <c r="E24" s="18" t="n">
        <v>0</v>
      </c>
      <c r="F24" s="37" t="n">
        <v>0</v>
      </c>
      <c r="G24" s="18" t="n">
        <v>0</v>
      </c>
      <c r="H24" s="18" t="n">
        <v>6464.5</v>
      </c>
      <c r="I24" s="18" t="n">
        <v>0</v>
      </c>
      <c r="K24" s="9" t="n"/>
      <c r="M24" s="18" t="n">
        <v>10494</v>
      </c>
      <c r="N24" s="18" t="n">
        <v>0</v>
      </c>
      <c r="P24" s="9" t="n"/>
      <c r="U24" s="9" t="n"/>
      <c r="Z24" s="9" t="n"/>
      <c r="AB24" s="5" t="n"/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기타유동금융부채</t>
        </is>
      </c>
      <c r="E25" s="18" t="n">
        <v>2157.76</v>
      </c>
      <c r="F25" s="37" t="n">
        <v>2157.76</v>
      </c>
      <c r="G25" s="18" t="n">
        <v>2741.93</v>
      </c>
      <c r="H25" s="18" t="n">
        <v>4977.18</v>
      </c>
      <c r="I25" s="18" t="n">
        <v>7671.2</v>
      </c>
      <c r="J25" s="18" t="n">
        <v>1692</v>
      </c>
      <c r="K25" s="37" t="n">
        <v>1692</v>
      </c>
      <c r="L25" s="18" t="n">
        <v>1506</v>
      </c>
      <c r="M25" s="18" t="n">
        <v>1506</v>
      </c>
      <c r="N25" s="18" t="n">
        <v>1506</v>
      </c>
      <c r="O25" s="18" t="n">
        <v>1506</v>
      </c>
      <c r="P25" s="37" t="n">
        <v>1506</v>
      </c>
      <c r="Q25" s="18" t="n">
        <v>1506</v>
      </c>
      <c r="R25" s="18" t="n">
        <v>1506</v>
      </c>
      <c r="S25" s="18" t="n">
        <v>1606</v>
      </c>
      <c r="T25" s="18" t="n">
        <v>1606</v>
      </c>
      <c r="U25" s="37" t="n">
        <v>1606</v>
      </c>
      <c r="V25" s="18" t="n">
        <v>2306</v>
      </c>
      <c r="W25" s="18" t="n">
        <v>2291</v>
      </c>
      <c r="X25" s="18" t="n">
        <v>1991</v>
      </c>
      <c r="Y25" s="18" t="n">
        <v>1991</v>
      </c>
      <c r="Z25" s="37" t="n">
        <v>1991</v>
      </c>
      <c r="AA25" s="18" t="n">
        <v>1991</v>
      </c>
      <c r="AB25" s="19" t="n">
        <v>1991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단기금융부채</t>
        </is>
      </c>
      <c r="E26" s="18" t="n">
        <v>2157.76</v>
      </c>
      <c r="F26" s="37" t="n">
        <v>2157.76</v>
      </c>
      <c r="G26" s="18" t="n">
        <v>2741.93</v>
      </c>
      <c r="H26" s="18" t="n">
        <v>4977.18</v>
      </c>
      <c r="I26" s="18" t="n">
        <v>7671.2</v>
      </c>
      <c r="J26" s="18" t="n">
        <v>1962.29</v>
      </c>
      <c r="K26" s="37" t="n">
        <v>1962.29</v>
      </c>
      <c r="L26" s="18" t="n">
        <v>1801.75</v>
      </c>
      <c r="M26" s="18" t="n">
        <v>1715.46</v>
      </c>
      <c r="N26" s="18" t="n">
        <v>1827.51</v>
      </c>
      <c r="O26" s="18" t="n">
        <v>1829.92</v>
      </c>
      <c r="P26" s="37" t="n">
        <v>1829.92</v>
      </c>
      <c r="Q26" s="18" t="n">
        <v>1832.37</v>
      </c>
      <c r="R26" s="18" t="n">
        <v>1836.69</v>
      </c>
      <c r="S26" s="18" t="n">
        <v>1944.81</v>
      </c>
      <c r="T26" s="18" t="n">
        <v>1948.3</v>
      </c>
      <c r="U26" s="37" t="n">
        <v>1948.3</v>
      </c>
      <c r="V26" s="18" t="n">
        <v>2651.83</v>
      </c>
      <c r="W26" s="18" t="n">
        <v>2640.39</v>
      </c>
      <c r="X26" s="18" t="n">
        <v>2342.25</v>
      </c>
      <c r="Y26" s="18" t="n">
        <v>2345.42</v>
      </c>
      <c r="Z26" s="37" t="n">
        <v>2345.42</v>
      </c>
      <c r="AA26" s="18" t="n">
        <v>2348.62</v>
      </c>
      <c r="AB26" s="19" t="n">
        <v>2351.85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기타유동부채</t>
        </is>
      </c>
      <c r="E27" s="18" t="n">
        <v>2388.2</v>
      </c>
      <c r="F27" s="37" t="n">
        <v>2388.2</v>
      </c>
      <c r="G27" s="18" t="n">
        <v>2234.03</v>
      </c>
      <c r="H27" s="18" t="n">
        <v>2138.98</v>
      </c>
      <c r="I27" s="18" t="n">
        <v>2548.84</v>
      </c>
      <c r="J27" s="18" t="n">
        <v>2333.97</v>
      </c>
      <c r="K27" s="37" t="n">
        <v>2333.97</v>
      </c>
      <c r="L27" s="18" t="n">
        <v>3113.29</v>
      </c>
      <c r="M27" s="18" t="n">
        <v>2117.64</v>
      </c>
      <c r="N27" s="18" t="n">
        <v>3418</v>
      </c>
      <c r="O27" s="18" t="n">
        <v>2435.45</v>
      </c>
      <c r="P27" s="37" t="n">
        <v>2435.45</v>
      </c>
      <c r="Q27" s="18" t="n">
        <v>2410.27</v>
      </c>
      <c r="R27" s="18" t="n">
        <v>2332.05</v>
      </c>
      <c r="S27" s="18" t="n">
        <v>2123.74</v>
      </c>
      <c r="T27" s="18" t="n">
        <v>3058.67</v>
      </c>
      <c r="U27" s="37" t="n">
        <v>3058.67</v>
      </c>
      <c r="V27" s="18" t="n">
        <v>2519.24</v>
      </c>
      <c r="W27" s="18" t="n">
        <v>2141.78</v>
      </c>
      <c r="X27" s="18" t="n">
        <v>1960.11</v>
      </c>
      <c r="Y27" s="18" t="n">
        <v>2203.36</v>
      </c>
      <c r="Z27" s="37" t="n">
        <v>2203.36</v>
      </c>
      <c r="AA27" s="18" t="n">
        <v>2104.34</v>
      </c>
      <c r="AB27" s="19" t="n">
        <v>1918.28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비유동부채</t>
        </is>
      </c>
      <c r="E28" s="18" t="n">
        <v>71484.77</v>
      </c>
      <c r="F28" s="37" t="n">
        <v>71484.77</v>
      </c>
      <c r="G28" s="18" t="n">
        <v>51040.86</v>
      </c>
      <c r="H28" s="18" t="n">
        <v>43719.69</v>
      </c>
      <c r="I28" s="18" t="n">
        <v>49631.04</v>
      </c>
      <c r="J28" s="18" t="n">
        <v>51402.38</v>
      </c>
      <c r="K28" s="37" t="n">
        <v>51402.38</v>
      </c>
      <c r="L28" s="18" t="n">
        <v>40796.12</v>
      </c>
      <c r="M28" s="18" t="n">
        <v>44880.1</v>
      </c>
      <c r="N28" s="18" t="n">
        <v>39129.74</v>
      </c>
      <c r="O28" s="18" t="n">
        <v>35180.47</v>
      </c>
      <c r="P28" s="37" t="n">
        <v>35180.47</v>
      </c>
      <c r="Q28" s="18" t="n">
        <v>35097.26</v>
      </c>
      <c r="R28" s="18" t="n">
        <v>35432.1</v>
      </c>
      <c r="S28" s="18" t="n">
        <v>41695.48</v>
      </c>
      <c r="T28" s="18" t="n">
        <v>40858.95</v>
      </c>
      <c r="U28" s="37" t="n">
        <v>40858.95</v>
      </c>
      <c r="V28" s="18" t="n">
        <v>40910.01</v>
      </c>
      <c r="W28" s="18" t="n">
        <v>41130.47</v>
      </c>
      <c r="X28" s="18" t="n">
        <v>35405</v>
      </c>
      <c r="Y28" s="18" t="n">
        <v>36361.98</v>
      </c>
      <c r="Z28" s="37" t="n">
        <v>36361.98</v>
      </c>
      <c r="AA28" s="18" t="n">
        <v>36271.36</v>
      </c>
      <c r="AB28" s="19" t="n">
        <v>36391.54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장기차입금</t>
        </is>
      </c>
      <c r="E29" s="18" t="n">
        <v>16421.5</v>
      </c>
      <c r="F29" s="37" t="n">
        <v>16421.5</v>
      </c>
      <c r="G29" s="18" t="n">
        <v>16548</v>
      </c>
      <c r="H29" s="18" t="n">
        <v>10494</v>
      </c>
      <c r="I29" s="18" t="n">
        <v>16494</v>
      </c>
      <c r="J29" s="18" t="n">
        <v>16494</v>
      </c>
      <c r="K29" s="37" t="n">
        <v>16494</v>
      </c>
      <c r="L29" s="18" t="n">
        <v>6000</v>
      </c>
      <c r="M29" s="18" t="n">
        <v>10000</v>
      </c>
      <c r="N29" s="18" t="n">
        <v>4000</v>
      </c>
      <c r="O29" s="18" t="n">
        <v>0</v>
      </c>
      <c r="P29" s="37" t="n">
        <v>0</v>
      </c>
      <c r="Q29" s="18" t="n">
        <v>0</v>
      </c>
      <c r="R29" s="18" t="n">
        <v>0</v>
      </c>
      <c r="S29" s="18" t="n">
        <v>6000</v>
      </c>
      <c r="T29" s="18" t="n">
        <v>6000</v>
      </c>
      <c r="U29" s="37" t="n">
        <v>6000</v>
      </c>
      <c r="V29" s="18" t="n">
        <v>6000</v>
      </c>
      <c r="W29" s="18" t="n">
        <v>6000</v>
      </c>
      <c r="X29" s="18" t="n">
        <v>0</v>
      </c>
      <c r="Y29" s="18" t="n">
        <v>0</v>
      </c>
      <c r="Z29" s="37" t="n">
        <v>0</v>
      </c>
      <c r="AB29" s="5" t="n"/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사채</t>
        </is>
      </c>
      <c r="E30" s="18" t="n">
        <v>21317.19</v>
      </c>
      <c r="F30" s="37" t="n">
        <v>21317.19</v>
      </c>
      <c r="G30" s="18" t="n">
        <v>0</v>
      </c>
      <c r="H30" s="18" t="n">
        <v>0</v>
      </c>
      <c r="I30" s="18" t="n">
        <v>0</v>
      </c>
      <c r="J30" s="18" t="n">
        <v>0</v>
      </c>
      <c r="K30" s="37" t="n">
        <v>0</v>
      </c>
      <c r="L30" s="18" t="n">
        <v>0</v>
      </c>
      <c r="M30" s="18" t="n">
        <v>0</v>
      </c>
      <c r="N30" s="18" t="n">
        <v>0</v>
      </c>
      <c r="O30" s="18" t="n">
        <v>0</v>
      </c>
      <c r="P30" s="37" t="n">
        <v>0</v>
      </c>
      <c r="Q30" s="18" t="n">
        <v>0</v>
      </c>
      <c r="R30" s="18" t="n">
        <v>0</v>
      </c>
      <c r="S30" s="18" t="n">
        <v>0</v>
      </c>
      <c r="T30" s="18" t="n">
        <v>0</v>
      </c>
      <c r="U30" s="37" t="n">
        <v>0</v>
      </c>
      <c r="V30" s="18" t="n">
        <v>0</v>
      </c>
      <c r="W30" s="18" t="n">
        <v>0</v>
      </c>
      <c r="X30" s="18" t="n">
        <v>0</v>
      </c>
      <c r="Z30" s="9" t="n"/>
      <c r="AB30" s="5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확정급여부채</t>
        </is>
      </c>
      <c r="E31" s="18" t="n">
        <v>-36.18</v>
      </c>
      <c r="F31" s="37" t="n">
        <v>-36.18</v>
      </c>
      <c r="G31" s="18" t="n">
        <v>710.59</v>
      </c>
      <c r="J31" s="18" t="n">
        <v>0</v>
      </c>
      <c r="K31" s="37" t="n">
        <v>0</v>
      </c>
      <c r="L31" s="18" t="n">
        <v>0</v>
      </c>
      <c r="M31" s="18" t="n">
        <v>0</v>
      </c>
      <c r="N31" s="18" t="n">
        <v>0</v>
      </c>
      <c r="O31" s="18" t="n">
        <v>0</v>
      </c>
      <c r="P31" s="37" t="n">
        <v>0</v>
      </c>
      <c r="Q31" s="18" t="n">
        <v>0</v>
      </c>
      <c r="R31" s="18" t="n">
        <v>0</v>
      </c>
      <c r="S31" s="18" t="n">
        <v>0</v>
      </c>
      <c r="T31" s="18" t="n">
        <v>0</v>
      </c>
      <c r="U31" s="37" t="n">
        <v>0</v>
      </c>
      <c r="V31" s="18" t="n">
        <v>138.85</v>
      </c>
      <c r="W31" s="18" t="n">
        <v>0</v>
      </c>
      <c r="X31" s="18" t="n">
        <v>2.67</v>
      </c>
      <c r="Z31" s="9" t="n"/>
      <c r="AB31" s="5" t="n"/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이연법인세부채</t>
        </is>
      </c>
      <c r="E32" s="18" t="n">
        <v>33782.27</v>
      </c>
      <c r="F32" s="37" t="n">
        <v>33782.27</v>
      </c>
      <c r="G32" s="18" t="n">
        <v>33782.27</v>
      </c>
      <c r="H32" s="18" t="n">
        <v>33014.89</v>
      </c>
      <c r="I32" s="18" t="n">
        <v>33014.89</v>
      </c>
      <c r="J32" s="18" t="n">
        <v>34796.12</v>
      </c>
      <c r="K32" s="37" t="n">
        <v>34796.12</v>
      </c>
      <c r="L32" s="18" t="n">
        <v>34796.12</v>
      </c>
      <c r="M32" s="18" t="n">
        <v>34880.1</v>
      </c>
      <c r="N32" s="18" t="n">
        <v>34880.1</v>
      </c>
      <c r="O32" s="18" t="n">
        <v>35012.95</v>
      </c>
      <c r="P32" s="37" t="n">
        <v>35012.95</v>
      </c>
      <c r="Q32" s="18" t="n">
        <v>35012.95</v>
      </c>
      <c r="R32" s="18" t="n">
        <v>35432.1</v>
      </c>
      <c r="S32" s="18" t="n">
        <v>35432.1</v>
      </c>
      <c r="T32" s="18" t="n">
        <v>33176.57</v>
      </c>
      <c r="U32" s="37" t="n">
        <v>33176.57</v>
      </c>
      <c r="V32" s="18" t="n">
        <v>33176.57</v>
      </c>
      <c r="W32" s="18" t="n">
        <v>33624.58</v>
      </c>
      <c r="X32" s="18" t="n">
        <v>33624.58</v>
      </c>
      <c r="Y32" s="18" t="n">
        <v>34674.03</v>
      </c>
      <c r="Z32" s="37" t="n">
        <v>34674.03</v>
      </c>
      <c r="AA32" s="18" t="n">
        <v>34674.03</v>
      </c>
      <c r="AB32" s="19" t="n">
        <v>34885.64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기타비유동금융부채</t>
        </is>
      </c>
      <c r="E33" s="18" t="n">
        <v>0</v>
      </c>
      <c r="F33" s="37" t="n">
        <v>0</v>
      </c>
      <c r="G33" s="18" t="n">
        <v>0</v>
      </c>
      <c r="H33" s="18" t="n">
        <v>210.8</v>
      </c>
      <c r="I33" s="18" t="n">
        <v>122.15</v>
      </c>
      <c r="J33" s="18" t="n">
        <v>0</v>
      </c>
      <c r="K33" s="37" t="n">
        <v>0</v>
      </c>
      <c r="L33" s="18" t="n">
        <v>0</v>
      </c>
      <c r="M33" s="18" t="n">
        <v>0</v>
      </c>
      <c r="N33" s="18" t="n">
        <v>0</v>
      </c>
      <c r="O33" s="18" t="n">
        <v>0</v>
      </c>
      <c r="P33" s="37" t="n">
        <v>0</v>
      </c>
      <c r="Q33" s="18" t="n">
        <v>0</v>
      </c>
      <c r="R33" s="18" t="n">
        <v>0</v>
      </c>
      <c r="S33" s="18" t="n">
        <v>0</v>
      </c>
      <c r="T33" s="18" t="n">
        <v>1505.9</v>
      </c>
      <c r="U33" s="37" t="n">
        <v>1505.9</v>
      </c>
      <c r="V33" s="18" t="n">
        <v>1505.9</v>
      </c>
      <c r="W33" s="18" t="n">
        <v>1505.9</v>
      </c>
      <c r="X33" s="18" t="n">
        <v>1505.9</v>
      </c>
      <c r="Y33" s="18" t="n">
        <v>1505.9</v>
      </c>
      <c r="Z33" s="37" t="n">
        <v>1505.9</v>
      </c>
      <c r="AA33" s="18" t="n">
        <v>1505.9</v>
      </c>
      <c r="AB33" s="19" t="n">
        <v>1505.9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장기금융부채</t>
        </is>
      </c>
      <c r="E34" s="18" t="n">
        <v>0</v>
      </c>
      <c r="F34" s="37" t="n">
        <v>0</v>
      </c>
      <c r="G34" s="18" t="n">
        <v>0</v>
      </c>
      <c r="H34" s="18" t="n">
        <v>210.8</v>
      </c>
      <c r="I34" s="18" t="n">
        <v>122.15</v>
      </c>
      <c r="J34" s="18" t="n">
        <v>112.26</v>
      </c>
      <c r="K34" s="37" t="n">
        <v>112.26</v>
      </c>
      <c r="L34" s="18" t="n">
        <v>0</v>
      </c>
      <c r="M34" s="18" t="n">
        <v>0</v>
      </c>
      <c r="N34" s="18" t="n">
        <v>249.64</v>
      </c>
      <c r="O34" s="18" t="n">
        <v>167.52</v>
      </c>
      <c r="P34" s="37" t="n">
        <v>167.52</v>
      </c>
      <c r="Q34" s="18" t="n">
        <v>84.31</v>
      </c>
      <c r="R34" s="18" t="n">
        <v>0</v>
      </c>
      <c r="S34" s="18" t="n">
        <v>263.38</v>
      </c>
      <c r="T34" s="18" t="n">
        <v>1682.39</v>
      </c>
      <c r="U34" s="37" t="n">
        <v>1682.39</v>
      </c>
      <c r="V34" s="18" t="n">
        <v>1594.6</v>
      </c>
      <c r="W34" s="18" t="n">
        <v>1505.9</v>
      </c>
      <c r="X34" s="18" t="n">
        <v>1777.75</v>
      </c>
      <c r="Y34" s="18" t="n">
        <v>1687.95</v>
      </c>
      <c r="Z34" s="37" t="n">
        <v>1687.95</v>
      </c>
      <c r="AA34" s="18" t="n">
        <v>1597.33</v>
      </c>
      <c r="AB34" s="19" t="n">
        <v>1505.9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부채총계</t>
        </is>
      </c>
      <c r="E35" s="18" t="n">
        <v>154866.44</v>
      </c>
      <c r="F35" s="37" t="n">
        <v>154866.44</v>
      </c>
      <c r="G35" s="18" t="n">
        <v>162640.66</v>
      </c>
      <c r="H35" s="18" t="n">
        <v>171052.21</v>
      </c>
      <c r="I35" s="18" t="n">
        <v>174987.59</v>
      </c>
      <c r="J35" s="18" t="n">
        <v>159460.03</v>
      </c>
      <c r="K35" s="37" t="n">
        <v>159460.03</v>
      </c>
      <c r="L35" s="18" t="n">
        <v>153385.32</v>
      </c>
      <c r="M35" s="18" t="n">
        <v>156186.77</v>
      </c>
      <c r="N35" s="18" t="n">
        <v>163396.37</v>
      </c>
      <c r="O35" s="18" t="n">
        <v>152995.49</v>
      </c>
      <c r="P35" s="37" t="n">
        <v>152995.49</v>
      </c>
      <c r="Q35" s="18" t="n">
        <v>154029.21</v>
      </c>
      <c r="R35" s="18" t="n">
        <v>161757.41</v>
      </c>
      <c r="S35" s="18" t="n">
        <v>162266.69</v>
      </c>
      <c r="T35" s="18" t="n">
        <v>166985.18</v>
      </c>
      <c r="U35" s="37" t="n">
        <v>166985.18</v>
      </c>
      <c r="V35" s="18" t="n">
        <v>171347.25</v>
      </c>
      <c r="W35" s="18" t="n">
        <v>164747.88</v>
      </c>
      <c r="X35" s="18" t="n">
        <v>174579.27</v>
      </c>
      <c r="Y35" s="18" t="n">
        <v>167957.12</v>
      </c>
      <c r="Z35" s="37" t="n">
        <v>167957.12</v>
      </c>
      <c r="AA35" s="18" t="n">
        <v>174058.56</v>
      </c>
      <c r="AB35" s="19" t="n">
        <v>200591.34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자본금</t>
        </is>
      </c>
      <c r="E36" s="18" t="n">
        <v>13348.73</v>
      </c>
      <c r="F36" s="37" t="n">
        <v>13348.73</v>
      </c>
      <c r="G36" s="18" t="n">
        <v>13348.73</v>
      </c>
      <c r="H36" s="18" t="n">
        <v>13348.73</v>
      </c>
      <c r="I36" s="18" t="n">
        <v>13348.73</v>
      </c>
      <c r="J36" s="18" t="n">
        <v>13348.73</v>
      </c>
      <c r="K36" s="37" t="n">
        <v>13348.73</v>
      </c>
      <c r="L36" s="18" t="n">
        <v>13348.73</v>
      </c>
      <c r="M36" s="18" t="n">
        <v>13348.73</v>
      </c>
      <c r="N36" s="18" t="n">
        <v>13348.73</v>
      </c>
      <c r="O36" s="18" t="n">
        <v>13348.73</v>
      </c>
      <c r="P36" s="37" t="n">
        <v>13348.73</v>
      </c>
      <c r="Q36" s="18" t="n">
        <v>13348.73</v>
      </c>
      <c r="R36" s="18" t="n">
        <v>13348.73</v>
      </c>
      <c r="S36" s="18" t="n">
        <v>13348.73</v>
      </c>
      <c r="T36" s="18" t="n">
        <v>13348.73</v>
      </c>
      <c r="U36" s="37" t="n">
        <v>13348.73</v>
      </c>
      <c r="V36" s="18" t="n">
        <v>13348.73</v>
      </c>
      <c r="W36" s="18" t="n">
        <v>13348.73</v>
      </c>
      <c r="X36" s="18" t="n">
        <v>13348.73</v>
      </c>
      <c r="Y36" s="18" t="n">
        <v>13348.73</v>
      </c>
      <c r="Z36" s="37" t="n">
        <v>13348.73</v>
      </c>
      <c r="AA36" s="18" t="n">
        <v>13348.73</v>
      </c>
      <c r="AB36" s="19" t="n">
        <v>13348.73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자본잉여금</t>
        </is>
      </c>
      <c r="E37" s="18" t="n">
        <v>11140.41</v>
      </c>
      <c r="F37" s="37" t="n">
        <v>11140.41</v>
      </c>
      <c r="G37" s="18" t="n">
        <v>11140.41</v>
      </c>
      <c r="H37" s="18" t="n">
        <v>11140.41</v>
      </c>
      <c r="I37" s="18" t="n">
        <v>11140.41</v>
      </c>
      <c r="J37" s="18" t="n">
        <v>11140.41</v>
      </c>
      <c r="K37" s="37" t="n">
        <v>11140.41</v>
      </c>
      <c r="L37" s="18" t="n">
        <v>11140.41</v>
      </c>
      <c r="M37" s="18" t="n">
        <v>11140.41</v>
      </c>
      <c r="N37" s="18" t="n">
        <v>11140.41</v>
      </c>
      <c r="O37" s="18" t="n">
        <v>11140.41</v>
      </c>
      <c r="P37" s="37" t="n">
        <v>11140.41</v>
      </c>
      <c r="Q37" s="18" t="n">
        <v>11140.41</v>
      </c>
      <c r="R37" s="18" t="n">
        <v>11140.41</v>
      </c>
      <c r="S37" s="18" t="n">
        <v>11140.41</v>
      </c>
      <c r="T37" s="18" t="n">
        <v>11140.41</v>
      </c>
      <c r="U37" s="37" t="n">
        <v>11140.41</v>
      </c>
      <c r="V37" s="18" t="n">
        <v>11140.41</v>
      </c>
      <c r="W37" s="18" t="n">
        <v>9948.950000000001</v>
      </c>
      <c r="X37" s="18" t="n">
        <v>9948.950000000001</v>
      </c>
      <c r="Y37" s="18" t="n">
        <v>14513.78</v>
      </c>
      <c r="Z37" s="37" t="n">
        <v>14513.78</v>
      </c>
      <c r="AA37" s="18" t="n">
        <v>14513.78</v>
      </c>
      <c r="AB37" s="19" t="n">
        <v>14513.78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이익잉여금</t>
        </is>
      </c>
      <c r="E38" s="18" t="n">
        <v>148994.34</v>
      </c>
      <c r="F38" s="37" t="n">
        <v>148994.34</v>
      </c>
      <c r="G38" s="18" t="n">
        <v>151197.62</v>
      </c>
      <c r="H38" s="18" t="n">
        <v>149475.92</v>
      </c>
      <c r="I38" s="18" t="n">
        <v>143895.6</v>
      </c>
      <c r="J38" s="18" t="n">
        <v>144613</v>
      </c>
      <c r="K38" s="37" t="n">
        <v>144613</v>
      </c>
      <c r="L38" s="18" t="n">
        <v>144990.53</v>
      </c>
      <c r="M38" s="18" t="n">
        <v>144694.54</v>
      </c>
      <c r="N38" s="18" t="n">
        <v>143578.91</v>
      </c>
      <c r="O38" s="18" t="n">
        <v>143195.25</v>
      </c>
      <c r="P38" s="37" t="n">
        <v>143195.25</v>
      </c>
      <c r="Q38" s="18" t="n">
        <v>140633.35</v>
      </c>
      <c r="R38" s="18" t="n">
        <v>138536.34</v>
      </c>
      <c r="S38" s="18" t="n">
        <v>137914.57</v>
      </c>
      <c r="T38" s="18" t="n">
        <v>135102.98</v>
      </c>
      <c r="U38" s="37" t="n">
        <v>135102.98</v>
      </c>
      <c r="V38" s="18" t="n">
        <v>134460.23</v>
      </c>
      <c r="W38" s="18" t="n">
        <v>136673.91</v>
      </c>
      <c r="X38" s="18" t="n">
        <v>136081.32</v>
      </c>
      <c r="Y38" s="18" t="n">
        <v>135033</v>
      </c>
      <c r="Z38" s="37" t="n">
        <v>135033</v>
      </c>
      <c r="AA38" s="18" t="n">
        <v>132568.77</v>
      </c>
      <c r="AB38" s="19" t="n">
        <v>134059.44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자본총계</t>
        </is>
      </c>
      <c r="E39" s="18" t="n">
        <v>173337.65</v>
      </c>
      <c r="F39" s="37" t="n">
        <v>173337.65</v>
      </c>
      <c r="G39" s="18" t="n">
        <v>175542.21</v>
      </c>
      <c r="H39" s="18" t="n">
        <v>173814.63</v>
      </c>
      <c r="I39" s="18" t="n">
        <v>168230.23</v>
      </c>
      <c r="J39" s="18" t="n">
        <v>168944.1</v>
      </c>
      <c r="K39" s="37" t="n">
        <v>168944.1</v>
      </c>
      <c r="L39" s="18" t="n">
        <v>169316.31</v>
      </c>
      <c r="M39" s="18" t="n">
        <v>169023.96</v>
      </c>
      <c r="N39" s="18" t="n">
        <v>167909.1</v>
      </c>
      <c r="O39" s="18" t="n">
        <v>167526.03</v>
      </c>
      <c r="P39" s="37" t="n">
        <v>167526.03</v>
      </c>
      <c r="Q39" s="18" t="n">
        <v>164968.32</v>
      </c>
      <c r="R39" s="18" t="n">
        <v>162870.25</v>
      </c>
      <c r="S39" s="18" t="n">
        <v>162244.65</v>
      </c>
      <c r="T39" s="18" t="n">
        <v>159433.91</v>
      </c>
      <c r="U39" s="37" t="n">
        <v>159433.91</v>
      </c>
      <c r="V39" s="18" t="n">
        <v>158790.35</v>
      </c>
      <c r="W39" s="18" t="n">
        <v>159813.63</v>
      </c>
      <c r="X39" s="18" t="n">
        <v>159370.29</v>
      </c>
      <c r="Y39" s="18" t="n">
        <v>156433.92</v>
      </c>
      <c r="Z39" s="37" t="n">
        <v>156433.92</v>
      </c>
      <c r="AA39" s="18" t="n">
        <v>153969.68</v>
      </c>
      <c r="AB39" s="19" t="n">
        <v>155460.35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부채와자본총계</t>
        </is>
      </c>
      <c r="E40" s="18" t="n">
        <v>328204.09</v>
      </c>
      <c r="F40" s="37" t="n">
        <v>328204.09</v>
      </c>
      <c r="G40" s="18" t="n">
        <v>338182.87</v>
      </c>
      <c r="H40" s="18" t="n">
        <v>344866.84</v>
      </c>
      <c r="I40" s="18" t="n">
        <v>343217.83</v>
      </c>
      <c r="J40" s="18" t="n">
        <v>328404.14</v>
      </c>
      <c r="K40" s="37" t="n">
        <v>328404.14</v>
      </c>
      <c r="L40" s="18" t="n">
        <v>322701.63</v>
      </c>
      <c r="M40" s="18" t="n">
        <v>325210.72</v>
      </c>
      <c r="N40" s="18" t="n">
        <v>331305.48</v>
      </c>
      <c r="O40" s="18" t="n">
        <v>320521.52</v>
      </c>
      <c r="P40" s="37" t="n">
        <v>320521.52</v>
      </c>
      <c r="Q40" s="18" t="n">
        <v>318997.53</v>
      </c>
      <c r="R40" s="18" t="n">
        <v>324627.66</v>
      </c>
      <c r="S40" s="18" t="n">
        <v>324511.34</v>
      </c>
      <c r="T40" s="18" t="n">
        <v>326419.09</v>
      </c>
      <c r="U40" s="37" t="n">
        <v>326419.09</v>
      </c>
      <c r="V40" s="18" t="n">
        <v>330137.61</v>
      </c>
      <c r="W40" s="18" t="n">
        <v>324561.51</v>
      </c>
      <c r="X40" s="18" t="n">
        <v>333949.57</v>
      </c>
      <c r="Y40" s="18" t="n">
        <v>324391.04</v>
      </c>
      <c r="Z40" s="37" t="n">
        <v>324391.04</v>
      </c>
      <c r="AA40" s="18" t="n">
        <v>328028.24</v>
      </c>
      <c r="AB40" s="19" t="n">
        <v>356051.69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지배주주지분</t>
        </is>
      </c>
      <c r="E41" s="18" t="n">
        <v>173337.65</v>
      </c>
      <c r="F41" s="37" t="n">
        <v>173337.65</v>
      </c>
      <c r="G41" s="18" t="n">
        <v>175542.21</v>
      </c>
      <c r="H41" s="18" t="n">
        <v>173814.63</v>
      </c>
      <c r="I41" s="18" t="n">
        <v>168230.23</v>
      </c>
      <c r="J41" s="18" t="n">
        <v>168944.1</v>
      </c>
      <c r="K41" s="37" t="n">
        <v>168944.1</v>
      </c>
      <c r="L41" s="18" t="n">
        <v>169316.31</v>
      </c>
      <c r="M41" s="18" t="n">
        <v>169023.96</v>
      </c>
      <c r="N41" s="18" t="n">
        <v>167909.1</v>
      </c>
      <c r="O41" s="18" t="n">
        <v>167526.03</v>
      </c>
      <c r="P41" s="37" t="n">
        <v>167526.03</v>
      </c>
      <c r="Q41" s="18" t="n">
        <v>164968.32</v>
      </c>
      <c r="R41" s="18" t="n">
        <v>162870.25</v>
      </c>
      <c r="S41" s="18" t="n">
        <v>162244.65</v>
      </c>
      <c r="T41" s="18" t="n">
        <v>159433.91</v>
      </c>
      <c r="U41" s="37" t="n">
        <v>159433.91</v>
      </c>
      <c r="V41" s="18" t="n">
        <v>158790.35</v>
      </c>
      <c r="W41" s="18" t="n">
        <v>159813.63</v>
      </c>
      <c r="X41" s="18" t="n">
        <v>159370.29</v>
      </c>
      <c r="Y41" s="18" t="n">
        <v>156433.92</v>
      </c>
      <c r="Z41" s="37" t="n">
        <v>156433.92</v>
      </c>
      <c r="AA41" s="18" t="n">
        <v>153969.68</v>
      </c>
      <c r="AB41" s="19" t="n">
        <v>155460.35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총차입금</t>
        </is>
      </c>
      <c r="E42" s="18" t="n">
        <v>105927.31</v>
      </c>
      <c r="F42" s="37" t="n">
        <v>105927.31</v>
      </c>
      <c r="G42" s="18" t="n">
        <v>109915.77</v>
      </c>
      <c r="H42" s="18" t="n">
        <v>123632.89</v>
      </c>
      <c r="I42" s="18" t="n">
        <v>118961.94</v>
      </c>
      <c r="J42" s="18" t="n">
        <v>106970.5</v>
      </c>
      <c r="K42" s="37" t="n">
        <v>106970.5</v>
      </c>
      <c r="L42" s="18" t="n">
        <v>101053.95</v>
      </c>
      <c r="M42" s="18" t="n">
        <v>99726.24000000001</v>
      </c>
      <c r="N42" s="18" t="n">
        <v>99061.28999999999</v>
      </c>
      <c r="O42" s="18" t="n">
        <v>98053.34</v>
      </c>
      <c r="P42" s="37" t="n">
        <v>98053.34</v>
      </c>
      <c r="Q42" s="18" t="n">
        <v>94213.84</v>
      </c>
      <c r="R42" s="18" t="n">
        <v>107036.14</v>
      </c>
      <c r="S42" s="18" t="n">
        <v>109686.32</v>
      </c>
      <c r="T42" s="18" t="n">
        <v>110940.08</v>
      </c>
      <c r="U42" s="37" t="n">
        <v>110940.08</v>
      </c>
      <c r="V42" s="18" t="n">
        <v>117934.8</v>
      </c>
      <c r="W42" s="18" t="n">
        <v>111669.22</v>
      </c>
      <c r="X42" s="18" t="n">
        <v>117575.85</v>
      </c>
      <c r="Y42" s="18" t="n">
        <v>111705.27</v>
      </c>
      <c r="Z42" s="37" t="n">
        <v>111705.27</v>
      </c>
      <c r="AA42" s="18" t="n">
        <v>112569</v>
      </c>
      <c r="AB42" s="19" t="n">
        <v>117164.55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순차입금</t>
        </is>
      </c>
      <c r="E43" s="18" t="n">
        <v>79717.08</v>
      </c>
      <c r="F43" s="37" t="n">
        <v>79717.08</v>
      </c>
      <c r="G43" s="18" t="n">
        <v>79921.89999999999</v>
      </c>
      <c r="H43" s="18" t="n">
        <v>115282.66</v>
      </c>
      <c r="I43" s="18" t="n">
        <v>114319.35</v>
      </c>
      <c r="J43" s="18" t="n">
        <v>68859.3</v>
      </c>
      <c r="K43" s="37" t="n">
        <v>68859.3</v>
      </c>
      <c r="L43" s="18" t="n">
        <v>72834.11</v>
      </c>
      <c r="M43" s="18" t="n">
        <v>72914.22</v>
      </c>
      <c r="N43" s="18" t="n">
        <v>73519.05</v>
      </c>
      <c r="O43" s="18" t="n">
        <v>69592.62</v>
      </c>
      <c r="P43" s="37" t="n">
        <v>69592.62</v>
      </c>
      <c r="Q43" s="18" t="n">
        <v>72871.23</v>
      </c>
      <c r="R43" s="18" t="n">
        <v>82733.37</v>
      </c>
      <c r="S43" s="18" t="n">
        <v>78930.38</v>
      </c>
      <c r="T43" s="18" t="n">
        <v>78037.37</v>
      </c>
      <c r="U43" s="37" t="n">
        <v>78037.37</v>
      </c>
      <c r="V43" s="18" t="n">
        <v>81466.82000000001</v>
      </c>
      <c r="W43" s="18" t="n">
        <v>78586.63</v>
      </c>
      <c r="X43" s="18" t="n">
        <v>85849.89</v>
      </c>
      <c r="Y43" s="18" t="n">
        <v>83195.16</v>
      </c>
      <c r="Z43" s="37" t="n">
        <v>83195.16</v>
      </c>
      <c r="AA43" s="18" t="n">
        <v>77554.82000000001</v>
      </c>
      <c r="AB43" s="19" t="n">
        <v>76147.89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이자발생자산</t>
        </is>
      </c>
      <c r="E44" s="18" t="n">
        <v>28232.43</v>
      </c>
      <c r="F44" s="37" t="n">
        <v>28232.43</v>
      </c>
      <c r="G44" s="18" t="n">
        <v>32017.97</v>
      </c>
      <c r="H44" s="18" t="n">
        <v>11052.2</v>
      </c>
      <c r="I44" s="18" t="n">
        <v>7344.56</v>
      </c>
      <c r="J44" s="18" t="n">
        <v>40862.97</v>
      </c>
      <c r="K44" s="37" t="n">
        <v>40862.97</v>
      </c>
      <c r="L44" s="18" t="n">
        <v>30959.52</v>
      </c>
      <c r="M44" s="18" t="n">
        <v>29657.56</v>
      </c>
      <c r="N44" s="18" t="n">
        <v>28293.31</v>
      </c>
      <c r="O44" s="18" t="n">
        <v>30867.43</v>
      </c>
      <c r="P44" s="37" t="n">
        <v>30867.43</v>
      </c>
      <c r="Q44" s="18" t="n">
        <v>23776.33</v>
      </c>
      <c r="R44" s="18" t="n">
        <v>28192.45</v>
      </c>
      <c r="S44" s="18" t="n">
        <v>34613.07</v>
      </c>
      <c r="T44" s="18" t="n">
        <v>36998.08</v>
      </c>
      <c r="U44" s="37" t="n">
        <v>36998.08</v>
      </c>
      <c r="V44" s="18" t="n">
        <v>41316.4</v>
      </c>
      <c r="W44" s="18" t="n">
        <v>38042.46</v>
      </c>
      <c r="X44" s="18" t="n">
        <v>36485.77</v>
      </c>
      <c r="Y44" s="18" t="n">
        <v>33017.21</v>
      </c>
      <c r="Z44" s="37" t="n">
        <v>33017.21</v>
      </c>
      <c r="AA44" s="18" t="n">
        <v>38925.15</v>
      </c>
      <c r="AB44" s="19" t="n">
        <v>44927.4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기타유동금융자산</t>
        </is>
      </c>
      <c r="F45" s="9" t="n"/>
      <c r="H45" s="18" t="n">
        <v>27725.96</v>
      </c>
      <c r="I45" s="18" t="n">
        <v>29301.11</v>
      </c>
      <c r="J45" s="18" t="n">
        <v>0</v>
      </c>
      <c r="K45" s="37" t="n">
        <v>0</v>
      </c>
      <c r="L45" s="18" t="n">
        <v>0</v>
      </c>
      <c r="M45" s="18" t="n">
        <v>0</v>
      </c>
      <c r="N45" s="18" t="n">
        <v>0</v>
      </c>
      <c r="O45" s="18" t="n">
        <v>0</v>
      </c>
      <c r="P45" s="37" t="n">
        <v>0</v>
      </c>
      <c r="Q45" s="18" t="n">
        <v>0</v>
      </c>
      <c r="R45" s="18" t="n">
        <v>0</v>
      </c>
      <c r="S45" s="18" t="n">
        <v>0</v>
      </c>
      <c r="T45" s="18" t="n">
        <v>0</v>
      </c>
      <c r="U45" s="37" t="n">
        <v>0</v>
      </c>
      <c r="V45" s="18" t="n">
        <v>0</v>
      </c>
      <c r="W45" s="18" t="n">
        <v>0</v>
      </c>
      <c r="X45" s="18" t="n">
        <v>0</v>
      </c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단기투자자산(공정가치)</t>
        </is>
      </c>
      <c r="F46" s="9" t="n"/>
      <c r="H46" s="18" t="n">
        <v>501.19</v>
      </c>
      <c r="I46" s="18" t="n">
        <v>499.57</v>
      </c>
      <c r="J46" s="18" t="n">
        <v>502.49</v>
      </c>
      <c r="K46" s="37" t="n">
        <v>502.49</v>
      </c>
      <c r="L46" s="18" t="n">
        <v>509.45</v>
      </c>
      <c r="M46" s="18" t="n">
        <v>511.52</v>
      </c>
      <c r="N46" s="18" t="n">
        <v>513.77</v>
      </c>
      <c r="O46" s="18" t="n">
        <v>528.29</v>
      </c>
      <c r="P46" s="37" t="n">
        <v>528.29</v>
      </c>
      <c r="Q46" s="18" t="n">
        <v>0</v>
      </c>
      <c r="R46" s="18" t="n">
        <v>0</v>
      </c>
      <c r="S46" s="18" t="n">
        <v>5000</v>
      </c>
      <c r="T46" s="18" t="n">
        <v>0</v>
      </c>
      <c r="U46" s="37" t="n">
        <v>0</v>
      </c>
      <c r="V46" s="18" t="n">
        <v>0</v>
      </c>
      <c r="X46" s="18" t="n">
        <v>0</v>
      </c>
      <c r="Y46" s="18" t="n">
        <v>0.04</v>
      </c>
      <c r="Z46" s="37" t="n">
        <v>0.04</v>
      </c>
      <c r="AA46" s="18" t="n">
        <v>0</v>
      </c>
      <c r="AB46" s="19" t="n">
        <v>0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기타비유동자산</t>
        </is>
      </c>
      <c r="F47" s="9" t="n"/>
      <c r="H47" s="18" t="n">
        <v>492.57</v>
      </c>
      <c r="I47" s="18" t="n">
        <v>570.76</v>
      </c>
      <c r="J47" s="18" t="n">
        <v>841.2</v>
      </c>
      <c r="K47" s="37" t="n">
        <v>841.2</v>
      </c>
      <c r="L47" s="18" t="n">
        <v>707.8099999999999</v>
      </c>
      <c r="M47" s="18" t="n">
        <v>734.42</v>
      </c>
      <c r="N47" s="18" t="n">
        <v>601.04</v>
      </c>
      <c r="O47" s="18" t="n">
        <v>691.54</v>
      </c>
      <c r="P47" s="37" t="n">
        <v>691.54</v>
      </c>
      <c r="Q47" s="18" t="n">
        <v>547.76</v>
      </c>
      <c r="R47" s="18" t="n">
        <v>384.09</v>
      </c>
      <c r="S47" s="18" t="n">
        <v>230.8</v>
      </c>
      <c r="T47" s="18" t="n">
        <v>43.06</v>
      </c>
      <c r="U47" s="37" t="n">
        <v>43.06</v>
      </c>
      <c r="V47" s="18" t="n">
        <v>0</v>
      </c>
      <c r="W47" s="18" t="n">
        <v>179.24</v>
      </c>
      <c r="X47" s="18" t="n">
        <v>0</v>
      </c>
      <c r="Y47" s="18" t="n">
        <v>948.27</v>
      </c>
      <c r="Z47" s="37" t="n">
        <v>948.27</v>
      </c>
      <c r="AA47" s="18" t="n">
        <v>780.28</v>
      </c>
      <c r="AB47" s="19" t="n">
        <v>822.28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당기법인세부채(미지급법인세)</t>
        </is>
      </c>
      <c r="F48" s="9" t="n"/>
      <c r="H48" s="18" t="n">
        <v>513.98</v>
      </c>
      <c r="I48" s="18" t="n">
        <v>65.62</v>
      </c>
      <c r="J48" s="18" t="n">
        <v>3.35</v>
      </c>
      <c r="K48" s="37" t="n">
        <v>3.35</v>
      </c>
      <c r="L48" s="18" t="n">
        <v>0</v>
      </c>
      <c r="M48" s="18" t="n">
        <v>98.98</v>
      </c>
      <c r="N48" s="18" t="n">
        <v>98.98</v>
      </c>
      <c r="O48" s="18" t="n">
        <v>0</v>
      </c>
      <c r="P48" s="37" t="n">
        <v>0</v>
      </c>
      <c r="Q48" s="18" t="n">
        <v>-62.83</v>
      </c>
      <c r="R48" s="18" t="n">
        <v>0</v>
      </c>
      <c r="S48" s="18" t="n">
        <v>0</v>
      </c>
      <c r="T48" s="18" t="n">
        <v>0</v>
      </c>
      <c r="U48" s="37" t="n">
        <v>0</v>
      </c>
      <c r="V48" s="18" t="n">
        <v>0</v>
      </c>
      <c r="W48" s="18" t="n">
        <v>0</v>
      </c>
      <c r="X48" s="18" t="n">
        <v>0</v>
      </c>
      <c r="Y48" s="18" t="n">
        <v>0.49</v>
      </c>
      <c r="Z48" s="37" t="n">
        <v>0.49</v>
      </c>
      <c r="AA48" s="18" t="n">
        <v>0.04</v>
      </c>
      <c r="AB48" s="19" t="n">
        <v>0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기타자본</t>
        </is>
      </c>
      <c r="F49" s="9" t="n"/>
      <c r="H49" s="18" t="n">
        <v>-150.43</v>
      </c>
      <c r="I49" s="18" t="n">
        <v>-154.51</v>
      </c>
      <c r="J49" s="18" t="n">
        <v>-158.04</v>
      </c>
      <c r="K49" s="37" t="n">
        <v>-158.04</v>
      </c>
      <c r="L49" s="18" t="n">
        <v>-163.36</v>
      </c>
      <c r="M49" s="18" t="n">
        <v>-159.72</v>
      </c>
      <c r="N49" s="18" t="n">
        <v>-158.95</v>
      </c>
      <c r="O49" s="18" t="n">
        <v>-158.37</v>
      </c>
      <c r="P49" s="37" t="n">
        <v>-158.37</v>
      </c>
      <c r="Q49" s="18" t="n">
        <v>-154.17</v>
      </c>
      <c r="R49" s="18" t="n">
        <v>-155.23</v>
      </c>
      <c r="S49" s="18" t="n">
        <v>-159.06</v>
      </c>
      <c r="T49" s="18" t="n">
        <v>-158.21</v>
      </c>
      <c r="U49" s="37" t="n">
        <v>-158.21</v>
      </c>
      <c r="V49" s="18" t="n">
        <v>-159.02</v>
      </c>
      <c r="W49" s="18" t="n">
        <v>-157.96</v>
      </c>
      <c r="X49" s="18" t="n">
        <v>-8.710000000000001</v>
      </c>
      <c r="Y49" s="18" t="n">
        <v>-4564.83</v>
      </c>
      <c r="Z49" s="37" t="n">
        <v>-4564.83</v>
      </c>
      <c r="AA49" s="18" t="n">
        <v>-4564.83</v>
      </c>
      <c r="AB49" s="19" t="n">
        <v>-4564.83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유동리스부채</t>
        </is>
      </c>
      <c r="F50" s="9" t="n"/>
      <c r="J50" s="18" t="n">
        <v>270.29</v>
      </c>
      <c r="K50" s="37" t="n">
        <v>270.29</v>
      </c>
      <c r="L50" s="18" t="n">
        <v>295.75</v>
      </c>
      <c r="M50" s="18" t="n">
        <v>209.46</v>
      </c>
      <c r="N50" s="18" t="n">
        <v>321.51</v>
      </c>
      <c r="O50" s="18" t="n">
        <v>323.92</v>
      </c>
      <c r="P50" s="37" t="n">
        <v>323.92</v>
      </c>
      <c r="Q50" s="18" t="n">
        <v>326.37</v>
      </c>
      <c r="R50" s="18" t="n">
        <v>330.69</v>
      </c>
      <c r="S50" s="18" t="n">
        <v>338.81</v>
      </c>
      <c r="T50" s="18" t="n">
        <v>342.3</v>
      </c>
      <c r="U50" s="37" t="n">
        <v>342.3</v>
      </c>
      <c r="V50" s="18" t="n">
        <v>345.83</v>
      </c>
      <c r="W50" s="18" t="n">
        <v>349.39</v>
      </c>
      <c r="X50" s="18" t="n">
        <v>351.25</v>
      </c>
      <c r="Y50" s="18" t="n">
        <v>354.42</v>
      </c>
      <c r="Z50" s="37" t="n">
        <v>354.42</v>
      </c>
      <c r="AA50" s="18" t="n">
        <v>357.62</v>
      </c>
      <c r="AB50" s="19" t="n">
        <v>360.85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리스부채</t>
        </is>
      </c>
      <c r="F51" s="9" t="n"/>
      <c r="J51" s="18" t="n">
        <v>382.55</v>
      </c>
      <c r="K51" s="37" t="n">
        <v>382.55</v>
      </c>
      <c r="L51" s="18" t="n">
        <v>295.75</v>
      </c>
      <c r="M51" s="18" t="n">
        <v>209.46</v>
      </c>
      <c r="N51" s="18" t="n">
        <v>571.15</v>
      </c>
      <c r="O51" s="18" t="n">
        <v>491.44</v>
      </c>
      <c r="P51" s="37" t="n">
        <v>491.44</v>
      </c>
      <c r="Q51" s="18" t="n">
        <v>410.68</v>
      </c>
      <c r="R51" s="18" t="n">
        <v>330.69</v>
      </c>
      <c r="S51" s="18" t="n">
        <v>602.1900000000001</v>
      </c>
      <c r="T51" s="18" t="n">
        <v>518.79</v>
      </c>
      <c r="U51" s="37" t="n">
        <v>518.79</v>
      </c>
      <c r="V51" s="18" t="n">
        <v>434.53</v>
      </c>
      <c r="W51" s="18" t="n">
        <v>349.39</v>
      </c>
      <c r="X51" s="18" t="n">
        <v>623.1</v>
      </c>
      <c r="Y51" s="18" t="n">
        <v>536.47</v>
      </c>
      <c r="Z51" s="37" t="n">
        <v>536.47</v>
      </c>
      <c r="AA51" s="18" t="n">
        <v>449.05</v>
      </c>
      <c r="AB51" s="19" t="n">
        <v>360.85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비유동리스부채</t>
        </is>
      </c>
      <c r="F52" s="9" t="n"/>
      <c r="J52" s="18" t="n">
        <v>112.26</v>
      </c>
      <c r="K52" s="37" t="n">
        <v>112.26</v>
      </c>
      <c r="L52" s="18" t="n">
        <v>0</v>
      </c>
      <c r="M52" s="18" t="n">
        <v>0</v>
      </c>
      <c r="N52" s="18" t="n">
        <v>249.64</v>
      </c>
      <c r="O52" s="18" t="n">
        <v>167.52</v>
      </c>
      <c r="P52" s="37" t="n">
        <v>167.52</v>
      </c>
      <c r="Q52" s="18" t="n">
        <v>84.31</v>
      </c>
      <c r="R52" s="18" t="n">
        <v>0</v>
      </c>
      <c r="S52" s="18" t="n">
        <v>263.38</v>
      </c>
      <c r="T52" s="18" t="n">
        <v>176.49</v>
      </c>
      <c r="U52" s="37" t="n">
        <v>176.49</v>
      </c>
      <c r="V52" s="18" t="n">
        <v>88.7</v>
      </c>
      <c r="W52" s="18" t="n">
        <v>0</v>
      </c>
      <c r="X52" s="18" t="n">
        <v>271.85</v>
      </c>
      <c r="Y52" s="18" t="n">
        <v>182.05</v>
      </c>
      <c r="Z52" s="37" t="n">
        <v>182.05</v>
      </c>
      <c r="AA52" s="18" t="n">
        <v>91.43000000000001</v>
      </c>
      <c r="AB52" s="19" t="n">
        <v>0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단기금융부채(face)</t>
        </is>
      </c>
      <c r="F53" s="9" t="n"/>
      <c r="K53" s="9" t="n"/>
      <c r="N53" s="18" t="n">
        <v>95061.28999999999</v>
      </c>
      <c r="O53" s="18" t="n">
        <v>98053.34</v>
      </c>
      <c r="P53" s="37" t="n">
        <v>98053.34</v>
      </c>
      <c r="Q53" s="18" t="n">
        <v>94213.84</v>
      </c>
      <c r="R53" s="18" t="n">
        <v>107036.14</v>
      </c>
      <c r="S53" s="18" t="n">
        <v>103686.32</v>
      </c>
      <c r="T53" s="18" t="n">
        <v>104940.08</v>
      </c>
      <c r="U53" s="37" t="n">
        <v>104940.08</v>
      </c>
      <c r="V53" s="18" t="n">
        <v>111934.8</v>
      </c>
      <c r="W53" s="18" t="n">
        <v>105669.22</v>
      </c>
      <c r="X53" s="18" t="n">
        <v>117575.85</v>
      </c>
      <c r="Y53" s="18" t="n">
        <v>111705.27</v>
      </c>
      <c r="Z53" s="37" t="n">
        <v>111705.27</v>
      </c>
      <c r="AA53" s="18" t="n">
        <v>112569</v>
      </c>
      <c r="AB53" s="19" t="n">
        <v>117164.55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기타비유동부채</t>
        </is>
      </c>
      <c r="F54" s="9" t="n"/>
      <c r="K54" s="9" t="n"/>
      <c r="N54" s="18" t="n">
        <v>0</v>
      </c>
      <c r="O54" s="18" t="n">
        <v>0</v>
      </c>
      <c r="P54" s="37" t="n">
        <v>0</v>
      </c>
      <c r="Q54" s="18" t="n">
        <v>0</v>
      </c>
      <c r="R54" s="18" t="n">
        <v>0</v>
      </c>
      <c r="S54" s="18" t="n">
        <v>0</v>
      </c>
      <c r="T54" s="18" t="n">
        <v>0</v>
      </c>
      <c r="U54" s="37" t="n">
        <v>0</v>
      </c>
      <c r="V54" s="18" t="n">
        <v>0</v>
      </c>
      <c r="W54" s="18" t="n">
        <v>0</v>
      </c>
      <c r="X54" s="18" t="n">
        <v>0</v>
      </c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장기금융부채(face)</t>
        </is>
      </c>
      <c r="F55" s="9" t="n"/>
      <c r="K55" s="9" t="n"/>
      <c r="P55" s="9" t="n"/>
      <c r="S55" s="18" t="n">
        <v>6000</v>
      </c>
      <c r="T55" s="18" t="n">
        <v>6000</v>
      </c>
      <c r="U55" s="37" t="n">
        <v>6000</v>
      </c>
      <c r="V55" s="18" t="n">
        <v>6000</v>
      </c>
      <c r="W55" s="18" t="n">
        <v>6000</v>
      </c>
      <c r="X55" s="18" t="n">
        <v>0</v>
      </c>
      <c r="Y55" s="18" t="n">
        <v>0</v>
      </c>
      <c r="Z55" s="37" t="n">
        <v>0</v>
      </c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기타포괄이익누계액</t>
        </is>
      </c>
      <c r="F56" s="9" t="n"/>
      <c r="K56" s="9" t="n"/>
      <c r="P56" s="9" t="n"/>
      <c r="U56" s="9" t="n"/>
      <c r="Y56" s="18" t="n">
        <v>-1896.77</v>
      </c>
      <c r="Z56" s="37" t="n">
        <v>-1896.77</v>
      </c>
      <c r="AA56" s="18" t="n">
        <v>-1896.77</v>
      </c>
      <c r="AB56" s="19" t="n">
        <v>-1896.77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매출액(수익)</t>
        </is>
      </c>
      <c r="E57" s="18" t="n">
        <v>66146.78999999999</v>
      </c>
      <c r="F57" s="9" t="n"/>
      <c r="G57" s="18" t="n">
        <v>69565.95</v>
      </c>
      <c r="H57" s="18" t="n">
        <v>58293.26</v>
      </c>
      <c r="I57" s="18" t="n">
        <v>59866.52</v>
      </c>
      <c r="J57" s="18" t="n">
        <v>54186.08</v>
      </c>
      <c r="K57" s="37" t="n">
        <v>241911.81</v>
      </c>
      <c r="L57" s="18" t="n">
        <v>57458.81</v>
      </c>
      <c r="M57" s="18" t="n">
        <v>48614.22</v>
      </c>
      <c r="N57" s="18" t="n">
        <v>48611.2</v>
      </c>
      <c r="O57" s="18" t="n">
        <v>46401.11</v>
      </c>
      <c r="P57" s="37" t="n">
        <v>201085.34</v>
      </c>
      <c r="Q57" s="18" t="n">
        <v>46198</v>
      </c>
      <c r="R57" s="18" t="n">
        <v>49841.3</v>
      </c>
      <c r="S57" s="18" t="n">
        <v>38203.5</v>
      </c>
      <c r="T57" s="18" t="n">
        <v>48723.46</v>
      </c>
      <c r="U57" s="37" t="n">
        <v>182966.26</v>
      </c>
      <c r="V57" s="18" t="n">
        <v>43671.02</v>
      </c>
      <c r="W57" s="18" t="n">
        <v>45976.78</v>
      </c>
      <c r="X57" s="18" t="n">
        <v>46050.96</v>
      </c>
      <c r="Y57" s="18" t="n">
        <v>40597.32</v>
      </c>
      <c r="Z57" s="37" t="n">
        <v>176296.08</v>
      </c>
      <c r="AA57" s="18" t="n">
        <v>57647.41</v>
      </c>
      <c r="AB57" s="19" t="n">
        <v>57497.5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매출원가</t>
        </is>
      </c>
      <c r="E58" s="18" t="n">
        <v>56793.96</v>
      </c>
      <c r="F58" s="9" t="n"/>
      <c r="G58" s="18" t="n">
        <v>65319.72</v>
      </c>
      <c r="H58" s="18" t="n">
        <v>53679.31</v>
      </c>
      <c r="I58" s="18" t="n">
        <v>58757.1</v>
      </c>
      <c r="J58" s="18" t="n">
        <v>52720.96</v>
      </c>
      <c r="K58" s="37" t="n">
        <v>230477.09</v>
      </c>
      <c r="L58" s="18" t="n">
        <v>51256.22</v>
      </c>
      <c r="M58" s="18" t="n">
        <v>45082.43</v>
      </c>
      <c r="N58" s="18" t="n">
        <v>45625.48</v>
      </c>
      <c r="O58" s="18" t="n">
        <v>44904.75</v>
      </c>
      <c r="P58" s="37" t="n">
        <v>186868.88</v>
      </c>
      <c r="Q58" s="18" t="n">
        <v>42669.17</v>
      </c>
      <c r="R58" s="18" t="n">
        <v>47205.72</v>
      </c>
      <c r="S58" s="18" t="n">
        <v>36679.47</v>
      </c>
      <c r="T58" s="18" t="n">
        <v>45798.77</v>
      </c>
      <c r="U58" s="37" t="n">
        <v>172353.13</v>
      </c>
      <c r="V58" s="18" t="n">
        <v>41095.32</v>
      </c>
      <c r="W58" s="18" t="n">
        <v>42004.04</v>
      </c>
      <c r="X58" s="18" t="n">
        <v>42313.7</v>
      </c>
      <c r="Y58" s="18" t="n">
        <v>38357.31</v>
      </c>
      <c r="Z58" s="37" t="n">
        <v>163770.37</v>
      </c>
      <c r="AA58" s="18" t="n">
        <v>54347.59</v>
      </c>
      <c r="AB58" s="19" t="n">
        <v>51612.08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매출총이익</t>
        </is>
      </c>
      <c r="E59" s="18" t="n">
        <v>9352.83</v>
      </c>
      <c r="F59" s="9" t="n"/>
      <c r="G59" s="18" t="n">
        <v>4246.24</v>
      </c>
      <c r="H59" s="18" t="n">
        <v>4613.95</v>
      </c>
      <c r="I59" s="18" t="n">
        <v>1109.42</v>
      </c>
      <c r="J59" s="18" t="n">
        <v>1465.12</v>
      </c>
      <c r="K59" s="37" t="n">
        <v>11434.73</v>
      </c>
      <c r="L59" s="18" t="n">
        <v>6202.59</v>
      </c>
      <c r="M59" s="18" t="n">
        <v>3531.79</v>
      </c>
      <c r="N59" s="18" t="n">
        <v>2985.72</v>
      </c>
      <c r="O59" s="18" t="n">
        <v>1496.36</v>
      </c>
      <c r="P59" s="37" t="n">
        <v>14216.46</v>
      </c>
      <c r="Q59" s="18" t="n">
        <v>3528.82</v>
      </c>
      <c r="R59" s="18" t="n">
        <v>2635.59</v>
      </c>
      <c r="S59" s="18" t="n">
        <v>1524.03</v>
      </c>
      <c r="T59" s="18" t="n">
        <v>2924.69</v>
      </c>
      <c r="U59" s="37" t="n">
        <v>10613.13</v>
      </c>
      <c r="V59" s="18" t="n">
        <v>2575.71</v>
      </c>
      <c r="W59" s="18" t="n">
        <v>3972.74</v>
      </c>
      <c r="X59" s="18" t="n">
        <v>3737.26</v>
      </c>
      <c r="Y59" s="18" t="n">
        <v>2240</v>
      </c>
      <c r="Z59" s="37" t="n">
        <v>12525.71</v>
      </c>
      <c r="AA59" s="18" t="n">
        <v>3299.82</v>
      </c>
      <c r="AB59" s="19" t="n">
        <v>5885.43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판관비</t>
        </is>
      </c>
      <c r="E60" s="18" t="n">
        <v>2194.02</v>
      </c>
      <c r="F60" s="9" t="n"/>
      <c r="G60" s="18" t="n">
        <v>2298.5</v>
      </c>
      <c r="H60" s="18" t="n">
        <v>1351.15</v>
      </c>
      <c r="I60" s="18" t="n">
        <v>1968.17</v>
      </c>
      <c r="J60" s="18" t="n">
        <v>2167.3</v>
      </c>
      <c r="K60" s="37" t="n">
        <v>7785.12</v>
      </c>
      <c r="L60" s="18" t="n">
        <v>2611.09</v>
      </c>
      <c r="M60" s="18" t="n">
        <v>2427.33</v>
      </c>
      <c r="N60" s="18" t="n">
        <v>2201.76</v>
      </c>
      <c r="O60" s="18" t="n">
        <v>2836.79</v>
      </c>
      <c r="P60" s="37" t="n">
        <v>10076.97</v>
      </c>
      <c r="Q60" s="18" t="n">
        <v>3220.2</v>
      </c>
      <c r="R60" s="18" t="n">
        <v>2505.02</v>
      </c>
      <c r="S60" s="18" t="n">
        <v>2601.27</v>
      </c>
      <c r="T60" s="18" t="n">
        <v>3200.71</v>
      </c>
      <c r="U60" s="37" t="n">
        <v>11527.2</v>
      </c>
      <c r="V60" s="18" t="n">
        <v>2634.13</v>
      </c>
      <c r="W60" s="18" t="n">
        <v>2488.39</v>
      </c>
      <c r="X60" s="18" t="n">
        <v>2523.08</v>
      </c>
      <c r="Y60" s="18" t="n">
        <v>2563.48</v>
      </c>
      <c r="Z60" s="37" t="n">
        <v>10209.08</v>
      </c>
      <c r="AA60" s="18" t="n">
        <v>2782.56</v>
      </c>
      <c r="AB60" s="19" t="n">
        <v>2957.84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영업이익</t>
        </is>
      </c>
      <c r="E61" s="18" t="n">
        <v>7158.81</v>
      </c>
      <c r="F61" s="9" t="n"/>
      <c r="G61" s="18" t="n">
        <v>1947.74</v>
      </c>
      <c r="H61" s="18" t="n">
        <v>3262.8</v>
      </c>
      <c r="I61" s="18" t="n">
        <v>-858.75</v>
      </c>
      <c r="J61" s="18" t="n">
        <v>-702.17</v>
      </c>
      <c r="K61" s="37" t="n">
        <v>3649.62</v>
      </c>
      <c r="L61" s="18" t="n">
        <v>3591.5</v>
      </c>
      <c r="M61" s="18" t="n">
        <v>1104.47</v>
      </c>
      <c r="N61" s="18" t="n">
        <v>783.96</v>
      </c>
      <c r="O61" s="18" t="n">
        <v>-1340.43</v>
      </c>
      <c r="P61" s="37" t="n">
        <v>4139.5</v>
      </c>
      <c r="Q61" s="18" t="n">
        <v>308.62</v>
      </c>
      <c r="R61" s="18" t="n">
        <v>130.57</v>
      </c>
      <c r="S61" s="18" t="n">
        <v>-1077.24</v>
      </c>
      <c r="T61" s="18" t="n">
        <v>-276.02</v>
      </c>
      <c r="U61" s="37" t="n">
        <v>-914.0700000000001</v>
      </c>
      <c r="V61" s="18" t="n">
        <v>-58.42</v>
      </c>
      <c r="W61" s="18" t="n">
        <v>1484.35</v>
      </c>
      <c r="X61" s="18" t="n">
        <v>1214.19</v>
      </c>
      <c r="Y61" s="18" t="n">
        <v>-323.48</v>
      </c>
      <c r="Z61" s="37" t="n">
        <v>2316.64</v>
      </c>
      <c r="AA61" s="18" t="n">
        <v>517.26</v>
      </c>
      <c r="AB61" s="19" t="n">
        <v>2927.59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기타영업외손익</t>
        </is>
      </c>
      <c r="E62" s="18" t="n">
        <v>17.67</v>
      </c>
      <c r="F62" s="9" t="n"/>
      <c r="G62" s="18" t="n">
        <v>245.97</v>
      </c>
      <c r="H62" s="18" t="n">
        <v>212.35</v>
      </c>
      <c r="I62" s="18" t="n">
        <v>116.23</v>
      </c>
      <c r="J62" s="18" t="n">
        <v>-81.77</v>
      </c>
      <c r="K62" s="37" t="n">
        <v>492.78</v>
      </c>
      <c r="L62" s="18" t="n">
        <v>-283.7</v>
      </c>
      <c r="M62" s="18" t="n">
        <v>-188.34</v>
      </c>
      <c r="N62" s="18" t="n">
        <v>188.1</v>
      </c>
      <c r="O62" s="18" t="n">
        <v>717.15</v>
      </c>
      <c r="P62" s="37" t="n">
        <v>433.21</v>
      </c>
      <c r="Q62" s="18" t="n">
        <v>59.5</v>
      </c>
      <c r="R62" s="18" t="n">
        <v>238.2</v>
      </c>
      <c r="S62" s="18" t="n">
        <v>249.44</v>
      </c>
      <c r="T62" s="18" t="n">
        <v>11.81</v>
      </c>
      <c r="U62" s="37" t="n">
        <v>558.95</v>
      </c>
      <c r="V62" s="18" t="n">
        <v>557.64</v>
      </c>
      <c r="W62" s="18" t="n">
        <v>-535.15</v>
      </c>
      <c r="X62" s="18" t="n">
        <v>417.21</v>
      </c>
      <c r="Y62" s="18" t="n">
        <v>207.9</v>
      </c>
      <c r="Z62" s="37" t="n">
        <v>647.6</v>
      </c>
      <c r="AA62" s="18" t="n">
        <v>193.96</v>
      </c>
      <c r="AB62" s="19" t="n">
        <v>169.54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금융수익</t>
        </is>
      </c>
      <c r="E63" s="18" t="n">
        <v>3455.27</v>
      </c>
      <c r="F63" s="9" t="n"/>
      <c r="G63" s="18" t="n">
        <v>474.35</v>
      </c>
      <c r="K63" s="9" t="n"/>
      <c r="L63" s="18" t="n">
        <v>330.11</v>
      </c>
      <c r="M63" s="18" t="n">
        <v>400.7</v>
      </c>
      <c r="N63" s="18" t="n">
        <v>-81.91</v>
      </c>
      <c r="O63" s="18" t="n">
        <v>1300.01</v>
      </c>
      <c r="P63" s="37" t="n">
        <v>1948.91</v>
      </c>
      <c r="Q63" s="18" t="n">
        <v>156.07</v>
      </c>
      <c r="R63" s="18" t="n">
        <v>131</v>
      </c>
      <c r="S63" s="18" t="n">
        <v>235.5</v>
      </c>
      <c r="T63" s="18" t="n">
        <v>630.24</v>
      </c>
      <c r="U63" s="37" t="n">
        <v>1152.81</v>
      </c>
      <c r="V63" s="18" t="n">
        <v>365.66</v>
      </c>
      <c r="W63" s="18" t="n">
        <v>2947.69</v>
      </c>
      <c r="X63" s="18" t="n">
        <v>-1017.32</v>
      </c>
      <c r="Y63" s="18" t="n">
        <v>-640.21</v>
      </c>
      <c r="Z63" s="37" t="n">
        <v>1655.82</v>
      </c>
      <c r="AA63" s="18" t="n">
        <v>304.09</v>
      </c>
      <c r="AB63" s="19" t="n">
        <v>313.36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금융비용</t>
        </is>
      </c>
      <c r="E64" s="18" t="n">
        <v>1571.73</v>
      </c>
      <c r="F64" s="9" t="n"/>
      <c r="G64" s="18" t="n">
        <v>465.15</v>
      </c>
      <c r="K64" s="9" t="n"/>
      <c r="L64" s="18" t="n">
        <v>2528.28</v>
      </c>
      <c r="M64" s="18" t="n">
        <v>1430.91</v>
      </c>
      <c r="N64" s="18" t="n">
        <v>2005.98</v>
      </c>
      <c r="O64" s="18" t="n">
        <v>454.57</v>
      </c>
      <c r="P64" s="37" t="n">
        <v>6419.74</v>
      </c>
      <c r="Q64" s="18" t="n">
        <v>2356.6</v>
      </c>
      <c r="R64" s="18" t="n">
        <v>2163.8</v>
      </c>
      <c r="S64" s="18" t="n">
        <v>28.46</v>
      </c>
      <c r="T64" s="18" t="n">
        <v>4764.25</v>
      </c>
      <c r="U64" s="37" t="n">
        <v>9313.110000000001</v>
      </c>
      <c r="V64" s="18" t="n">
        <v>1263.87</v>
      </c>
      <c r="W64" s="18" t="n">
        <v>1235.48</v>
      </c>
      <c r="X64" s="18" t="n">
        <v>1206.67</v>
      </c>
      <c r="Y64" s="18" t="n">
        <v>1222.08</v>
      </c>
      <c r="Z64" s="37" t="n">
        <v>4928.1</v>
      </c>
      <c r="AA64" s="18" t="n">
        <v>2767.27</v>
      </c>
      <c r="AB64" s="19" t="n">
        <v>1708.22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법인세비용차감전계속사업이익</t>
        </is>
      </c>
      <c r="E65" s="18" t="n">
        <v>9060.02</v>
      </c>
      <c r="F65" s="9" t="n"/>
      <c r="G65" s="18" t="n">
        <v>2202.92</v>
      </c>
      <c r="H65" s="18" t="n">
        <v>-801.7</v>
      </c>
      <c r="I65" s="18" t="n">
        <v>-5579.17</v>
      </c>
      <c r="J65" s="18" t="n">
        <v>2492.21</v>
      </c>
      <c r="K65" s="37" t="n">
        <v>-1685.74</v>
      </c>
      <c r="L65" s="18" t="n">
        <v>1109.63</v>
      </c>
      <c r="M65" s="18" t="n">
        <v>-114.08</v>
      </c>
      <c r="N65" s="18" t="n">
        <v>-1115.83</v>
      </c>
      <c r="O65" s="18" t="n">
        <v>222.16</v>
      </c>
      <c r="P65" s="37" t="n">
        <v>101.88</v>
      </c>
      <c r="Q65" s="18" t="n">
        <v>-1832.4</v>
      </c>
      <c r="R65" s="18" t="n">
        <v>-1664.03</v>
      </c>
      <c r="S65" s="18" t="n">
        <v>-620.77</v>
      </c>
      <c r="T65" s="18" t="n">
        <v>-4398.21</v>
      </c>
      <c r="U65" s="37" t="n">
        <v>-8515.41</v>
      </c>
      <c r="V65" s="18" t="n">
        <v>-398.99</v>
      </c>
      <c r="W65" s="18" t="n">
        <v>2661.4</v>
      </c>
      <c r="X65" s="18" t="n">
        <v>-592.58</v>
      </c>
      <c r="Y65" s="18" t="n">
        <v>-1977.86</v>
      </c>
      <c r="Z65" s="37" t="n">
        <v>-308.03</v>
      </c>
      <c r="AA65" s="18" t="n">
        <v>-1751.96</v>
      </c>
      <c r="AB65" s="19" t="n">
        <v>1702.28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법인세비용</t>
        </is>
      </c>
      <c r="E66" s="18" t="n">
        <v>1727.11</v>
      </c>
      <c r="F66" s="9" t="n"/>
      <c r="G66" s="18" t="n">
        <v>-0.36</v>
      </c>
      <c r="H66" s="18" t="n">
        <v>-298.41</v>
      </c>
      <c r="I66" s="18" t="n">
        <v>1.15</v>
      </c>
      <c r="J66" s="18" t="n">
        <v>1341.26</v>
      </c>
      <c r="K66" s="37" t="n">
        <v>1043.64</v>
      </c>
      <c r="L66" s="18" t="n">
        <v>1.5</v>
      </c>
      <c r="M66" s="18" t="n">
        <v>181.91</v>
      </c>
      <c r="N66" s="18" t="n">
        <v>0.21</v>
      </c>
      <c r="O66" s="18" t="n">
        <v>206.28</v>
      </c>
      <c r="P66" s="37" t="n">
        <v>389.9</v>
      </c>
      <c r="Q66" s="18" t="n">
        <v>-1.11</v>
      </c>
      <c r="R66" s="18" t="n">
        <v>432.97</v>
      </c>
      <c r="S66" s="18" t="n">
        <v>1.01</v>
      </c>
      <c r="T66" s="18" t="n">
        <v>-2115.9</v>
      </c>
      <c r="U66" s="37" t="n">
        <v>-1683.03</v>
      </c>
      <c r="V66" s="18" t="n">
        <v>-0.22</v>
      </c>
      <c r="W66" s="18" t="n">
        <v>447.73</v>
      </c>
      <c r="X66" s="18" t="n">
        <v>0</v>
      </c>
      <c r="Y66" s="18" t="n">
        <v>-747.91</v>
      </c>
      <c r="Z66" s="37" t="n">
        <v>-300.4</v>
      </c>
      <c r="AA66" s="18" t="n">
        <v>0</v>
      </c>
      <c r="AB66" s="19" t="n">
        <v>211.6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당기순이익</t>
        </is>
      </c>
      <c r="E67" s="18" t="n">
        <v>7332.91</v>
      </c>
      <c r="F67" s="9" t="n"/>
      <c r="G67" s="18" t="n">
        <v>2203.28</v>
      </c>
      <c r="H67" s="18" t="n">
        <v>-503.29</v>
      </c>
      <c r="I67" s="18" t="n">
        <v>-5580.32</v>
      </c>
      <c r="J67" s="18" t="n">
        <v>1150.95</v>
      </c>
      <c r="K67" s="37" t="n">
        <v>-2729.38</v>
      </c>
      <c r="L67" s="18" t="n">
        <v>1108.14</v>
      </c>
      <c r="M67" s="18" t="n">
        <v>-295.99</v>
      </c>
      <c r="N67" s="18" t="n">
        <v>-1115.63</v>
      </c>
      <c r="O67" s="18" t="n">
        <v>15.88</v>
      </c>
      <c r="P67" s="37" t="n">
        <v>-287.6</v>
      </c>
      <c r="Q67" s="18" t="n">
        <v>-1831.3</v>
      </c>
      <c r="R67" s="18" t="n">
        <v>-2097.01</v>
      </c>
      <c r="S67" s="18" t="n">
        <v>-621.78</v>
      </c>
      <c r="T67" s="18" t="n">
        <v>-2282.3</v>
      </c>
      <c r="U67" s="37" t="n">
        <v>-6832.39</v>
      </c>
      <c r="V67" s="18" t="n">
        <v>-399.21</v>
      </c>
      <c r="W67" s="18" t="n">
        <v>2213.67</v>
      </c>
      <c r="X67" s="18" t="n">
        <v>-592.58</v>
      </c>
      <c r="Y67" s="18" t="n">
        <v>-1229.95</v>
      </c>
      <c r="Z67" s="37" t="n">
        <v>-8.07</v>
      </c>
      <c r="AA67" s="18" t="n">
        <v>-1751.96</v>
      </c>
      <c r="AB67" s="19" t="n">
        <v>1490.67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총포괄손익</t>
        </is>
      </c>
      <c r="E68" s="18" t="n">
        <v>7217.56</v>
      </c>
      <c r="F68" s="9" t="n"/>
      <c r="G68" s="18" t="n">
        <v>2204.56</v>
      </c>
      <c r="H68" s="18" t="n">
        <v>-509.17</v>
      </c>
      <c r="I68" s="18" t="n">
        <v>-5584.4</v>
      </c>
      <c r="J68" s="18" t="n">
        <v>713.87</v>
      </c>
      <c r="K68" s="37" t="n">
        <v>-3175.14</v>
      </c>
      <c r="L68" s="18" t="n">
        <v>1102.82</v>
      </c>
      <c r="M68" s="18" t="n">
        <v>-292.36</v>
      </c>
      <c r="N68" s="18" t="n">
        <v>-1114.85</v>
      </c>
      <c r="O68" s="18" t="n">
        <v>-383.07</v>
      </c>
      <c r="P68" s="37" t="n">
        <v>-687.46</v>
      </c>
      <c r="Q68" s="18" t="n">
        <v>-1827.1</v>
      </c>
      <c r="R68" s="18" t="n">
        <v>-2098.07</v>
      </c>
      <c r="S68" s="18" t="n">
        <v>-625.6</v>
      </c>
      <c r="T68" s="18" t="n">
        <v>-2810.75</v>
      </c>
      <c r="U68" s="37" t="n">
        <v>-7361.52</v>
      </c>
      <c r="V68" s="18" t="n">
        <v>-400.02</v>
      </c>
      <c r="W68" s="18" t="n">
        <v>2214.74</v>
      </c>
      <c r="X68" s="18" t="n">
        <v>-443.34</v>
      </c>
      <c r="Y68" s="18" t="n">
        <v>-2936.38</v>
      </c>
      <c r="Z68" s="37" t="n">
        <v>-1565</v>
      </c>
      <c r="AA68" s="18" t="n">
        <v>-1751.96</v>
      </c>
      <c r="AB68" s="19" t="n">
        <v>1490.67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금융손익</t>
        </is>
      </c>
      <c r="E69" s="18" t="n">
        <v>1883.54</v>
      </c>
      <c r="F69" s="9" t="n"/>
      <c r="G69" s="18" t="n">
        <v>9.199999999999999</v>
      </c>
      <c r="H69" s="18" t="n">
        <v>-4276.85</v>
      </c>
      <c r="I69" s="18" t="n">
        <v>-4836.64</v>
      </c>
      <c r="J69" s="18" t="n">
        <v>3276.16</v>
      </c>
      <c r="K69" s="37" t="n">
        <v>-5828.13</v>
      </c>
      <c r="L69" s="18" t="n">
        <v>-2198.17</v>
      </c>
      <c r="M69" s="18" t="n">
        <v>-1030.21</v>
      </c>
      <c r="N69" s="18" t="n">
        <v>-2087.89</v>
      </c>
      <c r="O69" s="18" t="n">
        <v>845.4400000000001</v>
      </c>
      <c r="P69" s="37" t="n">
        <v>-4470.83</v>
      </c>
      <c r="Q69" s="18" t="n">
        <v>-2200.53</v>
      </c>
      <c r="R69" s="18" t="n">
        <v>-2032.8</v>
      </c>
      <c r="S69" s="18" t="n">
        <v>207.04</v>
      </c>
      <c r="T69" s="18" t="n">
        <v>-4134.01</v>
      </c>
      <c r="U69" s="37" t="n">
        <v>-8160.3</v>
      </c>
      <c r="V69" s="18" t="n">
        <v>-898.21</v>
      </c>
      <c r="W69" s="18" t="n">
        <v>1712.21</v>
      </c>
      <c r="X69" s="18" t="n">
        <v>-2223.99</v>
      </c>
      <c r="Y69" s="18" t="n">
        <v>-1862.29</v>
      </c>
      <c r="Z69" s="37" t="n">
        <v>-3272.28</v>
      </c>
      <c r="AA69" s="18" t="n">
        <v>-2463.18</v>
      </c>
      <c r="AB69" s="19" t="n">
        <v>-1394.86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(지배주주지분)당기순이익</t>
        </is>
      </c>
      <c r="E70" s="18" t="n">
        <v>7332.91</v>
      </c>
      <c r="F70" s="9" t="n"/>
      <c r="G70" s="18" t="n">
        <v>2203.28</v>
      </c>
      <c r="H70" s="18" t="n">
        <v>-503.29</v>
      </c>
      <c r="I70" s="18" t="n">
        <v>-5580.32</v>
      </c>
      <c r="J70" s="18" t="n">
        <v>1150.95</v>
      </c>
      <c r="K70" s="37" t="n">
        <v>-2729.38</v>
      </c>
      <c r="L70" s="18" t="n">
        <v>1108.14</v>
      </c>
      <c r="M70" s="18" t="n">
        <v>-295.99</v>
      </c>
      <c r="N70" s="18" t="n">
        <v>-1115.63</v>
      </c>
      <c r="O70" s="18" t="n">
        <v>15.88</v>
      </c>
      <c r="P70" s="37" t="n">
        <v>-287.6</v>
      </c>
      <c r="Q70" s="18" t="n">
        <v>-1831.3</v>
      </c>
      <c r="R70" s="18" t="n">
        <v>-2097.01</v>
      </c>
      <c r="S70" s="18" t="n">
        <v>-621.78</v>
      </c>
      <c r="T70" s="18" t="n">
        <v>-2282.3</v>
      </c>
      <c r="U70" s="37" t="n">
        <v>-6832.39</v>
      </c>
      <c r="V70" s="18" t="n">
        <v>-399.21</v>
      </c>
      <c r="W70" s="18" t="n">
        <v>2213.67</v>
      </c>
      <c r="X70" s="18" t="n">
        <v>-592.58</v>
      </c>
      <c r="Y70" s="18" t="n">
        <v>-1229.95</v>
      </c>
      <c r="Z70" s="37" t="n">
        <v>-8.07</v>
      </c>
      <c r="AA70" s="18" t="n">
        <v>-1751.96</v>
      </c>
      <c r="AB70" s="19" t="n">
        <v>1490.67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계속사업이익</t>
        </is>
      </c>
      <c r="E71" s="18" t="n">
        <v>7332.91</v>
      </c>
      <c r="F71" s="9" t="n"/>
      <c r="G71" s="18" t="n">
        <v>2203.28</v>
      </c>
      <c r="H71" s="18" t="n">
        <v>-503.29</v>
      </c>
      <c r="I71" s="18" t="n">
        <v>-5580.32</v>
      </c>
      <c r="J71" s="18" t="n">
        <v>1150.95</v>
      </c>
      <c r="K71" s="37" t="n">
        <v>-2729.38</v>
      </c>
      <c r="L71" s="18" t="n">
        <v>1108.14</v>
      </c>
      <c r="M71" s="18" t="n">
        <v>-295.99</v>
      </c>
      <c r="N71" s="18" t="n">
        <v>-1115.63</v>
      </c>
      <c r="O71" s="18" t="n">
        <v>15.88</v>
      </c>
      <c r="P71" s="37" t="n">
        <v>-287.6</v>
      </c>
      <c r="Q71" s="18" t="n">
        <v>-1831.3</v>
      </c>
      <c r="R71" s="18" t="n">
        <v>-2097.01</v>
      </c>
      <c r="S71" s="18" t="n">
        <v>-621.78</v>
      </c>
      <c r="T71" s="18" t="n">
        <v>-2282.3</v>
      </c>
      <c r="U71" s="37" t="n">
        <v>-6832.39</v>
      </c>
      <c r="V71" s="18" t="n">
        <v>-399.21</v>
      </c>
      <c r="W71" s="18" t="n">
        <v>2213.67</v>
      </c>
      <c r="X71" s="18" t="n">
        <v>-592.58</v>
      </c>
      <c r="Y71" s="18" t="n">
        <v>-1229.95</v>
      </c>
      <c r="Z71" s="37" t="n">
        <v>-8.07</v>
      </c>
      <c r="AA71" s="18" t="n">
        <v>-1751.96</v>
      </c>
      <c r="AB71" s="19" t="n">
        <v>1490.67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기타영업외수익</t>
        </is>
      </c>
      <c r="F72" s="9" t="n"/>
      <c r="K72" s="9" t="n"/>
      <c r="L72" s="18" t="n">
        <v>761.72</v>
      </c>
      <c r="M72" s="18" t="n">
        <v>280.46</v>
      </c>
      <c r="N72" s="18" t="n">
        <v>665.5700000000001</v>
      </c>
      <c r="O72" s="18" t="n">
        <v>665.37</v>
      </c>
      <c r="P72" s="37" t="n">
        <v>2373.12</v>
      </c>
      <c r="Q72" s="18" t="n">
        <v>660.5700000000001</v>
      </c>
      <c r="R72" s="18" t="n">
        <v>525.77</v>
      </c>
      <c r="S72" s="18" t="n">
        <v>693.25</v>
      </c>
      <c r="T72" s="18" t="n">
        <v>632.5700000000001</v>
      </c>
      <c r="U72" s="37" t="n">
        <v>2512.16</v>
      </c>
      <c r="V72" s="18" t="n">
        <v>1034.94</v>
      </c>
      <c r="W72" s="18" t="n">
        <v>-71.28</v>
      </c>
      <c r="X72" s="18" t="n">
        <v>632.67</v>
      </c>
      <c r="Y72" s="18" t="n">
        <v>725.05</v>
      </c>
      <c r="Z72" s="37" t="n">
        <v>2321.38</v>
      </c>
      <c r="AA72" s="18" t="n">
        <v>699.42</v>
      </c>
      <c r="AB72" s="19" t="n">
        <v>645.09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기타영업외비용</t>
        </is>
      </c>
      <c r="F73" s="9" t="n"/>
      <c r="K73" s="9" t="n"/>
      <c r="L73" s="18" t="n">
        <v>1045.42</v>
      </c>
      <c r="M73" s="18" t="n">
        <v>468.8</v>
      </c>
      <c r="N73" s="18" t="n">
        <v>477.47</v>
      </c>
      <c r="O73" s="18" t="n">
        <v>-51.78</v>
      </c>
      <c r="P73" s="37" t="n">
        <v>1939.91</v>
      </c>
      <c r="Q73" s="18" t="n">
        <v>601.0700000000001</v>
      </c>
      <c r="R73" s="18" t="n">
        <v>287.57</v>
      </c>
      <c r="S73" s="18" t="n">
        <v>443.81</v>
      </c>
      <c r="T73" s="18" t="n">
        <v>620.76</v>
      </c>
      <c r="U73" s="37" t="n">
        <v>1953.21</v>
      </c>
      <c r="V73" s="18" t="n">
        <v>477.3</v>
      </c>
      <c r="W73" s="18" t="n">
        <v>463.87</v>
      </c>
      <c r="X73" s="18" t="n">
        <v>215.46</v>
      </c>
      <c r="Y73" s="18" t="n">
        <v>517.15</v>
      </c>
      <c r="Z73" s="37" t="n">
        <v>1673.78</v>
      </c>
      <c r="AA73" s="18" t="n">
        <v>505.46</v>
      </c>
      <c r="AB73" s="19" t="n">
        <v>475.55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영업활동으로인한현금흐름</t>
        </is>
      </c>
      <c r="E74" s="18" t="n">
        <v>9069.93</v>
      </c>
      <c r="F74" s="9" t="n"/>
      <c r="G74" s="18" t="n">
        <v>754.9299999999999</v>
      </c>
      <c r="H74" s="18" t="n">
        <v>-2962.94</v>
      </c>
      <c r="I74" s="18" t="n">
        <v>9919.799999999999</v>
      </c>
      <c r="J74" s="18" t="n">
        <v>12965.6</v>
      </c>
      <c r="K74" s="37" t="n">
        <v>20677.39</v>
      </c>
      <c r="L74" s="18" t="n">
        <v>-2925.96</v>
      </c>
      <c r="M74" s="18" t="n">
        <v>1735.49</v>
      </c>
      <c r="N74" s="18" t="n">
        <v>2717.56</v>
      </c>
      <c r="O74" s="18" t="n">
        <v>3402.11</v>
      </c>
      <c r="P74" s="37" t="n">
        <v>4929.2</v>
      </c>
      <c r="Q74" s="18" t="n">
        <v>-24.3</v>
      </c>
      <c r="R74" s="18" t="n">
        <v>-6388.4</v>
      </c>
      <c r="S74" s="18" t="n">
        <v>8238.969999999999</v>
      </c>
      <c r="T74" s="18" t="n">
        <v>185.24</v>
      </c>
      <c r="U74" s="37" t="n">
        <v>2011.51</v>
      </c>
      <c r="V74" s="18" t="n">
        <v>-3092.03</v>
      </c>
      <c r="W74" s="18" t="n">
        <v>2560.29</v>
      </c>
      <c r="X74" s="18" t="n">
        <v>-4836.31</v>
      </c>
      <c r="Y74" s="18" t="n">
        <v>5914.03</v>
      </c>
      <c r="Z74" s="37" t="n">
        <v>545.98</v>
      </c>
      <c r="AA74" s="18" t="n">
        <v>8300.139999999999</v>
      </c>
      <c r="AB74" s="19" t="n">
        <v>3728.04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배당금수취(CF)</t>
        </is>
      </c>
      <c r="E75" s="18" t="n">
        <v>-61</v>
      </c>
      <c r="F75" s="9" t="n"/>
      <c r="I75" s="18" t="n">
        <v>0</v>
      </c>
      <c r="J75" s="18" t="n">
        <v>0</v>
      </c>
      <c r="K75" s="9" t="n"/>
      <c r="L75" s="18" t="n">
        <v>0</v>
      </c>
      <c r="M75" s="18" t="n">
        <v>60.92</v>
      </c>
      <c r="N75" s="18" t="n">
        <v>0</v>
      </c>
      <c r="O75" s="18" t="n">
        <v>0</v>
      </c>
      <c r="P75" s="37" t="n">
        <v>60.92</v>
      </c>
      <c r="Q75" s="18" t="n">
        <v>0</v>
      </c>
      <c r="R75" s="18" t="n">
        <v>30.46</v>
      </c>
      <c r="S75" s="18" t="n">
        <v>0</v>
      </c>
      <c r="T75" s="18" t="n">
        <v>0</v>
      </c>
      <c r="U75" s="37" t="n">
        <v>30.46</v>
      </c>
      <c r="V75" s="18" t="n">
        <v>0</v>
      </c>
      <c r="W75" s="18" t="n">
        <v>30.46</v>
      </c>
      <c r="X75" s="18" t="n">
        <v>0</v>
      </c>
      <c r="Y75" s="18" t="n">
        <v>0</v>
      </c>
      <c r="Z75" s="37" t="n">
        <v>30.46</v>
      </c>
      <c r="AB75" s="5" t="n"/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법인세납부(CF)</t>
        </is>
      </c>
      <c r="E76" s="18" t="n">
        <v>-1628.13</v>
      </c>
      <c r="F76" s="9" t="n"/>
      <c r="G76" s="18" t="n">
        <v>-320.07</v>
      </c>
      <c r="H76" s="18" t="n">
        <v>-515.51</v>
      </c>
      <c r="I76" s="18" t="n">
        <v>-450.8</v>
      </c>
      <c r="J76" s="18" t="n">
        <v>-6.01</v>
      </c>
      <c r="K76" s="37" t="n">
        <v>-1292.39</v>
      </c>
      <c r="L76" s="18" t="n">
        <v>422.93</v>
      </c>
      <c r="M76" s="18" t="n">
        <v>-19.3</v>
      </c>
      <c r="N76" s="18" t="n">
        <v>-195.14</v>
      </c>
      <c r="O76" s="18" t="n">
        <v>63.57</v>
      </c>
      <c r="P76" s="37" t="n">
        <v>272.06</v>
      </c>
      <c r="Q76" s="18" t="n">
        <v>89.98999999999999</v>
      </c>
      <c r="R76" s="18" t="n">
        <v>-13.71</v>
      </c>
      <c r="S76" s="18" t="n">
        <v>-73.97</v>
      </c>
      <c r="T76" s="18" t="n">
        <v>-38.67</v>
      </c>
      <c r="U76" s="37" t="n">
        <v>-36.36</v>
      </c>
      <c r="V76" s="18" t="n">
        <v>104.67</v>
      </c>
      <c r="W76" s="18" t="n">
        <v>-26.05</v>
      </c>
      <c r="X76" s="18" t="n">
        <v>-59.08</v>
      </c>
      <c r="Y76" s="18" t="n">
        <v>-32.83</v>
      </c>
      <c r="Z76" s="37" t="n">
        <v>-13.29</v>
      </c>
      <c r="AA76" s="18" t="n">
        <v>120.67</v>
      </c>
      <c r="AB76" s="19" t="n">
        <v>-7.42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투자활동으로인한현금흐름</t>
        </is>
      </c>
      <c r="E77" s="18" t="n">
        <v>-1260.68</v>
      </c>
      <c r="F77" s="9" t="n"/>
      <c r="G77" s="18" t="n">
        <v>-9447.219999999999</v>
      </c>
      <c r="H77" s="18" t="n">
        <v>-4578.19</v>
      </c>
      <c r="I77" s="18" t="n">
        <v>-4903.35</v>
      </c>
      <c r="J77" s="18" t="n">
        <v>-468.6</v>
      </c>
      <c r="K77" s="37" t="n">
        <v>-19397.36</v>
      </c>
      <c r="L77" s="18" t="n">
        <v>9122.17</v>
      </c>
      <c r="M77" s="18" t="n">
        <v>-836.1</v>
      </c>
      <c r="N77" s="18" t="n">
        <v>-996.39</v>
      </c>
      <c r="O77" s="18" t="n">
        <v>-212.83</v>
      </c>
      <c r="P77" s="37" t="n">
        <v>7076.85</v>
      </c>
      <c r="Q77" s="18" t="n">
        <v>-643.71</v>
      </c>
      <c r="R77" s="18" t="n">
        <v>-2817.14</v>
      </c>
      <c r="S77" s="18" t="n">
        <v>-6966.02</v>
      </c>
      <c r="T77" s="18" t="n">
        <v>-2535.49</v>
      </c>
      <c r="U77" s="37" t="n">
        <v>-12962.36</v>
      </c>
      <c r="V77" s="18" t="n">
        <v>-2750</v>
      </c>
      <c r="W77" s="18" t="n">
        <v>-853.51</v>
      </c>
      <c r="X77" s="18" t="n">
        <v>-78.43000000000001</v>
      </c>
      <c r="Y77" s="18" t="n">
        <v>-2523.39</v>
      </c>
      <c r="Z77" s="37" t="n">
        <v>-6205.33</v>
      </c>
      <c r="AA77" s="18" t="n">
        <v>1793.07</v>
      </c>
      <c r="AB77" s="19" t="n">
        <v>-7879.79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무형자산의증가</t>
        </is>
      </c>
      <c r="E78" s="18" t="n">
        <v>0</v>
      </c>
      <c r="F78" s="9" t="n"/>
      <c r="I78" s="18" t="n">
        <v>340</v>
      </c>
      <c r="J78" s="18" t="n">
        <v>7.48</v>
      </c>
      <c r="K78" s="9" t="n"/>
      <c r="L78" s="18" t="n">
        <v>0</v>
      </c>
      <c r="M78" s="18" t="n">
        <v>0</v>
      </c>
      <c r="N78" s="18" t="n">
        <v>0</v>
      </c>
      <c r="O78" s="18" t="n">
        <v>0</v>
      </c>
      <c r="P78" s="37" t="n">
        <v>0</v>
      </c>
      <c r="Q78" s="18" t="n">
        <v>0</v>
      </c>
      <c r="R78" s="18" t="n">
        <v>0</v>
      </c>
      <c r="S78" s="18" t="n">
        <v>0</v>
      </c>
      <c r="T78" s="18" t="n">
        <v>0</v>
      </c>
      <c r="U78" s="37" t="n">
        <v>0</v>
      </c>
      <c r="V78" s="18" t="n">
        <v>0</v>
      </c>
      <c r="W78" s="18" t="n">
        <v>0</v>
      </c>
      <c r="X78" s="18" t="n">
        <v>0</v>
      </c>
      <c r="Y78" s="18" t="n">
        <v>817.6</v>
      </c>
      <c r="Z78" s="37" t="n">
        <v>817.6</v>
      </c>
      <c r="AB78" s="5" t="n"/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재무활동으로인한현금흐름</t>
        </is>
      </c>
      <c r="E79" s="18" t="n">
        <v>-3574.2</v>
      </c>
      <c r="F79" s="9" t="n"/>
      <c r="G79" s="18" t="n">
        <v>4324.87</v>
      </c>
      <c r="H79" s="18" t="n">
        <v>9813.389999999999</v>
      </c>
      <c r="I79" s="18" t="n">
        <v>-8734.93</v>
      </c>
      <c r="J79" s="18" t="n">
        <v>-7088.25</v>
      </c>
      <c r="K79" s="37" t="n">
        <v>-1684.92</v>
      </c>
      <c r="L79" s="18" t="n">
        <v>-6888.11</v>
      </c>
      <c r="M79" s="18" t="n">
        <v>-2316.89</v>
      </c>
      <c r="N79" s="18" t="n">
        <v>-1091.89</v>
      </c>
      <c r="O79" s="18" t="n">
        <v>-270.43</v>
      </c>
      <c r="P79" s="37" t="n">
        <v>-10567.32</v>
      </c>
      <c r="Q79" s="18" t="n">
        <v>-5950.74</v>
      </c>
      <c r="R79" s="18" t="n">
        <v>12163.17</v>
      </c>
      <c r="S79" s="18" t="n">
        <v>4180.94</v>
      </c>
      <c r="T79" s="18" t="n">
        <v>-302.64</v>
      </c>
      <c r="U79" s="37" t="n">
        <v>10090.73</v>
      </c>
      <c r="V79" s="18" t="n">
        <v>7407.36</v>
      </c>
      <c r="W79" s="18" t="n">
        <v>-5091.59</v>
      </c>
      <c r="X79" s="18" t="n">
        <v>4408.08</v>
      </c>
      <c r="Y79" s="18" t="n">
        <v>-6606.46</v>
      </c>
      <c r="Z79" s="37" t="n">
        <v>117.39</v>
      </c>
      <c r="AA79" s="18" t="n">
        <v>-1599.69</v>
      </c>
      <c r="AB79" s="19" t="n">
        <v>3911.8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장기차입금의증가</t>
        </is>
      </c>
      <c r="E80" s="18" t="n">
        <v>0</v>
      </c>
      <c r="F80" s="9" t="n"/>
      <c r="G80" s="18" t="n">
        <v>20347.2</v>
      </c>
      <c r="K80" s="9" t="n"/>
      <c r="O80" s="18" t="n">
        <v>4000</v>
      </c>
      <c r="P80" s="9" t="n"/>
      <c r="Q80" s="18" t="n">
        <v>0</v>
      </c>
      <c r="R80" s="18" t="n">
        <v>0</v>
      </c>
      <c r="S80" s="18" t="n">
        <v>6000</v>
      </c>
      <c r="T80" s="18" t="n">
        <v>0</v>
      </c>
      <c r="U80" s="37" t="n">
        <v>6000</v>
      </c>
      <c r="V80" s="18" t="n">
        <v>0</v>
      </c>
      <c r="W80" s="18" t="n">
        <v>0</v>
      </c>
      <c r="X80" s="18" t="n">
        <v>0</v>
      </c>
      <c r="Y80" s="18" t="n">
        <v>0</v>
      </c>
      <c r="Z80" s="37" t="n">
        <v>0</v>
      </c>
      <c r="AB80" s="5" t="n"/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현금및현금성자산의증감</t>
        </is>
      </c>
      <c r="E81" s="18" t="n">
        <v>4235</v>
      </c>
      <c r="F81" s="9" t="n"/>
      <c r="G81" s="18" t="n">
        <v>-4367.99</v>
      </c>
      <c r="H81" s="18" t="n">
        <v>2272.84</v>
      </c>
      <c r="I81" s="18" t="n">
        <v>-3718.49</v>
      </c>
      <c r="J81" s="18" t="n">
        <v>5418.84</v>
      </c>
      <c r="K81" s="37" t="n">
        <v>-394.8</v>
      </c>
      <c r="L81" s="18" t="n">
        <v>-691.36</v>
      </c>
      <c r="M81" s="18" t="n">
        <v>-1407.82</v>
      </c>
      <c r="N81" s="18" t="n">
        <v>630.22</v>
      </c>
      <c r="O81" s="18" t="n">
        <v>2918.48</v>
      </c>
      <c r="P81" s="37" t="n">
        <v>1449.52</v>
      </c>
      <c r="Q81" s="18" t="n">
        <v>-6618.11</v>
      </c>
      <c r="R81" s="18" t="n">
        <v>2960.16</v>
      </c>
      <c r="S81" s="18" t="n">
        <v>5453.17</v>
      </c>
      <c r="T81" s="18" t="n">
        <v>-2653.23</v>
      </c>
      <c r="U81" s="37" t="n">
        <v>-858.01</v>
      </c>
      <c r="V81" s="18" t="n">
        <v>1565.26</v>
      </c>
      <c r="W81" s="18" t="n">
        <v>-3385.38</v>
      </c>
      <c r="X81" s="18" t="n">
        <v>-506.63</v>
      </c>
      <c r="Y81" s="18" t="n">
        <v>-3215.85</v>
      </c>
      <c r="Z81" s="37" t="n">
        <v>-5542.6</v>
      </c>
      <c r="AA81" s="18" t="n">
        <v>8504.07</v>
      </c>
      <c r="AB81" s="19" t="n">
        <v>-197.52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기말현금및현금성자산</t>
        </is>
      </c>
      <c r="E82" s="18" t="n">
        <v>4235</v>
      </c>
      <c r="F82" s="9" t="n"/>
      <c r="G82" s="18" t="n">
        <v>6078.01</v>
      </c>
      <c r="H82" s="18" t="n">
        <v>2272.22</v>
      </c>
      <c r="I82" s="18" t="n">
        <v>-3707.64</v>
      </c>
      <c r="J82" s="18" t="n">
        <v>5408.61</v>
      </c>
      <c r="K82" s="37" t="n">
        <v>10051.2</v>
      </c>
      <c r="L82" s="18" t="n">
        <v>9359.84</v>
      </c>
      <c r="M82" s="18" t="n">
        <v>-1407.82</v>
      </c>
      <c r="N82" s="18" t="n">
        <v>630.22</v>
      </c>
      <c r="O82" s="18" t="n">
        <v>2918.48</v>
      </c>
      <c r="P82" s="37" t="n">
        <v>11500.72</v>
      </c>
      <c r="Q82" s="18" t="n">
        <v>4882.61</v>
      </c>
      <c r="R82" s="18" t="n">
        <v>2960.16</v>
      </c>
      <c r="S82" s="18" t="n">
        <v>5453.17</v>
      </c>
      <c r="T82" s="18" t="n">
        <v>-2653.23</v>
      </c>
      <c r="U82" s="37" t="n">
        <v>10642.71</v>
      </c>
      <c r="V82" s="18" t="n">
        <v>12207.98</v>
      </c>
      <c r="W82" s="18" t="n">
        <v>-3385.39</v>
      </c>
      <c r="X82" s="18" t="n">
        <v>-506.63</v>
      </c>
      <c r="Y82" s="18" t="n">
        <v>-3215.85</v>
      </c>
      <c r="Z82" s="37" t="n">
        <v>5100.11</v>
      </c>
      <c r="AA82" s="18" t="n">
        <v>13604.18</v>
      </c>
      <c r="AB82" s="19" t="n">
        <v>-197.52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CAPEX</t>
        </is>
      </c>
      <c r="E83" s="18" t="n">
        <v>0</v>
      </c>
      <c r="F83" s="9" t="n"/>
      <c r="G83" s="18" t="n">
        <v>1398.66</v>
      </c>
      <c r="H83" s="18" t="n">
        <v>1162.02</v>
      </c>
      <c r="I83" s="18" t="n">
        <v>2144.96</v>
      </c>
      <c r="J83" s="18" t="n">
        <v>2312.69</v>
      </c>
      <c r="K83" s="37" t="n">
        <v>7018.33</v>
      </c>
      <c r="L83" s="18" t="n">
        <v>155.13</v>
      </c>
      <c r="M83" s="18" t="n">
        <v>836.9400000000001</v>
      </c>
      <c r="N83" s="18" t="n">
        <v>2891.37</v>
      </c>
      <c r="O83" s="18" t="n">
        <v>1584.54</v>
      </c>
      <c r="P83" s="37" t="n">
        <v>5467.98</v>
      </c>
      <c r="Q83" s="18" t="n">
        <v>1716.52</v>
      </c>
      <c r="R83" s="18" t="n">
        <v>1283.47</v>
      </c>
      <c r="S83" s="18" t="n">
        <v>935.92</v>
      </c>
      <c r="T83" s="18" t="n">
        <v>2225.61</v>
      </c>
      <c r="U83" s="37" t="n">
        <v>6161.52</v>
      </c>
      <c r="V83" s="18" t="n">
        <v>0</v>
      </c>
      <c r="W83" s="18" t="n">
        <v>853.65</v>
      </c>
      <c r="X83" s="18" t="n">
        <v>963.83</v>
      </c>
      <c r="Y83" s="18" t="n">
        <v>2502.54</v>
      </c>
      <c r="Z83" s="37" t="n">
        <v>4320.02</v>
      </c>
      <c r="AA83" s="18" t="n">
        <v>905</v>
      </c>
      <c r="AB83" s="19" t="n">
        <v>1679.79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유형자산의감소</t>
        </is>
      </c>
      <c r="F84" s="9" t="n"/>
      <c r="G84" s="18" t="n">
        <v>12.85</v>
      </c>
      <c r="I84" s="18" t="n">
        <v>213.5</v>
      </c>
      <c r="K84" s="9" t="n"/>
      <c r="L84" s="18" t="n">
        <v>71.16</v>
      </c>
      <c r="M84" s="18" t="n">
        <v>0.84</v>
      </c>
      <c r="N84" s="18" t="n">
        <v>4</v>
      </c>
      <c r="O84" s="18" t="n">
        <v>0</v>
      </c>
      <c r="P84" s="37" t="n">
        <v>76</v>
      </c>
      <c r="Q84" s="18" t="n">
        <v>65.02</v>
      </c>
      <c r="S84" s="18" t="n">
        <v>0</v>
      </c>
      <c r="T84" s="18" t="n">
        <v>0</v>
      </c>
      <c r="U84" s="9" t="n"/>
      <c r="V84" s="18" t="n">
        <v>0</v>
      </c>
      <c r="W84" s="18" t="n">
        <v>0</v>
      </c>
      <c r="X84" s="18" t="n">
        <v>0</v>
      </c>
      <c r="Y84" s="18" t="n">
        <v>0</v>
      </c>
      <c r="Z84" s="37" t="n">
        <v>0</v>
      </c>
      <c r="AA84" s="18" t="n">
        <v>57.36</v>
      </c>
      <c r="AB84" s="19" t="n">
        <v>0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유형자산의증가</t>
        </is>
      </c>
      <c r="F85" s="9" t="n"/>
      <c r="G85" s="18" t="n">
        <v>1398.66</v>
      </c>
      <c r="H85" s="18" t="n">
        <v>1162.02</v>
      </c>
      <c r="I85" s="18" t="n">
        <v>1804.96</v>
      </c>
      <c r="J85" s="18" t="n">
        <v>2305.21</v>
      </c>
      <c r="K85" s="37" t="n">
        <v>6670.85</v>
      </c>
      <c r="L85" s="18" t="n">
        <v>155.13</v>
      </c>
      <c r="M85" s="18" t="n">
        <v>836.9400000000001</v>
      </c>
      <c r="N85" s="18" t="n">
        <v>2891.37</v>
      </c>
      <c r="O85" s="18" t="n">
        <v>1584.54</v>
      </c>
      <c r="P85" s="37" t="n">
        <v>5467.98</v>
      </c>
      <c r="Q85" s="18" t="n">
        <v>1716.52</v>
      </c>
      <c r="R85" s="18" t="n">
        <v>1283.47</v>
      </c>
      <c r="S85" s="18" t="n">
        <v>935.92</v>
      </c>
      <c r="T85" s="18" t="n">
        <v>2225.61</v>
      </c>
      <c r="U85" s="37" t="n">
        <v>6161.52</v>
      </c>
      <c r="V85" s="18" t="n">
        <v>0</v>
      </c>
      <c r="W85" s="18" t="n">
        <v>853.65</v>
      </c>
      <c r="X85" s="18" t="n">
        <v>963.83</v>
      </c>
      <c r="Y85" s="18" t="n">
        <v>1684.94</v>
      </c>
      <c r="Z85" s="37" t="n">
        <v>3502.42</v>
      </c>
      <c r="AA85" s="18" t="n">
        <v>905</v>
      </c>
      <c r="AB85" s="19" t="n">
        <v>1679.79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단기차입금의증가</t>
        </is>
      </c>
      <c r="F86" s="9" t="n"/>
      <c r="G86" s="18" t="n">
        <v>24727.06</v>
      </c>
      <c r="H86" s="18" t="n">
        <v>40620.8</v>
      </c>
      <c r="K86" s="9" t="n"/>
      <c r="L86" s="18" t="n">
        <v>6615.31</v>
      </c>
      <c r="M86" s="18" t="n">
        <v>5500</v>
      </c>
      <c r="N86" s="18" t="n">
        <v>1203.93</v>
      </c>
      <c r="O86" s="18" t="n">
        <v>0</v>
      </c>
      <c r="P86" s="37" t="n">
        <v>13319.24</v>
      </c>
      <c r="Q86" s="18" t="n">
        <v>4896.2</v>
      </c>
      <c r="R86" s="18" t="n">
        <v>39501.6</v>
      </c>
      <c r="U86" s="9" t="n"/>
      <c r="V86" s="18" t="n">
        <v>8799.16</v>
      </c>
      <c r="W86" s="18" t="n">
        <v>10000</v>
      </c>
      <c r="X86" s="18" t="n">
        <v>11280.99</v>
      </c>
      <c r="Z86" s="9" t="n"/>
      <c r="AA86" s="18" t="n">
        <v>16300</v>
      </c>
      <c r="AB86" s="19" t="n">
        <v>4000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이자지급(CF)</t>
        </is>
      </c>
      <c r="F87" s="9" t="n"/>
      <c r="I87" s="18" t="n">
        <v>-1107.59</v>
      </c>
      <c r="K87" s="9" t="n"/>
      <c r="P87" s="9" t="n"/>
      <c r="U87" s="9" t="n"/>
      <c r="Z87" s="9" t="n"/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배당금지급</t>
        </is>
      </c>
      <c r="F88" s="9" t="n"/>
      <c r="I88" s="18" t="n">
        <v>0</v>
      </c>
      <c r="J88" s="18" t="n">
        <v>0</v>
      </c>
      <c r="K88" s="9" t="n"/>
      <c r="L88" s="18" t="n">
        <v>0</v>
      </c>
      <c r="M88" s="18" t="n">
        <v>730.61</v>
      </c>
      <c r="N88" s="18" t="n">
        <v>0</v>
      </c>
      <c r="O88" s="18" t="n">
        <v>0</v>
      </c>
      <c r="P88" s="37" t="n">
        <v>730.61</v>
      </c>
      <c r="Q88" s="18" t="n">
        <v>730.61</v>
      </c>
      <c r="R88" s="18" t="n">
        <v>0</v>
      </c>
      <c r="S88" s="18" t="n">
        <v>0</v>
      </c>
      <c r="T88" s="18" t="n">
        <v>0</v>
      </c>
      <c r="U88" s="37" t="n">
        <v>730.61</v>
      </c>
      <c r="V88" s="18" t="n">
        <v>243.54</v>
      </c>
      <c r="W88" s="18" t="n">
        <v>0</v>
      </c>
      <c r="X88" s="18" t="n">
        <v>0</v>
      </c>
      <c r="Y88" s="18" t="n">
        <v>0</v>
      </c>
      <c r="Z88" s="37" t="n">
        <v>243.54</v>
      </c>
      <c r="AA88" s="18" t="n">
        <v>712.28</v>
      </c>
      <c r="AB88" s="19" t="n">
        <v>0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유동성장기부채의감소</t>
        </is>
      </c>
      <c r="F89" s="9" t="n"/>
      <c r="K89" s="9" t="n"/>
      <c r="L89" s="18" t="n">
        <v>0</v>
      </c>
      <c r="M89" s="18" t="n">
        <v>0</v>
      </c>
      <c r="N89" s="18" t="n">
        <v>0</v>
      </c>
      <c r="O89" s="18" t="n">
        <v>0</v>
      </c>
      <c r="P89" s="37" t="n">
        <v>0</v>
      </c>
      <c r="Q89" s="18" t="n">
        <v>0</v>
      </c>
      <c r="R89" s="18" t="n">
        <v>0</v>
      </c>
      <c r="S89" s="18" t="n">
        <v>0</v>
      </c>
      <c r="T89" s="18" t="n">
        <v>0</v>
      </c>
      <c r="U89" s="37" t="n">
        <v>0</v>
      </c>
      <c r="V89" s="18" t="n">
        <v>0</v>
      </c>
      <c r="W89" s="18" t="n">
        <v>0</v>
      </c>
      <c r="X89" s="18" t="n">
        <v>0</v>
      </c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리스부채의상환</t>
        </is>
      </c>
      <c r="F90" s="9" t="n"/>
      <c r="K90" s="9" t="n"/>
      <c r="L90" s="18" t="n">
        <v>86.8</v>
      </c>
      <c r="M90" s="18" t="n">
        <v>86.29000000000001</v>
      </c>
      <c r="O90" s="18" t="n">
        <v>270.43</v>
      </c>
      <c r="P90" s="9" t="n"/>
      <c r="Q90" s="18" t="n">
        <v>323.92</v>
      </c>
      <c r="S90" s="18" t="n">
        <v>82.56</v>
      </c>
      <c r="T90" s="18" t="n">
        <v>83.40000000000001</v>
      </c>
      <c r="U90" s="9" t="n"/>
      <c r="V90" s="18" t="n">
        <v>84.26000000000001</v>
      </c>
      <c r="W90" s="18" t="n">
        <v>85.14</v>
      </c>
      <c r="X90" s="18" t="n">
        <v>172.9</v>
      </c>
      <c r="Y90" s="18" t="n">
        <v>0</v>
      </c>
      <c r="Z90" s="37" t="n">
        <v>342.3</v>
      </c>
      <c r="AA90" s="18" t="n">
        <v>87.41</v>
      </c>
      <c r="AB90" s="19" t="n">
        <v>88.20999999999999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단기차입금의감소</t>
        </is>
      </c>
      <c r="F91" s="9" t="n"/>
      <c r="K91" s="9" t="n"/>
      <c r="P91" s="9" t="n"/>
      <c r="U91" s="9" t="n"/>
      <c r="V91" s="18" t="n">
        <v>1764</v>
      </c>
      <c r="W91" s="18" t="n">
        <v>13800</v>
      </c>
      <c r="X91" s="18" t="n">
        <v>6400</v>
      </c>
      <c r="Z91" s="9" t="n"/>
      <c r="AA91" s="18" t="n">
        <v>17100</v>
      </c>
      <c r="AB91" s="19" t="n">
        <v>0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SUM(Q11:T11)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IFERROR(AC12+AC13,"")</f>
        <v/>
      </c>
      <c r="AD11" s="20">
        <f>IFERROR(AD12+AD13,"")</f>
        <v/>
      </c>
      <c r="AE11" s="38">
        <f>SUM(AA11:AD11)</f>
        <v/>
      </c>
      <c r="AF11" s="20">
        <f>IFERROR(AF12+AF13,"")</f>
        <v/>
      </c>
      <c r="AG11" s="20">
        <f>IFERROR(AG12+AG13,"")</f>
        <v/>
      </c>
      <c r="AH11" s="20">
        <f>IFERROR(AH12+AH13,"")</f>
        <v/>
      </c>
      <c r="AI11" s="20">
        <f>IFERROR(AI12+AI13,"")</f>
        <v/>
      </c>
      <c r="AJ11" s="38">
        <f>SUM(AF11:AI11)</f>
        <v/>
      </c>
      <c r="AK11" s="20">
        <f>IFERROR(AK12+AK13,"")</f>
        <v/>
      </c>
      <c r="AL11" s="20">
        <f>IFERROR(AL12+AL13,"")</f>
        <v/>
      </c>
      <c r="AM11" s="20">
        <f>IFERROR(AM12+AM13,"")</f>
        <v/>
      </c>
      <c r="AN11" s="20">
        <f>IFERROR(AN12+AN13,"")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 t="n"/>
      <c r="N12" s="18" t="n"/>
      <c r="O12" s="18" t="n"/>
      <c r="P12" s="37">
        <f>SUM(L12:O12)</f>
        <v/>
      </c>
      <c r="Q12" s="18" t="n"/>
      <c r="R12" s="18" t="n"/>
      <c r="S12" s="18" t="n"/>
      <c r="T12" s="18" t="n"/>
      <c r="U12" s="37">
        <f>SUM(Q12:T12)</f>
        <v/>
      </c>
      <c r="V12" s="18" t="n"/>
      <c r="W12" s="18" t="n"/>
      <c r="X12" s="18" t="n"/>
      <c r="Y12" s="18" t="n"/>
      <c r="Z12" s="37">
        <f>SUM(V12:Y12)</f>
        <v/>
      </c>
      <c r="AA12" s="18" t="n"/>
      <c r="AB12" s="19" t="n"/>
      <c r="AC12" s="20">
        <f>IFERROR((AB26*변수!$D$52-AB24*변수!$D$53)/4,"")</f>
        <v/>
      </c>
      <c r="AD12" s="20">
        <f>IFERROR((AC26*변수!$D$52-AC24*변수!$D$53)/4,"")</f>
        <v/>
      </c>
      <c r="AE12" s="38">
        <f>SUM(AA12:AD12)</f>
        <v/>
      </c>
      <c r="AF12" s="20">
        <f>IFERROR((AD26*변수!$D$52-AD24*변수!$D$53)/4,"")</f>
        <v/>
      </c>
      <c r="AG12" s="20">
        <f>IFERROR((AF26*변수!$D$52-AF24*변수!$D$53)/4,"")</f>
        <v/>
      </c>
      <c r="AH12" s="20">
        <f>IFERROR((AG26*변수!$D$52-AG24*변수!$D$53)/4,"")</f>
        <v/>
      </c>
      <c r="AI12" s="20">
        <f>IFERROR((AH26*변수!$D$52-AH24*변수!$D$53)/4,"")</f>
        <v/>
      </c>
      <c r="AJ12" s="38">
        <f>SUM(AF12:AI12)</f>
        <v/>
      </c>
      <c r="AK12" s="20">
        <f>IFERROR((AI26*변수!$D$52-AI24*변수!$D$53)/4,"")</f>
        <v/>
      </c>
      <c r="AL12" s="20">
        <f>IFERROR((AK26*변수!$D$52-AK24*변수!$D$53)/4,"")</f>
        <v/>
      </c>
      <c r="AM12" s="20">
        <f>IFERROR((AL26*변수!$D$52-AL24*변수!$D$53)/4,"")</f>
        <v/>
      </c>
      <c r="AN12" s="20">
        <f>IFERROR((AM26*변수!$D$52-AM24*변수!$D$53)/4,"")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 t="n"/>
      <c r="H13" s="18" t="n"/>
      <c r="I13" s="18" t="n"/>
      <c r="J13" s="18" t="n"/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 t="n"/>
      <c r="N13" s="18" t="n"/>
      <c r="O13" s="18" t="n"/>
      <c r="P13" s="37">
        <f>SUM(L13:O13)</f>
        <v/>
      </c>
      <c r="Q13" s="18" t="n"/>
      <c r="R13" s="18" t="n"/>
      <c r="S13" s="18" t="n"/>
      <c r="T13" s="18" t="n"/>
      <c r="U13" s="37">
        <f>SUM(Q13:T13)</f>
        <v/>
      </c>
      <c r="V13" s="18" t="n"/>
      <c r="W13" s="18" t="n"/>
      <c r="X13" s="18" t="n"/>
      <c r="Y13" s="18" t="n"/>
      <c r="Z13" s="37">
        <f>SUM(V13:Y13)</f>
        <v/>
      </c>
      <c r="AA13" s="18" t="n"/>
      <c r="AB13" s="19" t="n"/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기타영업외손익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기타영업외손익</t>
        </is>
      </c>
      <c r="E14" s="18">
        <f>IFERROR(VLOOKUP($D14,BS연결,MATCH(E$1,BS연결H,0),0)/100,"")</f>
        <v/>
      </c>
      <c r="F14" s="37" t="n"/>
      <c r="G14" s="18">
        <f>IFERROR(VLOOKUP($D14,BS연결,MATCH(G$1,BS연결H,0),0)/100,"")</f>
        <v/>
      </c>
      <c r="H14" s="18">
        <f>IFERROR(VLOOKUP($D14,BS연결,MATCH(H$1,BS연결H,0),0)/100,"")</f>
        <v/>
      </c>
      <c r="I14" s="18">
        <f>IFERROR(VLOOKUP($D14,BS연결,MATCH(I$1,BS연결H,0),0)/100,"")</f>
        <v/>
      </c>
      <c r="J14" s="18">
        <f>IFERROR(VLOOKUP($D14,BS연결,MATCH(J$1,BS연결H,0),0)/100,"")</f>
        <v/>
      </c>
      <c r="K14" s="37">
        <f>IFERROR(VLOOKUP($D14,BS연결,MATCH(K$1,BS연결H,0),0)/100,"")</f>
        <v/>
      </c>
      <c r="L14" s="18">
        <f>IFERROR(VLOOKUP($D14,BS연결,MATCH(L$1,BS연결H,0),0)/100,"")</f>
        <v/>
      </c>
      <c r="M14" s="18">
        <f>IFERROR(VLOOKUP($D14,BS연결,MATCH(M$1,BS연결H,0),0)/100,"")</f>
        <v/>
      </c>
      <c r="N14" s="18">
        <f>IFERROR(VLOOKUP($D14,BS연결,MATCH(N$1,BS연결H,0),0)/100,"")</f>
        <v/>
      </c>
      <c r="O14" s="18">
        <f>IFERROR(VLOOKUP($D14,BS연결,MATCH(O$1,BS연결H,0),0)/100,"")</f>
        <v/>
      </c>
      <c r="P14" s="37">
        <f>IFERROR(VLOOKUP($D14,BS연결,MATCH(P$1,BS연결H,0),0)/100,"")</f>
        <v/>
      </c>
      <c r="Q14" s="18">
        <f>IFERROR(VLOOKUP($D14,BS연결,MATCH(Q$1,BS연결H,0),0)/100,"")</f>
        <v/>
      </c>
      <c r="R14" s="18">
        <f>IFERROR(VLOOKUP($D14,BS연결,MATCH(R$1,BS연결H,0),0)/100,"")</f>
        <v/>
      </c>
      <c r="S14" s="18">
        <f>IFERROR(VLOOKUP($D14,BS연결,MATCH(S$1,BS연결H,0),0)/100,"")</f>
        <v/>
      </c>
      <c r="T14" s="18">
        <f>IFERROR(VLOOKUP($D14,BS연결,MATCH(T$1,BS연결H,0),0)/100,"")</f>
        <v/>
      </c>
      <c r="U14" s="37">
        <f>IFERROR(VLOOKUP($D14,BS연결,MATCH(U$1,BS연결H,0),0)/100,"")</f>
        <v/>
      </c>
      <c r="V14" s="18">
        <f>IFERROR(VLOOKUP($D14,BS연결,MATCH(V$1,BS연결H,0),0)/100,"")</f>
        <v/>
      </c>
      <c r="W14" s="18">
        <f>IFERROR(VLOOKUP($D14,BS연결,MATCH(W$1,BS연결H,0),0)/100,"")</f>
        <v/>
      </c>
      <c r="X14" s="18">
        <f>IFERROR(VLOOKUP($D14,BS연결,MATCH(X$1,BS연결H,0),0)/100,"")</f>
        <v/>
      </c>
      <c r="Y14" s="18">
        <f>IFERROR(VLOOKUP($D14,BS연결,MATCH(Y$1,BS연결H,0),0)/100,"")</f>
        <v/>
      </c>
      <c r="Z14" s="37">
        <f>IFERROR(VLOOKUP($D14,BS연결,MATCH(Z$1,BS연결H,0),0)/100,"")</f>
        <v/>
      </c>
      <c r="AA14" s="18">
        <f>IFERROR(VLOOKUP($D14,BS연결,MATCH(AA$1,BS연결H,0),0)/100,"")</f>
        <v/>
      </c>
      <c r="AB14" s="19">
        <f>IFERROR(VLOOKUP($D14,BS연결,MATCH(AB$1,BS연결H,0),0)/100,"")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지분법손익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종속기업,공동지배기업및관계기업관련손익</t>
        </is>
      </c>
      <c r="E15" s="18" t="n"/>
      <c r="F15" s="37" t="n"/>
      <c r="G15" s="18" t="n"/>
      <c r="H15" s="18">
        <f>IFERROR(VLOOKUP($D15,BS연결,MATCH(H$1,BS연결H,0),0)/100,"")</f>
        <v/>
      </c>
      <c r="I15" s="18">
        <f>IFERROR(VLOOKUP($D15,BS연결,MATCH(I$1,BS연결H,0),0)/100,"")</f>
        <v/>
      </c>
      <c r="J15" s="18" t="n"/>
      <c r="K15" s="37">
        <f>SUM(G15:J15)</f>
        <v/>
      </c>
      <c r="L15" s="18" t="n"/>
      <c r="M15" s="18" t="n"/>
      <c r="N15" s="18" t="n"/>
      <c r="O15" s="18" t="n"/>
      <c r="P15" s="37">
        <f>SUM(L15:O15)</f>
        <v/>
      </c>
      <c r="Q15" s="18" t="n"/>
      <c r="R15" s="18" t="n"/>
      <c r="S15" s="18" t="n"/>
      <c r="T15" s="18" t="n"/>
      <c r="U15" s="37">
        <f>SUM(Q15:T15)</f>
        <v/>
      </c>
      <c r="V15" s="18" t="n"/>
      <c r="W15" s="18" t="n"/>
      <c r="X15" s="18" t="n"/>
      <c r="Y15" s="18" t="n"/>
      <c r="Z15" s="37">
        <f>SUM(V15:Y15)</f>
        <v/>
      </c>
      <c r="AA15" s="18" t="n"/>
      <c r="AB15" s="19" t="n"/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세전이익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법인세비용차감전계속사업이익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IFERROR(AC9+AC11+AC14+AC15,"")</f>
        <v/>
      </c>
      <c r="AD16" s="20">
        <f>IFERROR(AD9+AD11+AD14+AD15,"")</f>
        <v/>
      </c>
      <c r="AE16" s="38">
        <f>SUM(AA16:AD16)</f>
        <v/>
      </c>
      <c r="AF16" s="20">
        <f>IFERROR(AF9+AF11+AF14+AF15,"")</f>
        <v/>
      </c>
      <c r="AG16" s="20">
        <f>IFERROR(AG9+AG11+AG14+AG15,"")</f>
        <v/>
      </c>
      <c r="AH16" s="20">
        <f>IFERROR(AH9+AH11+AH14+AH15,"")</f>
        <v/>
      </c>
      <c r="AI16" s="20">
        <f>IFERROR(AI9+AI11+AI14+AI15,"")</f>
        <v/>
      </c>
      <c r="AJ16" s="38">
        <f>SUM(AF16:AI16)</f>
        <v/>
      </c>
      <c r="AK16" s="20">
        <f>IFERROR(AK9+AK11+AK14+AK15,"")</f>
        <v/>
      </c>
      <c r="AL16" s="20">
        <f>IFERROR(AL9+AL11+AL14+AL15,"")</f>
        <v/>
      </c>
      <c r="AM16" s="20">
        <f>IFERROR(AM9+AM11+AM14+AM15,"")</f>
        <v/>
      </c>
      <c r="AN16" s="20">
        <f>IFERROR(AN9+AN11+AN14+AN15,"")</f>
        <v/>
      </c>
      <c r="AO16" s="38">
        <f>SUM(AK16:AN16)</f>
        <v/>
      </c>
    </row>
    <row r="17">
      <c r="A17" s="12" t="inlineStr">
        <is>
          <t>법인세비용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SUM(Q17:T17)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SUM(V17:Y17)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IFERROR(AC16*변수!AC27,"")</f>
        <v/>
      </c>
      <c r="AD17" s="20">
        <f>IFERROR(AD16*변수!AD27,"")</f>
        <v/>
      </c>
      <c r="AE17" s="38">
        <f>SUM(AA17:AD17)</f>
        <v/>
      </c>
      <c r="AF17" s="20">
        <f>IFERROR(AF16*변수!AF27,"")</f>
        <v/>
      </c>
      <c r="AG17" s="20">
        <f>IFERROR(AG16*변수!AG27,"")</f>
        <v/>
      </c>
      <c r="AH17" s="20">
        <f>IFERROR(AH16*변수!AH27,"")</f>
        <v/>
      </c>
      <c r="AI17" s="20">
        <f>IFERROR(AI16*변수!AI27,"")</f>
        <v/>
      </c>
      <c r="AJ17" s="38">
        <f>SUM(AF17:AI17)</f>
        <v/>
      </c>
      <c r="AK17" s="20">
        <f>IFERROR(AK16*변수!AK27,"")</f>
        <v/>
      </c>
      <c r="AL17" s="20">
        <f>IFERROR(AL16*변수!AL27,"")</f>
        <v/>
      </c>
      <c r="AM17" s="20">
        <f>IFERROR(AM16*변수!AM27,"")</f>
        <v/>
      </c>
      <c r="AN17" s="20">
        <f>IFERROR(AN16*변수!AN27,"")</f>
        <v/>
      </c>
      <c r="AO17" s="38">
        <f>SUM(AK17:AN17)</f>
        <v/>
      </c>
    </row>
    <row r="18">
      <c r="A18" s="12" t="inlineStr">
        <is>
          <t>당기순이익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당기순이익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SUM(Q18:T18)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IFERROR(AC16-AC17,"")</f>
        <v/>
      </c>
      <c r="AD18" s="20">
        <f>IFERROR(AD16-AD17,"")</f>
        <v/>
      </c>
      <c r="AE18" s="38">
        <f>SUM(AA18:AD18)</f>
        <v/>
      </c>
      <c r="AF18" s="20">
        <f>IFERROR(AF16-AF17,"")</f>
        <v/>
      </c>
      <c r="AG18" s="20">
        <f>IFERROR(AG16-AG17,"")</f>
        <v/>
      </c>
      <c r="AH18" s="20">
        <f>IFERROR(AH16-AH17,"")</f>
        <v/>
      </c>
      <c r="AI18" s="20">
        <f>IFERROR(AI16-AI17,"")</f>
        <v/>
      </c>
      <c r="AJ18" s="38">
        <f>SUM(AF18:AI18)</f>
        <v/>
      </c>
      <c r="AK18" s="20">
        <f>IFERROR(AK16-AK17,"")</f>
        <v/>
      </c>
      <c r="AL18" s="20">
        <f>IFERROR(AL16-AL17,"")</f>
        <v/>
      </c>
      <c r="AM18" s="20">
        <f>IFERROR(AM16-AM17,"")</f>
        <v/>
      </c>
      <c r="AN18" s="20">
        <f>IFERROR(AN16-AN17,"")</f>
        <v/>
      </c>
      <c r="AO18" s="38">
        <f>SUM(AK18:AN18)</f>
        <v/>
      </c>
    </row>
    <row r="19">
      <c r="A19" s="12" t="inlineStr">
        <is>
          <t>지배주주순이익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(지배주주지분)당기순이익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 t="n">
        <v>12.68</v>
      </c>
      <c r="M19" s="18" t="n">
        <v>-4.99</v>
      </c>
      <c r="N19" s="18" t="n">
        <v>-5.03</v>
      </c>
      <c r="O19" s="18" t="n">
        <v>-3.26</v>
      </c>
      <c r="P19" s="37">
        <f>SUM(L19:O19)</f>
        <v/>
      </c>
      <c r="Q19" s="18" t="n">
        <v>-21.08</v>
      </c>
      <c r="R19" s="18" t="n">
        <v>-17.89</v>
      </c>
      <c r="S19" s="18" t="n">
        <v>-8.02</v>
      </c>
      <c r="T19" s="18" t="n">
        <v>-5.59</v>
      </c>
      <c r="U19" s="37">
        <f>SUM(Q19:T19)</f>
        <v/>
      </c>
      <c r="V19" s="18" t="n">
        <v>-1.86</v>
      </c>
      <c r="W19" s="18" t="n">
        <v>18.6</v>
      </c>
      <c r="X19" s="18" t="n">
        <v>-9.119999999999999</v>
      </c>
      <c r="Y19" s="18" t="n">
        <v>-13.16</v>
      </c>
      <c r="Z19" s="37">
        <f>SUM(V19:Y19)</f>
        <v/>
      </c>
      <c r="AA19" s="18" t="n">
        <v>-14.64</v>
      </c>
      <c r="AB19" s="19" t="n">
        <v>18.35</v>
      </c>
      <c r="AC19" s="20">
        <f>IFERROR(AC18*변수!AC28,"")</f>
        <v/>
      </c>
      <c r="AD19" s="20">
        <f>IFERROR(AD18*변수!AD28,"")</f>
        <v/>
      </c>
      <c r="AE19" s="38">
        <f>SUM(AA19:AD19)</f>
        <v/>
      </c>
      <c r="AF19" s="20">
        <f>IFERROR(AF18*변수!AF28,"")</f>
        <v/>
      </c>
      <c r="AG19" s="20">
        <f>IFERROR(AG18*변수!AG28,"")</f>
        <v/>
      </c>
      <c r="AH19" s="20">
        <f>IFERROR(AH18*변수!AH28,"")</f>
        <v/>
      </c>
      <c r="AI19" s="20">
        <f>IFERROR(AI18*변수!AI28,"")</f>
        <v/>
      </c>
      <c r="AJ19" s="38">
        <f>SUM(AF19:AI19)</f>
        <v/>
      </c>
      <c r="AK19" s="20">
        <f>IFERROR(AK18*변수!AK28,"")</f>
        <v/>
      </c>
      <c r="AL19" s="20">
        <f>IFERROR(AL18*변수!AL28,"")</f>
        <v/>
      </c>
      <c r="AM19" s="20">
        <f>IFERROR(AM18*변수!AM28,"")</f>
        <v/>
      </c>
      <c r="AN19" s="20">
        <f>IFERROR(AN18*변수!AN28,"")</f>
        <v/>
      </c>
      <c r="AO19" s="38">
        <f>SUM(AK19:AN19)</f>
        <v/>
      </c>
    </row>
    <row r="20">
      <c r="A20" s="12" t="inlineStr">
        <is>
          <t>자산총계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자산총계</t>
        </is>
      </c>
      <c r="E20" s="18">
        <f>IFERROR(VLOOKUP($D20,BS연결,MATCH(E$1,BS연결H,0),0)/100,"")</f>
        <v/>
      </c>
      <c r="F20" s="37">
        <f>IFERROR(VLOOKUP($D20,BS연결,MATCH(F$1,BS연결H,0),0)/100,"")</f>
        <v/>
      </c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IFERROR(AC21+AC22,"")</f>
        <v/>
      </c>
      <c r="AD20" s="20">
        <f>IFERROR(AD21+AD22,"")</f>
        <v/>
      </c>
      <c r="AE20" s="38">
        <f>AD20</f>
        <v/>
      </c>
      <c r="AF20" s="20">
        <f>IFERROR(AF21+AF22,"")</f>
        <v/>
      </c>
      <c r="AG20" s="20">
        <f>IFERROR(AG21+AG22,"")</f>
        <v/>
      </c>
      <c r="AH20" s="20">
        <f>IFERROR(AH21+AH22,"")</f>
        <v/>
      </c>
      <c r="AI20" s="20">
        <f>IFERROR(AI21+AI22,"")</f>
        <v/>
      </c>
      <c r="AJ20" s="38">
        <f>AI20</f>
        <v/>
      </c>
      <c r="AK20" s="20">
        <f>IFERROR(AK21+AK22,"")</f>
        <v/>
      </c>
      <c r="AL20" s="20">
        <f>IFERROR(AL21+AL22,"")</f>
        <v/>
      </c>
      <c r="AM20" s="20">
        <f>IFERROR(AM21+AM22,"")</f>
        <v/>
      </c>
      <c r="AN20" s="20">
        <f>IFERROR(AN21+AN22,"")</f>
        <v/>
      </c>
      <c r="AO20" s="38">
        <f>AN20</f>
        <v/>
      </c>
    </row>
    <row r="21">
      <c r="A21" s="12" t="inlineStr">
        <is>
          <t>부채총계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부채총계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IFERROR(AB21*(1+변수!AC29),"")</f>
        <v/>
      </c>
      <c r="AD21" s="20">
        <f>IFERROR(AC21*(1+변수!AD29),"")</f>
        <v/>
      </c>
      <c r="AE21" s="38">
        <f>AD21</f>
        <v/>
      </c>
      <c r="AF21" s="20">
        <f>IFERROR(AD21*(1+변수!AF29),"")</f>
        <v/>
      </c>
      <c r="AG21" s="20">
        <f>IFERROR(AF21*(1+변수!AG29),"")</f>
        <v/>
      </c>
      <c r="AH21" s="20">
        <f>IFERROR(AG21*(1+변수!AH29),"")</f>
        <v/>
      </c>
      <c r="AI21" s="20">
        <f>IFERROR(AH21*(1+변수!AI29),"")</f>
        <v/>
      </c>
      <c r="AJ21" s="38">
        <f>AI21</f>
        <v/>
      </c>
      <c r="AK21" s="20">
        <f>IFERROR(AI21*(1+변수!AK29),"")</f>
        <v/>
      </c>
      <c r="AL21" s="20">
        <f>IFERROR(AK21*(1+변수!AL29),"")</f>
        <v/>
      </c>
      <c r="AM21" s="20">
        <f>IFERROR(AL21*(1+변수!AM29),"")</f>
        <v/>
      </c>
      <c r="AN21" s="20">
        <f>IFERROR(AM21*(1+변수!AN29),"")</f>
        <v/>
      </c>
      <c r="AO21" s="38">
        <f>AN21</f>
        <v/>
      </c>
    </row>
    <row r="22">
      <c r="A22" s="12" t="inlineStr">
        <is>
          <t>자본총계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자본총계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IFERROR(AB22+AC18-변수!AC30,"")</f>
        <v/>
      </c>
      <c r="AD22" s="20">
        <f>IFERROR(AC22+AD18-변수!AD30,"")</f>
        <v/>
      </c>
      <c r="AE22" s="38">
        <f>AD22</f>
        <v/>
      </c>
      <c r="AF22" s="20">
        <f>IFERROR(AD22+AF18-변수!AF30,"")</f>
        <v/>
      </c>
      <c r="AG22" s="20">
        <f>IFERROR(AF22+AG18-변수!AG30,"")</f>
        <v/>
      </c>
      <c r="AH22" s="20">
        <f>IFERROR(AG22+AH18-변수!AH30,"")</f>
        <v/>
      </c>
      <c r="AI22" s="20">
        <f>IFERROR(AH22+AI18-변수!AI30,"")</f>
        <v/>
      </c>
      <c r="AJ22" s="38">
        <f>AI22</f>
        <v/>
      </c>
      <c r="AK22" s="20">
        <f>IFERROR(AI22+AK18-변수!AK30,"")</f>
        <v/>
      </c>
      <c r="AL22" s="20">
        <f>IFERROR(AK22+AL18-변수!AL30,"")</f>
        <v/>
      </c>
      <c r="AM22" s="20">
        <f>IFERROR(AL22+AM18-변수!AM30,"")</f>
        <v/>
      </c>
      <c r="AN22" s="20">
        <f>IFERROR(AM22+AN18-변수!AN30,"")</f>
        <v/>
      </c>
      <c r="AO22" s="38">
        <f>AN22</f>
        <v/>
      </c>
    </row>
    <row r="23">
      <c r="A23" s="12" t="inlineStr">
        <is>
          <t>지배주주지분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지배주주지분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IFERROR(AB23+AC19-변수!AC31,"")</f>
        <v/>
      </c>
      <c r="AD23" s="20">
        <f>IFERROR(AC23+AD19-변수!AD31,"")</f>
        <v/>
      </c>
      <c r="AE23" s="38">
        <f>AD23</f>
        <v/>
      </c>
      <c r="AF23" s="20">
        <f>IFERROR(AD23+AF19-변수!AF31,"")</f>
        <v/>
      </c>
      <c r="AG23" s="20">
        <f>IFERROR(AF23+AG19-변수!AG31,"")</f>
        <v/>
      </c>
      <c r="AH23" s="20">
        <f>IFERROR(AG23+AH19-변수!AH31,"")</f>
        <v/>
      </c>
      <c r="AI23" s="20">
        <f>IFERROR(AH23+AI19-변수!AI31,"")</f>
        <v/>
      </c>
      <c r="AJ23" s="38">
        <f>AI23</f>
        <v/>
      </c>
      <c r="AK23" s="20">
        <f>IFERROR(AI23+AK19-변수!AK31,"")</f>
        <v/>
      </c>
      <c r="AL23" s="20">
        <f>IFERROR(AK23+AL19-변수!AL31,"")</f>
        <v/>
      </c>
      <c r="AM23" s="20">
        <f>IFERROR(AL23+AM19-변수!AM31,"")</f>
        <v/>
      </c>
      <c r="AN23" s="20">
        <f>IFERROR(AM23+AN19-변수!AN31,"")</f>
        <v/>
      </c>
      <c r="AO23" s="38">
        <f>AN23</f>
        <v/>
      </c>
    </row>
    <row r="24">
      <c r="A24" s="12" t="inlineStr">
        <is>
          <t>총차입금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총차입금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  <c r="AF24" s="20">
        <f>IFERROR(AD24*(1+변수!AF32),"")</f>
        <v/>
      </c>
      <c r="AG24" s="20">
        <f>IFERROR(AF24*(1+변수!AG32),"")</f>
        <v/>
      </c>
      <c r="AH24" s="20">
        <f>IFERROR(AG24*(1+변수!AH32),"")</f>
        <v/>
      </c>
      <c r="AI24" s="20">
        <f>IFERROR(AH24*(1+변수!AI32),"")</f>
        <v/>
      </c>
      <c r="AJ24" s="38">
        <f>AI24</f>
        <v/>
      </c>
      <c r="AK24" s="20">
        <f>IFERROR(AI24*(1+변수!AK32),"")</f>
        <v/>
      </c>
      <c r="AL24" s="20">
        <f>IFERROR(AK24*(1+변수!AL32),"")</f>
        <v/>
      </c>
      <c r="AM24" s="20">
        <f>IFERROR(AL24*(1+변수!AM32),"")</f>
        <v/>
      </c>
      <c r="AN24" s="20">
        <f>IFERROR(AM24*(1+변수!AN32),"")</f>
        <v/>
      </c>
      <c r="AO24" s="38">
        <f>AN24</f>
        <v/>
      </c>
    </row>
    <row r="25">
      <c r="A25" s="12" t="inlineStr">
        <is>
          <t>순차입금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순차입금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IFERROR(AB25*(1+변수!AC33),"")</f>
        <v/>
      </c>
      <c r="AD25" s="20">
        <f>IFERROR(AC25*(1+변수!AD33),"")</f>
        <v/>
      </c>
      <c r="AE25" s="38">
        <f>AD25</f>
        <v/>
      </c>
      <c r="AF25" s="20">
        <f>IFERROR(AD25*(1+변수!AF33),"")</f>
        <v/>
      </c>
      <c r="AG25" s="20">
        <f>IFERROR(AF25*(1+변수!AG33),"")</f>
        <v/>
      </c>
      <c r="AH25" s="20">
        <f>IFERROR(AG25*(1+변수!AH33),"")</f>
        <v/>
      </c>
      <c r="AI25" s="20">
        <f>IFERROR(AH25*(1+변수!AI33),"")</f>
        <v/>
      </c>
      <c r="AJ25" s="38">
        <f>AI25</f>
        <v/>
      </c>
      <c r="AK25" s="20">
        <f>IFERROR(AI25*(1+변수!AK33),"")</f>
        <v/>
      </c>
      <c r="AL25" s="20">
        <f>IFERROR(AK25*(1+변수!AL33),"")</f>
        <v/>
      </c>
      <c r="AM25" s="20">
        <f>IFERROR(AL25*(1+변수!AM33),"")</f>
        <v/>
      </c>
      <c r="AN25" s="20">
        <f>IFERROR(AM25*(1+변수!AN33),"")</f>
        <v/>
      </c>
      <c r="AO25" s="38">
        <f>AN25</f>
        <v/>
      </c>
    </row>
    <row r="26">
      <c r="A26" s="12" t="inlineStr">
        <is>
          <t>이자발생자산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이자발생자산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IFERROR(AB26*(1+변수!AC34),"")</f>
        <v/>
      </c>
      <c r="AD26" s="20">
        <f>IFERROR(AC26*(1+변수!AD34),"")</f>
        <v/>
      </c>
      <c r="AE26" s="38">
        <f>AD26</f>
        <v/>
      </c>
      <c r="AF26" s="20">
        <f>IFERROR(AD26*(1+변수!AF34),"")</f>
        <v/>
      </c>
      <c r="AG26" s="20">
        <f>IFERROR(AF26*(1+변수!AG34),"")</f>
        <v/>
      </c>
      <c r="AH26" s="20">
        <f>IFERROR(AG26*(1+변수!AH34),"")</f>
        <v/>
      </c>
      <c r="AI26" s="20">
        <f>IFERROR(AH26*(1+변수!AI34),"")</f>
        <v/>
      </c>
      <c r="AJ26" s="38">
        <f>AI26</f>
        <v/>
      </c>
      <c r="AK26" s="20">
        <f>IFERROR(AI26*(1+변수!AK34),"")</f>
        <v/>
      </c>
      <c r="AL26" s="20">
        <f>IFERROR(AK26*(1+변수!AL34),"")</f>
        <v/>
      </c>
      <c r="AM26" s="20">
        <f>IFERROR(AL26*(1+변수!AM34),"")</f>
        <v/>
      </c>
      <c r="AN26" s="20">
        <f>IFERROR(AM26*(1+변수!AN34),"")</f>
        <v/>
      </c>
      <c r="AO26" s="38">
        <f>AN26</f>
        <v/>
      </c>
    </row>
    <row r="27">
      <c r="A27" s="12" t="inlineStr">
        <is>
          <t>현금및현금성자산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현금및현금성자산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 t="n"/>
      <c r="AD27" s="20" t="n"/>
      <c r="AE27" s="38">
        <f>AD27</f>
        <v/>
      </c>
      <c r="AF27" s="20" t="n"/>
      <c r="AG27" s="20" t="n"/>
      <c r="AH27" s="20" t="n"/>
      <c r="AI27" s="20" t="n"/>
      <c r="AJ27" s="38">
        <f>AI27</f>
        <v/>
      </c>
      <c r="AK27" s="20" t="n"/>
      <c r="AL27" s="20" t="n"/>
      <c r="AM27" s="20" t="n"/>
      <c r="AN27" s="20" t="n"/>
      <c r="AO27" s="38">
        <f>AN27</f>
        <v/>
      </c>
    </row>
    <row r="28">
      <c r="A28" s="12" t="inlineStr">
        <is>
          <t>CAPEX</t>
        </is>
      </c>
      <c r="B28" t="inlineStr">
        <is>
          <t>현금흐름</t>
        </is>
      </c>
      <c r="C28" t="inlineStr">
        <is>
          <t>억원</t>
        </is>
      </c>
      <c r="D28" t="inlineStr">
        <is>
          <t>CAPEX</t>
        </is>
      </c>
      <c r="E28" s="18">
        <f>IFERROR(VLOOKUP($D28,BS연결,MATCH(E$1,BS연결H,0),0)/100,"")</f>
        <v/>
      </c>
      <c r="F28" s="37" t="n"/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IFERROR(X28*(1+변수!AC36),"")</f>
        <v/>
      </c>
      <c r="AD28" s="20">
        <f>IFERROR(Y28*(1+변수!AD36),"")</f>
        <v/>
      </c>
      <c r="AE28" s="38">
        <f>SUM(AA28:AD28)</f>
        <v/>
      </c>
      <c r="AF28" s="20">
        <f>IFERROR(AA28*(1+변수!AF36),"")</f>
        <v/>
      </c>
      <c r="AG28" s="20">
        <f>IFERROR(AB28*(1+변수!AG36),"")</f>
        <v/>
      </c>
      <c r="AH28" s="20">
        <f>IFERROR(AC28*(1+변수!AH36),"")</f>
        <v/>
      </c>
      <c r="AI28" s="20">
        <f>IFERROR(AD28*(1+변수!AI36),"")</f>
        <v/>
      </c>
      <c r="AJ28" s="38">
        <f>SUM(AF28:AI28)</f>
        <v/>
      </c>
      <c r="AK28" s="20">
        <f>IFERROR(AF28*(1+변수!AK36),"")</f>
        <v/>
      </c>
      <c r="AL28" s="20">
        <f>IFERROR(AG28*(1+변수!AL36),"")</f>
        <v/>
      </c>
      <c r="AM28" s="20">
        <f>IFERROR(AH28*(1+변수!AM36),"")</f>
        <v/>
      </c>
      <c r="AN28" s="20">
        <f>IFERROR(AI28*(1+변수!AN36),"")</f>
        <v/>
      </c>
      <c r="AO28" s="38">
        <f>SUM(AK28:AN28)</f>
        <v/>
      </c>
    </row>
    <row r="29">
      <c r="A29" s="12" t="inlineStr">
        <is>
          <t>영업활동현금흐름</t>
        </is>
      </c>
      <c r="B29" t="inlineStr">
        <is>
          <t>현금흐름</t>
        </is>
      </c>
      <c r="C29" t="inlineStr">
        <is>
          <t>억원</t>
        </is>
      </c>
      <c r="D29" t="inlineStr">
        <is>
          <t>영업활동으로인한현금흐름</t>
        </is>
      </c>
      <c r="E29" s="18">
        <f>IFERROR(VLOOKUP($D29,BS연결,MATCH(E$1,BS연결H,0),0)/100,"")</f>
        <v/>
      </c>
      <c r="F29" s="37" t="n"/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 t="n"/>
      <c r="AD29" s="20" t="n"/>
      <c r="AE29" s="38">
        <f>SUM(AA29:AD29)</f>
        <v/>
      </c>
      <c r="AF29" s="20" t="n"/>
      <c r="AG29" s="20" t="n"/>
      <c r="AH29" s="20" t="n"/>
      <c r="AI29" s="20" t="n"/>
      <c r="AJ29" s="38">
        <f>SUM(AF29:AI29)</f>
        <v/>
      </c>
      <c r="AK29" s="20" t="n"/>
      <c r="AL29" s="20" t="n"/>
      <c r="AM29" s="20" t="n"/>
      <c r="AN29" s="20" t="n"/>
      <c r="AO29" s="38">
        <f>SUM(AK29:AN29)</f>
        <v/>
      </c>
    </row>
    <row r="30">
      <c r="A30" s="12" t="inlineStr">
        <is>
          <t>주식수</t>
        </is>
      </c>
      <c r="B30" t="inlineStr">
        <is>
          <t>주당</t>
        </is>
      </c>
      <c r="C30" t="inlineStr">
        <is>
          <t>백만주</t>
        </is>
      </c>
      <c r="D30" t="inlineStr">
        <is>
          <t>유통주식수</t>
        </is>
      </c>
      <c r="E30" s="27" t="n">
        <v>24.354</v>
      </c>
      <c r="F30" s="28">
        <f>E30</f>
        <v/>
      </c>
      <c r="G30" s="27" t="n">
        <v>24.354</v>
      </c>
      <c r="H30" s="27" t="n">
        <v>24.354</v>
      </c>
      <c r="I30" s="27" t="n">
        <v>24.354</v>
      </c>
      <c r="J30" s="27" t="n">
        <v>24.354</v>
      </c>
      <c r="K30" s="28">
        <f>J30</f>
        <v/>
      </c>
      <c r="L30" s="27" t="n">
        <v>24.354</v>
      </c>
      <c r="M30" s="27" t="n">
        <v>24.354</v>
      </c>
      <c r="N30" s="27" t="n">
        <v>24.354</v>
      </c>
      <c r="O30" s="27" t="n">
        <v>24.354</v>
      </c>
      <c r="P30" s="28">
        <f>O30</f>
        <v/>
      </c>
      <c r="Q30" s="27" t="n">
        <v>24.354</v>
      </c>
      <c r="R30" s="27" t="n">
        <v>24.354</v>
      </c>
      <c r="S30" s="27" t="n">
        <v>24.354</v>
      </c>
      <c r="T30" s="27" t="n">
        <v>24.354</v>
      </c>
      <c r="U30" s="28">
        <f>T30</f>
        <v/>
      </c>
      <c r="V30" s="27" t="n">
        <v>24.173</v>
      </c>
      <c r="W30" s="27" t="n">
        <v>23.743</v>
      </c>
      <c r="X30" s="27" t="n">
        <v>23.743</v>
      </c>
      <c r="Y30" s="27" t="n">
        <v>23.743</v>
      </c>
      <c r="Z30" s="28">
        <f>Y30</f>
        <v/>
      </c>
      <c r="AA30" s="27" t="n">
        <v>23.743</v>
      </c>
      <c r="AB30" s="29" t="n">
        <v>23.743</v>
      </c>
      <c r="AC30" s="33">
        <f>IFERROR(AB30*(1+변수!AC38),"")</f>
        <v/>
      </c>
      <c r="AD30" s="33">
        <f>IFERROR(AC30*(1+변수!AD38),"")</f>
        <v/>
      </c>
      <c r="AE30" s="31">
        <f>AD30</f>
        <v/>
      </c>
      <c r="AF30" s="33">
        <f>IFERROR(AD30*(1+변수!AF38),"")</f>
        <v/>
      </c>
      <c r="AG30" s="33">
        <f>IFERROR(AF30*(1+변수!AG38),"")</f>
        <v/>
      </c>
      <c r="AH30" s="33">
        <f>IFERROR(AG30*(1+변수!AH38),"")</f>
        <v/>
      </c>
      <c r="AI30" s="33">
        <f>IFERROR(AH30*(1+변수!AI38),"")</f>
        <v/>
      </c>
      <c r="AJ30" s="31">
        <f>AI30</f>
        <v/>
      </c>
      <c r="AK30" s="33">
        <f>IFERROR(AI30*(1+변수!AK38),"")</f>
        <v/>
      </c>
      <c r="AL30" s="33">
        <f>IFERROR(AK30*(1+변수!AL38),"")</f>
        <v/>
      </c>
      <c r="AM30" s="33">
        <f>IFERROR(AL30*(1+변수!AM38),"")</f>
        <v/>
      </c>
      <c r="AN30" s="33">
        <f>IFERROR(AM30*(1+변수!AN38),"")</f>
        <v/>
      </c>
      <c r="AO30" s="31">
        <f>AN30</f>
        <v/>
      </c>
    </row>
    <row r="31">
      <c r="A31" s="12" t="inlineStr">
        <is>
          <t>EPS</t>
        </is>
      </c>
      <c r="B31" t="inlineStr">
        <is>
          <t>주당</t>
        </is>
      </c>
      <c r="C31" t="inlineStr">
        <is>
          <t>원</t>
        </is>
      </c>
      <c r="D31" t="inlineStr">
        <is>
          <t>EPS</t>
        </is>
      </c>
      <c r="E31" s="18">
        <f>IFERROR(E19*100/E30,"")</f>
        <v/>
      </c>
      <c r="F31" s="37" t="n"/>
      <c r="G31" s="18">
        <f>IFERROR(G19*100/G30,"")</f>
        <v/>
      </c>
      <c r="H31" s="18">
        <f>IFERROR(H19*100/H30,"")</f>
        <v/>
      </c>
      <c r="I31" s="18">
        <f>IFERROR(I19*100/I30,"")</f>
        <v/>
      </c>
      <c r="J31" s="18">
        <f>IFERROR(J19*100/J30,"")</f>
        <v/>
      </c>
      <c r="K31" s="37">
        <f>SUM(G31:J31)</f>
        <v/>
      </c>
      <c r="L31" s="18">
        <f>IFERROR(L19*100/L30,"")</f>
        <v/>
      </c>
      <c r="M31" s="18">
        <f>IFERROR(M19*100/M30,"")</f>
        <v/>
      </c>
      <c r="N31" s="18">
        <f>IFERROR(N19*100/N30,"")</f>
        <v/>
      </c>
      <c r="O31" s="18">
        <f>IFERROR(O19*100/O30,"")</f>
        <v/>
      </c>
      <c r="P31" s="37">
        <f>SUM(L31:O31)</f>
        <v/>
      </c>
      <c r="Q31" s="18">
        <f>IFERROR(Q19*100/Q30,"")</f>
        <v/>
      </c>
      <c r="R31" s="18">
        <f>IFERROR(R19*100/R30,"")</f>
        <v/>
      </c>
      <c r="S31" s="18">
        <f>IFERROR(S19*100/S30,"")</f>
        <v/>
      </c>
      <c r="T31" s="18">
        <f>IFERROR(T19*100/T30,"")</f>
        <v/>
      </c>
      <c r="U31" s="37">
        <f>SUM(Q31:T31)</f>
        <v/>
      </c>
      <c r="V31" s="18">
        <f>IFERROR(V19*100/V30,"")</f>
        <v/>
      </c>
      <c r="W31" s="18">
        <f>IFERROR(W19*100/W30,"")</f>
        <v/>
      </c>
      <c r="X31" s="18">
        <f>IFERROR(X19*100/X30,"")</f>
        <v/>
      </c>
      <c r="Y31" s="18">
        <f>IFERROR(Y19*100/Y30,"")</f>
        <v/>
      </c>
      <c r="Z31" s="37">
        <f>SUM(V31:Y31)</f>
        <v/>
      </c>
      <c r="AA31" s="18">
        <f>IFERROR(AA19*100/AA30,"")</f>
        <v/>
      </c>
      <c r="AB31" s="19">
        <f>IFERROR(AB19*100/AB30,"")</f>
        <v/>
      </c>
      <c r="AC31" s="20">
        <f>IFERROR(AC19*100/AC30,"")</f>
        <v/>
      </c>
      <c r="AD31" s="20">
        <f>IFERROR(AD19*100/AD30,"")</f>
        <v/>
      </c>
      <c r="AE31" s="38">
        <f>SUM(AA31:AD31)</f>
        <v/>
      </c>
      <c r="AF31" s="20">
        <f>IFERROR(AF19*100/AF30,"")</f>
        <v/>
      </c>
      <c r="AG31" s="20">
        <f>IFERROR(AG19*100/AG30,"")</f>
        <v/>
      </c>
      <c r="AH31" s="20">
        <f>IFERROR(AH19*100/AH30,"")</f>
        <v/>
      </c>
      <c r="AI31" s="20">
        <f>IFERROR(AI19*100/AI30,"")</f>
        <v/>
      </c>
      <c r="AJ31" s="38">
        <f>SUM(AF31:AI31)</f>
        <v/>
      </c>
      <c r="AK31" s="20">
        <f>IFERROR(AK19*100/AK30,"")</f>
        <v/>
      </c>
      <c r="AL31" s="20">
        <f>IFERROR(AL19*100/AL30,"")</f>
        <v/>
      </c>
      <c r="AM31" s="20">
        <f>IFERROR(AM19*100/AM30,"")</f>
        <v/>
      </c>
      <c r="AN31" s="20">
        <f>IFERROR(AN19*100/AN30,"")</f>
        <v/>
      </c>
      <c r="AO31" s="38">
        <f>SUM(AK31:AN31)</f>
        <v/>
      </c>
    </row>
    <row r="32">
      <c r="A32" s="12" t="inlineStr">
        <is>
          <t>BPS</t>
        </is>
      </c>
      <c r="B32" t="inlineStr">
        <is>
          <t>주당</t>
        </is>
      </c>
      <c r="C32" t="inlineStr">
        <is>
          <t>원</t>
        </is>
      </c>
      <c r="D32" t="inlineStr">
        <is>
          <t>BPS</t>
        </is>
      </c>
      <c r="E32" s="18">
        <f>IFERROR(E23*100/E30,"")</f>
        <v/>
      </c>
      <c r="F32" s="37">
        <f>E32</f>
        <v/>
      </c>
      <c r="G32" s="18">
        <f>IFERROR(G23*100/G30,"")</f>
        <v/>
      </c>
      <c r="H32" s="18">
        <f>IFERROR(H23*100/H30,"")</f>
        <v/>
      </c>
      <c r="I32" s="18">
        <f>IFERROR(I23*100/I30,"")</f>
        <v/>
      </c>
      <c r="J32" s="18">
        <f>IFERROR(J23*100/J30,"")</f>
        <v/>
      </c>
      <c r="K32" s="37">
        <f>J32</f>
        <v/>
      </c>
      <c r="L32" s="18">
        <f>IFERROR(L23*100/L30,"")</f>
        <v/>
      </c>
      <c r="M32" s="18">
        <f>IFERROR(M23*100/M30,"")</f>
        <v/>
      </c>
      <c r="N32" s="18">
        <f>IFERROR(N23*100/N30,"")</f>
        <v/>
      </c>
      <c r="O32" s="18">
        <f>IFERROR(O23*100/O30,"")</f>
        <v/>
      </c>
      <c r="P32" s="37">
        <f>O32</f>
        <v/>
      </c>
      <c r="Q32" s="18">
        <f>IFERROR(Q23*100/Q30,"")</f>
        <v/>
      </c>
      <c r="R32" s="18">
        <f>IFERROR(R23*100/R30,"")</f>
        <v/>
      </c>
      <c r="S32" s="18">
        <f>IFERROR(S23*100/S30,"")</f>
        <v/>
      </c>
      <c r="T32" s="18">
        <f>IFERROR(T23*100/T30,"")</f>
        <v/>
      </c>
      <c r="U32" s="37">
        <f>T32</f>
        <v/>
      </c>
      <c r="V32" s="18">
        <f>IFERROR(V23*100/V30,"")</f>
        <v/>
      </c>
      <c r="W32" s="18">
        <f>IFERROR(W23*100/W30,"")</f>
        <v/>
      </c>
      <c r="X32" s="18">
        <f>IFERROR(X23*100/X30,"")</f>
        <v/>
      </c>
      <c r="Y32" s="18">
        <f>IFERROR(Y23*100/Y30,"")</f>
        <v/>
      </c>
      <c r="Z32" s="37">
        <f>Y32</f>
        <v/>
      </c>
      <c r="AA32" s="18">
        <f>IFERROR(AA23*100/AA30,"")</f>
        <v/>
      </c>
      <c r="AB32" s="19">
        <f>IFERROR(AB23*100/AB30,"")</f>
        <v/>
      </c>
      <c r="AC32" s="20">
        <f>IFERROR(AC23*100/AC30,"")</f>
        <v/>
      </c>
      <c r="AD32" s="20">
        <f>IFERROR(AD23*100/AD30,"")</f>
        <v/>
      </c>
      <c r="AE32" s="38">
        <f>AD32</f>
        <v/>
      </c>
      <c r="AF32" s="20">
        <f>IFERROR(AF23*100/AF30,"")</f>
        <v/>
      </c>
      <c r="AG32" s="20">
        <f>IFERROR(AG23*100/AG30,"")</f>
        <v/>
      </c>
      <c r="AH32" s="20">
        <f>IFERROR(AH23*100/AH30,"")</f>
        <v/>
      </c>
      <c r="AI32" s="20">
        <f>IFERROR(AI23*100/AI30,"")</f>
        <v/>
      </c>
      <c r="AJ32" s="38">
        <f>AI32</f>
        <v/>
      </c>
      <c r="AK32" s="20">
        <f>IFERROR(AK23*100/AK30,"")</f>
        <v/>
      </c>
      <c r="AL32" s="20">
        <f>IFERROR(AL23*100/AL30,"")</f>
        <v/>
      </c>
      <c r="AM32" s="20">
        <f>IFERROR(AM23*100/AM30,"")</f>
        <v/>
      </c>
      <c r="AN32" s="20">
        <f>IFERROR(AN23*100/AN30,"")</f>
        <v/>
      </c>
      <c r="AO32" s="38">
        <f>AN32</f>
        <v/>
      </c>
    </row>
    <row r="33">
      <c r="A33" s="12" t="inlineStr">
        <is>
          <t>DPS</t>
        </is>
      </c>
      <c r="B33" t="inlineStr">
        <is>
          <t>주당</t>
        </is>
      </c>
      <c r="C33" t="inlineStr">
        <is>
          <t>원</t>
        </is>
      </c>
      <c r="D33" t="inlineStr">
        <is>
          <t>DPS(보통주)</t>
        </is>
      </c>
      <c r="E33" s="18" t="n">
        <v>50</v>
      </c>
      <c r="F33" s="37" t="n">
        <v>50</v>
      </c>
      <c r="G33" s="18" t="n"/>
      <c r="H33" s="18" t="n"/>
      <c r="I33" s="18" t="n"/>
      <c r="J33" s="18" t="n">
        <v>30</v>
      </c>
      <c r="K33" s="37">
        <f>SUM(G33:J33)</f>
        <v/>
      </c>
      <c r="L33" s="18" t="n"/>
      <c r="M33" s="18" t="n"/>
      <c r="N33" s="18" t="n"/>
      <c r="O33" s="18" t="n">
        <v>30</v>
      </c>
      <c r="P33" s="37">
        <f>SUM(L33:O33)</f>
        <v/>
      </c>
      <c r="Q33" s="18" t="n"/>
      <c r="R33" s="18" t="n"/>
      <c r="S33" s="18" t="n"/>
      <c r="T33" s="18" t="n">
        <v>10</v>
      </c>
      <c r="U33" s="37">
        <f>SUM(Q33:T33)</f>
        <v/>
      </c>
      <c r="V33" s="18" t="n"/>
      <c r="W33" s="18" t="n"/>
      <c r="X33" s="18" t="n"/>
      <c r="Y33" s="18" t="n">
        <v>30</v>
      </c>
      <c r="Z33" s="37">
        <f>SUM(V33:Y33)</f>
        <v/>
      </c>
      <c r="AA33" s="18" t="n"/>
      <c r="AB33" s="19" t="n"/>
      <c r="AC33" s="20" t="n"/>
      <c r="AD33" s="20">
        <f>변수!AD39</f>
        <v/>
      </c>
      <c r="AE33" s="38">
        <f>SUM(AA33:AD33)</f>
        <v/>
      </c>
      <c r="AF33" s="20" t="n"/>
      <c r="AG33" s="20" t="n"/>
      <c r="AH33" s="20" t="n"/>
      <c r="AI33" s="20">
        <f>변수!AI39</f>
        <v/>
      </c>
      <c r="AJ33" s="38">
        <f>SUM(AF33:AI33)</f>
        <v/>
      </c>
      <c r="AK33" s="20" t="n"/>
      <c r="AL33" s="20" t="n"/>
      <c r="AM33" s="20" t="n"/>
      <c r="AN33" s="20">
        <f>변수!AN39</f>
        <v/>
      </c>
      <c r="AO33" s="38">
        <f>SUM(AK33:AN33)</f>
        <v/>
      </c>
    </row>
    <row r="34">
      <c r="A34" s="12" t="inlineStr">
        <is>
          <t>PER</t>
        </is>
      </c>
      <c r="B34" t="inlineStr">
        <is>
          <t>주당</t>
        </is>
      </c>
      <c r="C34" t="inlineStr">
        <is>
          <t>배</t>
        </is>
      </c>
      <c r="D34" t="inlineStr">
        <is>
          <t>PER</t>
        </is>
      </c>
      <c r="E34" s="13" t="n"/>
      <c r="F34" s="14">
        <f>E34</f>
        <v/>
      </c>
      <c r="G34" s="13" t="n"/>
      <c r="H34" s="13" t="n"/>
      <c r="I34" s="13">
        <f>IFERROR(변수!I18/(E31+G31+H31+I31),"")</f>
        <v/>
      </c>
      <c r="J34" s="13" t="n"/>
      <c r="K34" s="14">
        <f>J34</f>
        <v/>
      </c>
      <c r="L34" s="13" t="n"/>
      <c r="M34" s="13" t="n"/>
      <c r="N34" s="13">
        <f>IFERROR(변수!N18/(J31+L31+M31+N31),"")</f>
        <v/>
      </c>
      <c r="O34" s="13" t="n"/>
      <c r="P34" s="14">
        <f>O34</f>
        <v/>
      </c>
      <c r="Q34" s="13" t="n"/>
      <c r="R34" s="13" t="n"/>
      <c r="S34" s="13" t="n"/>
      <c r="T34" s="13" t="n"/>
      <c r="U34" s="14">
        <f>T34</f>
        <v/>
      </c>
      <c r="V34" s="13" t="n"/>
      <c r="W34" s="13">
        <f>IFERROR(변수!W18/(S31+T31+V31+W31),"")</f>
        <v/>
      </c>
      <c r="X34" s="13">
        <f>IFERROR(변수!X18/(T31+V31+W31+X31),"")</f>
        <v/>
      </c>
      <c r="Y34" s="13" t="n"/>
      <c r="Z34" s="14">
        <f>Y34</f>
        <v/>
      </c>
      <c r="AA34" s="13" t="n"/>
      <c r="AB34" s="15" t="n"/>
      <c r="AC34" s="39" t="n"/>
      <c r="AD34" s="39" t="n"/>
      <c r="AE34" s="40">
        <f>AD34</f>
        <v/>
      </c>
      <c r="AF34" s="39" t="n"/>
      <c r="AG34" s="39" t="n"/>
      <c r="AH34" s="39" t="n"/>
      <c r="AI34" s="39" t="n"/>
      <c r="AJ34" s="40">
        <f>AI34</f>
        <v/>
      </c>
      <c r="AK34" s="39" t="n"/>
      <c r="AL34" s="39" t="n"/>
      <c r="AM34" s="39" t="n"/>
      <c r="AN34" s="39" t="n"/>
      <c r="AO34" s="40">
        <f>AN34</f>
        <v/>
      </c>
    </row>
    <row r="35">
      <c r="A35" s="12" t="inlineStr">
        <is>
          <t>PBR</t>
        </is>
      </c>
      <c r="B35" t="inlineStr">
        <is>
          <t>주당</t>
        </is>
      </c>
      <c r="C35" t="inlineStr">
        <is>
          <t>배</t>
        </is>
      </c>
      <c r="D35" t="inlineStr">
        <is>
          <t>PBR</t>
        </is>
      </c>
      <c r="E35" s="13">
        <f>IFERROR(변수!E18/E32,"")</f>
        <v/>
      </c>
      <c r="F35" s="14">
        <f>E35</f>
        <v/>
      </c>
      <c r="G35" s="13">
        <f>IFERROR(변수!G18/G32,"")</f>
        <v/>
      </c>
      <c r="H35" s="13">
        <f>IFERROR(변수!H18/H32,"")</f>
        <v/>
      </c>
      <c r="I35" s="13">
        <f>IFERROR(변수!I18/I32,"")</f>
        <v/>
      </c>
      <c r="J35" s="13">
        <f>IFERROR(변수!J18/J32,"")</f>
        <v/>
      </c>
      <c r="K35" s="14">
        <f>J35</f>
        <v/>
      </c>
      <c r="L35" s="13">
        <f>IFERROR(변수!L18/L32,"")</f>
        <v/>
      </c>
      <c r="M35" s="13">
        <f>IFERROR(변수!M18/M32,"")</f>
        <v/>
      </c>
      <c r="N35" s="13">
        <f>IFERROR(변수!N18/N32,"")</f>
        <v/>
      </c>
      <c r="O35" s="13">
        <f>IFERROR(변수!O18/O32,"")</f>
        <v/>
      </c>
      <c r="P35" s="14">
        <f>O35</f>
        <v/>
      </c>
      <c r="Q35" s="13">
        <f>IFERROR(변수!Q18/Q32,"")</f>
        <v/>
      </c>
      <c r="R35" s="13">
        <f>IFERROR(변수!R18/R32,"")</f>
        <v/>
      </c>
      <c r="S35" s="13">
        <f>IFERROR(변수!S18/S32,"")</f>
        <v/>
      </c>
      <c r="T35" s="13">
        <f>IFERROR(변수!T18/T32,"")</f>
        <v/>
      </c>
      <c r="U35" s="14">
        <f>T35</f>
        <v/>
      </c>
      <c r="V35" s="13">
        <f>IFERROR(변수!V18/V32,"")</f>
        <v/>
      </c>
      <c r="W35" s="13">
        <f>IFERROR(변수!W18/W32,"")</f>
        <v/>
      </c>
      <c r="X35" s="13">
        <f>IFERROR(변수!X18/X32,"")</f>
        <v/>
      </c>
      <c r="Y35" s="13">
        <f>IFERROR(변수!Y18/Y32,"")</f>
        <v/>
      </c>
      <c r="Z35" s="14">
        <f>Y35</f>
        <v/>
      </c>
      <c r="AA35" s="13">
        <f>IFERROR(변수!AA18/AA32,"")</f>
        <v/>
      </c>
      <c r="AB35" s="15">
        <f>IFERROR(변수!AB18/AB32,"")</f>
        <v/>
      </c>
      <c r="AC35" s="39">
        <f>IFERROR(변수!$D$42/AC32,"")</f>
        <v/>
      </c>
      <c r="AD35" s="39">
        <f>IFERROR(변수!$D$42/AD32,"")</f>
        <v/>
      </c>
      <c r="AE35" s="40">
        <f>AD35</f>
        <v/>
      </c>
      <c r="AF35" s="39">
        <f>IFERROR(변수!$D$42/AF32,"")</f>
        <v/>
      </c>
      <c r="AG35" s="39">
        <f>IFERROR(변수!$D$42/AG32,"")</f>
        <v/>
      </c>
      <c r="AH35" s="39">
        <f>IFERROR(변수!$D$42/AH32,"")</f>
        <v/>
      </c>
      <c r="AI35" s="39">
        <f>IFERROR(변수!$D$42/AI32,"")</f>
        <v/>
      </c>
      <c r="AJ35" s="40">
        <f>AI35</f>
        <v/>
      </c>
      <c r="AK35" s="39">
        <f>IFERROR(변수!$D$42/AK32,"")</f>
        <v/>
      </c>
      <c r="AL35" s="39">
        <f>IFERROR(변수!$D$42/AL32,"")</f>
        <v/>
      </c>
      <c r="AM35" s="39">
        <f>IFERROR(변수!$D$42/AM32,"")</f>
        <v/>
      </c>
      <c r="AN35" s="39">
        <f>IFERROR(변수!$D$42/AN32,"")</f>
        <v/>
      </c>
      <c r="AO35" s="40">
        <f>AN35</f>
        <v/>
      </c>
    </row>
    <row r="36">
      <c r="A36" s="12" t="inlineStr">
        <is>
          <t>매출전사</t>
        </is>
      </c>
      <c r="B36" t="inlineStr">
        <is>
          <t>사업부</t>
        </is>
      </c>
      <c r="C36" t="inlineStr">
        <is>
          <t>억원</t>
        </is>
      </c>
      <c r="D36" t="inlineStr">
        <is>
          <t>매출 전사(부문 미분리)</t>
        </is>
      </c>
      <c r="E36" s="18" t="n">
        <v>689.72</v>
      </c>
      <c r="F36" s="37" t="n"/>
      <c r="G36" s="18" t="n">
        <v>722.96</v>
      </c>
      <c r="H36" s="18" t="n">
        <v>605.8099999999999</v>
      </c>
      <c r="I36" s="18" t="n">
        <v>631.66</v>
      </c>
      <c r="J36" s="18" t="n">
        <v>591.86</v>
      </c>
      <c r="K36" s="37">
        <f>SUM(G36:J36)</f>
        <v/>
      </c>
      <c r="L36" s="18" t="n">
        <v>605.4299999999999</v>
      </c>
      <c r="M36" s="18" t="n">
        <v>515.48</v>
      </c>
      <c r="N36" s="18" t="n">
        <v>530.92</v>
      </c>
      <c r="O36" s="18" t="n">
        <v>510.73</v>
      </c>
      <c r="P36" s="37">
        <f>SUM(L36:O36)</f>
        <v/>
      </c>
      <c r="Q36" s="18" t="n">
        <v>499.91</v>
      </c>
      <c r="R36" s="18" t="n">
        <v>555.05</v>
      </c>
      <c r="S36" s="18" t="n">
        <v>440.28</v>
      </c>
      <c r="T36" s="18" t="n">
        <v>563.1799999999999</v>
      </c>
      <c r="U36" s="37">
        <f>SUM(Q36:T36)</f>
        <v/>
      </c>
      <c r="V36" s="18" t="n">
        <v>497.58</v>
      </c>
      <c r="W36" s="18" t="n">
        <v>501.1</v>
      </c>
      <c r="X36" s="18" t="n">
        <v>508.41</v>
      </c>
      <c r="Y36" s="18" t="n">
        <v>456.95</v>
      </c>
      <c r="Z36" s="37">
        <f>SUM(V36:Y36)</f>
        <v/>
      </c>
      <c r="AA36" s="18" t="n">
        <v>618.74</v>
      </c>
      <c r="AB36" s="19" t="n">
        <v>617.5700000000001</v>
      </c>
      <c r="AC36" s="20">
        <f>IFERROR(AC5,"")</f>
        <v/>
      </c>
      <c r="AD36" s="20">
        <f>IFERROR(AD5,"")</f>
        <v/>
      </c>
      <c r="AE36" s="38">
        <f>SUM(AA36:AD36)</f>
        <v/>
      </c>
      <c r="AF36" s="20">
        <f>IFERROR(AF5,"")</f>
        <v/>
      </c>
      <c r="AG36" s="20">
        <f>IFERROR(AG5,"")</f>
        <v/>
      </c>
      <c r="AH36" s="20">
        <f>IFERROR(AH5,"")</f>
        <v/>
      </c>
      <c r="AI36" s="20">
        <f>IFERROR(AI5,"")</f>
        <v/>
      </c>
      <c r="AJ36" s="38">
        <f>SUM(AF36:AI36)</f>
        <v/>
      </c>
      <c r="AK36" s="20">
        <f>IFERROR(AK5,"")</f>
        <v/>
      </c>
      <c r="AL36" s="20">
        <f>IFERROR(AL5,"")</f>
        <v/>
      </c>
      <c r="AM36" s="20">
        <f>IFERROR(AM5,"")</f>
        <v/>
      </c>
      <c r="AN36" s="20">
        <f>IFERROR(AN5,"")</f>
        <v/>
      </c>
      <c r="AO36" s="38">
        <f>SUM(AK36:AN36)</f>
        <v/>
      </c>
    </row>
    <row r="37">
      <c r="A37" s="12" t="inlineStr">
        <is>
          <t>OP전사</t>
        </is>
      </c>
      <c r="B37" t="inlineStr">
        <is>
          <t>사업부</t>
        </is>
      </c>
      <c r="C37" t="inlineStr">
        <is>
          <t>억원</t>
        </is>
      </c>
      <c r="D37" t="inlineStr">
        <is>
          <t>OP 전사(부문 미분리)</t>
        </is>
      </c>
      <c r="E37" s="18" t="n">
        <v>73.06999999999999</v>
      </c>
      <c r="F37" s="37" t="n"/>
      <c r="G37" s="18" t="n">
        <v>19.86</v>
      </c>
      <c r="H37" s="18" t="n">
        <v>31.55</v>
      </c>
      <c r="I37" s="18" t="n">
        <v>-7.4</v>
      </c>
      <c r="J37" s="18" t="n">
        <v>-3.69</v>
      </c>
      <c r="K37" s="37">
        <f>SUM(G37:J37)</f>
        <v/>
      </c>
      <c r="L37" s="18" t="n">
        <v>37.01</v>
      </c>
      <c r="M37" s="18" t="n">
        <v>12.02</v>
      </c>
      <c r="N37" s="18" t="n">
        <v>15.05</v>
      </c>
      <c r="O37" s="18" t="n">
        <v>-15.48</v>
      </c>
      <c r="P37" s="37">
        <f>SUM(L37:O37)</f>
        <v/>
      </c>
      <c r="Q37" s="18" t="n">
        <v>3.82</v>
      </c>
      <c r="R37" s="18" t="n">
        <v>4.44</v>
      </c>
      <c r="S37" s="18" t="n">
        <v>-1.76</v>
      </c>
      <c r="T37" s="18" t="n">
        <v>0.17</v>
      </c>
      <c r="U37" s="37">
        <f>SUM(Q37:T37)</f>
        <v/>
      </c>
      <c r="V37" s="18" t="n">
        <v>1.89</v>
      </c>
      <c r="W37" s="18" t="n">
        <v>15.4</v>
      </c>
      <c r="X37" s="18" t="n">
        <v>14.24</v>
      </c>
      <c r="Y37" s="18" t="n">
        <v>0.26</v>
      </c>
      <c r="Z37" s="37">
        <f>SUM(V37:Y37)</f>
        <v/>
      </c>
      <c r="AA37" s="18" t="n">
        <v>4.63</v>
      </c>
      <c r="AB37" s="19" t="n">
        <v>28.56</v>
      </c>
      <c r="AC37" s="20">
        <f>IFERROR(AC9,"")</f>
        <v/>
      </c>
      <c r="AD37" s="20">
        <f>IFERROR(AD9,"")</f>
        <v/>
      </c>
      <c r="AE37" s="38">
        <f>SUM(AA37:AD37)</f>
        <v/>
      </c>
      <c r="AF37" s="20">
        <f>IFERROR(AF9,"")</f>
        <v/>
      </c>
      <c r="AG37" s="20">
        <f>IFERROR(AG9,"")</f>
        <v/>
      </c>
      <c r="AH37" s="20">
        <f>IFERROR(AH9,"")</f>
        <v/>
      </c>
      <c r="AI37" s="20">
        <f>IFERROR(AI9,"")</f>
        <v/>
      </c>
      <c r="AJ37" s="38">
        <f>SUM(AF37:AI37)</f>
        <v/>
      </c>
      <c r="AK37" s="20">
        <f>IFERROR(AK9,"")</f>
        <v/>
      </c>
      <c r="AL37" s="20">
        <f>IFERROR(AL9,"")</f>
        <v/>
      </c>
      <c r="AM37" s="20">
        <f>IFERROR(AM9,"")</f>
        <v/>
      </c>
      <c r="AN37" s="20">
        <f>IFERROR(AN9,"")</f>
        <v/>
      </c>
      <c r="AO37" s="38">
        <f>SUM(AK37:AN37)</f>
        <v/>
      </c>
    </row>
    <row r="38">
      <c r="B38" s="2" t="inlineStr">
        <is>
          <t>비율(참고)</t>
        </is>
      </c>
      <c r="F38" s="9" t="n"/>
      <c r="K38" s="9" t="n"/>
      <c r="P38" s="9" t="n"/>
      <c r="U38" s="9" t="n"/>
      <c r="Z38" s="9" t="n"/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s="12" t="inlineStr">
        <is>
          <t>NPM</t>
        </is>
      </c>
      <c r="C39" t="inlineStr">
        <is>
          <t>%</t>
        </is>
      </c>
      <c r="D39" t="inlineStr">
        <is>
          <t>지배주주순이익 / 매출액</t>
        </is>
      </c>
      <c r="E39" s="21">
        <f>IFERROR(E19/E5,"")</f>
        <v/>
      </c>
      <c r="F39" s="22">
        <f>IFERROR(F19/F5,"")</f>
        <v/>
      </c>
      <c r="G39" s="21">
        <f>IFERROR(G19/G5,"")</f>
        <v/>
      </c>
      <c r="H39" s="21">
        <f>IFERROR(H19/H5,"")</f>
        <v/>
      </c>
      <c r="I39" s="21">
        <f>IFERROR(I19/I5,"")</f>
        <v/>
      </c>
      <c r="J39" s="21">
        <f>IFERROR(J19/J5,"")</f>
        <v/>
      </c>
      <c r="K39" s="22">
        <f>IFERROR(K19/K5,"")</f>
        <v/>
      </c>
      <c r="L39" s="21">
        <f>IFERROR(L19/L5,"")</f>
        <v/>
      </c>
      <c r="M39" s="21">
        <f>IFERROR(M19/M5,"")</f>
        <v/>
      </c>
      <c r="N39" s="21">
        <f>IFERROR(N19/N5,"")</f>
        <v/>
      </c>
      <c r="O39" s="21">
        <f>IFERROR(O19/O5,"")</f>
        <v/>
      </c>
      <c r="P39" s="22">
        <f>IFERROR(P19/P5,"")</f>
        <v/>
      </c>
      <c r="Q39" s="21">
        <f>IFERROR(Q19/Q5,"")</f>
        <v/>
      </c>
      <c r="R39" s="21">
        <f>IFERROR(R19/R5,"")</f>
        <v/>
      </c>
      <c r="S39" s="21">
        <f>IFERROR(S19/S5,"")</f>
        <v/>
      </c>
      <c r="T39" s="21">
        <f>IFERROR(T19/T5,"")</f>
        <v/>
      </c>
      <c r="U39" s="22">
        <f>IFERROR(U19/U5,"")</f>
        <v/>
      </c>
      <c r="V39" s="21">
        <f>IFERROR(V19/V5,"")</f>
        <v/>
      </c>
      <c r="W39" s="21">
        <f>IFERROR(W19/W5,"")</f>
        <v/>
      </c>
      <c r="X39" s="21">
        <f>IFERROR(X19/X5,"")</f>
        <v/>
      </c>
      <c r="Y39" s="21">
        <f>IFERROR(Y19/Y5,"")</f>
        <v/>
      </c>
      <c r="Z39" s="22">
        <f>IFERROR(Z19/Z5,"")</f>
        <v/>
      </c>
      <c r="AA39" s="21">
        <f>IFERROR(AA19/AA5,"")</f>
        <v/>
      </c>
      <c r="AB39" s="23">
        <f>IFERROR(AB19/AB5,"")</f>
        <v/>
      </c>
      <c r="AC39" s="32">
        <f>IFERROR(AC19/AC5,"")</f>
        <v/>
      </c>
      <c r="AD39" s="32">
        <f>IFERROR(AD19/AD5,"")</f>
        <v/>
      </c>
      <c r="AE39" s="25">
        <f>IFERROR(AE19/AE5,"")</f>
        <v/>
      </c>
      <c r="AF39" s="32">
        <f>IFERROR(AF19/AF5,"")</f>
        <v/>
      </c>
      <c r="AG39" s="32">
        <f>IFERROR(AG19/AG5,"")</f>
        <v/>
      </c>
      <c r="AH39" s="32">
        <f>IFERROR(AH19/AH5,"")</f>
        <v/>
      </c>
      <c r="AI39" s="32">
        <f>IFERROR(AI19/AI5,"")</f>
        <v/>
      </c>
      <c r="AJ39" s="25">
        <f>IFERROR(AJ19/AJ5,"")</f>
        <v/>
      </c>
      <c r="AK39" s="32">
        <f>IFERROR(AK19/AK5,"")</f>
        <v/>
      </c>
      <c r="AL39" s="32">
        <f>IFERROR(AL19/AL5,"")</f>
        <v/>
      </c>
      <c r="AM39" s="32">
        <f>IFERROR(AM19/AM5,"")</f>
        <v/>
      </c>
      <c r="AN39" s="32">
        <f>IFERROR(AN19/AN5,"")</f>
        <v/>
      </c>
      <c r="AO39" s="25">
        <f>IFERROR(AO19/AO5,"")</f>
        <v/>
      </c>
    </row>
    <row r="40">
      <c r="A40" s="12" t="inlineStr">
        <is>
          <t>매출원가율</t>
        </is>
      </c>
      <c r="C40" t="inlineStr">
        <is>
          <t>%</t>
        </is>
      </c>
      <c r="D40" t="inlineStr">
        <is>
          <t>매출원가 / 매출액</t>
        </is>
      </c>
      <c r="E40" s="21">
        <f>IFERROR(E6/E5,"")</f>
        <v/>
      </c>
      <c r="F40" s="22">
        <f>IFERROR(F6/F5,"")</f>
        <v/>
      </c>
      <c r="G40" s="21">
        <f>IFERROR(G6/G5,"")</f>
        <v/>
      </c>
      <c r="H40" s="21">
        <f>IFERROR(H6/H5,"")</f>
        <v/>
      </c>
      <c r="I40" s="21">
        <f>IFERROR(I6/I5,"")</f>
        <v/>
      </c>
      <c r="J40" s="21">
        <f>IFERROR(J6/J5,"")</f>
        <v/>
      </c>
      <c r="K40" s="22">
        <f>IFERROR(K6/K5,"")</f>
        <v/>
      </c>
      <c r="L40" s="21">
        <f>IFERROR(L6/L5,"")</f>
        <v/>
      </c>
      <c r="M40" s="21">
        <f>IFERROR(M6/M5,"")</f>
        <v/>
      </c>
      <c r="N40" s="21">
        <f>IFERROR(N6/N5,"")</f>
        <v/>
      </c>
      <c r="O40" s="21">
        <f>IFERROR(O6/O5,"")</f>
        <v/>
      </c>
      <c r="P40" s="22">
        <f>IFERROR(P6/P5,"")</f>
        <v/>
      </c>
      <c r="Q40" s="21">
        <f>IFERROR(Q6/Q5,"")</f>
        <v/>
      </c>
      <c r="R40" s="21">
        <f>IFERROR(R6/R5,"")</f>
        <v/>
      </c>
      <c r="S40" s="21">
        <f>IFERROR(S6/S5,"")</f>
        <v/>
      </c>
      <c r="T40" s="21">
        <f>IFERROR(T6/T5,"")</f>
        <v/>
      </c>
      <c r="U40" s="22">
        <f>IFERROR(U6/U5,"")</f>
        <v/>
      </c>
      <c r="V40" s="21">
        <f>IFERROR(V6/V5,"")</f>
        <v/>
      </c>
      <c r="W40" s="21">
        <f>IFERROR(W6/W5,"")</f>
        <v/>
      </c>
      <c r="X40" s="21">
        <f>IFERROR(X6/X5,"")</f>
        <v/>
      </c>
      <c r="Y40" s="21">
        <f>IFERROR(Y6/Y5,"")</f>
        <v/>
      </c>
      <c r="Z40" s="22">
        <f>IFERROR(Z6/Z5,"")</f>
        <v/>
      </c>
      <c r="AA40" s="21">
        <f>IFERROR(AA6/AA5,"")</f>
        <v/>
      </c>
      <c r="AB40" s="23">
        <f>IFERROR(AB6/AB5,"")</f>
        <v/>
      </c>
      <c r="AC40" s="32">
        <f>IFERROR(AC6/AC5,"")</f>
        <v/>
      </c>
      <c r="AD40" s="32">
        <f>IFERROR(AD6/AD5,"")</f>
        <v/>
      </c>
      <c r="AE40" s="25">
        <f>IFERROR(AE6/AE5,"")</f>
        <v/>
      </c>
      <c r="AF40" s="32">
        <f>IFERROR(AF6/AF5,"")</f>
        <v/>
      </c>
      <c r="AG40" s="32">
        <f>IFERROR(AG6/AG5,"")</f>
        <v/>
      </c>
      <c r="AH40" s="32">
        <f>IFERROR(AH6/AH5,"")</f>
        <v/>
      </c>
      <c r="AI40" s="32">
        <f>IFERROR(AI6/AI5,"")</f>
        <v/>
      </c>
      <c r="AJ40" s="25">
        <f>IFERROR(AJ6/AJ5,"")</f>
        <v/>
      </c>
      <c r="AK40" s="32">
        <f>IFERROR(AK6/AK5,"")</f>
        <v/>
      </c>
      <c r="AL40" s="32">
        <f>IFERROR(AL6/AL5,"")</f>
        <v/>
      </c>
      <c r="AM40" s="32">
        <f>IFERROR(AM6/AM5,"")</f>
        <v/>
      </c>
      <c r="AN40" s="32">
        <f>IFERROR(AN6/AN5,"")</f>
        <v/>
      </c>
      <c r="AO40" s="25">
        <f>IFERROR(AO6/AO5,"")</f>
        <v/>
      </c>
    </row>
    <row r="41">
      <c r="A41" s="12" t="inlineStr">
        <is>
          <t>판관비율</t>
        </is>
      </c>
      <c r="C41" t="inlineStr">
        <is>
          <t>%</t>
        </is>
      </c>
      <c r="D41" t="inlineStr">
        <is>
          <t>판관비 / 매출액</t>
        </is>
      </c>
      <c r="E41" s="21">
        <f>IFERROR(E8/E5,"")</f>
        <v/>
      </c>
      <c r="F41" s="22">
        <f>IFERROR(F8/F5,"")</f>
        <v/>
      </c>
      <c r="G41" s="21">
        <f>IFERROR(G8/G5,"")</f>
        <v/>
      </c>
      <c r="H41" s="21">
        <f>IFERROR(H8/H5,"")</f>
        <v/>
      </c>
      <c r="I41" s="21">
        <f>IFERROR(I8/I5,"")</f>
        <v/>
      </c>
      <c r="J41" s="21">
        <f>IFERROR(J8/J5,"")</f>
        <v/>
      </c>
      <c r="K41" s="22">
        <f>IFERROR(K8/K5,"")</f>
        <v/>
      </c>
      <c r="L41" s="21">
        <f>IFERROR(L8/L5,"")</f>
        <v/>
      </c>
      <c r="M41" s="21">
        <f>IFERROR(M8/M5,"")</f>
        <v/>
      </c>
      <c r="N41" s="21">
        <f>IFERROR(N8/N5,"")</f>
        <v/>
      </c>
      <c r="O41" s="21">
        <f>IFERROR(O8/O5,"")</f>
        <v/>
      </c>
      <c r="P41" s="22">
        <f>IFERROR(P8/P5,"")</f>
        <v/>
      </c>
      <c r="Q41" s="21">
        <f>IFERROR(Q8/Q5,"")</f>
        <v/>
      </c>
      <c r="R41" s="21">
        <f>IFERROR(R8/R5,"")</f>
        <v/>
      </c>
      <c r="S41" s="21">
        <f>IFERROR(S8/S5,"")</f>
        <v/>
      </c>
      <c r="T41" s="21">
        <f>IFERROR(T8/T5,"")</f>
        <v/>
      </c>
      <c r="U41" s="22">
        <f>IFERROR(U8/U5,"")</f>
        <v/>
      </c>
      <c r="V41" s="21">
        <f>IFERROR(V8/V5,"")</f>
        <v/>
      </c>
      <c r="W41" s="21">
        <f>IFERROR(W8/W5,"")</f>
        <v/>
      </c>
      <c r="X41" s="21">
        <f>IFERROR(X8/X5,"")</f>
        <v/>
      </c>
      <c r="Y41" s="21">
        <f>IFERROR(Y8/Y5,"")</f>
        <v/>
      </c>
      <c r="Z41" s="22">
        <f>IFERROR(Z8/Z5,"")</f>
        <v/>
      </c>
      <c r="AA41" s="21">
        <f>IFERROR(AA8/AA5,"")</f>
        <v/>
      </c>
      <c r="AB41" s="23">
        <f>IFERROR(AB8/AB5,"")</f>
        <v/>
      </c>
      <c r="AC41" s="32">
        <f>IFERROR(AC8/AC5,"")</f>
        <v/>
      </c>
      <c r="AD41" s="32">
        <f>IFERROR(AD8/AD5,"")</f>
        <v/>
      </c>
      <c r="AE41" s="25">
        <f>IFERROR(AE8/AE5,"")</f>
        <v/>
      </c>
      <c r="AF41" s="32">
        <f>IFERROR(AF8/AF5,"")</f>
        <v/>
      </c>
      <c r="AG41" s="32">
        <f>IFERROR(AG8/AG5,"")</f>
        <v/>
      </c>
      <c r="AH41" s="32">
        <f>IFERROR(AH8/AH5,"")</f>
        <v/>
      </c>
      <c r="AI41" s="32">
        <f>IFERROR(AI8/AI5,"")</f>
        <v/>
      </c>
      <c r="AJ41" s="25">
        <f>IFERROR(AJ8/AJ5,"")</f>
        <v/>
      </c>
      <c r="AK41" s="32">
        <f>IFERROR(AK8/AK5,"")</f>
        <v/>
      </c>
      <c r="AL41" s="32">
        <f>IFERROR(AL8/AL5,"")</f>
        <v/>
      </c>
      <c r="AM41" s="32">
        <f>IFERROR(AM8/AM5,"")</f>
        <v/>
      </c>
      <c r="AN41" s="32">
        <f>IFERROR(AN8/AN5,"")</f>
        <v/>
      </c>
      <c r="AO41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변수!D42</f>
        <v/>
      </c>
      <c r="W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지분법손익</t>
        </is>
      </c>
      <c r="D15" t="inlineStr">
        <is>
          <t>지분법손익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세전이익</t>
        </is>
      </c>
      <c r="D16" t="inlineStr">
        <is>
          <t>법인세비용차감전이익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법인세비용</t>
        </is>
      </c>
      <c r="D17" t="inlineStr">
        <is>
          <t>법인세비용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당기순이익</t>
        </is>
      </c>
      <c r="D18" t="inlineStr">
        <is>
          <t>당기순이익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지배주주순이익</t>
        </is>
      </c>
      <c r="D19" t="inlineStr">
        <is>
          <t>지배주주순이익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자산총계</t>
        </is>
      </c>
      <c r="D20" t="inlineStr">
        <is>
          <t>자산총계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부채총계</t>
        </is>
      </c>
      <c r="D21" t="inlineStr">
        <is>
          <t>부채총계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자본총계</t>
        </is>
      </c>
      <c r="D22" t="inlineStr">
        <is>
          <t>자본총계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지배주주지분</t>
        </is>
      </c>
      <c r="D23" t="inlineStr">
        <is>
          <t>지배주주지분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총차입금</t>
        </is>
      </c>
      <c r="D24" t="inlineStr">
        <is>
          <t>총차입금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순차입금</t>
        </is>
      </c>
      <c r="D25" t="inlineStr">
        <is>
          <t>순차입금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이자발생자산</t>
        </is>
      </c>
      <c r="D26" t="inlineStr">
        <is>
          <t>이자발생자산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현금및현금성자산</t>
        </is>
      </c>
      <c r="D27" t="inlineStr">
        <is>
          <t>현금및현금성자산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CAPEX</t>
        </is>
      </c>
      <c r="D28" t="inlineStr">
        <is>
          <t>CAPEX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영업활동현금흐름</t>
        </is>
      </c>
      <c r="D29" t="inlineStr">
        <is>
          <t>영업활동현금흐름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주식수</t>
        </is>
      </c>
      <c r="D30" t="inlineStr">
        <is>
          <t>유통주식수</t>
        </is>
      </c>
      <c r="E30" s="27">
        <f>IFERROR(VLOOKUP($A30,subQ,MATCH(E$1,SUBQH,0),0),"")</f>
        <v/>
      </c>
      <c r="F30" s="27">
        <f>IFERROR(VLOOKUP($A30,subQ,MATCH(F$1,SUBQH,0),0),"")</f>
        <v/>
      </c>
      <c r="G30" s="27">
        <f>IFERROR(VLOOKUP($A30,subQ,MATCH(G$1,SUBQH,0),0),"")</f>
        <v/>
      </c>
      <c r="H30" s="27">
        <f>IFERROR(VLOOKUP($A30,subQ,MATCH(H$1,SUBQH,0),0),"")</f>
        <v/>
      </c>
      <c r="I30" s="27">
        <f>IFERROR(VLOOKUP($A30,subQ,MATCH(I$1,SUBQH,0),0),"")</f>
        <v/>
      </c>
      <c r="J30" s="27">
        <f>IFERROR(VLOOKUP($A30,subQ,MATCH(J$1,SUBQH,0),0),"")</f>
        <v/>
      </c>
      <c r="K30" s="27">
        <f>IFERROR(VLOOKUP($A30,subQ,MATCH(K$1,SUBQH,0),0),"")</f>
        <v/>
      </c>
      <c r="L30" s="27">
        <f>IFERROR(VLOOKUP($A30,subQ,MATCH(L$1,SUBQH,0),0),"")</f>
        <v/>
      </c>
      <c r="M30" s="27">
        <f>IFERROR(VLOOKUP($A30,subQ,MATCH(M$1,SUBQH,0),0),"")</f>
        <v/>
      </c>
      <c r="N30" s="27">
        <f>IFERROR(VLOOKUP($A30,subQ,MATCH(N$1,SUBQH,0),0),"")</f>
        <v/>
      </c>
      <c r="O30" s="27">
        <f>IFERROR(VLOOKUP($A30,subQ,MATCH(O$1,SUBQH,0),0),"")</f>
        <v/>
      </c>
      <c r="P30" s="27">
        <f>IFERROR(VLOOKUP($A30,subQ,MATCH(P$1,SUBQH,0),0),"")</f>
        <v/>
      </c>
      <c r="Q30" s="27">
        <f>IFERROR(VLOOKUP($A30,subQ,MATCH(Q$1,SUBQH,0),0),"")</f>
        <v/>
      </c>
      <c r="R30" s="27">
        <f>IFERROR(VLOOKUP($A30,subQ,MATCH(R$1,SUBQH,0),0),"")</f>
        <v/>
      </c>
      <c r="S30" s="27">
        <f>IFERROR(VLOOKUP($A30,subQ,MATCH(S$1,SUBQH,0),0),"")</f>
        <v/>
      </c>
      <c r="T30" s="27">
        <f>IFERROR(VLOOKUP($A30,subQ,MATCH(T$1,SUBQH,0),0),"")</f>
        <v/>
      </c>
      <c r="U30" s="27">
        <f>IFERROR(VLOOKUP($A30,subQ,MATCH(U$1,SUBQH,0),0),"")</f>
        <v/>
      </c>
      <c r="V30" s="27">
        <f>IFERROR(VLOOKUP($A30,subQ,MATCH(V$1,SUBQH,0),0),"")</f>
        <v/>
      </c>
      <c r="W30" s="47">
        <f>IFERROR(VLOOKUP($A30,subQ,MATCH(W$1,SUBQH,0),0),"")</f>
        <v/>
      </c>
      <c r="X30" s="33">
        <f>IFERROR(VLOOKUP($A30,subQ,MATCH(X$1,SUBQH,0),0),"")</f>
        <v/>
      </c>
      <c r="Y30" s="33">
        <f>IFERROR(VLOOKUP($A30,subQ,MATCH(Y$1,SUBQH,0),0),"")</f>
        <v/>
      </c>
      <c r="Z30" s="33">
        <f>IFERROR(VLOOKUP($A30,subQ,MATCH(Z$1,SUBQH,0),0),"")</f>
        <v/>
      </c>
      <c r="AA30" s="33">
        <f>IFERROR(VLOOKUP($A30,subQ,MATCH(AA$1,SUBQH,0),0),"")</f>
        <v/>
      </c>
      <c r="AB30" s="33">
        <f>IFERROR(VLOOKUP($A30,subQ,MATCH(AB$1,SUBQH,0),0),"")</f>
        <v/>
      </c>
      <c r="AC30" s="33">
        <f>IFERROR(VLOOKUP($A30,subQ,MATCH(AC$1,SUBQH,0),0),"")</f>
        <v/>
      </c>
      <c r="AD30" s="33">
        <f>IFERROR(VLOOKUP($A30,subQ,MATCH(AD$1,SUBQH,0),0),"")</f>
        <v/>
      </c>
      <c r="AE30" s="33">
        <f>IFERROR(VLOOKUP($A30,subQ,MATCH(AE$1,SUBQH,0),0),"")</f>
        <v/>
      </c>
      <c r="AF30" s="33">
        <f>IFERROR(VLOOKUP($A30,subQ,MATCH(AF$1,SUBQH,0),0),"")</f>
        <v/>
      </c>
      <c r="AG30" s="33">
        <f>IFERROR(VLOOKUP($A30,subQ,MATCH(AG$1,SUBQH,0),0),"")</f>
        <v/>
      </c>
    </row>
    <row r="31">
      <c r="A31" s="12" t="inlineStr">
        <is>
          <t>EPS</t>
        </is>
      </c>
      <c r="D31" t="inlineStr">
        <is>
          <t>EPS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BPS</t>
        </is>
      </c>
      <c r="D32" t="inlineStr">
        <is>
          <t>BPS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DPS</t>
        </is>
      </c>
      <c r="D33" t="inlineStr">
        <is>
          <t>DPS(보통주)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PER</t>
        </is>
      </c>
      <c r="D34" t="inlineStr">
        <is>
          <t>PER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13">
        <f>IFERROR(VLOOKUP($A34,subQ,MATCH(G$1,SUBQH,0),0),"")</f>
        <v/>
      </c>
      <c r="H34" s="13">
        <f>IFERROR(VLOOKUP($A34,subQ,MATCH(H$1,SUBQH,0),0),"")</f>
        <v/>
      </c>
      <c r="I34" s="13">
        <f>IFERROR(VLOOKUP($A34,subQ,MATCH(I$1,SUBQH,0),0),"")</f>
        <v/>
      </c>
      <c r="J34" s="13">
        <f>IFERROR(VLOOKUP($A34,subQ,MATCH(J$1,SUBQH,0),0),"")</f>
        <v/>
      </c>
      <c r="K34" s="13">
        <f>IFERROR(VLOOKUP($A34,subQ,MATCH(K$1,SUBQH,0),0),"")</f>
        <v/>
      </c>
      <c r="L34" s="13">
        <f>IFERROR(VLOOKUP($A34,subQ,MATCH(L$1,SUBQH,0),0),"")</f>
        <v/>
      </c>
      <c r="M34" s="13">
        <f>IFERROR(VLOOKUP($A34,subQ,MATCH(M$1,SUBQH,0),0),"")</f>
        <v/>
      </c>
      <c r="N34" s="13">
        <f>IFERROR(VLOOKUP($A34,subQ,MATCH(N$1,SUBQH,0),0),"")</f>
        <v/>
      </c>
      <c r="O34" s="13">
        <f>IFERROR(VLOOKUP($A34,subQ,MATCH(O$1,SUBQH,0),0),"")</f>
        <v/>
      </c>
      <c r="P34" s="13">
        <f>IFERROR(VLOOKUP($A34,subQ,MATCH(P$1,SUBQH,0),0),"")</f>
        <v/>
      </c>
      <c r="Q34" s="13">
        <f>IFERROR(VLOOKUP($A34,subQ,MATCH(Q$1,SUBQH,0),0),"")</f>
        <v/>
      </c>
      <c r="R34" s="13">
        <f>IFERROR(VLOOKUP($A34,subQ,MATCH(R$1,SUBQH,0),0),"")</f>
        <v/>
      </c>
      <c r="S34" s="13">
        <f>IFERROR(VLOOKUP($A34,subQ,MATCH(S$1,SUBQH,0),0),"")</f>
        <v/>
      </c>
      <c r="T34" s="13">
        <f>IFERROR(VLOOKUP($A34,subQ,MATCH(T$1,SUBQH,0),0),"")</f>
        <v/>
      </c>
      <c r="U34" s="13">
        <f>IFERROR(VLOOKUP($A34,subQ,MATCH(U$1,SUBQH,0),0),"")</f>
        <v/>
      </c>
      <c r="V34" s="13">
        <f>IFERROR(VLOOKUP($A34,subQ,MATCH(V$1,SUBQH,0),0),"")</f>
        <v/>
      </c>
      <c r="W34" s="48">
        <f>IFERROR(VLOOKUP($A34,subQ,MATCH(W$1,SUBQH,0),0),"")</f>
        <v/>
      </c>
      <c r="X34" s="39">
        <f>IFERROR(VLOOKUP($A34,subQ,MATCH(X$1,SUBQH,0),0),"")</f>
        <v/>
      </c>
      <c r="Y34" s="39">
        <f>IFERROR(VLOOKUP($A34,subQ,MATCH(Y$1,SUBQH,0),0),"")</f>
        <v/>
      </c>
      <c r="Z34" s="39">
        <f>IFERROR(VLOOKUP($A34,subQ,MATCH(Z$1,SUBQH,0),0),"")</f>
        <v/>
      </c>
      <c r="AA34" s="39">
        <f>IFERROR(VLOOKUP($A34,subQ,MATCH(AA$1,SUBQH,0),0),"")</f>
        <v/>
      </c>
      <c r="AB34" s="39">
        <f>IFERROR(VLOOKUP($A34,subQ,MATCH(AB$1,SUBQH,0),0),"")</f>
        <v/>
      </c>
      <c r="AC34" s="39">
        <f>IFERROR(VLOOKUP($A34,subQ,MATCH(AC$1,SUBQH,0),0),"")</f>
        <v/>
      </c>
      <c r="AD34" s="39">
        <f>IFERROR(VLOOKUP($A34,subQ,MATCH(AD$1,SUBQH,0),0),"")</f>
        <v/>
      </c>
      <c r="AE34" s="39">
        <f>IFERROR(VLOOKUP($A34,subQ,MATCH(AE$1,SUBQH,0),0),"")</f>
        <v/>
      </c>
      <c r="AF34" s="39">
        <f>IFERROR(VLOOKUP($A34,subQ,MATCH(AF$1,SUBQH,0),0),"")</f>
        <v/>
      </c>
      <c r="AG34" s="39">
        <f>IFERROR(VLOOKUP($A34,subQ,MATCH(AG$1,SUBQH,0),0),"")</f>
        <v/>
      </c>
    </row>
    <row r="35">
      <c r="A35" s="12" t="inlineStr">
        <is>
          <t>PBR</t>
        </is>
      </c>
      <c r="D35" t="inlineStr">
        <is>
          <t>PBR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13">
        <f>IFERROR(VLOOKUP($A35,subQ,MATCH(I$1,SUBQH,0),0),"")</f>
        <v/>
      </c>
      <c r="J35" s="13">
        <f>IFERROR(VLOOKUP($A35,subQ,MATCH(J$1,SUBQH,0),0),"")</f>
        <v/>
      </c>
      <c r="K35" s="13">
        <f>IFERROR(VLOOKUP($A35,subQ,MATCH(K$1,SUBQH,0),0),"")</f>
        <v/>
      </c>
      <c r="L35" s="13">
        <f>IFERROR(VLOOKUP($A35,subQ,MATCH(L$1,SUBQH,0),0),"")</f>
        <v/>
      </c>
      <c r="M35" s="13">
        <f>IFERROR(VLOOKUP($A35,subQ,MATCH(M$1,SUBQH,0),0),"")</f>
        <v/>
      </c>
      <c r="N35" s="13">
        <f>IFERROR(VLOOKUP($A35,subQ,MATCH(N$1,SUBQH,0),0),"")</f>
        <v/>
      </c>
      <c r="O35" s="13">
        <f>IFERROR(VLOOKUP($A35,subQ,MATCH(O$1,SUBQH,0),0),"")</f>
        <v/>
      </c>
      <c r="P35" s="13">
        <f>IFERROR(VLOOKUP($A35,subQ,MATCH(P$1,SUBQH,0),0),"")</f>
        <v/>
      </c>
      <c r="Q35" s="13">
        <f>IFERROR(VLOOKUP($A35,subQ,MATCH(Q$1,SUBQH,0),0),"")</f>
        <v/>
      </c>
      <c r="R35" s="13">
        <f>IFERROR(VLOOKUP($A35,subQ,MATCH(R$1,SUBQH,0),0),"")</f>
        <v/>
      </c>
      <c r="S35" s="13">
        <f>IFERROR(VLOOKUP($A35,subQ,MATCH(S$1,SUBQH,0),0),"")</f>
        <v/>
      </c>
      <c r="T35" s="13">
        <f>IFERROR(VLOOKUP($A35,subQ,MATCH(T$1,SUBQH,0),0),"")</f>
        <v/>
      </c>
      <c r="U35" s="13">
        <f>IFERROR(VLOOKUP($A35,subQ,MATCH(U$1,SUBQH,0),0),"")</f>
        <v/>
      </c>
      <c r="V35" s="13">
        <f>IFERROR(VLOOKUP($A35,subQ,MATCH(V$1,SUBQH,0),0),"")</f>
        <v/>
      </c>
      <c r="W35" s="48">
        <f>IFERROR(VLOOKUP($A35,subQ,MATCH(W$1,SUBQH,0),0),"")</f>
        <v/>
      </c>
      <c r="X35" s="39">
        <f>IFERROR(VLOOKUP($A35,subQ,MATCH(X$1,SUBQH,0),0),"")</f>
        <v/>
      </c>
      <c r="Y35" s="39">
        <f>IFERROR(VLOOKUP($A35,subQ,MATCH(Y$1,SUBQH,0),0),"")</f>
        <v/>
      </c>
      <c r="Z35" s="39">
        <f>IFERROR(VLOOKUP($A35,subQ,MATCH(Z$1,SUBQH,0),0),"")</f>
        <v/>
      </c>
      <c r="AA35" s="39">
        <f>IFERROR(VLOOKUP($A35,subQ,MATCH(AA$1,SUBQH,0),0),"")</f>
        <v/>
      </c>
      <c r="AB35" s="39">
        <f>IFERROR(VLOOKUP($A35,subQ,MATCH(AB$1,SUBQH,0),0),"")</f>
        <v/>
      </c>
      <c r="AC35" s="39">
        <f>IFERROR(VLOOKUP($A35,subQ,MATCH(AC$1,SUBQH,0),0),"")</f>
        <v/>
      </c>
      <c r="AD35" s="39">
        <f>IFERROR(VLOOKUP($A35,subQ,MATCH(AD$1,SUBQH,0),0),"")</f>
        <v/>
      </c>
      <c r="AE35" s="39">
        <f>IFERROR(VLOOKUP($A35,subQ,MATCH(AE$1,SUBQH,0),0),"")</f>
        <v/>
      </c>
      <c r="AF35" s="39">
        <f>IFERROR(VLOOKUP($A35,subQ,MATCH(AF$1,SUBQH,0),0),"")</f>
        <v/>
      </c>
      <c r="AG35" s="39">
        <f>IFERROR(VLOOKUP($A35,subQ,MATCH(AG$1,SUBQH,0),0),"")</f>
        <v/>
      </c>
    </row>
    <row r="36">
      <c r="A36" s="12" t="inlineStr">
        <is>
          <t>매출전사</t>
        </is>
      </c>
      <c r="D36" t="inlineStr">
        <is>
          <t>매출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5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OP전사</t>
        </is>
      </c>
      <c r="D37" t="inlineStr">
        <is>
          <t>OP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5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NPM</t>
        </is>
      </c>
      <c r="D38" t="inlineStr">
        <is>
          <t>NPM</t>
        </is>
      </c>
      <c r="E38" s="21">
        <f>IFERROR(VLOOKUP($A38,subQ,MATCH(E$1,SUBQH,0),0),"")</f>
        <v/>
      </c>
      <c r="F38" s="21">
        <f>IFERROR(VLOOKUP($A38,subQ,MATCH(F$1,SUBQH,0),0),"")</f>
        <v/>
      </c>
      <c r="G38" s="21">
        <f>IFERROR(VLOOKUP($A38,subQ,MATCH(G$1,SUBQH,0),0),"")</f>
        <v/>
      </c>
      <c r="H38" s="21">
        <f>IFERROR(VLOOKUP($A38,subQ,MATCH(H$1,SUBQH,0),0),"")</f>
        <v/>
      </c>
      <c r="I38" s="21">
        <f>IFERROR(VLOOKUP($A38,subQ,MATCH(I$1,SUBQH,0),0),"")</f>
        <v/>
      </c>
      <c r="J38" s="21">
        <f>IFERROR(VLOOKUP($A38,subQ,MATCH(J$1,SUBQH,0),0),"")</f>
        <v/>
      </c>
      <c r="K38" s="21">
        <f>IFERROR(VLOOKUP($A38,subQ,MATCH(K$1,SUBQH,0),0),"")</f>
        <v/>
      </c>
      <c r="L38" s="21">
        <f>IFERROR(VLOOKUP($A38,subQ,MATCH(L$1,SUBQH,0),0),"")</f>
        <v/>
      </c>
      <c r="M38" s="21">
        <f>IFERROR(VLOOKUP($A38,subQ,MATCH(M$1,SUBQH,0),0),"")</f>
        <v/>
      </c>
      <c r="N38" s="21">
        <f>IFERROR(VLOOKUP($A38,subQ,MATCH(N$1,SUBQH,0),0),"")</f>
        <v/>
      </c>
      <c r="O38" s="21">
        <f>IFERROR(VLOOKUP($A38,subQ,MATCH(O$1,SUBQH,0),0),"")</f>
        <v/>
      </c>
      <c r="P38" s="21">
        <f>IFERROR(VLOOKUP($A38,subQ,MATCH(P$1,SUBQH,0),0),"")</f>
        <v/>
      </c>
      <c r="Q38" s="21">
        <f>IFERROR(VLOOKUP($A38,subQ,MATCH(Q$1,SUBQH,0),0),"")</f>
        <v/>
      </c>
      <c r="R38" s="21">
        <f>IFERROR(VLOOKUP($A38,subQ,MATCH(R$1,SUBQH,0),0),"")</f>
        <v/>
      </c>
      <c r="S38" s="21">
        <f>IFERROR(VLOOKUP($A38,subQ,MATCH(S$1,SUBQH,0),0),"")</f>
        <v/>
      </c>
      <c r="T38" s="21">
        <f>IFERROR(VLOOKUP($A38,subQ,MATCH(T$1,SUBQH,0),0),"")</f>
        <v/>
      </c>
      <c r="U38" s="21">
        <f>IFERROR(VLOOKUP($A38,subQ,MATCH(U$1,SUBQH,0),0),"")</f>
        <v/>
      </c>
      <c r="V38" s="21">
        <f>IFERROR(VLOOKUP($A38,subQ,MATCH(V$1,SUBQH,0),0),"")</f>
        <v/>
      </c>
      <c r="W38" s="46">
        <f>IFERROR(VLOOKUP($A38,subQ,MATCH(W$1,SUBQH,0),0),"")</f>
        <v/>
      </c>
      <c r="X38" s="32">
        <f>IFERROR(VLOOKUP($A38,subQ,MATCH(X$1,SUBQH,0),0),"")</f>
        <v/>
      </c>
      <c r="Y38" s="32">
        <f>IFERROR(VLOOKUP($A38,subQ,MATCH(Y$1,SUBQH,0),0),"")</f>
        <v/>
      </c>
      <c r="Z38" s="32">
        <f>IFERROR(VLOOKUP($A38,subQ,MATCH(Z$1,SUBQH,0),0),"")</f>
        <v/>
      </c>
      <c r="AA38" s="32">
        <f>IFERROR(VLOOKUP($A38,subQ,MATCH(AA$1,SUBQH,0),0),"")</f>
        <v/>
      </c>
      <c r="AB38" s="32">
        <f>IFERROR(VLOOKUP($A38,subQ,MATCH(AB$1,SUBQH,0),0),"")</f>
        <v/>
      </c>
      <c r="AC38" s="32">
        <f>IFERROR(VLOOKUP($A38,subQ,MATCH(AC$1,SUBQH,0),0),"")</f>
        <v/>
      </c>
      <c r="AD38" s="32">
        <f>IFERROR(VLOOKUP($A38,subQ,MATCH(AD$1,SUBQH,0),0),"")</f>
        <v/>
      </c>
      <c r="AE38" s="32">
        <f>IFERROR(VLOOKUP($A38,subQ,MATCH(AE$1,SUBQH,0),0),"")</f>
        <v/>
      </c>
      <c r="AF38" s="32">
        <f>IFERROR(VLOOKUP($A38,subQ,MATCH(AF$1,SUBQH,0),0),"")</f>
        <v/>
      </c>
      <c r="AG38" s="32">
        <f>IFERROR(VLOOKUP($A38,subQ,MATCH(AG$1,SUBQH,0),0),"")</f>
        <v/>
      </c>
    </row>
    <row r="39">
      <c r="A39" s="12" t="inlineStr">
        <is>
          <t>매출액 YoY</t>
        </is>
      </c>
      <c r="D39" t="inlineStr">
        <is>
          <t>매출액 YoY</t>
        </is>
      </c>
      <c r="I39" s="21">
        <f>IFERROR(I5/E5-1,"")</f>
        <v/>
      </c>
      <c r="J39" s="21">
        <f>IFERROR(J5/F5-1,"")</f>
        <v/>
      </c>
      <c r="K39" s="21">
        <f>IFERROR(K5/G5-1,"")</f>
        <v/>
      </c>
      <c r="L39" s="21">
        <f>IFERROR(L5/H5-1,"")</f>
        <v/>
      </c>
      <c r="M39" s="21">
        <f>IFERROR(M5/I5-1,"")</f>
        <v/>
      </c>
      <c r="N39" s="21">
        <f>IFERROR(N5/J5-1,"")</f>
        <v/>
      </c>
      <c r="O39" s="21">
        <f>IFERROR(O5/K5-1,"")</f>
        <v/>
      </c>
      <c r="P39" s="21">
        <f>IFERROR(P5/L5-1,"")</f>
        <v/>
      </c>
      <c r="Q39" s="21">
        <f>IFERROR(Q5/M5-1,"")</f>
        <v/>
      </c>
      <c r="R39" s="21">
        <f>IFERROR(R5/N5-1,"")</f>
        <v/>
      </c>
      <c r="S39" s="21">
        <f>IFERROR(S5/O5-1,"")</f>
        <v/>
      </c>
      <c r="T39" s="21">
        <f>IFERROR(T5/P5-1,"")</f>
        <v/>
      </c>
      <c r="U39" s="21">
        <f>IFERROR(U5/Q5-1,"")</f>
        <v/>
      </c>
      <c r="V39" s="21">
        <f>IFERROR(V5/R5-1,"")</f>
        <v/>
      </c>
      <c r="W39" s="46">
        <f>IFERROR(W5/S5-1,"")</f>
        <v/>
      </c>
      <c r="X39" s="32">
        <f>IFERROR(X5/T5-1,"")</f>
        <v/>
      </c>
      <c r="Y39" s="32">
        <f>IFERROR(Y5/U5-1,"")</f>
        <v/>
      </c>
      <c r="Z39" s="32">
        <f>IFERROR(Z5/V5-1,"")</f>
        <v/>
      </c>
      <c r="AA39" s="32">
        <f>IFERROR(AA5/W5-1,"")</f>
        <v/>
      </c>
      <c r="AB39" s="32">
        <f>IFERROR(AB5/X5-1,"")</f>
        <v/>
      </c>
      <c r="AC39" s="32">
        <f>IFERROR(AC5/Y5-1,"")</f>
        <v/>
      </c>
      <c r="AD39" s="32">
        <f>IFERROR(AD5/Z5-1,"")</f>
        <v/>
      </c>
      <c r="AE39" s="32">
        <f>IFERROR(AE5/AA5-1,"")</f>
        <v/>
      </c>
      <c r="AF39" s="32">
        <f>IFERROR(AF5/AB5-1,"")</f>
        <v/>
      </c>
      <c r="AG39" s="32">
        <f>IFERROR(AG5/AC5-1,"")</f>
        <v/>
      </c>
    </row>
    <row r="40">
      <c r="A40" s="12" t="inlineStr">
        <is>
          <t>영업이익 YoY</t>
        </is>
      </c>
      <c r="D40" t="inlineStr">
        <is>
          <t>영업이익 YoY</t>
        </is>
      </c>
      <c r="I40" s="21">
        <f>IFERROR(I9/E9-1,"")</f>
        <v/>
      </c>
      <c r="J40" s="21">
        <f>IFERROR(J9/F9-1,"")</f>
        <v/>
      </c>
      <c r="K40" s="21">
        <f>IFERROR(K9/G9-1,"")</f>
        <v/>
      </c>
      <c r="L40" s="21">
        <f>IFERROR(L9/H9-1,"")</f>
        <v/>
      </c>
      <c r="M40" s="21">
        <f>IFERROR(M9/I9-1,"")</f>
        <v/>
      </c>
      <c r="N40" s="21">
        <f>IFERROR(N9/J9-1,"")</f>
        <v/>
      </c>
      <c r="O40" s="21">
        <f>IFERROR(O9/K9-1,"")</f>
        <v/>
      </c>
      <c r="P40" s="21">
        <f>IFERROR(P9/L9-1,"")</f>
        <v/>
      </c>
      <c r="Q40" s="21">
        <f>IFERROR(Q9/M9-1,"")</f>
        <v/>
      </c>
      <c r="R40" s="21">
        <f>IFERROR(R9/N9-1,"")</f>
        <v/>
      </c>
      <c r="S40" s="21">
        <f>IFERROR(S9/O9-1,"")</f>
        <v/>
      </c>
      <c r="T40" s="21">
        <f>IFERROR(T9/P9-1,"")</f>
        <v/>
      </c>
      <c r="U40" s="21">
        <f>IFERROR(U9/Q9-1,"")</f>
        <v/>
      </c>
      <c r="V40" s="21">
        <f>IFERROR(V9/R9-1,"")</f>
        <v/>
      </c>
      <c r="W40" s="46">
        <f>IFERROR(W9/S9-1,"")</f>
        <v/>
      </c>
      <c r="X40" s="32">
        <f>IFERROR(X9/T9-1,"")</f>
        <v/>
      </c>
      <c r="Y40" s="32">
        <f>IFERROR(Y9/U9-1,"")</f>
        <v/>
      </c>
      <c r="Z40" s="32">
        <f>IFERROR(Z9/V9-1,"")</f>
        <v/>
      </c>
      <c r="AA40" s="32">
        <f>IFERROR(AA9/W9-1,"")</f>
        <v/>
      </c>
      <c r="AB40" s="32">
        <f>IFERROR(AB9/X9-1,"")</f>
        <v/>
      </c>
      <c r="AC40" s="32">
        <f>IFERROR(AC9/Y9-1,"")</f>
        <v/>
      </c>
      <c r="AD40" s="32">
        <f>IFERROR(AD9/Z9-1,"")</f>
        <v/>
      </c>
      <c r="AE40" s="32">
        <f>IFERROR(AE9/AA9-1,"")</f>
        <v/>
      </c>
      <c r="AF40" s="32">
        <f>IFERROR(AF9/AB9-1,"")</f>
        <v/>
      </c>
      <c r="AG40" s="32">
        <f>IFERROR(AG9/AC9-1,"")</f>
        <v/>
      </c>
    </row>
    <row r="41">
      <c r="A41" s="12" t="inlineStr">
        <is>
          <t>지배주주순이익 YoY</t>
        </is>
      </c>
      <c r="D41" t="inlineStr">
        <is>
          <t>지배주주순이익 YoY</t>
        </is>
      </c>
      <c r="I41" s="21">
        <f>IFERROR(I19/E19-1,"")</f>
        <v/>
      </c>
      <c r="J41" s="21">
        <f>IFERROR(J19/F19-1,"")</f>
        <v/>
      </c>
      <c r="K41" s="21">
        <f>IFERROR(K19/G19-1,"")</f>
        <v/>
      </c>
      <c r="L41" s="21">
        <f>IFERROR(L19/H19-1,"")</f>
        <v/>
      </c>
      <c r="M41" s="21">
        <f>IFERROR(M19/I19-1,"")</f>
        <v/>
      </c>
      <c r="N41" s="21">
        <f>IFERROR(N19/J19-1,"")</f>
        <v/>
      </c>
      <c r="O41" s="21">
        <f>IFERROR(O19/K19-1,"")</f>
        <v/>
      </c>
      <c r="P41" s="21">
        <f>IFERROR(P19/L19-1,"")</f>
        <v/>
      </c>
      <c r="Q41" s="21">
        <f>IFERROR(Q19/M19-1,"")</f>
        <v/>
      </c>
      <c r="R41" s="21">
        <f>IFERROR(R19/N19-1,"")</f>
        <v/>
      </c>
      <c r="S41" s="21">
        <f>IFERROR(S19/O19-1,"")</f>
        <v/>
      </c>
      <c r="T41" s="21">
        <f>IFERROR(T19/P19-1,"")</f>
        <v/>
      </c>
      <c r="U41" s="21">
        <f>IFERROR(U19/Q19-1,"")</f>
        <v/>
      </c>
      <c r="V41" s="21">
        <f>IFERROR(V19/R19-1,"")</f>
        <v/>
      </c>
      <c r="W41" s="46">
        <f>IFERROR(W19/S19-1,"")</f>
        <v/>
      </c>
      <c r="X41" s="32">
        <f>IFERROR(X19/T19-1,"")</f>
        <v/>
      </c>
      <c r="Y41" s="32">
        <f>IFERROR(Y19/U19-1,"")</f>
        <v/>
      </c>
      <c r="Z41" s="32">
        <f>IFERROR(Z19/V19-1,"")</f>
        <v/>
      </c>
      <c r="AA41" s="32">
        <f>IFERROR(AA19/W19-1,"")</f>
        <v/>
      </c>
      <c r="AB41" s="32">
        <f>IFERROR(AB19/X19-1,"")</f>
        <v/>
      </c>
      <c r="AC41" s="32">
        <f>IFERROR(AC19/Y19-1,"")</f>
        <v/>
      </c>
      <c r="AD41" s="32">
        <f>IFERROR(AD19/Z19-1,"")</f>
        <v/>
      </c>
      <c r="AE41" s="32">
        <f>IFERROR(AE19/AA19-1,"")</f>
        <v/>
      </c>
      <c r="AF41" s="32">
        <f>IFERROR(AF19/AB19-1,"")</f>
        <v/>
      </c>
      <c r="AG41" s="32">
        <f>IFERROR(AG19/AC19-1,"")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변수!D42</f>
        <v/>
      </c>
      <c r="I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지분법손익</t>
        </is>
      </c>
      <c r="D15" t="inlineStr">
        <is>
          <t>지분법손익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세전이익</t>
        </is>
      </c>
      <c r="D16" t="inlineStr">
        <is>
          <t>법인세비용차감전이익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법인세비용</t>
        </is>
      </c>
      <c r="D17" t="inlineStr">
        <is>
          <t>법인세비용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당기순이익</t>
        </is>
      </c>
      <c r="D18" t="inlineStr">
        <is>
          <t>당기순이익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지배주주순이익</t>
        </is>
      </c>
      <c r="D19" t="inlineStr">
        <is>
          <t>지배주주순이익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자산총계</t>
        </is>
      </c>
      <c r="D20" t="inlineStr">
        <is>
          <t>자산총계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부채총계</t>
        </is>
      </c>
      <c r="D21" t="inlineStr">
        <is>
          <t>부채총계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자본총계</t>
        </is>
      </c>
      <c r="D22" t="inlineStr">
        <is>
          <t>자본총계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지배주주지분</t>
        </is>
      </c>
      <c r="D23" t="inlineStr">
        <is>
          <t>지배주주지분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총차입금</t>
        </is>
      </c>
      <c r="D24" t="inlineStr">
        <is>
          <t>총차입금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순차입금</t>
        </is>
      </c>
      <c r="D25" t="inlineStr">
        <is>
          <t>순차입금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이자발생자산</t>
        </is>
      </c>
      <c r="D26" t="inlineStr">
        <is>
          <t>이자발생자산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현금및현금성자산</t>
        </is>
      </c>
      <c r="D27" t="inlineStr">
        <is>
          <t>현금및현금성자산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CAPEX</t>
        </is>
      </c>
      <c r="D28" t="inlineStr">
        <is>
          <t>CAPEX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영업활동현금흐름</t>
        </is>
      </c>
      <c r="D29" t="inlineStr">
        <is>
          <t>영업활동현금흐름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주식수</t>
        </is>
      </c>
      <c r="D30" t="inlineStr">
        <is>
          <t>유통주식수</t>
        </is>
      </c>
      <c r="E30" s="27">
        <f>IFERROR(VLOOKUP($A30,subQ,MATCH(E$1,SUBQH,0),0),"")</f>
        <v/>
      </c>
      <c r="F30" s="27">
        <f>IFERROR(VLOOKUP($A30,subQ,MATCH(F$1,SUBQH,0),0),"")</f>
        <v/>
      </c>
      <c r="G30" s="27">
        <f>IFERROR(VLOOKUP($A30,subQ,MATCH(G$1,SUBQH,0),0),"")</f>
        <v/>
      </c>
      <c r="H30" s="27">
        <f>IFERROR(VLOOKUP($A30,subQ,MATCH(H$1,SUBQH,0),0),"")</f>
        <v/>
      </c>
      <c r="I30" s="47">
        <f>IFERROR(VLOOKUP($A30,subQ,MATCH(I$1,SUBQH,0),0),"")</f>
        <v/>
      </c>
      <c r="J30" s="33">
        <f>IFERROR(VLOOKUP($A30,subQ,MATCH(J$1,SUBQH,0),0),"")</f>
        <v/>
      </c>
      <c r="K30" s="33">
        <f>IFERROR(VLOOKUP($A30,subQ,MATCH(K$1,SUBQH,0),0),"")</f>
        <v/>
      </c>
      <c r="L30" s="33">
        <f>IFERROR(VLOOKUP($A30,subQ,MATCH(L$1,SUBQH,0),0),"")</f>
        <v/>
      </c>
    </row>
    <row r="31">
      <c r="A31" s="12" t="inlineStr">
        <is>
          <t>EPS</t>
        </is>
      </c>
      <c r="D31" t="inlineStr">
        <is>
          <t>EPS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BPS</t>
        </is>
      </c>
      <c r="D32" t="inlineStr">
        <is>
          <t>BPS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DPS</t>
        </is>
      </c>
      <c r="D33" t="inlineStr">
        <is>
          <t>DPS(보통주)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PER</t>
        </is>
      </c>
      <c r="D34" t="inlineStr">
        <is>
          <t>PER</t>
        </is>
      </c>
      <c r="E34" s="13">
        <f>IFERROR(VLOOKUP($A34,subQ,MATCH(E$1,SUBQH,0),0),"")</f>
        <v/>
      </c>
      <c r="F34" s="13">
        <f>IFERROR(VLOOKUP($A34,subQ,MATCH(F$1,SUBQH,0),0),"")</f>
        <v/>
      </c>
      <c r="G34" s="13">
        <f>IFERROR(VLOOKUP($A34,subQ,MATCH(G$1,SUBQH,0),0),"")</f>
        <v/>
      </c>
      <c r="H34" s="13">
        <f>IFERROR(VLOOKUP($A34,subQ,MATCH(H$1,SUBQH,0),0),"")</f>
        <v/>
      </c>
      <c r="I34" s="48">
        <f>IFERROR(VLOOKUP($A34,subQ,MATCH(I$1,SUBQH,0),0),"")</f>
        <v/>
      </c>
      <c r="J34" s="39">
        <f>IFERROR(VLOOKUP($A34,subQ,MATCH(J$1,SUBQH,0),0),"")</f>
        <v/>
      </c>
      <c r="K34" s="39">
        <f>IFERROR(VLOOKUP($A34,subQ,MATCH(K$1,SUBQH,0),0),"")</f>
        <v/>
      </c>
      <c r="L34" s="39">
        <f>IFERROR(VLOOKUP($A34,subQ,MATCH(L$1,SUBQH,0),0),"")</f>
        <v/>
      </c>
    </row>
    <row r="35">
      <c r="A35" s="12" t="inlineStr">
        <is>
          <t>PBR</t>
        </is>
      </c>
      <c r="D35" t="inlineStr">
        <is>
          <t>PBR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48">
        <f>IFERROR(VLOOKUP($A35,subQ,MATCH(I$1,SUBQH,0),0),"")</f>
        <v/>
      </c>
      <c r="J35" s="39">
        <f>IFERROR(VLOOKUP($A35,subQ,MATCH(J$1,SUBQH,0),0),"")</f>
        <v/>
      </c>
      <c r="K35" s="39">
        <f>IFERROR(VLOOKUP($A35,subQ,MATCH(K$1,SUBQH,0),0),"")</f>
        <v/>
      </c>
      <c r="L35" s="39">
        <f>IFERROR(VLOOKUP($A35,subQ,MATCH(L$1,SUBQH,0),0),"")</f>
        <v/>
      </c>
    </row>
    <row r="36">
      <c r="A36" s="12" t="inlineStr">
        <is>
          <t>매출전사</t>
        </is>
      </c>
      <c r="D36" t="inlineStr">
        <is>
          <t>매출 전사(부문 미분리)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5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OP전사</t>
        </is>
      </c>
      <c r="D37" t="inlineStr">
        <is>
          <t>OP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5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NPM</t>
        </is>
      </c>
      <c r="D38" t="inlineStr">
        <is>
          <t>NPM</t>
        </is>
      </c>
      <c r="E38" s="21">
        <f>IFERROR(VLOOKUP($A38,subQ,MATCH(E$1,SUBQH,0),0),"")</f>
        <v/>
      </c>
      <c r="F38" s="21">
        <f>IFERROR(VLOOKUP($A38,subQ,MATCH(F$1,SUBQH,0),0),"")</f>
        <v/>
      </c>
      <c r="G38" s="21">
        <f>IFERROR(VLOOKUP($A38,subQ,MATCH(G$1,SUBQH,0),0),"")</f>
        <v/>
      </c>
      <c r="H38" s="21">
        <f>IFERROR(VLOOKUP($A38,subQ,MATCH(H$1,SUBQH,0),0),"")</f>
        <v/>
      </c>
      <c r="I38" s="46">
        <f>IFERROR(VLOOKUP($A38,subQ,MATCH(I$1,SUBQH,0),0),"")</f>
        <v/>
      </c>
      <c r="J38" s="32">
        <f>IFERROR(VLOOKUP($A38,subQ,MATCH(J$1,SUBQH,0),0),"")</f>
        <v/>
      </c>
      <c r="K38" s="32">
        <f>IFERROR(VLOOKUP($A38,subQ,MATCH(K$1,SUBQH,0),0),"")</f>
        <v/>
      </c>
      <c r="L38" s="32">
        <f>IFERROR(VLOOKUP($A38,subQ,MATCH(L$1,SUBQH,0),0),"")</f>
        <v/>
      </c>
    </row>
    <row r="39">
      <c r="A39" s="12" t="inlineStr">
        <is>
          <t>매출액 YoY</t>
        </is>
      </c>
      <c r="D39" t="inlineStr">
        <is>
          <t>매출액 YoY</t>
        </is>
      </c>
      <c r="F39" s="21">
        <f>IFERROR(F5/E5-1,"")</f>
        <v/>
      </c>
      <c r="G39" s="21">
        <f>IFERROR(G5/F5-1,"")</f>
        <v/>
      </c>
      <c r="H39" s="21">
        <f>IFERROR(H5/G5-1,"")</f>
        <v/>
      </c>
      <c r="I39" s="46">
        <f>IFERROR(I5/H5-1,"")</f>
        <v/>
      </c>
      <c r="J39" s="32">
        <f>IFERROR(J5/I5-1,"")</f>
        <v/>
      </c>
      <c r="K39" s="32">
        <f>IFERROR(K5/J5-1,"")</f>
        <v/>
      </c>
      <c r="L39" s="32">
        <f>IFERROR(L5/K5-1,"")</f>
        <v/>
      </c>
    </row>
    <row r="40">
      <c r="A40" s="12" t="inlineStr">
        <is>
          <t>영업이익 YoY</t>
        </is>
      </c>
      <c r="D40" t="inlineStr">
        <is>
          <t>영업이익 YoY</t>
        </is>
      </c>
      <c r="F40" s="21">
        <f>IFERROR(F9/E9-1,"")</f>
        <v/>
      </c>
      <c r="G40" s="21">
        <f>IFERROR(G9/F9-1,"")</f>
        <v/>
      </c>
      <c r="H40" s="21">
        <f>IFERROR(H9/G9-1,"")</f>
        <v/>
      </c>
      <c r="I40" s="46">
        <f>IFERROR(I9/H9-1,"")</f>
        <v/>
      </c>
      <c r="J40" s="32">
        <f>IFERROR(J9/I9-1,"")</f>
        <v/>
      </c>
      <c r="K40" s="32">
        <f>IFERROR(K9/J9-1,"")</f>
        <v/>
      </c>
      <c r="L40" s="32">
        <f>IFERROR(L9/K9-1,"")</f>
        <v/>
      </c>
    </row>
    <row r="41">
      <c r="A41" s="12" t="inlineStr">
        <is>
          <t>지배주주순이익 YoY</t>
        </is>
      </c>
      <c r="D41" t="inlineStr">
        <is>
          <t>지배주주순이익 YoY</t>
        </is>
      </c>
      <c r="F41" s="21">
        <f>IFERROR(F19/E19-1,"")</f>
        <v/>
      </c>
      <c r="G41" s="21">
        <f>IFERROR(G19/F19-1,"")</f>
        <v/>
      </c>
      <c r="H41" s="21">
        <f>IFERROR(H19/G19-1,"")</f>
        <v/>
      </c>
      <c r="I41" s="46">
        <f>IFERROR(I19/H19-1,"")</f>
        <v/>
      </c>
      <c r="J41" s="32">
        <f>IFERROR(J19/I19-1,"")</f>
        <v/>
      </c>
      <c r="K41" s="32">
        <f>IFERROR(K19/J19-1,"")</f>
        <v/>
      </c>
      <c r="L41" s="32">
        <f>IFERROR(L19/K19-1,"")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변수!D42</f>
        <v/>
      </c>
    </row>
    <row r="2">
      <c r="B2" s="1" t="inlineStr">
        <is>
          <t>기준일</t>
        </is>
      </c>
      <c r="C2">
        <f>변수!D43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IFERROR(E7*변수!D48+F7*(1-변수!D48),"")</f>
        <v/>
      </c>
    </row>
    <row r="15">
      <c r="C15" t="inlineStr">
        <is>
          <t>적정가치 @PER_lo</t>
        </is>
      </c>
      <c r="D15" s="27">
        <f>변수!D45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변수!D46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변수!D47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변수!D44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-177.5</v>
      </c>
    </row>
    <row r="30">
      <c r="C30" s="2" t="inlineStr">
        <is>
          <t>bps_latest</t>
        </is>
      </c>
      <c r="D30" t="n">
        <v>6814.4</v>
      </c>
    </row>
    <row r="31">
      <c r="C31" s="2" t="inlineStr">
        <is>
          <t>per_now</t>
        </is>
      </c>
    </row>
    <row r="32">
      <c r="C32" s="2" t="inlineStr">
        <is>
          <t>pbr_now</t>
        </is>
      </c>
      <c r="D32" t="n">
        <v>0.43</v>
      </c>
    </row>
    <row r="33">
      <c r="C33" s="2" t="inlineStr">
        <is>
          <t>roe_fwd</t>
        </is>
      </c>
      <c r="D33" t="n">
        <v>-0.026</v>
      </c>
    </row>
    <row r="34">
      <c r="C34" s="2" t="inlineStr">
        <is>
          <t>fair_pbr</t>
        </is>
      </c>
    </row>
    <row r="35">
      <c r="C35" s="2" t="inlineStr">
        <is>
          <t>fair_value_pbr</t>
        </is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변수!D55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2026-10-13T00:00:00Z</dcterms:created>
  <dcterms:modified xsi:type="dcterms:W3CDTF">2026-10-13T00:00:00Z</dcterms:modified>
</cp:coreProperties>
</file>