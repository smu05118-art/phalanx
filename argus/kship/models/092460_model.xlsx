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BS별도!$C$5:$AO$96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127137억 × 비례계수 0.0128 × 계절비중 Q3 0.227(계절비중 — 최근 3개 연도(2026, 2025, 2024) 분기/연간 비중 평균; 격자 lag0~4×창8/12/19×수준·YoY·4Q합 중 최대 r=1.00, n=8, 창 8)</t>
      </text>
    </comment>
    <comment ref="AD21" authorId="0" shapeId="0">
      <text>
        <t>모델값 역산(implied): v / 전년동기 − 1
고객지수 4분기 이동합(t−4) 127835억 × 비례계수 0.0128 × 계절비중 Q4 0.283(계절비중 — 최근 3개 연도(2026, 2025, 2024) 분기/연간 비중 평균; 격자 lag0~4×창8/12/19×수준·YoY·4Q합 중 최대 r=1.00, n=8, 창 8)</t>
      </text>
    </comment>
    <comment ref="AF21" authorId="0" shapeId="0">
      <text>
        <t>모델값 역산(implied): v / 전년동기 − 1
고객지수 4분기 이동합(t−4) 128504억 × 비례계수 0.0128 × 계절비중 Q1 0.234(계절비중 — 최근 3개 연도(2026, 2025, 2024) 분기/연간 비중 평균; 격자 lag0~4×창8/12/19×수준·YoY·4Q합 중 최대 r=1.00, n=8, 창 8)</t>
      </text>
    </comment>
    <comment ref="AG21" authorId="0" shapeId="0">
      <text>
        <t>모델값 역산(implied): v / 전년동기 − 1
고객지수 4분기 이동합(t−4) 149994억 × 비례계수 0.0128 × 계절비중 Q2 0.257(계절비중 — 최근 3개 연도(2026, 2025, 2024) 분기/연간 비중 평균; 격자 lag0~4×창8/12/19×수준·YoY·4Q합 중 최대 r=1.00, n=8, 창 8)</t>
      </text>
    </comment>
    <comment ref="AH21" authorId="0" shapeId="0">
      <text>
        <t>모델값 역산(implied): v / 전년동기 − 1
고객지수 4분기 이동합(t−4) 161069억 × 비례계수 0.0128 × 계절비중 Q3 0.227(계절비중 — 최근 3개 연도(2026, 2025, 2024) 분기/연간 비중 평균; 격자 lag0~4×창8/12/19×수준·YoY·4Q합 중 최대 r=1.00, n=8, 창 8)</t>
      </text>
    </comment>
    <comment ref="AI21" authorId="0" shapeId="0">
      <text>
        <t>모델값 역산(implied): v / 전년동기 − 1
고객지수 4분기 이동합(t−4) 169879억 × 비례계수 0.0128 × 계절비중 Q4 0.283(계절비중 — 최근 3개 연도(2026, 2025, 2024) 분기/연간 비중 평균; 격자 lag0~4×창8/12/19×수준·YoY·4Q합 중 최대 r=1.00, n=8, 창 8)</t>
      </text>
    </comment>
    <comment ref="AK21" authorId="0" shapeId="0">
      <text>
        <t>모델값 역산(implied): v / 전년동기 − 1
고객지수 4분기 이동합(t−4) 179192억 × 비례계수 0.0128 × 계절비중 Q1 0.234(계절비중 — 최근 3개 연도(2026, 2025, 2024) 분기/연간 비중 평균; 격자 lag0~4×창8/12/19×수준·YoY·4Q합 중 최대 r=1.00, n=8, 창 8)</t>
      </text>
    </comment>
    <comment ref="AL21" authorId="0" shapeId="0">
      <text>
        <t>모델값 역산(implied): v / 전년동기 − 1
고객지수 4분기 이동합(t−4) 167361억 × 비례계수 0.0128 × 계절비중 Q2 0.257(계절비중 — 최근 3개 연도(2026, 2025, 2024) 분기/연간 비중 평균; 격자 lag0~4×창8/12/19×수준·YoY·4Q합 중 최대 r=1.00, n=8, 창 8)</t>
      </text>
    </comment>
    <comment ref="AM21" authorId="0" shapeId="0">
      <text>
        <t>모델값 역산(implied): v / 전년동기 − 1
고객지수 4분기 이동합(t−4) 170976억 × 비례계수 0.0128 × 계절비중 Q3 0.227(계절비중 — 최근 3개 연도(2026, 2025, 2024) 분기/연간 비중 평균; 격자 lag0~4×창8/12/19×수준·YoY·4Q합 중 최대 r=1.00, n=8, 창 8)</t>
      </text>
    </comment>
    <comment ref="AN21" authorId="0" shapeId="0">
      <text>
        <t>모델값 역산(implied): v / 전년동기 − 1
고객지수 4분기 이동합(t−4) 176561억 × 비례계수 0.0128 × 계절비중 Q4 0.283(계절비중 — 최근 3개 연도(2026, 2025, 2024) 분기/연간 비중 평균; 격자 lag0~4×창8/12/19×수준·YoY·4Q합 중 최대 r=1.00, n=8, 창 8)</t>
      </text>
    </comment>
    <comment ref="AC22" authorId="0" shapeId="0">
      <text>
        <t>3절 스칼라 '판관비율' 참조 — 숫자로 덮어쓰면 이 분기만 바뀐다
매출액 × 판관비율 16.04%(최근 4분기 중위)</t>
      </text>
    </comment>
    <comment ref="AD22" authorId="0" shapeId="0">
      <text>
        <t>3절 스칼라 '판관비율' 참조 — 숫자로 덮어쓰면 이 분기만 바뀐다
매출액 × 판관비율 16.04%(최근 4분기 중위)</t>
      </text>
    </comment>
    <comment ref="AF22" authorId="0" shapeId="0">
      <text>
        <t>3절 스칼라 '판관비율' 참조 — 숫자로 덮어쓰면 이 분기만 바뀐다
매출액 × 판관비율 16.04%(최근 4분기 중위)</t>
      </text>
    </comment>
    <comment ref="AG22" authorId="0" shapeId="0">
      <text>
        <t>3절 스칼라 '판관비율' 참조 — 숫자로 덮어쓰면 이 분기만 바뀐다
매출액 × 판관비율 16.04%(최근 4분기 중위)</t>
      </text>
    </comment>
    <comment ref="AH22" authorId="0" shapeId="0">
      <text>
        <t>3절 스칼라 '판관비율' 참조 — 숫자로 덮어쓰면 이 분기만 바뀐다
매출액 × 판관비율 16.04%(최근 4분기 중위)</t>
      </text>
    </comment>
    <comment ref="AI22" authorId="0" shapeId="0">
      <text>
        <t>3절 스칼라 '판관비율' 참조 — 숫자로 덮어쓰면 이 분기만 바뀐다
매출액 × 판관비율 16.04%(최근 4분기 중위)</t>
      </text>
    </comment>
    <comment ref="AK22" authorId="0" shapeId="0">
      <text>
        <t>3절 스칼라 '판관비율' 참조 — 숫자로 덮어쓰면 이 분기만 바뀐다
매출액 × 판관비율 16.04%(최근 4분기 중위)</t>
      </text>
    </comment>
    <comment ref="AL22" authorId="0" shapeId="0">
      <text>
        <t>3절 스칼라 '판관비율' 참조 — 숫자로 덮어쓰면 이 분기만 바뀐다
매출액 × 판관비율 16.04%(최근 4분기 중위)</t>
      </text>
    </comment>
    <comment ref="AM22" authorId="0" shapeId="0">
      <text>
        <t>3절 스칼라 '판관비율' 참조 — 숫자로 덮어쓰면 이 분기만 바뀐다
매출액 × 판관비율 16.04%(최근 4분기 중위)</t>
      </text>
    </comment>
    <comment ref="AN22" authorId="0" shapeId="0">
      <text>
        <t>3절 스칼라 '판관비율' 참조 — 숫자로 덮어쓰면 이 분기만 바뀐다
매출액 × 판관비율 16.04%(최근 4분기 중위)</t>
      </text>
    </comment>
    <comment ref="AC23" authorId="0" shapeId="0">
      <text>
        <t>모델값 역산(implied): v / 매출액
매출액 × OPM(최근 8분기 OPM 중위 16.2% 유지)</t>
      </text>
    </comment>
    <comment ref="AD23" authorId="0" shapeId="0">
      <text>
        <t>모델값 역산(implied): v / 매출액
매출액 × OPM(최근 8분기 OPM 중위 16.2% 유지)</t>
      </text>
    </comment>
    <comment ref="AF23" authorId="0" shapeId="0">
      <text>
        <t>모델값 역산(implied): v / 매출액
매출액 × OPM(최근 8분기 OPM 중위 16.2% 유지)</t>
      </text>
    </comment>
    <comment ref="AG23" authorId="0" shapeId="0">
      <text>
        <t>모델값 역산(implied): v / 매출액
매출액 × OPM(최근 8분기 OPM 중위 16.2% 유지)</t>
      </text>
    </comment>
    <comment ref="AH23" authorId="0" shapeId="0">
      <text>
        <t>모델값 역산(implied): v / 매출액
매출액 × OPM(최근 8분기 OPM 중위 16.2% 유지)</t>
      </text>
    </comment>
    <comment ref="AI23" authorId="0" shapeId="0">
      <text>
        <t>모델값 역산(implied): v / 매출액
매출액 × OPM(최근 8분기 OPM 중위 16.2% 유지)</t>
      </text>
    </comment>
    <comment ref="AK23" authorId="0" shapeId="0">
      <text>
        <t>모델값 역산(implied): v / 매출액
매출액 × OPM(최근 8분기 OPM 중위 16.2% 유지)</t>
      </text>
    </comment>
    <comment ref="AL23" authorId="0" shapeId="0">
      <text>
        <t>모델값 역산(implied): v / 매출액
매출액 × OPM(최근 8분기 OPM 중위 16.2% 유지)</t>
      </text>
    </comment>
    <comment ref="AM23" authorId="0" shapeId="0">
      <text>
        <t>모델값 역산(implied): v / 매출액
매출액 × OPM(최근 8분기 OPM 중위 16.2% 유지)</t>
      </text>
    </comment>
    <comment ref="AN23" authorId="0" shapeId="0">
      <text>
        <t>모델값 역산(implied): v / 매출액
매출액 × OPM(최근 8분기 OPM 중위 16.2%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D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F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G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H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I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K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L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M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N26" authorId="0" shapeId="0">
      <text>
        <t>3절 스칼라 '세율' 참조 — 숫자로 덮어쓰면 이 분기만 바뀐다
max(세전, 0) × 세율 14.7%(최근 12분기 유효세율 14.7%(5~27%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5억 − CAPEX 67억(각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전년동기 − 1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620원 유지</t>
      </text>
    </comment>
    <comment ref="AI39" authorId="0" shapeId="0">
      <text>
        <t>모델값 역산(implied): 모델 v 그대로
직전 결산 DPS 620원 유지</t>
      </text>
    </comment>
    <comment ref="AN39" authorId="0" shapeId="0">
      <text>
        <t>모델값 역산(implied): 모델 v 그대로
직전 결산 DPS 620원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127137억 × 비례계수 0.0128 × 계절비중 Q3 0.227(계절비중 — 최근 3개 연도(2026, 2025, 2024) 분기/연간 비중 평균; 격자 lag0~4×창8/12/19×수준·YoY·4Q합 중 최대 r=1.00, n=8, 창 8)
[yoy]</t>
      </text>
    </comment>
    <comment ref="AD5" authorId="0" shapeId="0">
      <text>
        <t>추정: 고객지수 4분기 이동합(t−4) 127835억 × 비례계수 0.0128 × 계절비중 Q4 0.283(계절비중 — 최근 3개 연도(2026, 2025, 2024) 분기/연간 비중 평균; 격자 lag0~4×창8/12/19×수준·YoY·4Q합 중 최대 r=1.00, n=8, 창 8)
[yoy]</t>
      </text>
    </comment>
    <comment ref="AF5" authorId="0" shapeId="0">
      <text>
        <t>추정: 고객지수 4분기 이동합(t−4) 128504억 × 비례계수 0.0128 × 계절비중 Q1 0.234(계절비중 — 최근 3개 연도(2026, 2025, 2024) 분기/연간 비중 평균; 격자 lag0~4×창8/12/19×수준·YoY·4Q합 중 최대 r=1.00, n=8, 창 8)
[yoy]</t>
      </text>
    </comment>
    <comment ref="AG5" authorId="0" shapeId="0">
      <text>
        <t>추정: 고객지수 4분기 이동합(t−4) 149994억 × 비례계수 0.0128 × 계절비중 Q2 0.257(계절비중 — 최근 3개 연도(2026, 2025, 2024) 분기/연간 비중 평균; 격자 lag0~4×창8/12/19×수준·YoY·4Q합 중 최대 r=1.00, n=8, 창 8)
[yoy]</t>
      </text>
    </comment>
    <comment ref="AH5" authorId="0" shapeId="0">
      <text>
        <t>추정: 고객지수 4분기 이동합(t−4) 161069억 × 비례계수 0.0128 × 계절비중 Q3 0.227(계절비중 — 최근 3개 연도(2026, 2025, 2024) 분기/연간 비중 평균; 격자 lag0~4×창8/12/19×수준·YoY·4Q합 중 최대 r=1.00, n=8, 창 8)
[yoy]</t>
      </text>
    </comment>
    <comment ref="AI5" authorId="0" shapeId="0">
      <text>
        <t>추정: 고객지수 4분기 이동합(t−4) 169879억 × 비례계수 0.0128 × 계절비중 Q4 0.283(계절비중 — 최근 3개 연도(2026, 2025, 2024) 분기/연간 비중 평균; 격자 lag0~4×창8/12/19×수준·YoY·4Q합 중 최대 r=1.00, n=8, 창 8)
[yoy]</t>
      </text>
    </comment>
    <comment ref="AK5" authorId="0" shapeId="0">
      <text>
        <t>추정: 고객지수 4분기 이동합(t−4) 179192억 × 비례계수 0.0128 × 계절비중 Q1 0.234(계절비중 — 최근 3개 연도(2026, 2025, 2024) 분기/연간 비중 평균; 격자 lag0~4×창8/12/19×수준·YoY·4Q합 중 최대 r=1.00, n=8, 창 8)
[yoy]</t>
      </text>
    </comment>
    <comment ref="AL5" authorId="0" shapeId="0">
      <text>
        <t>추정: 고객지수 4분기 이동합(t−4) 167361억 × 비례계수 0.0128 × 계절비중 Q2 0.257(계절비중 — 최근 3개 연도(2026, 2025, 2024) 분기/연간 비중 평균; 격자 lag0~4×창8/12/19×수준·YoY·4Q합 중 최대 r=1.00, n=8, 창 8)
[yoy]</t>
      </text>
    </comment>
    <comment ref="AM5" authorId="0" shapeId="0">
      <text>
        <t>추정: 고객지수 4분기 이동합(t−4) 170976억 × 비례계수 0.0128 × 계절비중 Q3 0.227(계절비중 — 최근 3개 연도(2026, 2025, 2024) 분기/연간 비중 평균; 격자 lag0~4×창8/12/19×수준·YoY·4Q합 중 최대 r=1.00, n=8, 창 8)
[yoy]</t>
      </text>
    </comment>
    <comment ref="AN5" authorId="0" shapeId="0">
      <text>
        <t>추정: 고객지수 4분기 이동합(t−4) 176561억 × 비례계수 0.0128 × 계절비중 Q4 0.283(계절비중 — 최근 3개 연도(2026, 2025, 2024) 분기/연간 비중 평균; 격자 lag0~4×창8/12/19×수준·YoY·4Q합 중 최대 r=1.00,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16.04%(최근 4분기 중위)
[ratio]</t>
      </text>
    </comment>
    <comment ref="AD8" authorId="0" shapeId="0">
      <text>
        <t>추정: 매출액 × 판관비율 16.04%(최근 4분기 중위)
[ratio]</t>
      </text>
    </comment>
    <comment ref="AF8" authorId="0" shapeId="0">
      <text>
        <t>추정: 매출액 × 판관비율 16.04%(최근 4분기 중위)
[ratio]</t>
      </text>
    </comment>
    <comment ref="AG8" authorId="0" shapeId="0">
      <text>
        <t>추정: 매출액 × 판관비율 16.04%(최근 4분기 중위)
[ratio]</t>
      </text>
    </comment>
    <comment ref="AH8" authorId="0" shapeId="0">
      <text>
        <t>추정: 매출액 × 판관비율 16.04%(최근 4분기 중위)
[ratio]</t>
      </text>
    </comment>
    <comment ref="AI8" authorId="0" shapeId="0">
      <text>
        <t>추정: 매출액 × 판관비율 16.04%(최근 4분기 중위)
[ratio]</t>
      </text>
    </comment>
    <comment ref="AK8" authorId="0" shapeId="0">
      <text>
        <t>추정: 매출액 × 판관비율 16.04%(최근 4분기 중위)
[ratio]</t>
      </text>
    </comment>
    <comment ref="AL8" authorId="0" shapeId="0">
      <text>
        <t>추정: 매출액 × 판관비율 16.04%(최근 4분기 중위)
[ratio]</t>
      </text>
    </comment>
    <comment ref="AM8" authorId="0" shapeId="0">
      <text>
        <t>추정: 매출액 × 판관비율 16.04%(최근 4분기 중위)
[ratio]</t>
      </text>
    </comment>
    <comment ref="AN8" authorId="0" shapeId="0">
      <text>
        <t>추정: 매출액 × 판관비율 16.04%(최근 4분기 중위)
[ratio]</t>
      </text>
    </comment>
    <comment ref="AC9" authorId="0" shapeId="0">
      <text>
        <t>추정: 매출액 × OPM(최근 8분기 OPM 중위 16.2% 유지)
[ratio]</t>
      </text>
    </comment>
    <comment ref="AD9" authorId="0" shapeId="0">
      <text>
        <t>추정: 매출액 × OPM(최근 8분기 OPM 중위 16.2% 유지)
[ratio]</t>
      </text>
    </comment>
    <comment ref="AF9" authorId="0" shapeId="0">
      <text>
        <t>추정: 매출액 × OPM(최근 8분기 OPM 중위 16.2% 유지)
[ratio]</t>
      </text>
    </comment>
    <comment ref="AG9" authorId="0" shapeId="0">
      <text>
        <t>추정: 매출액 × OPM(최근 8분기 OPM 중위 16.2% 유지)
[ratio]</t>
      </text>
    </comment>
    <comment ref="AH9" authorId="0" shapeId="0">
      <text>
        <t>추정: 매출액 × OPM(최근 8분기 OPM 중위 16.2% 유지)
[ratio]</t>
      </text>
    </comment>
    <comment ref="AI9" authorId="0" shapeId="0">
      <text>
        <t>추정: 매출액 × OPM(최근 8분기 OPM 중위 16.2% 유지)
[ratio]</t>
      </text>
    </comment>
    <comment ref="AK9" authorId="0" shapeId="0">
      <text>
        <t>추정: 매출액 × OPM(최근 8분기 OPM 중위 16.2% 유지)
[ratio]</t>
      </text>
    </comment>
    <comment ref="AL9" authorId="0" shapeId="0">
      <text>
        <t>추정: 매출액 × OPM(최근 8분기 OPM 중위 16.2% 유지)
[ratio]</t>
      </text>
    </comment>
    <comment ref="AM9" authorId="0" shapeId="0">
      <text>
        <t>추정: 매출액 × OPM(최근 8분기 OPM 중위 16.2% 유지)
[ratio]</t>
      </text>
    </comment>
    <comment ref="AN9" authorId="0" shapeId="0">
      <text>
        <t>추정: 매출액 × OPM(최근 8분기 OPM 중위 16.2% 유지)
[ratio]</t>
      </text>
    </comment>
    <comment ref="AC10" authorId="0" shapeId="0">
      <text>
        <t>추정: 최근 8분기 OPM 중위 16.2% 유지
[divide]</t>
      </text>
    </comment>
    <comment ref="AD10" authorId="0" shapeId="0">
      <text>
        <t>추정: 최근 8분기 OPM 중위 16.2% 유지
[divide]</t>
      </text>
    </comment>
    <comment ref="AF10" authorId="0" shapeId="0">
      <text>
        <t>추정: 최근 8분기 OPM 중위 16.2% 유지
[divide]</t>
      </text>
    </comment>
    <comment ref="AG10" authorId="0" shapeId="0">
      <text>
        <t>추정: 최근 8분기 OPM 중위 16.2% 유지
[divide]</t>
      </text>
    </comment>
    <comment ref="AH10" authorId="0" shapeId="0">
      <text>
        <t>추정: 최근 8분기 OPM 중위 16.2% 유지
[divide]</t>
      </text>
    </comment>
    <comment ref="AI10" authorId="0" shapeId="0">
      <text>
        <t>추정: 최근 8분기 OPM 중위 16.2% 유지
[divide]</t>
      </text>
    </comment>
    <comment ref="AK10" authorId="0" shapeId="0">
      <text>
        <t>추정: 최근 8분기 OPM 중위 16.2% 유지
[divide]</t>
      </text>
    </comment>
    <comment ref="AL10" authorId="0" shapeId="0">
      <text>
        <t>추정: 최근 8분기 OPM 중위 16.2% 유지
[divide]</t>
      </text>
    </comment>
    <comment ref="AM10" authorId="0" shapeId="0">
      <text>
        <t>추정: 최근 8분기 OPM 중위 16.2% 유지
[divide]</t>
      </text>
    </comment>
    <comment ref="AN10" authorId="0" shapeId="0">
      <text>
        <t>추정: 최근 8분기 OPM 중위 16.2%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279억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268억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158억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159억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181억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191억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98억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102억 × 3.94%(CF 이자수취 ÷ 평균 이자발생자산(2025Q3~2026Q2; 주석 이자수익 0분기 &lt; 4)) − 총차입금 571억 × 2.20%(CF 이자지급 ÷ 평균 총차입금(2026Q1~2026Q2; 주석 이자비용 0분기 &lt; 4)) (연율) ÷ 4; 환율 효과는 환관련손익 행 별도
[identity]</t>
      </text>
    </comment>
    <comment ref="AC12" authorId="0" shapeId="0">
      <text>
        <t>추정: 이자발생자산 279억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D12" authorId="0" shapeId="0">
      <text>
        <t>추정: 이자발생자산 268억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F12" authorId="0" shapeId="0">
      <text>
        <t>추정: 이자발생자산 269억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G12" authorId="0" shapeId="0">
      <text>
        <t>추정: 이자발생자산 259억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H12" authorId="0" shapeId="0">
      <text>
        <t>추정: 이자발생자산 158억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I12" authorId="0" shapeId="0">
      <text>
        <t>추정: 이자발생자산 159억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K12" authorId="0" shapeId="0">
      <text>
        <t>추정: 이자발생자산 181억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L12" authorId="0" shapeId="0">
      <text>
        <t>추정: 이자발생자산 191억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M12" authorId="0" shapeId="0">
      <text>
        <t>추정: 이자발생자산 98억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N12" authorId="0" shapeId="0">
      <text>
        <t>추정: 이자발생자산 102억 × 3.94%(CF 이자수취 ÷ 평균 이자발생자산(2025Q3~2026Q2; 주석 이자수익 0분기 &lt; 4)) − 총차입금 571억 × 2.20%(CF 이자지급 ÷ 평균 총차입금(2026Q1~2026Q2; 주석 이자비용 0분기 &lt; 4))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14.7%(최근 12분기 유효세율 14.7%(5~27% 안 — 그대로))
[tax]</t>
      </text>
    </comment>
    <comment ref="AD16" authorId="0" shapeId="0">
      <text>
        <t>추정: max(세전, 0) × 세율 14.7%(최근 12분기 유효세율 14.7%(5~27% 안 — 그대로))
[tax]</t>
      </text>
    </comment>
    <comment ref="AF16" authorId="0" shapeId="0">
      <text>
        <t>추정: max(세전, 0) × 세율 14.7%(최근 12분기 유효세율 14.7%(5~27% 안 — 그대로))
[tax]</t>
      </text>
    </comment>
    <comment ref="AG16" authorId="0" shapeId="0">
      <text>
        <t>추정: max(세전, 0) × 세율 14.7%(최근 12분기 유효세율 14.7%(5~27% 안 — 그대로))
[tax]</t>
      </text>
    </comment>
    <comment ref="AH16" authorId="0" shapeId="0">
      <text>
        <t>추정: max(세전, 0) × 세율 14.7%(최근 12분기 유효세율 14.7%(5~27% 안 — 그대로))
[tax]</t>
      </text>
    </comment>
    <comment ref="AI16" authorId="0" shapeId="0">
      <text>
        <t>추정: max(세전, 0) × 세율 14.7%(최근 12분기 유효세율 14.7%(5~27% 안 — 그대로))
[tax]</t>
      </text>
    </comment>
    <comment ref="AK16" authorId="0" shapeId="0">
      <text>
        <t>추정: max(세전, 0) × 세율 14.7%(최근 12분기 유효세율 14.7%(5~27% 안 — 그대로))
[tax]</t>
      </text>
    </comment>
    <comment ref="AL16" authorId="0" shapeId="0">
      <text>
        <t>추정: max(세전, 0) × 세율 14.7%(최근 12분기 유효세율 14.7%(5~27% 안 — 그대로))
[tax]</t>
      </text>
    </comment>
    <comment ref="AM16" authorId="0" shapeId="0">
      <text>
        <t>추정: max(세전, 0) × 세율 14.7%(최근 12분기 유효세율 14.7%(5~27% 안 — 그대로))
[tax]</t>
      </text>
    </comment>
    <comment ref="AN16" authorId="0" shapeId="0">
      <text>
        <t>추정: max(세전, 0) × 세율 14.7%(최근 12분기 유효세율 14.7%(5~27%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5억 − CAPEX 67억(각 최근 4분기 중위) − 배당]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620원 유지
[abs]</t>
      </text>
    </comment>
    <comment ref="AI34" authorId="0" shapeId="0">
      <text>
        <t>추정: 직전 결산 DPS 620원 유지
[abs]</t>
      </text>
    </comment>
    <comment ref="AN34" authorId="0" shapeId="0">
      <text>
        <t>추정: 직전 결산 DPS 620원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한라IMS(092460)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14.74% — 법인세 = MAX(세전,0) × 세율, 추정 전 분기 연결(Σ법인세/Σmax(세전,0) 역산, 재현 오차 ≤ 0.05억). 모델 가정 14.74% · 근거: 최근 12분기 유효세율 14.7%(5~27% 안 — 그대로)</t>
        </is>
      </c>
    </row>
    <row r="23">
      <c r="A23" t="inlineStr">
        <is>
          <t>· 판관비율 16.04%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3.94% / 부채 2.20% — 이자손익 = (전분기 이자발생자산 × 자산이자율 − 전분기 총차입금 × 부채이자율)/4, 최소자승 역산(모델 assumptions [0.0394, 0.022] 는 4자리 반올림이라 그대로 쓰면 ±1억 어긋남) · 출처: {"asset": "CF 이자수취 ÷ 평균 이자발생자산(2025Q3~2026Q2; 주석 이자수익 0분기 &lt; 4)", "debt": "CF 이자지급 ÷ 평균 총차입금(2026Q1~2026Q2; 주석 이자비용 0분기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8.5/9.3/11.0배(hist_quarterly(분기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assets/models/092460.json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+4/+13/-3/-3(중위 +1억) → 추정 2026Q3 -0억(차 -1억, -153%)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7.1, "op_wape_pct": 14.2, "n": 4, "note": "단일 회사 4분기 — 통계 아님", "driver_at_freeze": "customer_yard_revenue_weighted", "selection_oos_at_freeze": {"freeze": "2024Q2", "n": 4, "wape_link": null, "wape_trend": 37.3,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335.57, "rev_act": 316.68, "op_pred": 51.45, "op_act": 54.41}, {"q": "2025Q4", "rev_pred": 430.75, "rev_act": 395.91, "op_pred": 66.05, "op_act": 55.42}, {"q": "2026Q1", "rev_pred": 368.08, "rev_act": 393.57, "op_pred": 56.44, "op_act": 55.18}, {"q": "2026Q2", "rev_pred": 458.41, "rev_act": 428.36, "op_pred": 70.29, "op_act": 91.94}]}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5070</v>
      </c>
      <c r="F15" s="9" t="n"/>
      <c r="G15" s="18" t="n">
        <v>5970</v>
      </c>
      <c r="H15" s="18" t="n">
        <v>5320</v>
      </c>
      <c r="I15" s="18" t="n">
        <v>4710</v>
      </c>
      <c r="J15" s="18" t="n">
        <v>5790</v>
      </c>
      <c r="K15" s="9" t="n"/>
      <c r="L15" s="18" t="n">
        <v>5970</v>
      </c>
      <c r="M15" s="18" t="n">
        <v>6860</v>
      </c>
      <c r="N15" s="18" t="n">
        <v>5910</v>
      </c>
      <c r="O15" s="18" t="n">
        <v>6630</v>
      </c>
      <c r="P15" s="9" t="n"/>
      <c r="Q15" s="18" t="n">
        <v>6070</v>
      </c>
      <c r="R15" s="18" t="n">
        <v>7060</v>
      </c>
      <c r="S15" s="18" t="n">
        <v>6560</v>
      </c>
      <c r="T15" s="18" t="n">
        <v>8150</v>
      </c>
      <c r="U15" s="9" t="n"/>
      <c r="V15" s="18" t="n">
        <v>8270</v>
      </c>
      <c r="W15" s="18" t="n">
        <v>8790</v>
      </c>
      <c r="X15" s="18" t="n">
        <v>14940</v>
      </c>
      <c r="Y15" s="18" t="n">
        <v>17000</v>
      </c>
      <c r="Z15" s="9" t="n"/>
      <c r="AA15" s="18" t="n">
        <v>14320</v>
      </c>
      <c r="AB15" s="19" t="n">
        <v>15160</v>
      </c>
      <c r="AC15" s="20" t="n">
        <v>16830</v>
      </c>
      <c r="AD15" s="20" t="n">
        <v>17050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6360</v>
      </c>
      <c r="F16" s="9" t="n"/>
      <c r="G16" s="18" t="n">
        <v>6760</v>
      </c>
      <c r="H16" s="18" t="n">
        <v>6620</v>
      </c>
      <c r="I16" s="18" t="n">
        <v>6230</v>
      </c>
      <c r="J16" s="18" t="n">
        <v>6080</v>
      </c>
      <c r="K16" s="9" t="n"/>
      <c r="L16" s="18" t="n">
        <v>6230</v>
      </c>
      <c r="M16" s="18" t="n">
        <v>7700</v>
      </c>
      <c r="N16" s="18" t="n">
        <v>7550</v>
      </c>
      <c r="O16" s="18" t="n">
        <v>7050</v>
      </c>
      <c r="P16" s="9" t="n"/>
      <c r="Q16" s="18" t="n">
        <v>6610</v>
      </c>
      <c r="R16" s="18" t="n">
        <v>7470</v>
      </c>
      <c r="S16" s="18" t="n">
        <v>8240</v>
      </c>
      <c r="T16" s="18" t="n">
        <v>8700</v>
      </c>
      <c r="U16" s="9" t="n"/>
      <c r="V16" s="18" t="n">
        <v>9920</v>
      </c>
      <c r="W16" s="18" t="n">
        <v>10250</v>
      </c>
      <c r="X16" s="18" t="n">
        <v>19450</v>
      </c>
      <c r="Y16" s="18" t="n">
        <v>22150</v>
      </c>
      <c r="Z16" s="9" t="n"/>
      <c r="AA16" s="18" t="n">
        <v>18800</v>
      </c>
      <c r="AB16" s="19" t="n">
        <v>22000</v>
      </c>
      <c r="AC16" s="20" t="n">
        <v>19040</v>
      </c>
      <c r="AD16" s="20" t="n">
        <v>17180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4650</v>
      </c>
      <c r="F17" s="9" t="n"/>
      <c r="G17" s="18" t="n">
        <v>5060</v>
      </c>
      <c r="H17" s="18" t="n">
        <v>4570</v>
      </c>
      <c r="I17" s="18" t="n">
        <v>4520</v>
      </c>
      <c r="J17" s="18" t="n">
        <v>4405</v>
      </c>
      <c r="K17" s="9" t="n"/>
      <c r="L17" s="18" t="n">
        <v>5140</v>
      </c>
      <c r="M17" s="18" t="n">
        <v>5780</v>
      </c>
      <c r="N17" s="18" t="n">
        <v>5610</v>
      </c>
      <c r="O17" s="18" t="n">
        <v>5380</v>
      </c>
      <c r="P17" s="9" t="n"/>
      <c r="Q17" s="18" t="n">
        <v>5560</v>
      </c>
      <c r="R17" s="18" t="n">
        <v>5900</v>
      </c>
      <c r="S17" s="18" t="n">
        <v>6050</v>
      </c>
      <c r="T17" s="18" t="n">
        <v>6240</v>
      </c>
      <c r="U17" s="9" t="n"/>
      <c r="V17" s="18" t="n">
        <v>8000</v>
      </c>
      <c r="W17" s="18" t="n">
        <v>7460</v>
      </c>
      <c r="X17" s="18" t="n">
        <v>8250</v>
      </c>
      <c r="Y17" s="18" t="n">
        <v>14250</v>
      </c>
      <c r="Z17" s="9" t="n"/>
      <c r="AA17" s="18" t="n">
        <v>13100</v>
      </c>
      <c r="AB17" s="19" t="n">
        <v>13390</v>
      </c>
      <c r="AC17" s="20" t="n">
        <v>13770</v>
      </c>
      <c r="AD17" s="20" t="n">
        <v>16000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5392</v>
      </c>
      <c r="F18" s="9" t="n"/>
      <c r="G18" s="18" t="n">
        <v>5884.6</v>
      </c>
      <c r="H18" s="18" t="n">
        <v>5630.2</v>
      </c>
      <c r="I18" s="18" t="n">
        <v>5352.2</v>
      </c>
      <c r="J18" s="18" t="n">
        <v>5309.8</v>
      </c>
      <c r="K18" s="9" t="n"/>
      <c r="L18" s="18" t="n">
        <v>5748.2</v>
      </c>
      <c r="M18" s="18" t="n">
        <v>6702.3</v>
      </c>
      <c r="N18" s="18" t="n">
        <v>6335</v>
      </c>
      <c r="O18" s="18" t="n">
        <v>6419.3</v>
      </c>
      <c r="P18" s="9" t="n"/>
      <c r="Q18" s="18" t="n">
        <v>6003.1</v>
      </c>
      <c r="R18" s="18" t="n">
        <v>6669.8</v>
      </c>
      <c r="S18" s="18" t="n">
        <v>6996.8</v>
      </c>
      <c r="T18" s="18" t="n">
        <v>7096.9</v>
      </c>
      <c r="U18" s="9" t="n"/>
      <c r="V18" s="18" t="n">
        <v>8792.799999999999</v>
      </c>
      <c r="W18" s="18" t="n">
        <v>9183</v>
      </c>
      <c r="X18" s="18" t="n">
        <v>12411.5</v>
      </c>
      <c r="Y18" s="18" t="n">
        <v>16552.7</v>
      </c>
      <c r="Z18" s="9" t="n"/>
      <c r="AA18" s="18" t="n">
        <v>15937.5</v>
      </c>
      <c r="AB18" s="19" t="n">
        <v>18211.8</v>
      </c>
      <c r="AC18" s="20" t="n">
        <v>16620.6</v>
      </c>
      <c r="AD18" s="20" t="n">
        <v>16966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0.164372531</v>
      </c>
      <c r="AD21" s="24" t="n">
        <v>0.169544559</v>
      </c>
      <c r="AE21" s="25" t="n"/>
      <c r="AF21" s="24" t="n">
        <v>-0.02341889</v>
      </c>
      <c r="AG21" s="24" t="n">
        <v>0.150825435</v>
      </c>
      <c r="AH21" s="24" t="n">
        <v>0.266889052</v>
      </c>
      <c r="AI21" s="24" t="n">
        <v>0.328913269</v>
      </c>
      <c r="AJ21" s="25" t="n"/>
      <c r="AK21" s="24" t="n">
        <v>0.394458176</v>
      </c>
      <c r="AL21" s="24" t="n">
        <v>0.115787979</v>
      </c>
      <c r="AM21" s="24" t="n">
        <v>0.061501905</v>
      </c>
      <c r="AN21" s="24" t="n">
        <v>0.039327851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0.161744366</v>
      </c>
      <c r="AD23" s="24" t="n">
        <v>0.161757084</v>
      </c>
      <c r="AE23" s="25">
        <f>IFERROR(subQ!AE9/subQ!AE5,"")</f>
        <v/>
      </c>
      <c r="AF23" s="24" t="n">
        <v>0.16175361</v>
      </c>
      <c r="AG23" s="24" t="n">
        <v>0.161754265</v>
      </c>
      <c r="AH23" s="24" t="n">
        <v>0.161750225</v>
      </c>
      <c r="AI23" s="24" t="n">
        <v>0.161747977</v>
      </c>
      <c r="AJ23" s="25">
        <f>IFERROR(subQ!AJ9/subQ!AJ5,"")</f>
        <v/>
      </c>
      <c r="AK23" s="24" t="n">
        <v>0.161747145</v>
      </c>
      <c r="AL23" s="24" t="n">
        <v>0.161748932</v>
      </c>
      <c r="AM23" s="24" t="n">
        <v>0.161756105</v>
      </c>
      <c r="AN23" s="24" t="n">
        <v>0.161756888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-0.21</v>
      </c>
      <c r="AD25" s="30" t="n">
        <v>-0.21</v>
      </c>
      <c r="AE25" s="31">
        <f>subQ!AE14</f>
        <v/>
      </c>
      <c r="AF25" s="30" t="n">
        <v>-0.21</v>
      </c>
      <c r="AG25" s="30" t="n">
        <v>-0.21</v>
      </c>
      <c r="AH25" s="30" t="n">
        <v>-0.21</v>
      </c>
      <c r="AI25" s="30" t="n">
        <v>-0.21</v>
      </c>
      <c r="AJ25" s="31">
        <f>subQ!AJ14</f>
        <v/>
      </c>
      <c r="AK25" s="30" t="n">
        <v>-0.21</v>
      </c>
      <c r="AL25" s="30" t="n">
        <v>-0.21</v>
      </c>
      <c r="AM25" s="30" t="n">
        <v>-0.21</v>
      </c>
      <c r="AN25" s="30" t="n">
        <v>-0.21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4.84</v>
      </c>
      <c r="AD28" s="30" t="n">
        <v>4.84</v>
      </c>
      <c r="AE28" s="31">
        <f>subQ!AE19</f>
        <v/>
      </c>
      <c r="AF28" s="30" t="n">
        <v>4.84</v>
      </c>
      <c r="AG28" s="30" t="n">
        <v>4.84</v>
      </c>
      <c r="AH28" s="30" t="n">
        <v>4.84</v>
      </c>
      <c r="AI28" s="30" t="n">
        <v>4.84</v>
      </c>
      <c r="AJ28" s="31">
        <f>subQ!AJ19</f>
        <v/>
      </c>
      <c r="AK28" s="30" t="n">
        <v>4.84</v>
      </c>
      <c r="AL28" s="30" t="n">
        <v>4.84</v>
      </c>
      <c r="AM28" s="30" t="n">
        <v>4.84</v>
      </c>
      <c r="AN28" s="30" t="n">
        <v>4.84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-3.485e-06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-0.003303065</v>
      </c>
      <c r="AD30" s="30" t="n">
        <v>2.5209e-05</v>
      </c>
      <c r="AE30" s="31" t="n"/>
      <c r="AF30" s="30" t="n">
        <v>-0.003009558</v>
      </c>
      <c r="AG30" s="30" t="n">
        <v>106.075473964</v>
      </c>
      <c r="AH30" s="30" t="n">
        <v>-0.00484392</v>
      </c>
      <c r="AI30" s="30" t="n">
        <v>-0.001803216</v>
      </c>
      <c r="AJ30" s="31" t="n"/>
      <c r="AK30" s="30" t="n">
        <v>6.396700000000001e-05</v>
      </c>
      <c r="AL30" s="30" t="n">
        <v>106.072235048</v>
      </c>
      <c r="AM30" s="30" t="n">
        <v>-0.001521883</v>
      </c>
      <c r="AN30" s="30" t="n">
        <v>-0.001967307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-0.003303065</v>
      </c>
      <c r="AD31" s="30" t="n">
        <v>2.5209e-05</v>
      </c>
      <c r="AE31" s="31" t="n"/>
      <c r="AF31" s="30" t="n">
        <v>-0.003009558</v>
      </c>
      <c r="AG31" s="30" t="n">
        <v>106.075473964</v>
      </c>
      <c r="AH31" s="30" t="n">
        <v>-0.00484392</v>
      </c>
      <c r="AI31" s="30" t="n">
        <v>-0.001803216</v>
      </c>
      <c r="AJ31" s="31" t="n"/>
      <c r="AK31" s="30" t="n">
        <v>6.396700000000001e-05</v>
      </c>
      <c r="AL31" s="30" t="n">
        <v>106.072235048</v>
      </c>
      <c r="AM31" s="30" t="n">
        <v>-0.001521883</v>
      </c>
      <c r="AN31" s="30" t="n">
        <v>-0.001967307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7.881e-06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0.038169183</v>
      </c>
      <c r="AD33" s="24" t="n">
        <v>-0.003766833</v>
      </c>
      <c r="AE33" s="25" t="n"/>
      <c r="AF33" s="24" t="n">
        <v>0.030406151</v>
      </c>
      <c r="AG33" s="24" t="n">
        <v>0.308299187</v>
      </c>
      <c r="AH33" s="24" t="n">
        <v>-0.001963351</v>
      </c>
      <c r="AI33" s="24" t="n">
        <v>-0.049859485</v>
      </c>
      <c r="AJ33" s="25" t="n"/>
      <c r="AK33" s="24" t="n">
        <v>-0.025929851</v>
      </c>
      <c r="AL33" s="24" t="n">
        <v>0.236670968</v>
      </c>
      <c r="AM33" s="24" t="n">
        <v>-0.008778032</v>
      </c>
      <c r="AN33" s="24" t="n">
        <v>-0.049852404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-0.04192397</v>
      </c>
      <c r="AD34" s="24" t="n">
        <v>0.0044833</v>
      </c>
      <c r="AE34" s="25" t="n"/>
      <c r="AF34" s="24" t="n">
        <v>-0.035892286</v>
      </c>
      <c r="AG34" s="24" t="n">
        <v>-0.388989622</v>
      </c>
      <c r="AH34" s="24" t="n">
        <v>0.005366839</v>
      </c>
      <c r="AI34" s="24" t="n">
        <v>0.13370596</v>
      </c>
      <c r="AJ34" s="25" t="n"/>
      <c r="AK34" s="24" t="n">
        <v>0.058276091</v>
      </c>
      <c r="AL34" s="24" t="n">
        <v>-0.489583333</v>
      </c>
      <c r="AM34" s="24" t="n">
        <v>0.043995488</v>
      </c>
      <c r="AN34" s="24" t="n">
        <v>0.237229862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12.342108412</v>
      </c>
      <c r="AD36" s="24" t="n">
        <v>-0.433916284</v>
      </c>
      <c r="AE36" s="25" t="n"/>
      <c r="AF36" s="24" t="n">
        <v>-0.931702887</v>
      </c>
      <c r="AG36" s="24" t="n">
        <v>3.283381887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620</v>
      </c>
      <c r="AE39" s="31">
        <f>subQ!AE34</f>
        <v/>
      </c>
      <c r="AF39" s="33" t="n"/>
      <c r="AG39" s="33" t="n"/>
      <c r="AH39" s="33" t="n"/>
      <c r="AI39" s="30" t="n">
        <v>620</v>
      </c>
      <c r="AJ39" s="31">
        <f>subQ!AJ34</f>
        <v/>
      </c>
      <c r="AK39" s="33" t="n"/>
      <c r="AL39" s="33" t="n"/>
      <c r="AM39" s="33" t="n"/>
      <c r="AN39" s="30" t="n">
        <v>620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17050</v>
      </c>
      <c r="E42" s="2" t="inlineStr">
        <is>
          <t>원 — 네이버 정규장 종가(aik 확정종가 대조 · aik 16,950원)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8.5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9.300000000000001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11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0.1474383111178051</v>
      </c>
      <c r="E49" s="2" t="inlineStr">
        <is>
          <t>연결 — 법인세 = MAX(세전,0) × 세율(역산, 재현 오차 ≤ 0.05억 · 모델 assumptions 0.1474) · 최근 12분기 유효세율 14.7%(5~27%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0.1604212256557464</v>
      </c>
      <c r="E50" s="2" t="inlineStr">
        <is>
          <t>연결 — 판관비 = 매출액 × 판관비율(역산, 재현 오차 ≤ 0.05억 · 모델 assumptions 0.1604)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0.03939379876013675</v>
      </c>
      <c r="E52" s="2" t="inlineStr">
        <is>
          <t>연결 — 이자손익 = (전분기 이자발생자산 × 자산이자율 − 전분기 총차입금 × 부채이자율)/4(역산, 재현 오차 ≤ 0.05억 · 모델 assumptions 0.0394)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0.02198050308463168</v>
      </c>
      <c r="E53" s="2" t="inlineStr">
        <is>
          <t>연결 — 같은 수식의 부채 쪽(총차입금 행이 없으면 0)(역산, 재현 오차 ≤ 0.05억 · 모델 assumptions 0.022)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0.4162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한라IMS(연)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58184.56</v>
      </c>
      <c r="F5" s="37" t="n">
        <v>58184.56</v>
      </c>
      <c r="G5" s="18" t="n">
        <v>64766.98</v>
      </c>
      <c r="H5" s="18" t="n">
        <v>68592.41</v>
      </c>
      <c r="I5" s="18" t="n">
        <v>67882.14999999999</v>
      </c>
      <c r="J5" s="18" t="n">
        <v>59772.59</v>
      </c>
      <c r="K5" s="37" t="n">
        <v>59772.59</v>
      </c>
      <c r="L5" s="18" t="n">
        <v>55000.24</v>
      </c>
      <c r="M5" s="18" t="n">
        <v>132657.18</v>
      </c>
      <c r="N5" s="18" t="n">
        <v>117208.18</v>
      </c>
      <c r="O5" s="18" t="n">
        <v>117547.77</v>
      </c>
      <c r="P5" s="37" t="n">
        <v>117547.77</v>
      </c>
      <c r="Q5" s="18" t="n">
        <v>118171.35</v>
      </c>
      <c r="R5" s="18" t="n">
        <v>103934.28</v>
      </c>
      <c r="S5" s="18" t="n">
        <v>96579.73</v>
      </c>
      <c r="T5" s="18" t="n">
        <v>123488.98</v>
      </c>
      <c r="U5" s="37" t="n">
        <v>123488.98</v>
      </c>
      <c r="V5" s="18" t="n">
        <v>127453.17</v>
      </c>
      <c r="W5" s="18" t="n">
        <v>106294.15</v>
      </c>
      <c r="X5" s="18" t="n">
        <v>96003.24000000001</v>
      </c>
      <c r="Y5" s="18" t="n">
        <v>128976.72</v>
      </c>
      <c r="Z5" s="37" t="n">
        <v>128976.72</v>
      </c>
      <c r="AA5" s="18" t="n">
        <v>109351.06</v>
      </c>
      <c r="AB5" s="19" t="n">
        <v>107126.58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10519.63</v>
      </c>
      <c r="F6" s="37" t="n">
        <v>10519.63</v>
      </c>
      <c r="G6" s="18" t="n">
        <v>9202.709999999999</v>
      </c>
      <c r="H6" s="18" t="n">
        <v>10198.39</v>
      </c>
      <c r="I6" s="18" t="n">
        <v>10430.67</v>
      </c>
      <c r="J6" s="18" t="n">
        <v>14063.97</v>
      </c>
      <c r="K6" s="37" t="n">
        <v>14063.97</v>
      </c>
      <c r="L6" s="18" t="n">
        <v>9797.450000000001</v>
      </c>
      <c r="M6" s="18" t="n">
        <v>6040.72</v>
      </c>
      <c r="N6" s="18" t="n">
        <v>17247.51</v>
      </c>
      <c r="O6" s="18" t="n">
        <v>8171.99</v>
      </c>
      <c r="P6" s="37" t="n">
        <v>8171.99</v>
      </c>
      <c r="Q6" s="18" t="n">
        <v>7327.38</v>
      </c>
      <c r="R6" s="18" t="n">
        <v>9142.35</v>
      </c>
      <c r="S6" s="18" t="n">
        <v>4649.49</v>
      </c>
      <c r="T6" s="18" t="n">
        <v>8225.25</v>
      </c>
      <c r="U6" s="37" t="n">
        <v>8225.25</v>
      </c>
      <c r="V6" s="18" t="n">
        <v>10464.41</v>
      </c>
      <c r="W6" s="18" t="n">
        <v>21269.29</v>
      </c>
      <c r="X6" s="18" t="n">
        <v>16577.18</v>
      </c>
      <c r="Y6" s="18" t="n">
        <v>52382.29</v>
      </c>
      <c r="Z6" s="37" t="n">
        <v>52382.29</v>
      </c>
      <c r="AA6" s="18" t="n">
        <v>25905.37</v>
      </c>
      <c r="AB6" s="19" t="n">
        <v>24888.83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3432.45</v>
      </c>
      <c r="F7" s="37" t="n">
        <v>3432.45</v>
      </c>
      <c r="G7" s="18" t="n">
        <v>3571.72</v>
      </c>
      <c r="H7" s="18" t="n">
        <v>3503.1</v>
      </c>
      <c r="I7" s="18" t="n">
        <v>3437.71</v>
      </c>
      <c r="J7" s="18" t="n">
        <v>3705.94</v>
      </c>
      <c r="K7" s="37" t="n">
        <v>3705.94</v>
      </c>
      <c r="L7" s="18" t="n">
        <v>3480.38</v>
      </c>
      <c r="M7" s="18" t="n">
        <v>21291.55</v>
      </c>
      <c r="N7" s="18" t="n">
        <v>21326.97</v>
      </c>
      <c r="O7" s="18" t="n">
        <v>23002.38</v>
      </c>
      <c r="P7" s="37" t="n">
        <v>23002.38</v>
      </c>
      <c r="Q7" s="18" t="n">
        <v>4333</v>
      </c>
      <c r="R7" s="18" t="n">
        <v>4338.1</v>
      </c>
      <c r="S7" s="18" t="n">
        <v>4336.84</v>
      </c>
      <c r="T7" s="18" t="n">
        <v>7499.76</v>
      </c>
      <c r="U7" s="37" t="n">
        <v>7499.76</v>
      </c>
      <c r="V7" s="18" t="n">
        <v>6481.55</v>
      </c>
      <c r="W7" s="18" t="n">
        <v>4439.16</v>
      </c>
      <c r="X7" s="18" t="n">
        <v>4446.82</v>
      </c>
      <c r="Y7" s="18" t="n">
        <v>4454.76</v>
      </c>
      <c r="Z7" s="37" t="n">
        <v>4454.76</v>
      </c>
      <c r="AA7" s="18" t="n">
        <v>1518.7</v>
      </c>
      <c r="AB7" s="19" t="n">
        <v>1526.97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3432.45</v>
      </c>
      <c r="F8" s="37" t="n">
        <v>3432.45</v>
      </c>
      <c r="G8" s="18" t="n">
        <v>3571.72</v>
      </c>
      <c r="H8" s="18" t="n">
        <v>3503.1</v>
      </c>
      <c r="I8" s="18" t="n">
        <v>3437.71</v>
      </c>
      <c r="J8" s="18" t="n">
        <v>3705.94</v>
      </c>
      <c r="K8" s="37" t="n">
        <v>3705.94</v>
      </c>
      <c r="L8" s="18" t="n">
        <v>3480.38</v>
      </c>
      <c r="M8" s="18" t="n">
        <v>21291.55</v>
      </c>
      <c r="N8" s="18" t="n">
        <v>21326.97</v>
      </c>
      <c r="O8" s="18" t="n">
        <v>23002.38</v>
      </c>
      <c r="P8" s="37" t="n">
        <v>23002.38</v>
      </c>
      <c r="Q8" s="18" t="n">
        <v>4333</v>
      </c>
      <c r="R8" s="18" t="n">
        <v>4338.1</v>
      </c>
      <c r="S8" s="18" t="n">
        <v>4336.84</v>
      </c>
      <c r="T8" s="18" t="n">
        <v>7499.76</v>
      </c>
      <c r="U8" s="37" t="n">
        <v>7499.76</v>
      </c>
      <c r="V8" s="18" t="n">
        <v>6481.55</v>
      </c>
      <c r="W8" s="18" t="n">
        <v>4439.16</v>
      </c>
      <c r="X8" s="18" t="n">
        <v>4446.82</v>
      </c>
      <c r="Y8" s="18" t="n">
        <v>4454.76</v>
      </c>
      <c r="Z8" s="37" t="n">
        <v>4454.76</v>
      </c>
      <c r="AA8" s="18" t="n">
        <v>1518.7</v>
      </c>
      <c r="AB8" s="19" t="n">
        <v>1526.97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8267.66</v>
      </c>
      <c r="F9" s="37" t="n">
        <v>8267.66</v>
      </c>
      <c r="G9" s="18" t="n">
        <v>11059.01</v>
      </c>
      <c r="H9" s="18" t="n">
        <v>14590.7</v>
      </c>
      <c r="I9" s="18" t="n">
        <v>14424.97</v>
      </c>
      <c r="J9" s="18" t="n">
        <v>11946.93</v>
      </c>
      <c r="K9" s="37" t="n">
        <v>11946.93</v>
      </c>
      <c r="L9" s="18" t="n">
        <v>10921.99</v>
      </c>
      <c r="M9" s="18" t="n">
        <v>7081.01</v>
      </c>
      <c r="N9" s="18" t="n">
        <v>8508.799999999999</v>
      </c>
      <c r="O9" s="18" t="n">
        <v>8540.41</v>
      </c>
      <c r="P9" s="37" t="n">
        <v>8540.41</v>
      </c>
      <c r="Q9" s="18" t="n">
        <v>9903.459999999999</v>
      </c>
      <c r="R9" s="18" t="n">
        <v>11552.69</v>
      </c>
      <c r="S9" s="18" t="n">
        <v>9140.33</v>
      </c>
      <c r="T9" s="18" t="n">
        <v>16148.76</v>
      </c>
      <c r="U9" s="37" t="n">
        <v>16148.76</v>
      </c>
      <c r="V9" s="18" t="n">
        <v>14902.6</v>
      </c>
      <c r="W9" s="18" t="n">
        <v>17620.31</v>
      </c>
      <c r="X9" s="18" t="n">
        <v>15855.85</v>
      </c>
      <c r="Y9" s="18" t="n">
        <v>19516.77</v>
      </c>
      <c r="Z9" s="37" t="n">
        <v>19516.77</v>
      </c>
      <c r="AA9" s="18" t="n">
        <v>21813.5</v>
      </c>
      <c r="AB9" s="19" t="n">
        <v>21101.03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14362.6</v>
      </c>
      <c r="F10" s="37" t="n">
        <v>14362.6</v>
      </c>
      <c r="G10" s="18" t="n">
        <v>17441.75</v>
      </c>
      <c r="H10" s="18" t="n">
        <v>21083.24</v>
      </c>
      <c r="I10" s="18" t="n">
        <v>20563.59</v>
      </c>
      <c r="J10" s="18" t="n">
        <v>18949.36</v>
      </c>
      <c r="K10" s="37" t="n">
        <v>18949.36</v>
      </c>
      <c r="L10" s="18" t="n">
        <v>20839.35</v>
      </c>
      <c r="M10" s="18" t="n">
        <v>21815.27</v>
      </c>
      <c r="N10" s="18" t="n">
        <v>23120.18</v>
      </c>
      <c r="O10" s="18" t="n">
        <v>24098.7</v>
      </c>
      <c r="P10" s="37" t="n">
        <v>24098.7</v>
      </c>
      <c r="Q10" s="18" t="n">
        <v>22834.3</v>
      </c>
      <c r="R10" s="18" t="n">
        <v>20524.37</v>
      </c>
      <c r="S10" s="18" t="n">
        <v>23014.22</v>
      </c>
      <c r="T10" s="18" t="n">
        <v>24031.69</v>
      </c>
      <c r="U10" s="37" t="n">
        <v>24031.69</v>
      </c>
      <c r="V10" s="18" t="n">
        <v>28714.01</v>
      </c>
      <c r="W10" s="18" t="n">
        <v>28977.73</v>
      </c>
      <c r="X10" s="18" t="n">
        <v>31952.33</v>
      </c>
      <c r="Y10" s="18" t="n">
        <v>31172.99</v>
      </c>
      <c r="Z10" s="37" t="n">
        <v>31172.99</v>
      </c>
      <c r="AA10" s="18" t="n">
        <v>35085.92</v>
      </c>
      <c r="AB10" s="19" t="n">
        <v>41062.97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H11" s="18" t="n">
        <v>0</v>
      </c>
      <c r="I11" s="18" t="n">
        <v>17.15</v>
      </c>
      <c r="J11" s="18" t="n">
        <v>0</v>
      </c>
      <c r="K11" s="37" t="n">
        <v>0</v>
      </c>
      <c r="P11" s="9" t="n"/>
      <c r="U11" s="9" t="n"/>
      <c r="Y11" s="18" t="n">
        <v>77.23</v>
      </c>
      <c r="Z11" s="37" t="n">
        <v>77.23</v>
      </c>
      <c r="AA11" s="18" t="n">
        <v>82.48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2950.77</v>
      </c>
      <c r="F12" s="37" t="n">
        <v>2950.77</v>
      </c>
      <c r="G12" s="18" t="n">
        <v>8556.780000000001</v>
      </c>
      <c r="H12" s="18" t="n">
        <v>9026.43</v>
      </c>
      <c r="I12" s="18" t="n">
        <v>8783.5</v>
      </c>
      <c r="J12" s="18" t="n">
        <v>4084.7</v>
      </c>
      <c r="K12" s="37" t="n">
        <v>4084.7</v>
      </c>
      <c r="L12" s="18" t="n">
        <v>4208.41</v>
      </c>
      <c r="M12" s="18" t="n">
        <v>6759.3</v>
      </c>
      <c r="N12" s="18" t="n">
        <v>8043.18</v>
      </c>
      <c r="O12" s="18" t="n">
        <v>7089.05</v>
      </c>
      <c r="P12" s="37" t="n">
        <v>7089.05</v>
      </c>
      <c r="Q12" s="18" t="n">
        <v>20002.88</v>
      </c>
      <c r="R12" s="18" t="n">
        <v>11182.52</v>
      </c>
      <c r="S12" s="18" t="n">
        <v>11492.73</v>
      </c>
      <c r="T12" s="18" t="n">
        <v>10179.75</v>
      </c>
      <c r="U12" s="37" t="n">
        <v>10179.75</v>
      </c>
      <c r="V12" s="18" t="n">
        <v>11513.16</v>
      </c>
      <c r="W12" s="18" t="n">
        <v>9392.059999999999</v>
      </c>
      <c r="X12" s="18" t="n">
        <v>10247.61</v>
      </c>
      <c r="Y12" s="18" t="n">
        <v>9367.07</v>
      </c>
      <c r="Z12" s="37" t="n">
        <v>9367.07</v>
      </c>
      <c r="AA12" s="18" t="n">
        <v>13349.94</v>
      </c>
      <c r="AB12" s="19" t="n">
        <v>11469.39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120367.69</v>
      </c>
      <c r="F13" s="37" t="n">
        <v>120367.69</v>
      </c>
      <c r="G13" s="18" t="n">
        <v>121509.94</v>
      </c>
      <c r="H13" s="18" t="n">
        <v>120532.12</v>
      </c>
      <c r="I13" s="18" t="n">
        <v>117745.78</v>
      </c>
      <c r="J13" s="18" t="n">
        <v>119083</v>
      </c>
      <c r="K13" s="37" t="n">
        <v>119083</v>
      </c>
      <c r="L13" s="18" t="n">
        <v>118665.24</v>
      </c>
      <c r="M13" s="18" t="n">
        <v>93445.39999999999</v>
      </c>
      <c r="N13" s="18" t="n">
        <v>107112.84</v>
      </c>
      <c r="O13" s="18" t="n">
        <v>104027.59</v>
      </c>
      <c r="P13" s="37" t="n">
        <v>104027.59</v>
      </c>
      <c r="Q13" s="18" t="n">
        <v>102544.74</v>
      </c>
      <c r="R13" s="18" t="n">
        <v>112435.3</v>
      </c>
      <c r="S13" s="18" t="n">
        <v>108768.14</v>
      </c>
      <c r="T13" s="18" t="n">
        <v>84793.17</v>
      </c>
      <c r="U13" s="37" t="n">
        <v>84793.17</v>
      </c>
      <c r="V13" s="18" t="n">
        <v>91311.73</v>
      </c>
      <c r="W13" s="18" t="n">
        <v>114490.3</v>
      </c>
      <c r="X13" s="18" t="n">
        <v>134238.07</v>
      </c>
      <c r="Y13" s="18" t="n">
        <v>112758.81</v>
      </c>
      <c r="Z13" s="37" t="n">
        <v>112758.81</v>
      </c>
      <c r="AA13" s="18" t="n">
        <v>191802.2</v>
      </c>
      <c r="AB13" s="19" t="n">
        <v>191469.59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677.16</v>
      </c>
      <c r="F14" s="37" t="n">
        <v>677.16</v>
      </c>
      <c r="G14" s="18" t="n">
        <v>643.29</v>
      </c>
      <c r="H14" s="18" t="n">
        <v>821.1</v>
      </c>
      <c r="I14" s="18" t="n">
        <v>897.33</v>
      </c>
      <c r="J14" s="18" t="n">
        <v>1.2</v>
      </c>
      <c r="K14" s="37" t="n">
        <v>1.2</v>
      </c>
      <c r="L14" s="18" t="n">
        <v>1.2</v>
      </c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677.16</v>
      </c>
      <c r="F15" s="37" t="n">
        <v>677.16</v>
      </c>
      <c r="G15" s="18" t="n">
        <v>643.29</v>
      </c>
      <c r="H15" s="18" t="n">
        <v>821.1</v>
      </c>
      <c r="I15" s="18" t="n">
        <v>897.33</v>
      </c>
      <c r="J15" s="18" t="n">
        <v>1.2</v>
      </c>
      <c r="K15" s="37" t="n">
        <v>1.2</v>
      </c>
      <c r="L15" s="18" t="n">
        <v>1.2</v>
      </c>
      <c r="N15" s="18" t="n">
        <v>38811.9</v>
      </c>
      <c r="O15" s="18" t="n">
        <v>36365.35</v>
      </c>
      <c r="P15" s="37" t="n">
        <v>36365.35</v>
      </c>
      <c r="Q15" s="18" t="n">
        <v>34756.86</v>
      </c>
      <c r="R15" s="18" t="n">
        <v>34563.74</v>
      </c>
      <c r="S15" s="18" t="n">
        <v>30365.43</v>
      </c>
      <c r="T15" s="18" t="n">
        <v>4000.38</v>
      </c>
      <c r="U15" s="37" t="n">
        <v>4000.38</v>
      </c>
      <c r="V15" s="18" t="n">
        <v>10212.05</v>
      </c>
      <c r="W15" s="18" t="n">
        <v>34034.66</v>
      </c>
      <c r="X15" s="18" t="n">
        <v>54750.06</v>
      </c>
      <c r="Y15" s="18" t="n">
        <v>20797.37</v>
      </c>
      <c r="Z15" s="37" t="n">
        <v>20797.37</v>
      </c>
      <c r="AA15" s="18" t="n">
        <v>2713.55</v>
      </c>
      <c r="AB15" s="19" t="n">
        <v>1521.44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343.6</v>
      </c>
      <c r="F16" s="37" t="n">
        <v>343.6</v>
      </c>
      <c r="G16" s="18" t="n">
        <v>344.09</v>
      </c>
      <c r="H16" s="18" t="n">
        <v>348.74</v>
      </c>
      <c r="I16" s="18" t="n">
        <v>348.84</v>
      </c>
      <c r="J16" s="18" t="n">
        <v>232.08</v>
      </c>
      <c r="K16" s="37" t="n">
        <v>232.08</v>
      </c>
      <c r="L16" s="18" t="n">
        <v>235.62</v>
      </c>
      <c r="M16" s="18" t="n">
        <v>68.91</v>
      </c>
      <c r="N16" s="18" t="n">
        <v>147.56</v>
      </c>
      <c r="O16" s="18" t="n">
        <v>150.35</v>
      </c>
      <c r="P16" s="37" t="n">
        <v>150.35</v>
      </c>
      <c r="Q16" s="18" t="n">
        <v>150.7</v>
      </c>
      <c r="R16" s="18" t="n">
        <v>146.97</v>
      </c>
      <c r="S16" s="18" t="n">
        <v>159.67</v>
      </c>
      <c r="T16" s="18" t="n">
        <v>199.47</v>
      </c>
      <c r="U16" s="37" t="n">
        <v>199.47</v>
      </c>
      <c r="V16" s="18" t="n">
        <v>209.37</v>
      </c>
      <c r="W16" s="18" t="n">
        <v>206.54</v>
      </c>
      <c r="X16" s="18" t="n">
        <v>203.45</v>
      </c>
      <c r="Y16" s="18" t="n">
        <v>192.18</v>
      </c>
      <c r="Z16" s="37" t="n">
        <v>192.18</v>
      </c>
      <c r="AA16" s="18" t="n">
        <v>191.93</v>
      </c>
      <c r="AB16" s="19" t="n">
        <v>202.88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78795.21000000001</v>
      </c>
      <c r="F17" s="37" t="n">
        <v>78795.21000000001</v>
      </c>
      <c r="G17" s="18" t="n">
        <v>79258.64</v>
      </c>
      <c r="H17" s="18" t="n">
        <v>79028.55</v>
      </c>
      <c r="I17" s="18" t="n">
        <v>79626.45</v>
      </c>
      <c r="J17" s="18" t="n">
        <v>81451.91</v>
      </c>
      <c r="K17" s="37" t="n">
        <v>81451.91</v>
      </c>
      <c r="L17" s="18" t="n">
        <v>81794.57000000001</v>
      </c>
      <c r="M17" s="18" t="n">
        <v>54526.56</v>
      </c>
      <c r="N17" s="18" t="n">
        <v>54140.37</v>
      </c>
      <c r="O17" s="18" t="n">
        <v>53541.48</v>
      </c>
      <c r="P17" s="37" t="n">
        <v>53541.48</v>
      </c>
      <c r="Q17" s="18" t="n">
        <v>53773.03</v>
      </c>
      <c r="R17" s="18" t="n">
        <v>63487.64</v>
      </c>
      <c r="S17" s="18" t="n">
        <v>63962.09</v>
      </c>
      <c r="T17" s="18" t="n">
        <v>64915.33</v>
      </c>
      <c r="U17" s="37" t="n">
        <v>64915.33</v>
      </c>
      <c r="V17" s="18" t="n">
        <v>65298.37</v>
      </c>
      <c r="W17" s="18" t="n">
        <v>64710.34</v>
      </c>
      <c r="X17" s="18" t="n">
        <v>64819.93</v>
      </c>
      <c r="Y17" s="18" t="n">
        <v>71578.83</v>
      </c>
      <c r="Z17" s="37" t="n">
        <v>71578.83</v>
      </c>
      <c r="AA17" s="18" t="n">
        <v>168539.73</v>
      </c>
      <c r="AB17" s="19" t="n">
        <v>168821.05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22018.31</v>
      </c>
      <c r="F18" s="37" t="n">
        <v>22018.31</v>
      </c>
      <c r="G18" s="18" t="n">
        <v>22121.9</v>
      </c>
      <c r="H18" s="18" t="n">
        <v>22013.31</v>
      </c>
      <c r="I18" s="18" t="n">
        <v>22049.39</v>
      </c>
      <c r="J18" s="18" t="n">
        <v>21816.55</v>
      </c>
      <c r="K18" s="37" t="n">
        <v>21816.55</v>
      </c>
      <c r="L18" s="18" t="n">
        <v>21860.69</v>
      </c>
      <c r="M18" s="18" t="n">
        <v>10991.11</v>
      </c>
      <c r="N18" s="18" t="n">
        <v>10987.48</v>
      </c>
      <c r="O18" s="18" t="n">
        <v>10914.57</v>
      </c>
      <c r="P18" s="37" t="n">
        <v>10914.57</v>
      </c>
      <c r="Q18" s="18" t="n">
        <v>10927.79</v>
      </c>
      <c r="R18" s="18" t="n">
        <v>10937.89</v>
      </c>
      <c r="S18" s="18" t="n">
        <v>10882.89</v>
      </c>
      <c r="T18" s="18" t="n">
        <v>10970.72</v>
      </c>
      <c r="U18" s="37" t="n">
        <v>10970.72</v>
      </c>
      <c r="V18" s="18" t="n">
        <v>10936.01</v>
      </c>
      <c r="W18" s="18" t="n">
        <v>10773.66</v>
      </c>
      <c r="X18" s="18" t="n">
        <v>10810.81</v>
      </c>
      <c r="Y18" s="18" t="n">
        <v>13578.65</v>
      </c>
      <c r="Z18" s="37" t="n">
        <v>13578.65</v>
      </c>
      <c r="AA18" s="18" t="n">
        <v>13631.81</v>
      </c>
      <c r="AB18" s="19" t="n">
        <v>13644.39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2543.58</v>
      </c>
      <c r="F19" s="37" t="n">
        <v>2543.58</v>
      </c>
      <c r="G19" s="18" t="n">
        <v>2669.65</v>
      </c>
      <c r="H19" s="18" t="n">
        <v>2994.77</v>
      </c>
      <c r="I19" s="18" t="n">
        <v>3012.06</v>
      </c>
      <c r="J19" s="18" t="n">
        <v>1013.54</v>
      </c>
      <c r="K19" s="37" t="n">
        <v>1013.54</v>
      </c>
      <c r="L19" s="18" t="n">
        <v>982.15</v>
      </c>
      <c r="M19" s="18" t="n">
        <v>944.09</v>
      </c>
      <c r="N19" s="18" t="n">
        <v>906.89</v>
      </c>
      <c r="O19" s="18" t="n">
        <v>889.86</v>
      </c>
      <c r="P19" s="37" t="n">
        <v>889.86</v>
      </c>
      <c r="Q19" s="18" t="n">
        <v>877.34</v>
      </c>
      <c r="R19" s="18" t="n">
        <v>914.86</v>
      </c>
      <c r="S19" s="18" t="n">
        <v>871.74</v>
      </c>
      <c r="T19" s="18" t="n">
        <v>864.3099999999999</v>
      </c>
      <c r="U19" s="37" t="n">
        <v>864.3099999999999</v>
      </c>
      <c r="V19" s="18" t="n">
        <v>831.91</v>
      </c>
      <c r="W19" s="18" t="n">
        <v>895.29</v>
      </c>
      <c r="X19" s="18" t="n">
        <v>865.4</v>
      </c>
      <c r="Y19" s="18" t="n">
        <v>888.3200000000001</v>
      </c>
      <c r="Z19" s="37" t="n">
        <v>888.3200000000001</v>
      </c>
      <c r="AA19" s="18" t="n">
        <v>868.12</v>
      </c>
      <c r="AB19" s="19" t="n">
        <v>907.2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706.49</v>
      </c>
      <c r="F20" s="37" t="n">
        <v>706.49</v>
      </c>
      <c r="G20" s="18" t="n">
        <v>891.45</v>
      </c>
      <c r="H20" s="18" t="n">
        <v>1185.09</v>
      </c>
      <c r="I20" s="18" t="n">
        <v>1565.57</v>
      </c>
      <c r="J20" s="18" t="n">
        <v>2036.19</v>
      </c>
      <c r="K20" s="37" t="n">
        <v>2036.19</v>
      </c>
      <c r="L20" s="18" t="n">
        <v>1901.7</v>
      </c>
      <c r="M20" s="18" t="n">
        <v>1888.19</v>
      </c>
      <c r="N20" s="18" t="n">
        <v>2118.65</v>
      </c>
      <c r="O20" s="18" t="n">
        <v>2165.97</v>
      </c>
      <c r="P20" s="37" t="n">
        <v>2165.97</v>
      </c>
      <c r="Q20" s="18" t="n">
        <v>2059.02</v>
      </c>
      <c r="R20" s="18" t="n">
        <v>2384.19</v>
      </c>
      <c r="S20" s="18" t="n">
        <v>2526.33</v>
      </c>
      <c r="T20" s="18" t="n">
        <v>3842.95</v>
      </c>
      <c r="U20" s="37" t="n">
        <v>3842.95</v>
      </c>
      <c r="V20" s="18" t="n">
        <v>3824.01</v>
      </c>
      <c r="W20" s="18" t="n">
        <v>3869.82</v>
      </c>
      <c r="X20" s="18" t="n">
        <v>2788.41</v>
      </c>
      <c r="Y20" s="18" t="n">
        <v>4316.39</v>
      </c>
      <c r="Z20" s="37" t="n">
        <v>4316.39</v>
      </c>
      <c r="AA20" s="18" t="n">
        <v>4369.12</v>
      </c>
      <c r="AB20" s="19" t="n">
        <v>4841.29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178552.25</v>
      </c>
      <c r="F21" s="37" t="n">
        <v>178552.25</v>
      </c>
      <c r="G21" s="18" t="n">
        <v>186276.92</v>
      </c>
      <c r="H21" s="18" t="n">
        <v>189124.53</v>
      </c>
      <c r="I21" s="18" t="n">
        <v>185627.93</v>
      </c>
      <c r="J21" s="18" t="n">
        <v>178855.6</v>
      </c>
      <c r="K21" s="37" t="n">
        <v>178855.6</v>
      </c>
      <c r="L21" s="18" t="n">
        <v>173665.48</v>
      </c>
      <c r="M21" s="18" t="n">
        <v>226102.57</v>
      </c>
      <c r="N21" s="18" t="n">
        <v>224321.03</v>
      </c>
      <c r="O21" s="18" t="n">
        <v>221575.36</v>
      </c>
      <c r="P21" s="37" t="n">
        <v>221575.36</v>
      </c>
      <c r="Q21" s="18" t="n">
        <v>220716.08</v>
      </c>
      <c r="R21" s="18" t="n">
        <v>216369.58</v>
      </c>
      <c r="S21" s="18" t="n">
        <v>205347.87</v>
      </c>
      <c r="T21" s="18" t="n">
        <v>208282.15</v>
      </c>
      <c r="U21" s="37" t="n">
        <v>208282.15</v>
      </c>
      <c r="V21" s="18" t="n">
        <v>218764.9</v>
      </c>
      <c r="W21" s="18" t="n">
        <v>220784.45</v>
      </c>
      <c r="X21" s="18" t="n">
        <v>230241.31</v>
      </c>
      <c r="Y21" s="18" t="n">
        <v>241735.53</v>
      </c>
      <c r="Z21" s="37" t="n">
        <v>241735.53</v>
      </c>
      <c r="AA21" s="18" t="n">
        <v>301153.25</v>
      </c>
      <c r="AB21" s="19" t="n">
        <v>298596.17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42806.99</v>
      </c>
      <c r="F22" s="37" t="n">
        <v>42806.99</v>
      </c>
      <c r="G22" s="18" t="n">
        <v>55718.78</v>
      </c>
      <c r="H22" s="18" t="n">
        <v>56728.88</v>
      </c>
      <c r="I22" s="18" t="n">
        <v>52425.18</v>
      </c>
      <c r="J22" s="18" t="n">
        <v>48476.3</v>
      </c>
      <c r="K22" s="37" t="n">
        <v>48476.3</v>
      </c>
      <c r="L22" s="18" t="n">
        <v>57379.26</v>
      </c>
      <c r="M22" s="18" t="n">
        <v>50288.62</v>
      </c>
      <c r="N22" s="18" t="n">
        <v>49392.9</v>
      </c>
      <c r="O22" s="18" t="n">
        <v>49793.89</v>
      </c>
      <c r="P22" s="37" t="n">
        <v>49793.89</v>
      </c>
      <c r="Q22" s="18" t="n">
        <v>50037.42</v>
      </c>
      <c r="R22" s="18" t="n">
        <v>41982.72</v>
      </c>
      <c r="S22" s="18" t="n">
        <v>29159.13</v>
      </c>
      <c r="T22" s="18" t="n">
        <v>29637.88</v>
      </c>
      <c r="U22" s="37" t="n">
        <v>29637.88</v>
      </c>
      <c r="V22" s="18" t="n">
        <v>43563.27</v>
      </c>
      <c r="W22" s="18" t="n">
        <v>33813.61</v>
      </c>
      <c r="X22" s="18" t="n">
        <v>34655.51</v>
      </c>
      <c r="Y22" s="18" t="n">
        <v>41484.66</v>
      </c>
      <c r="Z22" s="37" t="n">
        <v>41484.66</v>
      </c>
      <c r="AA22" s="18" t="n">
        <v>48097.38</v>
      </c>
      <c r="AB22" s="19" t="n">
        <v>46703.55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7013.26</v>
      </c>
      <c r="F23" s="37" t="n">
        <v>7013.26</v>
      </c>
      <c r="G23" s="18" t="n">
        <v>12209.06</v>
      </c>
      <c r="H23" s="18" t="n">
        <v>9094.799999999999</v>
      </c>
      <c r="I23" s="18" t="n">
        <v>6724.7</v>
      </c>
      <c r="J23" s="18" t="n">
        <v>7876.47</v>
      </c>
      <c r="K23" s="37" t="n">
        <v>7876.47</v>
      </c>
      <c r="L23" s="18" t="n">
        <v>11251.24</v>
      </c>
      <c r="M23" s="18" t="n">
        <v>5762.21</v>
      </c>
      <c r="N23" s="18" t="n">
        <v>5231.86</v>
      </c>
      <c r="O23" s="18" t="n">
        <v>6609.22</v>
      </c>
      <c r="P23" s="37" t="n">
        <v>6609.22</v>
      </c>
      <c r="Q23" s="18" t="n">
        <v>11756.04</v>
      </c>
      <c r="R23" s="18" t="n">
        <v>5529.35</v>
      </c>
      <c r="S23" s="18" t="n">
        <v>6805.43</v>
      </c>
      <c r="T23" s="18" t="n">
        <v>10090.11</v>
      </c>
      <c r="U23" s="37" t="n">
        <v>10090.11</v>
      </c>
      <c r="V23" s="18" t="n">
        <v>15336.21</v>
      </c>
      <c r="W23" s="18" t="n">
        <v>9621.32</v>
      </c>
      <c r="X23" s="18" t="n">
        <v>10796.86</v>
      </c>
      <c r="Y23" s="18" t="n">
        <v>12596.11</v>
      </c>
      <c r="Z23" s="37" t="n">
        <v>12596.11</v>
      </c>
      <c r="AA23" s="18" t="n">
        <v>23758.97</v>
      </c>
      <c r="AB23" s="19" t="n">
        <v>14607.99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29772.95</v>
      </c>
      <c r="F24" s="37" t="n">
        <v>29772.95</v>
      </c>
      <c r="G24" s="18" t="n">
        <v>29318.79</v>
      </c>
      <c r="H24" s="18" t="n">
        <v>30440.87</v>
      </c>
      <c r="I24" s="18" t="n">
        <v>25870.34</v>
      </c>
      <c r="J24" s="18" t="n">
        <v>22424.77</v>
      </c>
      <c r="K24" s="37" t="n">
        <v>22424.77</v>
      </c>
      <c r="L24" s="18" t="n">
        <v>20027.53</v>
      </c>
      <c r="M24" s="18" t="n">
        <v>308.28</v>
      </c>
      <c r="N24" s="18" t="n">
        <v>991.47</v>
      </c>
      <c r="O24" s="18" t="n">
        <v>373.93</v>
      </c>
      <c r="P24" s="37" t="n">
        <v>373.93</v>
      </c>
      <c r="R24" s="18" t="n">
        <v>489.97</v>
      </c>
      <c r="S24" s="18" t="n">
        <v>191.54</v>
      </c>
      <c r="T24" s="18" t="n">
        <v>408.81</v>
      </c>
      <c r="U24" s="37" t="n">
        <v>408.81</v>
      </c>
      <c r="V24" s="18" t="n">
        <v>961.85</v>
      </c>
      <c r="W24" s="18" t="n">
        <v>784.39</v>
      </c>
      <c r="X24" s="18" t="n">
        <v>444.1</v>
      </c>
      <c r="Y24" s="18" t="n">
        <v>778.09</v>
      </c>
      <c r="Z24" s="37" t="n">
        <v>778.09</v>
      </c>
      <c r="AA24" s="18" t="n">
        <v>1147.52</v>
      </c>
      <c r="AB24" s="19" t="n">
        <v>768.22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3355.8</v>
      </c>
      <c r="F25" s="37" t="n">
        <v>3355.8</v>
      </c>
      <c r="G25" s="18" t="n">
        <v>9030.74</v>
      </c>
      <c r="H25" s="18" t="n">
        <v>9033.23</v>
      </c>
      <c r="I25" s="18" t="n">
        <v>9033.23</v>
      </c>
      <c r="J25" s="18" t="n">
        <v>9033.23</v>
      </c>
      <c r="K25" s="37" t="n">
        <v>9033.23</v>
      </c>
      <c r="L25" s="18" t="n">
        <v>16033.23</v>
      </c>
      <c r="M25" s="18" t="n">
        <v>14840</v>
      </c>
      <c r="N25" s="18" t="n">
        <v>14840</v>
      </c>
      <c r="O25" s="18" t="n">
        <v>14840</v>
      </c>
      <c r="P25" s="37" t="n">
        <v>14840</v>
      </c>
      <c r="Q25" s="18" t="n">
        <v>2840</v>
      </c>
      <c r="R25" s="18" t="n">
        <v>2840</v>
      </c>
      <c r="S25" s="18" t="n">
        <v>2840</v>
      </c>
      <c r="T25" s="18" t="n">
        <v>2840</v>
      </c>
      <c r="U25" s="37" t="n">
        <v>2840</v>
      </c>
      <c r="V25" s="18" t="n">
        <v>8293.33</v>
      </c>
      <c r="W25" s="18" t="n">
        <v>7583.33</v>
      </c>
      <c r="X25" s="18" t="n">
        <v>6873.33</v>
      </c>
      <c r="Y25" s="18" t="n">
        <v>6770.83</v>
      </c>
      <c r="Z25" s="37" t="n">
        <v>6770.83</v>
      </c>
      <c r="AA25" s="18" t="n">
        <v>3310</v>
      </c>
      <c r="AB25" s="19" t="n">
        <v>10000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2.02</v>
      </c>
      <c r="F26" s="37" t="n">
        <v>2.02</v>
      </c>
      <c r="G26" s="18" t="n">
        <v>266.57</v>
      </c>
      <c r="H26" s="18" t="n">
        <v>875.02</v>
      </c>
      <c r="I26" s="18" t="n">
        <v>1917.17</v>
      </c>
      <c r="J26" s="18" t="n">
        <v>2161.53</v>
      </c>
      <c r="K26" s="37" t="n">
        <v>2161.53</v>
      </c>
      <c r="L26" s="18" t="n">
        <v>2154.86</v>
      </c>
      <c r="M26" s="18" t="n">
        <v>20534.86</v>
      </c>
      <c r="N26" s="18" t="n">
        <v>19410.22</v>
      </c>
      <c r="O26" s="18" t="n">
        <v>19094.72</v>
      </c>
      <c r="P26" s="37" t="n">
        <v>19094.72</v>
      </c>
      <c r="Q26" s="18" t="n">
        <v>19811.33</v>
      </c>
      <c r="R26" s="18" t="n">
        <v>18953.88</v>
      </c>
      <c r="S26" s="18" t="n">
        <v>5623.4</v>
      </c>
      <c r="T26" s="18" t="n">
        <v>1786.41</v>
      </c>
      <c r="U26" s="37" t="n">
        <v>1786.41</v>
      </c>
      <c r="V26" s="18" t="n">
        <v>2317.65</v>
      </c>
      <c r="W26" s="18" t="n">
        <v>3056.81</v>
      </c>
      <c r="X26" s="18" t="n">
        <v>3253.96</v>
      </c>
      <c r="Y26" s="18" t="n">
        <v>4117.89</v>
      </c>
      <c r="Z26" s="37" t="n">
        <v>4117.89</v>
      </c>
      <c r="AA26" s="18" t="n">
        <v>3686.15</v>
      </c>
      <c r="AB26" s="19" t="n">
        <v>3933.76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443.48</v>
      </c>
      <c r="F28" s="37" t="n">
        <v>443.48</v>
      </c>
      <c r="G28" s="18" t="n">
        <v>243.4</v>
      </c>
      <c r="H28" s="18" t="n">
        <v>492.33</v>
      </c>
      <c r="I28" s="18" t="n">
        <v>1499.23</v>
      </c>
      <c r="J28" s="18" t="n">
        <v>163.73</v>
      </c>
      <c r="K28" s="37" t="n">
        <v>163.73</v>
      </c>
      <c r="L28" s="18" t="n">
        <v>307.49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116.9</v>
      </c>
      <c r="F29" s="37" t="n">
        <v>116.9</v>
      </c>
      <c r="G29" s="18" t="n">
        <v>115.02</v>
      </c>
      <c r="H29" s="18" t="n">
        <v>120.15</v>
      </c>
      <c r="I29" s="18" t="n">
        <v>128.81</v>
      </c>
      <c r="J29" s="18" t="n">
        <v>121.27</v>
      </c>
      <c r="K29" s="37" t="n">
        <v>121.27</v>
      </c>
      <c r="L29" s="18" t="n">
        <v>121.91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291.42</v>
      </c>
      <c r="F30" s="37" t="n">
        <v>291.42</v>
      </c>
      <c r="G30" s="18" t="n">
        <v>261.36</v>
      </c>
      <c r="H30" s="18" t="n">
        <v>260.87</v>
      </c>
      <c r="I30" s="18" t="n">
        <v>258.78</v>
      </c>
      <c r="J30" s="18" t="n">
        <v>200.68</v>
      </c>
      <c r="K30" s="37" t="n">
        <v>200.68</v>
      </c>
      <c r="L30" s="18" t="n">
        <v>167.29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2219.48</v>
      </c>
      <c r="F31" s="37" t="n">
        <v>2219.48</v>
      </c>
      <c r="G31" s="18" t="n">
        <v>4650.21</v>
      </c>
      <c r="H31" s="18" t="n">
        <v>6127.52</v>
      </c>
      <c r="I31" s="18" t="n">
        <v>6745.35</v>
      </c>
      <c r="J31" s="18" t="n">
        <v>5941.44</v>
      </c>
      <c r="K31" s="37" t="n">
        <v>5941.44</v>
      </c>
      <c r="L31" s="18" t="n">
        <v>6758.68</v>
      </c>
      <c r="M31" s="18" t="n">
        <v>7695.16</v>
      </c>
      <c r="N31" s="18" t="n">
        <v>7703.24</v>
      </c>
      <c r="O31" s="18" t="n">
        <v>7907.82</v>
      </c>
      <c r="P31" s="37" t="n">
        <v>7907.82</v>
      </c>
      <c r="Q31" s="18" t="n">
        <v>13948.41</v>
      </c>
      <c r="R31" s="18" t="n">
        <v>12721.02</v>
      </c>
      <c r="S31" s="18" t="n">
        <v>13192.53</v>
      </c>
      <c r="T31" s="18" t="n">
        <v>11920.63</v>
      </c>
      <c r="U31" s="37" t="n">
        <v>11920.63</v>
      </c>
      <c r="V31" s="18" t="n">
        <v>14342.4</v>
      </c>
      <c r="W31" s="18" t="n">
        <v>12089</v>
      </c>
      <c r="X31" s="18" t="n">
        <v>12725.88</v>
      </c>
      <c r="Y31" s="18" t="n">
        <v>15994.97</v>
      </c>
      <c r="Z31" s="37" t="n">
        <v>15994.97</v>
      </c>
      <c r="AA31" s="18" t="n">
        <v>15174.74</v>
      </c>
      <c r="AB31" s="19" t="n">
        <v>15560.94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42119.03</v>
      </c>
      <c r="F32" s="37" t="n">
        <v>42119.03</v>
      </c>
      <c r="G32" s="18" t="n">
        <v>36088.36</v>
      </c>
      <c r="H32" s="18" t="n">
        <v>35369.35</v>
      </c>
      <c r="I32" s="18" t="n">
        <v>34340.85</v>
      </c>
      <c r="J32" s="18" t="n">
        <v>33211.29</v>
      </c>
      <c r="K32" s="37" t="n">
        <v>33211.29</v>
      </c>
      <c r="L32" s="18" t="n">
        <v>20186.31</v>
      </c>
      <c r="M32" s="18" t="n">
        <v>10981.38</v>
      </c>
      <c r="N32" s="18" t="n">
        <v>10243.57</v>
      </c>
      <c r="O32" s="18" t="n">
        <v>9525.120000000001</v>
      </c>
      <c r="P32" s="37" t="n">
        <v>9525.120000000001</v>
      </c>
      <c r="Q32" s="18" t="n">
        <v>8907.530000000001</v>
      </c>
      <c r="R32" s="18" t="n">
        <v>8874.01</v>
      </c>
      <c r="S32" s="18" t="n">
        <v>8146.39</v>
      </c>
      <c r="T32" s="18" t="n">
        <v>6926.41</v>
      </c>
      <c r="U32" s="37" t="n">
        <v>6926.41</v>
      </c>
      <c r="V32" s="18" t="n">
        <v>721.28</v>
      </c>
      <c r="W32" s="18" t="n">
        <v>2122.63</v>
      </c>
      <c r="X32" s="18" t="n">
        <v>2633.58</v>
      </c>
      <c r="Y32" s="18" t="n">
        <v>1559.94</v>
      </c>
      <c r="Z32" s="37" t="n">
        <v>1559.94</v>
      </c>
      <c r="AA32" s="18" t="n">
        <v>57799.02</v>
      </c>
      <c r="AB32" s="19" t="n">
        <v>47976.78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200.3</v>
      </c>
      <c r="F33" s="37" t="n">
        <v>200.3</v>
      </c>
      <c r="G33" s="18" t="n">
        <v>206.13</v>
      </c>
      <c r="H33" s="18" t="n">
        <v>501.04</v>
      </c>
      <c r="I33" s="18" t="n">
        <v>491.6</v>
      </c>
      <c r="J33" s="18" t="n">
        <v>420.91</v>
      </c>
      <c r="K33" s="37" t="n">
        <v>420.91</v>
      </c>
      <c r="L33" s="18" t="n">
        <v>423.22</v>
      </c>
      <c r="M33" s="18" t="n">
        <v>499.98</v>
      </c>
      <c r="N33" s="18" t="n">
        <v>500.95</v>
      </c>
      <c r="O33" s="18" t="n">
        <v>499.92</v>
      </c>
      <c r="P33" s="37" t="n">
        <v>499.92</v>
      </c>
      <c r="Q33" s="18" t="n">
        <v>599.59</v>
      </c>
      <c r="R33" s="18" t="n">
        <v>630.99</v>
      </c>
      <c r="S33" s="18" t="n">
        <v>630.49</v>
      </c>
      <c r="T33" s="18" t="n">
        <v>438.58</v>
      </c>
      <c r="U33" s="37" t="n">
        <v>438.58</v>
      </c>
      <c r="V33" s="18" t="n">
        <v>438.7</v>
      </c>
      <c r="W33" s="18" t="n">
        <v>434.95</v>
      </c>
      <c r="X33" s="18" t="n">
        <v>447.25</v>
      </c>
      <c r="Y33" s="18" t="n">
        <v>449.63</v>
      </c>
      <c r="Z33" s="37" t="n">
        <v>449.63</v>
      </c>
      <c r="AA33" s="18" t="n">
        <v>453.81</v>
      </c>
      <c r="AB33" s="19" t="n">
        <v>456.29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41744.2</v>
      </c>
      <c r="F34" s="37" t="n">
        <v>41744.2</v>
      </c>
      <c r="G34" s="18" t="n">
        <v>35735.89</v>
      </c>
      <c r="H34" s="18" t="n">
        <v>34727.59</v>
      </c>
      <c r="I34" s="18" t="n">
        <v>33719.28</v>
      </c>
      <c r="J34" s="18" t="n">
        <v>32710.97</v>
      </c>
      <c r="K34" s="37" t="n">
        <v>32710.97</v>
      </c>
      <c r="L34" s="18" t="n">
        <v>19702.66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174.52</v>
      </c>
      <c r="F35" s="37" t="n">
        <v>174.52</v>
      </c>
      <c r="G35" s="18" t="n">
        <v>146.34</v>
      </c>
      <c r="H35" s="18" t="n">
        <v>140.72</v>
      </c>
      <c r="I35" s="18" t="n">
        <v>129.97</v>
      </c>
      <c r="J35" s="18" t="n">
        <v>79.41</v>
      </c>
      <c r="K35" s="37" t="n">
        <v>79.41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174.52</v>
      </c>
      <c r="F36" s="37" t="n">
        <v>174.52</v>
      </c>
      <c r="G36" s="18" t="n">
        <v>146.34</v>
      </c>
      <c r="H36" s="18" t="n">
        <v>140.72</v>
      </c>
      <c r="I36" s="18" t="n">
        <v>129.97</v>
      </c>
      <c r="J36" s="18" t="n">
        <v>79.41</v>
      </c>
      <c r="K36" s="37" t="n">
        <v>79.41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84926.00999999999</v>
      </c>
      <c r="F37" s="37" t="n">
        <v>84926.00999999999</v>
      </c>
      <c r="G37" s="18" t="n">
        <v>91807.14</v>
      </c>
      <c r="H37" s="18" t="n">
        <v>92098.23</v>
      </c>
      <c r="I37" s="18" t="n">
        <v>86766.03</v>
      </c>
      <c r="J37" s="18" t="n">
        <v>81687.59</v>
      </c>
      <c r="K37" s="37" t="n">
        <v>81687.59</v>
      </c>
      <c r="L37" s="18" t="n">
        <v>77565.57000000001</v>
      </c>
      <c r="M37" s="18" t="n">
        <v>61269.99</v>
      </c>
      <c r="N37" s="18" t="n">
        <v>59636.47</v>
      </c>
      <c r="O37" s="18" t="n">
        <v>59319.01</v>
      </c>
      <c r="P37" s="37" t="n">
        <v>59319.01</v>
      </c>
      <c r="Q37" s="18" t="n">
        <v>58944.95</v>
      </c>
      <c r="R37" s="18" t="n">
        <v>50856.73</v>
      </c>
      <c r="S37" s="18" t="n">
        <v>37305.52</v>
      </c>
      <c r="T37" s="18" t="n">
        <v>36564.29</v>
      </c>
      <c r="U37" s="37" t="n">
        <v>36564.29</v>
      </c>
      <c r="V37" s="18" t="n">
        <v>44284.55</v>
      </c>
      <c r="W37" s="18" t="n">
        <v>35936.23</v>
      </c>
      <c r="X37" s="18" t="n">
        <v>37289.09</v>
      </c>
      <c r="Y37" s="18" t="n">
        <v>43044.61</v>
      </c>
      <c r="Z37" s="37" t="n">
        <v>43044.61</v>
      </c>
      <c r="AA37" s="18" t="n">
        <v>105896.4</v>
      </c>
      <c r="AB37" s="19" t="n">
        <v>94680.33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93715.35000000001</v>
      </c>
      <c r="F38" s="37" t="n">
        <v>93715.35000000001</v>
      </c>
      <c r="G38" s="18" t="n">
        <v>94585.89</v>
      </c>
      <c r="H38" s="18" t="n">
        <v>97175.86</v>
      </c>
      <c r="I38" s="18" t="n">
        <v>99024.77</v>
      </c>
      <c r="J38" s="18" t="n">
        <v>97380.44</v>
      </c>
      <c r="K38" s="37" t="n">
        <v>97380.44</v>
      </c>
      <c r="L38" s="18" t="n">
        <v>96364.77</v>
      </c>
      <c r="M38" s="18" t="n">
        <v>164832.58</v>
      </c>
      <c r="N38" s="18" t="n">
        <v>164684.56</v>
      </c>
      <c r="O38" s="18" t="n">
        <v>162256.35</v>
      </c>
      <c r="P38" s="37" t="n">
        <v>162256.35</v>
      </c>
      <c r="Q38" s="18" t="n">
        <v>161771.13</v>
      </c>
      <c r="R38" s="18" t="n">
        <v>165512.85</v>
      </c>
      <c r="S38" s="18" t="n">
        <v>168042.35</v>
      </c>
      <c r="T38" s="18" t="n">
        <v>171717.86</v>
      </c>
      <c r="U38" s="37" t="n">
        <v>171717.86</v>
      </c>
      <c r="V38" s="18" t="n">
        <v>174480.35</v>
      </c>
      <c r="W38" s="18" t="n">
        <v>184848.21</v>
      </c>
      <c r="X38" s="18" t="n">
        <v>192952.22</v>
      </c>
      <c r="Y38" s="18" t="n">
        <v>198690.92</v>
      </c>
      <c r="Z38" s="37" t="n">
        <v>198690.92</v>
      </c>
      <c r="AA38" s="18" t="n">
        <v>195256.86</v>
      </c>
      <c r="AB38" s="19" t="n">
        <v>203915.84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8808.73</v>
      </c>
      <c r="F39" s="37" t="n">
        <v>8808.73</v>
      </c>
      <c r="G39" s="18" t="n">
        <v>8808.73</v>
      </c>
      <c r="H39" s="18" t="n">
        <v>8808.73</v>
      </c>
      <c r="I39" s="18" t="n">
        <v>8808.73</v>
      </c>
      <c r="J39" s="18" t="n">
        <v>8808.73</v>
      </c>
      <c r="K39" s="37" t="n">
        <v>8808.73</v>
      </c>
      <c r="L39" s="18" t="n">
        <v>8808.73</v>
      </c>
      <c r="M39" s="18" t="n">
        <v>8808.73</v>
      </c>
      <c r="N39" s="18" t="n">
        <v>8808.73</v>
      </c>
      <c r="O39" s="18" t="n">
        <v>8808.73</v>
      </c>
      <c r="P39" s="37" t="n">
        <v>8808.73</v>
      </c>
      <c r="Q39" s="18" t="n">
        <v>8808.73</v>
      </c>
      <c r="R39" s="18" t="n">
        <v>8808.73</v>
      </c>
      <c r="S39" s="18" t="n">
        <v>8808.73</v>
      </c>
      <c r="T39" s="18" t="n">
        <v>8808.73</v>
      </c>
      <c r="U39" s="37" t="n">
        <v>8808.73</v>
      </c>
      <c r="V39" s="18" t="n">
        <v>8808.73</v>
      </c>
      <c r="W39" s="18" t="n">
        <v>8808.73</v>
      </c>
      <c r="X39" s="18" t="n">
        <v>8808.73</v>
      </c>
      <c r="Y39" s="18" t="n">
        <v>8808.73</v>
      </c>
      <c r="Z39" s="37" t="n">
        <v>8808.73</v>
      </c>
      <c r="AA39" s="18" t="n">
        <v>8808.73</v>
      </c>
      <c r="AB39" s="19" t="n">
        <v>8808.73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21450.9</v>
      </c>
      <c r="F40" s="37" t="n">
        <v>21450.9</v>
      </c>
      <c r="G40" s="18" t="n">
        <v>21450.9</v>
      </c>
      <c r="H40" s="18" t="n">
        <v>21357.65</v>
      </c>
      <c r="I40" s="18" t="n">
        <v>19495.13</v>
      </c>
      <c r="J40" s="18" t="n">
        <v>18907.81</v>
      </c>
      <c r="K40" s="37" t="n">
        <v>18907.81</v>
      </c>
      <c r="L40" s="18" t="n">
        <v>8595.870000000001</v>
      </c>
      <c r="M40" s="18" t="n">
        <v>11516.78</v>
      </c>
      <c r="N40" s="18" t="n">
        <v>11503.01</v>
      </c>
      <c r="O40" s="18" t="n">
        <v>6538.03</v>
      </c>
      <c r="P40" s="37" t="n">
        <v>6538.03</v>
      </c>
      <c r="Q40" s="18" t="n">
        <v>6538.03</v>
      </c>
      <c r="R40" s="18" t="n">
        <v>6538.03</v>
      </c>
      <c r="S40" s="18" t="n">
        <v>6538.03</v>
      </c>
      <c r="T40" s="18" t="n">
        <v>6538.03</v>
      </c>
      <c r="U40" s="37" t="n">
        <v>6538.03</v>
      </c>
      <c r="V40" s="18" t="n">
        <v>8511.540000000001</v>
      </c>
      <c r="W40" s="18" t="n">
        <v>12795.06</v>
      </c>
      <c r="X40" s="18" t="n">
        <v>12795.06</v>
      </c>
      <c r="Y40" s="18" t="n">
        <v>12795.06</v>
      </c>
      <c r="Z40" s="37" t="n">
        <v>12795.06</v>
      </c>
      <c r="AA40" s="18" t="n">
        <v>12795.06</v>
      </c>
      <c r="AB40" s="19" t="n">
        <v>12795.06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579.83</v>
      </c>
      <c r="F41" s="37" t="n">
        <v>579.83</v>
      </c>
      <c r="G41" s="18" t="n">
        <v>1115.05</v>
      </c>
      <c r="H41" s="18" t="n">
        <v>850.9299999999999</v>
      </c>
      <c r="I41" s="18" t="n">
        <v>1147.59</v>
      </c>
      <c r="J41" s="18" t="n">
        <v>358.69</v>
      </c>
      <c r="K41" s="37" t="n">
        <v>358.69</v>
      </c>
      <c r="L41" s="18" t="n">
        <v>692.23</v>
      </c>
      <c r="M41" s="18" t="n">
        <v>341.82</v>
      </c>
      <c r="N41" s="18" t="n">
        <v>481.36</v>
      </c>
      <c r="O41" s="18" t="n">
        <v>326.84</v>
      </c>
      <c r="P41" s="37" t="n">
        <v>326.84</v>
      </c>
      <c r="Q41" s="18" t="n">
        <v>475.31</v>
      </c>
      <c r="R41" s="18" t="n">
        <v>619.55</v>
      </c>
      <c r="S41" s="18" t="n">
        <v>567.49</v>
      </c>
      <c r="T41" s="18" t="n">
        <v>971.5599999999999</v>
      </c>
      <c r="U41" s="37" t="n">
        <v>971.5599999999999</v>
      </c>
      <c r="V41" s="18" t="n">
        <v>986.9400000000001</v>
      </c>
      <c r="W41" s="18" t="n">
        <v>556.77</v>
      </c>
      <c r="X41" s="18" t="n">
        <v>831.3099999999999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62875.88</v>
      </c>
      <c r="F42" s="37" t="n">
        <v>62875.88</v>
      </c>
      <c r="G42" s="18" t="n">
        <v>63211.19</v>
      </c>
      <c r="H42" s="18" t="n">
        <v>66158.55</v>
      </c>
      <c r="I42" s="18" t="n">
        <v>69573.33</v>
      </c>
      <c r="J42" s="18" t="n">
        <v>69305.21000000001</v>
      </c>
      <c r="K42" s="37" t="n">
        <v>69305.21000000001</v>
      </c>
      <c r="L42" s="18" t="n">
        <v>78267.94</v>
      </c>
      <c r="M42" s="18" t="n">
        <v>144165.25</v>
      </c>
      <c r="N42" s="18" t="n">
        <v>143891.45</v>
      </c>
      <c r="O42" s="18" t="n">
        <v>146582.75</v>
      </c>
      <c r="P42" s="37" t="n">
        <v>146582.75</v>
      </c>
      <c r="Q42" s="18" t="n">
        <v>145949.06</v>
      </c>
      <c r="R42" s="18" t="n">
        <v>149546.53</v>
      </c>
      <c r="S42" s="18" t="n">
        <v>152128.1</v>
      </c>
      <c r="T42" s="18" t="n">
        <v>155399.54</v>
      </c>
      <c r="U42" s="37" t="n">
        <v>155399.54</v>
      </c>
      <c r="V42" s="18" t="n">
        <v>156173.14</v>
      </c>
      <c r="W42" s="18" t="n">
        <v>162687.65</v>
      </c>
      <c r="X42" s="18" t="n">
        <v>170517.12</v>
      </c>
      <c r="Y42" s="18" t="n">
        <v>175985.82</v>
      </c>
      <c r="Z42" s="37" t="n">
        <v>175985.82</v>
      </c>
      <c r="AA42" s="18" t="n">
        <v>172057.69</v>
      </c>
      <c r="AB42" s="19" t="n">
        <v>180421.5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-89.12</v>
      </c>
      <c r="F43" s="37" t="n">
        <v>-89.12</v>
      </c>
      <c r="G43" s="18" t="n">
        <v>-116.1</v>
      </c>
      <c r="H43" s="18" t="n">
        <v>-149.57</v>
      </c>
      <c r="I43" s="18" t="n">
        <v>-162.87</v>
      </c>
      <c r="J43" s="18" t="n">
        <v>-212.43</v>
      </c>
      <c r="K43" s="37" t="n">
        <v>-212.43</v>
      </c>
      <c r="L43" s="18" t="n">
        <v>-264.87</v>
      </c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93626.23</v>
      </c>
      <c r="F44" s="37" t="n">
        <v>93626.23</v>
      </c>
      <c r="G44" s="18" t="n">
        <v>94469.78</v>
      </c>
      <c r="H44" s="18" t="n">
        <v>97026.3</v>
      </c>
      <c r="I44" s="18" t="n">
        <v>98861.89999999999</v>
      </c>
      <c r="J44" s="18" t="n">
        <v>97168</v>
      </c>
      <c r="K44" s="37" t="n">
        <v>97168</v>
      </c>
      <c r="L44" s="18" t="n">
        <v>96099.89999999999</v>
      </c>
      <c r="M44" s="18" t="n">
        <v>164832.58</v>
      </c>
      <c r="N44" s="18" t="n">
        <v>164684.56</v>
      </c>
      <c r="O44" s="18" t="n">
        <v>162256.35</v>
      </c>
      <c r="P44" s="37" t="n">
        <v>162256.35</v>
      </c>
      <c r="Q44" s="18" t="n">
        <v>161771.13</v>
      </c>
      <c r="R44" s="18" t="n">
        <v>165512.85</v>
      </c>
      <c r="S44" s="18" t="n">
        <v>168042.35</v>
      </c>
      <c r="T44" s="18" t="n">
        <v>171717.86</v>
      </c>
      <c r="U44" s="37" t="n">
        <v>171717.86</v>
      </c>
      <c r="V44" s="18" t="n">
        <v>174480.35</v>
      </c>
      <c r="W44" s="18" t="n">
        <v>184848.21</v>
      </c>
      <c r="X44" s="18" t="n">
        <v>192952.22</v>
      </c>
      <c r="Y44" s="18" t="n">
        <v>198690.92</v>
      </c>
      <c r="Z44" s="37" t="n">
        <v>198690.92</v>
      </c>
      <c r="AA44" s="18" t="n">
        <v>195256.86</v>
      </c>
      <c r="AB44" s="19" t="n">
        <v>203915.84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178552.25</v>
      </c>
      <c r="F45" s="37" t="n">
        <v>178552.25</v>
      </c>
      <c r="G45" s="18" t="n">
        <v>186276.92</v>
      </c>
      <c r="H45" s="18" t="n">
        <v>189124.53</v>
      </c>
      <c r="I45" s="18" t="n">
        <v>185627.93</v>
      </c>
      <c r="J45" s="18" t="n">
        <v>178855.6</v>
      </c>
      <c r="K45" s="37" t="n">
        <v>178855.6</v>
      </c>
      <c r="L45" s="18" t="n">
        <v>173665.48</v>
      </c>
      <c r="M45" s="18" t="n">
        <v>226102.57</v>
      </c>
      <c r="N45" s="18" t="n">
        <v>224321.03</v>
      </c>
      <c r="O45" s="18" t="n">
        <v>221575.36</v>
      </c>
      <c r="P45" s="37" t="n">
        <v>221575.36</v>
      </c>
      <c r="Q45" s="18" t="n">
        <v>220716.08</v>
      </c>
      <c r="R45" s="18" t="n">
        <v>216369.58</v>
      </c>
      <c r="S45" s="18" t="n">
        <v>205347.87</v>
      </c>
      <c r="T45" s="18" t="n">
        <v>208282.15</v>
      </c>
      <c r="U45" s="37" t="n">
        <v>208282.15</v>
      </c>
      <c r="V45" s="18" t="n">
        <v>218764.9</v>
      </c>
      <c r="W45" s="18" t="n">
        <v>220784.45</v>
      </c>
      <c r="X45" s="18" t="n">
        <v>230241.31</v>
      </c>
      <c r="Y45" s="18" t="n">
        <v>241735.53</v>
      </c>
      <c r="Z45" s="37" t="n">
        <v>241735.53</v>
      </c>
      <c r="AA45" s="18" t="n">
        <v>301153.25</v>
      </c>
      <c r="AB45" s="19" t="n">
        <v>298596.17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74872.95</v>
      </c>
      <c r="F46" s="37" t="n">
        <v>74872.95</v>
      </c>
      <c r="G46" s="18" t="n">
        <v>74085.42</v>
      </c>
      <c r="H46" s="18" t="n">
        <v>74201.69</v>
      </c>
      <c r="I46" s="18" t="n">
        <v>68622.85000000001</v>
      </c>
      <c r="J46" s="18" t="n">
        <v>64168.97</v>
      </c>
      <c r="K46" s="37" t="n">
        <v>64168.97</v>
      </c>
      <c r="L46" s="18" t="n">
        <v>55763.42</v>
      </c>
      <c r="M46" s="18" t="n">
        <v>25571.61</v>
      </c>
      <c r="N46" s="18" t="n">
        <v>25544.8</v>
      </c>
      <c r="O46" s="18" t="n">
        <v>24217.26</v>
      </c>
      <c r="P46" s="37" t="n">
        <v>24217.26</v>
      </c>
      <c r="Q46" s="18" t="n">
        <v>11133.33</v>
      </c>
      <c r="R46" s="18" t="n">
        <v>10913.3</v>
      </c>
      <c r="S46" s="18" t="n">
        <v>9904.870000000001</v>
      </c>
      <c r="T46" s="18" t="n">
        <v>9412.139999999999</v>
      </c>
      <c r="U46" s="37" t="n">
        <v>9412.139999999999</v>
      </c>
      <c r="V46" s="18" t="n">
        <v>9255.18</v>
      </c>
      <c r="W46" s="18" t="n">
        <v>9177.719999999999</v>
      </c>
      <c r="X46" s="18" t="n">
        <v>8627.43</v>
      </c>
      <c r="Y46" s="18" t="n">
        <v>8251.42</v>
      </c>
      <c r="Z46" s="37" t="n">
        <v>8251.42</v>
      </c>
      <c r="AA46" s="18" t="n">
        <v>60790.85</v>
      </c>
      <c r="AB46" s="19" t="n">
        <v>57101.55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60920.87</v>
      </c>
      <c r="F47" s="37" t="n">
        <v>60920.87</v>
      </c>
      <c r="G47" s="18" t="n">
        <v>61310.99</v>
      </c>
      <c r="H47" s="18" t="n">
        <v>60500.2</v>
      </c>
      <c r="I47" s="18" t="n">
        <v>54754.47</v>
      </c>
      <c r="J47" s="18" t="n">
        <v>46399.06</v>
      </c>
      <c r="K47" s="37" t="n">
        <v>46399.06</v>
      </c>
      <c r="L47" s="18" t="n">
        <v>42485.59</v>
      </c>
      <c r="M47" s="18" t="n">
        <v>-1760.66</v>
      </c>
      <c r="N47" s="18" t="n">
        <v>-13029.68</v>
      </c>
      <c r="O47" s="18" t="n">
        <v>-6957.11</v>
      </c>
      <c r="P47" s="37" t="n">
        <v>-6957.11</v>
      </c>
      <c r="Q47" s="18" t="n">
        <v>-527.05</v>
      </c>
      <c r="R47" s="18" t="n">
        <v>-2567.15</v>
      </c>
      <c r="S47" s="18" t="n">
        <v>918.54</v>
      </c>
      <c r="T47" s="18" t="n">
        <v>-6312.87</v>
      </c>
      <c r="U47" s="37" t="n">
        <v>-6312.87</v>
      </c>
      <c r="V47" s="18" t="n">
        <v>-7690.78</v>
      </c>
      <c r="W47" s="18" t="n">
        <v>-16530.73</v>
      </c>
      <c r="X47" s="18" t="n">
        <v>-12396.57</v>
      </c>
      <c r="Y47" s="18" t="n">
        <v>-48585.63</v>
      </c>
      <c r="Z47" s="37" t="n">
        <v>-48585.63</v>
      </c>
      <c r="AA47" s="18" t="n">
        <v>33366.78</v>
      </c>
      <c r="AB47" s="19" t="n">
        <v>30685.75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14629.24</v>
      </c>
      <c r="F48" s="37" t="n">
        <v>14629.24</v>
      </c>
      <c r="G48" s="18" t="n">
        <v>13417.72</v>
      </c>
      <c r="H48" s="18" t="n">
        <v>14522.59</v>
      </c>
      <c r="I48" s="18" t="n">
        <v>14765.71</v>
      </c>
      <c r="J48" s="18" t="n">
        <v>17771.11</v>
      </c>
      <c r="K48" s="37" t="n">
        <v>17771.11</v>
      </c>
      <c r="L48" s="18" t="n">
        <v>13279.03</v>
      </c>
      <c r="M48" s="18" t="n">
        <v>27332.27</v>
      </c>
      <c r="N48" s="18" t="n">
        <v>77386.38</v>
      </c>
      <c r="O48" s="18" t="n">
        <v>67539.72</v>
      </c>
      <c r="P48" s="37" t="n">
        <v>67539.72</v>
      </c>
      <c r="Q48" s="18" t="n">
        <v>46417.24</v>
      </c>
      <c r="R48" s="18" t="n">
        <v>48044.19</v>
      </c>
      <c r="S48" s="18" t="n">
        <v>39351.76</v>
      </c>
      <c r="T48" s="18" t="n">
        <v>19725.39</v>
      </c>
      <c r="U48" s="37" t="n">
        <v>19725.39</v>
      </c>
      <c r="V48" s="18" t="n">
        <v>27158.01</v>
      </c>
      <c r="W48" s="18" t="n">
        <v>59743.11</v>
      </c>
      <c r="X48" s="18" t="n">
        <v>75774.06</v>
      </c>
      <c r="Y48" s="18" t="n">
        <v>77634.42</v>
      </c>
      <c r="Z48" s="37" t="n">
        <v>77634.42</v>
      </c>
      <c r="AA48" s="18" t="n">
        <v>30137.62</v>
      </c>
      <c r="AB48" s="19" t="n">
        <v>27937.24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단기충당부채</t>
        </is>
      </c>
      <c r="F49" s="9" t="n"/>
      <c r="H49" s="18" t="n">
        <v>665.11</v>
      </c>
      <c r="I49" s="18" t="n">
        <v>635.15</v>
      </c>
      <c r="J49" s="18" t="n">
        <v>875.13</v>
      </c>
      <c r="K49" s="37" t="n">
        <v>875.13</v>
      </c>
      <c r="L49" s="18" t="n">
        <v>846.23</v>
      </c>
      <c r="M49" s="18" t="n">
        <v>915.8</v>
      </c>
      <c r="N49" s="18" t="n">
        <v>741.14</v>
      </c>
      <c r="O49" s="18" t="n">
        <v>866.41</v>
      </c>
      <c r="P49" s="37" t="n">
        <v>866.41</v>
      </c>
      <c r="Q49" s="18" t="n">
        <v>911.08</v>
      </c>
      <c r="R49" s="18" t="n">
        <v>374.35</v>
      </c>
      <c r="S49" s="18" t="n">
        <v>363.83</v>
      </c>
      <c r="T49" s="18" t="n">
        <v>843.3099999999999</v>
      </c>
      <c r="U49" s="37" t="n">
        <v>843.3099999999999</v>
      </c>
      <c r="V49" s="18" t="n">
        <v>840.28</v>
      </c>
      <c r="W49" s="18" t="n">
        <v>516.92</v>
      </c>
      <c r="X49" s="18" t="n">
        <v>516.92</v>
      </c>
      <c r="Y49" s="18" t="n">
        <v>1132.11</v>
      </c>
      <c r="Z49" s="37" t="n">
        <v>1132.11</v>
      </c>
      <c r="AA49" s="18" t="n">
        <v>592.79</v>
      </c>
      <c r="AB49" s="19" t="n">
        <v>645.84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K50" s="9" t="n"/>
      <c r="L50" s="18" t="n">
        <v>15.05</v>
      </c>
      <c r="M50" s="18" t="n">
        <v>21.64</v>
      </c>
      <c r="P50" s="9" t="n"/>
      <c r="U50" s="9" t="n"/>
      <c r="Z50" s="9" t="n"/>
      <c r="AB50" s="19" t="n">
        <v>84.15000000000001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단기투자자산(공정가치)</t>
        </is>
      </c>
      <c r="F51" s="9" t="n"/>
      <c r="K51" s="9" t="n"/>
      <c r="N51" s="18" t="n">
        <v>38961.54</v>
      </c>
      <c r="O51" s="18" t="n">
        <v>46645.24</v>
      </c>
      <c r="P51" s="37" t="n">
        <v>46645.24</v>
      </c>
      <c r="Q51" s="18" t="n">
        <v>53770.33</v>
      </c>
      <c r="R51" s="18" t="n">
        <v>47194.25</v>
      </c>
      <c r="S51" s="18" t="n">
        <v>43946.1</v>
      </c>
      <c r="T51" s="18" t="n">
        <v>57403.76</v>
      </c>
      <c r="U51" s="37" t="n">
        <v>57403.76</v>
      </c>
      <c r="V51" s="18" t="n">
        <v>55377.44</v>
      </c>
      <c r="W51" s="18" t="n">
        <v>24595.6</v>
      </c>
      <c r="X51" s="18" t="n">
        <v>16923.46</v>
      </c>
      <c r="Y51" s="18" t="n">
        <v>12005.61</v>
      </c>
      <c r="Z51" s="37" t="n">
        <v>12005.61</v>
      </c>
      <c r="AA51" s="18" t="n">
        <v>11595.15</v>
      </c>
      <c r="AB51" s="19" t="n">
        <v>7077.39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P53" s="9" t="n"/>
      <c r="S53" s="18" t="n">
        <v>191.54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1407.07</v>
      </c>
      <c r="Z54" s="37" t="n">
        <v>1407.07</v>
      </c>
      <c r="AA54" s="18" t="n">
        <v>1487.93</v>
      </c>
      <c r="AB54" s="19" t="n">
        <v>1531.34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1407.07</v>
      </c>
      <c r="Z55" s="37" t="n">
        <v>1407.07</v>
      </c>
      <c r="AA55" s="18" t="n">
        <v>1487.93</v>
      </c>
      <c r="AB55" s="19" t="n">
        <v>1531.34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Y56" s="18" t="n">
        <v>1101.31</v>
      </c>
      <c r="Z56" s="37" t="n">
        <v>1101.31</v>
      </c>
      <c r="AA56" s="18" t="n">
        <v>1595.37</v>
      </c>
      <c r="AB56" s="19" t="n">
        <v>1890.55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16376.74</v>
      </c>
      <c r="F57" s="9" t="n"/>
      <c r="G57" s="18" t="n">
        <v>15940.16</v>
      </c>
      <c r="H57" s="18" t="n">
        <v>26914.1</v>
      </c>
      <c r="I57" s="18" t="n">
        <v>27546.49</v>
      </c>
      <c r="J57" s="18" t="n">
        <v>28236.37</v>
      </c>
      <c r="K57" s="37" t="n">
        <v>98637.12</v>
      </c>
      <c r="L57" s="18" t="n">
        <v>22138.71</v>
      </c>
      <c r="M57" s="18" t="n">
        <v>20341.43</v>
      </c>
      <c r="N57" s="18" t="n">
        <v>17300.47</v>
      </c>
      <c r="O57" s="18" t="n">
        <v>19163.89</v>
      </c>
      <c r="P57" s="37" t="n">
        <v>78944.5</v>
      </c>
      <c r="Q57" s="18" t="n">
        <v>23101</v>
      </c>
      <c r="R57" s="18" t="n">
        <v>25584.69</v>
      </c>
      <c r="S57" s="18" t="n">
        <v>23280.13</v>
      </c>
      <c r="T57" s="18" t="n">
        <v>32269.91</v>
      </c>
      <c r="U57" s="37" t="n">
        <v>104235.73</v>
      </c>
      <c r="V57" s="18" t="n">
        <v>26555.57</v>
      </c>
      <c r="W57" s="18" t="n">
        <v>35662.18</v>
      </c>
      <c r="X57" s="18" t="n">
        <v>31667.7</v>
      </c>
      <c r="Y57" s="18" t="n">
        <v>39591.48</v>
      </c>
      <c r="Z57" s="37" t="n">
        <v>133476.93</v>
      </c>
      <c r="AA57" s="18" t="n">
        <v>39356.69</v>
      </c>
      <c r="AB57" s="19" t="n">
        <v>42836.21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12659.26</v>
      </c>
      <c r="F58" s="9" t="n"/>
      <c r="G58" s="18" t="n">
        <v>11228.77</v>
      </c>
      <c r="H58" s="18" t="n">
        <v>18720.11</v>
      </c>
      <c r="I58" s="18" t="n">
        <v>17805.4</v>
      </c>
      <c r="J58" s="18" t="n">
        <v>22009.73</v>
      </c>
      <c r="K58" s="37" t="n">
        <v>69764.00999999999</v>
      </c>
      <c r="L58" s="18" t="n">
        <v>15495.92</v>
      </c>
      <c r="M58" s="18" t="n">
        <v>12894.81</v>
      </c>
      <c r="N58" s="18" t="n">
        <v>10380.52</v>
      </c>
      <c r="O58" s="18" t="n">
        <v>13991.35</v>
      </c>
      <c r="P58" s="37" t="n">
        <v>52762.6</v>
      </c>
      <c r="Q58" s="18" t="n">
        <v>15744.72</v>
      </c>
      <c r="R58" s="18" t="n">
        <v>17950.51</v>
      </c>
      <c r="S58" s="18" t="n">
        <v>15209.14</v>
      </c>
      <c r="T58" s="18" t="n">
        <v>21576.46</v>
      </c>
      <c r="U58" s="37" t="n">
        <v>70480.83</v>
      </c>
      <c r="V58" s="18" t="n">
        <v>17537.51</v>
      </c>
      <c r="W58" s="18" t="n">
        <v>24649.24</v>
      </c>
      <c r="X58" s="18" t="n">
        <v>20625.3</v>
      </c>
      <c r="Y58" s="18" t="n">
        <v>26789.93</v>
      </c>
      <c r="Z58" s="37" t="n">
        <v>89601.98</v>
      </c>
      <c r="AA58" s="18" t="n">
        <v>28220.3</v>
      </c>
      <c r="AB58" s="19" t="n">
        <v>27476.15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3717.48</v>
      </c>
      <c r="F59" s="9" t="n"/>
      <c r="G59" s="18" t="n">
        <v>4711.39</v>
      </c>
      <c r="H59" s="18" t="n">
        <v>8193.99</v>
      </c>
      <c r="I59" s="18" t="n">
        <v>9741.09</v>
      </c>
      <c r="J59" s="18" t="n">
        <v>6226.62</v>
      </c>
      <c r="K59" s="37" t="n">
        <v>28873.09</v>
      </c>
      <c r="L59" s="18" t="n">
        <v>6642.79</v>
      </c>
      <c r="M59" s="18" t="n">
        <v>7446.62</v>
      </c>
      <c r="N59" s="18" t="n">
        <v>6919.95</v>
      </c>
      <c r="O59" s="18" t="n">
        <v>5172.54</v>
      </c>
      <c r="P59" s="37" t="n">
        <v>26181.9</v>
      </c>
      <c r="Q59" s="18" t="n">
        <v>7356.28</v>
      </c>
      <c r="R59" s="18" t="n">
        <v>7634.19</v>
      </c>
      <c r="S59" s="18" t="n">
        <v>8070.99</v>
      </c>
      <c r="T59" s="18" t="n">
        <v>10693.45</v>
      </c>
      <c r="U59" s="37" t="n">
        <v>33754.91</v>
      </c>
      <c r="V59" s="18" t="n">
        <v>9018.07</v>
      </c>
      <c r="W59" s="18" t="n">
        <v>11012.94</v>
      </c>
      <c r="X59" s="18" t="n">
        <v>11042.4</v>
      </c>
      <c r="Y59" s="18" t="n">
        <v>12801.54</v>
      </c>
      <c r="Z59" s="37" t="n">
        <v>43874.95</v>
      </c>
      <c r="AA59" s="18" t="n">
        <v>11136.39</v>
      </c>
      <c r="AB59" s="19" t="n">
        <v>15360.05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4543.32</v>
      </c>
      <c r="F60" s="9" t="n"/>
      <c r="G60" s="18" t="n">
        <v>3762.49</v>
      </c>
      <c r="H60" s="18" t="n">
        <v>5508.65</v>
      </c>
      <c r="I60" s="18" t="n">
        <v>4669.47</v>
      </c>
      <c r="J60" s="18" t="n">
        <v>6117.08</v>
      </c>
      <c r="K60" s="37" t="n">
        <v>20057.69</v>
      </c>
      <c r="L60" s="18" t="n">
        <v>5648.53</v>
      </c>
      <c r="M60" s="18" t="n">
        <v>6167.58</v>
      </c>
      <c r="N60" s="18" t="n">
        <v>5398.72</v>
      </c>
      <c r="O60" s="18" t="n">
        <v>3601.88</v>
      </c>
      <c r="P60" s="37" t="n">
        <v>20816.71</v>
      </c>
      <c r="Q60" s="18" t="n">
        <v>3443.5</v>
      </c>
      <c r="R60" s="18" t="n">
        <v>3669.41</v>
      </c>
      <c r="S60" s="18" t="n">
        <v>4880.89</v>
      </c>
      <c r="T60" s="18" t="n">
        <v>5798.23</v>
      </c>
      <c r="U60" s="37" t="n">
        <v>17792.03</v>
      </c>
      <c r="V60" s="18" t="n">
        <v>3889.35</v>
      </c>
      <c r="W60" s="18" t="n">
        <v>4852.19</v>
      </c>
      <c r="X60" s="18" t="n">
        <v>5601.71</v>
      </c>
      <c r="Y60" s="18" t="n">
        <v>7259.75</v>
      </c>
      <c r="Z60" s="37" t="n">
        <v>21603</v>
      </c>
      <c r="AA60" s="18" t="n">
        <v>5618.02</v>
      </c>
      <c r="AB60" s="19" t="n">
        <v>6166.42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-825.84</v>
      </c>
      <c r="F61" s="9" t="n"/>
      <c r="G61" s="18" t="n">
        <v>948.9</v>
      </c>
      <c r="H61" s="18" t="n">
        <v>2685.34</v>
      </c>
      <c r="I61" s="18" t="n">
        <v>5071.62</v>
      </c>
      <c r="J61" s="18" t="n">
        <v>109.54</v>
      </c>
      <c r="K61" s="37" t="n">
        <v>8815.4</v>
      </c>
      <c r="L61" s="18" t="n">
        <v>994.26</v>
      </c>
      <c r="M61" s="18" t="n">
        <v>1279.04</v>
      </c>
      <c r="N61" s="18" t="n">
        <v>1521.23</v>
      </c>
      <c r="O61" s="18" t="n">
        <v>1570.66</v>
      </c>
      <c r="P61" s="37" t="n">
        <v>5365.19</v>
      </c>
      <c r="Q61" s="18" t="n">
        <v>3912.78</v>
      </c>
      <c r="R61" s="18" t="n">
        <v>3964.77</v>
      </c>
      <c r="S61" s="18" t="n">
        <v>3190.1</v>
      </c>
      <c r="T61" s="18" t="n">
        <v>4895.21</v>
      </c>
      <c r="U61" s="37" t="n">
        <v>15962.86</v>
      </c>
      <c r="V61" s="18" t="n">
        <v>5128.72</v>
      </c>
      <c r="W61" s="18" t="n">
        <v>6160.75</v>
      </c>
      <c r="X61" s="18" t="n">
        <v>5440.69</v>
      </c>
      <c r="Y61" s="18" t="n">
        <v>5541.79</v>
      </c>
      <c r="Z61" s="37" t="n">
        <v>22271.95</v>
      </c>
      <c r="AA61" s="18" t="n">
        <v>5518.38</v>
      </c>
      <c r="AB61" s="19" t="n">
        <v>9193.629999999999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51.33</v>
      </c>
      <c r="F62" s="9" t="n"/>
      <c r="G62" s="18" t="n">
        <v>-20.69</v>
      </c>
      <c r="J62" s="18" t="n">
        <v>-545.0599999999999</v>
      </c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51.33</v>
      </c>
      <c r="F63" s="9" t="n"/>
      <c r="G63" s="18" t="n">
        <v>-20.69</v>
      </c>
      <c r="J63" s="18" t="n">
        <v>-545.0599999999999</v>
      </c>
      <c r="K63" s="9" t="n"/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409.03</v>
      </c>
      <c r="F64" s="9" t="n"/>
      <c r="G64" s="18" t="n">
        <v>381.21</v>
      </c>
      <c r="H64" s="18" t="n">
        <v>392.46</v>
      </c>
      <c r="I64" s="18" t="n">
        <v>394.46</v>
      </c>
      <c r="J64" s="18" t="n">
        <v>461.79</v>
      </c>
      <c r="K64" s="37" t="n">
        <v>1629.92</v>
      </c>
      <c r="L64" s="18" t="n">
        <v>414.33</v>
      </c>
      <c r="M64" s="18" t="n">
        <v>401.27</v>
      </c>
      <c r="N64" s="18" t="n">
        <v>162.96</v>
      </c>
      <c r="O64" s="18" t="n">
        <v>163.23</v>
      </c>
      <c r="P64" s="37" t="n">
        <v>1141.79</v>
      </c>
      <c r="Q64" s="18" t="n">
        <v>110.61</v>
      </c>
      <c r="R64" s="18" t="n">
        <v>80.84</v>
      </c>
      <c r="S64" s="18" t="n">
        <v>78.05</v>
      </c>
      <c r="T64" s="18" t="n">
        <v>75.56999999999999</v>
      </c>
      <c r="U64" s="37" t="n">
        <v>345.07</v>
      </c>
      <c r="V64" s="18" t="n">
        <v>84.15000000000001</v>
      </c>
      <c r="W64" s="18" t="n">
        <v>67.33</v>
      </c>
      <c r="X64" s="18" t="n">
        <v>62.18</v>
      </c>
      <c r="Y64" s="18" t="n">
        <v>57.64</v>
      </c>
      <c r="Z64" s="37" t="n">
        <v>271.3</v>
      </c>
      <c r="AA64" s="18" t="n">
        <v>346.48</v>
      </c>
      <c r="AB64" s="19" t="n">
        <v>367.43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2940.38</v>
      </c>
      <c r="F65" s="9" t="n"/>
      <c r="G65" s="18" t="n">
        <v>2307.43</v>
      </c>
      <c r="H65" s="18" t="n">
        <v>2742.67</v>
      </c>
      <c r="I65" s="18" t="n">
        <v>2300.58</v>
      </c>
      <c r="J65" s="18" t="n">
        <v>101.01</v>
      </c>
      <c r="K65" s="37" t="n">
        <v>7451.69</v>
      </c>
      <c r="L65" s="18" t="n">
        <v>1181.31</v>
      </c>
      <c r="M65" s="18" t="n">
        <v>87991.53</v>
      </c>
      <c r="N65" s="18" t="n">
        <v>-258.95</v>
      </c>
      <c r="O65" s="18" t="n">
        <v>4154.98</v>
      </c>
      <c r="P65" s="37" t="n">
        <v>93068.87</v>
      </c>
      <c r="Q65" s="18" t="n">
        <v>2492.23</v>
      </c>
      <c r="R65" s="18" t="n">
        <v>683.29</v>
      </c>
      <c r="S65" s="18" t="n">
        <v>899.39</v>
      </c>
      <c r="T65" s="18" t="n">
        <v>2149.17</v>
      </c>
      <c r="U65" s="37" t="n">
        <v>6224.08</v>
      </c>
      <c r="V65" s="18" t="n">
        <v>1983.68</v>
      </c>
      <c r="W65" s="18" t="n">
        <v>2854.28</v>
      </c>
      <c r="X65" s="18" t="n">
        <v>4396.96</v>
      </c>
      <c r="Y65" s="18" t="n">
        <v>2559.01</v>
      </c>
      <c r="Z65" s="37" t="n">
        <v>11793.93</v>
      </c>
      <c r="AA65" s="18" t="n">
        <v>4671.16</v>
      </c>
      <c r="AB65" s="19" t="n">
        <v>3669.56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1347.62</v>
      </c>
      <c r="F66" s="9" t="n"/>
      <c r="G66" s="18" t="n">
        <v>759.3099999999999</v>
      </c>
      <c r="H66" s="18" t="n">
        <v>1879.86</v>
      </c>
      <c r="I66" s="18" t="n">
        <v>2969.5</v>
      </c>
      <c r="J66" s="18" t="n">
        <v>2643.14</v>
      </c>
      <c r="K66" s="37" t="n">
        <v>8251.809999999999</v>
      </c>
      <c r="L66" s="18" t="n">
        <v>1094.45</v>
      </c>
      <c r="M66" s="18" t="n">
        <v>973.54</v>
      </c>
      <c r="N66" s="18" t="n">
        <v>2157.49</v>
      </c>
      <c r="O66" s="18" t="n">
        <v>4114.95</v>
      </c>
      <c r="P66" s="37" t="n">
        <v>8340.43</v>
      </c>
      <c r="Q66" s="18" t="n">
        <v>1862.99</v>
      </c>
      <c r="R66" s="18" t="n">
        <v>1141.95</v>
      </c>
      <c r="S66" s="18" t="n">
        <v>1633.29</v>
      </c>
      <c r="T66" s="18" t="n">
        <v>4602.78</v>
      </c>
      <c r="U66" s="37" t="n">
        <v>9241.01</v>
      </c>
      <c r="V66" s="18" t="n">
        <v>358.66</v>
      </c>
      <c r="W66" s="18" t="n">
        <v>2775.47</v>
      </c>
      <c r="X66" s="18" t="n">
        <v>210.48</v>
      </c>
      <c r="Y66" s="18" t="n">
        <v>3623.06</v>
      </c>
      <c r="Z66" s="37" t="n">
        <v>6967.67</v>
      </c>
      <c r="AA66" s="18" t="n">
        <v>2013.07</v>
      </c>
      <c r="AB66" s="19" t="n">
        <v>2280.06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1621.44</v>
      </c>
      <c r="F67" s="9" t="n"/>
      <c r="G67" s="18" t="n">
        <v>2286.52</v>
      </c>
      <c r="H67" s="18" t="n">
        <v>3489.79</v>
      </c>
      <c r="I67" s="18" t="n">
        <v>4069.82</v>
      </c>
      <c r="J67" s="18" t="n">
        <v>-634.73</v>
      </c>
      <c r="K67" s="37" t="n">
        <v>9211.4</v>
      </c>
      <c r="L67" s="18" t="n">
        <v>779.5700000000001</v>
      </c>
      <c r="M67" s="18" t="n">
        <v>88170.14999999999</v>
      </c>
      <c r="N67" s="18" t="n">
        <v>-377.57</v>
      </c>
      <c r="O67" s="18" t="n">
        <v>2893.1</v>
      </c>
      <c r="P67" s="37" t="n">
        <v>91465.25</v>
      </c>
      <c r="Q67" s="18" t="n">
        <v>5186.74</v>
      </c>
      <c r="R67" s="18" t="n">
        <v>4379.87</v>
      </c>
      <c r="S67" s="18" t="n">
        <v>2994.91</v>
      </c>
      <c r="T67" s="18" t="n">
        <v>3024.2</v>
      </c>
      <c r="U67" s="37" t="n">
        <v>15585.72</v>
      </c>
      <c r="V67" s="18" t="n">
        <v>6996.09</v>
      </c>
      <c r="W67" s="18" t="n">
        <v>7371.46</v>
      </c>
      <c r="X67" s="18" t="n">
        <v>10036.7</v>
      </c>
      <c r="Y67" s="18" t="n">
        <v>5763.11</v>
      </c>
      <c r="Z67" s="37" t="n">
        <v>30167.36</v>
      </c>
      <c r="AA67" s="18" t="n">
        <v>7881.91</v>
      </c>
      <c r="AB67" s="19" t="n">
        <v>10319.81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225.31</v>
      </c>
      <c r="F68" s="9" t="n"/>
      <c r="G68" s="18" t="n">
        <v>216.45</v>
      </c>
      <c r="H68" s="18" t="n">
        <v>575.9</v>
      </c>
      <c r="I68" s="18" t="n">
        <v>668.35</v>
      </c>
      <c r="J68" s="18" t="n">
        <v>-317.04</v>
      </c>
      <c r="K68" s="37" t="n">
        <v>1143.66</v>
      </c>
      <c r="L68" s="18" t="n">
        <v>155.88</v>
      </c>
      <c r="M68" s="18" t="n">
        <v>19590.32</v>
      </c>
      <c r="N68" s="18" t="n">
        <v>-103.77</v>
      </c>
      <c r="O68" s="18" t="n">
        <v>201.8</v>
      </c>
      <c r="P68" s="37" t="n">
        <v>19844.23</v>
      </c>
      <c r="Q68" s="18" t="n">
        <v>917.33</v>
      </c>
      <c r="R68" s="18" t="n">
        <v>782.4</v>
      </c>
      <c r="S68" s="18" t="n">
        <v>413.34</v>
      </c>
      <c r="T68" s="18" t="n">
        <v>-247.24</v>
      </c>
      <c r="U68" s="37" t="n">
        <v>1865.83</v>
      </c>
      <c r="V68" s="18" t="n">
        <v>1319.39</v>
      </c>
      <c r="W68" s="18" t="n">
        <v>856.95</v>
      </c>
      <c r="X68" s="18" t="n">
        <v>2207.23</v>
      </c>
      <c r="Y68" s="18" t="n">
        <v>294.41</v>
      </c>
      <c r="Z68" s="37" t="n">
        <v>4677.98</v>
      </c>
      <c r="AA68" s="18" t="n">
        <v>1202.04</v>
      </c>
      <c r="AB68" s="19" t="n">
        <v>1956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1396.14</v>
      </c>
      <c r="F69" s="9" t="n"/>
      <c r="G69" s="18" t="n">
        <v>2070.07</v>
      </c>
      <c r="H69" s="18" t="n">
        <v>2913.89</v>
      </c>
      <c r="I69" s="18" t="n">
        <v>3401.48</v>
      </c>
      <c r="J69" s="18" t="n">
        <v>-317.69</v>
      </c>
      <c r="K69" s="37" t="n">
        <v>8067.75</v>
      </c>
      <c r="L69" s="18" t="n">
        <v>623.7</v>
      </c>
      <c r="M69" s="18" t="n">
        <v>68579.84</v>
      </c>
      <c r="N69" s="18" t="n">
        <v>-273.79</v>
      </c>
      <c r="O69" s="18" t="n">
        <v>2691.3</v>
      </c>
      <c r="P69" s="37" t="n">
        <v>71621.05</v>
      </c>
      <c r="Q69" s="18" t="n">
        <v>4269.41</v>
      </c>
      <c r="R69" s="18" t="n">
        <v>3597.47</v>
      </c>
      <c r="S69" s="18" t="n">
        <v>2581.57</v>
      </c>
      <c r="T69" s="18" t="n">
        <v>3271.45</v>
      </c>
      <c r="U69" s="37" t="n">
        <v>13719.9</v>
      </c>
      <c r="V69" s="18" t="n">
        <v>5676.7</v>
      </c>
      <c r="W69" s="18" t="n">
        <v>6514.51</v>
      </c>
      <c r="X69" s="18" t="n">
        <v>7829.47</v>
      </c>
      <c r="Y69" s="18" t="n">
        <v>5468.7</v>
      </c>
      <c r="Z69" s="37" t="n">
        <v>25489.38</v>
      </c>
      <c r="AA69" s="18" t="n">
        <v>6679.87</v>
      </c>
      <c r="AB69" s="19" t="n">
        <v>8363.809999999999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1530.94</v>
      </c>
      <c r="F70" s="9" t="n"/>
      <c r="G70" s="18" t="n">
        <v>2605.29</v>
      </c>
      <c r="H70" s="18" t="n">
        <v>2649.77</v>
      </c>
      <c r="I70" s="18" t="n">
        <v>3698.13</v>
      </c>
      <c r="J70" s="18" t="n">
        <v>-1106.58</v>
      </c>
      <c r="K70" s="37" t="n">
        <v>7846.61</v>
      </c>
      <c r="L70" s="18" t="n">
        <v>957.24</v>
      </c>
      <c r="M70" s="18" t="n">
        <v>68229.42</v>
      </c>
      <c r="N70" s="18" t="n">
        <v>-134.26</v>
      </c>
      <c r="O70" s="18" t="n">
        <v>2536.78</v>
      </c>
      <c r="P70" s="37" t="n">
        <v>71589.17999999999</v>
      </c>
      <c r="Q70" s="18" t="n">
        <v>4292.49</v>
      </c>
      <c r="R70" s="18" t="n">
        <v>3741.72</v>
      </c>
      <c r="S70" s="18" t="n">
        <v>2529.5</v>
      </c>
      <c r="T70" s="18" t="n">
        <v>3675.52</v>
      </c>
      <c r="U70" s="37" t="n">
        <v>14239.23</v>
      </c>
      <c r="V70" s="18" t="n">
        <v>5692.08</v>
      </c>
      <c r="W70" s="18" t="n">
        <v>6084.35</v>
      </c>
      <c r="X70" s="18" t="n">
        <v>8104</v>
      </c>
      <c r="Y70" s="18" t="n">
        <v>5738.7</v>
      </c>
      <c r="Z70" s="37" t="n">
        <v>25619.13</v>
      </c>
      <c r="AA70" s="18" t="n">
        <v>7173.94</v>
      </c>
      <c r="AB70" s="19" t="n">
        <v>8658.98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1396.14</v>
      </c>
      <c r="F71" s="9" t="n"/>
      <c r="G71" s="18" t="n">
        <v>2070.07</v>
      </c>
      <c r="H71" s="18" t="n">
        <v>2913.89</v>
      </c>
      <c r="I71" s="18" t="n">
        <v>3401.48</v>
      </c>
      <c r="J71" s="18" t="n">
        <v>-317.69</v>
      </c>
      <c r="K71" s="37" t="n">
        <v>8067.75</v>
      </c>
      <c r="L71" s="18" t="n">
        <v>623.7</v>
      </c>
      <c r="M71" s="18" t="n">
        <v>68579.84</v>
      </c>
      <c r="N71" s="18" t="n">
        <v>-273.79</v>
      </c>
      <c r="O71" s="18" t="n">
        <v>2691.3</v>
      </c>
      <c r="P71" s="37" t="n">
        <v>71621.05</v>
      </c>
      <c r="Q71" s="18" t="n">
        <v>4269.41</v>
      </c>
      <c r="R71" s="18" t="n">
        <v>3597.47</v>
      </c>
      <c r="S71" s="18" t="n">
        <v>2581.57</v>
      </c>
      <c r="T71" s="18" t="n">
        <v>3271.45</v>
      </c>
      <c r="U71" s="37" t="n">
        <v>13719.9</v>
      </c>
      <c r="V71" s="18" t="n">
        <v>5676.7</v>
      </c>
      <c r="W71" s="18" t="n">
        <v>6514.51</v>
      </c>
      <c r="X71" s="18" t="n">
        <v>7829.47</v>
      </c>
      <c r="Y71" s="18" t="n">
        <v>5468.7</v>
      </c>
      <c r="Z71" s="37" t="n">
        <v>25489.38</v>
      </c>
      <c r="AA71" s="18" t="n">
        <v>6679.87</v>
      </c>
      <c r="AB71" s="19" t="n">
        <v>8363.809999999999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-409.03</v>
      </c>
      <c r="F72" s="9" t="n"/>
      <c r="G72" s="18" t="n">
        <v>-381.21</v>
      </c>
      <c r="H72" s="18" t="n">
        <v>-392.46</v>
      </c>
      <c r="I72" s="18" t="n">
        <v>-394.46</v>
      </c>
      <c r="J72" s="18" t="n">
        <v>2930.02</v>
      </c>
      <c r="K72" s="37" t="n">
        <v>1761.89</v>
      </c>
      <c r="L72" s="18" t="n">
        <v>-301.54</v>
      </c>
      <c r="M72" s="18" t="n">
        <v>-126.87</v>
      </c>
      <c r="N72" s="18" t="n">
        <v>517.64</v>
      </c>
      <c r="O72" s="18" t="n">
        <v>1282.41</v>
      </c>
      <c r="P72" s="37" t="n">
        <v>1371.64</v>
      </c>
      <c r="Q72" s="18" t="n">
        <v>644.73</v>
      </c>
      <c r="R72" s="18" t="n">
        <v>873.77</v>
      </c>
      <c r="S72" s="18" t="n">
        <v>538.71</v>
      </c>
      <c r="T72" s="18" t="n">
        <v>582.59</v>
      </c>
      <c r="U72" s="37" t="n">
        <v>2639.8</v>
      </c>
      <c r="V72" s="18" t="n">
        <v>242.34</v>
      </c>
      <c r="W72" s="18" t="n">
        <v>1131.9</v>
      </c>
      <c r="X72" s="18" t="n">
        <v>409.52</v>
      </c>
      <c r="Y72" s="18" t="n">
        <v>1285.37</v>
      </c>
      <c r="Z72" s="37" t="n">
        <v>3069.13</v>
      </c>
      <c r="AA72" s="18" t="n">
        <v>-294.56</v>
      </c>
      <c r="AB72" s="19" t="n">
        <v>-263.33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1592.76</v>
      </c>
      <c r="F73" s="9" t="n"/>
      <c r="G73" s="18" t="n">
        <v>1548.12</v>
      </c>
      <c r="H73" s="18" t="n">
        <v>862.8099999999999</v>
      </c>
      <c r="I73" s="18" t="n">
        <v>-668.92</v>
      </c>
      <c r="J73" s="18" t="n">
        <v>-2542.13</v>
      </c>
      <c r="K73" s="37" t="n">
        <v>-800.12</v>
      </c>
      <c r="L73" s="18" t="n">
        <v>86.86</v>
      </c>
      <c r="M73" s="18" t="n">
        <v>87017.99000000001</v>
      </c>
      <c r="N73" s="18" t="n">
        <v>-2416.44</v>
      </c>
      <c r="O73" s="18" t="n">
        <v>40.03</v>
      </c>
      <c r="P73" s="37" t="n">
        <v>84728.44</v>
      </c>
      <c r="Q73" s="18" t="n">
        <v>629.24</v>
      </c>
      <c r="R73" s="18" t="n">
        <v>-458.66</v>
      </c>
      <c r="S73" s="18" t="n">
        <v>-733.9</v>
      </c>
      <c r="T73" s="18" t="n">
        <v>-2453.61</v>
      </c>
      <c r="U73" s="37" t="n">
        <v>-3016.93</v>
      </c>
      <c r="V73" s="18" t="n">
        <v>1625.02</v>
      </c>
      <c r="W73" s="18" t="n">
        <v>78.81</v>
      </c>
      <c r="X73" s="18" t="n">
        <v>4186.48</v>
      </c>
      <c r="Y73" s="18" t="n">
        <v>-1064.05</v>
      </c>
      <c r="Z73" s="37" t="n">
        <v>4826.26</v>
      </c>
      <c r="AA73" s="18" t="n">
        <v>2658.09</v>
      </c>
      <c r="AB73" s="19" t="n">
        <v>1389.5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1396.14</v>
      </c>
      <c r="F74" s="9" t="n"/>
      <c r="G74" s="18" t="n">
        <v>2070.07</v>
      </c>
      <c r="H74" s="18" t="n">
        <v>2913.89</v>
      </c>
      <c r="I74" s="18" t="n">
        <v>3401.48</v>
      </c>
      <c r="J74" s="18" t="n">
        <v>-317.69</v>
      </c>
      <c r="K74" s="37" t="n">
        <v>8067.75</v>
      </c>
      <c r="L74" s="18" t="n">
        <v>623.7</v>
      </c>
      <c r="M74" s="18" t="n">
        <v>68579.84</v>
      </c>
      <c r="N74" s="18" t="n">
        <v>-273.79</v>
      </c>
      <c r="O74" s="18" t="n">
        <v>2691.3</v>
      </c>
      <c r="P74" s="37" t="n">
        <v>71621.05</v>
      </c>
      <c r="Q74" s="18" t="n">
        <v>4269.41</v>
      </c>
      <c r="R74" s="18" t="n">
        <v>3597.47</v>
      </c>
      <c r="S74" s="18" t="n">
        <v>2581.57</v>
      </c>
      <c r="T74" s="18" t="n">
        <v>3271.45</v>
      </c>
      <c r="U74" s="37" t="n">
        <v>13719.9</v>
      </c>
      <c r="V74" s="18" t="n">
        <v>5676.7</v>
      </c>
      <c r="W74" s="18" t="n">
        <v>6514.51</v>
      </c>
      <c r="X74" s="18" t="n">
        <v>7829.47</v>
      </c>
      <c r="Y74" s="18" t="n">
        <v>5468.7</v>
      </c>
      <c r="Z74" s="37" t="n">
        <v>25489.38</v>
      </c>
      <c r="AA74" s="18" t="n">
        <v>6679.87</v>
      </c>
      <c r="AB74" s="19" t="n">
        <v>8363.809999999999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금융수익</t>
        </is>
      </c>
      <c r="F75" s="9" t="n"/>
      <c r="K75" s="9" t="n"/>
      <c r="L75" s="18" t="n">
        <v>112.79</v>
      </c>
      <c r="M75" s="18" t="n">
        <v>274.4</v>
      </c>
      <c r="N75" s="18" t="n">
        <v>680.6</v>
      </c>
      <c r="O75" s="18" t="n">
        <v>1445.64</v>
      </c>
      <c r="P75" s="37" t="n">
        <v>2513.43</v>
      </c>
      <c r="Q75" s="18" t="n">
        <v>755.34</v>
      </c>
      <c r="R75" s="18" t="n">
        <v>954.61</v>
      </c>
      <c r="S75" s="18" t="n">
        <v>616.76</v>
      </c>
      <c r="T75" s="18" t="n">
        <v>658.16</v>
      </c>
      <c r="U75" s="37" t="n">
        <v>2984.87</v>
      </c>
      <c r="V75" s="18" t="n">
        <v>326.49</v>
      </c>
      <c r="W75" s="18" t="n">
        <v>1199.23</v>
      </c>
      <c r="X75" s="18" t="n">
        <v>471.7</v>
      </c>
      <c r="Y75" s="18" t="n">
        <v>1343.01</v>
      </c>
      <c r="Z75" s="37" t="n">
        <v>3340.43</v>
      </c>
      <c r="AA75" s="18" t="n">
        <v>51.92</v>
      </c>
      <c r="AB75" s="19" t="n">
        <v>104.1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-1594.38</v>
      </c>
      <c r="F76" s="9" t="n"/>
      <c r="G76" s="18" t="n">
        <v>-4726.18</v>
      </c>
      <c r="H76" s="18" t="n">
        <v>-3550.77</v>
      </c>
      <c r="I76" s="18" t="n">
        <v>5613.14</v>
      </c>
      <c r="J76" s="18" t="n">
        <v>10437.67</v>
      </c>
      <c r="K76" s="37" t="n">
        <v>7773.86</v>
      </c>
      <c r="L76" s="18" t="n">
        <v>2947.9</v>
      </c>
      <c r="M76" s="18" t="n">
        <v>-1969.61</v>
      </c>
      <c r="N76" s="18" t="n">
        <v>-3674.88</v>
      </c>
      <c r="O76" s="18" t="n">
        <v>5893.46</v>
      </c>
      <c r="P76" s="37" t="n">
        <v>3196.87</v>
      </c>
      <c r="Q76" s="18" t="n">
        <v>-25.83</v>
      </c>
      <c r="R76" s="18" t="n">
        <v>10950.22</v>
      </c>
      <c r="S76" s="18" t="n">
        <v>-8615.23</v>
      </c>
      <c r="T76" s="18" t="n">
        <v>-2495.97</v>
      </c>
      <c r="U76" s="37" t="n">
        <v>-186.81</v>
      </c>
      <c r="V76" s="18" t="n">
        <v>3276.21</v>
      </c>
      <c r="W76" s="18" t="n">
        <v>2936.9</v>
      </c>
      <c r="X76" s="18" t="n">
        <v>5767.29</v>
      </c>
      <c r="Y76" s="18" t="n">
        <v>10071.83</v>
      </c>
      <c r="Z76" s="37" t="n">
        <v>22052.23</v>
      </c>
      <c r="AA76" s="18" t="n">
        <v>-4448.87</v>
      </c>
      <c r="AB76" s="19" t="n">
        <v>7103.93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375.82</v>
      </c>
      <c r="F77" s="9" t="n"/>
      <c r="G77" s="18" t="n">
        <v>399.43</v>
      </c>
      <c r="H77" s="18" t="n">
        <v>412.75</v>
      </c>
      <c r="I77" s="18" t="n">
        <v>461.99</v>
      </c>
      <c r="J77" s="18" t="n">
        <v>512.73</v>
      </c>
      <c r="K77" s="37" t="n">
        <v>1786.9</v>
      </c>
      <c r="L77" s="18" t="n">
        <v>484.02</v>
      </c>
      <c r="M77" s="18" t="n">
        <v>484.96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28.51</v>
      </c>
      <c r="F78" s="9" t="n"/>
      <c r="G78" s="18" t="n">
        <v>27.22</v>
      </c>
      <c r="H78" s="18" t="n">
        <v>35.57</v>
      </c>
      <c r="I78" s="18" t="n">
        <v>48.97</v>
      </c>
      <c r="J78" s="18" t="n">
        <v>11.46</v>
      </c>
      <c r="K78" s="37" t="n">
        <v>123.22</v>
      </c>
      <c r="L78" s="18" t="n">
        <v>40.67</v>
      </c>
      <c r="M78" s="18" t="n">
        <v>40.6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1150.38</v>
      </c>
      <c r="F79" s="9" t="n"/>
      <c r="G79" s="18" t="n">
        <v>159.18</v>
      </c>
      <c r="H79" s="18" t="n">
        <v>236.73</v>
      </c>
      <c r="I79" s="18" t="n">
        <v>-3.31</v>
      </c>
      <c r="J79" s="18" t="n">
        <v>2660.03</v>
      </c>
      <c r="K79" s="37" t="n">
        <v>3052.63</v>
      </c>
      <c r="L79" s="18" t="n">
        <v>40.95</v>
      </c>
      <c r="M79" s="18" t="n">
        <v>95.34999999999999</v>
      </c>
      <c r="N79" s="18" t="n">
        <v>370.66</v>
      </c>
      <c r="O79" s="18" t="n">
        <v>346.04</v>
      </c>
      <c r="P79" s="37" t="n">
        <v>853</v>
      </c>
      <c r="Q79" s="18" t="n">
        <v>157.41</v>
      </c>
      <c r="R79" s="18" t="n">
        <v>276.66</v>
      </c>
      <c r="S79" s="18" t="n">
        <v>300.04</v>
      </c>
      <c r="T79" s="18" t="n">
        <v>290.59</v>
      </c>
      <c r="U79" s="37" t="n">
        <v>1024.7</v>
      </c>
      <c r="V79" s="18" t="n">
        <v>75.84</v>
      </c>
      <c r="W79" s="18" t="n">
        <v>518.51</v>
      </c>
      <c r="X79" s="18" t="n">
        <v>74.84999999999999</v>
      </c>
      <c r="Y79" s="18" t="n">
        <v>231.78</v>
      </c>
      <c r="Z79" s="37" t="n">
        <v>900.98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-171.88</v>
      </c>
      <c r="F80" s="9" t="n"/>
      <c r="G80" s="18" t="n">
        <v>-136.85</v>
      </c>
      <c r="H80" s="18" t="n">
        <v>-142.32</v>
      </c>
      <c r="I80" s="18" t="n">
        <v>-23.83</v>
      </c>
      <c r="J80" s="18" t="n">
        <v>9.4</v>
      </c>
      <c r="K80" s="37" t="n">
        <v>-293.6</v>
      </c>
      <c r="L80" s="18" t="n">
        <v>-28.05</v>
      </c>
      <c r="M80" s="18" t="n">
        <v>-1196.82</v>
      </c>
      <c r="N80" s="18" t="n">
        <v>-1265.1</v>
      </c>
      <c r="O80" s="18" t="n">
        <v>-564.62</v>
      </c>
      <c r="P80" s="37" t="n">
        <v>-3054.59</v>
      </c>
      <c r="Q80" s="18" t="n">
        <v>-93.76000000000001</v>
      </c>
      <c r="R80" s="18" t="n">
        <v>-1965.02</v>
      </c>
      <c r="S80" s="18" t="n">
        <v>-13885.96</v>
      </c>
      <c r="T80" s="18" t="n">
        <v>-4906.38</v>
      </c>
      <c r="U80" s="37" t="n">
        <v>-20851.12</v>
      </c>
      <c r="V80" s="18" t="n">
        <v>-769.2</v>
      </c>
      <c r="W80" s="18" t="n">
        <v>-551.72</v>
      </c>
      <c r="X80" s="18" t="n">
        <v>-928.67</v>
      </c>
      <c r="Y80" s="18" t="n">
        <v>-1035.68</v>
      </c>
      <c r="Z80" s="37" t="n">
        <v>-3285.27</v>
      </c>
      <c r="AA80" s="18" t="n">
        <v>-1691.77</v>
      </c>
      <c r="AB80" s="19" t="n">
        <v>-2098.08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2478.68</v>
      </c>
      <c r="F81" s="9" t="n"/>
      <c r="G81" s="18" t="n">
        <v>4163.57</v>
      </c>
      <c r="H81" s="18" t="n">
        <v>6328.05</v>
      </c>
      <c r="I81" s="18" t="n">
        <v>1968.07</v>
      </c>
      <c r="J81" s="18" t="n">
        <v>-2062.69</v>
      </c>
      <c r="K81" s="37" t="n">
        <v>10397</v>
      </c>
      <c r="L81" s="18" t="n">
        <v>1297.51</v>
      </c>
      <c r="M81" s="18" t="n">
        <v>29279.05</v>
      </c>
      <c r="N81" s="18" t="n">
        <v>14944.01</v>
      </c>
      <c r="O81" s="18" t="n">
        <v>-8203.129999999999</v>
      </c>
      <c r="P81" s="37" t="n">
        <v>37317.44</v>
      </c>
      <c r="Q81" s="18" t="n">
        <v>12006.74</v>
      </c>
      <c r="R81" s="18" t="n">
        <v>-3905.9</v>
      </c>
      <c r="S81" s="18" t="n">
        <v>5154.36</v>
      </c>
      <c r="T81" s="18" t="n">
        <v>6323.19</v>
      </c>
      <c r="U81" s="37" t="n">
        <v>19578.39</v>
      </c>
      <c r="V81" s="18" t="n">
        <v>-2853.24</v>
      </c>
      <c r="W81" s="18" t="n">
        <v>8495.92</v>
      </c>
      <c r="X81" s="18" t="n">
        <v>-10091.37</v>
      </c>
      <c r="Y81" s="18" t="n">
        <v>25876.94</v>
      </c>
      <c r="Z81" s="37" t="n">
        <v>21428.25</v>
      </c>
      <c r="AA81" s="18" t="n">
        <v>-74783.14</v>
      </c>
      <c r="AB81" s="19" t="n">
        <v>4765.21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0</v>
      </c>
      <c r="F82" s="9" t="n"/>
      <c r="G82" s="18" t="n">
        <v>6.27</v>
      </c>
      <c r="H82" s="18" t="n">
        <v>6.64</v>
      </c>
      <c r="I82" s="18" t="n">
        <v>0</v>
      </c>
      <c r="J82" s="18" t="n">
        <v>17.32</v>
      </c>
      <c r="K82" s="37" t="n">
        <v>30.23</v>
      </c>
      <c r="L82" s="18" t="n">
        <v>2.36</v>
      </c>
      <c r="M82" s="18" t="n">
        <v>87498.16</v>
      </c>
      <c r="N82" s="18" t="n">
        <v>83.70999999999999</v>
      </c>
      <c r="O82" s="18" t="n">
        <v>30</v>
      </c>
      <c r="P82" s="37" t="n">
        <v>87614.23</v>
      </c>
      <c r="S82" s="18" t="n">
        <v>0.02</v>
      </c>
      <c r="T82" s="18" t="n">
        <v>0.05</v>
      </c>
      <c r="U82" s="9" t="n"/>
      <c r="V82" s="18" t="n">
        <v>0.3</v>
      </c>
      <c r="W82" s="18" t="n">
        <v>16.64</v>
      </c>
      <c r="X82" s="18" t="n">
        <v>52.18</v>
      </c>
      <c r="Z82" s="9" t="n"/>
      <c r="AA82" s="18" t="n">
        <v>43.62</v>
      </c>
      <c r="AB82" s="19" t="n">
        <v>0.16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11421.11</v>
      </c>
      <c r="F83" s="9" t="n"/>
      <c r="G83" s="18" t="n">
        <v>723.4299999999999</v>
      </c>
      <c r="H83" s="18" t="n">
        <v>165.91</v>
      </c>
      <c r="I83" s="18" t="n">
        <v>907.8200000000001</v>
      </c>
      <c r="J83" s="18" t="n">
        <v>1312.85</v>
      </c>
      <c r="K83" s="37" t="n">
        <v>3110.01</v>
      </c>
      <c r="L83" s="18" t="n">
        <v>676.88</v>
      </c>
      <c r="M83" s="18" t="n">
        <v>63.3</v>
      </c>
      <c r="N83" s="18" t="n">
        <v>94.81999999999999</v>
      </c>
      <c r="O83" s="18" t="n">
        <v>676.45</v>
      </c>
      <c r="P83" s="37" t="n">
        <v>1511.45</v>
      </c>
      <c r="Q83" s="18" t="n">
        <v>588.46</v>
      </c>
      <c r="R83" s="18" t="n">
        <v>10118.76</v>
      </c>
      <c r="S83" s="18" t="n">
        <v>1079.08</v>
      </c>
      <c r="T83" s="18" t="n">
        <v>1435.57</v>
      </c>
      <c r="U83" s="37" t="n">
        <v>13221.87</v>
      </c>
      <c r="V83" s="18" t="n">
        <v>821.5700000000001</v>
      </c>
      <c r="W83" s="18" t="n">
        <v>278.56</v>
      </c>
      <c r="X83" s="18" t="n">
        <v>489.34</v>
      </c>
      <c r="Y83" s="18" t="n">
        <v>11628.84</v>
      </c>
      <c r="Z83" s="37" t="n">
        <v>13218.31</v>
      </c>
      <c r="AA83" s="18" t="n">
        <v>97929.17</v>
      </c>
      <c r="AB83" s="19" t="n">
        <v>1501.35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11425.28</v>
      </c>
      <c r="F84" s="9" t="n"/>
      <c r="G84" s="18" t="n">
        <v>778.38</v>
      </c>
      <c r="H84" s="18" t="n">
        <v>575.72</v>
      </c>
      <c r="I84" s="18" t="n">
        <v>952.05</v>
      </c>
      <c r="J84" s="18" t="n">
        <v>1307.1</v>
      </c>
      <c r="K84" s="37" t="n">
        <v>3613.25</v>
      </c>
      <c r="L84" s="18" t="n">
        <v>686.0599999999999</v>
      </c>
      <c r="M84" s="18" t="n">
        <v>68.67</v>
      </c>
      <c r="N84" s="18" t="n">
        <v>98.08</v>
      </c>
      <c r="O84" s="18" t="n">
        <v>700.4400000000001</v>
      </c>
      <c r="P84" s="37" t="n">
        <v>1553.25</v>
      </c>
      <c r="Q84" s="18" t="n">
        <v>618.96</v>
      </c>
      <c r="R84" s="18" t="n">
        <v>10202.13</v>
      </c>
      <c r="S84" s="18" t="n">
        <v>1081.78</v>
      </c>
      <c r="T84" s="18" t="n">
        <v>1471.13</v>
      </c>
      <c r="U84" s="37" t="n">
        <v>13374</v>
      </c>
      <c r="V84" s="18" t="n">
        <v>826.8099999999999</v>
      </c>
      <c r="W84" s="18" t="n">
        <v>382.89</v>
      </c>
      <c r="X84" s="18" t="n">
        <v>501.42</v>
      </c>
      <c r="Y84" s="18" t="n">
        <v>11818.04</v>
      </c>
      <c r="Z84" s="37" t="n">
        <v>13529.16</v>
      </c>
      <c r="AA84" s="18" t="n">
        <v>97954.36</v>
      </c>
      <c r="AB84" s="19" t="n">
        <v>1561.85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4.17</v>
      </c>
      <c r="F85" s="9" t="n"/>
      <c r="G85" s="18" t="n">
        <v>54.95</v>
      </c>
      <c r="H85" s="18" t="n">
        <v>409.81</v>
      </c>
      <c r="I85" s="18" t="n">
        <v>44.23</v>
      </c>
      <c r="K85" s="9" t="n"/>
      <c r="L85" s="18" t="n">
        <v>9.18</v>
      </c>
      <c r="M85" s="18" t="n">
        <v>5.37</v>
      </c>
      <c r="N85" s="18" t="n">
        <v>3.26</v>
      </c>
      <c r="O85" s="18" t="n">
        <v>23.99</v>
      </c>
      <c r="P85" s="37" t="n">
        <v>41.8</v>
      </c>
      <c r="Q85" s="18" t="n">
        <v>30.5</v>
      </c>
      <c r="R85" s="18" t="n">
        <v>83.37</v>
      </c>
      <c r="S85" s="18" t="n">
        <v>2.7</v>
      </c>
      <c r="T85" s="18" t="n">
        <v>35.56</v>
      </c>
      <c r="U85" s="37" t="n">
        <v>152.13</v>
      </c>
      <c r="V85" s="18" t="n">
        <v>5.24</v>
      </c>
      <c r="W85" s="18" t="n">
        <v>104.33</v>
      </c>
      <c r="X85" s="18" t="n">
        <v>12.08</v>
      </c>
      <c r="Y85" s="18" t="n">
        <v>189.2</v>
      </c>
      <c r="Z85" s="37" t="n">
        <v>310.85</v>
      </c>
      <c r="AA85" s="18" t="n">
        <v>25.19</v>
      </c>
      <c r="AB85" s="19" t="n">
        <v>60.5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-2642.76</v>
      </c>
      <c r="F86" s="9" t="n"/>
      <c r="G86" s="18" t="n">
        <v>-819.45</v>
      </c>
      <c r="H86" s="18" t="n">
        <v>-1771.35</v>
      </c>
      <c r="I86" s="18" t="n">
        <v>-7476.15</v>
      </c>
      <c r="J86" s="18" t="n">
        <v>-4387.91</v>
      </c>
      <c r="K86" s="37" t="n">
        <v>-14454.86</v>
      </c>
      <c r="L86" s="18" t="n">
        <v>-8574.129999999999</v>
      </c>
      <c r="M86" s="18" t="n">
        <v>-31004.96</v>
      </c>
      <c r="N86" s="18" t="n">
        <v>-94.11</v>
      </c>
      <c r="O86" s="18" t="n">
        <v>-6694.72</v>
      </c>
      <c r="P86" s="37" t="n">
        <v>-46367.92</v>
      </c>
      <c r="Q86" s="18" t="n">
        <v>-12855.98</v>
      </c>
      <c r="R86" s="18" t="n">
        <v>-5262.99</v>
      </c>
      <c r="S86" s="18" t="n">
        <v>-992.92</v>
      </c>
      <c r="T86" s="18" t="n">
        <v>-398.18</v>
      </c>
      <c r="U86" s="37" t="n">
        <v>-19510.07</v>
      </c>
      <c r="V86" s="18" t="n">
        <v>1792.73</v>
      </c>
      <c r="W86" s="18" t="n">
        <v>-449.77</v>
      </c>
      <c r="X86" s="18" t="n">
        <v>-518.01</v>
      </c>
      <c r="Y86" s="18" t="n">
        <v>1.83</v>
      </c>
      <c r="Z86" s="37" t="n">
        <v>826.78</v>
      </c>
      <c r="AA86" s="18" t="n">
        <v>52524.33</v>
      </c>
      <c r="AB86" s="19" t="n">
        <v>-12904.96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13089.04</v>
      </c>
      <c r="F87" s="9" t="n"/>
      <c r="G87" s="18" t="n">
        <v>100</v>
      </c>
      <c r="H87" s="18" t="n">
        <v>10567.93</v>
      </c>
      <c r="I87" s="18" t="n">
        <v>15129.47</v>
      </c>
      <c r="J87" s="18" t="n">
        <v>554.42</v>
      </c>
      <c r="K87" s="37" t="n">
        <v>26351.82</v>
      </c>
      <c r="L87" s="18" t="n">
        <v>9300</v>
      </c>
      <c r="M87" s="18" t="n">
        <v>0</v>
      </c>
      <c r="N87" s="18" t="n">
        <v>0</v>
      </c>
      <c r="O87" s="18" t="n">
        <v>0</v>
      </c>
      <c r="P87" s="37" t="n">
        <v>9300</v>
      </c>
      <c r="T87" s="18" t="n">
        <v>898.78</v>
      </c>
      <c r="U87" s="9" t="n"/>
      <c r="V87" s="18" t="n">
        <v>961.85</v>
      </c>
      <c r="W87" s="18" t="n">
        <v>784.39</v>
      </c>
      <c r="X87" s="18" t="n">
        <v>444.11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K88" s="9" t="n"/>
      <c r="P88" s="9" t="n"/>
      <c r="U88" s="9" t="n"/>
      <c r="X88" s="18" t="n">
        <v>500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15700</v>
      </c>
      <c r="F90" s="9" t="n"/>
      <c r="G90" s="18" t="n">
        <v>554.15</v>
      </c>
      <c r="H90" s="18" t="n">
        <v>9445.85</v>
      </c>
      <c r="I90" s="18" t="n">
        <v>19700</v>
      </c>
      <c r="J90" s="18" t="n">
        <v>4000</v>
      </c>
      <c r="K90" s="37" t="n">
        <v>33700</v>
      </c>
      <c r="L90" s="18" t="n">
        <v>11697.24</v>
      </c>
      <c r="M90" s="18" t="n">
        <v>18619.24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31.93</v>
      </c>
      <c r="F91" s="9" t="n"/>
      <c r="G91" s="18" t="n">
        <v>31.93</v>
      </c>
      <c r="H91" s="18" t="n">
        <v>32.62</v>
      </c>
      <c r="I91" s="18" t="n">
        <v>34.78</v>
      </c>
      <c r="K91" s="9" t="n"/>
      <c r="O91" s="18" t="n">
        <v>29.45</v>
      </c>
      <c r="P91" s="9" t="n"/>
      <c r="Q91" s="18" t="n">
        <v>25.26</v>
      </c>
      <c r="R91" s="18" t="n">
        <v>8.82</v>
      </c>
      <c r="U91" s="9" t="n"/>
      <c r="Z91" s="9" t="n"/>
      <c r="AA91" s="18" t="n">
        <v>3.41</v>
      </c>
      <c r="AB91" s="19" t="n">
        <v>1.33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-1758.46</v>
      </c>
      <c r="F92" s="9" t="n"/>
      <c r="G92" s="18" t="n">
        <v>-1382.06</v>
      </c>
      <c r="H92" s="18" t="n">
        <v>1005.92</v>
      </c>
      <c r="I92" s="18" t="n">
        <v>105.06</v>
      </c>
      <c r="J92" s="18" t="n">
        <v>3987.08</v>
      </c>
      <c r="K92" s="37" t="n">
        <v>3716</v>
      </c>
      <c r="L92" s="18" t="n">
        <v>-4328.72</v>
      </c>
      <c r="M92" s="18" t="n">
        <v>-3695.52</v>
      </c>
      <c r="N92" s="18" t="n">
        <v>11175.02</v>
      </c>
      <c r="O92" s="18" t="n">
        <v>-9004.379999999999</v>
      </c>
      <c r="P92" s="37" t="n">
        <v>-5853.6</v>
      </c>
      <c r="Q92" s="18" t="n">
        <v>-875.08</v>
      </c>
      <c r="R92" s="18" t="n">
        <v>1781.34</v>
      </c>
      <c r="S92" s="18" t="n">
        <v>-4453.79</v>
      </c>
      <c r="T92" s="18" t="n">
        <v>3429.04</v>
      </c>
      <c r="U92" s="37" t="n">
        <v>-118.49</v>
      </c>
      <c r="V92" s="18" t="n">
        <v>2215.7</v>
      </c>
      <c r="W92" s="18" t="n">
        <v>10983.05</v>
      </c>
      <c r="X92" s="18" t="n">
        <v>-4842.08</v>
      </c>
      <c r="Y92" s="18" t="n">
        <v>35950.6</v>
      </c>
      <c r="Z92" s="37" t="n">
        <v>44307.27</v>
      </c>
      <c r="AA92" s="18" t="n">
        <v>-26707.68</v>
      </c>
      <c r="AB92" s="19" t="n">
        <v>-1035.82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-1879.43</v>
      </c>
      <c r="F93" s="9" t="n"/>
      <c r="G93" s="18" t="n">
        <v>9202.709999999999</v>
      </c>
      <c r="H93" s="18" t="n">
        <v>995.6799999999999</v>
      </c>
      <c r="I93" s="18" t="n">
        <v>232.28</v>
      </c>
      <c r="J93" s="18" t="n">
        <v>3633.3</v>
      </c>
      <c r="K93" s="37" t="n">
        <v>14063.97</v>
      </c>
      <c r="L93" s="18" t="n">
        <v>9797.450000000001</v>
      </c>
      <c r="M93" s="18" t="n">
        <v>-3756.73</v>
      </c>
      <c r="N93" s="18" t="n">
        <v>11206.79</v>
      </c>
      <c r="O93" s="18" t="n">
        <v>-9075.52</v>
      </c>
      <c r="P93" s="37" t="n">
        <v>8171.99</v>
      </c>
      <c r="Q93" s="18" t="n">
        <v>7237.38</v>
      </c>
      <c r="R93" s="18" t="n">
        <v>1904.97</v>
      </c>
      <c r="S93" s="18" t="n">
        <v>-4492.86</v>
      </c>
      <c r="T93" s="18" t="n">
        <v>3575.76</v>
      </c>
      <c r="U93" s="37" t="n">
        <v>8225.25</v>
      </c>
      <c r="V93" s="18" t="n">
        <v>10464.41</v>
      </c>
      <c r="W93" s="18" t="n">
        <v>10804.88</v>
      </c>
      <c r="X93" s="18" t="n">
        <v>-4692.11</v>
      </c>
      <c r="Y93" s="18" t="n">
        <v>35805.11</v>
      </c>
      <c r="Z93" s="37" t="n">
        <v>52382.29</v>
      </c>
      <c r="AA93" s="18" t="n">
        <v>25905.37</v>
      </c>
      <c r="AB93" s="19" t="n">
        <v>-1016.54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G94" s="18" t="n">
        <v>333.36</v>
      </c>
      <c r="H94" s="18" t="n">
        <v>1005.82</v>
      </c>
      <c r="I94" s="18" t="n">
        <v>1008.31</v>
      </c>
      <c r="J94" s="18" t="n">
        <v>1008.31</v>
      </c>
      <c r="K94" s="37" t="n">
        <v>3355.8</v>
      </c>
      <c r="L94" s="18" t="n">
        <v>6008.31</v>
      </c>
      <c r="M94" s="18" t="n">
        <v>10403.31</v>
      </c>
      <c r="N94" s="18" t="n">
        <v>710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I95" s="18" t="n">
        <v>1862.53</v>
      </c>
      <c r="J95" s="18" t="n">
        <v>587.3099999999999</v>
      </c>
      <c r="K95" s="9" t="n"/>
      <c r="L95" s="18" t="n">
        <v>311.94</v>
      </c>
      <c r="M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1028.35</v>
      </c>
      <c r="P96" s="9" t="n"/>
      <c r="Q96" s="18" t="n">
        <v>621.61</v>
      </c>
      <c r="R96" s="18" t="n">
        <v>716.9400000000001</v>
      </c>
      <c r="S96" s="18" t="n">
        <v>347.49</v>
      </c>
      <c r="T96" s="18" t="n">
        <v>422.52</v>
      </c>
      <c r="U96" s="37" t="n">
        <v>2108.56</v>
      </c>
      <c r="V96" s="18" t="n">
        <v>305.44</v>
      </c>
      <c r="W96" s="18" t="n">
        <v>265.98</v>
      </c>
      <c r="X96" s="18" t="n">
        <v>565.61</v>
      </c>
      <c r="Y96" s="18" t="n">
        <v>1391.12</v>
      </c>
      <c r="Z96" s="37" t="n">
        <v>2528.15</v>
      </c>
      <c r="AA96" s="18" t="n">
        <v>87.83</v>
      </c>
      <c r="AB96" s="19" t="n">
        <v>37.87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F97" s="9" t="n"/>
      <c r="K97" s="9" t="n"/>
      <c r="P97" s="9" t="n"/>
      <c r="Q97" s="18" t="n">
        <v>13083.93</v>
      </c>
      <c r="R97" s="18" t="n">
        <v>710</v>
      </c>
      <c r="U97" s="9" t="n"/>
      <c r="V97" s="18" t="n">
        <v>1118.81</v>
      </c>
      <c r="W97" s="18" t="n">
        <v>1671.85</v>
      </c>
      <c r="X97" s="18" t="n">
        <v>1494.39</v>
      </c>
      <c r="Y97" s="18" t="n">
        <v>1154.11</v>
      </c>
      <c r="Z97" s="37" t="n">
        <v>5439.16</v>
      </c>
      <c r="AA97" s="18" t="n">
        <v>7830</v>
      </c>
      <c r="AB97" s="19" t="n">
        <v>5235.61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이자지급(CF)</t>
        </is>
      </c>
      <c r="F98" s="9" t="n"/>
      <c r="K98" s="9" t="n"/>
      <c r="P98" s="9" t="n"/>
      <c r="U98" s="9" t="n"/>
      <c r="Z98" s="9" t="n"/>
      <c r="AA98" s="18" t="n">
        <v>-272.93</v>
      </c>
      <c r="AB98" s="19" t="n">
        <v>-374.8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차입금의증가</t>
        </is>
      </c>
      <c r="F99" s="9" t="n"/>
      <c r="K99" s="9" t="n"/>
      <c r="P99" s="9" t="n"/>
      <c r="U99" s="9" t="n"/>
      <c r="Z99" s="9" t="n"/>
      <c r="AA99" s="18" t="n">
        <v>60369.43</v>
      </c>
      <c r="AB99" s="19" t="n">
        <v>1546.31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한라IMS(별)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53460.46</v>
      </c>
      <c r="F5" s="37" t="n">
        <v>53460.46</v>
      </c>
      <c r="G5" s="18" t="n">
        <v>59848.63</v>
      </c>
      <c r="H5" s="18" t="n">
        <v>63397.91</v>
      </c>
      <c r="I5" s="18" t="n">
        <v>61700.82</v>
      </c>
      <c r="J5" s="18" t="n">
        <v>55727.19</v>
      </c>
      <c r="K5" s="37" t="n">
        <v>55727.19</v>
      </c>
      <c r="L5" s="18" t="n">
        <v>50559.97</v>
      </c>
      <c r="M5" s="18" t="n">
        <v>128912.08</v>
      </c>
      <c r="N5" s="18" t="n">
        <v>112988.3</v>
      </c>
      <c r="O5" s="18" t="n">
        <v>116125.93</v>
      </c>
      <c r="P5" s="37" t="n">
        <v>116125.93</v>
      </c>
      <c r="Q5" s="18" t="n">
        <v>116561.02</v>
      </c>
      <c r="R5" s="18" t="n">
        <v>102260.02</v>
      </c>
      <c r="S5" s="18" t="n">
        <v>94306.94</v>
      </c>
      <c r="T5" s="18" t="n">
        <v>121188.79</v>
      </c>
      <c r="U5" s="37" t="n">
        <v>121188.79</v>
      </c>
      <c r="V5" s="18" t="n">
        <v>125019.68</v>
      </c>
      <c r="W5" s="18" t="n">
        <v>103412.85</v>
      </c>
      <c r="X5" s="18" t="n">
        <v>93039.85000000001</v>
      </c>
      <c r="Y5" s="18" t="n">
        <v>125390.94</v>
      </c>
      <c r="Z5" s="37" t="n">
        <v>125390.94</v>
      </c>
      <c r="AA5" s="18" t="n">
        <v>106625.72</v>
      </c>
      <c r="AB5" s="19" t="n">
        <v>101540.62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9012.41</v>
      </c>
      <c r="F6" s="37" t="n">
        <v>9012.41</v>
      </c>
      <c r="G6" s="18" t="n">
        <v>7661.12</v>
      </c>
      <c r="H6" s="18" t="n">
        <v>8231.799999999999</v>
      </c>
      <c r="I6" s="18" t="n">
        <v>7927.58</v>
      </c>
      <c r="J6" s="18" t="n">
        <v>12730.14</v>
      </c>
      <c r="K6" s="37" t="n">
        <v>12730.14</v>
      </c>
      <c r="L6" s="18" t="n">
        <v>8333.639999999999</v>
      </c>
      <c r="M6" s="18" t="n">
        <v>4624.41</v>
      </c>
      <c r="N6" s="18" t="n">
        <v>15462.02</v>
      </c>
      <c r="O6" s="18" t="n">
        <v>7469.18</v>
      </c>
      <c r="P6" s="37" t="n">
        <v>7469.18</v>
      </c>
      <c r="Q6" s="18" t="n">
        <v>6303.31</v>
      </c>
      <c r="R6" s="18" t="n">
        <v>8380.68</v>
      </c>
      <c r="S6" s="18" t="n">
        <v>3394.05</v>
      </c>
      <c r="T6" s="18" t="n">
        <v>6652.09</v>
      </c>
      <c r="U6" s="37" t="n">
        <v>6652.09</v>
      </c>
      <c r="V6" s="18" t="n">
        <v>8682.08</v>
      </c>
      <c r="W6" s="18" t="n">
        <v>20047.95</v>
      </c>
      <c r="X6" s="18" t="n">
        <v>14833.48</v>
      </c>
      <c r="Y6" s="18" t="n">
        <v>49685.02</v>
      </c>
      <c r="Z6" s="37" t="n">
        <v>49685.02</v>
      </c>
      <c r="AA6" s="18" t="n">
        <v>24011.79</v>
      </c>
      <c r="AB6" s="19" t="n">
        <v>21932.5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1440</v>
      </c>
      <c r="F7" s="37" t="n">
        <v>1440</v>
      </c>
      <c r="G7" s="18" t="n">
        <v>1440</v>
      </c>
      <c r="H7" s="18" t="n">
        <v>1440</v>
      </c>
      <c r="I7" s="18" t="n">
        <v>1300</v>
      </c>
      <c r="J7" s="18" t="n">
        <v>1762.72</v>
      </c>
      <c r="K7" s="37" t="n">
        <v>1762.72</v>
      </c>
      <c r="L7" s="18" t="n">
        <v>1454.19</v>
      </c>
      <c r="M7" s="18" t="n">
        <v>19300</v>
      </c>
      <c r="N7" s="18" t="n">
        <v>19300</v>
      </c>
      <c r="O7" s="18" t="n">
        <v>22821.54</v>
      </c>
      <c r="P7" s="37" t="n">
        <v>22821.54</v>
      </c>
      <c r="Q7" s="18" t="n">
        <v>4147.25</v>
      </c>
      <c r="R7" s="18" t="n">
        <v>4147.67</v>
      </c>
      <c r="S7" s="18" t="n">
        <v>4148.1</v>
      </c>
      <c r="T7" s="18" t="n">
        <v>7298.49</v>
      </c>
      <c r="U7" s="37" t="n">
        <v>7298.49</v>
      </c>
      <c r="V7" s="18" t="n">
        <v>6279.87</v>
      </c>
      <c r="W7" s="18" t="n">
        <v>4250</v>
      </c>
      <c r="X7" s="18" t="n">
        <v>4250</v>
      </c>
      <c r="Y7" s="18" t="n">
        <v>4250</v>
      </c>
      <c r="Z7" s="37" t="n">
        <v>4250</v>
      </c>
      <c r="AA7" s="18" t="n">
        <v>1300</v>
      </c>
      <c r="AB7" s="19" t="n">
        <v>1300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1440</v>
      </c>
      <c r="F8" s="37" t="n">
        <v>1440</v>
      </c>
      <c r="G8" s="18" t="n">
        <v>1440</v>
      </c>
      <c r="H8" s="18" t="n">
        <v>1440</v>
      </c>
      <c r="I8" s="18" t="n">
        <v>1300</v>
      </c>
      <c r="J8" s="18" t="n">
        <v>1762.72</v>
      </c>
      <c r="K8" s="37" t="n">
        <v>1762.72</v>
      </c>
      <c r="L8" s="18" t="n">
        <v>1454.19</v>
      </c>
      <c r="M8" s="18" t="n">
        <v>19300</v>
      </c>
      <c r="N8" s="18" t="n">
        <v>19300</v>
      </c>
      <c r="O8" s="18" t="n">
        <v>22821.54</v>
      </c>
      <c r="P8" s="37" t="n">
        <v>22821.54</v>
      </c>
      <c r="Q8" s="18" t="n">
        <v>4147.25</v>
      </c>
      <c r="R8" s="18" t="n">
        <v>4147.67</v>
      </c>
      <c r="S8" s="18" t="n">
        <v>4148.1</v>
      </c>
      <c r="T8" s="18" t="n">
        <v>7298.49</v>
      </c>
      <c r="U8" s="37" t="n">
        <v>7298.49</v>
      </c>
      <c r="V8" s="18" t="n">
        <v>6279.87</v>
      </c>
      <c r="W8" s="18" t="n">
        <v>4250</v>
      </c>
      <c r="X8" s="18" t="n">
        <v>4250</v>
      </c>
      <c r="Y8" s="18" t="n">
        <v>4250</v>
      </c>
      <c r="Z8" s="37" t="n">
        <v>4250</v>
      </c>
      <c r="AA8" s="18" t="n">
        <v>1300</v>
      </c>
      <c r="AB8" s="19" t="n">
        <v>1300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7759.32</v>
      </c>
      <c r="F9" s="37" t="n">
        <v>7759.32</v>
      </c>
      <c r="G9" s="18" t="n">
        <v>10581.37</v>
      </c>
      <c r="H9" s="18" t="n">
        <v>14016.6</v>
      </c>
      <c r="I9" s="18" t="n">
        <v>13517.74</v>
      </c>
      <c r="J9" s="18" t="n">
        <v>11816.19</v>
      </c>
      <c r="K9" s="37" t="n">
        <v>11816.19</v>
      </c>
      <c r="L9" s="18" t="n">
        <v>10680.43</v>
      </c>
      <c r="M9" s="18" t="n">
        <v>7180.08</v>
      </c>
      <c r="N9" s="18" t="n">
        <v>8689</v>
      </c>
      <c r="O9" s="18" t="n">
        <v>8568.98</v>
      </c>
      <c r="P9" s="37" t="n">
        <v>8568.98</v>
      </c>
      <c r="Q9" s="18" t="n">
        <v>10080.51</v>
      </c>
      <c r="R9" s="18" t="n">
        <v>11573.03</v>
      </c>
      <c r="S9" s="18" t="n">
        <v>9406.84</v>
      </c>
      <c r="T9" s="18" t="n">
        <v>16629.51</v>
      </c>
      <c r="U9" s="37" t="n">
        <v>16629.51</v>
      </c>
      <c r="V9" s="18" t="n">
        <v>16022.89</v>
      </c>
      <c r="W9" s="18" t="n">
        <v>17769.97</v>
      </c>
      <c r="X9" s="18" t="n">
        <v>17178.48</v>
      </c>
      <c r="Y9" s="18" t="n">
        <v>20986.88</v>
      </c>
      <c r="Z9" s="37" t="n">
        <v>20986.88</v>
      </c>
      <c r="AA9" s="18" t="n">
        <v>23850.93</v>
      </c>
      <c r="AB9" s="19" t="n">
        <v>22959.6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13685.51</v>
      </c>
      <c r="F10" s="37" t="n">
        <v>13685.51</v>
      </c>
      <c r="G10" s="18" t="n">
        <v>16745.6</v>
      </c>
      <c r="H10" s="18" t="n">
        <v>20546.79</v>
      </c>
      <c r="I10" s="18" t="n">
        <v>19996.9</v>
      </c>
      <c r="J10" s="18" t="n">
        <v>18545.75</v>
      </c>
      <c r="K10" s="37" t="n">
        <v>18545.75</v>
      </c>
      <c r="L10" s="18" t="n">
        <v>20217.89</v>
      </c>
      <c r="M10" s="18" t="n">
        <v>21409.47</v>
      </c>
      <c r="N10" s="18" t="n">
        <v>22569.35</v>
      </c>
      <c r="O10" s="18" t="n">
        <v>23545.04</v>
      </c>
      <c r="P10" s="37" t="n">
        <v>23545.04</v>
      </c>
      <c r="Q10" s="18" t="n">
        <v>22285.43</v>
      </c>
      <c r="R10" s="18" t="n">
        <v>19832.84</v>
      </c>
      <c r="S10" s="18" t="n">
        <v>22001.45</v>
      </c>
      <c r="T10" s="18" t="n">
        <v>23081.5</v>
      </c>
      <c r="U10" s="37" t="n">
        <v>23081.5</v>
      </c>
      <c r="V10" s="18" t="n">
        <v>27241.31</v>
      </c>
      <c r="W10" s="18" t="n">
        <v>27538.38</v>
      </c>
      <c r="X10" s="18" t="n">
        <v>29764.1</v>
      </c>
      <c r="Y10" s="18" t="n">
        <v>29107.59</v>
      </c>
      <c r="Z10" s="37" t="n">
        <v>29107.59</v>
      </c>
      <c r="AA10" s="18" t="n">
        <v>32742.08</v>
      </c>
      <c r="AB10" s="19" t="n">
        <v>37287.53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118.78</v>
      </c>
      <c r="F11" s="37" t="n">
        <v>118.78</v>
      </c>
      <c r="G11" s="18" t="n">
        <v>118.78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2911.78</v>
      </c>
      <c r="F12" s="37" t="n">
        <v>2911.78</v>
      </c>
      <c r="G12" s="18" t="n">
        <v>8485.52</v>
      </c>
      <c r="H12" s="18" t="n">
        <v>8972.16</v>
      </c>
      <c r="I12" s="18" t="n">
        <v>8734.030000000001</v>
      </c>
      <c r="J12" s="18" t="n">
        <v>3850.69</v>
      </c>
      <c r="K12" s="37" t="n">
        <v>3850.69</v>
      </c>
      <c r="L12" s="18" t="n">
        <v>4121.17</v>
      </c>
      <c r="M12" s="18" t="n">
        <v>6728.8</v>
      </c>
      <c r="N12" s="18" t="n">
        <v>8006.39</v>
      </c>
      <c r="O12" s="18" t="n">
        <v>7075.94</v>
      </c>
      <c r="P12" s="37" t="n">
        <v>7075.94</v>
      </c>
      <c r="Q12" s="18" t="n">
        <v>19974.19</v>
      </c>
      <c r="R12" s="18" t="n">
        <v>11131.56</v>
      </c>
      <c r="S12" s="18" t="n">
        <v>11410.4</v>
      </c>
      <c r="T12" s="18" t="n">
        <v>10123.43</v>
      </c>
      <c r="U12" s="37" t="n">
        <v>10123.43</v>
      </c>
      <c r="V12" s="18" t="n">
        <v>11416.09</v>
      </c>
      <c r="W12" s="18" t="n">
        <v>9210.940000000001</v>
      </c>
      <c r="X12" s="18" t="n">
        <v>10090.34</v>
      </c>
      <c r="Y12" s="18" t="n">
        <v>9355.83</v>
      </c>
      <c r="Z12" s="37" t="n">
        <v>9355.83</v>
      </c>
      <c r="AA12" s="18" t="n">
        <v>13125.77</v>
      </c>
      <c r="AB12" s="19" t="n">
        <v>10983.6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120253.04</v>
      </c>
      <c r="F13" s="37" t="n">
        <v>120253.04</v>
      </c>
      <c r="G13" s="18" t="n">
        <v>121134.07</v>
      </c>
      <c r="H13" s="18" t="n">
        <v>121374.26</v>
      </c>
      <c r="I13" s="18" t="n">
        <v>118432.17</v>
      </c>
      <c r="J13" s="18" t="n">
        <v>120410.93</v>
      </c>
      <c r="K13" s="37" t="n">
        <v>120410.93</v>
      </c>
      <c r="L13" s="18" t="n">
        <v>119820.74</v>
      </c>
      <c r="M13" s="18" t="n">
        <v>95029.72</v>
      </c>
      <c r="N13" s="18" t="n">
        <v>108649.41</v>
      </c>
      <c r="O13" s="18" t="n">
        <v>103801.96</v>
      </c>
      <c r="P13" s="37" t="n">
        <v>103801.96</v>
      </c>
      <c r="Q13" s="18" t="n">
        <v>102224.87</v>
      </c>
      <c r="R13" s="18" t="n">
        <v>111998.54</v>
      </c>
      <c r="S13" s="18" t="n">
        <v>108378.65</v>
      </c>
      <c r="T13" s="18" t="n">
        <v>84107.22</v>
      </c>
      <c r="U13" s="37" t="n">
        <v>84107.22</v>
      </c>
      <c r="V13" s="18" t="n">
        <v>90666.14999999999</v>
      </c>
      <c r="W13" s="18" t="n">
        <v>114151.91</v>
      </c>
      <c r="X13" s="18" t="n">
        <v>133547.76</v>
      </c>
      <c r="Y13" s="18" t="n">
        <v>111886.73</v>
      </c>
      <c r="Z13" s="37" t="n">
        <v>111886.73</v>
      </c>
      <c r="AA13" s="18" t="n">
        <v>190630</v>
      </c>
      <c r="AB13" s="19" t="n">
        <v>190103.31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675.96</v>
      </c>
      <c r="F14" s="37" t="n">
        <v>675.96</v>
      </c>
      <c r="G14" s="18" t="n">
        <v>642.09</v>
      </c>
      <c r="H14" s="18" t="n">
        <v>819.9</v>
      </c>
      <c r="I14" s="18" t="n">
        <v>896.13</v>
      </c>
      <c r="K14" s="9" t="n"/>
      <c r="N14" s="18" t="n">
        <v>38811.9</v>
      </c>
      <c r="O14" s="18" t="n">
        <v>36365.35</v>
      </c>
      <c r="P14" s="37" t="n">
        <v>36365.35</v>
      </c>
      <c r="Q14" s="18" t="n">
        <v>34756.86</v>
      </c>
      <c r="R14" s="18" t="n">
        <v>34563.74</v>
      </c>
      <c r="S14" s="18" t="n">
        <v>30365.43</v>
      </c>
      <c r="T14" s="18" t="n">
        <v>4000.38</v>
      </c>
      <c r="U14" s="37" t="n">
        <v>4000.38</v>
      </c>
      <c r="V14" s="18" t="n">
        <v>10212.05</v>
      </c>
      <c r="W14" s="18" t="n">
        <v>34034.66</v>
      </c>
      <c r="X14" s="18" t="n">
        <v>54750.06</v>
      </c>
      <c r="Y14" s="18" t="n">
        <v>20797.37</v>
      </c>
      <c r="Z14" s="37" t="n">
        <v>20797.37</v>
      </c>
      <c r="AA14" s="18" t="n">
        <v>2713.55</v>
      </c>
      <c r="AB14" s="19" t="n">
        <v>1521.44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7697.52</v>
      </c>
      <c r="F15" s="37" t="n">
        <v>7697.52</v>
      </c>
      <c r="G15" s="18" t="n">
        <v>7663.65</v>
      </c>
      <c r="H15" s="18" t="n">
        <v>7841.46</v>
      </c>
      <c r="I15" s="18" t="n">
        <v>7917.69</v>
      </c>
      <c r="J15" s="18" t="n">
        <v>6205.02</v>
      </c>
      <c r="K15" s="37" t="n">
        <v>6205.02</v>
      </c>
      <c r="L15" s="18" t="n">
        <v>6205.02</v>
      </c>
      <c r="M15" s="18" t="n">
        <v>6205.02</v>
      </c>
      <c r="N15" s="18" t="n">
        <v>45016.92</v>
      </c>
      <c r="O15" s="18" t="n">
        <v>40678.79</v>
      </c>
      <c r="P15" s="37" t="n">
        <v>40678.79</v>
      </c>
      <c r="Q15" s="18" t="n">
        <v>39070.3</v>
      </c>
      <c r="R15" s="18" t="n">
        <v>38877.18</v>
      </c>
      <c r="S15" s="18" t="n">
        <v>34678.87</v>
      </c>
      <c r="T15" s="18" t="n">
        <v>8313.82</v>
      </c>
      <c r="U15" s="37" t="n">
        <v>8313.82</v>
      </c>
      <c r="V15" s="18" t="n">
        <v>14525.49</v>
      </c>
      <c r="W15" s="18" t="n">
        <v>38348.1</v>
      </c>
      <c r="X15" s="18" t="n">
        <v>59063.5</v>
      </c>
      <c r="Y15" s="18" t="n">
        <v>25110.81</v>
      </c>
      <c r="Z15" s="37" t="n">
        <v>25110.81</v>
      </c>
      <c r="AA15" s="18" t="n">
        <v>7026.99</v>
      </c>
      <c r="AB15" s="19" t="n">
        <v>5834.88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37.63</v>
      </c>
      <c r="F16" s="37" t="n">
        <v>37.63</v>
      </c>
      <c r="G16" s="18" t="n">
        <v>37.63</v>
      </c>
      <c r="H16" s="18" t="n">
        <v>47.63</v>
      </c>
      <c r="I16" s="18" t="n">
        <v>47.63</v>
      </c>
      <c r="J16" s="18" t="n">
        <v>47.63</v>
      </c>
      <c r="K16" s="37" t="n">
        <v>47.63</v>
      </c>
      <c r="L16" s="18" t="n">
        <v>47.63</v>
      </c>
      <c r="M16" s="18" t="n">
        <v>47.63</v>
      </c>
      <c r="N16" s="18" t="n">
        <v>127.28</v>
      </c>
      <c r="O16" s="18" t="n">
        <v>128.6</v>
      </c>
      <c r="P16" s="37" t="n">
        <v>128.6</v>
      </c>
      <c r="Q16" s="18" t="n">
        <v>128.6</v>
      </c>
      <c r="R16" s="18" t="n">
        <v>128.6</v>
      </c>
      <c r="S16" s="18" t="n">
        <v>128.6</v>
      </c>
      <c r="T16" s="18" t="n">
        <v>178.6</v>
      </c>
      <c r="U16" s="37" t="n">
        <v>178.6</v>
      </c>
      <c r="V16" s="18" t="n">
        <v>178.6</v>
      </c>
      <c r="W16" s="18" t="n">
        <v>178.6</v>
      </c>
      <c r="X16" s="18" t="n">
        <v>178.6</v>
      </c>
      <c r="Y16" s="18" t="n">
        <v>168.6</v>
      </c>
      <c r="Z16" s="37" t="n">
        <v>168.6</v>
      </c>
      <c r="AA16" s="18" t="n">
        <v>168.9</v>
      </c>
      <c r="AB16" s="19" t="n">
        <v>179.1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77097.73</v>
      </c>
      <c r="F17" s="37" t="n">
        <v>77097.73</v>
      </c>
      <c r="G17" s="18" t="n">
        <v>77498.25</v>
      </c>
      <c r="H17" s="18" t="n">
        <v>77304.75</v>
      </c>
      <c r="I17" s="18" t="n">
        <v>77847.98</v>
      </c>
      <c r="J17" s="18" t="n">
        <v>78732.25999999999</v>
      </c>
      <c r="K17" s="37" t="n">
        <v>78732.25999999999</v>
      </c>
      <c r="L17" s="18" t="n">
        <v>78978.96000000001</v>
      </c>
      <c r="M17" s="18" t="n">
        <v>51869.13</v>
      </c>
      <c r="N17" s="18" t="n">
        <v>51453.37</v>
      </c>
      <c r="O17" s="18" t="n">
        <v>50926.79</v>
      </c>
      <c r="P17" s="37" t="n">
        <v>50926.79</v>
      </c>
      <c r="Q17" s="18" t="n">
        <v>51100.53</v>
      </c>
      <c r="R17" s="18" t="n">
        <v>60723.05</v>
      </c>
      <c r="S17" s="18" t="n">
        <v>61236.27</v>
      </c>
      <c r="T17" s="18" t="n">
        <v>62001.37</v>
      </c>
      <c r="U17" s="37" t="n">
        <v>62001.37</v>
      </c>
      <c r="V17" s="18" t="n">
        <v>62388.9</v>
      </c>
      <c r="W17" s="18" t="n">
        <v>61973.3</v>
      </c>
      <c r="X17" s="18" t="n">
        <v>61828.58</v>
      </c>
      <c r="Y17" s="18" t="n">
        <v>69308.33</v>
      </c>
      <c r="Z17" s="37" t="n">
        <v>69308.33</v>
      </c>
      <c r="AA17" s="18" t="n">
        <v>166142.36</v>
      </c>
      <c r="AB17" s="19" t="n">
        <v>166330.33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19974.42</v>
      </c>
      <c r="F18" s="37" t="n">
        <v>19974.42</v>
      </c>
      <c r="G18" s="18" t="n">
        <v>19951.54</v>
      </c>
      <c r="H18" s="18" t="n">
        <v>19928.65</v>
      </c>
      <c r="I18" s="18" t="n">
        <v>19905.76</v>
      </c>
      <c r="J18" s="18" t="n">
        <v>19882.87</v>
      </c>
      <c r="K18" s="37" t="n">
        <v>19882.87</v>
      </c>
      <c r="L18" s="18" t="n">
        <v>19859.99</v>
      </c>
      <c r="M18" s="18" t="n">
        <v>9090.18</v>
      </c>
      <c r="N18" s="18" t="n">
        <v>9067.299999999999</v>
      </c>
      <c r="O18" s="18" t="n">
        <v>9044.41</v>
      </c>
      <c r="P18" s="37" t="n">
        <v>9044.41</v>
      </c>
      <c r="Q18" s="18" t="n">
        <v>9021.52</v>
      </c>
      <c r="R18" s="18" t="n">
        <v>8998.629999999999</v>
      </c>
      <c r="S18" s="18" t="n">
        <v>8975.75</v>
      </c>
      <c r="T18" s="18" t="n">
        <v>8952.860000000001</v>
      </c>
      <c r="U18" s="37" t="n">
        <v>8952.860000000001</v>
      </c>
      <c r="V18" s="18" t="n">
        <v>8929.969999999999</v>
      </c>
      <c r="W18" s="18" t="n">
        <v>8907.08</v>
      </c>
      <c r="X18" s="18" t="n">
        <v>8884.200000000001</v>
      </c>
      <c r="Y18" s="18" t="n">
        <v>12147.01</v>
      </c>
      <c r="Z18" s="37" t="n">
        <v>12147.01</v>
      </c>
      <c r="AA18" s="18" t="n">
        <v>12115.11</v>
      </c>
      <c r="AB18" s="19" t="n">
        <v>12083.21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632.21</v>
      </c>
      <c r="F19" s="37" t="n">
        <v>632.21</v>
      </c>
      <c r="G19" s="18" t="n">
        <v>669.4299999999999</v>
      </c>
      <c r="H19" s="18" t="n">
        <v>1053.21</v>
      </c>
      <c r="I19" s="18" t="n">
        <v>1028.5</v>
      </c>
      <c r="J19" s="18" t="n">
        <v>1012.45</v>
      </c>
      <c r="K19" s="37" t="n">
        <v>1012.45</v>
      </c>
      <c r="L19" s="18" t="n">
        <v>974.98</v>
      </c>
      <c r="M19" s="18" t="n">
        <v>939.88</v>
      </c>
      <c r="N19" s="18" t="n">
        <v>902.74</v>
      </c>
      <c r="O19" s="18" t="n">
        <v>885.9299999999999</v>
      </c>
      <c r="P19" s="37" t="n">
        <v>885.9299999999999</v>
      </c>
      <c r="Q19" s="18" t="n">
        <v>873.4400000000001</v>
      </c>
      <c r="R19" s="18" t="n">
        <v>911</v>
      </c>
      <c r="S19" s="18" t="n">
        <v>868.0599999999999</v>
      </c>
      <c r="T19" s="18" t="n">
        <v>857.6900000000001</v>
      </c>
      <c r="U19" s="37" t="n">
        <v>857.6900000000001</v>
      </c>
      <c r="V19" s="18" t="n">
        <v>825.5</v>
      </c>
      <c r="W19" s="18" t="n">
        <v>887.35</v>
      </c>
      <c r="X19" s="18" t="n">
        <v>857.41</v>
      </c>
      <c r="Y19" s="18" t="n">
        <v>880.29</v>
      </c>
      <c r="Z19" s="37" t="n">
        <v>880.29</v>
      </c>
      <c r="AA19" s="18" t="n">
        <v>859.85</v>
      </c>
      <c r="AB19" s="19" t="n">
        <v>898.9299999999999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7021.56</v>
      </c>
      <c r="F20" s="37" t="n">
        <v>7021.56</v>
      </c>
      <c r="G20" s="18" t="n">
        <v>7021.56</v>
      </c>
      <c r="H20" s="18" t="n">
        <v>7021.56</v>
      </c>
      <c r="I20" s="18" t="n">
        <v>7021.56</v>
      </c>
      <c r="J20" s="18" t="n">
        <v>6205.02</v>
      </c>
      <c r="K20" s="37" t="n">
        <v>6205.02</v>
      </c>
      <c r="L20" s="18" t="n">
        <v>6205.02</v>
      </c>
      <c r="M20" s="18" t="n">
        <v>6205.02</v>
      </c>
      <c r="N20" s="18" t="n">
        <v>6205.02</v>
      </c>
      <c r="O20" s="18" t="n">
        <v>4313.44</v>
      </c>
      <c r="P20" s="37" t="n">
        <v>4313.44</v>
      </c>
      <c r="Q20" s="18" t="n">
        <v>4313.44</v>
      </c>
      <c r="R20" s="18" t="n">
        <v>4313.44</v>
      </c>
      <c r="S20" s="18" t="n">
        <v>4313.44</v>
      </c>
      <c r="T20" s="18" t="n">
        <v>4313.44</v>
      </c>
      <c r="U20" s="37" t="n">
        <v>4313.44</v>
      </c>
      <c r="V20" s="18" t="n">
        <v>4313.44</v>
      </c>
      <c r="W20" s="18" t="n">
        <v>4313.44</v>
      </c>
      <c r="X20" s="18" t="n">
        <v>4313.44</v>
      </c>
      <c r="Y20" s="18" t="n">
        <v>4313.44</v>
      </c>
      <c r="Z20" s="37" t="n">
        <v>4313.44</v>
      </c>
      <c r="AA20" s="18" t="n">
        <v>4313.44</v>
      </c>
      <c r="AB20" s="19" t="n">
        <v>4313.44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798.9400000000001</v>
      </c>
      <c r="F21" s="37" t="n">
        <v>798.9400000000001</v>
      </c>
      <c r="G21" s="18" t="n">
        <v>980.71</v>
      </c>
      <c r="H21" s="18" t="n">
        <v>1086.55</v>
      </c>
      <c r="I21" s="18" t="n">
        <v>1467.04</v>
      </c>
      <c r="J21" s="18" t="n">
        <v>1999.16</v>
      </c>
      <c r="K21" s="37" t="n">
        <v>1999.16</v>
      </c>
      <c r="L21" s="18" t="n">
        <v>1864.85</v>
      </c>
      <c r="M21" s="18" t="n">
        <v>1851.34</v>
      </c>
      <c r="N21" s="18" t="n">
        <v>2081.81</v>
      </c>
      <c r="O21" s="18" t="n">
        <v>2137.44</v>
      </c>
      <c r="P21" s="37" t="n">
        <v>2137.44</v>
      </c>
      <c r="Q21" s="18" t="n">
        <v>2030.49</v>
      </c>
      <c r="R21" s="18" t="n">
        <v>2360.08</v>
      </c>
      <c r="S21" s="18" t="n">
        <v>2491.11</v>
      </c>
      <c r="T21" s="18" t="n">
        <v>3802.88</v>
      </c>
      <c r="U21" s="37" t="n">
        <v>3802.88</v>
      </c>
      <c r="V21" s="18" t="n">
        <v>3817.68</v>
      </c>
      <c r="W21" s="18" t="n">
        <v>3857.48</v>
      </c>
      <c r="X21" s="18" t="n">
        <v>2735.47</v>
      </c>
      <c r="Y21" s="18" t="n">
        <v>4261.44</v>
      </c>
      <c r="Z21" s="37" t="n">
        <v>4261.44</v>
      </c>
      <c r="AA21" s="18" t="n">
        <v>4309.87</v>
      </c>
      <c r="AB21" s="19" t="n">
        <v>4771.25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173713.51</v>
      </c>
      <c r="F22" s="37" t="n">
        <v>173713.51</v>
      </c>
      <c r="G22" s="18" t="n">
        <v>180982.7</v>
      </c>
      <c r="H22" s="18" t="n">
        <v>184772.17</v>
      </c>
      <c r="I22" s="18" t="n">
        <v>180132.99</v>
      </c>
      <c r="J22" s="18" t="n">
        <v>176138.12</v>
      </c>
      <c r="K22" s="37" t="n">
        <v>176138.12</v>
      </c>
      <c r="L22" s="18" t="n">
        <v>170380.71</v>
      </c>
      <c r="M22" s="18" t="n">
        <v>223941.79</v>
      </c>
      <c r="N22" s="18" t="n">
        <v>221637.71</v>
      </c>
      <c r="O22" s="18" t="n">
        <v>219927.88</v>
      </c>
      <c r="P22" s="37" t="n">
        <v>219927.88</v>
      </c>
      <c r="Q22" s="18" t="n">
        <v>218785.9</v>
      </c>
      <c r="R22" s="18" t="n">
        <v>214258.56</v>
      </c>
      <c r="S22" s="18" t="n">
        <v>202685.59</v>
      </c>
      <c r="T22" s="18" t="n">
        <v>205296.01</v>
      </c>
      <c r="U22" s="37" t="n">
        <v>205296.01</v>
      </c>
      <c r="V22" s="18" t="n">
        <v>215685.83</v>
      </c>
      <c r="W22" s="18" t="n">
        <v>217564.76</v>
      </c>
      <c r="X22" s="18" t="n">
        <v>226587.61</v>
      </c>
      <c r="Y22" s="18" t="n">
        <v>237277.67</v>
      </c>
      <c r="Z22" s="37" t="n">
        <v>237277.67</v>
      </c>
      <c r="AA22" s="18" t="n">
        <v>297255.72</v>
      </c>
      <c r="AB22" s="19" t="n">
        <v>291643.93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41584.6</v>
      </c>
      <c r="F23" s="37" t="n">
        <v>41584.6</v>
      </c>
      <c r="G23" s="18" t="n">
        <v>54577.45</v>
      </c>
      <c r="H23" s="18" t="n">
        <v>55635.27</v>
      </c>
      <c r="I23" s="18" t="n">
        <v>50908.24</v>
      </c>
      <c r="J23" s="18" t="n">
        <v>46897.17</v>
      </c>
      <c r="K23" s="37" t="n">
        <v>46897.17</v>
      </c>
      <c r="L23" s="18" t="n">
        <v>55350.47</v>
      </c>
      <c r="M23" s="18" t="n">
        <v>49730.42</v>
      </c>
      <c r="N23" s="18" t="n">
        <v>48656</v>
      </c>
      <c r="O23" s="18" t="n">
        <v>49248.06</v>
      </c>
      <c r="P23" s="37" t="n">
        <v>49248.06</v>
      </c>
      <c r="Q23" s="18" t="n">
        <v>49413.11</v>
      </c>
      <c r="R23" s="18" t="n">
        <v>41457.24</v>
      </c>
      <c r="S23" s="18" t="n">
        <v>28184.65</v>
      </c>
      <c r="T23" s="18" t="n">
        <v>28823.57</v>
      </c>
      <c r="U23" s="37" t="n">
        <v>28823.57</v>
      </c>
      <c r="V23" s="18" t="n">
        <v>42945.86</v>
      </c>
      <c r="W23" s="18" t="n">
        <v>32457.73</v>
      </c>
      <c r="X23" s="18" t="n">
        <v>33083.7</v>
      </c>
      <c r="Y23" s="18" t="n">
        <v>39102.94</v>
      </c>
      <c r="Z23" s="37" t="n">
        <v>39102.94</v>
      </c>
      <c r="AA23" s="18" t="n">
        <v>47638.56</v>
      </c>
      <c r="AB23" s="19" t="n">
        <v>43515.17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6490.75</v>
      </c>
      <c r="F24" s="37" t="n">
        <v>6490.75</v>
      </c>
      <c r="G24" s="18" t="n">
        <v>11754.11</v>
      </c>
      <c r="H24" s="18" t="n">
        <v>8841.15</v>
      </c>
      <c r="I24" s="18" t="n">
        <v>6327.85</v>
      </c>
      <c r="J24" s="18" t="n">
        <v>7433.22</v>
      </c>
      <c r="K24" s="37" t="n">
        <v>7433.22</v>
      </c>
      <c r="L24" s="18" t="n">
        <v>10749.62</v>
      </c>
      <c r="M24" s="18" t="n">
        <v>5469.42</v>
      </c>
      <c r="N24" s="18" t="n">
        <v>4808.38</v>
      </c>
      <c r="O24" s="18" t="n">
        <v>6233.57</v>
      </c>
      <c r="P24" s="37" t="n">
        <v>6233.57</v>
      </c>
      <c r="Q24" s="18" t="n">
        <v>11419.98</v>
      </c>
      <c r="R24" s="18" t="n">
        <v>5176.82</v>
      </c>
      <c r="S24" s="18" t="n">
        <v>6119.06</v>
      </c>
      <c r="T24" s="18" t="n">
        <v>9461.4</v>
      </c>
      <c r="U24" s="37" t="n">
        <v>9461.4</v>
      </c>
      <c r="V24" s="18" t="n">
        <v>15014.06</v>
      </c>
      <c r="W24" s="18" t="n">
        <v>8447.67</v>
      </c>
      <c r="X24" s="18" t="n">
        <v>9698.76</v>
      </c>
      <c r="Y24" s="18" t="n">
        <v>10373.42</v>
      </c>
      <c r="Z24" s="37" t="n">
        <v>10373.42</v>
      </c>
      <c r="AA24" s="18" t="n">
        <v>23630.51</v>
      </c>
      <c r="AB24" s="19" t="n">
        <v>12059.93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29472.95</v>
      </c>
      <c r="F25" s="37" t="n">
        <v>29472.95</v>
      </c>
      <c r="G25" s="18" t="n">
        <v>28918.79</v>
      </c>
      <c r="H25" s="18" t="n">
        <v>29940.87</v>
      </c>
      <c r="I25" s="18" t="n">
        <v>25270.34</v>
      </c>
      <c r="J25" s="18" t="n">
        <v>21524.77</v>
      </c>
      <c r="K25" s="37" t="n">
        <v>21524.77</v>
      </c>
      <c r="L25" s="18" t="n">
        <v>18927.53</v>
      </c>
      <c r="M25" s="18" t="n">
        <v>308.28</v>
      </c>
      <c r="N25" s="18" t="n">
        <v>991.47</v>
      </c>
      <c r="O25" s="18" t="n">
        <v>373.93</v>
      </c>
      <c r="P25" s="37" t="n">
        <v>373.93</v>
      </c>
      <c r="R25" s="18" t="n">
        <v>489.97</v>
      </c>
      <c r="S25" s="18" t="n">
        <v>191.54</v>
      </c>
      <c r="T25" s="18" t="n">
        <v>408.81</v>
      </c>
      <c r="U25" s="37" t="n">
        <v>408.81</v>
      </c>
      <c r="V25" s="18" t="n">
        <v>961.85</v>
      </c>
      <c r="W25" s="18" t="n">
        <v>784.4</v>
      </c>
      <c r="X25" s="18" t="n">
        <v>444.1</v>
      </c>
      <c r="Y25" s="18" t="n">
        <v>778.09</v>
      </c>
      <c r="Z25" s="37" t="n">
        <v>778.09</v>
      </c>
      <c r="AA25" s="18" t="n">
        <v>1147.52</v>
      </c>
      <c r="AB25" s="19" t="n">
        <v>768.22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3333.36</v>
      </c>
      <c r="F26" s="37" t="n">
        <v>3333.36</v>
      </c>
      <c r="G26" s="18" t="n">
        <v>8999.99</v>
      </c>
      <c r="H26" s="18" t="n">
        <v>8999.99</v>
      </c>
      <c r="I26" s="18" t="n">
        <v>8999.99</v>
      </c>
      <c r="J26" s="18" t="n">
        <v>8999.99</v>
      </c>
      <c r="K26" s="37" t="n">
        <v>8999.99</v>
      </c>
      <c r="L26" s="18" t="n">
        <v>15999.99</v>
      </c>
      <c r="M26" s="18" t="n">
        <v>14840</v>
      </c>
      <c r="N26" s="18" t="n">
        <v>14840</v>
      </c>
      <c r="O26" s="18" t="n">
        <v>14840</v>
      </c>
      <c r="P26" s="37" t="n">
        <v>14840</v>
      </c>
      <c r="Q26" s="18" t="n">
        <v>2840</v>
      </c>
      <c r="R26" s="18" t="n">
        <v>2840</v>
      </c>
      <c r="S26" s="18" t="n">
        <v>2840</v>
      </c>
      <c r="T26" s="18" t="n">
        <v>2840</v>
      </c>
      <c r="U26" s="37" t="n">
        <v>2840</v>
      </c>
      <c r="V26" s="18" t="n">
        <v>8293.33</v>
      </c>
      <c r="W26" s="18" t="n">
        <v>7583.33</v>
      </c>
      <c r="X26" s="18" t="n">
        <v>6873.33</v>
      </c>
      <c r="Y26" s="18" t="n">
        <v>6770.83</v>
      </c>
      <c r="Z26" s="37" t="n">
        <v>6770.83</v>
      </c>
      <c r="AA26" s="18" t="n">
        <v>3310</v>
      </c>
      <c r="AB26" s="19" t="n">
        <v>10000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326.58</v>
      </c>
      <c r="F27" s="37" t="n">
        <v>326.58</v>
      </c>
      <c r="G27" s="18" t="n">
        <v>128.38</v>
      </c>
      <c r="H27" s="18" t="n">
        <v>372.18</v>
      </c>
      <c r="I27" s="18" t="n">
        <v>1370.42</v>
      </c>
      <c r="J27" s="18" t="n">
        <v>42.46</v>
      </c>
      <c r="K27" s="37" t="n">
        <v>42.46</v>
      </c>
      <c r="L27" s="18" t="n">
        <v>185.58</v>
      </c>
      <c r="M27" s="18" t="n">
        <v>139.28</v>
      </c>
      <c r="N27" s="18" t="n">
        <v>405.05</v>
      </c>
      <c r="O27" s="18" t="n">
        <v>53.35</v>
      </c>
      <c r="P27" s="37" t="n">
        <v>53.35</v>
      </c>
      <c r="Q27" s="18" t="n">
        <v>739.91</v>
      </c>
      <c r="R27" s="18" t="n">
        <v>1049.22</v>
      </c>
      <c r="S27" s="18" t="n">
        <v>115.22</v>
      </c>
      <c r="T27" s="18" t="n">
        <v>1727.26</v>
      </c>
      <c r="U27" s="37" t="n">
        <v>1727.26</v>
      </c>
      <c r="V27" s="18" t="n">
        <v>1456.07</v>
      </c>
      <c r="W27" s="18" t="n">
        <v>150.34</v>
      </c>
      <c r="X27" s="18" t="n">
        <v>34.98</v>
      </c>
      <c r="Y27" s="18" t="n">
        <v>87.20999999999999</v>
      </c>
      <c r="Z27" s="37" t="n">
        <v>87.20999999999999</v>
      </c>
      <c r="AA27" s="18" t="n">
        <v>421.79</v>
      </c>
      <c r="AB27" s="19" t="n">
        <v>1181.36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428.4</v>
      </c>
      <c r="F28" s="37" t="n">
        <v>428.4</v>
      </c>
      <c r="G28" s="18" t="n">
        <v>228.2</v>
      </c>
      <c r="H28" s="18" t="n">
        <v>470</v>
      </c>
      <c r="I28" s="18" t="n">
        <v>1476.74</v>
      </c>
      <c r="J28" s="18" t="n">
        <v>156.32</v>
      </c>
      <c r="K28" s="37" t="n">
        <v>156.32</v>
      </c>
      <c r="L28" s="18" t="n">
        <v>300.02</v>
      </c>
      <c r="M28" s="18" t="n">
        <v>232.31</v>
      </c>
      <c r="N28" s="18" t="n">
        <v>474.96</v>
      </c>
      <c r="O28" s="18" t="n">
        <v>101.8</v>
      </c>
      <c r="P28" s="37" t="n">
        <v>101.8</v>
      </c>
      <c r="Q28" s="18" t="n">
        <v>770.5599999999999</v>
      </c>
      <c r="R28" s="18" t="n">
        <v>1074.15</v>
      </c>
      <c r="S28" s="18" t="n">
        <v>142.41</v>
      </c>
      <c r="T28" s="18" t="n">
        <v>1748.61</v>
      </c>
      <c r="U28" s="37" t="n">
        <v>1748.61</v>
      </c>
      <c r="V28" s="18" t="n">
        <v>1471.54</v>
      </c>
      <c r="W28" s="18" t="n">
        <v>161.83</v>
      </c>
      <c r="X28" s="18" t="n">
        <v>44.46</v>
      </c>
      <c r="Y28" s="18" t="n">
        <v>94.66</v>
      </c>
      <c r="Z28" s="37" t="n">
        <v>94.66</v>
      </c>
      <c r="AA28" s="18" t="n">
        <v>427.2</v>
      </c>
      <c r="AB28" s="19" t="n">
        <v>1186.8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101.82</v>
      </c>
      <c r="F29" s="37" t="n">
        <v>101.82</v>
      </c>
      <c r="G29" s="18" t="n">
        <v>99.81999999999999</v>
      </c>
      <c r="H29" s="18" t="n">
        <v>97.81999999999999</v>
      </c>
      <c r="I29" s="18" t="n">
        <v>106.32</v>
      </c>
      <c r="J29" s="18" t="n">
        <v>113.86</v>
      </c>
      <c r="K29" s="37" t="n">
        <v>113.86</v>
      </c>
      <c r="L29" s="18" t="n">
        <v>114.44</v>
      </c>
      <c r="M29" s="18" t="n">
        <v>93.03</v>
      </c>
      <c r="N29" s="18" t="n">
        <v>69.91</v>
      </c>
      <c r="O29" s="18" t="n">
        <v>48.45</v>
      </c>
      <c r="P29" s="37" t="n">
        <v>48.45</v>
      </c>
      <c r="Q29" s="18" t="n">
        <v>30.65</v>
      </c>
      <c r="R29" s="18" t="n">
        <v>24.93</v>
      </c>
      <c r="S29" s="18" t="n">
        <v>27.19</v>
      </c>
      <c r="T29" s="18" t="n">
        <v>21.35</v>
      </c>
      <c r="U29" s="37" t="n">
        <v>21.35</v>
      </c>
      <c r="V29" s="18" t="n">
        <v>15.47</v>
      </c>
      <c r="W29" s="18" t="n">
        <v>11.49</v>
      </c>
      <c r="X29" s="18" t="n">
        <v>9.48</v>
      </c>
      <c r="Y29" s="18" t="n">
        <v>7.45</v>
      </c>
      <c r="Z29" s="37" t="n">
        <v>7.45</v>
      </c>
      <c r="AA29" s="18" t="n">
        <v>5.41</v>
      </c>
      <c r="AB29" s="19" t="n">
        <v>5.44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257.97</v>
      </c>
      <c r="F30" s="37" t="n">
        <v>257.97</v>
      </c>
      <c r="G30" s="18" t="n">
        <v>231.63</v>
      </c>
      <c r="H30" s="18" t="n">
        <v>205.12</v>
      </c>
      <c r="I30" s="18" t="n">
        <v>208.71</v>
      </c>
      <c r="J30" s="18" t="n">
        <v>191.38</v>
      </c>
      <c r="K30" s="37" t="n">
        <v>191.38</v>
      </c>
      <c r="L30" s="18" t="n">
        <v>159.82</v>
      </c>
      <c r="M30" s="18" t="n">
        <v>129.45</v>
      </c>
      <c r="N30" s="18" t="n">
        <v>99.2</v>
      </c>
      <c r="O30" s="18" t="n">
        <v>70.31999999999999</v>
      </c>
      <c r="P30" s="37" t="n">
        <v>70.31999999999999</v>
      </c>
      <c r="Q30" s="18" t="n">
        <v>45.26</v>
      </c>
      <c r="R30" s="18" t="n">
        <v>36.24</v>
      </c>
      <c r="S30" s="18" t="n">
        <v>41.35</v>
      </c>
      <c r="T30" s="18" t="n">
        <v>32.12</v>
      </c>
      <c r="U30" s="37" t="n">
        <v>32.12</v>
      </c>
      <c r="V30" s="18" t="n">
        <v>22.84</v>
      </c>
      <c r="W30" s="18" t="n">
        <v>17.5</v>
      </c>
      <c r="X30" s="18" t="n">
        <v>14.14</v>
      </c>
      <c r="Y30" s="18" t="n">
        <v>10.76</v>
      </c>
      <c r="Z30" s="37" t="n">
        <v>10.76</v>
      </c>
      <c r="AA30" s="18" t="n">
        <v>7.35</v>
      </c>
      <c r="AB30" s="19" t="n">
        <v>6.01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1859.14</v>
      </c>
      <c r="F31" s="37" t="n">
        <v>1859.14</v>
      </c>
      <c r="G31" s="18" t="n">
        <v>4434.55</v>
      </c>
      <c r="H31" s="18" t="n">
        <v>5890.13</v>
      </c>
      <c r="I31" s="18" t="n">
        <v>6331.24</v>
      </c>
      <c r="J31" s="18" t="n">
        <v>5763.94</v>
      </c>
      <c r="K31" s="37" t="n">
        <v>5763.94</v>
      </c>
      <c r="L31" s="18" t="n">
        <v>6376.49</v>
      </c>
      <c r="M31" s="18" t="n">
        <v>7429.75</v>
      </c>
      <c r="N31" s="18" t="n">
        <v>7400.42</v>
      </c>
      <c r="O31" s="18" t="n">
        <v>7743.53</v>
      </c>
      <c r="P31" s="37" t="n">
        <v>7743.53</v>
      </c>
      <c r="Q31" s="18" t="n">
        <v>13663.03</v>
      </c>
      <c r="R31" s="18" t="n">
        <v>12554.51</v>
      </c>
      <c r="S31" s="18" t="n">
        <v>12914.64</v>
      </c>
      <c r="T31" s="18" t="n">
        <v>11739.13</v>
      </c>
      <c r="U31" s="37" t="n">
        <v>11739.13</v>
      </c>
      <c r="V31" s="18" t="n">
        <v>14056.52</v>
      </c>
      <c r="W31" s="18" t="n">
        <v>11926.02</v>
      </c>
      <c r="X31" s="18" t="n">
        <v>12452.94</v>
      </c>
      <c r="Y31" s="18" t="n">
        <v>15835.93</v>
      </c>
      <c r="Z31" s="37" t="n">
        <v>15835.93</v>
      </c>
      <c r="AA31" s="18" t="n">
        <v>14844.39</v>
      </c>
      <c r="AB31" s="19" t="n">
        <v>14920.63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41939.27</v>
      </c>
      <c r="F32" s="37" t="n">
        <v>41939.27</v>
      </c>
      <c r="G32" s="18" t="n">
        <v>35914.93</v>
      </c>
      <c r="H32" s="18" t="n">
        <v>35130.43</v>
      </c>
      <c r="I32" s="18" t="n">
        <v>34125.52</v>
      </c>
      <c r="J32" s="18" t="n">
        <v>33110.65</v>
      </c>
      <c r="K32" s="37" t="n">
        <v>33110.65</v>
      </c>
      <c r="L32" s="18" t="n">
        <v>20093.56</v>
      </c>
      <c r="M32" s="18" t="n">
        <v>10927.06</v>
      </c>
      <c r="N32" s="18" t="n">
        <v>10188.29</v>
      </c>
      <c r="O32" s="18" t="n">
        <v>9470.870000000001</v>
      </c>
      <c r="P32" s="37" t="n">
        <v>9470.870000000001</v>
      </c>
      <c r="Q32" s="18" t="n">
        <v>8851.809999999999</v>
      </c>
      <c r="R32" s="18" t="n">
        <v>8816.879999999999</v>
      </c>
      <c r="S32" s="18" t="n">
        <v>8089.77</v>
      </c>
      <c r="T32" s="18" t="n">
        <v>6866.03</v>
      </c>
      <c r="U32" s="37" t="n">
        <v>6866.03</v>
      </c>
      <c r="V32" s="18" t="n">
        <v>660.78</v>
      </c>
      <c r="W32" s="18" t="n">
        <v>2065.88</v>
      </c>
      <c r="X32" s="18" t="n">
        <v>2574.53</v>
      </c>
      <c r="Y32" s="18" t="n">
        <v>1498.51</v>
      </c>
      <c r="Z32" s="37" t="n">
        <v>1498.51</v>
      </c>
      <c r="AA32" s="18" t="n">
        <v>57733.41</v>
      </c>
      <c r="AB32" s="19" t="n">
        <v>47908.69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116.48</v>
      </c>
      <c r="F33" s="37" t="n">
        <v>116.48</v>
      </c>
      <c r="G33" s="18" t="n">
        <v>116.48</v>
      </c>
      <c r="H33" s="18" t="n">
        <v>356.48</v>
      </c>
      <c r="I33" s="18" t="n">
        <v>356.48</v>
      </c>
      <c r="J33" s="18" t="n">
        <v>366.48</v>
      </c>
      <c r="K33" s="37" t="n">
        <v>366.48</v>
      </c>
      <c r="L33" s="18" t="n">
        <v>366.48</v>
      </c>
      <c r="M33" s="18" t="n">
        <v>445.66</v>
      </c>
      <c r="N33" s="18" t="n">
        <v>445.66</v>
      </c>
      <c r="O33" s="18" t="n">
        <v>445.66</v>
      </c>
      <c r="P33" s="37" t="n">
        <v>445.66</v>
      </c>
      <c r="Q33" s="18" t="n">
        <v>543.86</v>
      </c>
      <c r="R33" s="18" t="n">
        <v>573.86</v>
      </c>
      <c r="S33" s="18" t="n">
        <v>573.86</v>
      </c>
      <c r="T33" s="18" t="n">
        <v>378.2</v>
      </c>
      <c r="U33" s="37" t="n">
        <v>378.2</v>
      </c>
      <c r="V33" s="18" t="n">
        <v>378.2</v>
      </c>
      <c r="W33" s="18" t="n">
        <v>378.2</v>
      </c>
      <c r="X33" s="18" t="n">
        <v>388.2</v>
      </c>
      <c r="Y33" s="18" t="n">
        <v>388.2</v>
      </c>
      <c r="Z33" s="37" t="n">
        <v>388.2</v>
      </c>
      <c r="AA33" s="18" t="n">
        <v>388.2</v>
      </c>
      <c r="AB33" s="19" t="n">
        <v>388.2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41666.64</v>
      </c>
      <c r="F34" s="37" t="n">
        <v>41666.64</v>
      </c>
      <c r="G34" s="18" t="n">
        <v>35666.64</v>
      </c>
      <c r="H34" s="18" t="n">
        <v>34666.65</v>
      </c>
      <c r="I34" s="18" t="n">
        <v>33666.65</v>
      </c>
      <c r="J34" s="18" t="n">
        <v>32666.65</v>
      </c>
      <c r="K34" s="37" t="n">
        <v>32666.65</v>
      </c>
      <c r="L34" s="18" t="n">
        <v>19666.65</v>
      </c>
      <c r="M34" s="18" t="n">
        <v>10423.33</v>
      </c>
      <c r="N34" s="18" t="n">
        <v>9713.33</v>
      </c>
      <c r="O34" s="18" t="n">
        <v>9003.33</v>
      </c>
      <c r="P34" s="37" t="n">
        <v>9003.33</v>
      </c>
      <c r="Q34" s="18" t="n">
        <v>8293.33</v>
      </c>
      <c r="R34" s="18" t="n">
        <v>7583.33</v>
      </c>
      <c r="S34" s="18" t="n">
        <v>6873.33</v>
      </c>
      <c r="T34" s="18" t="n">
        <v>6163.33</v>
      </c>
      <c r="U34" s="37" t="n">
        <v>6163.33</v>
      </c>
      <c r="W34" s="18" t="n">
        <v>810</v>
      </c>
      <c r="X34" s="18" t="n">
        <v>1310</v>
      </c>
      <c r="Y34" s="18" t="n">
        <v>702.5</v>
      </c>
      <c r="Z34" s="37" t="n">
        <v>702.5</v>
      </c>
      <c r="AA34" s="18" t="n">
        <v>56333.33</v>
      </c>
      <c r="AB34" s="19" t="n">
        <v>46333.33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156.15</v>
      </c>
      <c r="F35" s="37" t="n">
        <v>156.15</v>
      </c>
      <c r="G35" s="18" t="n">
        <v>131.81</v>
      </c>
      <c r="H35" s="18" t="n">
        <v>107.3</v>
      </c>
      <c r="I35" s="18" t="n">
        <v>102.39</v>
      </c>
      <c r="J35" s="18" t="n">
        <v>77.52</v>
      </c>
      <c r="K35" s="37" t="n">
        <v>77.52</v>
      </c>
      <c r="L35" s="18" t="n">
        <v>45.38</v>
      </c>
      <c r="M35" s="18" t="n">
        <v>36.42</v>
      </c>
      <c r="N35" s="18" t="n">
        <v>29.29</v>
      </c>
      <c r="O35" s="18" t="n">
        <v>21.87</v>
      </c>
      <c r="P35" s="37" t="n">
        <v>21.87</v>
      </c>
      <c r="Q35" s="18" t="n">
        <v>14.61</v>
      </c>
      <c r="R35" s="18" t="n">
        <v>11.31</v>
      </c>
      <c r="S35" s="18" t="n">
        <v>14.16</v>
      </c>
      <c r="T35" s="18" t="n">
        <v>10.77</v>
      </c>
      <c r="U35" s="37" t="n">
        <v>10.77</v>
      </c>
      <c r="V35" s="18" t="n">
        <v>7.37</v>
      </c>
      <c r="W35" s="18" t="n">
        <v>6.01</v>
      </c>
      <c r="X35" s="18" t="n">
        <v>4.66</v>
      </c>
      <c r="Y35" s="18" t="n">
        <v>3.31</v>
      </c>
      <c r="Z35" s="37" t="n">
        <v>3.31</v>
      </c>
      <c r="AA35" s="18" t="n">
        <v>1.94</v>
      </c>
      <c r="AB35" s="19" t="n">
        <v>0.57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156.15</v>
      </c>
      <c r="F36" s="37" t="n">
        <v>156.15</v>
      </c>
      <c r="G36" s="18" t="n">
        <v>131.81</v>
      </c>
      <c r="H36" s="18" t="n">
        <v>107.3</v>
      </c>
      <c r="I36" s="18" t="n">
        <v>102.39</v>
      </c>
      <c r="J36" s="18" t="n">
        <v>77.52</v>
      </c>
      <c r="K36" s="37" t="n">
        <v>77.52</v>
      </c>
      <c r="L36" s="18" t="n">
        <v>60.43</v>
      </c>
      <c r="M36" s="18" t="n">
        <v>58.06</v>
      </c>
      <c r="N36" s="18" t="n">
        <v>29.29</v>
      </c>
      <c r="O36" s="18" t="n">
        <v>21.87</v>
      </c>
      <c r="P36" s="37" t="n">
        <v>21.87</v>
      </c>
      <c r="Q36" s="18" t="n">
        <v>14.61</v>
      </c>
      <c r="R36" s="18" t="n">
        <v>11.31</v>
      </c>
      <c r="S36" s="18" t="n">
        <v>14.16</v>
      </c>
      <c r="T36" s="18" t="n">
        <v>10.77</v>
      </c>
      <c r="U36" s="37" t="n">
        <v>10.77</v>
      </c>
      <c r="V36" s="18" t="n">
        <v>7.37</v>
      </c>
      <c r="W36" s="18" t="n">
        <v>6.01</v>
      </c>
      <c r="X36" s="18" t="n">
        <v>4.66</v>
      </c>
      <c r="Y36" s="18" t="n">
        <v>3.31</v>
      </c>
      <c r="Z36" s="37" t="n">
        <v>3.31</v>
      </c>
      <c r="AA36" s="18" t="n">
        <v>1.94</v>
      </c>
      <c r="AB36" s="19" t="n">
        <v>84.72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83523.87</v>
      </c>
      <c r="F37" s="37" t="n">
        <v>83523.87</v>
      </c>
      <c r="G37" s="18" t="n">
        <v>90492.38</v>
      </c>
      <c r="H37" s="18" t="n">
        <v>90765.7</v>
      </c>
      <c r="I37" s="18" t="n">
        <v>85033.75999999999</v>
      </c>
      <c r="J37" s="18" t="n">
        <v>80007.81</v>
      </c>
      <c r="K37" s="37" t="n">
        <v>80007.81</v>
      </c>
      <c r="L37" s="18" t="n">
        <v>75444.03</v>
      </c>
      <c r="M37" s="18" t="n">
        <v>60657.48</v>
      </c>
      <c r="N37" s="18" t="n">
        <v>58844.29</v>
      </c>
      <c r="O37" s="18" t="n">
        <v>58718.92</v>
      </c>
      <c r="P37" s="37" t="n">
        <v>58718.92</v>
      </c>
      <c r="Q37" s="18" t="n">
        <v>58264.92</v>
      </c>
      <c r="R37" s="18" t="n">
        <v>50274.12</v>
      </c>
      <c r="S37" s="18" t="n">
        <v>36274.42</v>
      </c>
      <c r="T37" s="18" t="n">
        <v>35689.6</v>
      </c>
      <c r="U37" s="37" t="n">
        <v>35689.6</v>
      </c>
      <c r="V37" s="18" t="n">
        <v>43606.64</v>
      </c>
      <c r="W37" s="18" t="n">
        <v>34523.61</v>
      </c>
      <c r="X37" s="18" t="n">
        <v>35658.23</v>
      </c>
      <c r="Y37" s="18" t="n">
        <v>40601.45</v>
      </c>
      <c r="Z37" s="37" t="n">
        <v>40601.45</v>
      </c>
      <c r="AA37" s="18" t="n">
        <v>105371.97</v>
      </c>
      <c r="AB37" s="19" t="n">
        <v>91423.85000000001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8808.73</v>
      </c>
      <c r="F38" s="37" t="n">
        <v>8808.73</v>
      </c>
      <c r="G38" s="18" t="n">
        <v>8808.73</v>
      </c>
      <c r="H38" s="18" t="n">
        <v>8808.73</v>
      </c>
      <c r="I38" s="18" t="n">
        <v>8808.73</v>
      </c>
      <c r="J38" s="18" t="n">
        <v>8808.73</v>
      </c>
      <c r="K38" s="37" t="n">
        <v>8808.73</v>
      </c>
      <c r="L38" s="18" t="n">
        <v>8808.73</v>
      </c>
      <c r="M38" s="18" t="n">
        <v>8808.73</v>
      </c>
      <c r="N38" s="18" t="n">
        <v>8808.73</v>
      </c>
      <c r="O38" s="18" t="n">
        <v>8808.73</v>
      </c>
      <c r="P38" s="37" t="n">
        <v>8808.73</v>
      </c>
      <c r="Q38" s="18" t="n">
        <v>8808.73</v>
      </c>
      <c r="R38" s="18" t="n">
        <v>8808.73</v>
      </c>
      <c r="S38" s="18" t="n">
        <v>8808.73</v>
      </c>
      <c r="T38" s="18" t="n">
        <v>8808.73</v>
      </c>
      <c r="U38" s="37" t="n">
        <v>8808.73</v>
      </c>
      <c r="V38" s="18" t="n">
        <v>8808.73</v>
      </c>
      <c r="W38" s="18" t="n">
        <v>8808.73</v>
      </c>
      <c r="X38" s="18" t="n">
        <v>8808.73</v>
      </c>
      <c r="Y38" s="18" t="n">
        <v>8808.73</v>
      </c>
      <c r="Z38" s="37" t="n">
        <v>8808.73</v>
      </c>
      <c r="AA38" s="18" t="n">
        <v>8808.73</v>
      </c>
      <c r="AB38" s="19" t="n">
        <v>8808.73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21450.9</v>
      </c>
      <c r="F39" s="37" t="n">
        <v>21450.9</v>
      </c>
      <c r="G39" s="18" t="n">
        <v>21450.9</v>
      </c>
      <c r="H39" s="18" t="n">
        <v>21357.65</v>
      </c>
      <c r="I39" s="18" t="n">
        <v>19495.13</v>
      </c>
      <c r="J39" s="18" t="n">
        <v>18907.81</v>
      </c>
      <c r="K39" s="37" t="n">
        <v>18907.81</v>
      </c>
      <c r="L39" s="18" t="n">
        <v>8595.870000000001</v>
      </c>
      <c r="M39" s="18" t="n">
        <v>11516.78</v>
      </c>
      <c r="N39" s="18" t="n">
        <v>11503.01</v>
      </c>
      <c r="O39" s="18" t="n">
        <v>6538.03</v>
      </c>
      <c r="P39" s="37" t="n">
        <v>6538.03</v>
      </c>
      <c r="Q39" s="18" t="n">
        <v>6538.03</v>
      </c>
      <c r="R39" s="18" t="n">
        <v>6538.03</v>
      </c>
      <c r="S39" s="18" t="n">
        <v>6538.03</v>
      </c>
      <c r="T39" s="18" t="n">
        <v>6538.03</v>
      </c>
      <c r="U39" s="37" t="n">
        <v>6538.03</v>
      </c>
      <c r="V39" s="18" t="n">
        <v>8511.540000000001</v>
      </c>
      <c r="W39" s="18" t="n">
        <v>12795.06</v>
      </c>
      <c r="X39" s="18" t="n">
        <v>12795.06</v>
      </c>
      <c r="Y39" s="18" t="n">
        <v>12795.06</v>
      </c>
      <c r="Z39" s="37" t="n">
        <v>12795.06</v>
      </c>
      <c r="AA39" s="18" t="n">
        <v>12795.06</v>
      </c>
      <c r="AB39" s="19" t="n">
        <v>12795.06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59930</v>
      </c>
      <c r="F40" s="37" t="n">
        <v>59930</v>
      </c>
      <c r="G40" s="18" t="n">
        <v>60230.69</v>
      </c>
      <c r="H40" s="18" t="n">
        <v>63840.09</v>
      </c>
      <c r="I40" s="18" t="n">
        <v>66795.37</v>
      </c>
      <c r="J40" s="18" t="n">
        <v>68413.75999999999</v>
      </c>
      <c r="K40" s="37" t="n">
        <v>68413.75999999999</v>
      </c>
      <c r="L40" s="18" t="n">
        <v>77532.07000000001</v>
      </c>
      <c r="M40" s="18" t="n">
        <v>142958.8</v>
      </c>
      <c r="N40" s="18" t="n">
        <v>142481.67</v>
      </c>
      <c r="O40" s="18" t="n">
        <v>145862.2</v>
      </c>
      <c r="P40" s="37" t="n">
        <v>145862.2</v>
      </c>
      <c r="Q40" s="18" t="n">
        <v>145174.22</v>
      </c>
      <c r="R40" s="18" t="n">
        <v>148637.68</v>
      </c>
      <c r="S40" s="18" t="n">
        <v>151064.41</v>
      </c>
      <c r="T40" s="18" t="n">
        <v>154259.65</v>
      </c>
      <c r="U40" s="37" t="n">
        <v>154259.65</v>
      </c>
      <c r="V40" s="18" t="n">
        <v>154758.92</v>
      </c>
      <c r="W40" s="18" t="n">
        <v>161437.36</v>
      </c>
      <c r="X40" s="18" t="n">
        <v>169325.59</v>
      </c>
      <c r="Y40" s="18" t="n">
        <v>175072.43</v>
      </c>
      <c r="Z40" s="37" t="n">
        <v>175072.43</v>
      </c>
      <c r="AA40" s="18" t="n">
        <v>170279.96</v>
      </c>
      <c r="AB40" s="19" t="n">
        <v>178616.29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90189.64</v>
      </c>
      <c r="F41" s="37" t="n">
        <v>90189.64</v>
      </c>
      <c r="G41" s="18" t="n">
        <v>90490.32000000001</v>
      </c>
      <c r="H41" s="18" t="n">
        <v>94006.48</v>
      </c>
      <c r="I41" s="18" t="n">
        <v>95099.23</v>
      </c>
      <c r="J41" s="18" t="n">
        <v>96130.3</v>
      </c>
      <c r="K41" s="37" t="n">
        <v>96130.3</v>
      </c>
      <c r="L41" s="18" t="n">
        <v>94936.67</v>
      </c>
      <c r="M41" s="18" t="n">
        <v>163284.32</v>
      </c>
      <c r="N41" s="18" t="n">
        <v>162793.42</v>
      </c>
      <c r="O41" s="18" t="n">
        <v>161208.96</v>
      </c>
      <c r="P41" s="37" t="n">
        <v>161208.96</v>
      </c>
      <c r="Q41" s="18" t="n">
        <v>160520.98</v>
      </c>
      <c r="R41" s="18" t="n">
        <v>163984.44</v>
      </c>
      <c r="S41" s="18" t="n">
        <v>166411.17</v>
      </c>
      <c r="T41" s="18" t="n">
        <v>169606.41</v>
      </c>
      <c r="U41" s="37" t="n">
        <v>169606.41</v>
      </c>
      <c r="V41" s="18" t="n">
        <v>172079.19</v>
      </c>
      <c r="W41" s="18" t="n">
        <v>183041.15</v>
      </c>
      <c r="X41" s="18" t="n">
        <v>190929.38</v>
      </c>
      <c r="Y41" s="18" t="n">
        <v>196676.22</v>
      </c>
      <c r="Z41" s="37" t="n">
        <v>196676.22</v>
      </c>
      <c r="AA41" s="18" t="n">
        <v>191883.75</v>
      </c>
      <c r="AB41" s="19" t="n">
        <v>200220.08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173713.51</v>
      </c>
      <c r="F42" s="37" t="n">
        <v>173713.51</v>
      </c>
      <c r="G42" s="18" t="n">
        <v>180982.7</v>
      </c>
      <c r="H42" s="18" t="n">
        <v>184772.17</v>
      </c>
      <c r="I42" s="18" t="n">
        <v>180132.99</v>
      </c>
      <c r="J42" s="18" t="n">
        <v>176138.12</v>
      </c>
      <c r="K42" s="37" t="n">
        <v>176138.12</v>
      </c>
      <c r="L42" s="18" t="n">
        <v>170380.71</v>
      </c>
      <c r="M42" s="18" t="n">
        <v>223941.79</v>
      </c>
      <c r="N42" s="18" t="n">
        <v>221637.71</v>
      </c>
      <c r="O42" s="18" t="n">
        <v>219927.88</v>
      </c>
      <c r="P42" s="37" t="n">
        <v>219927.88</v>
      </c>
      <c r="Q42" s="18" t="n">
        <v>218785.9</v>
      </c>
      <c r="R42" s="18" t="n">
        <v>214258.56</v>
      </c>
      <c r="S42" s="18" t="n">
        <v>202685.59</v>
      </c>
      <c r="T42" s="18" t="n">
        <v>205296.01</v>
      </c>
      <c r="U42" s="37" t="n">
        <v>205296.01</v>
      </c>
      <c r="V42" s="18" t="n">
        <v>215685.83</v>
      </c>
      <c r="W42" s="18" t="n">
        <v>217564.76</v>
      </c>
      <c r="X42" s="18" t="n">
        <v>226587.61</v>
      </c>
      <c r="Y42" s="18" t="n">
        <v>237277.67</v>
      </c>
      <c r="Z42" s="37" t="n">
        <v>237277.67</v>
      </c>
      <c r="AA42" s="18" t="n">
        <v>297255.72</v>
      </c>
      <c r="AB42" s="19" t="n">
        <v>291643.93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90189.64</v>
      </c>
      <c r="F43" s="37" t="n">
        <v>90189.64</v>
      </c>
      <c r="G43" s="18" t="n">
        <v>90490.32000000001</v>
      </c>
      <c r="H43" s="18" t="n">
        <v>94006.48</v>
      </c>
      <c r="I43" s="18" t="n">
        <v>95099.23</v>
      </c>
      <c r="J43" s="18" t="n">
        <v>96130.3</v>
      </c>
      <c r="K43" s="37" t="n">
        <v>96130.3</v>
      </c>
      <c r="L43" s="18" t="n">
        <v>94936.67</v>
      </c>
      <c r="M43" s="18" t="n">
        <v>163284.32</v>
      </c>
      <c r="N43" s="18" t="n">
        <v>162793.42</v>
      </c>
      <c r="O43" s="18" t="n">
        <v>161208.96</v>
      </c>
      <c r="P43" s="37" t="n">
        <v>161208.96</v>
      </c>
      <c r="Q43" s="18" t="n">
        <v>160520.98</v>
      </c>
      <c r="R43" s="18" t="n">
        <v>163984.44</v>
      </c>
      <c r="S43" s="18" t="n">
        <v>166411.17</v>
      </c>
      <c r="T43" s="18" t="n">
        <v>169606.41</v>
      </c>
      <c r="U43" s="37" t="n">
        <v>169606.41</v>
      </c>
      <c r="V43" s="18" t="n">
        <v>172079.19</v>
      </c>
      <c r="W43" s="18" t="n">
        <v>183041.15</v>
      </c>
      <c r="X43" s="18" t="n">
        <v>190929.38</v>
      </c>
      <c r="Y43" s="18" t="n">
        <v>196676.22</v>
      </c>
      <c r="Z43" s="37" t="n">
        <v>196676.22</v>
      </c>
      <c r="AA43" s="18" t="n">
        <v>191883.75</v>
      </c>
      <c r="AB43" s="19" t="n">
        <v>200220.08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74472.95</v>
      </c>
      <c r="F44" s="37" t="n">
        <v>74472.95</v>
      </c>
      <c r="G44" s="18" t="n">
        <v>73585.42</v>
      </c>
      <c r="H44" s="18" t="n">
        <v>73607.50999999999</v>
      </c>
      <c r="I44" s="18" t="n">
        <v>67936.98</v>
      </c>
      <c r="J44" s="18" t="n">
        <v>63191.41</v>
      </c>
      <c r="K44" s="37" t="n">
        <v>63191.41</v>
      </c>
      <c r="L44" s="18" t="n">
        <v>54594.17</v>
      </c>
      <c r="M44" s="18" t="n">
        <v>25571.61</v>
      </c>
      <c r="N44" s="18" t="n">
        <v>25544.8</v>
      </c>
      <c r="O44" s="18" t="n">
        <v>24217.26</v>
      </c>
      <c r="P44" s="37" t="n">
        <v>24217.26</v>
      </c>
      <c r="Q44" s="18" t="n">
        <v>11133.33</v>
      </c>
      <c r="R44" s="18" t="n">
        <v>10913.3</v>
      </c>
      <c r="S44" s="18" t="n">
        <v>9904.870000000001</v>
      </c>
      <c r="T44" s="18" t="n">
        <v>9412.139999999999</v>
      </c>
      <c r="U44" s="37" t="n">
        <v>9412.139999999999</v>
      </c>
      <c r="V44" s="18" t="n">
        <v>9255.18</v>
      </c>
      <c r="W44" s="18" t="n">
        <v>9177.73</v>
      </c>
      <c r="X44" s="18" t="n">
        <v>8627.43</v>
      </c>
      <c r="Y44" s="18" t="n">
        <v>8251.42</v>
      </c>
      <c r="Z44" s="37" t="n">
        <v>8251.42</v>
      </c>
      <c r="AA44" s="18" t="n">
        <v>60790.85</v>
      </c>
      <c r="AB44" s="19" t="n">
        <v>57101.55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64020.54</v>
      </c>
      <c r="F45" s="37" t="n">
        <v>64020.54</v>
      </c>
      <c r="G45" s="18" t="n">
        <v>64484.3</v>
      </c>
      <c r="H45" s="18" t="n">
        <v>63935.71</v>
      </c>
      <c r="I45" s="18" t="n">
        <v>58709.4</v>
      </c>
      <c r="J45" s="18" t="n">
        <v>48698.55</v>
      </c>
      <c r="K45" s="37" t="n">
        <v>48698.55</v>
      </c>
      <c r="L45" s="18" t="n">
        <v>44806.34</v>
      </c>
      <c r="M45" s="18" t="n">
        <v>1647.2</v>
      </c>
      <c r="N45" s="18" t="n">
        <v>-9217.219999999999</v>
      </c>
      <c r="O45" s="18" t="n">
        <v>-6073.46</v>
      </c>
      <c r="P45" s="37" t="n">
        <v>-6073.46</v>
      </c>
      <c r="Q45" s="18" t="n">
        <v>682.77</v>
      </c>
      <c r="R45" s="18" t="n">
        <v>-1615.05</v>
      </c>
      <c r="S45" s="18" t="n">
        <v>2362.72</v>
      </c>
      <c r="T45" s="18" t="n">
        <v>-4538.44</v>
      </c>
      <c r="U45" s="37" t="n">
        <v>-4538.44</v>
      </c>
      <c r="V45" s="18" t="n">
        <v>-5706.77</v>
      </c>
      <c r="W45" s="18" t="n">
        <v>-15120.22</v>
      </c>
      <c r="X45" s="18" t="n">
        <v>-10456.05</v>
      </c>
      <c r="Y45" s="18" t="n">
        <v>-45683.6</v>
      </c>
      <c r="Z45" s="37" t="n">
        <v>-45683.6</v>
      </c>
      <c r="AA45" s="18" t="n">
        <v>35479.06</v>
      </c>
      <c r="AB45" s="19" t="n">
        <v>33869.05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11128.37</v>
      </c>
      <c r="F46" s="37" t="n">
        <v>11128.37</v>
      </c>
      <c r="G46" s="18" t="n">
        <v>9743.209999999999</v>
      </c>
      <c r="H46" s="18" t="n">
        <v>10491.7</v>
      </c>
      <c r="I46" s="18" t="n">
        <v>10123.71</v>
      </c>
      <c r="J46" s="18" t="n">
        <v>14492.86</v>
      </c>
      <c r="K46" s="37" t="n">
        <v>14492.86</v>
      </c>
      <c r="L46" s="18" t="n">
        <v>9787.83</v>
      </c>
      <c r="M46" s="18" t="n">
        <v>23924.41</v>
      </c>
      <c r="N46" s="18" t="n">
        <v>73573.92</v>
      </c>
      <c r="O46" s="18" t="n">
        <v>66656.07000000001</v>
      </c>
      <c r="P46" s="37" t="n">
        <v>66656.07000000001</v>
      </c>
      <c r="Q46" s="18" t="n">
        <v>45207.42</v>
      </c>
      <c r="R46" s="18" t="n">
        <v>47092.09</v>
      </c>
      <c r="S46" s="18" t="n">
        <v>37907.58</v>
      </c>
      <c r="T46" s="18" t="n">
        <v>17950.96</v>
      </c>
      <c r="U46" s="37" t="n">
        <v>17950.96</v>
      </c>
      <c r="V46" s="18" t="n">
        <v>25174</v>
      </c>
      <c r="W46" s="18" t="n">
        <v>58332.61</v>
      </c>
      <c r="X46" s="18" t="n">
        <v>73833.53999999999</v>
      </c>
      <c r="Y46" s="18" t="n">
        <v>74732.39</v>
      </c>
      <c r="Z46" s="37" t="n">
        <v>74732.39</v>
      </c>
      <c r="AA46" s="18" t="n">
        <v>28025.34</v>
      </c>
      <c r="AB46" s="19" t="n">
        <v>24753.94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당기법인세부채(미지급법인세)</t>
        </is>
      </c>
      <c r="F47" s="9" t="n"/>
      <c r="G47" s="18" t="n">
        <v>241.81</v>
      </c>
      <c r="H47" s="18" t="n">
        <v>828.02</v>
      </c>
      <c r="I47" s="18" t="n">
        <v>1866.91</v>
      </c>
      <c r="J47" s="18" t="n">
        <v>2143.79</v>
      </c>
      <c r="K47" s="37" t="n">
        <v>2143.79</v>
      </c>
      <c r="L47" s="18" t="n">
        <v>2150.59</v>
      </c>
      <c r="M47" s="18" t="n">
        <v>20534.86</v>
      </c>
      <c r="N47" s="18" t="n">
        <v>19399.63</v>
      </c>
      <c r="O47" s="18" t="n">
        <v>19088.82</v>
      </c>
      <c r="P47" s="37" t="n">
        <v>19088.82</v>
      </c>
      <c r="Q47" s="18" t="n">
        <v>19808.45</v>
      </c>
      <c r="R47" s="18" t="n">
        <v>18947.43</v>
      </c>
      <c r="S47" s="18" t="n">
        <v>5613.17</v>
      </c>
      <c r="T47" s="18" t="n">
        <v>1782.31</v>
      </c>
      <c r="U47" s="37" t="n">
        <v>1782.31</v>
      </c>
      <c r="V47" s="18" t="n">
        <v>2308.29</v>
      </c>
      <c r="W47" s="18" t="n">
        <v>3037.57</v>
      </c>
      <c r="X47" s="18" t="n">
        <v>3053.19</v>
      </c>
      <c r="Y47" s="18" t="n">
        <v>4117.89</v>
      </c>
      <c r="Z47" s="37" t="n">
        <v>4117.89</v>
      </c>
      <c r="AA47" s="18" t="n">
        <v>3686.15</v>
      </c>
      <c r="AB47" s="19" t="n">
        <v>3933.76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H48" s="18" t="n">
        <v>665.11</v>
      </c>
      <c r="I48" s="18" t="n">
        <v>635.15</v>
      </c>
      <c r="J48" s="18" t="n">
        <v>875.13</v>
      </c>
      <c r="K48" s="37" t="n">
        <v>875.13</v>
      </c>
      <c r="L48" s="18" t="n">
        <v>846.23</v>
      </c>
      <c r="M48" s="18" t="n">
        <v>915.8</v>
      </c>
      <c r="N48" s="18" t="n">
        <v>741.14</v>
      </c>
      <c r="O48" s="18" t="n">
        <v>866.41</v>
      </c>
      <c r="P48" s="37" t="n">
        <v>866.41</v>
      </c>
      <c r="Q48" s="18" t="n">
        <v>911.08</v>
      </c>
      <c r="R48" s="18" t="n">
        <v>374.35</v>
      </c>
      <c r="S48" s="18" t="n">
        <v>363.83</v>
      </c>
      <c r="T48" s="18" t="n">
        <v>843.3099999999999</v>
      </c>
      <c r="U48" s="37" t="n">
        <v>843.3099999999999</v>
      </c>
      <c r="V48" s="18" t="n">
        <v>840.28</v>
      </c>
      <c r="W48" s="18" t="n">
        <v>516.92</v>
      </c>
      <c r="X48" s="18" t="n">
        <v>516.92</v>
      </c>
      <c r="Y48" s="18" t="n">
        <v>1132.11</v>
      </c>
      <c r="Z48" s="37" t="n">
        <v>1132.11</v>
      </c>
      <c r="AA48" s="18" t="n">
        <v>592.79</v>
      </c>
      <c r="AB48" s="19" t="n">
        <v>645.84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기타비유동금융부채</t>
        </is>
      </c>
      <c r="F49" s="9" t="n"/>
      <c r="K49" s="9" t="n"/>
      <c r="L49" s="18" t="n">
        <v>15.05</v>
      </c>
      <c r="M49" s="18" t="n">
        <v>21.64</v>
      </c>
      <c r="P49" s="9" t="n"/>
      <c r="U49" s="9" t="n"/>
      <c r="Z49" s="9" t="n"/>
      <c r="AB49" s="19" t="n">
        <v>84.15000000000001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K50" s="9" t="n"/>
      <c r="N50" s="18" t="n">
        <v>38961.54</v>
      </c>
      <c r="O50" s="18" t="n">
        <v>46645.24</v>
      </c>
      <c r="P50" s="37" t="n">
        <v>46645.24</v>
      </c>
      <c r="Q50" s="18" t="n">
        <v>53770.33</v>
      </c>
      <c r="R50" s="18" t="n">
        <v>47194.25</v>
      </c>
      <c r="S50" s="18" t="n">
        <v>43946.1</v>
      </c>
      <c r="T50" s="18" t="n">
        <v>57403.76</v>
      </c>
      <c r="U50" s="37" t="n">
        <v>57403.76</v>
      </c>
      <c r="V50" s="18" t="n">
        <v>55377.44</v>
      </c>
      <c r="W50" s="18" t="n">
        <v>24595.6</v>
      </c>
      <c r="X50" s="18" t="n">
        <v>16923.46</v>
      </c>
      <c r="Y50" s="18" t="n">
        <v>12005.61</v>
      </c>
      <c r="Z50" s="37" t="n">
        <v>12005.61</v>
      </c>
      <c r="AA50" s="18" t="n">
        <v>11595.15</v>
      </c>
      <c r="AB50" s="19" t="n">
        <v>7077.39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991.47</v>
      </c>
      <c r="O51" s="18" t="n">
        <v>373.93</v>
      </c>
      <c r="P51" s="37" t="n">
        <v>373.93</v>
      </c>
      <c r="R51" s="18" t="n">
        <v>489.97</v>
      </c>
      <c r="S51" s="18" t="n">
        <v>191.54</v>
      </c>
      <c r="T51" s="18" t="n">
        <v>408.81</v>
      </c>
      <c r="U51" s="37" t="n">
        <v>408.81</v>
      </c>
      <c r="V51" s="18" t="n">
        <v>961.85</v>
      </c>
      <c r="W51" s="18" t="n">
        <v>784.4</v>
      </c>
      <c r="X51" s="18" t="n">
        <v>444.1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K52" s="9" t="n"/>
      <c r="P52" s="9" t="n"/>
      <c r="R52" s="18" t="n">
        <v>648.37</v>
      </c>
      <c r="S52" s="18" t="n">
        <v>628.41</v>
      </c>
      <c r="T52" s="18" t="n">
        <v>313.72</v>
      </c>
      <c r="U52" s="37" t="n">
        <v>313.72</v>
      </c>
      <c r="V52" s="18" t="n">
        <v>275.21</v>
      </c>
      <c r="W52" s="18" t="n">
        <v>871.67</v>
      </c>
      <c r="X52" s="18" t="n">
        <v>871.67</v>
      </c>
      <c r="Y52" s="18" t="n">
        <v>404.51</v>
      </c>
      <c r="Z52" s="37" t="n">
        <v>404.51</v>
      </c>
      <c r="AA52" s="18" t="n">
        <v>1009.93</v>
      </c>
      <c r="AB52" s="19" t="n">
        <v>1102.43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6873.33</v>
      </c>
      <c r="T53" s="18" t="n">
        <v>6163.33</v>
      </c>
      <c r="U53" s="37" t="n">
        <v>6163.33</v>
      </c>
      <c r="W53" s="18" t="n">
        <v>810</v>
      </c>
      <c r="X53" s="18" t="n">
        <v>1310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사용권자산</t>
        </is>
      </c>
      <c r="F54" s="9" t="n"/>
      <c r="K54" s="9" t="n"/>
      <c r="P54" s="9" t="n"/>
      <c r="U54" s="9" t="n"/>
      <c r="Y54" s="18" t="n">
        <v>10.25</v>
      </c>
      <c r="Z54" s="37" t="n">
        <v>10.25</v>
      </c>
      <c r="AA54" s="18" t="n">
        <v>6.91</v>
      </c>
      <c r="AB54" s="19" t="n">
        <v>5.61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기타비유동자산</t>
        </is>
      </c>
      <c r="F55" s="9" t="n"/>
      <c r="K55" s="9" t="n"/>
      <c r="P55" s="9" t="n"/>
      <c r="U55" s="9" t="n"/>
      <c r="Y55" s="18" t="n">
        <v>10.25</v>
      </c>
      <c r="Z55" s="37" t="n">
        <v>10.25</v>
      </c>
      <c r="AA55" s="18" t="n">
        <v>6.91</v>
      </c>
      <c r="AB55" s="19" t="n">
        <v>5.61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15395.23</v>
      </c>
      <c r="F56" s="9" t="n"/>
      <c r="G56" s="18" t="n">
        <v>15073.85</v>
      </c>
      <c r="H56" s="18" t="n">
        <v>25281.15</v>
      </c>
      <c r="I56" s="18" t="n">
        <v>25927.99</v>
      </c>
      <c r="J56" s="18" t="n">
        <v>28017.68</v>
      </c>
      <c r="K56" s="37" t="n">
        <v>94300.67</v>
      </c>
      <c r="L56" s="18" t="n">
        <v>21554.51</v>
      </c>
      <c r="M56" s="18" t="n">
        <v>20076.61</v>
      </c>
      <c r="N56" s="18" t="n">
        <v>16917.7</v>
      </c>
      <c r="O56" s="18" t="n">
        <v>18798.32</v>
      </c>
      <c r="P56" s="37" t="n">
        <v>77347.14</v>
      </c>
      <c r="Q56" s="18" t="n">
        <v>22743.58</v>
      </c>
      <c r="R56" s="18" t="n">
        <v>25215.47</v>
      </c>
      <c r="S56" s="18" t="n">
        <v>22818.91</v>
      </c>
      <c r="T56" s="18" t="n">
        <v>31815.15</v>
      </c>
      <c r="U56" s="37" t="n">
        <v>102593.11</v>
      </c>
      <c r="V56" s="18" t="n">
        <v>26551.91</v>
      </c>
      <c r="W56" s="18" t="n">
        <v>34548.56</v>
      </c>
      <c r="X56" s="18" t="n">
        <v>31016.57</v>
      </c>
      <c r="Y56" s="18" t="n">
        <v>39519.79</v>
      </c>
      <c r="Z56" s="37" t="n">
        <v>131636.83</v>
      </c>
      <c r="AA56" s="18" t="n">
        <v>38816.33</v>
      </c>
      <c r="AB56" s="19" t="n">
        <v>42619.59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12066.35</v>
      </c>
      <c r="F57" s="9" t="n"/>
      <c r="G57" s="18" t="n">
        <v>10851.01</v>
      </c>
      <c r="H57" s="18" t="n">
        <v>17950.2</v>
      </c>
      <c r="I57" s="18" t="n">
        <v>17148.28</v>
      </c>
      <c r="J57" s="18" t="n">
        <v>21929.17</v>
      </c>
      <c r="K57" s="37" t="n">
        <v>67878.66</v>
      </c>
      <c r="L57" s="18" t="n">
        <v>15109.32</v>
      </c>
      <c r="M57" s="18" t="n">
        <v>12758.95</v>
      </c>
      <c r="N57" s="18" t="n">
        <v>10351.45</v>
      </c>
      <c r="O57" s="18" t="n">
        <v>13925.78</v>
      </c>
      <c r="P57" s="37" t="n">
        <v>52145.5</v>
      </c>
      <c r="Q57" s="18" t="n">
        <v>15610.4</v>
      </c>
      <c r="R57" s="18" t="n">
        <v>17871.44</v>
      </c>
      <c r="S57" s="18" t="n">
        <v>15086.99</v>
      </c>
      <c r="T57" s="18" t="n">
        <v>21396.2</v>
      </c>
      <c r="U57" s="37" t="n">
        <v>69965.03</v>
      </c>
      <c r="V57" s="18" t="n">
        <v>17967.77</v>
      </c>
      <c r="W57" s="18" t="n">
        <v>23392.41</v>
      </c>
      <c r="X57" s="18" t="n">
        <v>19947.2</v>
      </c>
      <c r="Y57" s="18" t="n">
        <v>26742.8</v>
      </c>
      <c r="Z57" s="37" t="n">
        <v>88050.17999999999</v>
      </c>
      <c r="AA57" s="18" t="n">
        <v>28180.06</v>
      </c>
      <c r="AB57" s="19" t="n">
        <v>26974.72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3328.88</v>
      </c>
      <c r="F58" s="9" t="n"/>
      <c r="G58" s="18" t="n">
        <v>4222.84</v>
      </c>
      <c r="H58" s="18" t="n">
        <v>7330.95</v>
      </c>
      <c r="I58" s="18" t="n">
        <v>8779.709999999999</v>
      </c>
      <c r="J58" s="18" t="n">
        <v>6088.5</v>
      </c>
      <c r="K58" s="37" t="n">
        <v>26422</v>
      </c>
      <c r="L58" s="18" t="n">
        <v>6445.19</v>
      </c>
      <c r="M58" s="18" t="n">
        <v>7317.66</v>
      </c>
      <c r="N58" s="18" t="n">
        <v>6566.25</v>
      </c>
      <c r="O58" s="18" t="n">
        <v>4872.54</v>
      </c>
      <c r="P58" s="37" t="n">
        <v>25201.64</v>
      </c>
      <c r="Q58" s="18" t="n">
        <v>7133.18</v>
      </c>
      <c r="R58" s="18" t="n">
        <v>7344.03</v>
      </c>
      <c r="S58" s="18" t="n">
        <v>7731.92</v>
      </c>
      <c r="T58" s="18" t="n">
        <v>10418.95</v>
      </c>
      <c r="U58" s="37" t="n">
        <v>32628.08</v>
      </c>
      <c r="V58" s="18" t="n">
        <v>8584.129999999999</v>
      </c>
      <c r="W58" s="18" t="n">
        <v>11156.14</v>
      </c>
      <c r="X58" s="18" t="n">
        <v>11069.37</v>
      </c>
      <c r="Y58" s="18" t="n">
        <v>12776.99</v>
      </c>
      <c r="Z58" s="37" t="n">
        <v>43586.63</v>
      </c>
      <c r="AA58" s="18" t="n">
        <v>10636.26</v>
      </c>
      <c r="AB58" s="19" t="n">
        <v>15644.87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4125.75</v>
      </c>
      <c r="F59" s="9" t="n"/>
      <c r="G59" s="18" t="n">
        <v>3325.82</v>
      </c>
      <c r="H59" s="18" t="n">
        <v>4974.17</v>
      </c>
      <c r="I59" s="18" t="n">
        <v>4096.42</v>
      </c>
      <c r="J59" s="18" t="n">
        <v>5796.43</v>
      </c>
      <c r="K59" s="37" t="n">
        <v>18192.84</v>
      </c>
      <c r="L59" s="18" t="n">
        <v>5267.93</v>
      </c>
      <c r="M59" s="18" t="n">
        <v>6039.98</v>
      </c>
      <c r="N59" s="18" t="n">
        <v>5250.36</v>
      </c>
      <c r="O59" s="18" t="n">
        <v>3467.18</v>
      </c>
      <c r="P59" s="37" t="n">
        <v>20025.45</v>
      </c>
      <c r="Q59" s="18" t="n">
        <v>3270.06</v>
      </c>
      <c r="R59" s="18" t="n">
        <v>3502.15</v>
      </c>
      <c r="S59" s="18" t="n">
        <v>4699.57</v>
      </c>
      <c r="T59" s="18" t="n">
        <v>5546.95</v>
      </c>
      <c r="U59" s="37" t="n">
        <v>17018.73</v>
      </c>
      <c r="V59" s="18" t="n">
        <v>3764.8</v>
      </c>
      <c r="W59" s="18" t="n">
        <v>4838.7</v>
      </c>
      <c r="X59" s="18" t="n">
        <v>5722.97</v>
      </c>
      <c r="Y59" s="18" t="n">
        <v>6889.69</v>
      </c>
      <c r="Z59" s="37" t="n">
        <v>21216.16</v>
      </c>
      <c r="AA59" s="18" t="n">
        <v>6001.66</v>
      </c>
      <c r="AB59" s="19" t="n">
        <v>6317.51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-796.88</v>
      </c>
      <c r="F60" s="9" t="n"/>
      <c r="G60" s="18" t="n">
        <v>897.01</v>
      </c>
      <c r="H60" s="18" t="n">
        <v>2356.78</v>
      </c>
      <c r="I60" s="18" t="n">
        <v>4683.29</v>
      </c>
      <c r="J60" s="18" t="n">
        <v>292.08</v>
      </c>
      <c r="K60" s="37" t="n">
        <v>8229.16</v>
      </c>
      <c r="L60" s="18" t="n">
        <v>1177.26</v>
      </c>
      <c r="M60" s="18" t="n">
        <v>1277.68</v>
      </c>
      <c r="N60" s="18" t="n">
        <v>1315.89</v>
      </c>
      <c r="O60" s="18" t="n">
        <v>1405.36</v>
      </c>
      <c r="P60" s="37" t="n">
        <v>5176.19</v>
      </c>
      <c r="Q60" s="18" t="n">
        <v>3863.12</v>
      </c>
      <c r="R60" s="18" t="n">
        <v>3841.88</v>
      </c>
      <c r="S60" s="18" t="n">
        <v>3032.35</v>
      </c>
      <c r="T60" s="18" t="n">
        <v>4872</v>
      </c>
      <c r="U60" s="37" t="n">
        <v>15609.35</v>
      </c>
      <c r="V60" s="18" t="n">
        <v>4819.33</v>
      </c>
      <c r="W60" s="18" t="n">
        <v>6317.44</v>
      </c>
      <c r="X60" s="18" t="n">
        <v>5346.4</v>
      </c>
      <c r="Y60" s="18" t="n">
        <v>5887.29</v>
      </c>
      <c r="Z60" s="37" t="n">
        <v>22370.46</v>
      </c>
      <c r="AA60" s="18" t="n">
        <v>4634.6</v>
      </c>
      <c r="AB60" s="19" t="n">
        <v>9327.360000000001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406.35</v>
      </c>
      <c r="F61" s="9" t="n"/>
      <c r="G61" s="18" t="n">
        <v>378.66</v>
      </c>
      <c r="H61" s="18" t="n">
        <v>389.69</v>
      </c>
      <c r="I61" s="18" t="n">
        <v>391.58</v>
      </c>
      <c r="J61" s="18" t="n">
        <v>448.1</v>
      </c>
      <c r="K61" s="37" t="n">
        <v>1608.03</v>
      </c>
      <c r="L61" s="18" t="n">
        <v>403.23</v>
      </c>
      <c r="M61" s="18" t="n">
        <v>400.91</v>
      </c>
      <c r="N61" s="18" t="n">
        <v>162.81</v>
      </c>
      <c r="O61" s="18" t="n">
        <v>162.5</v>
      </c>
      <c r="P61" s="37" t="n">
        <v>1129.45</v>
      </c>
      <c r="Q61" s="18" t="n">
        <v>110.3</v>
      </c>
      <c r="R61" s="18" t="n">
        <v>80.48999999999999</v>
      </c>
      <c r="S61" s="18" t="n">
        <v>77.56</v>
      </c>
      <c r="T61" s="18" t="n">
        <v>75.17</v>
      </c>
      <c r="U61" s="37" t="n">
        <v>343.52</v>
      </c>
      <c r="V61" s="18" t="n">
        <v>83.65000000000001</v>
      </c>
      <c r="W61" s="18" t="n">
        <v>2774.13</v>
      </c>
      <c r="X61" s="18" t="n">
        <v>61.73</v>
      </c>
      <c r="Y61" s="18" t="n">
        <v>56.94</v>
      </c>
      <c r="Z61" s="37" t="n">
        <v>2976.45</v>
      </c>
      <c r="AA61" s="18" t="n">
        <v>345.44</v>
      </c>
      <c r="AB61" s="19" t="n">
        <v>367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2935.25</v>
      </c>
      <c r="F62" s="9" t="n"/>
      <c r="G62" s="18" t="n">
        <v>2299.32</v>
      </c>
      <c r="H62" s="18" t="n">
        <v>3912.25</v>
      </c>
      <c r="I62" s="18" t="n">
        <v>2241.02</v>
      </c>
      <c r="J62" s="18" t="n">
        <v>1383.83</v>
      </c>
      <c r="K62" s="37" t="n">
        <v>9836.42</v>
      </c>
      <c r="L62" s="18" t="n">
        <v>1180.11</v>
      </c>
      <c r="M62" s="18" t="n">
        <v>87554.14999999999</v>
      </c>
      <c r="N62" s="18" t="n">
        <v>-258.51</v>
      </c>
      <c r="O62" s="18" t="n">
        <v>5009.56</v>
      </c>
      <c r="P62" s="37" t="n">
        <v>93485.31</v>
      </c>
      <c r="Q62" s="18" t="n">
        <v>2485.11</v>
      </c>
      <c r="R62" s="18" t="n">
        <v>661.24</v>
      </c>
      <c r="S62" s="18" t="n">
        <v>905.05</v>
      </c>
      <c r="T62" s="18" t="n">
        <v>2099.43</v>
      </c>
      <c r="U62" s="37" t="n">
        <v>6150.83</v>
      </c>
      <c r="V62" s="18" t="n">
        <v>1975.65</v>
      </c>
      <c r="W62" s="18" t="n">
        <v>1196.62</v>
      </c>
      <c r="X62" s="18" t="n">
        <v>4389.34</v>
      </c>
      <c r="Y62" s="18" t="n">
        <v>2566.11</v>
      </c>
      <c r="Z62" s="37" t="n">
        <v>10127.72</v>
      </c>
      <c r="AA62" s="18" t="n">
        <v>4667.76</v>
      </c>
      <c r="AB62" s="19" t="n">
        <v>3668.44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1337.96</v>
      </c>
      <c r="F63" s="9" t="n"/>
      <c r="G63" s="18" t="n">
        <v>749.1900000000001</v>
      </c>
      <c r="H63" s="18" t="n">
        <v>1881.9</v>
      </c>
      <c r="I63" s="18" t="n">
        <v>2951.52</v>
      </c>
      <c r="J63" s="18" t="n">
        <v>2656.06</v>
      </c>
      <c r="K63" s="37" t="n">
        <v>8238.67</v>
      </c>
      <c r="L63" s="18" t="n">
        <v>1069.04</v>
      </c>
      <c r="M63" s="18" t="n">
        <v>996.9299999999999</v>
      </c>
      <c r="N63" s="18" t="n">
        <v>2157.12</v>
      </c>
      <c r="O63" s="18" t="n">
        <v>4114.95</v>
      </c>
      <c r="P63" s="37" t="n">
        <v>8338.040000000001</v>
      </c>
      <c r="Q63" s="18" t="n">
        <v>1862.99</v>
      </c>
      <c r="R63" s="18" t="n">
        <v>1141.73</v>
      </c>
      <c r="S63" s="18" t="n">
        <v>1633.24</v>
      </c>
      <c r="T63" s="18" t="n">
        <v>4602.77</v>
      </c>
      <c r="U63" s="37" t="n">
        <v>9240.73</v>
      </c>
      <c r="V63" s="18" t="n">
        <v>358.66</v>
      </c>
      <c r="W63" s="18" t="n">
        <v>66.58</v>
      </c>
      <c r="X63" s="18" t="n">
        <v>208.45</v>
      </c>
      <c r="Y63" s="18" t="n">
        <v>3622.03</v>
      </c>
      <c r="Z63" s="37" t="n">
        <v>4255.72</v>
      </c>
      <c r="AA63" s="18" t="n">
        <v>1985.96</v>
      </c>
      <c r="AB63" s="19" t="n">
        <v>2258.27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1599.82</v>
      </c>
      <c r="F64" s="9" t="n"/>
      <c r="G64" s="18" t="n">
        <v>2242</v>
      </c>
      <c r="H64" s="18" t="n">
        <v>4327.9</v>
      </c>
      <c r="I64" s="18" t="n">
        <v>3620.19</v>
      </c>
      <c r="J64" s="18" t="n">
        <v>1369.31</v>
      </c>
      <c r="K64" s="37" t="n">
        <v>11559.4</v>
      </c>
      <c r="L64" s="18" t="n">
        <v>987.41</v>
      </c>
      <c r="M64" s="18" t="n">
        <v>87697.56</v>
      </c>
      <c r="N64" s="18" t="n">
        <v>-591.5</v>
      </c>
      <c r="O64" s="18" t="n">
        <v>3568.05</v>
      </c>
      <c r="P64" s="37" t="n">
        <v>91661.52</v>
      </c>
      <c r="Q64" s="18" t="n">
        <v>5129.59</v>
      </c>
      <c r="R64" s="18" t="n">
        <v>4232.86</v>
      </c>
      <c r="S64" s="18" t="n">
        <v>2842.77</v>
      </c>
      <c r="T64" s="18" t="n">
        <v>2948.82</v>
      </c>
      <c r="U64" s="37" t="n">
        <v>15154.04</v>
      </c>
      <c r="V64" s="18" t="n">
        <v>6678.75</v>
      </c>
      <c r="W64" s="18" t="n">
        <v>7519.92</v>
      </c>
      <c r="X64" s="18" t="n">
        <v>9936.76</v>
      </c>
      <c r="Y64" s="18" t="n">
        <v>6115.21</v>
      </c>
      <c r="Z64" s="37" t="n">
        <v>30250.64</v>
      </c>
      <c r="AA64" s="18" t="n">
        <v>7021.87</v>
      </c>
      <c r="AB64" s="19" t="n">
        <v>10471.56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215.3</v>
      </c>
      <c r="F65" s="9" t="n"/>
      <c r="G65" s="18" t="n">
        <v>179.57</v>
      </c>
      <c r="H65" s="18" t="n">
        <v>718.5</v>
      </c>
      <c r="I65" s="18" t="n">
        <v>664.91</v>
      </c>
      <c r="J65" s="18" t="n">
        <v>-249.08</v>
      </c>
      <c r="K65" s="37" t="n">
        <v>1313.9</v>
      </c>
      <c r="L65" s="18" t="n">
        <v>155.7</v>
      </c>
      <c r="M65" s="18" t="n">
        <v>19588.31</v>
      </c>
      <c r="N65" s="18" t="n">
        <v>-114.37</v>
      </c>
      <c r="O65" s="18" t="n">
        <v>187.52</v>
      </c>
      <c r="P65" s="37" t="n">
        <v>19817.16</v>
      </c>
      <c r="Q65" s="18" t="n">
        <v>914.47</v>
      </c>
      <c r="R65" s="18" t="n">
        <v>769.39</v>
      </c>
      <c r="S65" s="18" t="n">
        <v>416.04</v>
      </c>
      <c r="T65" s="18" t="n">
        <v>-246.41</v>
      </c>
      <c r="U65" s="37" t="n">
        <v>1853.49</v>
      </c>
      <c r="V65" s="18" t="n">
        <v>1276.38</v>
      </c>
      <c r="W65" s="18" t="n">
        <v>841.48</v>
      </c>
      <c r="X65" s="18" t="n">
        <v>2048.52</v>
      </c>
      <c r="Y65" s="18" t="n">
        <v>368.38</v>
      </c>
      <c r="Z65" s="37" t="n">
        <v>4534.76</v>
      </c>
      <c r="AA65" s="18" t="n">
        <v>1206.34</v>
      </c>
      <c r="AB65" s="19" t="n">
        <v>2135.24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1384.53</v>
      </c>
      <c r="F66" s="9" t="n"/>
      <c r="G66" s="18" t="n">
        <v>2062.43</v>
      </c>
      <c r="H66" s="18" t="n">
        <v>3609.4</v>
      </c>
      <c r="I66" s="18" t="n">
        <v>2955.28</v>
      </c>
      <c r="J66" s="18" t="n">
        <v>1618.39</v>
      </c>
      <c r="K66" s="37" t="n">
        <v>10245.5</v>
      </c>
      <c r="L66" s="18" t="n">
        <v>831.71</v>
      </c>
      <c r="M66" s="18" t="n">
        <v>68109.25999999999</v>
      </c>
      <c r="N66" s="18" t="n">
        <v>-477.13</v>
      </c>
      <c r="O66" s="18" t="n">
        <v>3380.53</v>
      </c>
      <c r="P66" s="37" t="n">
        <v>71844.37</v>
      </c>
      <c r="Q66" s="18" t="n">
        <v>4215.12</v>
      </c>
      <c r="R66" s="18" t="n">
        <v>3463.46</v>
      </c>
      <c r="S66" s="18" t="n">
        <v>2426.73</v>
      </c>
      <c r="T66" s="18" t="n">
        <v>3195.23</v>
      </c>
      <c r="U66" s="37" t="n">
        <v>13300.54</v>
      </c>
      <c r="V66" s="18" t="n">
        <v>5402.37</v>
      </c>
      <c r="W66" s="18" t="n">
        <v>6678.44</v>
      </c>
      <c r="X66" s="18" t="n">
        <v>7888.23</v>
      </c>
      <c r="Y66" s="18" t="n">
        <v>5746.83</v>
      </c>
      <c r="Z66" s="37" t="n">
        <v>25715.87</v>
      </c>
      <c r="AA66" s="18" t="n">
        <v>5815.53</v>
      </c>
      <c r="AB66" s="19" t="n">
        <v>8336.33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1384.53</v>
      </c>
      <c r="F67" s="9" t="n"/>
      <c r="G67" s="18" t="n">
        <v>2062.43</v>
      </c>
      <c r="H67" s="18" t="n">
        <v>3609.4</v>
      </c>
      <c r="I67" s="18" t="n">
        <v>2955.28</v>
      </c>
      <c r="J67" s="18" t="n">
        <v>1618.39</v>
      </c>
      <c r="K67" s="37" t="n">
        <v>10245.5</v>
      </c>
      <c r="L67" s="18" t="n">
        <v>831.71</v>
      </c>
      <c r="M67" s="18" t="n">
        <v>68109.25999999999</v>
      </c>
      <c r="N67" s="18" t="n">
        <v>-477.13</v>
      </c>
      <c r="O67" s="18" t="n">
        <v>3380.53</v>
      </c>
      <c r="P67" s="37" t="n">
        <v>71844.37</v>
      </c>
      <c r="Q67" s="18" t="n">
        <v>4215.12</v>
      </c>
      <c r="R67" s="18" t="n">
        <v>3463.46</v>
      </c>
      <c r="S67" s="18" t="n">
        <v>2426.73</v>
      </c>
      <c r="T67" s="18" t="n">
        <v>3195.23</v>
      </c>
      <c r="U67" s="37" t="n">
        <v>13300.54</v>
      </c>
      <c r="V67" s="18" t="n">
        <v>5402.37</v>
      </c>
      <c r="W67" s="18" t="n">
        <v>6678.44</v>
      </c>
      <c r="X67" s="18" t="n">
        <v>7888.23</v>
      </c>
      <c r="Y67" s="18" t="n">
        <v>5746.83</v>
      </c>
      <c r="Z67" s="37" t="n">
        <v>25715.87</v>
      </c>
      <c r="AA67" s="18" t="n">
        <v>5815.53</v>
      </c>
      <c r="AB67" s="19" t="n">
        <v>8336.33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-406.35</v>
      </c>
      <c r="F68" s="9" t="n"/>
      <c r="G68" s="18" t="n">
        <v>-378.66</v>
      </c>
      <c r="H68" s="18" t="n">
        <v>-389.69</v>
      </c>
      <c r="I68" s="18" t="n">
        <v>-391.58</v>
      </c>
      <c r="J68" s="18" t="n">
        <v>2892.44</v>
      </c>
      <c r="K68" s="37" t="n">
        <v>1732.51</v>
      </c>
      <c r="L68" s="18" t="n">
        <v>-300.92</v>
      </c>
      <c r="M68" s="18" t="n">
        <v>-137.33</v>
      </c>
      <c r="N68" s="18" t="n">
        <v>508.25</v>
      </c>
      <c r="O68" s="18" t="n">
        <v>1268.09</v>
      </c>
      <c r="P68" s="37" t="n">
        <v>1338.09</v>
      </c>
      <c r="Q68" s="18" t="n">
        <v>644.35</v>
      </c>
      <c r="R68" s="18" t="n">
        <v>871.48</v>
      </c>
      <c r="S68" s="18" t="n">
        <v>538.62</v>
      </c>
      <c r="T68" s="18" t="n">
        <v>580.15</v>
      </c>
      <c r="U68" s="37" t="n">
        <v>2634.6</v>
      </c>
      <c r="V68" s="18" t="n">
        <v>242.44</v>
      </c>
      <c r="W68" s="18" t="n">
        <v>72.45</v>
      </c>
      <c r="X68" s="18" t="n">
        <v>409.47</v>
      </c>
      <c r="Y68" s="18" t="n">
        <v>1283.83</v>
      </c>
      <c r="Z68" s="37" t="n">
        <v>2008.19</v>
      </c>
      <c r="AA68" s="18" t="n">
        <v>-294.54</v>
      </c>
      <c r="AB68" s="19" t="n">
        <v>-265.97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1597.29</v>
      </c>
      <c r="F69" s="9" t="n"/>
      <c r="G69" s="18" t="n">
        <v>1550.13</v>
      </c>
      <c r="H69" s="18" t="n">
        <v>2030.35</v>
      </c>
      <c r="I69" s="18" t="n">
        <v>-710.5</v>
      </c>
      <c r="J69" s="18" t="n">
        <v>-1272.23</v>
      </c>
      <c r="K69" s="37" t="n">
        <v>1597.75</v>
      </c>
      <c r="L69" s="18" t="n">
        <v>111.07</v>
      </c>
      <c r="M69" s="18" t="n">
        <v>86557.22</v>
      </c>
      <c r="N69" s="18" t="n">
        <v>-2415.63</v>
      </c>
      <c r="O69" s="18" t="n">
        <v>894.61</v>
      </c>
      <c r="P69" s="37" t="n">
        <v>85147.27</v>
      </c>
      <c r="Q69" s="18" t="n">
        <v>622.12</v>
      </c>
      <c r="R69" s="18" t="n">
        <v>-480.49</v>
      </c>
      <c r="S69" s="18" t="n">
        <v>-728.1900000000001</v>
      </c>
      <c r="T69" s="18" t="n">
        <v>-2503.34</v>
      </c>
      <c r="U69" s="37" t="n">
        <v>-3089.9</v>
      </c>
      <c r="V69" s="18" t="n">
        <v>1616.99</v>
      </c>
      <c r="W69" s="18" t="n">
        <v>1130.04</v>
      </c>
      <c r="X69" s="18" t="n">
        <v>4180.89</v>
      </c>
      <c r="Y69" s="18" t="n">
        <v>-1055.92</v>
      </c>
      <c r="Z69" s="37" t="n">
        <v>5872</v>
      </c>
      <c r="AA69" s="18" t="n">
        <v>2681.8</v>
      </c>
      <c r="AB69" s="19" t="n">
        <v>1410.17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1384.53</v>
      </c>
      <c r="F70" s="9" t="n"/>
      <c r="G70" s="18" t="n">
        <v>2062.43</v>
      </c>
      <c r="H70" s="18" t="n">
        <v>3609.4</v>
      </c>
      <c r="I70" s="18" t="n">
        <v>2955.28</v>
      </c>
      <c r="J70" s="18" t="n">
        <v>1618.39</v>
      </c>
      <c r="K70" s="37" t="n">
        <v>10245.5</v>
      </c>
      <c r="L70" s="18" t="n">
        <v>831.71</v>
      </c>
      <c r="M70" s="18" t="n">
        <v>68109.25999999999</v>
      </c>
      <c r="N70" s="18" t="n">
        <v>-477.13</v>
      </c>
      <c r="O70" s="18" t="n">
        <v>3380.53</v>
      </c>
      <c r="P70" s="37" t="n">
        <v>71844.37</v>
      </c>
      <c r="Q70" s="18" t="n">
        <v>4215.12</v>
      </c>
      <c r="R70" s="18" t="n">
        <v>3463.46</v>
      </c>
      <c r="S70" s="18" t="n">
        <v>2426.73</v>
      </c>
      <c r="T70" s="18" t="n">
        <v>3195.23</v>
      </c>
      <c r="U70" s="37" t="n">
        <v>13300.54</v>
      </c>
      <c r="V70" s="18" t="n">
        <v>5402.37</v>
      </c>
      <c r="W70" s="18" t="n">
        <v>6678.44</v>
      </c>
      <c r="X70" s="18" t="n">
        <v>7888.23</v>
      </c>
      <c r="Y70" s="18" t="n">
        <v>5746.83</v>
      </c>
      <c r="Z70" s="37" t="n">
        <v>25715.87</v>
      </c>
      <c r="AA70" s="18" t="n">
        <v>5815.53</v>
      </c>
      <c r="AB70" s="19" t="n">
        <v>8336.33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1384.53</v>
      </c>
      <c r="F71" s="9" t="n"/>
      <c r="G71" s="18" t="n">
        <v>2062.43</v>
      </c>
      <c r="H71" s="18" t="n">
        <v>3609.4</v>
      </c>
      <c r="I71" s="18" t="n">
        <v>2955.28</v>
      </c>
      <c r="J71" s="18" t="n">
        <v>1618.39</v>
      </c>
      <c r="K71" s="37" t="n">
        <v>10245.5</v>
      </c>
      <c r="L71" s="18" t="n">
        <v>831.71</v>
      </c>
      <c r="M71" s="18" t="n">
        <v>68109.25999999999</v>
      </c>
      <c r="N71" s="18" t="n">
        <v>-477.13</v>
      </c>
      <c r="O71" s="18" t="n">
        <v>3380.53</v>
      </c>
      <c r="P71" s="37" t="n">
        <v>71844.37</v>
      </c>
      <c r="Q71" s="18" t="n">
        <v>4215.12</v>
      </c>
      <c r="R71" s="18" t="n">
        <v>3463.46</v>
      </c>
      <c r="S71" s="18" t="n">
        <v>2426.73</v>
      </c>
      <c r="T71" s="18" t="n">
        <v>3195.23</v>
      </c>
      <c r="U71" s="37" t="n">
        <v>13300.54</v>
      </c>
      <c r="V71" s="18" t="n">
        <v>5402.37</v>
      </c>
      <c r="W71" s="18" t="n">
        <v>6678.44</v>
      </c>
      <c r="X71" s="18" t="n">
        <v>7888.23</v>
      </c>
      <c r="Y71" s="18" t="n">
        <v>5746.83</v>
      </c>
      <c r="Z71" s="37" t="n">
        <v>25715.87</v>
      </c>
      <c r="AA71" s="18" t="n">
        <v>5815.53</v>
      </c>
      <c r="AB71" s="19" t="n">
        <v>8336.33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F72" s="9" t="n"/>
      <c r="K72" s="9" t="n"/>
      <c r="L72" s="18" t="n">
        <v>102.31</v>
      </c>
      <c r="M72" s="18" t="n">
        <v>263.58</v>
      </c>
      <c r="N72" s="18" t="n">
        <v>671.0599999999999</v>
      </c>
      <c r="O72" s="18" t="n">
        <v>1430.59</v>
      </c>
      <c r="P72" s="37" t="n">
        <v>2467.54</v>
      </c>
      <c r="Q72" s="18" t="n">
        <v>754.65</v>
      </c>
      <c r="R72" s="18" t="n">
        <v>951.97</v>
      </c>
      <c r="S72" s="18" t="n">
        <v>616.1799999999999</v>
      </c>
      <c r="T72" s="18" t="n">
        <v>655.3200000000001</v>
      </c>
      <c r="U72" s="37" t="n">
        <v>2978.12</v>
      </c>
      <c r="V72" s="18" t="n">
        <v>326.09</v>
      </c>
      <c r="W72" s="18" t="n">
        <v>2846.58</v>
      </c>
      <c r="X72" s="18" t="n">
        <v>471.2</v>
      </c>
      <c r="Y72" s="18" t="n">
        <v>1340.77</v>
      </c>
      <c r="Z72" s="37" t="n">
        <v>4984.64</v>
      </c>
      <c r="AA72" s="18" t="n">
        <v>50.9</v>
      </c>
      <c r="AB72" s="19" t="n">
        <v>101.03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-1967.08</v>
      </c>
      <c r="F73" s="9" t="n"/>
      <c r="G73" s="18" t="n">
        <v>-4610.87</v>
      </c>
      <c r="H73" s="18" t="n">
        <v>-3931.02</v>
      </c>
      <c r="I73" s="18" t="n">
        <v>5165.3</v>
      </c>
      <c r="J73" s="18" t="n">
        <v>10811.74</v>
      </c>
      <c r="K73" s="37" t="n">
        <v>7435.15</v>
      </c>
      <c r="L73" s="18" t="n">
        <v>3003.68</v>
      </c>
      <c r="M73" s="18" t="n">
        <v>-2058.63</v>
      </c>
      <c r="N73" s="18" t="n">
        <v>-4026.49</v>
      </c>
      <c r="O73" s="18" t="n">
        <v>5987.26</v>
      </c>
      <c r="P73" s="37" t="n">
        <v>2905.82</v>
      </c>
      <c r="Q73" s="18" t="n">
        <v>-335.8</v>
      </c>
      <c r="R73" s="18" t="n">
        <v>11190.97</v>
      </c>
      <c r="S73" s="18" t="n">
        <v>-9131.209999999999</v>
      </c>
      <c r="T73" s="18" t="n">
        <v>-2767.72</v>
      </c>
      <c r="U73" s="37" t="n">
        <v>-1043.76</v>
      </c>
      <c r="V73" s="18" t="n">
        <v>2570.4</v>
      </c>
      <c r="W73" s="18" t="n">
        <v>3821.01</v>
      </c>
      <c r="X73" s="18" t="n">
        <v>5147.3</v>
      </c>
      <c r="Y73" s="18" t="n">
        <v>9166.959999999999</v>
      </c>
      <c r="Z73" s="37" t="n">
        <v>20705.67</v>
      </c>
      <c r="AA73" s="18" t="n">
        <v>-3485.32</v>
      </c>
      <c r="AB73" s="19" t="n">
        <v>6064.93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318.58</v>
      </c>
      <c r="F74" s="9" t="n"/>
      <c r="G74" s="18" t="n">
        <v>344.87</v>
      </c>
      <c r="H74" s="18" t="n">
        <v>362.5</v>
      </c>
      <c r="I74" s="18" t="n">
        <v>408.46</v>
      </c>
      <c r="J74" s="18" t="n">
        <v>440.95</v>
      </c>
      <c r="K74" s="37" t="n">
        <v>1556.78</v>
      </c>
      <c r="L74" s="18" t="n">
        <v>443.17</v>
      </c>
      <c r="M74" s="18" t="n">
        <v>446.35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19.23</v>
      </c>
      <c r="F75" s="9" t="n"/>
      <c r="G75" s="18" t="n">
        <v>17.73</v>
      </c>
      <c r="H75" s="18" t="n">
        <v>26.03</v>
      </c>
      <c r="I75" s="18" t="n">
        <v>39.19</v>
      </c>
      <c r="J75" s="18" t="n">
        <v>40.05</v>
      </c>
      <c r="K75" s="37" t="n">
        <v>123</v>
      </c>
      <c r="L75" s="18" t="n">
        <v>40.46</v>
      </c>
      <c r="M75" s="18" t="n">
        <v>40.46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배당금수취(CF)</t>
        </is>
      </c>
      <c r="E76" s="18" t="n">
        <v>1150.38</v>
      </c>
      <c r="F76" s="9" t="n"/>
      <c r="G76" s="18" t="n">
        <v>157.42</v>
      </c>
      <c r="H76" s="18" t="n">
        <v>234.44</v>
      </c>
      <c r="I76" s="18" t="n">
        <v>0.74</v>
      </c>
      <c r="J76" s="18" t="n">
        <v>2660.03</v>
      </c>
      <c r="K76" s="37" t="n">
        <v>3052.63</v>
      </c>
      <c r="L76" s="18" t="n">
        <v>40.95</v>
      </c>
      <c r="M76" s="18" t="n">
        <v>95.34999999999999</v>
      </c>
      <c r="N76" s="18" t="n">
        <v>370.66</v>
      </c>
      <c r="O76" s="18" t="n">
        <v>346.04</v>
      </c>
      <c r="P76" s="37" t="n">
        <v>853</v>
      </c>
      <c r="Q76" s="18" t="n">
        <v>157.41</v>
      </c>
      <c r="R76" s="18" t="n">
        <v>276.66</v>
      </c>
      <c r="S76" s="18" t="n">
        <v>300.04</v>
      </c>
      <c r="T76" s="18" t="n">
        <v>290.59</v>
      </c>
      <c r="U76" s="37" t="n">
        <v>1024.7</v>
      </c>
      <c r="V76" s="18" t="n">
        <v>75.84</v>
      </c>
      <c r="W76" s="18" t="n">
        <v>518.51</v>
      </c>
      <c r="X76" s="18" t="n">
        <v>74.84999999999999</v>
      </c>
      <c r="Y76" s="18" t="n">
        <v>231.78</v>
      </c>
      <c r="Z76" s="37" t="n">
        <v>900.98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-171.29</v>
      </c>
      <c r="F77" s="9" t="n"/>
      <c r="G77" s="18" t="n">
        <v>-119.53</v>
      </c>
      <c r="H77" s="18" t="n">
        <v>-119.36</v>
      </c>
      <c r="I77" s="18" t="n">
        <v>-6.5</v>
      </c>
      <c r="J77" s="18" t="n">
        <v>-6.16</v>
      </c>
      <c r="K77" s="37" t="n">
        <v>-251.55</v>
      </c>
      <c r="L77" s="18" t="n">
        <v>-14.59</v>
      </c>
      <c r="M77" s="18" t="n">
        <v>-1190.53</v>
      </c>
      <c r="N77" s="18" t="n">
        <v>-1265.09</v>
      </c>
      <c r="O77" s="18" t="n">
        <v>-553.96</v>
      </c>
      <c r="P77" s="37" t="n">
        <v>-3024.17</v>
      </c>
      <c r="Q77" s="18" t="n">
        <v>-87.88</v>
      </c>
      <c r="R77" s="18" t="n">
        <v>-1960</v>
      </c>
      <c r="S77" s="18" t="n">
        <v>-13881.33</v>
      </c>
      <c r="T77" s="18" t="n">
        <v>-4896.22</v>
      </c>
      <c r="U77" s="37" t="n">
        <v>-20825.43</v>
      </c>
      <c r="V77" s="18" t="n">
        <v>-765.22</v>
      </c>
      <c r="W77" s="18" t="n">
        <v>-540.11</v>
      </c>
      <c r="X77" s="18" t="n">
        <v>-910.89</v>
      </c>
      <c r="Y77" s="18" t="n">
        <v>-829.65</v>
      </c>
      <c r="Z77" s="37" t="n">
        <v>-3045.87</v>
      </c>
      <c r="AA77" s="18" t="n">
        <v>-1686.51</v>
      </c>
      <c r="AB77" s="19" t="n">
        <v>-2349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2508.47</v>
      </c>
      <c r="F78" s="9" t="n"/>
      <c r="G78" s="18" t="n">
        <v>4165.1</v>
      </c>
      <c r="H78" s="18" t="n">
        <v>6348.46</v>
      </c>
      <c r="I78" s="18" t="n">
        <v>2008.4</v>
      </c>
      <c r="J78" s="18" t="n">
        <v>-1103.19</v>
      </c>
      <c r="K78" s="37" t="n">
        <v>11418.77</v>
      </c>
      <c r="L78" s="18" t="n">
        <v>1356.66</v>
      </c>
      <c r="M78" s="18" t="n">
        <v>29357.28</v>
      </c>
      <c r="N78" s="18" t="n">
        <v>14949.46</v>
      </c>
      <c r="O78" s="18" t="n">
        <v>-7279.44</v>
      </c>
      <c r="P78" s="37" t="n">
        <v>38383.96</v>
      </c>
      <c r="Q78" s="18" t="n">
        <v>12017.31</v>
      </c>
      <c r="R78" s="18" t="n">
        <v>-3857.78</v>
      </c>
      <c r="S78" s="18" t="n">
        <v>5167.57</v>
      </c>
      <c r="T78" s="18" t="n">
        <v>6360.88</v>
      </c>
      <c r="U78" s="37" t="n">
        <v>19687.98</v>
      </c>
      <c r="V78" s="18" t="n">
        <v>-2349</v>
      </c>
      <c r="W78" s="18" t="n">
        <v>8060.86</v>
      </c>
      <c r="X78" s="18" t="n">
        <v>-9914.26</v>
      </c>
      <c r="Y78" s="18" t="n">
        <v>25891.97</v>
      </c>
      <c r="Z78" s="37" t="n">
        <v>21689.57</v>
      </c>
      <c r="AA78" s="18" t="n">
        <v>-74804.7</v>
      </c>
      <c r="AB78" s="19" t="n">
        <v>4826.48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0</v>
      </c>
      <c r="F79" s="9" t="n"/>
      <c r="G79" s="18" t="n">
        <v>6.27</v>
      </c>
      <c r="H79" s="18" t="n">
        <v>6.64</v>
      </c>
      <c r="I79" s="18" t="n">
        <v>0</v>
      </c>
      <c r="J79" s="18" t="n">
        <v>0</v>
      </c>
      <c r="K79" s="37" t="n">
        <v>12.91</v>
      </c>
      <c r="L79" s="18" t="n">
        <v>2.36</v>
      </c>
      <c r="M79" s="18" t="n">
        <v>87498.16</v>
      </c>
      <c r="N79" s="18" t="n">
        <v>83.70999999999999</v>
      </c>
      <c r="O79" s="18" t="n">
        <v>30</v>
      </c>
      <c r="P79" s="37" t="n">
        <v>87614.23</v>
      </c>
      <c r="U79" s="9" t="n"/>
      <c r="V79" s="18" t="n">
        <v>0.3</v>
      </c>
      <c r="W79" s="18" t="n">
        <v>16.64</v>
      </c>
      <c r="X79" s="18" t="n">
        <v>52.18</v>
      </c>
      <c r="Z79" s="9" t="n"/>
      <c r="AA79" s="18" t="n">
        <v>43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11396.33</v>
      </c>
      <c r="F80" s="9" t="n"/>
      <c r="G80" s="18" t="n">
        <v>722.5</v>
      </c>
      <c r="H80" s="18" t="n">
        <v>146.11</v>
      </c>
      <c r="I80" s="18" t="n">
        <v>868.12</v>
      </c>
      <c r="J80" s="18" t="n">
        <v>1312.33</v>
      </c>
      <c r="K80" s="37" t="n">
        <v>3049.06</v>
      </c>
      <c r="L80" s="18" t="n">
        <v>666.98</v>
      </c>
      <c r="M80" s="18" t="n">
        <v>61.03</v>
      </c>
      <c r="N80" s="18" t="n">
        <v>88.75</v>
      </c>
      <c r="O80" s="18" t="n">
        <v>675.5599999999999</v>
      </c>
      <c r="P80" s="37" t="n">
        <v>1492.32</v>
      </c>
      <c r="Q80" s="18" t="n">
        <v>577.89</v>
      </c>
      <c r="R80" s="18" t="n">
        <v>10065.51</v>
      </c>
      <c r="S80" s="18" t="n">
        <v>1065.85</v>
      </c>
      <c r="T80" s="18" t="n">
        <v>1400.52</v>
      </c>
      <c r="U80" s="37" t="n">
        <v>13109.77</v>
      </c>
      <c r="V80" s="18" t="n">
        <v>802.62</v>
      </c>
      <c r="W80" s="18" t="n">
        <v>240.44</v>
      </c>
      <c r="X80" s="18" t="n">
        <v>312.23</v>
      </c>
      <c r="Y80" s="18" t="n">
        <v>11583.06</v>
      </c>
      <c r="Z80" s="37" t="n">
        <v>12938.35</v>
      </c>
      <c r="AA80" s="18" t="n">
        <v>97913.94</v>
      </c>
      <c r="AB80" s="19" t="n">
        <v>1455.21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11400.5</v>
      </c>
      <c r="F81" s="9" t="n"/>
      <c r="G81" s="18" t="n">
        <v>777.45</v>
      </c>
      <c r="H81" s="18" t="n">
        <v>555.92</v>
      </c>
      <c r="I81" s="18" t="n">
        <v>912.35</v>
      </c>
      <c r="J81" s="18" t="n">
        <v>1306.58</v>
      </c>
      <c r="K81" s="37" t="n">
        <v>3552.3</v>
      </c>
      <c r="L81" s="18" t="n">
        <v>669.98</v>
      </c>
      <c r="M81" s="18" t="n">
        <v>66.38</v>
      </c>
      <c r="N81" s="18" t="n">
        <v>92.05</v>
      </c>
      <c r="O81" s="18" t="n">
        <v>699.5599999999999</v>
      </c>
      <c r="P81" s="37" t="n">
        <v>1527.97</v>
      </c>
      <c r="Q81" s="18" t="n">
        <v>608.39</v>
      </c>
      <c r="R81" s="18" t="n">
        <v>10148.88</v>
      </c>
      <c r="S81" s="18" t="n">
        <v>1068.55</v>
      </c>
      <c r="T81" s="18" t="n">
        <v>1433.41</v>
      </c>
      <c r="U81" s="37" t="n">
        <v>13259.23</v>
      </c>
      <c r="V81" s="18" t="n">
        <v>807.86</v>
      </c>
      <c r="W81" s="18" t="n">
        <v>342.55</v>
      </c>
      <c r="X81" s="18" t="n">
        <v>324.32</v>
      </c>
      <c r="Y81" s="18" t="n">
        <v>11772.24</v>
      </c>
      <c r="Z81" s="37" t="n">
        <v>13246.97</v>
      </c>
      <c r="AA81" s="18" t="n">
        <v>97939.13</v>
      </c>
      <c r="AB81" s="19" t="n">
        <v>1515.71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4.17</v>
      </c>
      <c r="F82" s="9" t="n"/>
      <c r="G82" s="18" t="n">
        <v>54.95</v>
      </c>
      <c r="H82" s="18" t="n">
        <v>409.81</v>
      </c>
      <c r="I82" s="18" t="n">
        <v>44.23</v>
      </c>
      <c r="K82" s="9" t="n"/>
      <c r="L82" s="18" t="n">
        <v>3</v>
      </c>
      <c r="M82" s="18" t="n">
        <v>5.35</v>
      </c>
      <c r="N82" s="18" t="n">
        <v>3.3</v>
      </c>
      <c r="O82" s="18" t="n">
        <v>24</v>
      </c>
      <c r="P82" s="37" t="n">
        <v>35.65</v>
      </c>
      <c r="Q82" s="18" t="n">
        <v>30.5</v>
      </c>
      <c r="R82" s="18" t="n">
        <v>83.37</v>
      </c>
      <c r="S82" s="18" t="n">
        <v>2.7</v>
      </c>
      <c r="T82" s="18" t="n">
        <v>32.89</v>
      </c>
      <c r="U82" s="37" t="n">
        <v>149.46</v>
      </c>
      <c r="V82" s="18" t="n">
        <v>5.24</v>
      </c>
      <c r="W82" s="18" t="n">
        <v>102.11</v>
      </c>
      <c r="X82" s="18" t="n">
        <v>12.09</v>
      </c>
      <c r="Y82" s="18" t="n">
        <v>189.18</v>
      </c>
      <c r="Z82" s="37" t="n">
        <v>308.62</v>
      </c>
      <c r="AA82" s="18" t="n">
        <v>25.19</v>
      </c>
      <c r="AB82" s="19" t="n">
        <v>60.5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-2638.79</v>
      </c>
      <c r="F83" s="9" t="n"/>
      <c r="G83" s="18" t="n">
        <v>-915.48</v>
      </c>
      <c r="H83" s="18" t="n">
        <v>-1860.87</v>
      </c>
      <c r="I83" s="18" t="n">
        <v>-7561.78</v>
      </c>
      <c r="J83" s="18" t="n">
        <v>-4677.7</v>
      </c>
      <c r="K83" s="37" t="n">
        <v>-15015.83</v>
      </c>
      <c r="L83" s="18" t="n">
        <v>-8763.91</v>
      </c>
      <c r="M83" s="18" t="n">
        <v>-31004.91</v>
      </c>
      <c r="N83" s="18" t="n">
        <v>-94.12</v>
      </c>
      <c r="O83" s="18" t="n">
        <v>-6694.71</v>
      </c>
      <c r="P83" s="37" t="n">
        <v>-46557.65</v>
      </c>
      <c r="Q83" s="18" t="n">
        <v>-12855.98</v>
      </c>
      <c r="R83" s="18" t="n">
        <v>-5265.87</v>
      </c>
      <c r="S83" s="18" t="n">
        <v>-992.41</v>
      </c>
      <c r="T83" s="18" t="n">
        <v>-398.18</v>
      </c>
      <c r="U83" s="37" t="n">
        <v>-19512.44</v>
      </c>
      <c r="V83" s="18" t="n">
        <v>1790.36</v>
      </c>
      <c r="W83" s="18" t="n">
        <v>-449.77</v>
      </c>
      <c r="X83" s="18" t="n">
        <v>-518.01</v>
      </c>
      <c r="Y83" s="18" t="n">
        <v>4.2</v>
      </c>
      <c r="Z83" s="37" t="n">
        <v>826.78</v>
      </c>
      <c r="AA83" s="18" t="n">
        <v>52524.33</v>
      </c>
      <c r="AB83" s="19" t="n">
        <v>-12904.96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13089.04</v>
      </c>
      <c r="F84" s="9" t="n"/>
      <c r="G84" s="18" t="n">
        <v>554.15</v>
      </c>
      <c r="H84" s="18" t="n">
        <v>9913.780000000001</v>
      </c>
      <c r="I84" s="18" t="n">
        <v>15029.47</v>
      </c>
      <c r="J84" s="18" t="n">
        <v>254.42</v>
      </c>
      <c r="K84" s="37" t="n">
        <v>25751.82</v>
      </c>
      <c r="L84" s="18" t="n">
        <v>9000</v>
      </c>
      <c r="M84" s="18" t="n">
        <v>0</v>
      </c>
      <c r="N84" s="18" t="n">
        <v>0</v>
      </c>
      <c r="O84" s="18" t="n">
        <v>0</v>
      </c>
      <c r="P84" s="37" t="n">
        <v>9000</v>
      </c>
      <c r="T84" s="18" t="n">
        <v>898.78</v>
      </c>
      <c r="U84" s="9" t="n"/>
      <c r="V84" s="18" t="n">
        <v>961.85</v>
      </c>
      <c r="W84" s="18" t="n">
        <v>784.39</v>
      </c>
      <c r="X84" s="18" t="n">
        <v>444.11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333.36</v>
      </c>
      <c r="K85" s="9" t="n"/>
      <c r="P85" s="9" t="n"/>
      <c r="U85" s="9" t="n"/>
      <c r="X85" s="18" t="n">
        <v>500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15700</v>
      </c>
      <c r="F87" s="9" t="n"/>
      <c r="I87" s="18" t="n">
        <v>19700</v>
      </c>
      <c r="J87" s="18" t="n">
        <v>4000</v>
      </c>
      <c r="K87" s="9" t="n"/>
      <c r="L87" s="18" t="n">
        <v>11597.24</v>
      </c>
      <c r="M87" s="18" t="n">
        <v>18619.24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27.95</v>
      </c>
      <c r="F88" s="9" t="n"/>
      <c r="G88" s="18" t="n">
        <v>27.96</v>
      </c>
      <c r="H88" s="18" t="n">
        <v>27.96</v>
      </c>
      <c r="I88" s="18" t="n">
        <v>28.72</v>
      </c>
      <c r="K88" s="9" t="n"/>
      <c r="L88" s="18" t="n">
        <v>32.74</v>
      </c>
      <c r="M88" s="18" t="n">
        <v>31.34</v>
      </c>
      <c r="N88" s="18" t="n">
        <v>31.02</v>
      </c>
      <c r="O88" s="18" t="n">
        <v>29.45</v>
      </c>
      <c r="P88" s="37" t="n">
        <v>124.55</v>
      </c>
      <c r="Q88" s="18" t="n">
        <v>25.26</v>
      </c>
      <c r="R88" s="18" t="n">
        <v>8.82</v>
      </c>
      <c r="U88" s="9" t="n"/>
      <c r="Z88" s="9" t="n"/>
      <c r="AA88" s="18" t="n">
        <v>3.41</v>
      </c>
      <c r="AB88" s="19" t="n">
        <v>1.33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18" t="n">
        <v>-2097.39</v>
      </c>
      <c r="F89" s="9" t="n"/>
      <c r="G89" s="18" t="n">
        <v>-1361.24</v>
      </c>
      <c r="H89" s="18" t="n">
        <v>556.5599999999999</v>
      </c>
      <c r="I89" s="18" t="n">
        <v>-388.08</v>
      </c>
      <c r="J89" s="18" t="n">
        <v>5030.86</v>
      </c>
      <c r="K89" s="37" t="n">
        <v>3838.1</v>
      </c>
      <c r="L89" s="18" t="n">
        <v>-4403.57</v>
      </c>
      <c r="M89" s="18" t="n">
        <v>-3706.26</v>
      </c>
      <c r="N89" s="18" t="n">
        <v>10828.85</v>
      </c>
      <c r="O89" s="18" t="n">
        <v>-7986.89</v>
      </c>
      <c r="P89" s="37" t="n">
        <v>-5267.87</v>
      </c>
      <c r="Q89" s="18" t="n">
        <v>-1174.48</v>
      </c>
      <c r="R89" s="18" t="n">
        <v>2067.33</v>
      </c>
      <c r="S89" s="18" t="n">
        <v>-4956.05</v>
      </c>
      <c r="T89" s="18" t="n">
        <v>3194.98</v>
      </c>
      <c r="U89" s="37" t="n">
        <v>-868.22</v>
      </c>
      <c r="V89" s="18" t="n">
        <v>2011.76</v>
      </c>
      <c r="W89" s="18" t="n">
        <v>11432.1</v>
      </c>
      <c r="X89" s="18" t="n">
        <v>-5284.96</v>
      </c>
      <c r="Y89" s="18" t="n">
        <v>35063.13</v>
      </c>
      <c r="Z89" s="37" t="n">
        <v>43222.03</v>
      </c>
      <c r="AA89" s="18" t="n">
        <v>-25765.69</v>
      </c>
      <c r="AB89" s="19" t="n">
        <v>-2013.55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18" t="n">
        <v>-2236.47</v>
      </c>
      <c r="F90" s="9" t="n"/>
      <c r="G90" s="18" t="n">
        <v>7661.12</v>
      </c>
      <c r="H90" s="18" t="n">
        <v>570.6799999999999</v>
      </c>
      <c r="I90" s="18" t="n">
        <v>-304.22</v>
      </c>
      <c r="J90" s="18" t="n">
        <v>4802.56</v>
      </c>
      <c r="K90" s="37" t="n">
        <v>12730.14</v>
      </c>
      <c r="L90" s="18" t="n">
        <v>8333.639999999999</v>
      </c>
      <c r="M90" s="18" t="n">
        <v>-3709.23</v>
      </c>
      <c r="N90" s="18" t="n">
        <v>10837.61</v>
      </c>
      <c r="O90" s="18" t="n">
        <v>-7992.84</v>
      </c>
      <c r="P90" s="37" t="n">
        <v>7469.18</v>
      </c>
      <c r="Q90" s="18" t="n">
        <v>6303.31</v>
      </c>
      <c r="R90" s="18" t="n">
        <v>2077.37</v>
      </c>
      <c r="S90" s="18" t="n">
        <v>-4986.63</v>
      </c>
      <c r="T90" s="18" t="n">
        <v>3258.04</v>
      </c>
      <c r="U90" s="37" t="n">
        <v>6652.09</v>
      </c>
      <c r="V90" s="18" t="n">
        <v>8682.08</v>
      </c>
      <c r="W90" s="18" t="n">
        <v>11365.87</v>
      </c>
      <c r="X90" s="18" t="n">
        <v>-5214.47</v>
      </c>
      <c r="Y90" s="18" t="n">
        <v>34851.54</v>
      </c>
      <c r="Z90" s="37" t="n">
        <v>49685.02</v>
      </c>
      <c r="AA90" s="18" t="n">
        <v>24011.79</v>
      </c>
      <c r="AB90" s="19" t="n">
        <v>-2079.29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I91" s="18" t="n">
        <v>1000</v>
      </c>
      <c r="J91" s="18" t="n">
        <v>1000</v>
      </c>
      <c r="K91" s="9" t="n"/>
      <c r="L91" s="18" t="n">
        <v>6000</v>
      </c>
      <c r="M91" s="18" t="n">
        <v>10403.31</v>
      </c>
      <c r="N91" s="18" t="n">
        <v>710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I92" s="18" t="n">
        <v>1862.53</v>
      </c>
      <c r="J92" s="18" t="n">
        <v>587.3099999999999</v>
      </c>
      <c r="K92" s="9" t="n"/>
      <c r="L92" s="18" t="n">
        <v>311.94</v>
      </c>
      <c r="M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1013.28</v>
      </c>
      <c r="P93" s="9" t="n"/>
      <c r="Q93" s="18" t="n">
        <v>620.9299999999999</v>
      </c>
      <c r="R93" s="18" t="n">
        <v>714.29</v>
      </c>
      <c r="S93" s="18" t="n">
        <v>346.91</v>
      </c>
      <c r="T93" s="18" t="n">
        <v>419.69</v>
      </c>
      <c r="U93" s="37" t="n">
        <v>2101.82</v>
      </c>
      <c r="V93" s="18" t="n">
        <v>305.03</v>
      </c>
      <c r="W93" s="18" t="n">
        <v>263.38</v>
      </c>
      <c r="X93" s="18" t="n">
        <v>565.11</v>
      </c>
      <c r="Y93" s="18" t="n">
        <v>1388.87</v>
      </c>
      <c r="Z93" s="37" t="n">
        <v>2522.39</v>
      </c>
      <c r="AA93" s="18" t="n">
        <v>86.81</v>
      </c>
      <c r="AB93" s="19" t="n">
        <v>34.8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차입금의감소</t>
        </is>
      </c>
      <c r="F94" s="9" t="n"/>
      <c r="K94" s="9" t="n"/>
      <c r="P94" s="9" t="n"/>
      <c r="Q94" s="18" t="n">
        <v>13083.93</v>
      </c>
      <c r="R94" s="18" t="n">
        <v>710</v>
      </c>
      <c r="U94" s="9" t="n"/>
      <c r="V94" s="18" t="n">
        <v>1118.81</v>
      </c>
      <c r="W94" s="18" t="n">
        <v>1671.85</v>
      </c>
      <c r="X94" s="18" t="n">
        <v>1494.39</v>
      </c>
      <c r="Y94" s="18" t="n">
        <v>1154.11</v>
      </c>
      <c r="Z94" s="37" t="n">
        <v>5439.16</v>
      </c>
      <c r="AA94" s="18" t="n">
        <v>7830</v>
      </c>
      <c r="AB94" s="19" t="n">
        <v>5235.61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Z95" s="9" t="n"/>
      <c r="AA95" s="18" t="n">
        <v>-272.93</v>
      </c>
      <c r="AB95" s="19" t="n">
        <v>-374.8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F96" s="9" t="n"/>
      <c r="K96" s="9" t="n"/>
      <c r="P96" s="9" t="n"/>
      <c r="U96" s="9" t="n"/>
      <c r="Z96" s="9" t="n"/>
      <c r="AA96" s="18" t="n">
        <v>60369.43</v>
      </c>
      <c r="AB96" s="19" t="n">
        <v>1546.31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 t="n"/>
      <c r="I14" s="18" t="n"/>
      <c r="J14" s="18">
        <f>IFERROR(VLOOKUP($D14,BS연결,MATCH(J$1,BS연결H,0),0)/100,"")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-4.5</v>
      </c>
      <c r="F20" s="37" t="n"/>
      <c r="G20" s="18" t="n">
        <v>13.48</v>
      </c>
      <c r="H20" s="18" t="n">
        <v>30.98</v>
      </c>
      <c r="I20" s="18" t="n">
        <v>55.34</v>
      </c>
      <c r="J20" s="18" t="n">
        <v>6.22</v>
      </c>
      <c r="K20" s="37">
        <f>SUM(G20:J20)</f>
        <v/>
      </c>
      <c r="L20" s="18" t="n">
        <v>14.78</v>
      </c>
      <c r="M20" s="18" t="n">
        <v>17.64</v>
      </c>
      <c r="N20" s="18" t="n"/>
      <c r="O20" s="18" t="n"/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17.617</v>
      </c>
      <c r="F31" s="28">
        <f>E31</f>
        <v/>
      </c>
      <c r="G31" s="27" t="n">
        <v>17.617</v>
      </c>
      <c r="H31" s="27" t="n">
        <v>17.599</v>
      </c>
      <c r="I31" s="27" t="n">
        <v>17.254</v>
      </c>
      <c r="J31" s="27" t="n">
        <v>17.134</v>
      </c>
      <c r="K31" s="28">
        <f>J31</f>
        <v/>
      </c>
      <c r="L31" s="27" t="n">
        <v>17.077</v>
      </c>
      <c r="M31" s="27" t="n">
        <v>17.11</v>
      </c>
      <c r="N31" s="27" t="n">
        <v>17.11</v>
      </c>
      <c r="O31" s="27" t="n">
        <v>16.344</v>
      </c>
      <c r="P31" s="28">
        <f>O31</f>
        <v/>
      </c>
      <c r="Q31" s="27" t="n">
        <v>16.344</v>
      </c>
      <c r="R31" s="27" t="n">
        <v>16.344</v>
      </c>
      <c r="S31" s="27" t="n">
        <v>16.344</v>
      </c>
      <c r="T31" s="27" t="n">
        <v>16.344</v>
      </c>
      <c r="U31" s="28">
        <f>T31</f>
        <v/>
      </c>
      <c r="V31" s="27" t="n">
        <v>16.581</v>
      </c>
      <c r="W31" s="27" t="n">
        <v>17.11</v>
      </c>
      <c r="X31" s="27" t="n">
        <v>17.11</v>
      </c>
      <c r="Y31" s="27" t="n">
        <v>17.11</v>
      </c>
      <c r="Z31" s="28">
        <f>Y31</f>
        <v/>
      </c>
      <c r="AA31" s="27" t="n">
        <v>17.11</v>
      </c>
      <c r="AB31" s="29" t="n">
        <v>17.11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7" t="n">
        <v>100</v>
      </c>
      <c r="G34" s="18" t="n"/>
      <c r="H34" s="18" t="n"/>
      <c r="I34" s="18" t="n"/>
      <c r="J34" s="18" t="n">
        <v>100</v>
      </c>
      <c r="K34" s="37">
        <f>SUM(G34:J34)</f>
        <v/>
      </c>
      <c r="L34" s="18" t="n"/>
      <c r="M34" s="18" t="n"/>
      <c r="N34" s="18" t="n"/>
      <c r="O34" s="18" t="n">
        <v>300</v>
      </c>
      <c r="P34" s="37">
        <f>SUM(L34:O34)</f>
        <v/>
      </c>
      <c r="Q34" s="18" t="n"/>
      <c r="R34" s="18" t="n"/>
      <c r="S34" s="18" t="n"/>
      <c r="T34" s="18" t="n">
        <v>300</v>
      </c>
      <c r="U34" s="37">
        <f>SUM(Q34:T34)</f>
        <v/>
      </c>
      <c r="V34" s="18" t="n"/>
      <c r="W34" s="18" t="n"/>
      <c r="X34" s="18" t="n"/>
      <c r="Y34" s="18" t="n">
        <v>620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163.77</v>
      </c>
      <c r="F37" s="37" t="n"/>
      <c r="G37" s="18" t="n">
        <v>159.4</v>
      </c>
      <c r="H37" s="18" t="n">
        <v>269.14</v>
      </c>
      <c r="I37" s="18" t="n">
        <v>275.46</v>
      </c>
      <c r="J37" s="18" t="n">
        <v>282.36</v>
      </c>
      <c r="K37" s="37">
        <f>SUM(G37:J37)</f>
        <v/>
      </c>
      <c r="L37" s="18" t="n">
        <v>221.39</v>
      </c>
      <c r="M37" s="18" t="n">
        <v>203.41</v>
      </c>
      <c r="N37" s="18" t="n">
        <v>173</v>
      </c>
      <c r="O37" s="18" t="n">
        <v>191.64</v>
      </c>
      <c r="P37" s="37">
        <f>SUM(L37:O37)</f>
        <v/>
      </c>
      <c r="Q37" s="18" t="n">
        <v>231.01</v>
      </c>
      <c r="R37" s="18" t="n">
        <v>255.85</v>
      </c>
      <c r="S37" s="18" t="n">
        <v>232.8</v>
      </c>
      <c r="T37" s="18" t="n">
        <v>322.7</v>
      </c>
      <c r="U37" s="37">
        <f>SUM(Q37:T37)</f>
        <v/>
      </c>
      <c r="V37" s="18" t="n">
        <v>265.56</v>
      </c>
      <c r="W37" s="18" t="n">
        <v>356.62</v>
      </c>
      <c r="X37" s="18" t="n">
        <v>316.68</v>
      </c>
      <c r="Y37" s="18" t="n">
        <v>395.91</v>
      </c>
      <c r="Z37" s="37">
        <f>SUM(V37:Y37)</f>
        <v/>
      </c>
      <c r="AA37" s="18" t="n">
        <v>393.57</v>
      </c>
      <c r="AB37" s="19" t="n">
        <v>428.36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-8.26</v>
      </c>
      <c r="F38" s="37" t="n"/>
      <c r="G38" s="18" t="n">
        <v>9.49</v>
      </c>
      <c r="H38" s="18" t="n">
        <v>26.85</v>
      </c>
      <c r="I38" s="18" t="n">
        <v>50.72</v>
      </c>
      <c r="J38" s="18" t="n">
        <v>1.1</v>
      </c>
      <c r="K38" s="37">
        <f>SUM(G38:J38)</f>
        <v/>
      </c>
      <c r="L38" s="18" t="n">
        <v>9.94</v>
      </c>
      <c r="M38" s="18" t="n">
        <v>12.79</v>
      </c>
      <c r="N38" s="18" t="n">
        <v>15.21</v>
      </c>
      <c r="O38" s="18" t="n">
        <v>15.71</v>
      </c>
      <c r="P38" s="37">
        <f>SUM(L38:O38)</f>
        <v/>
      </c>
      <c r="Q38" s="18" t="n">
        <v>39.13</v>
      </c>
      <c r="R38" s="18" t="n">
        <v>39.65</v>
      </c>
      <c r="S38" s="18" t="n">
        <v>31.9</v>
      </c>
      <c r="T38" s="18" t="n">
        <v>48.95</v>
      </c>
      <c r="U38" s="37">
        <f>SUM(Q38:T38)</f>
        <v/>
      </c>
      <c r="V38" s="18" t="n">
        <v>51.29</v>
      </c>
      <c r="W38" s="18" t="n">
        <v>61.61</v>
      </c>
      <c r="X38" s="18" t="n">
        <v>54.41</v>
      </c>
      <c r="Y38" s="18" t="n">
        <v>55.42</v>
      </c>
      <c r="Z38" s="37">
        <f>SUM(V38:Y38)</f>
        <v/>
      </c>
      <c r="AA38" s="18" t="n">
        <v>55.18</v>
      </c>
      <c r="AB38" s="19" t="n">
        <v>91.94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1363.6</v>
      </c>
    </row>
    <row r="30">
      <c r="C30" s="2" t="inlineStr">
        <is>
          <t>bps_latest</t>
        </is>
      </c>
      <c r="D30" t="n">
        <v>11918.2</v>
      </c>
    </row>
    <row r="31">
      <c r="C31" s="2" t="inlineStr">
        <is>
          <t>per_now</t>
        </is>
      </c>
      <c r="D31" t="n">
        <v>12.5</v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0.1144</v>
      </c>
    </row>
    <row r="34">
      <c r="C34" s="2" t="inlineStr">
        <is>
          <t>fair_pbr</t>
        </is>
      </c>
      <c r="D34" t="n">
        <v>1.27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  <c r="D36" t="n">
        <v>10.9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