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omments/comment2.xml" ContentType="application/vnd.openxmlformats-officedocument.spreadsheetml.comment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변수" sheetId="2" state="visible" r:id="rId2"/>
    <sheet name="BS연결" sheetId="3" state="visible" r:id="rId3"/>
    <sheet name="BS별도" sheetId="4" state="visible" r:id="rId4"/>
    <sheet name="subQ" sheetId="5" state="visible" r:id="rId5"/>
    <sheet name="분기" sheetId="6" state="visible" r:id="rId6"/>
    <sheet name="연간예상" sheetId="7" state="visible" r:id="rId7"/>
    <sheet name="TP" sheetId="8" state="visible" r:id="rId8"/>
    <sheet name="외화" sheetId="9" state="visible" r:id="rId9"/>
  </sheets>
  <definedNames>
    <definedName name="변수H">변수!$C$1:$AO$1</definedName>
    <definedName name="환율">변수!$C$6:$AO$13</definedName>
    <definedName name="BS연결H">BS연결!$C$1:$AO$1</definedName>
    <definedName name="BS연결">BS연결!$C$5:$AO$99</definedName>
    <definedName name="BS별도H">BS별도!$C$1:$AO$1</definedName>
    <definedName name="BS별도">BS별도!$C$5:$AO$96</definedName>
    <definedName name="SUBQH">subQ!$A$1:$AO$1</definedName>
    <definedName name="subQ">subQ!$A$5:$AO$42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#,##0.0"/>
  </numFmts>
  <fonts count="5">
    <font>
      <name val="Calibri"/>
      <family val="2"/>
      <color theme="1"/>
      <sz val="11"/>
      <scheme val="minor"/>
    </font>
    <font>
      <b val="1"/>
    </font>
    <font>
      <i val="1"/>
      <color rgb="00666666"/>
      <sz val="9"/>
    </font>
    <font>
      <b val="1"/>
      <color rgb="00FFFFFF"/>
    </font>
    <font>
      <color rgb="001F4E79"/>
    </font>
  </fonts>
  <fills count="7">
    <fill>
      <patternFill/>
    </fill>
    <fill>
      <patternFill patternType="gray125"/>
    </fill>
    <fill>
      <patternFill patternType="solid">
        <fgColor rgb="0044546A"/>
      </patternFill>
    </fill>
    <fill>
      <patternFill patternType="solid">
        <fgColor rgb="00FFF2AB"/>
      </patternFill>
    </fill>
    <fill>
      <patternFill patternType="solid">
        <fgColor rgb="00EDEDED"/>
      </patternFill>
    </fill>
    <fill>
      <patternFill patternType="solid">
        <fgColor rgb="00FFF9DB"/>
      </patternFill>
    </fill>
    <fill>
      <patternFill patternType="solid">
        <fgColor rgb="00E2EFDA"/>
      </patternFill>
    </fill>
  </fills>
  <borders count="3">
    <border>
      <left/>
      <right/>
      <top/>
      <bottom/>
      <diagonal/>
    </border>
    <border>
      <left/>
      <right style="medium">
        <color rgb="00000000"/>
      </right>
      <top/>
      <bottom/>
    </border>
    <border>
      <right style="medium">
        <color rgb="00000000"/>
      </right>
    </border>
  </borders>
  <cellStyleXfs count="1">
    <xf numFmtId="0" fontId="0" fillId="0" borderId="0"/>
  </cellStyleXfs>
  <cellXfs count="5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/>
    </xf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0" fontId="2" fillId="0" borderId="1" pivotButton="0" quotePrefix="0" xfId="0"/>
    <xf numFmtId="0" fontId="2" fillId="0" borderId="0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1" fillId="4" borderId="0" pivotButton="0" quotePrefix="0" xfId="0"/>
    <xf numFmtId="0" fontId="0" fillId="5" borderId="0" pivotButton="0" quotePrefix="0" xfId="0"/>
    <xf numFmtId="0" fontId="1" fillId="5" borderId="0" pivotButton="0" quotePrefix="0" xfId="0"/>
    <xf numFmtId="0" fontId="4" fillId="0" borderId="0" pivotButton="0" quotePrefix="0" xfId="0"/>
    <xf numFmtId="4" fontId="0" fillId="0" borderId="0" pivotButton="0" quotePrefix="0" xfId="0"/>
    <xf numFmtId="4" fontId="1" fillId="4" borderId="0" pivotButton="0" quotePrefix="0" xfId="0"/>
    <xf numFmtId="4" fontId="0" fillId="0" borderId="1" pivotButton="0" quotePrefix="0" xfId="0"/>
    <xf numFmtId="4" fontId="0" fillId="3" borderId="0" pivotButton="0" quotePrefix="0" xfId="0"/>
    <xf numFmtId="4" fontId="1" fillId="3" borderId="0" pivotButton="0" quotePrefix="0" xfId="0"/>
    <xf numFmtId="3" fontId="0" fillId="0" borderId="0" pivotButton="0" quotePrefix="0" xfId="0"/>
    <xf numFmtId="3" fontId="0" fillId="0" borderId="1" pivotButton="0" quotePrefix="0" xfId="0"/>
    <xf numFmtId="3" fontId="0" fillId="5" borderId="0" pivotButton="0" quotePrefix="0" xfId="0"/>
    <xf numFmtId="164" fontId="0" fillId="0" borderId="0" pivotButton="0" quotePrefix="0" xfId="0"/>
    <xf numFmtId="164" fontId="1" fillId="4" borderId="0" pivotButton="0" quotePrefix="0" xfId="0"/>
    <xf numFmtId="164" fontId="0" fillId="0" borderId="1" pivotButton="0" quotePrefix="0" xfId="0"/>
    <xf numFmtId="164" fontId="0" fillId="3" borderId="0" pivotButton="0" quotePrefix="0" xfId="0"/>
    <xf numFmtId="164" fontId="1" fillId="5" borderId="0" pivotButton="0" quotePrefix="0" xfId="0"/>
    <xf numFmtId="164" fontId="0" fillId="6" borderId="0" pivotButton="0" quotePrefix="0" xfId="0"/>
    <xf numFmtId="165" fontId="0" fillId="0" borderId="0" pivotButton="0" quotePrefix="0" xfId="0"/>
    <xf numFmtId="165" fontId="1" fillId="4" borderId="0" pivotButton="0" quotePrefix="0" xfId="0"/>
    <xf numFmtId="165" fontId="0" fillId="0" borderId="1" pivotButton="0" quotePrefix="0" xfId="0"/>
    <xf numFmtId="165" fontId="0" fillId="3" borderId="0" pivotButton="0" quotePrefix="0" xfId="0"/>
    <xf numFmtId="165" fontId="1" fillId="5" borderId="0" pivotButton="0" quotePrefix="0" xfId="0"/>
    <xf numFmtId="164" fontId="0" fillId="5" borderId="0" pivotButton="0" quotePrefix="0" xfId="0"/>
    <xf numFmtId="165" fontId="0" fillId="5" borderId="0" pivotButton="0" quotePrefix="0" xfId="0"/>
    <xf numFmtId="3" fontId="0" fillId="3" borderId="0" pivotButton="0" quotePrefix="0" xfId="0"/>
    <xf numFmtId="0" fontId="0" fillId="3" borderId="0" pivotButton="0" quotePrefix="0" xfId="0"/>
    <xf numFmtId="10" fontId="0" fillId="3" borderId="0" pivotButton="0" quotePrefix="0" xfId="0"/>
    <xf numFmtId="3" fontId="1" fillId="4" borderId="0" pivotButton="0" quotePrefix="0" xfId="0"/>
    <xf numFmtId="3" fontId="1" fillId="5" borderId="0" pivotButton="0" quotePrefix="0" xfId="0"/>
    <xf numFmtId="4" fontId="0" fillId="5" borderId="0" pivotButton="0" quotePrefix="0" xfId="0"/>
    <xf numFmtId="4" fontId="1" fillId="5" borderId="0" pivotButton="0" quotePrefix="0" xfId="0"/>
    <xf numFmtId="0" fontId="3" fillId="2" borderId="2" applyAlignment="1" pivotButton="0" quotePrefix="0" xfId="0">
      <alignment horizontal="center"/>
    </xf>
    <xf numFmtId="0" fontId="0" fillId="0" borderId="2" pivotButton="0" quotePrefix="0" xfId="0"/>
    <xf numFmtId="0" fontId="2" fillId="0" borderId="2" pivotButton="0" quotePrefix="0" xfId="0"/>
    <xf numFmtId="0" fontId="2" fillId="0" borderId="2" applyAlignment="1" pivotButton="0" quotePrefix="0" xfId="0">
      <alignment horizontal="center"/>
    </xf>
    <xf numFmtId="3" fontId="0" fillId="0" borderId="2" pivotButton="0" quotePrefix="0" xfId="0"/>
    <xf numFmtId="164" fontId="0" fillId="0" borderId="2" pivotButton="0" quotePrefix="0" xfId="0"/>
    <xf numFmtId="165" fontId="0" fillId="0" borderId="2" pivotButton="0" quotePrefix="0" xfId="0"/>
    <xf numFmtId="4" fontId="0" fillId="0" borderId="2" pivotButton="0" quotePrefix="0" xfId="0"/>
    <xf numFmtId="0" fontId="3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comments/comment1.xml><?xml version="1.0" encoding="utf-8"?>
<comments xmlns="http://schemas.openxmlformats.org/spreadsheetml/2006/main">
  <authors>
    <author>kship</author>
  </authors>
  <commentList>
    <comment ref="AC6" authorId="0" shapeId="0">
      <text>
        <t>모델 assumptions.fx — 가정 — 마지막 ECB 관측치를 2028Q4 까지 평평하게 둔다. 선도환율·컨센서스 아님.</t>
      </text>
    </comment>
    <comment ref="AD6" authorId="0" shapeId="0">
      <text>
        <t>모델 assumptions.fx — 가정 — 마지막 ECB 관측치를 2028Q4 까지 평평하게 둔다. 선도환율·컨센서스 아님.</t>
      </text>
    </comment>
    <comment ref="AF6" authorId="0" shapeId="0">
      <text>
        <t>모델 assumptions.fx — 가정 — 마지막 ECB 관측치를 2028Q4 까지 평평하게 둔다. 선도환율·컨센서스 아님.</t>
      </text>
    </comment>
    <comment ref="AG6" authorId="0" shapeId="0">
      <text>
        <t>모델 assumptions.fx — 가정 — 마지막 ECB 관측치를 2028Q4 까지 평평하게 둔다. 선도환율·컨센서스 아님.</t>
      </text>
    </comment>
    <comment ref="AH6" authorId="0" shapeId="0">
      <text>
        <t>모델 assumptions.fx — 가정 — 마지막 ECB 관측치를 2028Q4 까지 평평하게 둔다. 선도환율·컨센서스 아님.</t>
      </text>
    </comment>
    <comment ref="AI6" authorId="0" shapeId="0">
      <text>
        <t>모델 assumptions.fx — 가정 — 마지막 ECB 관측치를 2028Q4 까지 평평하게 둔다. 선도환율·컨센서스 아님.</t>
      </text>
    </comment>
    <comment ref="AK6" authorId="0" shapeId="0">
      <text>
        <t>모델 assumptions.fx — 가정 — 마지막 ECB 관측치를 2028Q4 까지 평평하게 둔다. 선도환율·컨센서스 아님.</t>
      </text>
    </comment>
    <comment ref="AL6" authorId="0" shapeId="0">
      <text>
        <t>모델 assumptions.fx — 가정 — 마지막 ECB 관측치를 2028Q4 까지 평평하게 둔다. 선도환율·컨센서스 아님.</t>
      </text>
    </comment>
    <comment ref="AM6" authorId="0" shapeId="0">
      <text>
        <t>모델 assumptions.fx — 가정 — 마지막 ECB 관측치를 2028Q4 까지 평평하게 둔다. 선도환율·컨센서스 아님.</t>
      </text>
    </comment>
    <comment ref="AN6" authorId="0" shapeId="0">
      <text>
        <t>모델 assumptions.fx — 가정 — 마지막 ECB 관측치를 2028Q4 까지 평평하게 둔다. 선도환율·컨센서스 아님.</t>
      </text>
    </comment>
    <comment ref="AC7" authorId="0" shapeId="0">
      <text>
        <t>모델 assumptions.fx — 가정 — 마지막 ECB 관측치를 2028Q4 까지 평평하게 둔다. 선도환율·컨센서스 아님.</t>
      </text>
    </comment>
    <comment ref="AD7" authorId="0" shapeId="0">
      <text>
        <t>모델 assumptions.fx — 가정 — 마지막 ECB 관측치를 2028Q4 까지 평평하게 둔다. 선도환율·컨센서스 아님.</t>
      </text>
    </comment>
    <comment ref="AF7" authorId="0" shapeId="0">
      <text>
        <t>모델 assumptions.fx — 가정 — 마지막 ECB 관측치를 2028Q4 까지 평평하게 둔다. 선도환율·컨센서스 아님.</t>
      </text>
    </comment>
    <comment ref="AG7" authorId="0" shapeId="0">
      <text>
        <t>모델 assumptions.fx — 가정 — 마지막 ECB 관측치를 2028Q4 까지 평평하게 둔다. 선도환율·컨센서스 아님.</t>
      </text>
    </comment>
    <comment ref="AH7" authorId="0" shapeId="0">
      <text>
        <t>모델 assumptions.fx — 가정 — 마지막 ECB 관측치를 2028Q4 까지 평평하게 둔다. 선도환율·컨센서스 아님.</t>
      </text>
    </comment>
    <comment ref="AI7" authorId="0" shapeId="0">
      <text>
        <t>모델 assumptions.fx — 가정 — 마지막 ECB 관측치를 2028Q4 까지 평평하게 둔다. 선도환율·컨센서스 아님.</t>
      </text>
    </comment>
    <comment ref="AK7" authorId="0" shapeId="0">
      <text>
        <t>모델 assumptions.fx — 가정 — 마지막 ECB 관측치를 2028Q4 까지 평평하게 둔다. 선도환율·컨센서스 아님.</t>
      </text>
    </comment>
    <comment ref="AL7" authorId="0" shapeId="0">
      <text>
        <t>모델 assumptions.fx — 가정 — 마지막 ECB 관측치를 2028Q4 까지 평평하게 둔다. 선도환율·컨센서스 아님.</t>
      </text>
    </comment>
    <comment ref="AM7" authorId="0" shapeId="0">
      <text>
        <t>모델 assumptions.fx — 가정 — 마지막 ECB 관측치를 2028Q4 까지 평평하게 둔다. 선도환율·컨센서스 아님.</t>
      </text>
    </comment>
    <comment ref="AN7" authorId="0" shapeId="0">
      <text>
        <t>모델 assumptions.fx — 가정 — 마지막 ECB 관측치를 2028Q4 까지 평평하게 둔다. 선도환율·컨센서스 아님.</t>
      </text>
    </comment>
    <comment ref="AD8" authorId="0" shapeId="0">
      <text>
        <t>fx.json quarters(partial — 분기 진행 중 실측 평균)</t>
      </text>
    </comment>
    <comment ref="AF8" authorId="0" shapeId="0">
      <text>
        <t>fx.json forward(flat_last_end) — 가정</t>
      </text>
    </comment>
    <comment ref="AG8" authorId="0" shapeId="0">
      <text>
        <t>fx.json forward(flat_last_end) — 가정</t>
      </text>
    </comment>
    <comment ref="AH8" authorId="0" shapeId="0">
      <text>
        <t>fx.json forward(flat_last_end) — 가정</t>
      </text>
    </comment>
    <comment ref="AI8" authorId="0" shapeId="0">
      <text>
        <t>fx.json forward(flat_last_end) — 가정</t>
      </text>
    </comment>
    <comment ref="AK8" authorId="0" shapeId="0">
      <text>
        <t>fx.json forward(flat_last_end) — 가정</t>
      </text>
    </comment>
    <comment ref="AL8" authorId="0" shapeId="0">
      <text>
        <t>fx.json forward(flat_last_end) — 가정</t>
      </text>
    </comment>
    <comment ref="AM8" authorId="0" shapeId="0">
      <text>
        <t>fx.json forward(flat_last_end) — 가정</t>
      </text>
    </comment>
    <comment ref="AN8" authorId="0" shapeId="0">
      <text>
        <t>fx.json forward(flat_last_end) — 가정</t>
      </text>
    </comment>
    <comment ref="AD9" authorId="0" shapeId="0">
      <text>
        <t>fx.json quarters(partial — 분기 진행 중 실측 평균)</t>
      </text>
    </comment>
    <comment ref="AF9" authorId="0" shapeId="0">
      <text>
        <t>fx.json forward(flat_last_end) — 가정</t>
      </text>
    </comment>
    <comment ref="AG9" authorId="0" shapeId="0">
      <text>
        <t>fx.json forward(flat_last_end) — 가정</t>
      </text>
    </comment>
    <comment ref="AH9" authorId="0" shapeId="0">
      <text>
        <t>fx.json forward(flat_last_end) — 가정</t>
      </text>
    </comment>
    <comment ref="AI9" authorId="0" shapeId="0">
      <text>
        <t>fx.json forward(flat_last_end) — 가정</t>
      </text>
    </comment>
    <comment ref="AK9" authorId="0" shapeId="0">
      <text>
        <t>fx.json forward(flat_last_end) — 가정</t>
      </text>
    </comment>
    <comment ref="AL9" authorId="0" shapeId="0">
      <text>
        <t>fx.json forward(flat_last_end) — 가정</t>
      </text>
    </comment>
    <comment ref="AM9" authorId="0" shapeId="0">
      <text>
        <t>fx.json forward(flat_last_end) — 가정</t>
      </text>
    </comment>
    <comment ref="AN9" authorId="0" shapeId="0">
      <text>
        <t>fx.json forward(flat_last_end) — 가정</t>
      </text>
    </comment>
    <comment ref="AD10" authorId="0" shapeId="0">
      <text>
        <t>fx.json quarters(partial — 분기 진행 중 실측 평균)</t>
      </text>
    </comment>
    <comment ref="AF10" authorId="0" shapeId="0">
      <text>
        <t>fx.json forward(flat_last_end) — 가정</t>
      </text>
    </comment>
    <comment ref="AG10" authorId="0" shapeId="0">
      <text>
        <t>fx.json forward(flat_last_end) — 가정</t>
      </text>
    </comment>
    <comment ref="AH10" authorId="0" shapeId="0">
      <text>
        <t>fx.json forward(flat_last_end) — 가정</t>
      </text>
    </comment>
    <comment ref="AI10" authorId="0" shapeId="0">
      <text>
        <t>fx.json forward(flat_last_end) — 가정</t>
      </text>
    </comment>
    <comment ref="AK10" authorId="0" shapeId="0">
      <text>
        <t>fx.json forward(flat_last_end) — 가정</t>
      </text>
    </comment>
    <comment ref="AL10" authorId="0" shapeId="0">
      <text>
        <t>fx.json forward(flat_last_end) — 가정</t>
      </text>
    </comment>
    <comment ref="AM10" authorId="0" shapeId="0">
      <text>
        <t>fx.json forward(flat_last_end) — 가정</t>
      </text>
    </comment>
    <comment ref="AN10" authorId="0" shapeId="0">
      <text>
        <t>fx.json forward(flat_last_end) — 가정</t>
      </text>
    </comment>
    <comment ref="AD11" authorId="0" shapeId="0">
      <text>
        <t>fx.json quarters(partial — 분기 진행 중 실측 평균)</t>
      </text>
    </comment>
    <comment ref="AF11" authorId="0" shapeId="0">
      <text>
        <t>fx.json forward(flat_last_end) — 가정</t>
      </text>
    </comment>
    <comment ref="AG11" authorId="0" shapeId="0">
      <text>
        <t>fx.json forward(flat_last_end) — 가정</t>
      </text>
    </comment>
    <comment ref="AH11" authorId="0" shapeId="0">
      <text>
        <t>fx.json forward(flat_last_end) — 가정</t>
      </text>
    </comment>
    <comment ref="AI11" authorId="0" shapeId="0">
      <text>
        <t>fx.json forward(flat_last_end) — 가정</t>
      </text>
    </comment>
    <comment ref="AK11" authorId="0" shapeId="0">
      <text>
        <t>fx.json forward(flat_last_end) — 가정</t>
      </text>
    </comment>
    <comment ref="AL11" authorId="0" shapeId="0">
      <text>
        <t>fx.json forward(flat_last_end) — 가정</t>
      </text>
    </comment>
    <comment ref="AM11" authorId="0" shapeId="0">
      <text>
        <t>fx.json forward(flat_last_end) — 가정</t>
      </text>
    </comment>
    <comment ref="AN11" authorId="0" shapeId="0">
      <text>
        <t>fx.json forward(flat_last_end) — 가정</t>
      </text>
    </comment>
    <comment ref="AD12" authorId="0" shapeId="0">
      <text>
        <t>fx.json quarters(partial — 분기 진행 중 실측 평균)</t>
      </text>
    </comment>
    <comment ref="AF12" authorId="0" shapeId="0">
      <text>
        <t>fx.json forward(flat_last_end) — 가정</t>
      </text>
    </comment>
    <comment ref="AG12" authorId="0" shapeId="0">
      <text>
        <t>fx.json forward(flat_last_end) — 가정</t>
      </text>
    </comment>
    <comment ref="AH12" authorId="0" shapeId="0">
      <text>
        <t>fx.json forward(flat_last_end) — 가정</t>
      </text>
    </comment>
    <comment ref="AI12" authorId="0" shapeId="0">
      <text>
        <t>fx.json forward(flat_last_end) — 가정</t>
      </text>
    </comment>
    <comment ref="AK12" authorId="0" shapeId="0">
      <text>
        <t>fx.json forward(flat_last_end) — 가정</t>
      </text>
    </comment>
    <comment ref="AL12" authorId="0" shapeId="0">
      <text>
        <t>fx.json forward(flat_last_end) — 가정</t>
      </text>
    </comment>
    <comment ref="AM12" authorId="0" shapeId="0">
      <text>
        <t>fx.json forward(flat_last_end) — 가정</t>
      </text>
    </comment>
    <comment ref="AN12" authorId="0" shapeId="0">
      <text>
        <t>fx.json forward(flat_last_end) — 가정</t>
      </text>
    </comment>
    <comment ref="AD13" authorId="0" shapeId="0">
      <text>
        <t>fx.json quarters(partial — 분기 진행 중 실측 평균)</t>
      </text>
    </comment>
    <comment ref="AF13" authorId="0" shapeId="0">
      <text>
        <t>fx.json forward(flat_last_end) — 가정</t>
      </text>
    </comment>
    <comment ref="AG13" authorId="0" shapeId="0">
      <text>
        <t>fx.json forward(flat_last_end) — 가정</t>
      </text>
    </comment>
    <comment ref="AH13" authorId="0" shapeId="0">
      <text>
        <t>fx.json forward(flat_last_end) — 가정</t>
      </text>
    </comment>
    <comment ref="AI13" authorId="0" shapeId="0">
      <text>
        <t>fx.json forward(flat_last_end) — 가정</t>
      </text>
    </comment>
    <comment ref="AK13" authorId="0" shapeId="0">
      <text>
        <t>fx.json forward(flat_last_end) — 가정</t>
      </text>
    </comment>
    <comment ref="AL13" authorId="0" shapeId="0">
      <text>
        <t>fx.json forward(flat_last_end) — 가정</t>
      </text>
    </comment>
    <comment ref="AM13" authorId="0" shapeId="0">
      <text>
        <t>fx.json forward(flat_last_end) — 가정</t>
      </text>
    </comment>
    <comment ref="AN13" authorId="0" shapeId="0">
      <text>
        <t>fx.json forward(flat_last_end) — 가정</t>
      </text>
    </comment>
    <comment ref="AD15" authorId="0" shapeId="0">
      <text>
        <t>분기 진행 중(partial) — aikstockdata/토스 일봉</t>
      </text>
    </comment>
    <comment ref="AD16" authorId="0" shapeId="0">
      <text>
        <t>분기 진행 중(partial) — aikstockdata/토스 일봉</t>
      </text>
    </comment>
    <comment ref="AD17" authorId="0" shapeId="0">
      <text>
        <t>분기 진행 중(partial) — aikstockdata/토스 일봉</t>
      </text>
    </comment>
    <comment ref="AD18" authorId="0" shapeId="0">
      <text>
        <t>분기 진행 중(partial) — aikstockdata/토스 일봉</t>
      </text>
    </comment>
    <comment ref="AC21" authorId="0" shapeId="0">
      <text>
        <t>모델값 역산(implied): v / 전년동기 − 1
고객지수 4분기 이동합(t−4) 127137억 × 비례계수 0.0128 × 계절비중 Q3 0.227(계절비중 — 최근 3개 연도(2026, 2025, 2024) 분기/연간 비중 평균; 격자 lag0~4×창8/12/19×수준·YoY·4Q합 중 최대 r=1.00, n=8, 창 8)</t>
      </text>
    </comment>
    <comment ref="AD21" authorId="0" shapeId="0">
      <text>
        <t>모델값 역산(implied): v / 전년동기 − 1
고객지수 4분기 이동합(t−4) 127835억 × 비례계수 0.0128 × 계절비중 Q4 0.283(계절비중 — 최근 3개 연도(2026, 2025, 2024) 분기/연간 비중 평균; 격자 lag0~4×창8/12/19×수준·YoY·4Q합 중 최대 r=1.00, n=8, 창 8)</t>
      </text>
    </comment>
    <comment ref="AF21" authorId="0" shapeId="0">
      <text>
        <t>모델값 역산(implied): v / 전년동기 − 1
고객지수 4분기 이동합(t−4) 128504억 × 비례계수 0.0128 × 계절비중 Q1 0.234(계절비중 — 최근 3개 연도(2026, 2025, 2024) 분기/연간 비중 평균; 격자 lag0~4×창8/12/19×수준·YoY·4Q합 중 최대 r=1.00, n=8, 창 8)</t>
      </text>
    </comment>
    <comment ref="AG21" authorId="0" shapeId="0">
      <text>
        <t>모델값 역산(implied): v / 전년동기 − 1
고객지수 4분기 이동합(t−4) 149994억 × 비례계수 0.0128 × 계절비중 Q2 0.257(계절비중 — 최근 3개 연도(2026, 2025, 2024) 분기/연간 비중 평균; 격자 lag0~4×창8/12/19×수준·YoY·4Q합 중 최대 r=1.00, n=8, 창 8)</t>
      </text>
    </comment>
    <comment ref="AH21" authorId="0" shapeId="0">
      <text>
        <t>모델값 역산(implied): v / 전년동기 − 1
고객지수 4분기 이동합(t−4) 161069억 × 비례계수 0.0128 × 계절비중 Q3 0.227(계절비중 — 최근 3개 연도(2026, 2025, 2024) 분기/연간 비중 평균; 격자 lag0~4×창8/12/19×수준·YoY·4Q합 중 최대 r=1.00, n=8, 창 8)</t>
      </text>
    </comment>
    <comment ref="AI21" authorId="0" shapeId="0">
      <text>
        <t>모델값 역산(implied): v / 전년동기 − 1
고객지수 4분기 이동합(t−4) 169855억 × 비례계수 0.0128 × 계절비중 Q4 0.283(계절비중 — 최근 3개 연도(2026, 2025, 2024) 분기/연간 비중 평균; 격자 lag0~4×창8/12/19×수준·YoY·4Q합 중 최대 r=1.00, n=8, 창 8)</t>
      </text>
    </comment>
    <comment ref="AK21" authorId="0" shapeId="0">
      <text>
        <t>모델값 역산(implied): v / 전년동기 − 1
고객지수 4분기 이동합(t−4) 179120억 × 비례계수 0.0128 × 계절비중 Q1 0.234(계절비중 — 최근 3개 연도(2026, 2025, 2024) 분기/연간 비중 평균; 격자 lag0~4×창8/12/19×수준·YoY·4Q합 중 최대 r=1.00, n=8, 창 8)</t>
      </text>
    </comment>
    <comment ref="AL21" authorId="0" shapeId="0">
      <text>
        <t>모델값 역산(implied): v / 전년동기 − 1
고객지수 4분기 이동합(t−4) 167240억 × 비례계수 0.0128 × 계절비중 Q2 0.257(계절비중 — 최근 3개 연도(2026, 2025, 2024) 분기/연간 비중 평균; 격자 lag0~4×창8/12/19×수준·YoY·4Q합 중 최대 r=1.00, n=8, 창 8)</t>
      </text>
    </comment>
    <comment ref="AM21" authorId="0" shapeId="0">
      <text>
        <t>모델값 역산(implied): v / 전년동기 − 1
고객지수 4분기 이동합(t−4) 170807억 × 비례계수 0.0128 × 계절비중 Q3 0.227(계절비중 — 최근 3개 연도(2026, 2025, 2024) 분기/연간 비중 평균; 격자 lag0~4×창8/12/19×수준·YoY·4Q합 중 최대 r=1.00, n=8, 창 8)</t>
      </text>
    </comment>
    <comment ref="AN21" authorId="0" shapeId="0">
      <text>
        <t>모델값 역산(implied): v / 전년동기 − 1
고객지수 4분기 이동합(t−4) 176369억 × 비례계수 0.0128 × 계절비중 Q4 0.283(계절비중 — 최근 3개 연도(2026, 2025, 2024) 분기/연간 비중 평균; 격자 lag0~4×창8/12/19×수준·YoY·4Q합 중 최대 r=1.00, n=8, 창 8)</t>
      </text>
    </comment>
    <comment ref="AC22" authorId="0" shapeId="0">
      <text>
        <t>3절 스칼라 '판관비율' 참조 — 숫자로 덮어쓰면 이 분기만 바뀐다
매출액 × 판관비율 16.04%(최근 4분기 중위)</t>
      </text>
    </comment>
    <comment ref="AD22" authorId="0" shapeId="0">
      <text>
        <t>3절 스칼라 '판관비율' 참조 — 숫자로 덮어쓰면 이 분기만 바뀐다
매출액 × 판관비율 16.04%(최근 4분기 중위)</t>
      </text>
    </comment>
    <comment ref="AF22" authorId="0" shapeId="0">
      <text>
        <t>3절 스칼라 '판관비율' 참조 — 숫자로 덮어쓰면 이 분기만 바뀐다
매출액 × 판관비율 16.04%(최근 4분기 중위)</t>
      </text>
    </comment>
    <comment ref="AG22" authorId="0" shapeId="0">
      <text>
        <t>3절 스칼라 '판관비율' 참조 — 숫자로 덮어쓰면 이 분기만 바뀐다
매출액 × 판관비율 16.04%(최근 4분기 중위)</t>
      </text>
    </comment>
    <comment ref="AH22" authorId="0" shapeId="0">
      <text>
        <t>3절 스칼라 '판관비율' 참조 — 숫자로 덮어쓰면 이 분기만 바뀐다
매출액 × 판관비율 16.04%(최근 4분기 중위)</t>
      </text>
    </comment>
    <comment ref="AI22" authorId="0" shapeId="0">
      <text>
        <t>3절 스칼라 '판관비율' 참조 — 숫자로 덮어쓰면 이 분기만 바뀐다
매출액 × 판관비율 16.04%(최근 4분기 중위)</t>
      </text>
    </comment>
    <comment ref="AK22" authorId="0" shapeId="0">
      <text>
        <t>3절 스칼라 '판관비율' 참조 — 숫자로 덮어쓰면 이 분기만 바뀐다
매출액 × 판관비율 16.04%(최근 4분기 중위)</t>
      </text>
    </comment>
    <comment ref="AL22" authorId="0" shapeId="0">
      <text>
        <t>3절 스칼라 '판관비율' 참조 — 숫자로 덮어쓰면 이 분기만 바뀐다
매출액 × 판관비율 16.04%(최근 4분기 중위)</t>
      </text>
    </comment>
    <comment ref="AM22" authorId="0" shapeId="0">
      <text>
        <t>3절 스칼라 '판관비율' 참조 — 숫자로 덮어쓰면 이 분기만 바뀐다
매출액 × 판관비율 16.04%(최근 4분기 중위)</t>
      </text>
    </comment>
    <comment ref="AN22" authorId="0" shapeId="0">
      <text>
        <t>3절 스칼라 '판관비율' 참조 — 숫자로 덮어쓰면 이 분기만 바뀐다
매출액 × 판관비율 16.04%(최근 4분기 중위)</t>
      </text>
    </comment>
    <comment ref="AC23" authorId="0" shapeId="0">
      <text>
        <t>모델값 역산(implied): v / 매출액
매출액 × OPM(최근 8분기 OPM 중위 16.2% 유지)</t>
      </text>
    </comment>
    <comment ref="AD23" authorId="0" shapeId="0">
      <text>
        <t>모델값 역산(implied): v / 매출액
매출액 × OPM(최근 8분기 OPM 중위 16.2% 유지)</t>
      </text>
    </comment>
    <comment ref="AF23" authorId="0" shapeId="0">
      <text>
        <t>모델값 역산(implied): v / 매출액
매출액 × OPM(최근 8분기 OPM 중위 16.2% 유지)</t>
      </text>
    </comment>
    <comment ref="AG23" authorId="0" shapeId="0">
      <text>
        <t>모델값 역산(implied): v / 매출액
매출액 × OPM(최근 8분기 OPM 중위 16.2% 유지)</t>
      </text>
    </comment>
    <comment ref="AH23" authorId="0" shapeId="0">
      <text>
        <t>모델값 역산(implied): v / 매출액
매출액 × OPM(최근 8분기 OPM 중위 16.2% 유지)</t>
      </text>
    </comment>
    <comment ref="AI23" authorId="0" shapeId="0">
      <text>
        <t>모델값 역산(implied): v / 매출액
매출액 × OPM(최근 8분기 OPM 중위 16.2% 유지)</t>
      </text>
    </comment>
    <comment ref="AK23" authorId="0" shapeId="0">
      <text>
        <t>모델값 역산(implied): v / 매출액
매출액 × OPM(최근 8분기 OPM 중위 16.2% 유지)</t>
      </text>
    </comment>
    <comment ref="AL23" authorId="0" shapeId="0">
      <text>
        <t>모델값 역산(implied): v / 매출액
매출액 × OPM(최근 8분기 OPM 중위 16.2% 유지)</t>
      </text>
    </comment>
    <comment ref="AM23" authorId="0" shapeId="0">
      <text>
        <t>모델값 역산(implied): v / 매출액
매출액 × OPM(최근 8분기 OPM 중위 16.2% 유지)</t>
      </text>
    </comment>
    <comment ref="AN23" authorId="0" shapeId="0">
      <text>
        <t>모델값 역산(implied): v / 매출액
매출액 × OPM(최근 8분기 OPM 중위 16.2% 유지)</t>
      </text>
    </comment>
    <comment ref="AC24" authorId="0" shapeId="0">
      <text>
        <t>모델값 역산(implied): 모델 v 그대로
일회성 미가정 → 0</t>
      </text>
    </comment>
    <comment ref="AD24" authorId="0" shapeId="0">
      <text>
        <t>모델값 역산(implied): 모델 v 그대로
일회성 미가정 → 0</t>
      </text>
    </comment>
    <comment ref="AF24" authorId="0" shapeId="0">
      <text>
        <t>모델값 역산(implied): 모델 v 그대로
일회성 미가정 → 0</t>
      </text>
    </comment>
    <comment ref="AG24" authorId="0" shapeId="0">
      <text>
        <t>모델값 역산(implied): 모델 v 그대로
일회성 미가정 → 0</t>
      </text>
    </comment>
    <comment ref="AH24" authorId="0" shapeId="0">
      <text>
        <t>모델값 역산(implied): 모델 v 그대로
일회성 미가정 → 0</t>
      </text>
    </comment>
    <comment ref="AI24" authorId="0" shapeId="0">
      <text>
        <t>모델값 역산(implied): 모델 v 그대로
일회성 미가정 → 0</t>
      </text>
    </comment>
    <comment ref="AK24" authorId="0" shapeId="0">
      <text>
        <t>모델값 역산(implied): 모델 v 그대로
일회성 미가정 → 0</t>
      </text>
    </comment>
    <comment ref="AL24" authorId="0" shapeId="0">
      <text>
        <t>모델값 역산(implied): 모델 v 그대로
일회성 미가정 → 0</t>
      </text>
    </comment>
    <comment ref="AM24" authorId="0" shapeId="0">
      <text>
        <t>모델값 역산(implied): 모델 v 그대로
일회성 미가정 → 0</t>
      </text>
    </comment>
    <comment ref="AN24" authorId="0" shapeId="0">
      <text>
        <t>모델값 역산(implied): 모델 v 그대로
일회성 미가정 → 0</t>
      </text>
    </comment>
    <comment ref="AC25" authorId="0" shapeId="0">
      <text>
        <t>모델값 역산(implied): 모델 v 그대로
최근 4분기 중위</t>
      </text>
    </comment>
    <comment ref="AD25" authorId="0" shapeId="0">
      <text>
        <t>모델값 역산(implied): 모델 v 그대로
최근 4분기 중위</t>
      </text>
    </comment>
    <comment ref="AF25" authorId="0" shapeId="0">
      <text>
        <t>모델값 역산(implied): 모델 v 그대로
최근 4분기 중위</t>
      </text>
    </comment>
    <comment ref="AG25" authorId="0" shapeId="0">
      <text>
        <t>모델값 역산(implied): 모델 v 그대로
최근 4분기 중위</t>
      </text>
    </comment>
    <comment ref="AH25" authorId="0" shapeId="0">
      <text>
        <t>모델값 역산(implied): 모델 v 그대로
최근 4분기 중위</t>
      </text>
    </comment>
    <comment ref="AI25" authorId="0" shapeId="0">
      <text>
        <t>모델값 역산(implied): 모델 v 그대로
최근 4분기 중위</t>
      </text>
    </comment>
    <comment ref="AK25" authorId="0" shapeId="0">
      <text>
        <t>모델값 역산(implied): 모델 v 그대로
최근 4분기 중위</t>
      </text>
    </comment>
    <comment ref="AL25" authorId="0" shapeId="0">
      <text>
        <t>모델값 역산(implied): 모델 v 그대로
최근 4분기 중위</t>
      </text>
    </comment>
    <comment ref="AM25" authorId="0" shapeId="0">
      <text>
        <t>모델값 역산(implied): 모델 v 그대로
최근 4분기 중위</t>
      </text>
    </comment>
    <comment ref="AN25" authorId="0" shapeId="0">
      <text>
        <t>모델값 역산(implied): 모델 v 그대로
최근 4분기 중위</t>
      </text>
    </comment>
    <comment ref="AC26" authorId="0" shapeId="0">
      <text>
        <t>3절 스칼라 '세율' 참조 — 숫자로 덮어쓰면 이 분기만 바뀐다
max(세전, 0) × 세율 14.7%(최근 12분기 유효세율 14.7%(5~27% 안 — 그대로))</t>
      </text>
    </comment>
    <comment ref="AD26" authorId="0" shapeId="0">
      <text>
        <t>3절 스칼라 '세율' 참조 — 숫자로 덮어쓰면 이 분기만 바뀐다
max(세전, 0) × 세율 14.7%(최근 12분기 유효세율 14.7%(5~27% 안 — 그대로))</t>
      </text>
    </comment>
    <comment ref="AF26" authorId="0" shapeId="0">
      <text>
        <t>3절 스칼라 '세율' 참조 — 숫자로 덮어쓰면 이 분기만 바뀐다
max(세전, 0) × 세율 14.7%(최근 12분기 유효세율 14.7%(5~27% 안 — 그대로))</t>
      </text>
    </comment>
    <comment ref="AG26" authorId="0" shapeId="0">
      <text>
        <t>3절 스칼라 '세율' 참조 — 숫자로 덮어쓰면 이 분기만 바뀐다
max(세전, 0) × 세율 14.7%(최근 12분기 유효세율 14.7%(5~27% 안 — 그대로))</t>
      </text>
    </comment>
    <comment ref="AH26" authorId="0" shapeId="0">
      <text>
        <t>3절 스칼라 '세율' 참조 — 숫자로 덮어쓰면 이 분기만 바뀐다
max(세전, 0) × 세율 14.7%(최근 12분기 유효세율 14.7%(5~27% 안 — 그대로))</t>
      </text>
    </comment>
    <comment ref="AI26" authorId="0" shapeId="0">
      <text>
        <t>3절 스칼라 '세율' 참조 — 숫자로 덮어쓰면 이 분기만 바뀐다
max(세전, 0) × 세율 14.7%(최근 12분기 유효세율 14.7%(5~27% 안 — 그대로))</t>
      </text>
    </comment>
    <comment ref="AK26" authorId="0" shapeId="0">
      <text>
        <t>3절 스칼라 '세율' 참조 — 숫자로 덮어쓰면 이 분기만 바뀐다
max(세전, 0) × 세율 14.7%(최근 12분기 유효세율 14.7%(5~27% 안 — 그대로))</t>
      </text>
    </comment>
    <comment ref="AL26" authorId="0" shapeId="0">
      <text>
        <t>3절 스칼라 '세율' 참조 — 숫자로 덮어쓰면 이 분기만 바뀐다
max(세전, 0) × 세율 14.7%(최근 12분기 유효세율 14.7%(5~27% 안 — 그대로))</t>
      </text>
    </comment>
    <comment ref="AM26" authorId="0" shapeId="0">
      <text>
        <t>3절 스칼라 '세율' 참조 — 숫자로 덮어쓰면 이 분기만 바뀐다
max(세전, 0) × 세율 14.7%(최근 12분기 유효세율 14.7%(5~27% 안 — 그대로))</t>
      </text>
    </comment>
    <comment ref="AN26" authorId="0" shapeId="0">
      <text>
        <t>3절 스칼라 '세율' 참조 — 숫자로 덮어쓰면 이 분기만 바뀐다
max(세전, 0) × 세율 14.7%(최근 12분기 유효세율 14.7%(5~27% 안 — 그대로))</t>
      </text>
    </comment>
    <comment ref="AC27" authorId="0" shapeId="0">
      <text>
        <t>3절 스칼라 '지배주주비중' 참조 — 숫자로 덮어쓰면 이 분기만 바뀐다
당기순이익 × (1 − 비지배 비중 0.0%, 최근 8분기 실측)</t>
      </text>
    </comment>
    <comment ref="AD27" authorId="0" shapeId="0">
      <text>
        <t>3절 스칼라 '지배주주비중' 참조 — 숫자로 덮어쓰면 이 분기만 바뀐다
당기순이익 × (1 − 비지배 비중 0.0%, 최근 8분기 실측)</t>
      </text>
    </comment>
    <comment ref="AF27" authorId="0" shapeId="0">
      <text>
        <t>3절 스칼라 '지배주주비중' 참조 — 숫자로 덮어쓰면 이 분기만 바뀐다
당기순이익 × (1 − 비지배 비중 0.0%, 최근 8분기 실측)</t>
      </text>
    </comment>
    <comment ref="AG27" authorId="0" shapeId="0">
      <text>
        <t>3절 스칼라 '지배주주비중' 참조 — 숫자로 덮어쓰면 이 분기만 바뀐다
당기순이익 × (1 − 비지배 비중 0.0%, 최근 8분기 실측)</t>
      </text>
    </comment>
    <comment ref="AH27" authorId="0" shapeId="0">
      <text>
        <t>3절 스칼라 '지배주주비중' 참조 — 숫자로 덮어쓰면 이 분기만 바뀐다
당기순이익 × (1 − 비지배 비중 0.0%, 최근 8분기 실측)</t>
      </text>
    </comment>
    <comment ref="AI27" authorId="0" shapeId="0">
      <text>
        <t>3절 스칼라 '지배주주비중' 참조 — 숫자로 덮어쓰면 이 분기만 바뀐다
당기순이익 × (1 − 비지배 비중 0.0%, 최근 8분기 실측)</t>
      </text>
    </comment>
    <comment ref="AK27" authorId="0" shapeId="0">
      <text>
        <t>3절 스칼라 '지배주주비중' 참조 — 숫자로 덮어쓰면 이 분기만 바뀐다
당기순이익 × (1 − 비지배 비중 0.0%, 최근 8분기 실측)</t>
      </text>
    </comment>
    <comment ref="AL27" authorId="0" shapeId="0">
      <text>
        <t>3절 스칼라 '지배주주비중' 참조 — 숫자로 덮어쓰면 이 분기만 바뀐다
당기순이익 × (1 − 비지배 비중 0.0%, 최근 8분기 실측)</t>
      </text>
    </comment>
    <comment ref="AM27" authorId="0" shapeId="0">
      <text>
        <t>3절 스칼라 '지배주주비중' 참조 — 숫자로 덮어쓰면 이 분기만 바뀐다
당기순이익 × (1 − 비지배 비중 0.0%, 최근 8분기 실측)</t>
      </text>
    </comment>
    <comment ref="AN27" authorId="0" shapeId="0">
      <text>
        <t>3절 스칼라 '지배주주비중' 참조 — 숫자로 덮어쓰면 이 분기만 바뀐다
당기순이익 × (1 − 비지배 비중 0.0%, 최근 8분기 실측)</t>
      </text>
    </comment>
    <comment ref="AC28" authorId="0" shapeId="0">
      <text>
        <t>모델값 역산(implied): 모델 v 그대로
최근 4분기 감가상각비 중위 유지</t>
      </text>
    </comment>
    <comment ref="AD28" authorId="0" shapeId="0">
      <text>
        <t>모델값 역산(implied): 모델 v 그대로
최근 4분기 감가상각비 중위 유지</t>
      </text>
    </comment>
    <comment ref="AF28" authorId="0" shapeId="0">
      <text>
        <t>모델값 역산(implied): 모델 v 그대로
최근 4분기 감가상각비 중위 유지</t>
      </text>
    </comment>
    <comment ref="AG28" authorId="0" shapeId="0">
      <text>
        <t>모델값 역산(implied): 모델 v 그대로
최근 4분기 감가상각비 중위 유지</t>
      </text>
    </comment>
    <comment ref="AH28" authorId="0" shapeId="0">
      <text>
        <t>모델값 역산(implied): 모델 v 그대로
최근 4분기 감가상각비 중위 유지</t>
      </text>
    </comment>
    <comment ref="AI28" authorId="0" shapeId="0">
      <text>
        <t>모델값 역산(implied): 모델 v 그대로
최근 4분기 감가상각비 중위 유지</t>
      </text>
    </comment>
    <comment ref="AK28" authorId="0" shapeId="0">
      <text>
        <t>모델값 역산(implied): 모델 v 그대로
최근 4분기 감가상각비 중위 유지</t>
      </text>
    </comment>
    <comment ref="AL28" authorId="0" shapeId="0">
      <text>
        <t>모델값 역산(implied): 모델 v 그대로
최근 4분기 감가상각비 중위 유지</t>
      </text>
    </comment>
    <comment ref="AM28" authorId="0" shapeId="0">
      <text>
        <t>모델값 역산(implied): 모델 v 그대로
최근 4분기 감가상각비 중위 유지</t>
      </text>
    </comment>
    <comment ref="AN28" authorId="0" shapeId="0">
      <text>
        <t>모델값 역산(implied): 모델 v 그대로
최근 4분기 감가상각비 중위 유지</t>
      </text>
    </comment>
    <comment ref="AC29" authorId="0" shapeId="0">
      <text>
        <t>모델값 역산(implied): v / 전분기 − 1
마지막 실적 유지(가정)</t>
      </text>
    </comment>
    <comment ref="AD29" authorId="0" shapeId="0">
      <text>
        <t>모델값 역산(implied): v / 전분기 − 1
마지막 실적 유지(가정)</t>
      </text>
    </comment>
    <comment ref="AF29" authorId="0" shapeId="0">
      <text>
        <t>모델값 역산(implied): v / 전분기 − 1
마지막 실적 유지(가정)</t>
      </text>
    </comment>
    <comment ref="AG29" authorId="0" shapeId="0">
      <text>
        <t>모델값 역산(implied): v / 전분기 − 1
마지막 실적 유지(가정)</t>
      </text>
    </comment>
    <comment ref="AH29" authorId="0" shapeId="0">
      <text>
        <t>모델값 역산(implied): v / 전분기 − 1
마지막 실적 유지(가정)</t>
      </text>
    </comment>
    <comment ref="AI29" authorId="0" shapeId="0">
      <text>
        <t>모델값 역산(implied): v / 전분기 − 1
마지막 실적 유지(가정)</t>
      </text>
    </comment>
    <comment ref="AK29" authorId="0" shapeId="0">
      <text>
        <t>모델값 역산(implied): v / 전분기 − 1
마지막 실적 유지(가정)</t>
      </text>
    </comment>
    <comment ref="AL29" authorId="0" shapeId="0">
      <text>
        <t>모델값 역산(implied): v / 전분기 − 1
마지막 실적 유지(가정)</t>
      </text>
    </comment>
    <comment ref="AM29" authorId="0" shapeId="0">
      <text>
        <t>모델값 역산(implied): v / 전분기 − 1
마지막 실적 유지(가정)</t>
      </text>
    </comment>
    <comment ref="AN29" authorId="0" shapeId="0">
      <text>
        <t>모델값 역산(implied): v / 전분기 − 1
마지막 실적 유지(가정)</t>
      </text>
    </comment>
    <comment ref="AC30" authorId="0" shapeId="0">
      <text>
        <t>모델값 역산(implied): 전분기(시트값) + 당기순이익(시트 수식값) − v
전분기 + 당기순이익 − 배당(Q2 지급 가정)</t>
      </text>
    </comment>
    <comment ref="AD30" authorId="0" shapeId="0">
      <text>
        <t>모델값 역산(implied): 전분기(시트값) + 당기순이익(시트 수식값) − v
전분기 + 당기순이익 − 배당(Q2 지급 가정)</t>
      </text>
    </comment>
    <comment ref="AF30" authorId="0" shapeId="0">
      <text>
        <t>모델값 역산(implied): 전분기(시트값) + 당기순이익(시트 수식값) − v
전분기 + 당기순이익 − 배당(Q2 지급 가정)</t>
      </text>
    </comment>
    <comment ref="AG30" authorId="0" shapeId="0">
      <text>
        <t>모델값 역산(implied): 전분기(시트값) + 당기순이익(시트 수식값) − v
전분기 + 당기순이익 − 배당(Q2 지급 가정)</t>
      </text>
    </comment>
    <comment ref="AH30" authorId="0" shapeId="0">
      <text>
        <t>모델값 역산(implied): 전분기(시트값) + 당기순이익(시트 수식값) − v
전분기 + 당기순이익 − 배당(Q2 지급 가정)</t>
      </text>
    </comment>
    <comment ref="AI30" authorId="0" shapeId="0">
      <text>
        <t>모델값 역산(implied): 전분기(시트값) + 당기순이익(시트 수식값) − v
전분기 + 당기순이익 − 배당(Q2 지급 가정)</t>
      </text>
    </comment>
    <comment ref="AK30" authorId="0" shapeId="0">
      <text>
        <t>모델값 역산(implied): 전분기(시트값) + 당기순이익(시트 수식값) − v
전분기 + 당기순이익 − 배당(Q2 지급 가정)</t>
      </text>
    </comment>
    <comment ref="AL30" authorId="0" shapeId="0">
      <text>
        <t>모델값 역산(implied): 전분기(시트값) + 당기순이익(시트 수식값) − v
전분기 + 당기순이익 − 배당(Q2 지급 가정)</t>
      </text>
    </comment>
    <comment ref="AM30" authorId="0" shapeId="0">
      <text>
        <t>모델값 역산(implied): 전분기(시트값) + 당기순이익(시트 수식값) − v
전분기 + 당기순이익 − 배당(Q2 지급 가정)</t>
      </text>
    </comment>
    <comment ref="AN30" authorId="0" shapeId="0">
      <text>
        <t>모델값 역산(implied): 전분기(시트값) + 당기순이익(시트 수식값) − v
전분기 + 당기순이익 − 배당(Q2 지급 가정)</t>
      </text>
    </comment>
    <comment ref="AC31" authorId="0" shapeId="0">
      <text>
        <t>모델값 역산(implied): 전분기(시트값) + 지배주주순이익(시트 수식값) − v
전분기 + 지배주주순이익 − 배당</t>
      </text>
    </comment>
    <comment ref="AD31" authorId="0" shapeId="0">
      <text>
        <t>모델값 역산(implied): 전분기(시트값) + 지배주주순이익(시트 수식값) − v
전분기 + 지배주주순이익 − 배당</t>
      </text>
    </comment>
    <comment ref="AF31" authorId="0" shapeId="0">
      <text>
        <t>모델값 역산(implied): 전분기(시트값) + 지배주주순이익(시트 수식값) − v
전분기 + 지배주주순이익 − 배당</t>
      </text>
    </comment>
    <comment ref="AG31" authorId="0" shapeId="0">
      <text>
        <t>모델값 역산(implied): 전분기(시트값) + 지배주주순이익(시트 수식값) − v
전분기 + 지배주주순이익 − 배당</t>
      </text>
    </comment>
    <comment ref="AH31" authorId="0" shapeId="0">
      <text>
        <t>모델값 역산(implied): 전분기(시트값) + 지배주주순이익(시트 수식값) − v
전분기 + 지배주주순이익 − 배당</t>
      </text>
    </comment>
    <comment ref="AI31" authorId="0" shapeId="0">
      <text>
        <t>모델값 역산(implied): 전분기(시트값) + 지배주주순이익(시트 수식값) − v
전분기 + 지배주주순이익 − 배당</t>
      </text>
    </comment>
    <comment ref="AK31" authorId="0" shapeId="0">
      <text>
        <t>모델값 역산(implied): 전분기(시트값) + 지배주주순이익(시트 수식값) − v
전분기 + 지배주주순이익 − 배당</t>
      </text>
    </comment>
    <comment ref="AL31" authorId="0" shapeId="0">
      <text>
        <t>모델값 역산(implied): 전분기(시트값) + 지배주주순이익(시트 수식값) − v
전분기 + 지배주주순이익 − 배당</t>
      </text>
    </comment>
    <comment ref="AM31" authorId="0" shapeId="0">
      <text>
        <t>모델값 역산(implied): 전분기(시트값) + 지배주주순이익(시트 수식값) − v
전분기 + 지배주주순이익 − 배당</t>
      </text>
    </comment>
    <comment ref="AN31" authorId="0" shapeId="0">
      <text>
        <t>모델값 역산(implied): 전분기(시트값) + 지배주주순이익(시트 수식값) − v
전분기 + 지배주주순이익 − 배당</t>
      </text>
    </comment>
    <comment ref="AC32" authorId="0" shapeId="0">
      <text>
        <t>모델값 역산(implied): v / 전분기 − 1
마지막 실적 유지(가정)</t>
      </text>
    </comment>
    <comment ref="AD32" authorId="0" shapeId="0">
      <text>
        <t>모델값 역산(implied): v / 전분기 − 1
마지막 실적 유지(가정)</t>
      </text>
    </comment>
    <comment ref="AF32" authorId="0" shapeId="0">
      <text>
        <t>모델값 역산(implied): v / 전분기 − 1
마지막 실적 유지(가정)</t>
      </text>
    </comment>
    <comment ref="AG32" authorId="0" shapeId="0">
      <text>
        <t>모델값 역산(implied): v / 전분기 − 1
마지막 실적 유지(가정)</t>
      </text>
    </comment>
    <comment ref="AH32" authorId="0" shapeId="0">
      <text>
        <t>모델값 역산(implied): v / 전분기 − 1
마지막 실적 유지(가정)</t>
      </text>
    </comment>
    <comment ref="AI32" authorId="0" shapeId="0">
      <text>
        <t>모델값 역산(implied): v / 전분기 − 1
마지막 실적 유지(가정)</t>
      </text>
    </comment>
    <comment ref="AK32" authorId="0" shapeId="0">
      <text>
        <t>모델값 역산(implied): v / 전분기 − 1
마지막 실적 유지(가정)</t>
      </text>
    </comment>
    <comment ref="AL32" authorId="0" shapeId="0">
      <text>
        <t>모델값 역산(implied): v / 전분기 − 1
마지막 실적 유지(가정)</t>
      </text>
    </comment>
    <comment ref="AM32" authorId="0" shapeId="0">
      <text>
        <t>모델값 역산(implied): v / 전분기 − 1
마지막 실적 유지(가정)</t>
      </text>
    </comment>
    <comment ref="AN32" authorId="0" shapeId="0">
      <text>
        <t>모델값 역산(implied): v / 전분기 − 1
마지막 실적 유지(가정)</t>
      </text>
    </comment>
    <comment ref="AC33" authorId="0" shapeId="0">
      <text>
        <t>모델값 역산(implied): v / 전분기 − 1
전분기 − FCF 근사[순이익 + 감가상각비 5억 − CAPEX 67억(각 최근 4분기 중위) − 배당] (운전자본 불변·총차입금 유지 가정 → 변동은 전부 현금)</t>
      </text>
    </comment>
    <comment ref="AD33" authorId="0" shapeId="0">
      <text>
        <t>모델값 역산(implied): v / 전분기 − 1
전분기 − FCF 근사[순이익 + 감가상각비 5억 − CAPEX 67억(각 최근 4분기 중위) − 배당] (운전자본 불변·총차입금 유지 가정 → 변동은 전부 현금)</t>
      </text>
    </comment>
    <comment ref="AF33" authorId="0" shapeId="0">
      <text>
        <t>모델값 역산(implied): v / 전분기 − 1
전분기 − FCF 근사[순이익 + 감가상각비 5억 − CAPEX 67억(각 최근 4분기 중위) − 배당] (운전자본 불변·총차입금 유지 가정 → 변동은 전부 현금)</t>
      </text>
    </comment>
    <comment ref="AG33" authorId="0" shapeId="0">
      <text>
        <t>모델값 역산(implied): v / 전분기 − 1
전분기 − FCF 근사[순이익 + 감가상각비 5억 − CAPEX 67억(각 최근 4분기 중위) − 배당] (운전자본 불변·총차입금 유지 가정 → 변동은 전부 현금)</t>
      </text>
    </comment>
    <comment ref="AH33" authorId="0" shapeId="0">
      <text>
        <t>모델값 역산(implied): v / 전분기 − 1
전분기 − FCF 근사[순이익 + 감가상각비 5억 − CAPEX 67억(각 최근 4분기 중위) − 배당] (운전자본 불변·총차입금 유지 가정 → 변동은 전부 현금)</t>
      </text>
    </comment>
    <comment ref="AI33" authorId="0" shapeId="0">
      <text>
        <t>모델값 역산(implied): v / 전분기 − 1
전분기 − FCF 근사[순이익 + 감가상각비 5억 − CAPEX 67억(각 최근 4분기 중위) − 배당] (운전자본 불변·총차입금 유지 가정 → 변동은 전부 현금)</t>
      </text>
    </comment>
    <comment ref="AK33" authorId="0" shapeId="0">
      <text>
        <t>모델값 역산(implied): v / 전분기 − 1
전분기 − FCF 근사[순이익 + 감가상각비 5억 − CAPEX 67억(각 최근 4분기 중위) − 배당] (운전자본 불변·총차입금 유지 가정 → 변동은 전부 현금)</t>
      </text>
    </comment>
    <comment ref="AL33" authorId="0" shapeId="0">
      <text>
        <t>모델값 역산(implied): v / 전분기 − 1
전분기 − FCF 근사[순이익 + 감가상각비 5억 − CAPEX 67억(각 최근 4분기 중위) − 배당] (운전자본 불변·총차입금 유지 가정 → 변동은 전부 현금)</t>
      </text>
    </comment>
    <comment ref="AM33" authorId="0" shapeId="0">
      <text>
        <t>모델값 역산(implied): v / 전분기 − 1
전분기 − FCF 근사[순이익 + 감가상각비 5억 − CAPEX 67억(각 최근 4분기 중위) − 배당] (운전자본 불변·총차입금 유지 가정 → 변동은 전부 현금)</t>
      </text>
    </comment>
    <comment ref="AN33" authorId="0" shapeId="0">
      <text>
        <t>모델값 역산(implied): v / 전분기 − 1
전분기 − FCF 근사[순이익 + 감가상각비 5억 − CAPEX 67억(각 최근 4분기 중위) − 배당] (운전자본 불변·총차입금 유지 가정 → 변동은 전부 현금)</t>
      </text>
    </comment>
    <comment ref="AC34" authorId="0" shapeId="0">
      <text>
        <t>모델값 역산(implied): v / 전분기 − 1
전분기 + FCF 근사 — 순차입금 롤과 같은 가정</t>
      </text>
    </comment>
    <comment ref="AD34" authorId="0" shapeId="0">
      <text>
        <t>모델값 역산(implied): v / 전분기 − 1
전분기 + FCF 근사 — 순차입금 롤과 같은 가정</t>
      </text>
    </comment>
    <comment ref="AF34" authorId="0" shapeId="0">
      <text>
        <t>모델값 역산(implied): v / 전분기 − 1
전분기 + FCF 근사 — 순차입금 롤과 같은 가정</t>
      </text>
    </comment>
    <comment ref="AG34" authorId="0" shapeId="0">
      <text>
        <t>모델값 역산(implied): v / 전분기 − 1
전분기 + FCF 근사 — 순차입금 롤과 같은 가정</t>
      </text>
    </comment>
    <comment ref="AH34" authorId="0" shapeId="0">
      <text>
        <t>모델값 역산(implied): v / 전분기 − 1
전분기 + FCF 근사 — 순차입금 롤과 같은 가정</t>
      </text>
    </comment>
    <comment ref="AI34" authorId="0" shapeId="0">
      <text>
        <t>모델값 역산(implied): v / 전분기 − 1
전분기 + FCF 근사 — 순차입금 롤과 같은 가정</t>
      </text>
    </comment>
    <comment ref="AK34" authorId="0" shapeId="0">
      <text>
        <t>모델값 역산(implied): v / 전분기 − 1
전분기 + FCF 근사 — 순차입금 롤과 같은 가정</t>
      </text>
    </comment>
    <comment ref="AL34" authorId="0" shapeId="0">
      <text>
        <t>모델값 역산(implied): v / 전분기 − 1
전분기 + FCF 근사 — 순차입금 롤과 같은 가정</t>
      </text>
    </comment>
    <comment ref="AM34" authorId="0" shapeId="0">
      <text>
        <t>모델값 역산(implied): v / 전분기 − 1
전분기 + FCF 근사 — 순차입금 롤과 같은 가정</t>
      </text>
    </comment>
    <comment ref="AN34" authorId="0" shapeId="0">
      <text>
        <t>모델값 역산(implied): v / 전분기 − 1
전분기 + FCF 근사 — 순차입금 롤과 같은 가정</t>
      </text>
    </comment>
    <comment ref="AC36" authorId="0" shapeId="0">
      <text>
        <t>모델값 역산(implied): v / 전년동기 − 1
최근 4분기(2025Q3~2026Q2) CAPEX 중위 유지 — 순차입금 롤에 반영(FCF 근사)</t>
      </text>
    </comment>
    <comment ref="AD36" authorId="0" shapeId="0">
      <text>
        <t>모델값 역산(implied): v / 전년동기 − 1
최근 4분기(2025Q3~2026Q2) CAPEX 중위 유지 — 순차입금 롤에 반영(FCF 근사)</t>
      </text>
    </comment>
    <comment ref="AF36" authorId="0" shapeId="0">
      <text>
        <t>모델값 역산(implied): v / 전년동기 − 1
최근 4분기(2025Q3~2026Q2) CAPEX 중위 유지 — 순차입금 롤에 반영(FCF 근사)</t>
      </text>
    </comment>
    <comment ref="AG36" authorId="0" shapeId="0">
      <text>
        <t>모델값 역산(implied): v / 전년동기 − 1
최근 4분기(2025Q3~2026Q2) CAPEX 중위 유지 — 순차입금 롤에 반영(FCF 근사)</t>
      </text>
    </comment>
    <comment ref="AH36" authorId="0" shapeId="0">
      <text>
        <t>모델값 역산(implied): v / 전년동기 − 1
최근 4분기(2025Q3~2026Q2) CAPEX 중위 유지 — 순차입금 롤에 반영(FCF 근사)</t>
      </text>
    </comment>
    <comment ref="AI36" authorId="0" shapeId="0">
      <text>
        <t>모델값 역산(implied): v / 전년동기 − 1
최근 4분기(2025Q3~2026Q2) CAPEX 중위 유지 — 순차입금 롤에 반영(FCF 근사)</t>
      </text>
    </comment>
    <comment ref="AK36" authorId="0" shapeId="0">
      <text>
        <t>모델값 역산(implied): v / 전년동기 − 1
최근 4분기(2025Q3~2026Q2) CAPEX 중위 유지 — 순차입금 롤에 반영(FCF 근사)</t>
      </text>
    </comment>
    <comment ref="AL36" authorId="0" shapeId="0">
      <text>
        <t>모델값 역산(implied): v / 전년동기 − 1
최근 4분기(2025Q3~2026Q2) CAPEX 중위 유지 — 순차입금 롤에 반영(FCF 근사)</t>
      </text>
    </comment>
    <comment ref="AM36" authorId="0" shapeId="0">
      <text>
        <t>모델값 역산(implied): v / 전년동기 − 1
최근 4분기(2025Q3~2026Q2) CAPEX 중위 유지 — 순차입금 롤에 반영(FCF 근사)</t>
      </text>
    </comment>
    <comment ref="AN36" authorId="0" shapeId="0">
      <text>
        <t>모델값 역산(implied): v / 전년동기 − 1
최근 4분기(2025Q3~2026Q2) CAPEX 중위 유지 — 순차입금 롤에 반영(FCF 근사)</t>
      </text>
    </comment>
    <comment ref="AC38" authorId="0" shapeId="0">
      <text>
        <t>모델값 역산(implied): v / 전분기 − 1
유통주식수 유지 — fin.shares.common_outstanding(2026Q2)</t>
      </text>
    </comment>
    <comment ref="AD38" authorId="0" shapeId="0">
      <text>
        <t>모델값 역산(implied): v / 전분기 − 1
유통주식수 유지 — fin.shares.common_outstanding(2026Q2)</t>
      </text>
    </comment>
    <comment ref="AF38" authorId="0" shapeId="0">
      <text>
        <t>모델값 역산(implied): v / 전분기 − 1
유통주식수 유지 — fin.shares.common_outstanding(2026Q2)</t>
      </text>
    </comment>
    <comment ref="AG38" authorId="0" shapeId="0">
      <text>
        <t>모델값 역산(implied): v / 전분기 − 1
유통주식수 유지 — fin.shares.common_outstanding(2026Q2)</t>
      </text>
    </comment>
    <comment ref="AH38" authorId="0" shapeId="0">
      <text>
        <t>모델값 역산(implied): v / 전분기 − 1
유통주식수 유지 — fin.shares.common_outstanding(2026Q2)</t>
      </text>
    </comment>
    <comment ref="AI38" authorId="0" shapeId="0">
      <text>
        <t>모델값 역산(implied): v / 전분기 − 1
유통주식수 유지 — fin.shares.common_outstanding(2026Q2)</t>
      </text>
    </comment>
    <comment ref="AK38" authorId="0" shapeId="0">
      <text>
        <t>모델값 역산(implied): v / 전분기 − 1
유통주식수 유지 — fin.shares.common_outstanding(2026Q2)</t>
      </text>
    </comment>
    <comment ref="AL38" authorId="0" shapeId="0">
      <text>
        <t>모델값 역산(implied): v / 전분기 − 1
유통주식수 유지 — fin.shares.common_outstanding(2026Q2)</t>
      </text>
    </comment>
    <comment ref="AM38" authorId="0" shapeId="0">
      <text>
        <t>모델값 역산(implied): v / 전분기 − 1
유통주식수 유지 — fin.shares.common_outstanding(2026Q2)</t>
      </text>
    </comment>
    <comment ref="AN38" authorId="0" shapeId="0">
      <text>
        <t>모델값 역산(implied): v / 전분기 − 1
유통주식수 유지 — fin.shares.common_outstanding(2026Q2)</t>
      </text>
    </comment>
    <comment ref="AD39" authorId="0" shapeId="0">
      <text>
        <t>모델값 역산(implied): 모델 v 그대로
직전 결산 DPS 620원 유지</t>
      </text>
    </comment>
    <comment ref="AI39" authorId="0" shapeId="0">
      <text>
        <t>모델값 역산(implied): 모델 v 그대로
직전 결산 DPS 620원 유지</t>
      </text>
    </comment>
    <comment ref="AN39" authorId="0" shapeId="0">
      <text>
        <t>모델값 역산(implied): 모델 v 그대로
직전 결산 DPS 620원 유지</t>
      </text>
    </comment>
  </commentList>
</comments>
</file>

<file path=xl/comments/comment2.xml><?xml version="1.0" encoding="utf-8"?>
<comments xmlns="http://schemas.openxmlformats.org/spreadsheetml/2006/main">
  <authors>
    <author>kship</author>
  </authors>
  <commentList>
    <comment ref="AC5" authorId="0" shapeId="0">
      <text>
        <t>추정: 고객지수 4분기 이동합(t−4) 127137억 × 비례계수 0.0128 × 계절비중 Q3 0.227(계절비중 — 최근 3개 연도(2026, 2025, 2024) 분기/연간 비중 평균; 격자 lag0~4×창8/12/19×수준·YoY·4Q합 중 최대 r=1.00, n=8, 창 8)
[yoy]</t>
      </text>
    </comment>
    <comment ref="AD5" authorId="0" shapeId="0">
      <text>
        <t>추정: 고객지수 4분기 이동합(t−4) 127835억 × 비례계수 0.0128 × 계절비중 Q4 0.283(계절비중 — 최근 3개 연도(2026, 2025, 2024) 분기/연간 비중 평균; 격자 lag0~4×창8/12/19×수준·YoY·4Q합 중 최대 r=1.00, n=8, 창 8)
[yoy]</t>
      </text>
    </comment>
    <comment ref="AF5" authorId="0" shapeId="0">
      <text>
        <t>추정: 고객지수 4분기 이동합(t−4) 128504억 × 비례계수 0.0128 × 계절비중 Q1 0.234(계절비중 — 최근 3개 연도(2026, 2025, 2024) 분기/연간 비중 평균; 격자 lag0~4×창8/12/19×수준·YoY·4Q합 중 최대 r=1.00, n=8, 창 8)
[yoy]</t>
      </text>
    </comment>
    <comment ref="AG5" authorId="0" shapeId="0">
      <text>
        <t>추정: 고객지수 4분기 이동합(t−4) 149994억 × 비례계수 0.0128 × 계절비중 Q2 0.257(계절비중 — 최근 3개 연도(2026, 2025, 2024) 분기/연간 비중 평균; 격자 lag0~4×창8/12/19×수준·YoY·4Q합 중 최대 r=1.00, n=8, 창 8)
[yoy]</t>
      </text>
    </comment>
    <comment ref="AH5" authorId="0" shapeId="0">
      <text>
        <t>추정: 고객지수 4분기 이동합(t−4) 161069억 × 비례계수 0.0128 × 계절비중 Q3 0.227(계절비중 — 최근 3개 연도(2026, 2025, 2024) 분기/연간 비중 평균; 격자 lag0~4×창8/12/19×수준·YoY·4Q합 중 최대 r=1.00, n=8, 창 8)
[yoy]</t>
      </text>
    </comment>
    <comment ref="AI5" authorId="0" shapeId="0">
      <text>
        <t>추정: 고객지수 4분기 이동합(t−4) 169855억 × 비례계수 0.0128 × 계절비중 Q4 0.283(계절비중 — 최근 3개 연도(2026, 2025, 2024) 분기/연간 비중 평균; 격자 lag0~4×창8/12/19×수준·YoY·4Q합 중 최대 r=1.00, n=8, 창 8)
[yoy]</t>
      </text>
    </comment>
    <comment ref="AK5" authorId="0" shapeId="0">
      <text>
        <t>추정: 고객지수 4분기 이동합(t−4) 179120억 × 비례계수 0.0128 × 계절비중 Q1 0.234(계절비중 — 최근 3개 연도(2026, 2025, 2024) 분기/연간 비중 평균; 격자 lag0~4×창8/12/19×수준·YoY·4Q합 중 최대 r=1.00, n=8, 창 8)
[yoy]</t>
      </text>
    </comment>
    <comment ref="AL5" authorId="0" shapeId="0">
      <text>
        <t>추정: 고객지수 4분기 이동합(t−4) 167240억 × 비례계수 0.0128 × 계절비중 Q2 0.257(계절비중 — 최근 3개 연도(2026, 2025, 2024) 분기/연간 비중 평균; 격자 lag0~4×창8/12/19×수준·YoY·4Q합 중 최대 r=1.00, n=8, 창 8)
[yoy]</t>
      </text>
    </comment>
    <comment ref="AM5" authorId="0" shapeId="0">
      <text>
        <t>추정: 고객지수 4분기 이동합(t−4) 170807억 × 비례계수 0.0128 × 계절비중 Q3 0.227(계절비중 — 최근 3개 연도(2026, 2025, 2024) 분기/연간 비중 평균; 격자 lag0~4×창8/12/19×수준·YoY·4Q합 중 최대 r=1.00, n=8, 창 8)
[yoy]</t>
      </text>
    </comment>
    <comment ref="AN5" authorId="0" shapeId="0">
      <text>
        <t>추정: 고객지수 4분기 이동합(t−4) 176369억 × 비례계수 0.0128 × 계절비중 Q4 0.283(계절비중 — 최근 3개 연도(2026, 2025, 2024) 분기/연간 비중 평균; 격자 lag0~4×창8/12/19×수준·YoY·4Q합 중 최대 r=1.00, n=8, 창 8)
[yoy]</t>
      </text>
    </comment>
    <comment ref="AC6" authorId="0" shapeId="0">
      <text>
        <t>추정: 매출액 − 매출총이익(항등식)
[identity]</t>
      </text>
    </comment>
    <comment ref="AD6" authorId="0" shapeId="0">
      <text>
        <t>추정: 매출액 − 매출총이익(항등식)
[identity]</t>
      </text>
    </comment>
    <comment ref="AF6" authorId="0" shapeId="0">
      <text>
        <t>추정: 매출액 − 매출총이익(항등식)
[identity]</t>
      </text>
    </comment>
    <comment ref="AG6" authorId="0" shapeId="0">
      <text>
        <t>추정: 매출액 − 매출총이익(항등식)
[identity]</t>
      </text>
    </comment>
    <comment ref="AH6" authorId="0" shapeId="0">
      <text>
        <t>추정: 매출액 − 매출총이익(항등식)
[identity]</t>
      </text>
    </comment>
    <comment ref="AI6" authorId="0" shapeId="0">
      <text>
        <t>추정: 매출액 − 매출총이익(항등식)
[identity]</t>
      </text>
    </comment>
    <comment ref="AK6" authorId="0" shapeId="0">
      <text>
        <t>추정: 매출액 − 매출총이익(항등식)
[identity]</t>
      </text>
    </comment>
    <comment ref="AL6" authorId="0" shapeId="0">
      <text>
        <t>추정: 매출액 − 매출총이익(항등식)
[identity]</t>
      </text>
    </comment>
    <comment ref="AM6" authorId="0" shapeId="0">
      <text>
        <t>추정: 매출액 − 매출총이익(항등식)
[identity]</t>
      </text>
    </comment>
    <comment ref="AN6" authorId="0" shapeId="0">
      <text>
        <t>추정: 매출액 − 매출총이익(항등식)
[identity]</t>
      </text>
    </comment>
    <comment ref="AC7" authorId="0" shapeId="0">
      <text>
        <t>추정: 영업이익 + 판관비 − 기타영업손익(항등식)
[identity]</t>
      </text>
    </comment>
    <comment ref="AD7" authorId="0" shapeId="0">
      <text>
        <t>추정: 영업이익 + 판관비 − 기타영업손익(항등식)
[identity]</t>
      </text>
    </comment>
    <comment ref="AF7" authorId="0" shapeId="0">
      <text>
        <t>추정: 영업이익 + 판관비 − 기타영업손익(항등식)
[identity]</t>
      </text>
    </comment>
    <comment ref="AG7" authorId="0" shapeId="0">
      <text>
        <t>추정: 영업이익 + 판관비 − 기타영업손익(항등식)
[identity]</t>
      </text>
    </comment>
    <comment ref="AH7" authorId="0" shapeId="0">
      <text>
        <t>추정: 영업이익 + 판관비 − 기타영업손익(항등식)
[identity]</t>
      </text>
    </comment>
    <comment ref="AI7" authorId="0" shapeId="0">
      <text>
        <t>추정: 영업이익 + 판관비 − 기타영업손익(항등식)
[identity]</t>
      </text>
    </comment>
    <comment ref="AK7" authorId="0" shapeId="0">
      <text>
        <t>추정: 영업이익 + 판관비 − 기타영업손익(항등식)
[identity]</t>
      </text>
    </comment>
    <comment ref="AL7" authorId="0" shapeId="0">
      <text>
        <t>추정: 영업이익 + 판관비 − 기타영업손익(항등식)
[identity]</t>
      </text>
    </comment>
    <comment ref="AM7" authorId="0" shapeId="0">
      <text>
        <t>추정: 영업이익 + 판관비 − 기타영업손익(항등식)
[identity]</t>
      </text>
    </comment>
    <comment ref="AN7" authorId="0" shapeId="0">
      <text>
        <t>추정: 영업이익 + 판관비 − 기타영업손익(항등식)
[identity]</t>
      </text>
    </comment>
    <comment ref="AC8" authorId="0" shapeId="0">
      <text>
        <t>추정: 매출액 × 판관비율 16.04%(최근 4분기 중위)
[ratio]</t>
      </text>
    </comment>
    <comment ref="AD8" authorId="0" shapeId="0">
      <text>
        <t>추정: 매출액 × 판관비율 16.04%(최근 4분기 중위)
[ratio]</t>
      </text>
    </comment>
    <comment ref="AF8" authorId="0" shapeId="0">
      <text>
        <t>추정: 매출액 × 판관비율 16.04%(최근 4분기 중위)
[ratio]</t>
      </text>
    </comment>
    <comment ref="AG8" authorId="0" shapeId="0">
      <text>
        <t>추정: 매출액 × 판관비율 16.04%(최근 4분기 중위)
[ratio]</t>
      </text>
    </comment>
    <comment ref="AH8" authorId="0" shapeId="0">
      <text>
        <t>추정: 매출액 × 판관비율 16.04%(최근 4분기 중위)
[ratio]</t>
      </text>
    </comment>
    <comment ref="AI8" authorId="0" shapeId="0">
      <text>
        <t>추정: 매출액 × 판관비율 16.04%(최근 4분기 중위)
[ratio]</t>
      </text>
    </comment>
    <comment ref="AK8" authorId="0" shapeId="0">
      <text>
        <t>추정: 매출액 × 판관비율 16.04%(최근 4분기 중위)
[ratio]</t>
      </text>
    </comment>
    <comment ref="AL8" authorId="0" shapeId="0">
      <text>
        <t>추정: 매출액 × 판관비율 16.04%(최근 4분기 중위)
[ratio]</t>
      </text>
    </comment>
    <comment ref="AM8" authorId="0" shapeId="0">
      <text>
        <t>추정: 매출액 × 판관비율 16.04%(최근 4분기 중위)
[ratio]</t>
      </text>
    </comment>
    <comment ref="AN8" authorId="0" shapeId="0">
      <text>
        <t>추정: 매출액 × 판관비율 16.04%(최근 4분기 중위)
[ratio]</t>
      </text>
    </comment>
    <comment ref="AC9" authorId="0" shapeId="0">
      <text>
        <t>추정: 매출액 × OPM(최근 8분기 OPM 중위 16.2% 유지)
[ratio]</t>
      </text>
    </comment>
    <comment ref="AD9" authorId="0" shapeId="0">
      <text>
        <t>추정: 매출액 × OPM(최근 8분기 OPM 중위 16.2% 유지)
[ratio]</t>
      </text>
    </comment>
    <comment ref="AF9" authorId="0" shapeId="0">
      <text>
        <t>추정: 매출액 × OPM(최근 8분기 OPM 중위 16.2% 유지)
[ratio]</t>
      </text>
    </comment>
    <comment ref="AG9" authorId="0" shapeId="0">
      <text>
        <t>추정: 매출액 × OPM(최근 8분기 OPM 중위 16.2% 유지)
[ratio]</t>
      </text>
    </comment>
    <comment ref="AH9" authorId="0" shapeId="0">
      <text>
        <t>추정: 매출액 × OPM(최근 8분기 OPM 중위 16.2% 유지)
[ratio]</t>
      </text>
    </comment>
    <comment ref="AI9" authorId="0" shapeId="0">
      <text>
        <t>추정: 매출액 × OPM(최근 8분기 OPM 중위 16.2% 유지)
[ratio]</t>
      </text>
    </comment>
    <comment ref="AK9" authorId="0" shapeId="0">
      <text>
        <t>추정: 매출액 × OPM(최근 8분기 OPM 중위 16.2% 유지)
[ratio]</t>
      </text>
    </comment>
    <comment ref="AL9" authorId="0" shapeId="0">
      <text>
        <t>추정: 매출액 × OPM(최근 8분기 OPM 중위 16.2% 유지)
[ratio]</t>
      </text>
    </comment>
    <comment ref="AM9" authorId="0" shapeId="0">
      <text>
        <t>추정: 매출액 × OPM(최근 8분기 OPM 중위 16.2% 유지)
[ratio]</t>
      </text>
    </comment>
    <comment ref="AN9" authorId="0" shapeId="0">
      <text>
        <t>추정: 매출액 × OPM(최근 8분기 OPM 중위 16.2% 유지)
[ratio]</t>
      </text>
    </comment>
    <comment ref="AC10" authorId="0" shapeId="0">
      <text>
        <t>추정: 최근 8분기 OPM 중위 16.2% 유지
[divide]</t>
      </text>
    </comment>
    <comment ref="AD10" authorId="0" shapeId="0">
      <text>
        <t>추정: 최근 8분기 OPM 중위 16.2% 유지
[divide]</t>
      </text>
    </comment>
    <comment ref="AF10" authorId="0" shapeId="0">
      <text>
        <t>추정: 최근 8분기 OPM 중위 16.2% 유지
[divide]</t>
      </text>
    </comment>
    <comment ref="AG10" authorId="0" shapeId="0">
      <text>
        <t>추정: 최근 8분기 OPM 중위 16.2% 유지
[divide]</t>
      </text>
    </comment>
    <comment ref="AH10" authorId="0" shapeId="0">
      <text>
        <t>추정: 최근 8분기 OPM 중위 16.2% 유지
[divide]</t>
      </text>
    </comment>
    <comment ref="AI10" authorId="0" shapeId="0">
      <text>
        <t>추정: 최근 8분기 OPM 중위 16.2% 유지
[divide]</t>
      </text>
    </comment>
    <comment ref="AK10" authorId="0" shapeId="0">
      <text>
        <t>추정: 최근 8분기 OPM 중위 16.2% 유지
[divide]</t>
      </text>
    </comment>
    <comment ref="AL10" authorId="0" shapeId="0">
      <text>
        <t>추정: 최근 8분기 OPM 중위 16.2% 유지
[divide]</t>
      </text>
    </comment>
    <comment ref="AM10" authorId="0" shapeId="0">
      <text>
        <t>추정: 최근 8분기 OPM 중위 16.2% 유지
[divide]</t>
      </text>
    </comment>
    <comment ref="AN10" authorId="0" shapeId="0">
      <text>
        <t>추정: 최근 8분기 OPM 중위 16.2% 유지
[divide]</t>
      </text>
    </comment>
    <comment ref="AC11" authorId="0" shapeId="0">
      <text>
        <t>추정: 이자손익 + 외환손익 0 + 파생상품손익 0 + 기타금융손익 +0.00억(잔차 실측 0분기 &lt; 4 → 0) (항등식); 이자손익 = 이자발생자산 279억 × 3.94%(CF 이자수취 ÷ 평균 이자발생자산(2025Q3~2026Q2; 주석 이자수익 0분기 &lt; 4)) − 총차입금 571억 × 2.20%(CF 이자지급 ÷ 평균 총차입금(2026Q1~2026Q2; 주석 이자비용 0분기 &lt; 4)) (연율) ÷ 4; 환율 효과는 환관련손익 행 별도
[identity]</t>
      </text>
    </comment>
    <comment ref="AD11" authorId="0" shapeId="0">
      <text>
        <t>추정: 이자손익 + 외환손익 0 + 파생상품손익 0 + 기타금융손익 +0.00억(잔차 실측 0분기 &lt; 4 → 0) (항등식); 이자손익 = 이자발생자산 268억 × 3.94%(CF 이자수취 ÷ 평균 이자발생자산(2025Q3~2026Q2; 주석 이자수익 0분기 &lt; 4)) − 총차입금 571억 × 2.20%(CF 이자지급 ÷ 평균 총차입금(2026Q1~2026Q2; 주석 이자비용 0분기 &lt; 4)) (연율) ÷ 4; 환율 효과는 환관련손익 행 별도
[identity]</t>
      </text>
    </comment>
    <comment ref="AF11" authorId="0" shapeId="0">
      <text>
        <t>추정: 이자손익 + 외환손익 0 + 파생상품손익 0 + 기타금융손익 +0.00억(잔차 실측 0분기 &lt; 4 → 0) (항등식); 이자손익 = 이자발생자산 269억 × 3.94%(CF 이자수취 ÷ 평균 이자발생자산(2025Q3~2026Q2; 주석 이자수익 0분기 &lt; 4)) − 총차입금 571억 × 2.20%(CF 이자지급 ÷ 평균 총차입금(2026Q1~2026Q2; 주석 이자비용 0분기 &lt; 4)) (연율) ÷ 4; 환율 효과는 환관련손익 행 별도
[identity]</t>
      </text>
    </comment>
    <comment ref="AG11" authorId="0" shapeId="0">
      <text>
        <t>추정: 이자손익 + 외환손익 0 + 파생상품손익 0 + 기타금융손익 +0.00억(잔차 실측 0분기 &lt; 4 → 0) (항등식); 이자손익 = 이자발생자산 259억 × 3.94%(CF 이자수취 ÷ 평균 이자발생자산(2025Q3~2026Q2; 주석 이자수익 0분기 &lt; 4)) − 총차입금 571억 × 2.20%(CF 이자지급 ÷ 평균 총차입금(2026Q1~2026Q2; 주석 이자비용 0분기 &lt; 4)) (연율) ÷ 4; 환율 효과는 환관련손익 행 별도
[identity]</t>
      </text>
    </comment>
    <comment ref="AH11" authorId="0" shapeId="0">
      <text>
        <t>추정: 이자손익 + 외환손익 0 + 파생상품손익 0 + 기타금융손익 +0.00억(잔차 실측 0분기 &lt; 4 → 0) (항등식); 이자손익 = 이자발생자산 158억 × 3.94%(CF 이자수취 ÷ 평균 이자발생자산(2025Q3~2026Q2; 주석 이자수익 0분기 &lt; 4)) − 총차입금 571억 × 2.20%(CF 이자지급 ÷ 평균 총차입금(2026Q1~2026Q2; 주석 이자비용 0분기 &lt; 4)) (연율) ÷ 4; 환율 효과는 환관련손익 행 별도
[identity]</t>
      </text>
    </comment>
    <comment ref="AI11" authorId="0" shapeId="0">
      <text>
        <t>추정: 이자손익 + 외환손익 0 + 파생상품손익 0 + 기타금융손익 +0.00억(잔차 실측 0분기 &lt; 4 → 0) (항등식); 이자손익 = 이자발생자산 159억 × 3.94%(CF 이자수취 ÷ 평균 이자발생자산(2025Q3~2026Q2; 주석 이자수익 0분기 &lt; 4)) − 총차입금 571억 × 2.20%(CF 이자지급 ÷ 평균 총차입금(2026Q1~2026Q2; 주석 이자비용 0분기 &lt; 4)) (연율) ÷ 4; 환율 효과는 환관련손익 행 별도
[identity]</t>
      </text>
    </comment>
    <comment ref="AK11" authorId="0" shapeId="0">
      <text>
        <t>추정: 이자손익 + 외환손익 0 + 파생상품손익 0 + 기타금융손익 +0.00억(잔차 실측 0분기 &lt; 4 → 0) (항등식); 이자손익 = 이자발생자산 181억 × 3.94%(CF 이자수취 ÷ 평균 이자발생자산(2025Q3~2026Q2; 주석 이자수익 0분기 &lt; 4)) − 총차입금 571억 × 2.20%(CF 이자지급 ÷ 평균 총차입금(2026Q1~2026Q2; 주석 이자비용 0분기 &lt; 4)) (연율) ÷ 4; 환율 효과는 환관련손익 행 별도
[identity]</t>
      </text>
    </comment>
    <comment ref="AL11" authorId="0" shapeId="0">
      <text>
        <t>추정: 이자손익 + 외환손익 0 + 파생상품손익 0 + 기타금융손익 +0.00억(잔차 실측 0분기 &lt; 4 → 0) (항등식); 이자손익 = 이자발생자산 191억 × 3.94%(CF 이자수취 ÷ 평균 이자발생자산(2025Q3~2026Q2; 주석 이자수익 0분기 &lt; 4)) − 총차입금 571억 × 2.20%(CF 이자지급 ÷ 평균 총차입금(2026Q1~2026Q2; 주석 이자비용 0분기 &lt; 4)) (연율) ÷ 4; 환율 효과는 환관련손익 행 별도
[identity]</t>
      </text>
    </comment>
    <comment ref="AM11" authorId="0" shapeId="0">
      <text>
        <t>추정: 이자손익 + 외환손익 0 + 파생상품손익 0 + 기타금융손익 +0.00억(잔차 실측 0분기 &lt; 4 → 0) (항등식); 이자손익 = 이자발생자산 97억 × 3.94%(CF 이자수취 ÷ 평균 이자발생자산(2025Q3~2026Q2; 주석 이자수익 0분기 &lt; 4)) − 총차입금 571억 × 2.20%(CF 이자지급 ÷ 평균 총차입금(2026Q1~2026Q2; 주석 이자비용 0분기 &lt; 4)) (연율) ÷ 4; 환율 효과는 환관련손익 행 별도
[identity]</t>
      </text>
    </comment>
    <comment ref="AN11" authorId="0" shapeId="0">
      <text>
        <t>추정: 이자손익 + 외환손익 0 + 파생상품손익 0 + 기타금융손익 +0.00억(잔차 실측 0분기 &lt; 4 → 0) (항등식); 이자손익 = 이자발생자산 102억 × 3.94%(CF 이자수취 ÷ 평균 이자발생자산(2025Q3~2026Q2; 주석 이자수익 0분기 &lt; 4)) − 총차입금 571억 × 2.20%(CF 이자지급 ÷ 평균 총차입금(2026Q1~2026Q2; 주석 이자비용 0분기 &lt; 4)) (연율) ÷ 4; 환율 효과는 환관련손익 행 별도
[identity]</t>
      </text>
    </comment>
    <comment ref="AC12" authorId="0" shapeId="0">
      <text>
        <t>추정: 이자발생자산 279억 × 3.94%(CF 이자수취 ÷ 평균 이자발생자산(2025Q3~2026Q2; 주석 이자수익 0분기 &lt; 4)) − 총차입금 571억 × 2.20%(CF 이자지급 ÷ 평균 총차입금(2026Q1~2026Q2; 주석 이자비용 0분기 &lt; 4)) (연율) ÷ 4
[interest]</t>
      </text>
    </comment>
    <comment ref="AD12" authorId="0" shapeId="0">
      <text>
        <t>추정: 이자발생자산 268억 × 3.94%(CF 이자수취 ÷ 평균 이자발생자산(2025Q3~2026Q2; 주석 이자수익 0분기 &lt; 4)) − 총차입금 571억 × 2.20%(CF 이자지급 ÷ 평균 총차입금(2026Q1~2026Q2; 주석 이자비용 0분기 &lt; 4)) (연율) ÷ 4
[interest]</t>
      </text>
    </comment>
    <comment ref="AF12" authorId="0" shapeId="0">
      <text>
        <t>추정: 이자발생자산 269억 × 3.94%(CF 이자수취 ÷ 평균 이자발생자산(2025Q3~2026Q2; 주석 이자수익 0분기 &lt; 4)) − 총차입금 571억 × 2.20%(CF 이자지급 ÷ 평균 총차입금(2026Q1~2026Q2; 주석 이자비용 0분기 &lt; 4)) (연율) ÷ 4
[interest]</t>
      </text>
    </comment>
    <comment ref="AG12" authorId="0" shapeId="0">
      <text>
        <t>추정: 이자발생자산 259억 × 3.94%(CF 이자수취 ÷ 평균 이자발생자산(2025Q3~2026Q2; 주석 이자수익 0분기 &lt; 4)) − 총차입금 571억 × 2.20%(CF 이자지급 ÷ 평균 총차입금(2026Q1~2026Q2; 주석 이자비용 0분기 &lt; 4)) (연율) ÷ 4
[interest]</t>
      </text>
    </comment>
    <comment ref="AH12" authorId="0" shapeId="0">
      <text>
        <t>추정: 이자발생자산 158억 × 3.94%(CF 이자수취 ÷ 평균 이자발생자산(2025Q3~2026Q2; 주석 이자수익 0분기 &lt; 4)) − 총차입금 571억 × 2.20%(CF 이자지급 ÷ 평균 총차입금(2026Q1~2026Q2; 주석 이자비용 0분기 &lt; 4)) (연율) ÷ 4
[interest]</t>
      </text>
    </comment>
    <comment ref="AI12" authorId="0" shapeId="0">
      <text>
        <t>추정: 이자발생자산 159억 × 3.94%(CF 이자수취 ÷ 평균 이자발생자산(2025Q3~2026Q2; 주석 이자수익 0분기 &lt; 4)) − 총차입금 571억 × 2.20%(CF 이자지급 ÷ 평균 총차입금(2026Q1~2026Q2; 주석 이자비용 0분기 &lt; 4)) (연율) ÷ 4
[interest]</t>
      </text>
    </comment>
    <comment ref="AK12" authorId="0" shapeId="0">
      <text>
        <t>추정: 이자발생자산 181억 × 3.94%(CF 이자수취 ÷ 평균 이자발생자산(2025Q3~2026Q2; 주석 이자수익 0분기 &lt; 4)) − 총차입금 571억 × 2.20%(CF 이자지급 ÷ 평균 총차입금(2026Q1~2026Q2; 주석 이자비용 0분기 &lt; 4)) (연율) ÷ 4
[interest]</t>
      </text>
    </comment>
    <comment ref="AL12" authorId="0" shapeId="0">
      <text>
        <t>추정: 이자발생자산 191억 × 3.94%(CF 이자수취 ÷ 평균 이자발생자산(2025Q3~2026Q2; 주석 이자수익 0분기 &lt; 4)) − 총차입금 571억 × 2.20%(CF 이자지급 ÷ 평균 총차입금(2026Q1~2026Q2; 주석 이자비용 0분기 &lt; 4)) (연율) ÷ 4
[interest]</t>
      </text>
    </comment>
    <comment ref="AM12" authorId="0" shapeId="0">
      <text>
        <t>추정: 이자발생자산 97억 × 3.94%(CF 이자수취 ÷ 평균 이자발생자산(2025Q3~2026Q2; 주석 이자수익 0분기 &lt; 4)) − 총차입금 571억 × 2.20%(CF 이자지급 ÷ 평균 총차입금(2026Q1~2026Q2; 주석 이자비용 0분기 &lt; 4)) (연율) ÷ 4
[interest]</t>
      </text>
    </comment>
    <comment ref="AN12" authorId="0" shapeId="0">
      <text>
        <t>추정: 이자발생자산 102억 × 3.94%(CF 이자수취 ÷ 평균 이자발생자산(2025Q3~2026Q2; 주석 이자수익 0분기 &lt; 4)) − 총차입금 571억 × 2.20%(CF 이자지급 ÷ 평균 총차입금(2026Q1~2026Q2; 주석 이자비용 0분기 &lt; 4)) (연율) ÷ 4
[interest]</t>
      </text>
    </comment>
    <comment ref="AC13" authorId="0" shapeId="0">
      <text>
        <t>추정: 일회성 미가정 → 0
[abs]</t>
      </text>
    </comment>
    <comment ref="AD13" authorId="0" shapeId="0">
      <text>
        <t>추정: 일회성 미가정 → 0
[abs]</t>
      </text>
    </comment>
    <comment ref="AF13" authorId="0" shapeId="0">
      <text>
        <t>추정: 일회성 미가정 → 0
[abs]</t>
      </text>
    </comment>
    <comment ref="AG13" authorId="0" shapeId="0">
      <text>
        <t>추정: 일회성 미가정 → 0
[abs]</t>
      </text>
    </comment>
    <comment ref="AH13" authorId="0" shapeId="0">
      <text>
        <t>추정: 일회성 미가정 → 0
[abs]</t>
      </text>
    </comment>
    <comment ref="AI13" authorId="0" shapeId="0">
      <text>
        <t>추정: 일회성 미가정 → 0
[abs]</t>
      </text>
    </comment>
    <comment ref="AK13" authorId="0" shapeId="0">
      <text>
        <t>추정: 일회성 미가정 → 0
[abs]</t>
      </text>
    </comment>
    <comment ref="AL13" authorId="0" shapeId="0">
      <text>
        <t>추정: 일회성 미가정 → 0
[abs]</t>
      </text>
    </comment>
    <comment ref="AM13" authorId="0" shapeId="0">
      <text>
        <t>추정: 일회성 미가정 → 0
[abs]</t>
      </text>
    </comment>
    <comment ref="AN13" authorId="0" shapeId="0">
      <text>
        <t>추정: 일회성 미가정 → 0
[abs]</t>
      </text>
    </comment>
    <comment ref="AC14" authorId="0" shapeId="0">
      <text>
        <t>추정: 최근 4분기 중위
[abs]</t>
      </text>
    </comment>
    <comment ref="AD14" authorId="0" shapeId="0">
      <text>
        <t>추정: 최근 4분기 중위
[abs]</t>
      </text>
    </comment>
    <comment ref="AF14" authorId="0" shapeId="0">
      <text>
        <t>추정: 최근 4분기 중위
[abs]</t>
      </text>
    </comment>
    <comment ref="AG14" authorId="0" shapeId="0">
      <text>
        <t>추정: 최근 4분기 중위
[abs]</t>
      </text>
    </comment>
    <comment ref="AH14" authorId="0" shapeId="0">
      <text>
        <t>추정: 최근 4분기 중위
[abs]</t>
      </text>
    </comment>
    <comment ref="AI14" authorId="0" shapeId="0">
      <text>
        <t>추정: 최근 4분기 중위
[abs]</t>
      </text>
    </comment>
    <comment ref="AK14" authorId="0" shapeId="0">
      <text>
        <t>추정: 최근 4분기 중위
[abs]</t>
      </text>
    </comment>
    <comment ref="AL14" authorId="0" shapeId="0">
      <text>
        <t>추정: 최근 4분기 중위
[abs]</t>
      </text>
    </comment>
    <comment ref="AM14" authorId="0" shapeId="0">
      <text>
        <t>추정: 최근 4분기 중위
[abs]</t>
      </text>
    </comment>
    <comment ref="AN14" authorId="0" shapeId="0">
      <text>
        <t>추정: 최근 4분기 중위
[abs]</t>
      </text>
    </comment>
    <comment ref="AC15" authorId="0" shapeId="0">
      <text>
        <t>추정: 영업이익 + 금융손익 + 기타영업외 + 지분법 + 환관련(항등식)
[identity]</t>
      </text>
    </comment>
    <comment ref="AD15" authorId="0" shapeId="0">
      <text>
        <t>추정: 영업이익 + 금융손익 + 기타영업외 + 지분법 + 환관련(항등식)
[identity]</t>
      </text>
    </comment>
    <comment ref="AF15" authorId="0" shapeId="0">
      <text>
        <t>추정: 영업이익 + 금융손익 + 기타영업외 + 지분법 + 환관련(항등식)
[identity]</t>
      </text>
    </comment>
    <comment ref="AG15" authorId="0" shapeId="0">
      <text>
        <t>추정: 영업이익 + 금융손익 + 기타영업외 + 지분법 + 환관련(항등식)
[identity]</t>
      </text>
    </comment>
    <comment ref="AH15" authorId="0" shapeId="0">
      <text>
        <t>추정: 영업이익 + 금융손익 + 기타영업외 + 지분법 + 환관련(항등식)
[identity]</t>
      </text>
    </comment>
    <comment ref="AI15" authorId="0" shapeId="0">
      <text>
        <t>추정: 영업이익 + 금융손익 + 기타영업외 + 지분법 + 환관련(항등식)
[identity]</t>
      </text>
    </comment>
    <comment ref="AK15" authorId="0" shapeId="0">
      <text>
        <t>추정: 영업이익 + 금융손익 + 기타영업외 + 지분법 + 환관련(항등식)
[identity]</t>
      </text>
    </comment>
    <comment ref="AL15" authorId="0" shapeId="0">
      <text>
        <t>추정: 영업이익 + 금융손익 + 기타영업외 + 지분법 + 환관련(항등식)
[identity]</t>
      </text>
    </comment>
    <comment ref="AM15" authorId="0" shapeId="0">
      <text>
        <t>추정: 영업이익 + 금융손익 + 기타영업외 + 지분법 + 환관련(항등식)
[identity]</t>
      </text>
    </comment>
    <comment ref="AN15" authorId="0" shapeId="0">
      <text>
        <t>추정: 영업이익 + 금융손익 + 기타영업외 + 지분법 + 환관련(항등식)
[identity]</t>
      </text>
    </comment>
    <comment ref="AC16" authorId="0" shapeId="0">
      <text>
        <t>추정: max(세전, 0) × 세율 14.7%(최근 12분기 유효세율 14.7%(5~27% 안 — 그대로))
[tax]</t>
      </text>
    </comment>
    <comment ref="AD16" authorId="0" shapeId="0">
      <text>
        <t>추정: max(세전, 0) × 세율 14.7%(최근 12분기 유효세율 14.7%(5~27% 안 — 그대로))
[tax]</t>
      </text>
    </comment>
    <comment ref="AF16" authorId="0" shapeId="0">
      <text>
        <t>추정: max(세전, 0) × 세율 14.7%(최근 12분기 유효세율 14.7%(5~27% 안 — 그대로))
[tax]</t>
      </text>
    </comment>
    <comment ref="AG16" authorId="0" shapeId="0">
      <text>
        <t>추정: max(세전, 0) × 세율 14.7%(최근 12분기 유효세율 14.7%(5~27% 안 — 그대로))
[tax]</t>
      </text>
    </comment>
    <comment ref="AH16" authorId="0" shapeId="0">
      <text>
        <t>추정: max(세전, 0) × 세율 14.7%(최근 12분기 유효세율 14.7%(5~27% 안 — 그대로))
[tax]</t>
      </text>
    </comment>
    <comment ref="AI16" authorId="0" shapeId="0">
      <text>
        <t>추정: max(세전, 0) × 세율 14.7%(최근 12분기 유효세율 14.7%(5~27% 안 — 그대로))
[tax]</t>
      </text>
    </comment>
    <comment ref="AK16" authorId="0" shapeId="0">
      <text>
        <t>추정: max(세전, 0) × 세율 14.7%(최근 12분기 유효세율 14.7%(5~27% 안 — 그대로))
[tax]</t>
      </text>
    </comment>
    <comment ref="AL16" authorId="0" shapeId="0">
      <text>
        <t>추정: max(세전, 0) × 세율 14.7%(최근 12분기 유효세율 14.7%(5~27% 안 — 그대로))
[tax]</t>
      </text>
    </comment>
    <comment ref="AM16" authorId="0" shapeId="0">
      <text>
        <t>추정: max(세전, 0) × 세율 14.7%(최근 12분기 유효세율 14.7%(5~27% 안 — 그대로))
[tax]</t>
      </text>
    </comment>
    <comment ref="AN16" authorId="0" shapeId="0">
      <text>
        <t>추정: max(세전, 0) × 세율 14.7%(최근 12분기 유효세율 14.7%(5~27% 안 — 그대로))
[tax]</t>
      </text>
    </comment>
    <comment ref="AC17" authorId="0" shapeId="0">
      <text>
        <t>추정: 세전이익 − 법인세비용(항등식)
[identity]</t>
      </text>
    </comment>
    <comment ref="AD17" authorId="0" shapeId="0">
      <text>
        <t>추정: 세전이익 − 법인세비용(항등식)
[identity]</t>
      </text>
    </comment>
    <comment ref="AF17" authorId="0" shapeId="0">
      <text>
        <t>추정: 세전이익 − 법인세비용(항등식)
[identity]</t>
      </text>
    </comment>
    <comment ref="AG17" authorId="0" shapeId="0">
      <text>
        <t>추정: 세전이익 − 법인세비용(항등식)
[identity]</t>
      </text>
    </comment>
    <comment ref="AH17" authorId="0" shapeId="0">
      <text>
        <t>추정: 세전이익 − 법인세비용(항등식)
[identity]</t>
      </text>
    </comment>
    <comment ref="AI17" authorId="0" shapeId="0">
      <text>
        <t>추정: 세전이익 − 법인세비용(항등식)
[identity]</t>
      </text>
    </comment>
    <comment ref="AK17" authorId="0" shapeId="0">
      <text>
        <t>추정: 세전이익 − 법인세비용(항등식)
[identity]</t>
      </text>
    </comment>
    <comment ref="AL17" authorId="0" shapeId="0">
      <text>
        <t>추정: 세전이익 − 법인세비용(항등식)
[identity]</t>
      </text>
    </comment>
    <comment ref="AM17" authorId="0" shapeId="0">
      <text>
        <t>추정: 세전이익 − 법인세비용(항등식)
[identity]</t>
      </text>
    </comment>
    <comment ref="AN17" authorId="0" shapeId="0">
      <text>
        <t>추정: 세전이익 − 법인세비용(항등식)
[identity]</t>
      </text>
    </comment>
    <comment ref="AC18" authorId="0" shapeId="0">
      <text>
        <t>추정: 당기순이익 × (1 − 비지배 비중 0.0%, 최근 8분기 실측)
[ratio]</t>
      </text>
    </comment>
    <comment ref="AD18" authorId="0" shapeId="0">
      <text>
        <t>추정: 당기순이익 × (1 − 비지배 비중 0.0%, 최근 8분기 실측)
[ratio]</t>
      </text>
    </comment>
    <comment ref="AF18" authorId="0" shapeId="0">
      <text>
        <t>추정: 당기순이익 × (1 − 비지배 비중 0.0%, 최근 8분기 실측)
[ratio]</t>
      </text>
    </comment>
    <comment ref="AG18" authorId="0" shapeId="0">
      <text>
        <t>추정: 당기순이익 × (1 − 비지배 비중 0.0%, 최근 8분기 실측)
[ratio]</t>
      </text>
    </comment>
    <comment ref="AH18" authorId="0" shapeId="0">
      <text>
        <t>추정: 당기순이익 × (1 − 비지배 비중 0.0%, 최근 8분기 실측)
[ratio]</t>
      </text>
    </comment>
    <comment ref="AI18" authorId="0" shapeId="0">
      <text>
        <t>추정: 당기순이익 × (1 − 비지배 비중 0.0%, 최근 8분기 실측)
[ratio]</t>
      </text>
    </comment>
    <comment ref="AK18" authorId="0" shapeId="0">
      <text>
        <t>추정: 당기순이익 × (1 − 비지배 비중 0.0%, 최근 8분기 실측)
[ratio]</t>
      </text>
    </comment>
    <comment ref="AL18" authorId="0" shapeId="0">
      <text>
        <t>추정: 당기순이익 × (1 − 비지배 비중 0.0%, 최근 8분기 실측)
[ratio]</t>
      </text>
    </comment>
    <comment ref="AM18" authorId="0" shapeId="0">
      <text>
        <t>추정: 당기순이익 × (1 − 비지배 비중 0.0%, 최근 8분기 실측)
[ratio]</t>
      </text>
    </comment>
    <comment ref="AN18" authorId="0" shapeId="0">
      <text>
        <t>추정: 당기순이익 × (1 − 비지배 비중 0.0%, 최근 8분기 실측)
[ratio]</t>
      </text>
    </comment>
    <comment ref="AC19" authorId="0" shapeId="0">
      <text>
        <t>추정: 최근 4분기 감가상각비 중위 유지
[abs]</t>
      </text>
    </comment>
    <comment ref="AD19" authorId="0" shapeId="0">
      <text>
        <t>추정: 최근 4분기 감가상각비 중위 유지
[abs]</t>
      </text>
    </comment>
    <comment ref="AF19" authorId="0" shapeId="0">
      <text>
        <t>추정: 최근 4분기 감가상각비 중위 유지
[abs]</t>
      </text>
    </comment>
    <comment ref="AG19" authorId="0" shapeId="0">
      <text>
        <t>추정: 최근 4분기 감가상각비 중위 유지
[abs]</t>
      </text>
    </comment>
    <comment ref="AH19" authorId="0" shapeId="0">
      <text>
        <t>추정: 최근 4분기 감가상각비 중위 유지
[abs]</t>
      </text>
    </comment>
    <comment ref="AI19" authorId="0" shapeId="0">
      <text>
        <t>추정: 최근 4분기 감가상각비 중위 유지
[abs]</t>
      </text>
    </comment>
    <comment ref="AK19" authorId="0" shapeId="0">
      <text>
        <t>추정: 최근 4분기 감가상각비 중위 유지
[abs]</t>
      </text>
    </comment>
    <comment ref="AL19" authorId="0" shapeId="0">
      <text>
        <t>추정: 최근 4분기 감가상각비 중위 유지
[abs]</t>
      </text>
    </comment>
    <comment ref="AM19" authorId="0" shapeId="0">
      <text>
        <t>추정: 최근 4분기 감가상각비 중위 유지
[abs]</t>
      </text>
    </comment>
    <comment ref="AN19" authorId="0" shapeId="0">
      <text>
        <t>추정: 최근 4분기 감가상각비 중위 유지
[abs]</t>
      </text>
    </comment>
    <comment ref="E20" authorId="0" shapeId="0">
      <text>
        <t>실측(계정 매핑 없음(파생·부문·시세 행) — 모델값 직접) — 영업이익 + 감가상각비(CF)</t>
      </text>
    </comment>
    <comment ref="G20" authorId="0" shapeId="0">
      <text>
        <t>실측(계정 매핑 없음(파생·부문·시세 행) — 모델값 직접) — 영업이익 + 감가상각비(CF)</t>
      </text>
    </comment>
    <comment ref="H20" authorId="0" shapeId="0">
      <text>
        <t>실측(계정 매핑 없음(파생·부문·시세 행) — 모델값 직접) — 영업이익 + 감가상각비(CF)</t>
      </text>
    </comment>
    <comment ref="I20" authorId="0" shapeId="0">
      <text>
        <t>실측(계정 매핑 없음(파생·부문·시세 행) — 모델값 직접) — 영업이익 + 감가상각비(CF)</t>
      </text>
    </comment>
    <comment ref="J20" authorId="0" shapeId="0">
      <text>
        <t>실측(계정 매핑 없음(파생·부문·시세 행) — 모델값 직접) — 영업이익 + 감가상각비(CF)</t>
      </text>
    </comment>
    <comment ref="L20" authorId="0" shapeId="0">
      <text>
        <t>실측(계정 매핑 없음(파생·부문·시세 행) — 모델값 직접) — 영업이익 + 감가상각비(CF)</t>
      </text>
    </comment>
    <comment ref="M20" authorId="0" shapeId="0">
      <text>
        <t>실측(계정 매핑 없음(파생·부문·시세 행) — 모델값 직접) — 영업이익 + 감가상각비(CF)</t>
      </text>
    </comment>
    <comment ref="AC20" authorId="0" shapeId="0">
      <text>
        <t>추정: 영업이익 + 감가상각비
[identity]</t>
      </text>
    </comment>
    <comment ref="AD20" authorId="0" shapeId="0">
      <text>
        <t>추정: 영업이익 + 감가상각비
[identity]</t>
      </text>
    </comment>
    <comment ref="AF20" authorId="0" shapeId="0">
      <text>
        <t>추정: 영업이익 + 감가상각비
[identity]</t>
      </text>
    </comment>
    <comment ref="AG20" authorId="0" shapeId="0">
      <text>
        <t>추정: 영업이익 + 감가상각비
[identity]</t>
      </text>
    </comment>
    <comment ref="AH20" authorId="0" shapeId="0">
      <text>
        <t>추정: 영업이익 + 감가상각비
[identity]</t>
      </text>
    </comment>
    <comment ref="AI20" authorId="0" shapeId="0">
      <text>
        <t>추정: 영업이익 + 감가상각비
[identity]</t>
      </text>
    </comment>
    <comment ref="AK20" authorId="0" shapeId="0">
      <text>
        <t>추정: 영업이익 + 감가상각비
[identity]</t>
      </text>
    </comment>
    <comment ref="AL20" authorId="0" shapeId="0">
      <text>
        <t>추정: 영업이익 + 감가상각비
[identity]</t>
      </text>
    </comment>
    <comment ref="AM20" authorId="0" shapeId="0">
      <text>
        <t>추정: 영업이익 + 감가상각비
[identity]</t>
      </text>
    </comment>
    <comment ref="AN20" authorId="0" shapeId="0">
      <text>
        <t>추정: 영업이익 + 감가상각비
[identity]</t>
      </text>
    </comment>
    <comment ref="AC21" authorId="0" shapeId="0">
      <text>
        <t>추정: 부채총계 + 자본총계(항등식)
[identity]</t>
      </text>
    </comment>
    <comment ref="AD21" authorId="0" shapeId="0">
      <text>
        <t>추정: 부채총계 + 자본총계(항등식)
[identity]</t>
      </text>
    </comment>
    <comment ref="AF21" authorId="0" shapeId="0">
      <text>
        <t>추정: 부채총계 + 자본총계(항등식)
[identity]</t>
      </text>
    </comment>
    <comment ref="AG21" authorId="0" shapeId="0">
      <text>
        <t>추정: 부채총계 + 자본총계(항등식)
[identity]</t>
      </text>
    </comment>
    <comment ref="AH21" authorId="0" shapeId="0">
      <text>
        <t>추정: 부채총계 + 자본총계(항등식)
[identity]</t>
      </text>
    </comment>
    <comment ref="AI21" authorId="0" shapeId="0">
      <text>
        <t>추정: 부채총계 + 자본총계(항등식)
[identity]</t>
      </text>
    </comment>
    <comment ref="AK21" authorId="0" shapeId="0">
      <text>
        <t>추정: 부채총계 + 자본총계(항등식)
[identity]</t>
      </text>
    </comment>
    <comment ref="AL21" authorId="0" shapeId="0">
      <text>
        <t>추정: 부채총계 + 자본총계(항등식)
[identity]</t>
      </text>
    </comment>
    <comment ref="AM21" authorId="0" shapeId="0">
      <text>
        <t>추정: 부채총계 + 자본총계(항등식)
[identity]</t>
      </text>
    </comment>
    <comment ref="AN21" authorId="0" shapeId="0">
      <text>
        <t>추정: 부채총계 + 자본총계(항등식)
[identity]</t>
      </text>
    </comment>
    <comment ref="AC22" authorId="0" shapeId="0">
      <text>
        <t>추정: 마지막 실적 유지(가정)
[qoq]</t>
      </text>
    </comment>
    <comment ref="AD22" authorId="0" shapeId="0">
      <text>
        <t>추정: 마지막 실적 유지(가정)
[qoq]</t>
      </text>
    </comment>
    <comment ref="AF22" authorId="0" shapeId="0">
      <text>
        <t>추정: 마지막 실적 유지(가정)
[qoq]</t>
      </text>
    </comment>
    <comment ref="AG22" authorId="0" shapeId="0">
      <text>
        <t>추정: 마지막 실적 유지(가정)
[qoq]</t>
      </text>
    </comment>
    <comment ref="AH22" authorId="0" shapeId="0">
      <text>
        <t>추정: 마지막 실적 유지(가정)
[qoq]</t>
      </text>
    </comment>
    <comment ref="AI22" authorId="0" shapeId="0">
      <text>
        <t>추정: 마지막 실적 유지(가정)
[qoq]</t>
      </text>
    </comment>
    <comment ref="AK22" authorId="0" shapeId="0">
      <text>
        <t>추정: 마지막 실적 유지(가정)
[qoq]</t>
      </text>
    </comment>
    <comment ref="AL22" authorId="0" shapeId="0">
      <text>
        <t>추정: 마지막 실적 유지(가정)
[qoq]</t>
      </text>
    </comment>
    <comment ref="AM22" authorId="0" shapeId="0">
      <text>
        <t>추정: 마지막 실적 유지(가정)
[qoq]</t>
      </text>
    </comment>
    <comment ref="AN22" authorId="0" shapeId="0">
      <text>
        <t>추정: 마지막 실적 유지(가정)
[qoq]</t>
      </text>
    </comment>
    <comment ref="AC23" authorId="0" shapeId="0">
      <text>
        <t>추정: 전분기 + 당기순이익 − 배당(Q2 지급 가정)
[roll]</t>
      </text>
    </comment>
    <comment ref="AD23" authorId="0" shapeId="0">
      <text>
        <t>추정: 전분기 + 당기순이익 − 배당(Q2 지급 가정)
[roll]</t>
      </text>
    </comment>
    <comment ref="AF23" authorId="0" shapeId="0">
      <text>
        <t>추정: 전분기 + 당기순이익 − 배당(Q2 지급 가정)
[roll]</t>
      </text>
    </comment>
    <comment ref="AG23" authorId="0" shapeId="0">
      <text>
        <t>추정: 전분기 + 당기순이익 − 배당(Q2 지급 가정)
[roll]</t>
      </text>
    </comment>
    <comment ref="AH23" authorId="0" shapeId="0">
      <text>
        <t>추정: 전분기 + 당기순이익 − 배당(Q2 지급 가정)
[roll]</t>
      </text>
    </comment>
    <comment ref="AI23" authorId="0" shapeId="0">
      <text>
        <t>추정: 전분기 + 당기순이익 − 배당(Q2 지급 가정)
[roll]</t>
      </text>
    </comment>
    <comment ref="AK23" authorId="0" shapeId="0">
      <text>
        <t>추정: 전분기 + 당기순이익 − 배당(Q2 지급 가정)
[roll]</t>
      </text>
    </comment>
    <comment ref="AL23" authorId="0" shapeId="0">
      <text>
        <t>추정: 전분기 + 당기순이익 − 배당(Q2 지급 가정)
[roll]</t>
      </text>
    </comment>
    <comment ref="AM23" authorId="0" shapeId="0">
      <text>
        <t>추정: 전분기 + 당기순이익 − 배당(Q2 지급 가정)
[roll]</t>
      </text>
    </comment>
    <comment ref="AN23" authorId="0" shapeId="0">
      <text>
        <t>추정: 전분기 + 당기순이익 − 배당(Q2 지급 가정)
[roll]</t>
      </text>
    </comment>
    <comment ref="AC24" authorId="0" shapeId="0">
      <text>
        <t>추정: 전분기 + 지배주주순이익 − 배당
[roll]</t>
      </text>
    </comment>
    <comment ref="AD24" authorId="0" shapeId="0">
      <text>
        <t>추정: 전분기 + 지배주주순이익 − 배당
[roll]</t>
      </text>
    </comment>
    <comment ref="AF24" authorId="0" shapeId="0">
      <text>
        <t>추정: 전분기 + 지배주주순이익 − 배당
[roll]</t>
      </text>
    </comment>
    <comment ref="AG24" authorId="0" shapeId="0">
      <text>
        <t>추정: 전분기 + 지배주주순이익 − 배당
[roll]</t>
      </text>
    </comment>
    <comment ref="AH24" authorId="0" shapeId="0">
      <text>
        <t>추정: 전분기 + 지배주주순이익 − 배당
[roll]</t>
      </text>
    </comment>
    <comment ref="AI24" authorId="0" shapeId="0">
      <text>
        <t>추정: 전분기 + 지배주주순이익 − 배당
[roll]</t>
      </text>
    </comment>
    <comment ref="AK24" authorId="0" shapeId="0">
      <text>
        <t>추정: 전분기 + 지배주주순이익 − 배당
[roll]</t>
      </text>
    </comment>
    <comment ref="AL24" authorId="0" shapeId="0">
      <text>
        <t>추정: 전분기 + 지배주주순이익 − 배당
[roll]</t>
      </text>
    </comment>
    <comment ref="AM24" authorId="0" shapeId="0">
      <text>
        <t>추정: 전분기 + 지배주주순이익 − 배당
[roll]</t>
      </text>
    </comment>
    <comment ref="AN24" authorId="0" shapeId="0">
      <text>
        <t>추정: 전분기 + 지배주주순이익 − 배당
[roll]</t>
      </text>
    </comment>
    <comment ref="AC25" authorId="0" shapeId="0">
      <text>
        <t>추정: 마지막 실적 유지(가정)
[qoq]</t>
      </text>
    </comment>
    <comment ref="AD25" authorId="0" shapeId="0">
      <text>
        <t>추정: 마지막 실적 유지(가정)
[qoq]</t>
      </text>
    </comment>
    <comment ref="AF25" authorId="0" shapeId="0">
      <text>
        <t>추정: 마지막 실적 유지(가정)
[qoq]</t>
      </text>
    </comment>
    <comment ref="AG25" authorId="0" shapeId="0">
      <text>
        <t>추정: 마지막 실적 유지(가정)
[qoq]</t>
      </text>
    </comment>
    <comment ref="AH25" authorId="0" shapeId="0">
      <text>
        <t>추정: 마지막 실적 유지(가정)
[qoq]</t>
      </text>
    </comment>
    <comment ref="AI25" authorId="0" shapeId="0">
      <text>
        <t>추정: 마지막 실적 유지(가정)
[qoq]</t>
      </text>
    </comment>
    <comment ref="AK25" authorId="0" shapeId="0">
      <text>
        <t>추정: 마지막 실적 유지(가정)
[qoq]</t>
      </text>
    </comment>
    <comment ref="AL25" authorId="0" shapeId="0">
      <text>
        <t>추정: 마지막 실적 유지(가정)
[qoq]</t>
      </text>
    </comment>
    <comment ref="AM25" authorId="0" shapeId="0">
      <text>
        <t>추정: 마지막 실적 유지(가정)
[qoq]</t>
      </text>
    </comment>
    <comment ref="AN25" authorId="0" shapeId="0">
      <text>
        <t>추정: 마지막 실적 유지(가정)
[qoq]</t>
      </text>
    </comment>
    <comment ref="AC26" authorId="0" shapeId="0">
      <text>
        <t>추정: 전분기 − FCF 근사[순이익 + 감가상각비 5억 − CAPEX 67억(각 최근 4분기 중위) − 배당] (운전자본 불변·총차입금 유지 가정 → 변동은 전부 현금)
[qoq]</t>
      </text>
    </comment>
    <comment ref="AD26" authorId="0" shapeId="0">
      <text>
        <t>추정: 전분기 − FCF 근사[순이익 + 감가상각비 5억 − CAPEX 67억(각 최근 4분기 중위) − 배당] (운전자본 불변·총차입금 유지 가정 → 변동은 전부 현금)
[qoq]</t>
      </text>
    </comment>
    <comment ref="AF26" authorId="0" shapeId="0">
      <text>
        <t>추정: 전분기 − FCF 근사[순이익 + 감가상각비 5억 − CAPEX 67억(각 최근 4분기 중위) − 배당] (운전자본 불변·총차입금 유지 가정 → 변동은 전부 현금)
[qoq]</t>
      </text>
    </comment>
    <comment ref="AG26" authorId="0" shapeId="0">
      <text>
        <t>추정: 전분기 − FCF 근사[순이익 + 감가상각비 5억 − CAPEX 67억(각 최근 4분기 중위) − 배당] (운전자본 불변·총차입금 유지 가정 → 변동은 전부 현금)
[qoq]</t>
      </text>
    </comment>
    <comment ref="AH26" authorId="0" shapeId="0">
      <text>
        <t>추정: 전분기 − FCF 근사[순이익 + 감가상각비 5억 − CAPEX 67억(각 최근 4분기 중위) − 배당] (운전자본 불변·총차입금 유지 가정 → 변동은 전부 현금)
[qoq]</t>
      </text>
    </comment>
    <comment ref="AI26" authorId="0" shapeId="0">
      <text>
        <t>추정: 전분기 − FCF 근사[순이익 + 감가상각비 5억 − CAPEX 67억(각 최근 4분기 중위) − 배당] (운전자본 불변·총차입금 유지 가정 → 변동은 전부 현금)
[qoq]</t>
      </text>
    </comment>
    <comment ref="AK26" authorId="0" shapeId="0">
      <text>
        <t>추정: 전분기 − FCF 근사[순이익 + 감가상각비 5억 − CAPEX 67억(각 최근 4분기 중위) − 배당] (운전자본 불변·총차입금 유지 가정 → 변동은 전부 현금)
[qoq]</t>
      </text>
    </comment>
    <comment ref="AL26" authorId="0" shapeId="0">
      <text>
        <t>추정: 전분기 − FCF 근사[순이익 + 감가상각비 5억 − CAPEX 67억(각 최근 4분기 중위) − 배당] (운전자본 불변·총차입금 유지 가정 → 변동은 전부 현금)
[qoq]</t>
      </text>
    </comment>
    <comment ref="AM26" authorId="0" shapeId="0">
      <text>
        <t>추정: 전분기 − FCF 근사[순이익 + 감가상각비 5억 − CAPEX 67억(각 최근 4분기 중위) − 배당] (운전자본 불변·총차입금 유지 가정 → 변동은 전부 현금)
[qoq]</t>
      </text>
    </comment>
    <comment ref="AN26" authorId="0" shapeId="0">
      <text>
        <t>추정: 전분기 − FCF 근사[순이익 + 감가상각비 5억 − CAPEX 67억(각 최근 4분기 중위) − 배당] (운전자본 불변·총차입금 유지 가정 → 변동은 전부 현금)
[qoq]</t>
      </text>
    </comment>
    <comment ref="AC27" authorId="0" shapeId="0">
      <text>
        <t>추정: 전분기 + FCF 근사 — 순차입금 롤과 같은 가정
[qoq]</t>
      </text>
    </comment>
    <comment ref="AD27" authorId="0" shapeId="0">
      <text>
        <t>추정: 전분기 + FCF 근사 — 순차입금 롤과 같은 가정
[qoq]</t>
      </text>
    </comment>
    <comment ref="AF27" authorId="0" shapeId="0">
      <text>
        <t>추정: 전분기 + FCF 근사 — 순차입금 롤과 같은 가정
[qoq]</t>
      </text>
    </comment>
    <comment ref="AG27" authorId="0" shapeId="0">
      <text>
        <t>추정: 전분기 + FCF 근사 — 순차입금 롤과 같은 가정
[qoq]</t>
      </text>
    </comment>
    <comment ref="AH27" authorId="0" shapeId="0">
      <text>
        <t>추정: 전분기 + FCF 근사 — 순차입금 롤과 같은 가정
[qoq]</t>
      </text>
    </comment>
    <comment ref="AI27" authorId="0" shapeId="0">
      <text>
        <t>추정: 전분기 + FCF 근사 — 순차입금 롤과 같은 가정
[qoq]</t>
      </text>
    </comment>
    <comment ref="AK27" authorId="0" shapeId="0">
      <text>
        <t>추정: 전분기 + FCF 근사 — 순차입금 롤과 같은 가정
[qoq]</t>
      </text>
    </comment>
    <comment ref="AL27" authorId="0" shapeId="0">
      <text>
        <t>추정: 전분기 + FCF 근사 — 순차입금 롤과 같은 가정
[qoq]</t>
      </text>
    </comment>
    <comment ref="AM27" authorId="0" shapeId="0">
      <text>
        <t>추정: 전분기 + FCF 근사 — 순차입금 롤과 같은 가정
[qoq]</t>
      </text>
    </comment>
    <comment ref="AN27" authorId="0" shapeId="0">
      <text>
        <t>추정: 전분기 + FCF 근사 — 순차입금 롤과 같은 가정
[qoq]</t>
      </text>
    </comment>
    <comment ref="AC29" authorId="0" shapeId="0">
      <text>
        <t>추정: 최근 4분기(2025Q3~2026Q2) CAPEX 중위 유지 — 순차입금 롤에 반영(FCF 근사)
[yoy]</t>
      </text>
    </comment>
    <comment ref="AD29" authorId="0" shapeId="0">
      <text>
        <t>추정: 최근 4분기(2025Q3~2026Q2) CAPEX 중위 유지 — 순차입금 롤에 반영(FCF 근사)
[yoy]</t>
      </text>
    </comment>
    <comment ref="AF29" authorId="0" shapeId="0">
      <text>
        <t>추정: 최근 4분기(2025Q3~2026Q2) CAPEX 중위 유지 — 순차입금 롤에 반영(FCF 근사)
[yoy]</t>
      </text>
    </comment>
    <comment ref="AG29" authorId="0" shapeId="0">
      <text>
        <t>추정: 최근 4분기(2025Q3~2026Q2) CAPEX 중위 유지 — 순차입금 롤에 반영(FCF 근사)
[yoy]</t>
      </text>
    </comment>
    <comment ref="AH29" authorId="0" shapeId="0">
      <text>
        <t>추정: 최근 4분기(2025Q3~2026Q2) CAPEX 중위 유지 — 순차입금 롤에 반영(FCF 근사)
[yoy]</t>
      </text>
    </comment>
    <comment ref="AI29" authorId="0" shapeId="0">
      <text>
        <t>추정: 최근 4분기(2025Q3~2026Q2) CAPEX 중위 유지 — 순차입금 롤에 반영(FCF 근사)
[yoy]</t>
      </text>
    </comment>
    <comment ref="AK29" authorId="0" shapeId="0">
      <text>
        <t>추정: 최근 4분기(2025Q3~2026Q2) CAPEX 중위 유지 — 순차입금 롤에 반영(FCF 근사)
[yoy]</t>
      </text>
    </comment>
    <comment ref="AL29" authorId="0" shapeId="0">
      <text>
        <t>추정: 최근 4분기(2025Q3~2026Q2) CAPEX 중위 유지 — 순차입금 롤에 반영(FCF 근사)
[yoy]</t>
      </text>
    </comment>
    <comment ref="AM29" authorId="0" shapeId="0">
      <text>
        <t>추정: 최근 4분기(2025Q3~2026Q2) CAPEX 중위 유지 — 순차입금 롤에 반영(FCF 근사)
[yoy]</t>
      </text>
    </comment>
    <comment ref="AN29" authorId="0" shapeId="0">
      <text>
        <t>추정: 최근 4분기(2025Q3~2026Q2) CAPEX 중위 유지 — 순차입금 롤에 반영(FCF 근사)
[yoy]</t>
      </text>
    </comment>
    <comment ref="E31" authorId="0" shapeId="0">
      <text>
        <t>실측(계정 매핑 없음(파생·부문·시세 행) — 모델값 직접) — fin.shares.common_outstanding</t>
      </text>
    </comment>
    <comment ref="G31" authorId="0" shapeId="0">
      <text>
        <t>실측(계정 매핑 없음(파생·부문·시세 행) — 모델값 직접) — fin.shares.common_outstanding</t>
      </text>
    </comment>
    <comment ref="H31" authorId="0" shapeId="0">
      <text>
        <t>실측(계정 매핑 없음(파생·부문·시세 행) — 모델값 직접) — fin.shares.common_outstanding</t>
      </text>
    </comment>
    <comment ref="I31" authorId="0" shapeId="0">
      <text>
        <t>실측(계정 매핑 없음(파생·부문·시세 행) — 모델값 직접) — fin.shares.common_outstanding</t>
      </text>
    </comment>
    <comment ref="J31" authorId="0" shapeId="0">
      <text>
        <t>실측(계정 매핑 없음(파생·부문·시세 행) — 모델값 직접) — fin.shares.common_outstanding</t>
      </text>
    </comment>
    <comment ref="L31" authorId="0" shapeId="0">
      <text>
        <t>실측(계정 매핑 없음(파생·부문·시세 행) — 모델값 직접) — fin.shares.common_outstanding</t>
      </text>
    </comment>
    <comment ref="M31" authorId="0" shapeId="0">
      <text>
        <t>실측(계정 매핑 없음(파생·부문·시세 행) — 모델값 직접) — fin.shares.common_outstanding</t>
      </text>
    </comment>
    <comment ref="N31" authorId="0" shapeId="0">
      <text>
        <t>실측(계정 매핑 없음(파생·부문·시세 행) — 모델값 직접) — fin.shares.common_outstanding</t>
      </text>
    </comment>
    <comment ref="O31" authorId="0" shapeId="0">
      <text>
        <t>실측(계정 매핑 없음(파생·부문·시세 행) — 모델값 직접) — fin.shares.common_outstanding</t>
      </text>
    </comment>
    <comment ref="Q31" authorId="0" shapeId="0">
      <text>
        <t>실측(계정 매핑 없음(파생·부문·시세 행) — 모델값 직접) — fin.shares.common_outstanding</t>
      </text>
    </comment>
    <comment ref="R31" authorId="0" shapeId="0">
      <text>
        <t>실측(계정 매핑 없음(파생·부문·시세 행) — 모델값 직접) — fin.shares.common_outstanding</t>
      </text>
    </comment>
    <comment ref="S31" authorId="0" shapeId="0">
      <text>
        <t>실측(계정 매핑 없음(파생·부문·시세 행) — 모델값 직접) — fin.shares.common_outstanding</t>
      </text>
    </comment>
    <comment ref="T31" authorId="0" shapeId="0">
      <text>
        <t>실측(계정 매핑 없음(파생·부문·시세 행) — 모델값 직접) — fin.shares.common_outstanding</t>
      </text>
    </comment>
    <comment ref="V31" authorId="0" shapeId="0">
      <text>
        <t>실측(계정 매핑 없음(파생·부문·시세 행) — 모델값 직접) — fin.shares.common_outstanding</t>
      </text>
    </comment>
    <comment ref="W31" authorId="0" shapeId="0">
      <text>
        <t>실측(계정 매핑 없음(파생·부문·시세 행) — 모델값 직접) — fin.shares.common_outstanding</t>
      </text>
    </comment>
    <comment ref="X31" authorId="0" shapeId="0">
      <text>
        <t>실측(계정 매핑 없음(파생·부문·시세 행) — 모델값 직접) — fin.shares.common_outstanding</t>
      </text>
    </comment>
    <comment ref="Y31" authorId="0" shapeId="0">
      <text>
        <t>실측(계정 매핑 없음(파생·부문·시세 행) — 모델값 직접) — fin.shares.common_outstanding</t>
      </text>
    </comment>
    <comment ref="AA31" authorId="0" shapeId="0">
      <text>
        <t>실측(계정 매핑 없음(파생·부문·시세 행) — 모델값 직접) — fin.shares.common_outstanding</t>
      </text>
    </comment>
    <comment ref="AB31" authorId="0" shapeId="0">
      <text>
        <t>실측(계정 매핑 없음(파생·부문·시세 행) — 모델값 직접) — fin.shares.common_outstanding</t>
      </text>
    </comment>
    <comment ref="AC31" authorId="0" shapeId="0">
      <text>
        <t>추정: 유통주식수 유지 — fin.shares.common_outstanding(2026Q2)
[qoq]</t>
      </text>
    </comment>
    <comment ref="AD31" authorId="0" shapeId="0">
      <text>
        <t>추정: 유통주식수 유지 — fin.shares.common_outstanding(2026Q2)
[qoq]</t>
      </text>
    </comment>
    <comment ref="AF31" authorId="0" shapeId="0">
      <text>
        <t>추정: 유통주식수 유지 — fin.shares.common_outstanding(2026Q2)
[qoq]</t>
      </text>
    </comment>
    <comment ref="AG31" authorId="0" shapeId="0">
      <text>
        <t>추정: 유통주식수 유지 — fin.shares.common_outstanding(2026Q2)
[qoq]</t>
      </text>
    </comment>
    <comment ref="AH31" authorId="0" shapeId="0">
      <text>
        <t>추정: 유통주식수 유지 — fin.shares.common_outstanding(2026Q2)
[qoq]</t>
      </text>
    </comment>
    <comment ref="AI31" authorId="0" shapeId="0">
      <text>
        <t>추정: 유통주식수 유지 — fin.shares.common_outstanding(2026Q2)
[qoq]</t>
      </text>
    </comment>
    <comment ref="AK31" authorId="0" shapeId="0">
      <text>
        <t>추정: 유통주식수 유지 — fin.shares.common_outstanding(2026Q2)
[qoq]</t>
      </text>
    </comment>
    <comment ref="AL31" authorId="0" shapeId="0">
      <text>
        <t>추정: 유통주식수 유지 — fin.shares.common_outstanding(2026Q2)
[qoq]</t>
      </text>
    </comment>
    <comment ref="AM31" authorId="0" shapeId="0">
      <text>
        <t>추정: 유통주식수 유지 — fin.shares.common_outstanding(2026Q2)
[qoq]</t>
      </text>
    </comment>
    <comment ref="AN31" authorId="0" shapeId="0">
      <text>
        <t>추정: 유통주식수 유지 — fin.shares.common_outstanding(2026Q2)
[qoq]</t>
      </text>
    </comment>
    <comment ref="AC32" authorId="0" shapeId="0">
      <text>
        <t>추정: 지배주주순이익 ÷ 유통주식수
[per_share]</t>
      </text>
    </comment>
    <comment ref="AD32" authorId="0" shapeId="0">
      <text>
        <t>추정: 지배주주순이익 ÷ 유통주식수
[per_share]</t>
      </text>
    </comment>
    <comment ref="AF32" authorId="0" shapeId="0">
      <text>
        <t>추정: 지배주주순이익 ÷ 유통주식수
[per_share]</t>
      </text>
    </comment>
    <comment ref="AG32" authorId="0" shapeId="0">
      <text>
        <t>추정: 지배주주순이익 ÷ 유통주식수
[per_share]</t>
      </text>
    </comment>
    <comment ref="AH32" authorId="0" shapeId="0">
      <text>
        <t>추정: 지배주주순이익 ÷ 유통주식수
[per_share]</t>
      </text>
    </comment>
    <comment ref="AI32" authorId="0" shapeId="0">
      <text>
        <t>추정: 지배주주순이익 ÷ 유통주식수
[per_share]</t>
      </text>
    </comment>
    <comment ref="AK32" authorId="0" shapeId="0">
      <text>
        <t>추정: 지배주주순이익 ÷ 유통주식수
[per_share]</t>
      </text>
    </comment>
    <comment ref="AL32" authorId="0" shapeId="0">
      <text>
        <t>추정: 지배주주순이익 ÷ 유통주식수
[per_share]</t>
      </text>
    </comment>
    <comment ref="AM32" authorId="0" shapeId="0">
      <text>
        <t>추정: 지배주주순이익 ÷ 유통주식수
[per_share]</t>
      </text>
    </comment>
    <comment ref="AN32" authorId="0" shapeId="0">
      <text>
        <t>추정: 지배주주순이익 ÷ 유통주식수
[per_share]</t>
      </text>
    </comment>
    <comment ref="AC33" authorId="0" shapeId="0">
      <text>
        <t>추정: 지배주주지분 ÷ 유통주식수
[per_share]</t>
      </text>
    </comment>
    <comment ref="AD33" authorId="0" shapeId="0">
      <text>
        <t>추정: 지배주주지분 ÷ 유통주식수
[per_share]</t>
      </text>
    </comment>
    <comment ref="AF33" authorId="0" shapeId="0">
      <text>
        <t>추정: 지배주주지분 ÷ 유통주식수
[per_share]</t>
      </text>
    </comment>
    <comment ref="AG33" authorId="0" shapeId="0">
      <text>
        <t>추정: 지배주주지분 ÷ 유통주식수
[per_share]</t>
      </text>
    </comment>
    <comment ref="AH33" authorId="0" shapeId="0">
      <text>
        <t>추정: 지배주주지분 ÷ 유통주식수
[per_share]</t>
      </text>
    </comment>
    <comment ref="AI33" authorId="0" shapeId="0">
      <text>
        <t>추정: 지배주주지분 ÷ 유통주식수
[per_share]</t>
      </text>
    </comment>
    <comment ref="AK33" authorId="0" shapeId="0">
      <text>
        <t>추정: 지배주주지분 ÷ 유통주식수
[per_share]</t>
      </text>
    </comment>
    <comment ref="AL33" authorId="0" shapeId="0">
      <text>
        <t>추정: 지배주주지분 ÷ 유통주식수
[per_share]</t>
      </text>
    </comment>
    <comment ref="AM33" authorId="0" shapeId="0">
      <text>
        <t>추정: 지배주주지분 ÷ 유통주식수
[per_share]</t>
      </text>
    </comment>
    <comment ref="AN33" authorId="0" shapeId="0">
      <text>
        <t>추정: 지배주주지분 ÷ 유통주식수
[per_share]</t>
      </text>
    </comment>
    <comment ref="E34" authorId="0" shapeId="0">
      <text>
        <t>실측(계정 매핑 없음(파생·부문·시세 행) — 모델값 직접) — fin.dividend.dps_common(연간, Q4 에 표기)</t>
      </text>
    </comment>
    <comment ref="F34" authorId="0" shapeId="0">
      <text>
        <t>연간(actual) — 분기 미완 연도, 모델 a 값 직접</t>
      </text>
    </comment>
    <comment ref="J34" authorId="0" shapeId="0">
      <text>
        <t>실측(계정 매핑 없음(파생·부문·시세 행) — 모델값 직접) — fin.dividend.dps_common(연간, Q4 에 표기)</t>
      </text>
    </comment>
    <comment ref="O34" authorId="0" shapeId="0">
      <text>
        <t>실측(계정 매핑 없음(파생·부문·시세 행) — 모델값 직접) — fin.dividend.dps_common(연간, Q4 에 표기)</t>
      </text>
    </comment>
    <comment ref="T34" authorId="0" shapeId="0">
      <text>
        <t>실측(계정 매핑 없음(파생·부문·시세 행) — 모델값 직접) — fin.dividend.dps_common(연간, Q4 에 표기)</t>
      </text>
    </comment>
    <comment ref="Y34" authorId="0" shapeId="0">
      <text>
        <t>실측(계정 매핑 없음(파생·부문·시세 행) — 모델값 직접) — fin.dividend.dps_common(연간, Q4 에 표기)</t>
      </text>
    </comment>
    <comment ref="AD34" authorId="0" shapeId="0">
      <text>
        <t>추정: 직전 결산 DPS 620원 유지
[abs]</t>
      </text>
    </comment>
    <comment ref="AI34" authorId="0" shapeId="0">
      <text>
        <t>추정: 직전 결산 DPS 620원 유지
[abs]</t>
      </text>
    </comment>
    <comment ref="AN34" authorId="0" shapeId="0">
      <text>
        <t>추정: 직전 결산 DPS 620원 유지
[abs]</t>
      </text>
    </comment>
    <comment ref="AC35" authorId="0" shapeId="0">
      <text>
        <t>추정: 현재 종가 ÷ TTM EPS(추정 포함)
[valuation]</t>
      </text>
    </comment>
    <comment ref="AD35" authorId="0" shapeId="0">
      <text>
        <t>추정: 현재 종가 ÷ TTM EPS(추정 포함)
[valuation]</t>
      </text>
    </comment>
    <comment ref="AF35" authorId="0" shapeId="0">
      <text>
        <t>추정: 현재 종가 ÷ TTM EPS(추정 포함)
[valuation]</t>
      </text>
    </comment>
    <comment ref="AG35" authorId="0" shapeId="0">
      <text>
        <t>추정: 현재 종가 ÷ TTM EPS(추정 포함)
[valuation]</t>
      </text>
    </comment>
    <comment ref="AH35" authorId="0" shapeId="0">
      <text>
        <t>추정: 현재 종가 ÷ TTM EPS(추정 포함)
[valuation]</t>
      </text>
    </comment>
    <comment ref="AI35" authorId="0" shapeId="0">
      <text>
        <t>추정: 현재 종가 ÷ TTM EPS(추정 포함)
[valuation]</t>
      </text>
    </comment>
    <comment ref="AK35" authorId="0" shapeId="0">
      <text>
        <t>추정: 현재 종가 ÷ TTM EPS(추정 포함)
[valuation]</t>
      </text>
    </comment>
    <comment ref="AL35" authorId="0" shapeId="0">
      <text>
        <t>추정: 현재 종가 ÷ TTM EPS(추정 포함)
[valuation]</t>
      </text>
    </comment>
    <comment ref="AM35" authorId="0" shapeId="0">
      <text>
        <t>추정: 현재 종가 ÷ TTM EPS(추정 포함)
[valuation]</t>
      </text>
    </comment>
    <comment ref="AN35" authorId="0" shapeId="0">
      <text>
        <t>추정: 현재 종가 ÷ TTM EPS(추정 포함)
[valuation]</t>
      </text>
    </comment>
    <comment ref="AC36" authorId="0" shapeId="0">
      <text>
        <t>추정: 현재 종가 ÷ BPS(추정 포함)
[valuation]</t>
      </text>
    </comment>
    <comment ref="AD36" authorId="0" shapeId="0">
      <text>
        <t>추정: 현재 종가 ÷ BPS(추정 포함)
[valuation]</t>
      </text>
    </comment>
    <comment ref="AF36" authorId="0" shapeId="0">
      <text>
        <t>추정: 현재 종가 ÷ BPS(추정 포함)
[valuation]</t>
      </text>
    </comment>
    <comment ref="AG36" authorId="0" shapeId="0">
      <text>
        <t>추정: 현재 종가 ÷ BPS(추정 포함)
[valuation]</t>
      </text>
    </comment>
    <comment ref="AH36" authorId="0" shapeId="0">
      <text>
        <t>추정: 현재 종가 ÷ BPS(추정 포함)
[valuation]</t>
      </text>
    </comment>
    <comment ref="AI36" authorId="0" shapeId="0">
      <text>
        <t>추정: 현재 종가 ÷ BPS(추정 포함)
[valuation]</t>
      </text>
    </comment>
    <comment ref="AK36" authorId="0" shapeId="0">
      <text>
        <t>추정: 현재 종가 ÷ BPS(추정 포함)
[valuation]</t>
      </text>
    </comment>
    <comment ref="AL36" authorId="0" shapeId="0">
      <text>
        <t>추정: 현재 종가 ÷ BPS(추정 포함)
[valuation]</t>
      </text>
    </comment>
    <comment ref="AM36" authorId="0" shapeId="0">
      <text>
        <t>추정: 현재 종가 ÷ BPS(추정 포함)
[valuation]</t>
      </text>
    </comment>
    <comment ref="AN36" authorId="0" shapeId="0">
      <text>
        <t>추정: 현재 종가 ÷ BPS(추정 포함)
[valuation]</t>
      </text>
    </comment>
    <comment ref="E37" authorId="0" shapeId="0">
      <text>
        <t>실측(계정 매핑 없음(파생·부문·시세 행) — 모델값 직접) — = 매출액(부문 미분리)</t>
      </text>
    </comment>
    <comment ref="G37" authorId="0" shapeId="0">
      <text>
        <t>실측(계정 매핑 없음(파생·부문·시세 행) — 모델값 직접) — = 매출액(부문 미분리)</t>
      </text>
    </comment>
    <comment ref="H37" authorId="0" shapeId="0">
      <text>
        <t>실측(계정 매핑 없음(파생·부문·시세 행) — 모델값 직접) — = 매출액(부문 미분리)</t>
      </text>
    </comment>
    <comment ref="I37" authorId="0" shapeId="0">
      <text>
        <t>실측(계정 매핑 없음(파생·부문·시세 행) — 모델값 직접) — = 매출액(부문 미분리)</t>
      </text>
    </comment>
    <comment ref="J37" authorId="0" shapeId="0">
      <text>
        <t>실측(계정 매핑 없음(파생·부문·시세 행) — 모델값 직접) — = 매출액(부문 미분리)</t>
      </text>
    </comment>
    <comment ref="L37" authorId="0" shapeId="0">
      <text>
        <t>실측(계정 매핑 없음(파생·부문·시세 행) — 모델값 직접) — = 매출액(부문 미분리)</t>
      </text>
    </comment>
    <comment ref="M37" authorId="0" shapeId="0">
      <text>
        <t>실측(계정 매핑 없음(파생·부문·시세 행) — 모델값 직접) — = 매출액(부문 미분리)</t>
      </text>
    </comment>
    <comment ref="N37" authorId="0" shapeId="0">
      <text>
        <t>실측(계정 매핑 없음(파생·부문·시세 행) — 모델값 직접) — = 매출액(부문 미분리)</t>
      </text>
    </comment>
    <comment ref="O37" authorId="0" shapeId="0">
      <text>
        <t>실측(계정 매핑 없음(파생·부문·시세 행) — 모델값 직접) — = 매출액(부문 미분리)</t>
      </text>
    </comment>
    <comment ref="Q37" authorId="0" shapeId="0">
      <text>
        <t>실측(계정 매핑 없음(파생·부문·시세 행) — 모델값 직접) — = 매출액(부문 미분리)</t>
      </text>
    </comment>
    <comment ref="R37" authorId="0" shapeId="0">
      <text>
        <t>실측(계정 매핑 없음(파생·부문·시세 행) — 모델값 직접) — = 매출액(부문 미분리)</t>
      </text>
    </comment>
    <comment ref="S37" authorId="0" shapeId="0">
      <text>
        <t>실측(계정 매핑 없음(파생·부문·시세 행) — 모델값 직접) — = 매출액(부문 미분리)</t>
      </text>
    </comment>
    <comment ref="T37" authorId="0" shapeId="0">
      <text>
        <t>실측(계정 매핑 없음(파생·부문·시세 행) — 모델값 직접) — = 매출액(부문 미분리)</t>
      </text>
    </comment>
    <comment ref="V37" authorId="0" shapeId="0">
      <text>
        <t>실측(계정 매핑 없음(파생·부문·시세 행) — 모델값 직접) — = 매출액(부문 미분리)</t>
      </text>
    </comment>
    <comment ref="W37" authorId="0" shapeId="0">
      <text>
        <t>실측(계정 매핑 없음(파생·부문·시세 행) — 모델값 직접) — = 매출액(부문 미분리)</t>
      </text>
    </comment>
    <comment ref="X37" authorId="0" shapeId="0">
      <text>
        <t>실측(계정 매핑 없음(파생·부문·시세 행) — 모델값 직접) — = 매출액(부문 미분리)</t>
      </text>
    </comment>
    <comment ref="Y37" authorId="0" shapeId="0">
      <text>
        <t>실측(계정 매핑 없음(파생·부문·시세 행) — 모델값 직접) — = 매출액(부문 미분리)</t>
      </text>
    </comment>
    <comment ref="AA37" authorId="0" shapeId="0">
      <text>
        <t>실측(계정 매핑 없음(파생·부문·시세 행) — 모델값 직접) — = 매출액(부문 미분리)</t>
      </text>
    </comment>
    <comment ref="AB37" authorId="0" shapeId="0">
      <text>
        <t>실측(계정 매핑 없음(파생·부문·시세 행) — 모델값 직접) — = 매출액(부문 미분리)</t>
      </text>
    </comment>
    <comment ref="AC37" authorId="0" shapeId="0">
      <text>
        <t>추정: = 매출액 추정(부문 미분리)
[identity]</t>
      </text>
    </comment>
    <comment ref="AD37" authorId="0" shapeId="0">
      <text>
        <t>추정: = 매출액 추정(부문 미분리)
[identity]</t>
      </text>
    </comment>
    <comment ref="AF37" authorId="0" shapeId="0">
      <text>
        <t>추정: = 매출액 추정(부문 미분리)
[identity]</t>
      </text>
    </comment>
    <comment ref="AG37" authorId="0" shapeId="0">
      <text>
        <t>추정: = 매출액 추정(부문 미분리)
[identity]</t>
      </text>
    </comment>
    <comment ref="AH37" authorId="0" shapeId="0">
      <text>
        <t>추정: = 매출액 추정(부문 미분리)
[identity]</t>
      </text>
    </comment>
    <comment ref="AI37" authorId="0" shapeId="0">
      <text>
        <t>추정: = 매출액 추정(부문 미분리)
[identity]</t>
      </text>
    </comment>
    <comment ref="AK37" authorId="0" shapeId="0">
      <text>
        <t>추정: = 매출액 추정(부문 미분리)
[identity]</t>
      </text>
    </comment>
    <comment ref="AL37" authorId="0" shapeId="0">
      <text>
        <t>추정: = 매출액 추정(부문 미분리)
[identity]</t>
      </text>
    </comment>
    <comment ref="AM37" authorId="0" shapeId="0">
      <text>
        <t>추정: = 매출액 추정(부문 미분리)
[identity]</t>
      </text>
    </comment>
    <comment ref="AN37" authorId="0" shapeId="0">
      <text>
        <t>추정: = 매출액 추정(부문 미분리)
[identity]</t>
      </text>
    </comment>
    <comment ref="E38" authorId="0" shapeId="0">
      <text>
        <t>실측(계정 매핑 없음(파생·부문·시세 행) — 모델값 직접) — = 영업이익(부문 미분리)</t>
      </text>
    </comment>
    <comment ref="G38" authorId="0" shapeId="0">
      <text>
        <t>실측(계정 매핑 없음(파생·부문·시세 행) — 모델값 직접) — = 영업이익(부문 미분리)</t>
      </text>
    </comment>
    <comment ref="H38" authorId="0" shapeId="0">
      <text>
        <t>실측(계정 매핑 없음(파생·부문·시세 행) — 모델값 직접) — = 영업이익(부문 미분리)</t>
      </text>
    </comment>
    <comment ref="I38" authorId="0" shapeId="0">
      <text>
        <t>실측(계정 매핑 없음(파생·부문·시세 행) — 모델값 직접) — = 영업이익(부문 미분리)</t>
      </text>
    </comment>
    <comment ref="J38" authorId="0" shapeId="0">
      <text>
        <t>실측(계정 매핑 없음(파생·부문·시세 행) — 모델값 직접) — = 영업이익(부문 미분리)</t>
      </text>
    </comment>
    <comment ref="L38" authorId="0" shapeId="0">
      <text>
        <t>실측(계정 매핑 없음(파생·부문·시세 행) — 모델값 직접) — = 영업이익(부문 미분리)</t>
      </text>
    </comment>
    <comment ref="M38" authorId="0" shapeId="0">
      <text>
        <t>실측(계정 매핑 없음(파생·부문·시세 행) — 모델값 직접) — = 영업이익(부문 미분리)</t>
      </text>
    </comment>
    <comment ref="N38" authorId="0" shapeId="0">
      <text>
        <t>실측(계정 매핑 없음(파생·부문·시세 행) — 모델값 직접) — = 영업이익(부문 미분리)</t>
      </text>
    </comment>
    <comment ref="O38" authorId="0" shapeId="0">
      <text>
        <t>실측(계정 매핑 없음(파생·부문·시세 행) — 모델값 직접) — = 영업이익(부문 미분리)</t>
      </text>
    </comment>
    <comment ref="Q38" authorId="0" shapeId="0">
      <text>
        <t>실측(계정 매핑 없음(파생·부문·시세 행) — 모델값 직접) — = 영업이익(부문 미분리)</t>
      </text>
    </comment>
    <comment ref="R38" authorId="0" shapeId="0">
      <text>
        <t>실측(계정 매핑 없음(파생·부문·시세 행) — 모델값 직접) — = 영업이익(부문 미분리)</t>
      </text>
    </comment>
    <comment ref="S38" authorId="0" shapeId="0">
      <text>
        <t>실측(계정 매핑 없음(파생·부문·시세 행) — 모델값 직접) — = 영업이익(부문 미분리)</t>
      </text>
    </comment>
    <comment ref="T38" authorId="0" shapeId="0">
      <text>
        <t>실측(계정 매핑 없음(파생·부문·시세 행) — 모델값 직접) — = 영업이익(부문 미분리)</t>
      </text>
    </comment>
    <comment ref="V38" authorId="0" shapeId="0">
      <text>
        <t>실측(계정 매핑 없음(파생·부문·시세 행) — 모델값 직접) — = 영업이익(부문 미분리)</t>
      </text>
    </comment>
    <comment ref="W38" authorId="0" shapeId="0">
      <text>
        <t>실측(계정 매핑 없음(파생·부문·시세 행) — 모델값 직접) — = 영업이익(부문 미분리)</t>
      </text>
    </comment>
    <comment ref="X38" authorId="0" shapeId="0">
      <text>
        <t>실측(계정 매핑 없음(파생·부문·시세 행) — 모델값 직접) — = 영업이익(부문 미분리)</t>
      </text>
    </comment>
    <comment ref="Y38" authorId="0" shapeId="0">
      <text>
        <t>실측(계정 매핑 없음(파생·부문·시세 행) — 모델값 직접) — = 영업이익(부문 미분리)</t>
      </text>
    </comment>
    <comment ref="AA38" authorId="0" shapeId="0">
      <text>
        <t>실측(계정 매핑 없음(파생·부문·시세 행) — 모델값 직접) — = 영업이익(부문 미분리)</t>
      </text>
    </comment>
    <comment ref="AB38" authorId="0" shapeId="0">
      <text>
        <t>실측(계정 매핑 없음(파생·부문·시세 행) — 모델값 직접) — = 영업이익(부문 미분리)</t>
      </text>
    </comment>
    <comment ref="AC38" authorId="0" shapeId="0">
      <text>
        <t>추정: = 매출액 × OPM(부문 미분리)
[identity]</t>
      </text>
    </comment>
    <comment ref="AD38" authorId="0" shapeId="0">
      <text>
        <t>추정: = 매출액 × OPM(부문 미분리)
[identity]</t>
      </text>
    </comment>
    <comment ref="AF38" authorId="0" shapeId="0">
      <text>
        <t>추정: = 매출액 × OPM(부문 미분리)
[identity]</t>
      </text>
    </comment>
    <comment ref="AG38" authorId="0" shapeId="0">
      <text>
        <t>추정: = 매출액 × OPM(부문 미분리)
[identity]</t>
      </text>
    </comment>
    <comment ref="AH38" authorId="0" shapeId="0">
      <text>
        <t>추정: = 매출액 × OPM(부문 미분리)
[identity]</t>
      </text>
    </comment>
    <comment ref="AI38" authorId="0" shapeId="0">
      <text>
        <t>추정: = 매출액 × OPM(부문 미분리)
[identity]</t>
      </text>
    </comment>
    <comment ref="AK38" authorId="0" shapeId="0">
      <text>
        <t>추정: = 매출액 × OPM(부문 미분리)
[identity]</t>
      </text>
    </comment>
    <comment ref="AL38" authorId="0" shapeId="0">
      <text>
        <t>추정: = 매출액 × OPM(부문 미분리)
[identity]</t>
      </text>
    </comment>
    <comment ref="AM38" authorId="0" shapeId="0">
      <text>
        <t>추정: = 매출액 × OPM(부문 미분리)
[identity]</t>
      </text>
    </comment>
    <comment ref="AN38" authorId="0" shapeId="0">
      <text>
        <t>추정: = 매출액 × OPM(부문 미분리)
[identity]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4"/>
  <sheetViews>
    <sheetView workbookViewId="0">
      <selection activeCell="A1" sqref="A1"/>
    </sheetView>
  </sheetViews>
  <sheetFormatPr baseColWidth="8" defaultRowHeight="15"/>
  <cols>
    <col width="160" customWidth="1" min="1" max="1"/>
  </cols>
  <sheetData>
    <row r="1">
      <c r="A1" s="1" t="inlineStr">
        <is>
          <t>한라IMS(092460) 실적 모델 — ARGUS 한국조선</t>
        </is>
      </c>
    </row>
    <row r="2">
      <c r="A2" t="inlineStr">
        <is>
          <t>기준 분기 2026Q2 · 마지막 실적 2026Q2 · 생성 2026-10-13</t>
        </is>
      </c>
    </row>
    <row r="3">
      <c r="A3" s="1" t="inlineStr">
        <is>
          <t>모든 수치는 모델 산출값(DART 공개 재무제표 + 우리 추정)이다 — 목표주가·투자 추천 아님. 참고용 · 투자조언 아님.</t>
        </is>
      </c>
    </row>
    <row r="4">
      <c r="A4" t="inlineStr"/>
    </row>
    <row r="5">
      <c r="A5" s="1" t="inlineStr">
        <is>
          <t>시트</t>
        </is>
      </c>
    </row>
    <row r="6">
      <c r="A6" t="inlineStr">
        <is>
          <t>변수      가정 시계열. 환율 8행(ECB via frankfurter — L2 fx.json; 추정 분기 = 노란 가정), 추정 드라이버(노란 셀 = 모델값에서 역산한 가정, 바꾸면 재계산; 연녹 셀 = 3절 스칼라 참조 수식), 3절 스칼라 가정(세율·판관비율·지배주주비중·이자율·종가·PER 밴드·COE·외화 순노출·헤지비율)</t>
        </is>
      </c>
    </row>
    <row r="7">
      <c r="A7" t="inlineStr">
        <is>
          <t>BS연결/BS별도  FnGuide 계정명 × 기간 값 덤프(백만원). 행1 분기라벨, 행4 YYYY.MM / YYYY.12A. 이름정의 BS연결H·BS연결(계정명 C열부터)</t>
        </is>
      </c>
    </row>
    <row r="8">
      <c r="A8" t="inlineStr">
        <is>
          <t>subQ      분기 서브모델(억원 = 백만원/100). 확정 행: =IFERROR(VLOOKUP($D행,BS연결,MATCH(E$1,BS연결H,0),0)/100,"")  추정 행: 변수 시트 가정 셀 참조 수식. 외환손익·파생상품손익은 BS 계정 합·차, 기타금융손익은 잔차, OPM·EPS·BPS·PER·PBR 은 파생 수식</t>
        </is>
      </c>
    </row>
    <row r="9">
      <c r="A9" t="inlineStr">
        <is>
          <t>SLS       선표(조선사만, sls json 있을 때): 요약 행(sls 저장값) + 계약별 스케줄(백만$) × (헤지비율 × 헤지환율 + (1−헤지비율) × 건조시점 환율[변수 원/달러(평균)]) → 원화 수식 블록 → 합계 행이 subQ 매출조선에 연결</t>
        </is>
      </c>
    </row>
    <row r="10">
      <c r="A10" t="inlineStr">
        <is>
          <t>시나리오   신규수주 보수/기준/낙관(forecast_panel 패널, 모델에 scenarios 가 있을 때만): 매출액·영업이익 = subQ 기준값 ± (시나리오 신규 − base 신규) × OPM. base 만 subQ 행에 포함, 나머지는 합산 안 함</t>
        </is>
      </c>
    </row>
    <row r="11">
      <c r="A11" t="inlineStr">
        <is>
          <t>분기/연간예상  subQ 를 이름(A열 key)으로 VLOOKUP 한 보고서 표(억원)</t>
        </is>
      </c>
    </row>
    <row r="12">
      <c r="A12" t="inlineStr">
        <is>
          <t>TP        PER 밴드 × 12M fwd EPS, PBR = ROE/COE × BPS — 모델 산출값 구간, 목표주가·추천 아님</t>
        </is>
      </c>
    </row>
    <row r="13">
      <c r="A13" t="inlineStr">
        <is>
          <t>외화      환율 QoQ, 외화 순노출 × Δ기말환율 → 환관련손익 추정</t>
        </is>
      </c>
    </row>
    <row r="14">
      <c r="A14" t="inlineStr"/>
    </row>
    <row r="15">
      <c r="A15" s="1" t="inlineStr">
        <is>
          <t>규약</t>
        </is>
      </c>
    </row>
    <row r="16">
      <c r="A16" t="inlineStr">
        <is>
          <t>· 데이터는 E열부터, 4분기 뒤 연간 1열(라벨은 숫자 연도). 실적/추정 경계 = 굵은 세로선, 추정 열 = 연노랑, 연간 열 = 회색, 가정 입력 = 노란 셀, 스칼라 참조 수식 = 연녹 셀(숫자로 덮어쓰면 그 분기만 바뀜)</t>
        </is>
      </c>
    </row>
    <row r="17">
      <c r="A17" t="inlineStr">
        <is>
          <t>· 숫자 서식 #,##0(억원) · EPS/BPS 원 · 주식수 백만주 · 환율 원 · 선표 백만$/백만원</t>
        </is>
      </c>
    </row>
    <row r="18">
      <c r="A18" t="inlineStr">
        <is>
          <t>· 추정 셀 메모 = 모델 json 의 basis. 변수 시트 노란 셀 메모 = 역산 방법. 출처 없는 숫자는 없다 — 가정이면 가정이라고 적었다</t>
        </is>
      </c>
    </row>
    <row r="19">
      <c r="A19" t="inlineStr">
        <is>
          <t>· BS 시트에 값이 없거나 모델값과 다른(비용 부호 반전 등) 기간의 확정 셀은 모델값 직접 + 메모. fin(L1) 수집 후 재생성</t>
        </is>
      </c>
    </row>
    <row r="20">
      <c r="A20" t="inlineStr"/>
    </row>
    <row r="21">
      <c r="A21" s="1" t="inlineStr">
        <is>
          <t>가정 요약 — 변수 시트 3절 노란 셀을 바꾸면 subQ·분기·연간예상·TP·시나리오가 재계산된다(연결된 항목만)</t>
        </is>
      </c>
    </row>
    <row r="22">
      <c r="A22" t="inlineStr">
        <is>
          <t>· 세율 14.74% — 법인세 = MAX(세전,0) × 세율, 추정 전 분기 연결(Σ법인세/Σmax(세전,0) 역산, 재현 오차 ≤ 0.05억). 모델 가정 14.74% · 근거: 최근 12분기 유효세율 14.7%(5~27% 안 — 그대로)</t>
        </is>
      </c>
    </row>
    <row r="23">
      <c r="A23" t="inlineStr">
        <is>
          <t>· 판관비율 16.04% — 판관비 = 매출액 × 판관비율, 추정 전 분기 연결</t>
        </is>
      </c>
    </row>
    <row r="24">
      <c r="A24" t="inlineStr">
        <is>
          <t>· 지배주주 비중 100.0% — 지배주주순이익 = 당기순이익 × 비중, 추정 전 분기 연결</t>
        </is>
      </c>
    </row>
    <row r="25">
      <c r="A25" t="inlineStr">
        <is>
          <t>· 이자율 자산 3.95% / 부채 2.20% — 이자손익 = (전분기 이자발생자산 × 자산이자율 − 전분기 총차입금 × 부채이자율)/4, 최소자승 역산(모델 assumptions [0.0394, 0.022] 는 4자리 반올림이라 그대로 쓰면 ±1억 어긋남) · 출처: {"asset": "CF 이자수취 ÷ 평균 이자발생자산(2025Q3~2026Q2; 주석 이자수익 0분기 &lt; 4)", "debt": "CF 이자지급 ÷ 평균 총차입금(2026Q1~2026Q2; 주석 이자비용 0분기 &lt; 4)"}</t>
        </is>
      </c>
    </row>
    <row r="26">
      <c r="A26" t="inlineStr">
        <is>
          <t>· 환율 — 변수 1절 8행. 실적 분기 = ECB 분기 평균/기말(fx.json), 추정 분기(노란) = 가정 — 마지막 ECB 관측치를 2028Q4 까지 평평하게 둔다. 선도환율·컨센서스 아님.. 원/달러(평균) → SLS 건조시점 환율 → 매출조선(조선사, 선표 연결 시) ; 원/달러(기말) → 환관련손익 행 없음(외화 순노출 미공시(face) → 0 + 표기)</t>
        </is>
      </c>
    </row>
    <row r="27">
      <c r="A27" t="inlineStr">
        <is>
          <t>· 연결된 가정: 세율, 판관비율, 지배주주비중, 이자율 · 연결 안 된 가정(모델값·분기별 역산 그대로): 없음</t>
        </is>
      </c>
    </row>
    <row r="28">
      <c r="A28" t="inlineStr">
        <is>
          <t>· 밸류에이션 — PER 밴드 8.5/9.3/11.0배(hist_quarterly(분기 평균가 ÷ TTM EPS, 16분기, 25/50/75 백분위)) · COE 9.0% · 12M fwd EPS 가중 0.5(가정). 모델 산출값 구간이며 추천이 아니다</t>
        </is>
      </c>
    </row>
    <row r="29">
      <c r="A29" t="inlineStr"/>
    </row>
    <row r="30">
      <c r="A30" t="inlineStr">
        <is>
          <t>출처: DART 정기보고서(연결/별도 재무제표·주석), FnGuide 계정명 규약, ECB 환율(api.frankfurter.app), 종가 네이버 정규장(aikstockdata 금융위 확정종가 대조·출처표기·비영리), 척당 계약 공시(contracts.json), forecast_panel(신규수주 패널)</t>
        </is>
      </c>
    </row>
    <row r="31">
      <c r="A31" t="inlineStr">
        <is>
          <t>재현: cd argus/kship/tools &amp;&amp; python3 kship_model_xlsx.py --model assets/models/092460.json --verify   (모델 json 부터: kship_model.py --build --all --xlsx · xlsx 58사 일괄: kship_model_xlsx.py --all --verify)</t>
        </is>
      </c>
    </row>
    <row r="32">
      <c r="A32" t="inlineStr">
        <is>
          <t>검증(--verify): 추정 전 분기·실적 수식 셀을 자체 계산기로 재계산해 모델값과 대조(억원 ±0.05), 세율·OPM·환율 forward·이자율·신규수주 셀을 바꿔 종속 셀이 기대만큼 움직이는지 확인. Excel 실개봉은 미확인(LibreOffice/Excel 없음)</t>
        </is>
      </c>
    </row>
    <row r="33">
      <c r="A33" t="inlineStr">
        <is>
          <t>한계: 모델 quality.warnings — 금융손익 실적→추정 단절: 최근 4분기 실적 +4/+13/-3/-3(중위 +1억) → 추정 2026Q3 -0억(차 -1억, -153%) — 추정은 이자손익 + 기타금융 중위, 외환·파생 평가손익 0 가정(환율 효과는 환관련손익 행). 값은 바꾸지 않음 — 지배NI·EPS 해석 시 참고</t>
        </is>
      </c>
    </row>
    <row r="34">
      <c r="A34" t="inlineStr">
        <is>
          <t>백테스트: {"freeze": "2025Q2", "horizon": 4, "revenue_wape_pct": 7.1, "op_wape_pct": 14.2, "n": 4, "note": "단일 회사 4분기 — 통계 아님", "driver_at_freeze": "customer_yard_revenue_weighted", "selection_oos_at_freeze": {"freeze": "2024Q2", "n": 4, "wape_link": null, "wape_trend": 37.3, "adopted": "undetermined", "decision": "undetermined", "note": "현재 채택 조합(suppliers_mentions·시차 4·ma4·창 8)을 동결 데이터로 재적합할 수 없음(짝·고객 모델 부족) → 연동 WAPE 없음, undetermined(유의성 조건만으로 채택)"}, "frozen_inputs": "fin(연결/별도)·고객 조선사 모델·지주 자회사 모델은 2025Q2 까지의 분기만; 선표는 체결일 ≤ 2025Q2 말일 계약(원장 최신 금액·코호트 등급, 환산 없음); 잔고는 yards_cache 2025Q2; 시세·환율 forward·prices·forecast_panel 신규수주 미사용. 고객 가중치(suppliers.json 언급 비중)와 합병 체인링크는 현재 지식; 고객 연동 채택은 동결 모델 안에서도 자기 la−4분기 OOS 규칙(selection_oos_at_freeze)", "detail": [{"q": "2025Q3", "rev_pred": 335.57, "rev_act": 316.68, "op_pred": 51.45, "op_act": 54.41}, {"q": "2025Q4", "rev_pred": 430.75, "rev_act": 395.91, "op_pred": 66.05, "op_act": 55.42}, {"q": "2026Q1", "rev_pred": 368.08, "rev_act": 393.57, "op_pred": 56.44, "op_act": 55.18}, {"q": "2026Q2", "rev_pred": 458.41, "rev_act": 428.36, "op_pred": 70.29, "op_act": 91.94}]}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57"/>
  <sheetViews>
    <sheetView workbookViewId="0">
      <pane xSplit="4" ySplit="4" topLeftCell="E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9" customWidth="1" min="2" max="2"/>
    <col width="26" customWidth="1" min="3" max="3"/>
    <col width="30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</cols>
  <sheetData>
    <row r="1">
      <c r="C1" s="2" t="inlineStr">
        <is>
          <t>이름: 변수H</t>
        </is>
      </c>
      <c r="E1" s="3" t="inlineStr">
        <is>
          <t>4Q21</t>
        </is>
      </c>
      <c r="F1" s="3" t="n">
        <v>2021</v>
      </c>
      <c r="G1" s="3" t="inlineStr">
        <is>
          <t>1Q22</t>
        </is>
      </c>
      <c r="H1" s="3" t="inlineStr">
        <is>
          <t>2Q22</t>
        </is>
      </c>
      <c r="I1" s="3" t="inlineStr">
        <is>
          <t>3Q22</t>
        </is>
      </c>
      <c r="J1" s="3" t="inlineStr">
        <is>
          <t>4Q22</t>
        </is>
      </c>
      <c r="K1" s="3" t="n">
        <v>2022</v>
      </c>
      <c r="L1" s="3" t="inlineStr">
        <is>
          <t>1Q23</t>
        </is>
      </c>
      <c r="M1" s="3" t="inlineStr">
        <is>
          <t>2Q23</t>
        </is>
      </c>
      <c r="N1" s="3" t="inlineStr">
        <is>
          <t>3Q23</t>
        </is>
      </c>
      <c r="O1" s="3" t="inlineStr">
        <is>
          <t>4Q23</t>
        </is>
      </c>
      <c r="P1" s="3" t="n">
        <v>2023</v>
      </c>
      <c r="Q1" s="3" t="inlineStr">
        <is>
          <t>1Q24</t>
        </is>
      </c>
      <c r="R1" s="3" t="inlineStr">
        <is>
          <t>2Q24</t>
        </is>
      </c>
      <c r="S1" s="3" t="inlineStr">
        <is>
          <t>3Q24</t>
        </is>
      </c>
      <c r="T1" s="3" t="inlineStr">
        <is>
          <t>4Q24</t>
        </is>
      </c>
      <c r="U1" s="3" t="n">
        <v>2024</v>
      </c>
      <c r="V1" s="3" t="inlineStr">
        <is>
          <t>1Q25</t>
        </is>
      </c>
      <c r="W1" s="3" t="inlineStr">
        <is>
          <t>2Q25</t>
        </is>
      </c>
      <c r="X1" s="3" t="inlineStr">
        <is>
          <t>3Q25</t>
        </is>
      </c>
      <c r="Y1" s="3" t="inlineStr">
        <is>
          <t>4Q25</t>
        </is>
      </c>
      <c r="Z1" s="3" t="n">
        <v>2025</v>
      </c>
      <c r="AA1" s="3" t="inlineStr">
        <is>
          <t>1Q26</t>
        </is>
      </c>
      <c r="AB1" s="4" t="inlineStr">
        <is>
          <t>2Q26</t>
        </is>
      </c>
      <c r="AC1" s="3" t="inlineStr">
        <is>
          <t>3Q26</t>
        </is>
      </c>
      <c r="AD1" s="3" t="inlineStr">
        <is>
          <t>4Q26</t>
        </is>
      </c>
      <c r="AE1" s="3" t="n">
        <v>2026</v>
      </c>
      <c r="AF1" s="3" t="inlineStr">
        <is>
          <t>1Q27</t>
        </is>
      </c>
      <c r="AG1" s="3" t="inlineStr">
        <is>
          <t>2Q27</t>
        </is>
      </c>
      <c r="AH1" s="3" t="inlineStr">
        <is>
          <t>3Q27</t>
        </is>
      </c>
      <c r="AI1" s="3" t="inlineStr">
        <is>
          <t>4Q27</t>
        </is>
      </c>
      <c r="AJ1" s="3" t="n">
        <v>2027</v>
      </c>
      <c r="AK1" s="3" t="inlineStr">
        <is>
          <t>1Q28</t>
        </is>
      </c>
      <c r="AL1" s="3" t="inlineStr">
        <is>
          <t>2Q28</t>
        </is>
      </c>
      <c r="AM1" s="3" t="inlineStr">
        <is>
          <t>3Q28</t>
        </is>
      </c>
      <c r="AN1" s="3" t="inlineStr">
        <is>
          <t>4Q28</t>
        </is>
      </c>
      <c r="AO1" s="3" t="n">
        <v>2028</v>
      </c>
    </row>
    <row r="2">
      <c r="A2" s="2" t="inlineStr">
        <is>
          <t>가정 시계열 — 노란 셀은 추정 가정(모델값에서 역산), 연녹 셀은 3절 스칼라 참조 수식. 바꾸면 subQ·분기·연간예상·TP·시나리오가 재계산됩니다.</t>
        </is>
      </c>
      <c r="AB2" s="5" t="n"/>
    </row>
    <row r="3">
      <c r="E3" s="2" t="n">
        <v>1</v>
      </c>
      <c r="F3" s="2" t="n">
        <v>2</v>
      </c>
      <c r="G3" s="2" t="n">
        <v>3</v>
      </c>
      <c r="H3" s="2" t="n">
        <v>4</v>
      </c>
      <c r="I3" s="2" t="n">
        <v>5</v>
      </c>
      <c r="J3" s="2" t="n">
        <v>6</v>
      </c>
      <c r="K3" s="2" t="n">
        <v>7</v>
      </c>
      <c r="L3" s="2" t="n">
        <v>8</v>
      </c>
      <c r="M3" s="2" t="n">
        <v>9</v>
      </c>
      <c r="N3" s="2" t="n">
        <v>10</v>
      </c>
      <c r="O3" s="2" t="n">
        <v>11</v>
      </c>
      <c r="P3" s="2" t="n">
        <v>12</v>
      </c>
      <c r="Q3" s="2" t="n">
        <v>13</v>
      </c>
      <c r="R3" s="2" t="n">
        <v>14</v>
      </c>
      <c r="S3" s="2" t="n">
        <v>15</v>
      </c>
      <c r="T3" s="2" t="n">
        <v>16</v>
      </c>
      <c r="U3" s="2" t="n">
        <v>17</v>
      </c>
      <c r="V3" s="2" t="n">
        <v>18</v>
      </c>
      <c r="W3" s="2" t="n">
        <v>19</v>
      </c>
      <c r="X3" s="2" t="n">
        <v>20</v>
      </c>
      <c r="Y3" s="2" t="n">
        <v>21</v>
      </c>
      <c r="Z3" s="2" t="n">
        <v>22</v>
      </c>
      <c r="AA3" s="2" t="n">
        <v>23</v>
      </c>
      <c r="AB3" s="6" t="n">
        <v>24</v>
      </c>
      <c r="AC3" s="2" t="n">
        <v>25</v>
      </c>
      <c r="AD3" s="2" t="n">
        <v>26</v>
      </c>
      <c r="AE3" s="2" t="n">
        <v>27</v>
      </c>
      <c r="AF3" s="2" t="n">
        <v>28</v>
      </c>
      <c r="AG3" s="2" t="n">
        <v>29</v>
      </c>
      <c r="AH3" s="2" t="n">
        <v>30</v>
      </c>
      <c r="AI3" s="2" t="n">
        <v>31</v>
      </c>
      <c r="AJ3" s="2" t="n">
        <v>32</v>
      </c>
      <c r="AK3" s="2" t="n">
        <v>33</v>
      </c>
      <c r="AL3" s="2" t="n">
        <v>34</v>
      </c>
      <c r="AM3" s="2" t="n">
        <v>35</v>
      </c>
      <c r="AN3" s="2" t="n">
        <v>36</v>
      </c>
      <c r="AO3" s="2" t="n">
        <v>37</v>
      </c>
    </row>
    <row r="4">
      <c r="E4" s="7" t="inlineStr">
        <is>
          <t>2021.12</t>
        </is>
      </c>
      <c r="F4" s="7" t="inlineStr">
        <is>
          <t>2021.12A</t>
        </is>
      </c>
      <c r="G4" s="7" t="inlineStr">
        <is>
          <t>2022.03</t>
        </is>
      </c>
      <c r="H4" s="7" t="inlineStr">
        <is>
          <t>2022.06</t>
        </is>
      </c>
      <c r="I4" s="7" t="inlineStr">
        <is>
          <t>2022.09</t>
        </is>
      </c>
      <c r="J4" s="7" t="inlineStr">
        <is>
          <t>2022.12</t>
        </is>
      </c>
      <c r="K4" s="7" t="inlineStr">
        <is>
          <t>2022.12A</t>
        </is>
      </c>
      <c r="L4" s="7" t="inlineStr">
        <is>
          <t>2023.03</t>
        </is>
      </c>
      <c r="M4" s="7" t="inlineStr">
        <is>
          <t>2023.06</t>
        </is>
      </c>
      <c r="N4" s="7" t="inlineStr">
        <is>
          <t>2023.09</t>
        </is>
      </c>
      <c r="O4" s="7" t="inlineStr">
        <is>
          <t>2023.12</t>
        </is>
      </c>
      <c r="P4" s="7" t="inlineStr">
        <is>
          <t>2023.12A</t>
        </is>
      </c>
      <c r="Q4" s="7" t="inlineStr">
        <is>
          <t>2024.03</t>
        </is>
      </c>
      <c r="R4" s="7" t="inlineStr">
        <is>
          <t>2024.06</t>
        </is>
      </c>
      <c r="S4" s="7" t="inlineStr">
        <is>
          <t>2024.09</t>
        </is>
      </c>
      <c r="T4" s="7" t="inlineStr">
        <is>
          <t>2024.12</t>
        </is>
      </c>
      <c r="U4" s="7" t="inlineStr">
        <is>
          <t>2024.12A</t>
        </is>
      </c>
      <c r="V4" s="7" t="inlineStr">
        <is>
          <t>2025.03</t>
        </is>
      </c>
      <c r="W4" s="7" t="inlineStr">
        <is>
          <t>2025.06</t>
        </is>
      </c>
      <c r="X4" s="7" t="inlineStr">
        <is>
          <t>2025.09</t>
        </is>
      </c>
      <c r="Y4" s="7" t="inlineStr">
        <is>
          <t>2025.12</t>
        </is>
      </c>
      <c r="Z4" s="7" t="inlineStr">
        <is>
          <t>2025.12A</t>
        </is>
      </c>
      <c r="AA4" s="7" t="inlineStr">
        <is>
          <t>2026.03</t>
        </is>
      </c>
      <c r="AB4" s="8" t="inlineStr">
        <is>
          <t>2026.06</t>
        </is>
      </c>
      <c r="AC4" s="7" t="inlineStr">
        <is>
          <t>2026.09</t>
        </is>
      </c>
      <c r="AD4" s="7" t="inlineStr">
        <is>
          <t>2026.12</t>
        </is>
      </c>
      <c r="AE4" s="7" t="inlineStr">
        <is>
          <t>2026.12A</t>
        </is>
      </c>
      <c r="AF4" s="7" t="inlineStr">
        <is>
          <t>2027.03</t>
        </is>
      </c>
      <c r="AG4" s="7" t="inlineStr">
        <is>
          <t>2027.06</t>
        </is>
      </c>
      <c r="AH4" s="7" t="inlineStr">
        <is>
          <t>2027.09</t>
        </is>
      </c>
      <c r="AI4" s="7" t="inlineStr">
        <is>
          <t>2027.12</t>
        </is>
      </c>
      <c r="AJ4" s="7" t="inlineStr">
        <is>
          <t>2027.12A</t>
        </is>
      </c>
      <c r="AK4" s="7" t="inlineStr">
        <is>
          <t>2028.03</t>
        </is>
      </c>
      <c r="AL4" s="7" t="inlineStr">
        <is>
          <t>2028.06</t>
        </is>
      </c>
      <c r="AM4" s="7" t="inlineStr">
        <is>
          <t>2028.09</t>
        </is>
      </c>
      <c r="AN4" s="7" t="inlineStr">
        <is>
          <t>2028.12</t>
        </is>
      </c>
      <c r="AO4" s="7" t="inlineStr">
        <is>
          <t>2028.12A</t>
        </is>
      </c>
    </row>
    <row r="5">
      <c r="B5" s="1" t="inlineStr">
        <is>
          <t>1. FX</t>
        </is>
      </c>
      <c r="C5" s="2" t="inlineStr">
        <is>
          <t>이름: 환율</t>
        </is>
      </c>
      <c r="F5" s="9" t="n"/>
      <c r="K5" s="9" t="n"/>
      <c r="P5" s="9" t="n"/>
      <c r="U5" s="9" t="n"/>
      <c r="Z5" s="9" t="n"/>
      <c r="AB5" s="5" t="n"/>
      <c r="AC5" s="10" t="n"/>
      <c r="AD5" s="10" t="n"/>
      <c r="AE5" s="11" t="n"/>
      <c r="AF5" s="10" t="n"/>
      <c r="AG5" s="10" t="n"/>
      <c r="AH5" s="10" t="n"/>
      <c r="AI5" s="10" t="n"/>
      <c r="AJ5" s="11" t="n"/>
      <c r="AK5" s="10" t="n"/>
      <c r="AL5" s="10" t="n"/>
      <c r="AM5" s="10" t="n"/>
      <c r="AN5" s="10" t="n"/>
      <c r="AO5" s="11" t="n"/>
    </row>
    <row r="6">
      <c r="A6" s="12" t="inlineStr">
        <is>
          <t>USDKRW_avg</t>
        </is>
      </c>
      <c r="C6" t="inlineStr">
        <is>
          <t xml:space="preserve"> 원/달러(평균)</t>
        </is>
      </c>
      <c r="E6" s="13" t="n">
        <v>1183.5</v>
      </c>
      <c r="F6" s="14" t="n">
        <v>1145.51</v>
      </c>
      <c r="G6" s="13" t="n">
        <v>1205.78</v>
      </c>
      <c r="H6" s="13" t="n">
        <v>1262.09</v>
      </c>
      <c r="I6" s="13" t="n">
        <v>1341.93</v>
      </c>
      <c r="J6" s="13" t="n">
        <v>1360.12</v>
      </c>
      <c r="K6" s="14" t="n">
        <v>1292.98</v>
      </c>
      <c r="L6" s="13" t="n">
        <v>1276.95</v>
      </c>
      <c r="M6" s="13" t="n">
        <v>1315.69</v>
      </c>
      <c r="N6" s="13" t="n">
        <v>1313.62</v>
      </c>
      <c r="O6" s="13" t="n">
        <v>1322.01</v>
      </c>
      <c r="P6" s="14" t="n">
        <v>1306.85</v>
      </c>
      <c r="Q6" s="13" t="n">
        <v>1330.14</v>
      </c>
      <c r="R6" s="13" t="n">
        <v>1371.28</v>
      </c>
      <c r="S6" s="13" t="n">
        <v>1356.22</v>
      </c>
      <c r="T6" s="13" t="n">
        <v>1396.3</v>
      </c>
      <c r="U6" s="14" t="n">
        <v>1363.53</v>
      </c>
      <c r="V6" s="13" t="n">
        <v>1452.28</v>
      </c>
      <c r="W6" s="13" t="n">
        <v>1398.52</v>
      </c>
      <c r="X6" s="13" t="n">
        <v>1386.95</v>
      </c>
      <c r="Y6" s="13" t="n">
        <v>1449.19</v>
      </c>
      <c r="Z6" s="14" t="n">
        <v>1421.52</v>
      </c>
      <c r="AA6" s="13" t="n">
        <v>1466.12</v>
      </c>
      <c r="AB6" s="15" t="n">
        <v>1501.75</v>
      </c>
      <c r="AC6" s="16" t="n">
        <v>1418.75</v>
      </c>
      <c r="AD6" s="16" t="n">
        <v>1343.63</v>
      </c>
      <c r="AE6" s="17" t="n">
        <v>1456.58</v>
      </c>
      <c r="AF6" s="16" t="n">
        <v>1333.09</v>
      </c>
      <c r="AG6" s="16" t="n">
        <v>1333.09</v>
      </c>
      <c r="AH6" s="16" t="n">
        <v>1333.09</v>
      </c>
      <c r="AI6" s="16" t="n">
        <v>1333.09</v>
      </c>
      <c r="AJ6" s="11" t="n"/>
      <c r="AK6" s="16" t="n">
        <v>1333.09</v>
      </c>
      <c r="AL6" s="16" t="n">
        <v>1333.09</v>
      </c>
      <c r="AM6" s="16" t="n">
        <v>1333.09</v>
      </c>
      <c r="AN6" s="16" t="n">
        <v>1333.09</v>
      </c>
      <c r="AO6" s="11" t="n"/>
    </row>
    <row r="7">
      <c r="A7" s="12" t="inlineStr">
        <is>
          <t>USDKRW_end</t>
        </is>
      </c>
      <c r="C7" t="inlineStr">
        <is>
          <t xml:space="preserve"> 원/달러(기말)</t>
        </is>
      </c>
      <c r="E7" s="13" t="n">
        <v>1188.75</v>
      </c>
      <c r="F7" s="14" t="n">
        <v>1188.75</v>
      </c>
      <c r="G7" s="13" t="n">
        <v>1213.74</v>
      </c>
      <c r="H7" s="13" t="n">
        <v>1301.24</v>
      </c>
      <c r="I7" s="13" t="n">
        <v>1436.9</v>
      </c>
      <c r="J7" s="13" t="n">
        <v>1260.16</v>
      </c>
      <c r="K7" s="14" t="n">
        <v>1260.16</v>
      </c>
      <c r="L7" s="13" t="n">
        <v>1305.99</v>
      </c>
      <c r="M7" s="13" t="n">
        <v>1321.44</v>
      </c>
      <c r="N7" s="13" t="n">
        <v>1345.35</v>
      </c>
      <c r="O7" s="13" t="n">
        <v>1297.43</v>
      </c>
      <c r="P7" s="14" t="n">
        <v>1297.43</v>
      </c>
      <c r="Q7" s="13" t="n">
        <v>1349.25</v>
      </c>
      <c r="R7" s="13" t="n">
        <v>1377.73</v>
      </c>
      <c r="S7" s="13" t="n">
        <v>1312.17</v>
      </c>
      <c r="T7" s="13" t="n">
        <v>1474.78</v>
      </c>
      <c r="U7" s="14" t="n">
        <v>1474.78</v>
      </c>
      <c r="V7" s="13" t="n">
        <v>1474.54</v>
      </c>
      <c r="W7" s="13" t="n">
        <v>1355.13</v>
      </c>
      <c r="X7" s="13" t="n">
        <v>1403.67</v>
      </c>
      <c r="Y7" s="13" t="n">
        <v>1444.2</v>
      </c>
      <c r="Z7" s="14" t="n">
        <v>1444.2</v>
      </c>
      <c r="AA7" s="13" t="n">
        <v>1524.8</v>
      </c>
      <c r="AB7" s="15" t="n">
        <v>1550.89</v>
      </c>
      <c r="AC7" s="16" t="n">
        <v>1355.4</v>
      </c>
      <c r="AD7" s="16" t="n">
        <v>1333.09</v>
      </c>
      <c r="AE7" s="17" t="n">
        <v>1333.09</v>
      </c>
      <c r="AF7" s="16" t="n">
        <v>1333.09</v>
      </c>
      <c r="AG7" s="16" t="n">
        <v>1333.09</v>
      </c>
      <c r="AH7" s="16" t="n">
        <v>1333.09</v>
      </c>
      <c r="AI7" s="16" t="n">
        <v>1333.09</v>
      </c>
      <c r="AJ7" s="11" t="n"/>
      <c r="AK7" s="16" t="n">
        <v>1333.09</v>
      </c>
      <c r="AL7" s="16" t="n">
        <v>1333.09</v>
      </c>
      <c r="AM7" s="16" t="n">
        <v>1333.09</v>
      </c>
      <c r="AN7" s="16" t="n">
        <v>1333.09</v>
      </c>
      <c r="AO7" s="11" t="n"/>
    </row>
    <row r="8">
      <c r="A8" s="12" t="inlineStr">
        <is>
          <t>JPY100KRW_avg</t>
        </is>
      </c>
      <c r="C8" t="inlineStr">
        <is>
          <t xml:space="preserve"> 원/100Y(평균)</t>
        </is>
      </c>
      <c r="E8" s="13" t="n">
        <v>1041.02</v>
      </c>
      <c r="F8" s="14" t="n">
        <v>1042.74</v>
      </c>
      <c r="G8" s="13" t="n">
        <v>1036.79</v>
      </c>
      <c r="H8" s="13" t="n">
        <v>972.23</v>
      </c>
      <c r="I8" s="13" t="n">
        <v>970.61</v>
      </c>
      <c r="J8" s="13" t="n">
        <v>961.03</v>
      </c>
      <c r="K8" s="14" t="n">
        <v>985.1</v>
      </c>
      <c r="L8" s="13" t="n">
        <v>964.89</v>
      </c>
      <c r="M8" s="13" t="n">
        <v>957.36</v>
      </c>
      <c r="N8" s="13" t="n">
        <v>909</v>
      </c>
      <c r="O8" s="13" t="n">
        <v>893.22</v>
      </c>
      <c r="P8" s="14" t="n">
        <v>931.11</v>
      </c>
      <c r="Q8" s="13" t="n">
        <v>896.29</v>
      </c>
      <c r="R8" s="13" t="n">
        <v>880.14</v>
      </c>
      <c r="S8" s="13" t="n">
        <v>909.35</v>
      </c>
      <c r="T8" s="13" t="n">
        <v>917.25</v>
      </c>
      <c r="U8" s="14" t="n">
        <v>900.92</v>
      </c>
      <c r="V8" s="13" t="n">
        <v>952.59</v>
      </c>
      <c r="W8" s="13" t="n">
        <v>967.92</v>
      </c>
      <c r="X8" s="13" t="n">
        <v>940.3200000000001</v>
      </c>
      <c r="Y8" s="13" t="n">
        <v>940.77</v>
      </c>
      <c r="Z8" s="14" t="n">
        <v>950.17</v>
      </c>
      <c r="AA8" s="13" t="n">
        <v>934.39</v>
      </c>
      <c r="AB8" s="15" t="n">
        <v>942.16</v>
      </c>
      <c r="AC8" s="16" t="n">
        <v>890.41</v>
      </c>
      <c r="AD8" s="16" t="n">
        <v>849.51</v>
      </c>
      <c r="AE8" s="17" t="n">
        <v>918.8099999999999</v>
      </c>
      <c r="AF8" s="16" t="n">
        <v>840.54</v>
      </c>
      <c r="AG8" s="16" t="n">
        <v>840.54</v>
      </c>
      <c r="AH8" s="16" t="n">
        <v>840.54</v>
      </c>
      <c r="AI8" s="16" t="n">
        <v>840.54</v>
      </c>
      <c r="AJ8" s="11" t="n"/>
      <c r="AK8" s="16" t="n">
        <v>840.54</v>
      </c>
      <c r="AL8" s="16" t="n">
        <v>840.54</v>
      </c>
      <c r="AM8" s="16" t="n">
        <v>840.54</v>
      </c>
      <c r="AN8" s="16" t="n">
        <v>840.54</v>
      </c>
      <c r="AO8" s="11" t="n"/>
    </row>
    <row r="9">
      <c r="A9" s="12" t="inlineStr">
        <is>
          <t>JPY100KRW_end</t>
        </is>
      </c>
      <c r="C9" t="inlineStr">
        <is>
          <t xml:space="preserve"> 원/100Y(기말)</t>
        </is>
      </c>
      <c r="E9" s="13" t="n">
        <v>1032.62</v>
      </c>
      <c r="F9" s="14" t="n">
        <v>1032.62</v>
      </c>
      <c r="G9" s="13" t="n">
        <v>996.83</v>
      </c>
      <c r="H9" s="13" t="n">
        <v>954.9</v>
      </c>
      <c r="I9" s="13" t="n">
        <v>993.29</v>
      </c>
      <c r="J9" s="13" t="n">
        <v>955.54</v>
      </c>
      <c r="K9" s="14" t="n">
        <v>955.54</v>
      </c>
      <c r="L9" s="13" t="n">
        <v>980.62</v>
      </c>
      <c r="M9" s="13" t="n">
        <v>913.67</v>
      </c>
      <c r="N9" s="13" t="n">
        <v>901.47</v>
      </c>
      <c r="O9" s="13" t="n">
        <v>917.04</v>
      </c>
      <c r="P9" s="14" t="n">
        <v>917.04</v>
      </c>
      <c r="Q9" s="13" t="n">
        <v>892.42</v>
      </c>
      <c r="R9" s="13" t="n">
        <v>857.76</v>
      </c>
      <c r="S9" s="13" t="n">
        <v>919.21</v>
      </c>
      <c r="T9" s="13" t="n">
        <v>939.65</v>
      </c>
      <c r="U9" s="14" t="n">
        <v>939.65</v>
      </c>
      <c r="V9" s="13" t="n">
        <v>986.84</v>
      </c>
      <c r="W9" s="13" t="n">
        <v>938.85</v>
      </c>
      <c r="X9" s="13" t="n">
        <v>948.49</v>
      </c>
      <c r="Y9" s="13" t="n">
        <v>921.8099999999999</v>
      </c>
      <c r="Z9" s="14" t="n">
        <v>921.8099999999999</v>
      </c>
      <c r="AA9" s="13" t="n">
        <v>955.99</v>
      </c>
      <c r="AB9" s="15" t="n">
        <v>954.75</v>
      </c>
      <c r="AC9" s="16" t="n">
        <v>863.3099999999999</v>
      </c>
      <c r="AD9" s="16" t="n">
        <v>840.54</v>
      </c>
      <c r="AE9" s="17" t="n">
        <v>840.54</v>
      </c>
      <c r="AF9" s="16" t="n">
        <v>840.54</v>
      </c>
      <c r="AG9" s="16" t="n">
        <v>840.54</v>
      </c>
      <c r="AH9" s="16" t="n">
        <v>840.54</v>
      </c>
      <c r="AI9" s="16" t="n">
        <v>840.54</v>
      </c>
      <c r="AJ9" s="11" t="n"/>
      <c r="AK9" s="16" t="n">
        <v>840.54</v>
      </c>
      <c r="AL9" s="16" t="n">
        <v>840.54</v>
      </c>
      <c r="AM9" s="16" t="n">
        <v>840.54</v>
      </c>
      <c r="AN9" s="16" t="n">
        <v>840.54</v>
      </c>
      <c r="AO9" s="11" t="n"/>
    </row>
    <row r="10">
      <c r="A10" s="12" t="inlineStr">
        <is>
          <t>EURKRW_avg</t>
        </is>
      </c>
      <c r="C10" t="inlineStr">
        <is>
          <t xml:space="preserve"> W/Euro(평균)</t>
        </is>
      </c>
      <c r="E10" s="13" t="n">
        <v>1353.32</v>
      </c>
      <c r="F10" s="14" t="n">
        <v>1354.06</v>
      </c>
      <c r="G10" s="13" t="n">
        <v>1352.29</v>
      </c>
      <c r="H10" s="13" t="n">
        <v>1343.31</v>
      </c>
      <c r="I10" s="13" t="n">
        <v>1350.63</v>
      </c>
      <c r="J10" s="13" t="n">
        <v>1386.07</v>
      </c>
      <c r="K10" s="14" t="n">
        <v>1358.07</v>
      </c>
      <c r="L10" s="13" t="n">
        <v>1369.93</v>
      </c>
      <c r="M10" s="13" t="n">
        <v>1432.41</v>
      </c>
      <c r="N10" s="13" t="n">
        <v>1429.41</v>
      </c>
      <c r="O10" s="13" t="n">
        <v>1420.91</v>
      </c>
      <c r="P10" s="14" t="n">
        <v>1412.88</v>
      </c>
      <c r="Q10" s="13" t="n">
        <v>1444.21</v>
      </c>
      <c r="R10" s="13" t="n">
        <v>1476.42</v>
      </c>
      <c r="S10" s="13" t="n">
        <v>1489.3</v>
      </c>
      <c r="T10" s="13" t="n">
        <v>1490.78</v>
      </c>
      <c r="U10" s="14" t="n">
        <v>1475.4</v>
      </c>
      <c r="V10" s="13" t="n">
        <v>1528.33</v>
      </c>
      <c r="W10" s="13" t="n">
        <v>1585.13</v>
      </c>
      <c r="X10" s="13" t="n">
        <v>1620.04</v>
      </c>
      <c r="Y10" s="13" t="n">
        <v>1686.02</v>
      </c>
      <c r="Z10" s="14" t="n">
        <v>1605.45</v>
      </c>
      <c r="AA10" s="13" t="n">
        <v>1715.47</v>
      </c>
      <c r="AB10" s="15" t="n">
        <v>1746.09</v>
      </c>
      <c r="AC10" s="16" t="n">
        <v>1631.97</v>
      </c>
      <c r="AD10" s="16" t="n">
        <v>1507.34</v>
      </c>
      <c r="AE10" s="17" t="n">
        <v>1688.95</v>
      </c>
      <c r="AF10" s="16" t="n">
        <v>1490.54</v>
      </c>
      <c r="AG10" s="16" t="n">
        <v>1490.54</v>
      </c>
      <c r="AH10" s="16" t="n">
        <v>1490.54</v>
      </c>
      <c r="AI10" s="16" t="n">
        <v>1490.54</v>
      </c>
      <c r="AJ10" s="11" t="n"/>
      <c r="AK10" s="16" t="n">
        <v>1490.54</v>
      </c>
      <c r="AL10" s="16" t="n">
        <v>1490.54</v>
      </c>
      <c r="AM10" s="16" t="n">
        <v>1490.54</v>
      </c>
      <c r="AN10" s="16" t="n">
        <v>1490.54</v>
      </c>
      <c r="AO10" s="11" t="n"/>
    </row>
    <row r="11">
      <c r="A11" s="12" t="inlineStr">
        <is>
          <t>EURKRW_end</t>
        </is>
      </c>
      <c r="C11" t="inlineStr">
        <is>
          <t xml:space="preserve"> W/Euro(기말)</t>
        </is>
      </c>
      <c r="E11" s="13" t="n">
        <v>1346.38</v>
      </c>
      <c r="F11" s="14" t="n">
        <v>1346.38</v>
      </c>
      <c r="G11" s="13" t="n">
        <v>1347.37</v>
      </c>
      <c r="H11" s="13" t="n">
        <v>1351.6</v>
      </c>
      <c r="I11" s="13" t="n">
        <v>1400.62</v>
      </c>
      <c r="J11" s="13" t="n">
        <v>1344.08</v>
      </c>
      <c r="K11" s="14" t="n">
        <v>1344.08</v>
      </c>
      <c r="L11" s="13" t="n">
        <v>1420.26</v>
      </c>
      <c r="M11" s="13" t="n">
        <v>1435.88</v>
      </c>
      <c r="N11" s="13" t="n">
        <v>1425.26</v>
      </c>
      <c r="O11" s="13" t="n">
        <v>1433.66</v>
      </c>
      <c r="P11" s="14" t="n">
        <v>1433.66</v>
      </c>
      <c r="Q11" s="13" t="n">
        <v>1458.68</v>
      </c>
      <c r="R11" s="13" t="n">
        <v>1474.86</v>
      </c>
      <c r="S11" s="13" t="n">
        <v>1469.1</v>
      </c>
      <c r="T11" s="13" t="n">
        <v>1532.14</v>
      </c>
      <c r="U11" s="14" t="n">
        <v>1532.14</v>
      </c>
      <c r="V11" s="13" t="n">
        <v>1594.72</v>
      </c>
      <c r="W11" s="13" t="n">
        <v>1588.22</v>
      </c>
      <c r="X11" s="13" t="n">
        <v>1648.04</v>
      </c>
      <c r="Y11" s="13" t="n">
        <v>1696.94</v>
      </c>
      <c r="Z11" s="14" t="n">
        <v>1696.94</v>
      </c>
      <c r="AA11" s="13" t="n">
        <v>1753.21</v>
      </c>
      <c r="AB11" s="15" t="n">
        <v>1767.09</v>
      </c>
      <c r="AC11" s="16" t="n">
        <v>1539.06</v>
      </c>
      <c r="AD11" s="16" t="n">
        <v>1490.54</v>
      </c>
      <c r="AE11" s="17" t="n">
        <v>1490.54</v>
      </c>
      <c r="AF11" s="16" t="n">
        <v>1490.54</v>
      </c>
      <c r="AG11" s="16" t="n">
        <v>1490.54</v>
      </c>
      <c r="AH11" s="16" t="n">
        <v>1490.54</v>
      </c>
      <c r="AI11" s="16" t="n">
        <v>1490.54</v>
      </c>
      <c r="AJ11" s="11" t="n"/>
      <c r="AK11" s="16" t="n">
        <v>1490.54</v>
      </c>
      <c r="AL11" s="16" t="n">
        <v>1490.54</v>
      </c>
      <c r="AM11" s="16" t="n">
        <v>1490.54</v>
      </c>
      <c r="AN11" s="16" t="n">
        <v>1490.54</v>
      </c>
      <c r="AO11" s="11" t="n"/>
    </row>
    <row r="12">
      <c r="A12" s="12" t="inlineStr">
        <is>
          <t>CNYKRW_avg</t>
        </is>
      </c>
      <c r="C12" t="inlineStr">
        <is>
          <t xml:space="preserve"> 원/중국원(평균)</t>
        </is>
      </c>
      <c r="E12" s="13" t="n">
        <v>185.14</v>
      </c>
      <c r="F12" s="14" t="n">
        <v>177.65</v>
      </c>
      <c r="G12" s="13" t="n">
        <v>189.93</v>
      </c>
      <c r="H12" s="13" t="n">
        <v>190.76</v>
      </c>
      <c r="I12" s="13" t="n">
        <v>195.79</v>
      </c>
      <c r="J12" s="13" t="n">
        <v>191.09</v>
      </c>
      <c r="K12" s="14" t="n">
        <v>191.93</v>
      </c>
      <c r="L12" s="13" t="n">
        <v>186.59</v>
      </c>
      <c r="M12" s="13" t="n">
        <v>187.45</v>
      </c>
      <c r="N12" s="13" t="n">
        <v>181.28</v>
      </c>
      <c r="O12" s="13" t="n">
        <v>182.86</v>
      </c>
      <c r="P12" s="14" t="n">
        <v>184.52</v>
      </c>
      <c r="Q12" s="13" t="n">
        <v>185.04</v>
      </c>
      <c r="R12" s="13" t="n">
        <v>189.35</v>
      </c>
      <c r="S12" s="13" t="n">
        <v>189.24</v>
      </c>
      <c r="T12" s="13" t="n">
        <v>194.24</v>
      </c>
      <c r="U12" s="14" t="n">
        <v>189.49</v>
      </c>
      <c r="V12" s="13" t="n">
        <v>199.63</v>
      </c>
      <c r="W12" s="13" t="n">
        <v>193.41</v>
      </c>
      <c r="X12" s="13" t="n">
        <v>193.79</v>
      </c>
      <c r="Y12" s="13" t="n">
        <v>204.38</v>
      </c>
      <c r="Z12" s="14" t="n">
        <v>197.8</v>
      </c>
      <c r="AA12" s="13" t="n">
        <v>211.75</v>
      </c>
      <c r="AB12" s="15" t="n">
        <v>220.8</v>
      </c>
      <c r="AC12" s="16" t="n">
        <v>210.43</v>
      </c>
      <c r="AD12" s="16" t="n">
        <v>200.5</v>
      </c>
      <c r="AE12" s="17" t="n">
        <v>213.68</v>
      </c>
      <c r="AF12" s="16" t="n">
        <v>199.18</v>
      </c>
      <c r="AG12" s="16" t="n">
        <v>199.18</v>
      </c>
      <c r="AH12" s="16" t="n">
        <v>199.18</v>
      </c>
      <c r="AI12" s="16" t="n">
        <v>199.18</v>
      </c>
      <c r="AJ12" s="11" t="n"/>
      <c r="AK12" s="16" t="n">
        <v>199.18</v>
      </c>
      <c r="AL12" s="16" t="n">
        <v>199.18</v>
      </c>
      <c r="AM12" s="16" t="n">
        <v>199.18</v>
      </c>
      <c r="AN12" s="16" t="n">
        <v>199.18</v>
      </c>
      <c r="AO12" s="11" t="n"/>
    </row>
    <row r="13">
      <c r="A13" s="12" t="inlineStr">
        <is>
          <t>CNYKRW_end</t>
        </is>
      </c>
      <c r="C13" t="inlineStr">
        <is>
          <t xml:space="preserve"> 원/중국원(기말)</t>
        </is>
      </c>
      <c r="E13" s="13" t="n">
        <v>187.13</v>
      </c>
      <c r="F13" s="14" t="n">
        <v>187.13</v>
      </c>
      <c r="G13" s="13" t="n">
        <v>191.38</v>
      </c>
      <c r="H13" s="13" t="n">
        <v>194.13</v>
      </c>
      <c r="I13" s="13" t="n">
        <v>201.92</v>
      </c>
      <c r="J13" s="13" t="n">
        <v>182.67</v>
      </c>
      <c r="K13" s="14" t="n">
        <v>182.67</v>
      </c>
      <c r="L13" s="13" t="n">
        <v>189.97</v>
      </c>
      <c r="M13" s="13" t="n">
        <v>181.8</v>
      </c>
      <c r="N13" s="13" t="n">
        <v>184.26</v>
      </c>
      <c r="O13" s="13" t="n">
        <v>182.61</v>
      </c>
      <c r="P13" s="14" t="n">
        <v>182.61</v>
      </c>
      <c r="Q13" s="13" t="n">
        <v>186.66</v>
      </c>
      <c r="R13" s="13" t="n">
        <v>189.7</v>
      </c>
      <c r="S13" s="13" t="n">
        <v>187.12</v>
      </c>
      <c r="T13" s="13" t="n">
        <v>202.04</v>
      </c>
      <c r="U13" s="14" t="n">
        <v>202.04</v>
      </c>
      <c r="V13" s="13" t="n">
        <v>203.3</v>
      </c>
      <c r="W13" s="13" t="n">
        <v>189.14</v>
      </c>
      <c r="X13" s="13" t="n">
        <v>197.16</v>
      </c>
      <c r="Y13" s="13" t="n">
        <v>206.28</v>
      </c>
      <c r="Z13" s="14" t="n">
        <v>206.28</v>
      </c>
      <c r="AA13" s="13" t="n">
        <v>220.97</v>
      </c>
      <c r="AB13" s="15" t="n">
        <v>228.56</v>
      </c>
      <c r="AC13" s="16" t="n">
        <v>202.16</v>
      </c>
      <c r="AD13" s="16" t="n">
        <v>199.18</v>
      </c>
      <c r="AE13" s="17" t="n">
        <v>199.18</v>
      </c>
      <c r="AF13" s="16" t="n">
        <v>199.18</v>
      </c>
      <c r="AG13" s="16" t="n">
        <v>199.18</v>
      </c>
      <c r="AH13" s="16" t="n">
        <v>199.18</v>
      </c>
      <c r="AI13" s="16" t="n">
        <v>199.18</v>
      </c>
      <c r="AJ13" s="11" t="n"/>
      <c r="AK13" s="16" t="n">
        <v>199.18</v>
      </c>
      <c r="AL13" s="16" t="n">
        <v>199.18</v>
      </c>
      <c r="AM13" s="16" t="n">
        <v>199.18</v>
      </c>
      <c r="AN13" s="16" t="n">
        <v>199.18</v>
      </c>
      <c r="AO13" s="11" t="n"/>
    </row>
    <row r="14">
      <c r="B14" s="1" t="inlineStr">
        <is>
          <t>1b. 종가</t>
        </is>
      </c>
      <c r="F14" s="9" t="n"/>
      <c r="K14" s="9" t="n"/>
      <c r="P14" s="9" t="n"/>
      <c r="U14" s="9" t="n"/>
      <c r="Z14" s="9" t="n"/>
      <c r="AB14" s="5" t="n"/>
      <c r="AC14" s="10" t="n"/>
      <c r="AD14" s="10" t="n"/>
      <c r="AE14" s="11" t="n"/>
      <c r="AF14" s="10" t="n"/>
      <c r="AG14" s="10" t="n"/>
      <c r="AH14" s="10" t="n"/>
      <c r="AI14" s="10" t="n"/>
      <c r="AJ14" s="11" t="n"/>
      <c r="AK14" s="10" t="n"/>
      <c r="AL14" s="10" t="n"/>
      <c r="AM14" s="10" t="n"/>
      <c r="AN14" s="10" t="n"/>
      <c r="AO14" s="11" t="n"/>
    </row>
    <row r="15">
      <c r="A15" s="12" t="inlineStr">
        <is>
          <t>price_close_end</t>
        </is>
      </c>
      <c r="C15" t="inlineStr">
        <is>
          <t>종가(기말)</t>
        </is>
      </c>
      <c r="E15" s="18" t="n">
        <v>5070</v>
      </c>
      <c r="F15" s="9" t="n"/>
      <c r="G15" s="18" t="n">
        <v>5970</v>
      </c>
      <c r="H15" s="18" t="n">
        <v>5320</v>
      </c>
      <c r="I15" s="18" t="n">
        <v>4710</v>
      </c>
      <c r="J15" s="18" t="n">
        <v>5790</v>
      </c>
      <c r="K15" s="9" t="n"/>
      <c r="L15" s="18" t="n">
        <v>5970</v>
      </c>
      <c r="M15" s="18" t="n">
        <v>6860</v>
      </c>
      <c r="N15" s="18" t="n">
        <v>5910</v>
      </c>
      <c r="O15" s="18" t="n">
        <v>6630</v>
      </c>
      <c r="P15" s="9" t="n"/>
      <c r="Q15" s="18" t="n">
        <v>6070</v>
      </c>
      <c r="R15" s="18" t="n">
        <v>7060</v>
      </c>
      <c r="S15" s="18" t="n">
        <v>6560</v>
      </c>
      <c r="T15" s="18" t="n">
        <v>8150</v>
      </c>
      <c r="U15" s="9" t="n"/>
      <c r="V15" s="18" t="n">
        <v>8270</v>
      </c>
      <c r="W15" s="18" t="n">
        <v>8790</v>
      </c>
      <c r="X15" s="18" t="n">
        <v>14940</v>
      </c>
      <c r="Y15" s="18" t="n">
        <v>17000</v>
      </c>
      <c r="Z15" s="9" t="n"/>
      <c r="AA15" s="18" t="n">
        <v>14320</v>
      </c>
      <c r="AB15" s="19" t="n">
        <v>15160</v>
      </c>
      <c r="AC15" s="20" t="n">
        <v>16830</v>
      </c>
      <c r="AD15" s="20" t="n">
        <v>16330</v>
      </c>
      <c r="AE15" s="11" t="n"/>
      <c r="AF15" s="10" t="n"/>
      <c r="AG15" s="10" t="n"/>
      <c r="AH15" s="10" t="n"/>
      <c r="AI15" s="10" t="n"/>
      <c r="AJ15" s="11" t="n"/>
      <c r="AK15" s="10" t="n"/>
      <c r="AL15" s="10" t="n"/>
      <c r="AM15" s="10" t="n"/>
      <c r="AN15" s="10" t="n"/>
      <c r="AO15" s="11" t="n"/>
    </row>
    <row r="16">
      <c r="A16" s="12" t="inlineStr">
        <is>
          <t>price_high</t>
        </is>
      </c>
      <c r="C16" t="inlineStr">
        <is>
          <t>종가(최고)</t>
        </is>
      </c>
      <c r="E16" s="18" t="n">
        <v>6360</v>
      </c>
      <c r="F16" s="9" t="n"/>
      <c r="G16" s="18" t="n">
        <v>6760</v>
      </c>
      <c r="H16" s="18" t="n">
        <v>6620</v>
      </c>
      <c r="I16" s="18" t="n">
        <v>6230</v>
      </c>
      <c r="J16" s="18" t="n">
        <v>6080</v>
      </c>
      <c r="K16" s="9" t="n"/>
      <c r="L16" s="18" t="n">
        <v>6230</v>
      </c>
      <c r="M16" s="18" t="n">
        <v>7700</v>
      </c>
      <c r="N16" s="18" t="n">
        <v>7550</v>
      </c>
      <c r="O16" s="18" t="n">
        <v>7050</v>
      </c>
      <c r="P16" s="9" t="n"/>
      <c r="Q16" s="18" t="n">
        <v>6610</v>
      </c>
      <c r="R16" s="18" t="n">
        <v>7470</v>
      </c>
      <c r="S16" s="18" t="n">
        <v>8240</v>
      </c>
      <c r="T16" s="18" t="n">
        <v>8700</v>
      </c>
      <c r="U16" s="9" t="n"/>
      <c r="V16" s="18" t="n">
        <v>9920</v>
      </c>
      <c r="W16" s="18" t="n">
        <v>10250</v>
      </c>
      <c r="X16" s="18" t="n">
        <v>19450</v>
      </c>
      <c r="Y16" s="18" t="n">
        <v>22150</v>
      </c>
      <c r="Z16" s="9" t="n"/>
      <c r="AA16" s="18" t="n">
        <v>18800</v>
      </c>
      <c r="AB16" s="19" t="n">
        <v>22000</v>
      </c>
      <c r="AC16" s="20" t="n">
        <v>19040</v>
      </c>
      <c r="AD16" s="20" t="n">
        <v>17180</v>
      </c>
      <c r="AE16" s="11" t="n"/>
      <c r="AF16" s="10" t="n"/>
      <c r="AG16" s="10" t="n"/>
      <c r="AH16" s="10" t="n"/>
      <c r="AI16" s="10" t="n"/>
      <c r="AJ16" s="11" t="n"/>
      <c r="AK16" s="10" t="n"/>
      <c r="AL16" s="10" t="n"/>
      <c r="AM16" s="10" t="n"/>
      <c r="AN16" s="10" t="n"/>
      <c r="AO16" s="11" t="n"/>
    </row>
    <row r="17">
      <c r="A17" s="12" t="inlineStr">
        <is>
          <t>price_low</t>
        </is>
      </c>
      <c r="C17" t="inlineStr">
        <is>
          <t>종가(최저)</t>
        </is>
      </c>
      <c r="E17" s="18" t="n">
        <v>4650</v>
      </c>
      <c r="F17" s="9" t="n"/>
      <c r="G17" s="18" t="n">
        <v>5060</v>
      </c>
      <c r="H17" s="18" t="n">
        <v>4570</v>
      </c>
      <c r="I17" s="18" t="n">
        <v>4520</v>
      </c>
      <c r="J17" s="18" t="n">
        <v>4405</v>
      </c>
      <c r="K17" s="9" t="n"/>
      <c r="L17" s="18" t="n">
        <v>5140</v>
      </c>
      <c r="M17" s="18" t="n">
        <v>5780</v>
      </c>
      <c r="N17" s="18" t="n">
        <v>5610</v>
      </c>
      <c r="O17" s="18" t="n">
        <v>5380</v>
      </c>
      <c r="P17" s="9" t="n"/>
      <c r="Q17" s="18" t="n">
        <v>5560</v>
      </c>
      <c r="R17" s="18" t="n">
        <v>5900</v>
      </c>
      <c r="S17" s="18" t="n">
        <v>6050</v>
      </c>
      <c r="T17" s="18" t="n">
        <v>6240</v>
      </c>
      <c r="U17" s="9" t="n"/>
      <c r="V17" s="18" t="n">
        <v>8000</v>
      </c>
      <c r="W17" s="18" t="n">
        <v>7460</v>
      </c>
      <c r="X17" s="18" t="n">
        <v>8250</v>
      </c>
      <c r="Y17" s="18" t="n">
        <v>14250</v>
      </c>
      <c r="Z17" s="9" t="n"/>
      <c r="AA17" s="18" t="n">
        <v>13100</v>
      </c>
      <c r="AB17" s="19" t="n">
        <v>13390</v>
      </c>
      <c r="AC17" s="20" t="n">
        <v>13770</v>
      </c>
      <c r="AD17" s="20" t="n">
        <v>15720</v>
      </c>
      <c r="AE17" s="11" t="n"/>
      <c r="AF17" s="10" t="n"/>
      <c r="AG17" s="10" t="n"/>
      <c r="AH17" s="10" t="n"/>
      <c r="AI17" s="10" t="n"/>
      <c r="AJ17" s="11" t="n"/>
      <c r="AK17" s="10" t="n"/>
      <c r="AL17" s="10" t="n"/>
      <c r="AM17" s="10" t="n"/>
      <c r="AN17" s="10" t="n"/>
      <c r="AO17" s="11" t="n"/>
    </row>
    <row r="18">
      <c r="A18" s="12" t="inlineStr">
        <is>
          <t>price_avg</t>
        </is>
      </c>
      <c r="C18" t="inlineStr">
        <is>
          <t>종가(평균)</t>
        </is>
      </c>
      <c r="E18" s="18" t="n">
        <v>5392</v>
      </c>
      <c r="F18" s="9" t="n"/>
      <c r="G18" s="18" t="n">
        <v>5884.6</v>
      </c>
      <c r="H18" s="18" t="n">
        <v>5630.2</v>
      </c>
      <c r="I18" s="18" t="n">
        <v>5352.2</v>
      </c>
      <c r="J18" s="18" t="n">
        <v>5309.8</v>
      </c>
      <c r="K18" s="9" t="n"/>
      <c r="L18" s="18" t="n">
        <v>5748.2</v>
      </c>
      <c r="M18" s="18" t="n">
        <v>6702.3</v>
      </c>
      <c r="N18" s="18" t="n">
        <v>6335</v>
      </c>
      <c r="O18" s="18" t="n">
        <v>6419.3</v>
      </c>
      <c r="P18" s="9" t="n"/>
      <c r="Q18" s="18" t="n">
        <v>6003.1</v>
      </c>
      <c r="R18" s="18" t="n">
        <v>6669.8</v>
      </c>
      <c r="S18" s="18" t="n">
        <v>6996.8</v>
      </c>
      <c r="T18" s="18" t="n">
        <v>7096.9</v>
      </c>
      <c r="U18" s="9" t="n"/>
      <c r="V18" s="18" t="n">
        <v>8792.799999999999</v>
      </c>
      <c r="W18" s="18" t="n">
        <v>9183</v>
      </c>
      <c r="X18" s="18" t="n">
        <v>12411.5</v>
      </c>
      <c r="Y18" s="18" t="n">
        <v>16552.7</v>
      </c>
      <c r="Z18" s="9" t="n"/>
      <c r="AA18" s="18" t="n">
        <v>15937.5</v>
      </c>
      <c r="AB18" s="19" t="n">
        <v>18211.8</v>
      </c>
      <c r="AC18" s="20" t="n">
        <v>16620.6</v>
      </c>
      <c r="AD18" s="20" t="n">
        <v>16782.9</v>
      </c>
      <c r="AE18" s="11" t="n"/>
      <c r="AF18" s="10" t="n"/>
      <c r="AG18" s="10" t="n"/>
      <c r="AH18" s="10" t="n"/>
      <c r="AI18" s="10" t="n"/>
      <c r="AJ18" s="11" t="n"/>
      <c r="AK18" s="10" t="n"/>
      <c r="AL18" s="10" t="n"/>
      <c r="AM18" s="10" t="n"/>
      <c r="AN18" s="10" t="n"/>
      <c r="AO18" s="11" t="n"/>
    </row>
    <row r="19">
      <c r="F19" s="9" t="n"/>
      <c r="K19" s="9" t="n"/>
      <c r="P19" s="9" t="n"/>
      <c r="U19" s="9" t="n"/>
      <c r="Z19" s="9" t="n"/>
      <c r="AB19" s="5" t="n"/>
      <c r="AC19" s="10" t="n"/>
      <c r="AD19" s="10" t="n"/>
      <c r="AE19" s="11" t="n"/>
      <c r="AF19" s="10" t="n"/>
      <c r="AG19" s="10" t="n"/>
      <c r="AH19" s="10" t="n"/>
      <c r="AI19" s="10" t="n"/>
      <c r="AJ19" s="11" t="n"/>
      <c r="AK19" s="10" t="n"/>
      <c r="AL19" s="10" t="n"/>
      <c r="AM19" s="10" t="n"/>
      <c r="AN19" s="10" t="n"/>
      <c r="AO19" s="11" t="n"/>
    </row>
    <row r="20">
      <c r="B20" s="1" t="inlineStr">
        <is>
          <t>2. 추정 드라이버</t>
        </is>
      </c>
      <c r="C20" s="2" t="inlineStr">
        <is>
          <t>실적 열 = subQ 실현값(수식), 추정 열 = 가정(노란 = 모델값 역산, 연녹 = 3절 스칼라 참조)</t>
        </is>
      </c>
      <c r="F20" s="9" t="n"/>
      <c r="K20" s="9" t="n"/>
      <c r="P20" s="9" t="n"/>
      <c r="U20" s="9" t="n"/>
      <c r="Z20" s="9" t="n"/>
      <c r="AB20" s="5" t="n"/>
      <c r="AC20" s="10" t="n"/>
      <c r="AD20" s="10" t="n"/>
      <c r="AE20" s="11" t="n"/>
      <c r="AF20" s="10" t="n"/>
      <c r="AG20" s="10" t="n"/>
      <c r="AH20" s="10" t="n"/>
      <c r="AI20" s="10" t="n"/>
      <c r="AJ20" s="11" t="n"/>
      <c r="AK20" s="10" t="n"/>
      <c r="AL20" s="10" t="n"/>
      <c r="AM20" s="10" t="n"/>
      <c r="AN20" s="10" t="n"/>
      <c r="AO20" s="11" t="n"/>
    </row>
    <row r="21">
      <c r="A21" s="12" t="inlineStr">
        <is>
          <t>drv:매출액</t>
        </is>
      </c>
      <c r="B21" s="2" t="inlineStr">
        <is>
          <t>yoy</t>
        </is>
      </c>
      <c r="C21" t="inlineStr">
        <is>
          <t>매출액 YoY</t>
        </is>
      </c>
      <c r="E21" s="21" t="n"/>
      <c r="F21" s="22" t="n"/>
      <c r="G21" s="21" t="n"/>
      <c r="H21" s="21" t="n"/>
      <c r="I21" s="21" t="n"/>
      <c r="J21" s="21">
        <f>IFERROR(subQ!J5/subQ!E5-1,"")</f>
        <v/>
      </c>
      <c r="K21" s="22" t="n"/>
      <c r="L21" s="21">
        <f>IFERROR(subQ!L5/subQ!G5-1,"")</f>
        <v/>
      </c>
      <c r="M21" s="21">
        <f>IFERROR(subQ!M5/subQ!H5-1,"")</f>
        <v/>
      </c>
      <c r="N21" s="21">
        <f>IFERROR(subQ!N5/subQ!I5-1,"")</f>
        <v/>
      </c>
      <c r="O21" s="21">
        <f>IFERROR(subQ!O5/subQ!J5-1,"")</f>
        <v/>
      </c>
      <c r="P21" s="22" t="n"/>
      <c r="Q21" s="21">
        <f>IFERROR(subQ!Q5/subQ!L5-1,"")</f>
        <v/>
      </c>
      <c r="R21" s="21">
        <f>IFERROR(subQ!R5/subQ!M5-1,"")</f>
        <v/>
      </c>
      <c r="S21" s="21">
        <f>IFERROR(subQ!S5/subQ!N5-1,"")</f>
        <v/>
      </c>
      <c r="T21" s="21">
        <f>IFERROR(subQ!T5/subQ!O5-1,"")</f>
        <v/>
      </c>
      <c r="U21" s="22" t="n"/>
      <c r="V21" s="21">
        <f>IFERROR(subQ!V5/subQ!Q5-1,"")</f>
        <v/>
      </c>
      <c r="W21" s="21">
        <f>IFERROR(subQ!W5/subQ!R5-1,"")</f>
        <v/>
      </c>
      <c r="X21" s="21">
        <f>IFERROR(subQ!X5/subQ!S5-1,"")</f>
        <v/>
      </c>
      <c r="Y21" s="21">
        <f>IFERROR(subQ!Y5/subQ!T5-1,"")</f>
        <v/>
      </c>
      <c r="Z21" s="22" t="n"/>
      <c r="AA21" s="21">
        <f>IFERROR(subQ!AA5/subQ!V5-1,"")</f>
        <v/>
      </c>
      <c r="AB21" s="23">
        <f>IFERROR(subQ!AB5/subQ!W5-1,"")</f>
        <v/>
      </c>
      <c r="AC21" s="24" t="n">
        <v>0.164372531</v>
      </c>
      <c r="AD21" s="24" t="n">
        <v>0.169544559</v>
      </c>
      <c r="AE21" s="25" t="n"/>
      <c r="AF21" s="24" t="n">
        <v>-0.02341889</v>
      </c>
      <c r="AG21" s="24" t="n">
        <v>0.150825435</v>
      </c>
      <c r="AH21" s="24" t="n">
        <v>0.266889052</v>
      </c>
      <c r="AI21" s="24" t="n">
        <v>0.328718901</v>
      </c>
      <c r="AJ21" s="25" t="n"/>
      <c r="AK21" s="24" t="n">
        <v>0.393885781</v>
      </c>
      <c r="AL21" s="24" t="n">
        <v>0.114976571</v>
      </c>
      <c r="AM21" s="24" t="n">
        <v>0.060452969</v>
      </c>
      <c r="AN21" s="24" t="n">
        <v>0.038342137</v>
      </c>
      <c r="AO21" s="25" t="n"/>
    </row>
    <row r="22">
      <c r="A22" s="12" t="inlineStr">
        <is>
          <t>drv:판관비</t>
        </is>
      </c>
      <c r="B22" s="2" t="inlineStr">
        <is>
          <t>ratio</t>
        </is>
      </c>
      <c r="C22" t="inlineStr">
        <is>
          <t>판관비율(/매출)</t>
        </is>
      </c>
      <c r="E22" s="21">
        <f>IFERROR(subQ!E8/subQ!E5,"")</f>
        <v/>
      </c>
      <c r="F22" s="22">
        <f>IFERROR(subQ!F8/subQ!F5,"")</f>
        <v/>
      </c>
      <c r="G22" s="21">
        <f>IFERROR(subQ!G8/subQ!G5,"")</f>
        <v/>
      </c>
      <c r="H22" s="21">
        <f>IFERROR(subQ!H8/subQ!H5,"")</f>
        <v/>
      </c>
      <c r="I22" s="21">
        <f>IFERROR(subQ!I8/subQ!I5,"")</f>
        <v/>
      </c>
      <c r="J22" s="21">
        <f>IFERROR(subQ!J8/subQ!J5,"")</f>
        <v/>
      </c>
      <c r="K22" s="22">
        <f>IFERROR(subQ!K8/subQ!K5,"")</f>
        <v/>
      </c>
      <c r="L22" s="21">
        <f>IFERROR(subQ!L8/subQ!L5,"")</f>
        <v/>
      </c>
      <c r="M22" s="21">
        <f>IFERROR(subQ!M8/subQ!M5,"")</f>
        <v/>
      </c>
      <c r="N22" s="21">
        <f>IFERROR(subQ!N8/subQ!N5,"")</f>
        <v/>
      </c>
      <c r="O22" s="21">
        <f>IFERROR(subQ!O8/subQ!O5,"")</f>
        <v/>
      </c>
      <c r="P22" s="22">
        <f>IFERROR(subQ!P8/subQ!P5,"")</f>
        <v/>
      </c>
      <c r="Q22" s="21">
        <f>IFERROR(subQ!Q8/subQ!Q5,"")</f>
        <v/>
      </c>
      <c r="R22" s="21">
        <f>IFERROR(subQ!R8/subQ!R5,"")</f>
        <v/>
      </c>
      <c r="S22" s="21">
        <f>IFERROR(subQ!S8/subQ!S5,"")</f>
        <v/>
      </c>
      <c r="T22" s="21">
        <f>IFERROR(subQ!T8/subQ!T5,"")</f>
        <v/>
      </c>
      <c r="U22" s="22">
        <f>IFERROR(subQ!U8/subQ!U5,"")</f>
        <v/>
      </c>
      <c r="V22" s="21">
        <f>IFERROR(subQ!V8/subQ!V5,"")</f>
        <v/>
      </c>
      <c r="W22" s="21">
        <f>IFERROR(subQ!W8/subQ!W5,"")</f>
        <v/>
      </c>
      <c r="X22" s="21">
        <f>IFERROR(subQ!X8/subQ!X5,"")</f>
        <v/>
      </c>
      <c r="Y22" s="21">
        <f>IFERROR(subQ!Y8/subQ!Y5,"")</f>
        <v/>
      </c>
      <c r="Z22" s="22">
        <f>IFERROR(subQ!Z8/subQ!Z5,"")</f>
        <v/>
      </c>
      <c r="AA22" s="21">
        <f>IFERROR(subQ!AA8/subQ!AA5,"")</f>
        <v/>
      </c>
      <c r="AB22" s="23">
        <f>IFERROR(subQ!AB8/subQ!AB5,"")</f>
        <v/>
      </c>
      <c r="AC22" s="26">
        <f>$D$50</f>
        <v/>
      </c>
      <c r="AD22" s="26">
        <f>$D$50</f>
        <v/>
      </c>
      <c r="AE22" s="25">
        <f>IFERROR(subQ!AE8/subQ!AE5,"")</f>
        <v/>
      </c>
      <c r="AF22" s="26">
        <f>$D$50</f>
        <v/>
      </c>
      <c r="AG22" s="26">
        <f>$D$50</f>
        <v/>
      </c>
      <c r="AH22" s="26">
        <f>$D$50</f>
        <v/>
      </c>
      <c r="AI22" s="26">
        <f>$D$50</f>
        <v/>
      </c>
      <c r="AJ22" s="25">
        <f>IFERROR(subQ!AJ8/subQ!AJ5,"")</f>
        <v/>
      </c>
      <c r="AK22" s="26">
        <f>$D$50</f>
        <v/>
      </c>
      <c r="AL22" s="26">
        <f>$D$50</f>
        <v/>
      </c>
      <c r="AM22" s="26">
        <f>$D$50</f>
        <v/>
      </c>
      <c r="AN22" s="26">
        <f>$D$50</f>
        <v/>
      </c>
      <c r="AO22" s="25">
        <f>IFERROR(subQ!AO8/subQ!AO5,"")</f>
        <v/>
      </c>
    </row>
    <row r="23">
      <c r="A23" s="12" t="inlineStr">
        <is>
          <t>drv:영업이익</t>
        </is>
      </c>
      <c r="B23" s="2" t="inlineStr">
        <is>
          <t>ratio</t>
        </is>
      </c>
      <c r="C23" t="inlineStr">
        <is>
          <t>영업이익률(OPM)</t>
        </is>
      </c>
      <c r="E23" s="21">
        <f>IFERROR(subQ!E9/subQ!E5,"")</f>
        <v/>
      </c>
      <c r="F23" s="22">
        <f>IFERROR(subQ!F9/subQ!F5,"")</f>
        <v/>
      </c>
      <c r="G23" s="21">
        <f>IFERROR(subQ!G9/subQ!G5,"")</f>
        <v/>
      </c>
      <c r="H23" s="21">
        <f>IFERROR(subQ!H9/subQ!H5,"")</f>
        <v/>
      </c>
      <c r="I23" s="21">
        <f>IFERROR(subQ!I9/subQ!I5,"")</f>
        <v/>
      </c>
      <c r="J23" s="21">
        <f>IFERROR(subQ!J9/subQ!J5,"")</f>
        <v/>
      </c>
      <c r="K23" s="22">
        <f>IFERROR(subQ!K9/subQ!K5,"")</f>
        <v/>
      </c>
      <c r="L23" s="21">
        <f>IFERROR(subQ!L9/subQ!L5,"")</f>
        <v/>
      </c>
      <c r="M23" s="21">
        <f>IFERROR(subQ!M9/subQ!M5,"")</f>
        <v/>
      </c>
      <c r="N23" s="21">
        <f>IFERROR(subQ!N9/subQ!N5,"")</f>
        <v/>
      </c>
      <c r="O23" s="21">
        <f>IFERROR(subQ!O9/subQ!O5,"")</f>
        <v/>
      </c>
      <c r="P23" s="22">
        <f>IFERROR(subQ!P9/subQ!P5,"")</f>
        <v/>
      </c>
      <c r="Q23" s="21">
        <f>IFERROR(subQ!Q9/subQ!Q5,"")</f>
        <v/>
      </c>
      <c r="R23" s="21">
        <f>IFERROR(subQ!R9/subQ!R5,"")</f>
        <v/>
      </c>
      <c r="S23" s="21">
        <f>IFERROR(subQ!S9/subQ!S5,"")</f>
        <v/>
      </c>
      <c r="T23" s="21">
        <f>IFERROR(subQ!T9/subQ!T5,"")</f>
        <v/>
      </c>
      <c r="U23" s="22">
        <f>IFERROR(subQ!U9/subQ!U5,"")</f>
        <v/>
      </c>
      <c r="V23" s="21">
        <f>IFERROR(subQ!V9/subQ!V5,"")</f>
        <v/>
      </c>
      <c r="W23" s="21">
        <f>IFERROR(subQ!W9/subQ!W5,"")</f>
        <v/>
      </c>
      <c r="X23" s="21">
        <f>IFERROR(subQ!X9/subQ!X5,"")</f>
        <v/>
      </c>
      <c r="Y23" s="21">
        <f>IFERROR(subQ!Y9/subQ!Y5,"")</f>
        <v/>
      </c>
      <c r="Z23" s="22">
        <f>IFERROR(subQ!Z9/subQ!Z5,"")</f>
        <v/>
      </c>
      <c r="AA23" s="21">
        <f>IFERROR(subQ!AA9/subQ!AA5,"")</f>
        <v/>
      </c>
      <c r="AB23" s="23">
        <f>IFERROR(subQ!AB9/subQ!AB5,"")</f>
        <v/>
      </c>
      <c r="AC23" s="24" t="n">
        <v>0.161744366</v>
      </c>
      <c r="AD23" s="24" t="n">
        <v>0.161757084</v>
      </c>
      <c r="AE23" s="25">
        <f>IFERROR(subQ!AE9/subQ!AE5,"")</f>
        <v/>
      </c>
      <c r="AF23" s="24" t="n">
        <v>0.16175361</v>
      </c>
      <c r="AG23" s="24" t="n">
        <v>0.161754265</v>
      </c>
      <c r="AH23" s="24" t="n">
        <v>0.161750225</v>
      </c>
      <c r="AI23" s="24" t="n">
        <v>0.161755384</v>
      </c>
      <c r="AJ23" s="25">
        <f>IFERROR(subQ!AJ9/subQ!AJ5,"")</f>
        <v/>
      </c>
      <c r="AK23" s="24" t="n">
        <v>0.161757569</v>
      </c>
      <c r="AL23" s="24" t="n">
        <v>0.161757482</v>
      </c>
      <c r="AM23" s="24" t="n">
        <v>0.161754613</v>
      </c>
      <c r="AN23" s="24" t="n">
        <v>0.16174629</v>
      </c>
      <c r="AO23" s="25">
        <f>IFERROR(subQ!AO9/subQ!AO5,"")</f>
        <v/>
      </c>
    </row>
    <row r="24">
      <c r="A24" s="12" t="inlineStr">
        <is>
          <t>drv:기타영업외손익</t>
        </is>
      </c>
      <c r="B24" s="2" t="inlineStr">
        <is>
          <t>abs</t>
        </is>
      </c>
      <c r="C24" t="inlineStr">
        <is>
          <t>기타영업외손익 (가정, 억원)</t>
        </is>
      </c>
      <c r="E24" s="27">
        <f>subQ!E13</f>
        <v/>
      </c>
      <c r="F24" s="28">
        <f>subQ!F13</f>
        <v/>
      </c>
      <c r="G24" s="27">
        <f>subQ!G13</f>
        <v/>
      </c>
      <c r="H24" s="27">
        <f>subQ!H13</f>
        <v/>
      </c>
      <c r="I24" s="27">
        <f>subQ!I13</f>
        <v/>
      </c>
      <c r="J24" s="27">
        <f>subQ!J13</f>
        <v/>
      </c>
      <c r="K24" s="28">
        <f>subQ!K13</f>
        <v/>
      </c>
      <c r="L24" s="27">
        <f>subQ!L13</f>
        <v/>
      </c>
      <c r="M24" s="27">
        <f>subQ!M13</f>
        <v/>
      </c>
      <c r="N24" s="27">
        <f>subQ!N13</f>
        <v/>
      </c>
      <c r="O24" s="27">
        <f>subQ!O13</f>
        <v/>
      </c>
      <c r="P24" s="28">
        <f>subQ!P13</f>
        <v/>
      </c>
      <c r="Q24" s="27">
        <f>subQ!Q13</f>
        <v/>
      </c>
      <c r="R24" s="27">
        <f>subQ!R13</f>
        <v/>
      </c>
      <c r="S24" s="27">
        <f>subQ!S13</f>
        <v/>
      </c>
      <c r="T24" s="27">
        <f>subQ!T13</f>
        <v/>
      </c>
      <c r="U24" s="28">
        <f>subQ!U13</f>
        <v/>
      </c>
      <c r="V24" s="27">
        <f>subQ!V13</f>
        <v/>
      </c>
      <c r="W24" s="27">
        <f>subQ!W13</f>
        <v/>
      </c>
      <c r="X24" s="27">
        <f>subQ!X13</f>
        <v/>
      </c>
      <c r="Y24" s="27">
        <f>subQ!Y13</f>
        <v/>
      </c>
      <c r="Z24" s="28">
        <f>subQ!Z13</f>
        <v/>
      </c>
      <c r="AA24" s="27">
        <f>subQ!AA13</f>
        <v/>
      </c>
      <c r="AB24" s="29">
        <f>subQ!AB13</f>
        <v/>
      </c>
      <c r="AC24" s="30" t="n">
        <v>0</v>
      </c>
      <c r="AD24" s="30" t="n">
        <v>0</v>
      </c>
      <c r="AE24" s="31">
        <f>subQ!AE13</f>
        <v/>
      </c>
      <c r="AF24" s="30" t="n">
        <v>0</v>
      </c>
      <c r="AG24" s="30" t="n">
        <v>0</v>
      </c>
      <c r="AH24" s="30" t="n">
        <v>0</v>
      </c>
      <c r="AI24" s="30" t="n">
        <v>0</v>
      </c>
      <c r="AJ24" s="31">
        <f>subQ!AJ13</f>
        <v/>
      </c>
      <c r="AK24" s="30" t="n">
        <v>0</v>
      </c>
      <c r="AL24" s="30" t="n">
        <v>0</v>
      </c>
      <c r="AM24" s="30" t="n">
        <v>0</v>
      </c>
      <c r="AN24" s="30" t="n">
        <v>0</v>
      </c>
      <c r="AO24" s="31">
        <f>subQ!AO13</f>
        <v/>
      </c>
    </row>
    <row r="25">
      <c r="A25" s="12" t="inlineStr">
        <is>
          <t>drv:지분법손익</t>
        </is>
      </c>
      <c r="B25" s="2" t="inlineStr">
        <is>
          <t>abs</t>
        </is>
      </c>
      <c r="C25" t="inlineStr">
        <is>
          <t>지분법손익 (가정, 억원)</t>
        </is>
      </c>
      <c r="E25" s="27">
        <f>subQ!E14</f>
        <v/>
      </c>
      <c r="F25" s="28">
        <f>subQ!F14</f>
        <v/>
      </c>
      <c r="G25" s="27">
        <f>subQ!G14</f>
        <v/>
      </c>
      <c r="H25" s="27">
        <f>subQ!H14</f>
        <v/>
      </c>
      <c r="I25" s="27">
        <f>subQ!I14</f>
        <v/>
      </c>
      <c r="J25" s="27">
        <f>subQ!J14</f>
        <v/>
      </c>
      <c r="K25" s="28">
        <f>subQ!K14</f>
        <v/>
      </c>
      <c r="L25" s="27">
        <f>subQ!L14</f>
        <v/>
      </c>
      <c r="M25" s="27">
        <f>subQ!M14</f>
        <v/>
      </c>
      <c r="N25" s="27">
        <f>subQ!N14</f>
        <v/>
      </c>
      <c r="O25" s="27">
        <f>subQ!O14</f>
        <v/>
      </c>
      <c r="P25" s="28">
        <f>subQ!P14</f>
        <v/>
      </c>
      <c r="Q25" s="27">
        <f>subQ!Q14</f>
        <v/>
      </c>
      <c r="R25" s="27">
        <f>subQ!R14</f>
        <v/>
      </c>
      <c r="S25" s="27">
        <f>subQ!S14</f>
        <v/>
      </c>
      <c r="T25" s="27">
        <f>subQ!T14</f>
        <v/>
      </c>
      <c r="U25" s="28">
        <f>subQ!U14</f>
        <v/>
      </c>
      <c r="V25" s="27">
        <f>subQ!V14</f>
        <v/>
      </c>
      <c r="W25" s="27">
        <f>subQ!W14</f>
        <v/>
      </c>
      <c r="X25" s="27">
        <f>subQ!X14</f>
        <v/>
      </c>
      <c r="Y25" s="27">
        <f>subQ!Y14</f>
        <v/>
      </c>
      <c r="Z25" s="28">
        <f>subQ!Z14</f>
        <v/>
      </c>
      <c r="AA25" s="27">
        <f>subQ!AA14</f>
        <v/>
      </c>
      <c r="AB25" s="29">
        <f>subQ!AB14</f>
        <v/>
      </c>
      <c r="AC25" s="30" t="n">
        <v>-0.21</v>
      </c>
      <c r="AD25" s="30" t="n">
        <v>-0.21</v>
      </c>
      <c r="AE25" s="31">
        <f>subQ!AE14</f>
        <v/>
      </c>
      <c r="AF25" s="30" t="n">
        <v>-0.21</v>
      </c>
      <c r="AG25" s="30" t="n">
        <v>-0.21</v>
      </c>
      <c r="AH25" s="30" t="n">
        <v>-0.21</v>
      </c>
      <c r="AI25" s="30" t="n">
        <v>-0.21</v>
      </c>
      <c r="AJ25" s="31">
        <f>subQ!AJ14</f>
        <v/>
      </c>
      <c r="AK25" s="30" t="n">
        <v>-0.21</v>
      </c>
      <c r="AL25" s="30" t="n">
        <v>-0.21</v>
      </c>
      <c r="AM25" s="30" t="n">
        <v>-0.21</v>
      </c>
      <c r="AN25" s="30" t="n">
        <v>-0.21</v>
      </c>
      <c r="AO25" s="31">
        <f>subQ!AO14</f>
        <v/>
      </c>
    </row>
    <row r="26">
      <c r="A26" s="12" t="inlineStr">
        <is>
          <t>drv:법인세비용</t>
        </is>
      </c>
      <c r="B26" s="2" t="inlineStr">
        <is>
          <t>tax</t>
        </is>
      </c>
      <c r="C26" t="inlineStr">
        <is>
          <t>법인세율(/세전) — 법인세 = MAX(세전,0) × 세율</t>
        </is>
      </c>
      <c r="E26" s="21">
        <f>IFERROR(subQ!E16/subQ!E15,"")</f>
        <v/>
      </c>
      <c r="F26" s="22">
        <f>IFERROR(subQ!F16/subQ!F15,"")</f>
        <v/>
      </c>
      <c r="G26" s="21">
        <f>IFERROR(subQ!G16/subQ!G15,"")</f>
        <v/>
      </c>
      <c r="H26" s="21">
        <f>IFERROR(subQ!H16/subQ!H15,"")</f>
        <v/>
      </c>
      <c r="I26" s="21">
        <f>IFERROR(subQ!I16/subQ!I15,"")</f>
        <v/>
      </c>
      <c r="J26" s="21">
        <f>IFERROR(subQ!J16/subQ!J15,"")</f>
        <v/>
      </c>
      <c r="K26" s="22">
        <f>IFERROR(subQ!K16/subQ!K15,"")</f>
        <v/>
      </c>
      <c r="L26" s="21">
        <f>IFERROR(subQ!L16/subQ!L15,"")</f>
        <v/>
      </c>
      <c r="M26" s="21">
        <f>IFERROR(subQ!M16/subQ!M15,"")</f>
        <v/>
      </c>
      <c r="N26" s="21">
        <f>IFERROR(subQ!N16/subQ!N15,"")</f>
        <v/>
      </c>
      <c r="O26" s="21">
        <f>IFERROR(subQ!O16/subQ!O15,"")</f>
        <v/>
      </c>
      <c r="P26" s="22">
        <f>IFERROR(subQ!P16/subQ!P15,"")</f>
        <v/>
      </c>
      <c r="Q26" s="21">
        <f>IFERROR(subQ!Q16/subQ!Q15,"")</f>
        <v/>
      </c>
      <c r="R26" s="21">
        <f>IFERROR(subQ!R16/subQ!R15,"")</f>
        <v/>
      </c>
      <c r="S26" s="21">
        <f>IFERROR(subQ!S16/subQ!S15,"")</f>
        <v/>
      </c>
      <c r="T26" s="21">
        <f>IFERROR(subQ!T16/subQ!T15,"")</f>
        <v/>
      </c>
      <c r="U26" s="22">
        <f>IFERROR(subQ!U16/subQ!U15,"")</f>
        <v/>
      </c>
      <c r="V26" s="21">
        <f>IFERROR(subQ!V16/subQ!V15,"")</f>
        <v/>
      </c>
      <c r="W26" s="21">
        <f>IFERROR(subQ!W16/subQ!W15,"")</f>
        <v/>
      </c>
      <c r="X26" s="21">
        <f>IFERROR(subQ!X16/subQ!X15,"")</f>
        <v/>
      </c>
      <c r="Y26" s="21">
        <f>IFERROR(subQ!Y16/subQ!Y15,"")</f>
        <v/>
      </c>
      <c r="Z26" s="22">
        <f>IFERROR(subQ!Z16/subQ!Z15,"")</f>
        <v/>
      </c>
      <c r="AA26" s="21">
        <f>IFERROR(subQ!AA16/subQ!AA15,"")</f>
        <v/>
      </c>
      <c r="AB26" s="23">
        <f>IFERROR(subQ!AB16/subQ!AB15,"")</f>
        <v/>
      </c>
      <c r="AC26" s="26">
        <f>$D$49</f>
        <v/>
      </c>
      <c r="AD26" s="26">
        <f>$D$49</f>
        <v/>
      </c>
      <c r="AE26" s="25">
        <f>IFERROR(subQ!AE16/subQ!AE15,"")</f>
        <v/>
      </c>
      <c r="AF26" s="26">
        <f>$D$49</f>
        <v/>
      </c>
      <c r="AG26" s="26">
        <f>$D$49</f>
        <v/>
      </c>
      <c r="AH26" s="26">
        <f>$D$49</f>
        <v/>
      </c>
      <c r="AI26" s="26">
        <f>$D$49</f>
        <v/>
      </c>
      <c r="AJ26" s="25">
        <f>IFERROR(subQ!AJ16/subQ!AJ15,"")</f>
        <v/>
      </c>
      <c r="AK26" s="26">
        <f>$D$49</f>
        <v/>
      </c>
      <c r="AL26" s="26">
        <f>$D$49</f>
        <v/>
      </c>
      <c r="AM26" s="26">
        <f>$D$49</f>
        <v/>
      </c>
      <c r="AN26" s="26">
        <f>$D$49</f>
        <v/>
      </c>
      <c r="AO26" s="25">
        <f>IFERROR(subQ!AO16/subQ!AO15,"")</f>
        <v/>
      </c>
    </row>
    <row r="27">
      <c r="A27" s="12" t="inlineStr">
        <is>
          <t>drv:지배주주순이익</t>
        </is>
      </c>
      <c r="B27" s="2" t="inlineStr">
        <is>
          <t>ratio</t>
        </is>
      </c>
      <c r="C27" t="inlineStr">
        <is>
          <t>지배주주 비중(/당기순이익)</t>
        </is>
      </c>
      <c r="E27" s="21">
        <f>IFERROR(subQ!E18/subQ!E17,"")</f>
        <v/>
      </c>
      <c r="F27" s="22">
        <f>IFERROR(subQ!F18/subQ!F17,"")</f>
        <v/>
      </c>
      <c r="G27" s="21">
        <f>IFERROR(subQ!G18/subQ!G17,"")</f>
        <v/>
      </c>
      <c r="H27" s="21">
        <f>IFERROR(subQ!H18/subQ!H17,"")</f>
        <v/>
      </c>
      <c r="I27" s="21">
        <f>IFERROR(subQ!I18/subQ!I17,"")</f>
        <v/>
      </c>
      <c r="J27" s="21">
        <f>IFERROR(subQ!J18/subQ!J17,"")</f>
        <v/>
      </c>
      <c r="K27" s="22">
        <f>IFERROR(subQ!K18/subQ!K17,"")</f>
        <v/>
      </c>
      <c r="L27" s="21">
        <f>IFERROR(subQ!L18/subQ!L17,"")</f>
        <v/>
      </c>
      <c r="M27" s="21">
        <f>IFERROR(subQ!M18/subQ!M17,"")</f>
        <v/>
      </c>
      <c r="N27" s="21">
        <f>IFERROR(subQ!N18/subQ!N17,"")</f>
        <v/>
      </c>
      <c r="O27" s="21">
        <f>IFERROR(subQ!O18/subQ!O17,"")</f>
        <v/>
      </c>
      <c r="P27" s="22">
        <f>IFERROR(subQ!P18/subQ!P17,"")</f>
        <v/>
      </c>
      <c r="Q27" s="21">
        <f>IFERROR(subQ!Q18/subQ!Q17,"")</f>
        <v/>
      </c>
      <c r="R27" s="21">
        <f>IFERROR(subQ!R18/subQ!R17,"")</f>
        <v/>
      </c>
      <c r="S27" s="21">
        <f>IFERROR(subQ!S18/subQ!S17,"")</f>
        <v/>
      </c>
      <c r="T27" s="21">
        <f>IFERROR(subQ!T18/subQ!T17,"")</f>
        <v/>
      </c>
      <c r="U27" s="22">
        <f>IFERROR(subQ!U18/subQ!U17,"")</f>
        <v/>
      </c>
      <c r="V27" s="21">
        <f>IFERROR(subQ!V18/subQ!V17,"")</f>
        <v/>
      </c>
      <c r="W27" s="21">
        <f>IFERROR(subQ!W18/subQ!W17,"")</f>
        <v/>
      </c>
      <c r="X27" s="21">
        <f>IFERROR(subQ!X18/subQ!X17,"")</f>
        <v/>
      </c>
      <c r="Y27" s="21">
        <f>IFERROR(subQ!Y18/subQ!Y17,"")</f>
        <v/>
      </c>
      <c r="Z27" s="22">
        <f>IFERROR(subQ!Z18/subQ!Z17,"")</f>
        <v/>
      </c>
      <c r="AA27" s="21">
        <f>IFERROR(subQ!AA18/subQ!AA17,"")</f>
        <v/>
      </c>
      <c r="AB27" s="23">
        <f>IFERROR(subQ!AB18/subQ!AB17,"")</f>
        <v/>
      </c>
      <c r="AC27" s="26">
        <f>$D$51</f>
        <v/>
      </c>
      <c r="AD27" s="26">
        <f>$D$51</f>
        <v/>
      </c>
      <c r="AE27" s="25">
        <f>IFERROR(subQ!AE18/subQ!AE17,"")</f>
        <v/>
      </c>
      <c r="AF27" s="26">
        <f>$D$51</f>
        <v/>
      </c>
      <c r="AG27" s="26">
        <f>$D$51</f>
        <v/>
      </c>
      <c r="AH27" s="26">
        <f>$D$51</f>
        <v/>
      </c>
      <c r="AI27" s="26">
        <f>$D$51</f>
        <v/>
      </c>
      <c r="AJ27" s="25">
        <f>IFERROR(subQ!AJ18/subQ!AJ17,"")</f>
        <v/>
      </c>
      <c r="AK27" s="26">
        <f>$D$51</f>
        <v/>
      </c>
      <c r="AL27" s="26">
        <f>$D$51</f>
        <v/>
      </c>
      <c r="AM27" s="26">
        <f>$D$51</f>
        <v/>
      </c>
      <c r="AN27" s="26">
        <f>$D$51</f>
        <v/>
      </c>
      <c r="AO27" s="25">
        <f>IFERROR(subQ!AO18/subQ!AO17,"")</f>
        <v/>
      </c>
    </row>
    <row r="28">
      <c r="A28" s="12" t="inlineStr">
        <is>
          <t>drv:감가상각비</t>
        </is>
      </c>
      <c r="B28" s="2" t="inlineStr">
        <is>
          <t>abs</t>
        </is>
      </c>
      <c r="C28" t="inlineStr">
        <is>
          <t>감가상각비 (가정, 억원)</t>
        </is>
      </c>
      <c r="E28" s="27">
        <f>subQ!E19</f>
        <v/>
      </c>
      <c r="F28" s="28">
        <f>subQ!F19</f>
        <v/>
      </c>
      <c r="G28" s="27">
        <f>subQ!G19</f>
        <v/>
      </c>
      <c r="H28" s="27">
        <f>subQ!H19</f>
        <v/>
      </c>
      <c r="I28" s="27">
        <f>subQ!I19</f>
        <v/>
      </c>
      <c r="J28" s="27">
        <f>subQ!J19</f>
        <v/>
      </c>
      <c r="K28" s="28">
        <f>subQ!K19</f>
        <v/>
      </c>
      <c r="L28" s="27">
        <f>subQ!L19</f>
        <v/>
      </c>
      <c r="M28" s="27">
        <f>subQ!M19</f>
        <v/>
      </c>
      <c r="N28" s="27">
        <f>subQ!N19</f>
        <v/>
      </c>
      <c r="O28" s="27">
        <f>subQ!O19</f>
        <v/>
      </c>
      <c r="P28" s="28">
        <f>subQ!P19</f>
        <v/>
      </c>
      <c r="Q28" s="27">
        <f>subQ!Q19</f>
        <v/>
      </c>
      <c r="R28" s="27">
        <f>subQ!R19</f>
        <v/>
      </c>
      <c r="S28" s="27">
        <f>subQ!S19</f>
        <v/>
      </c>
      <c r="T28" s="27">
        <f>subQ!T19</f>
        <v/>
      </c>
      <c r="U28" s="28">
        <f>subQ!U19</f>
        <v/>
      </c>
      <c r="V28" s="27">
        <f>subQ!V19</f>
        <v/>
      </c>
      <c r="W28" s="27">
        <f>subQ!W19</f>
        <v/>
      </c>
      <c r="X28" s="27">
        <f>subQ!X19</f>
        <v/>
      </c>
      <c r="Y28" s="27">
        <f>subQ!Y19</f>
        <v/>
      </c>
      <c r="Z28" s="28">
        <f>subQ!Z19</f>
        <v/>
      </c>
      <c r="AA28" s="27">
        <f>subQ!AA19</f>
        <v/>
      </c>
      <c r="AB28" s="29">
        <f>subQ!AB19</f>
        <v/>
      </c>
      <c r="AC28" s="30" t="n">
        <v>4.84</v>
      </c>
      <c r="AD28" s="30" t="n">
        <v>4.84</v>
      </c>
      <c r="AE28" s="31">
        <f>subQ!AE19</f>
        <v/>
      </c>
      <c r="AF28" s="30" t="n">
        <v>4.84</v>
      </c>
      <c r="AG28" s="30" t="n">
        <v>4.84</v>
      </c>
      <c r="AH28" s="30" t="n">
        <v>4.84</v>
      </c>
      <c r="AI28" s="30" t="n">
        <v>4.84</v>
      </c>
      <c r="AJ28" s="31">
        <f>subQ!AJ19</f>
        <v/>
      </c>
      <c r="AK28" s="30" t="n">
        <v>4.84</v>
      </c>
      <c r="AL28" s="30" t="n">
        <v>4.84</v>
      </c>
      <c r="AM28" s="30" t="n">
        <v>4.84</v>
      </c>
      <c r="AN28" s="30" t="n">
        <v>4.84</v>
      </c>
      <c r="AO28" s="31">
        <f>subQ!AO19</f>
        <v/>
      </c>
    </row>
    <row r="29">
      <c r="A29" s="12" t="inlineStr">
        <is>
          <t>drv:부채총계</t>
        </is>
      </c>
      <c r="B29" s="2" t="inlineStr">
        <is>
          <t>qoq</t>
        </is>
      </c>
      <c r="C29" t="inlineStr">
        <is>
          <t>부채총계 QoQ</t>
        </is>
      </c>
      <c r="E29" s="21" t="n"/>
      <c r="F29" s="22" t="n"/>
      <c r="G29" s="21">
        <f>IFERROR(subQ!G22/subQ!E22-1,"")</f>
        <v/>
      </c>
      <c r="H29" s="21">
        <f>IFERROR(subQ!H22/subQ!G22-1,"")</f>
        <v/>
      </c>
      <c r="I29" s="21">
        <f>IFERROR(subQ!I22/subQ!H22-1,"")</f>
        <v/>
      </c>
      <c r="J29" s="21">
        <f>IFERROR(subQ!J22/subQ!I22-1,"")</f>
        <v/>
      </c>
      <c r="K29" s="22" t="n"/>
      <c r="L29" s="21">
        <f>IFERROR(subQ!L22/subQ!J22-1,"")</f>
        <v/>
      </c>
      <c r="M29" s="21">
        <f>IFERROR(subQ!M22/subQ!L22-1,"")</f>
        <v/>
      </c>
      <c r="N29" s="21">
        <f>IFERROR(subQ!N22/subQ!M22-1,"")</f>
        <v/>
      </c>
      <c r="O29" s="21">
        <f>IFERROR(subQ!O22/subQ!N22-1,"")</f>
        <v/>
      </c>
      <c r="P29" s="22" t="n"/>
      <c r="Q29" s="21">
        <f>IFERROR(subQ!Q22/subQ!O22-1,"")</f>
        <v/>
      </c>
      <c r="R29" s="21">
        <f>IFERROR(subQ!R22/subQ!Q22-1,"")</f>
        <v/>
      </c>
      <c r="S29" s="21">
        <f>IFERROR(subQ!S22/subQ!R22-1,"")</f>
        <v/>
      </c>
      <c r="T29" s="21">
        <f>IFERROR(subQ!T22/subQ!S22-1,"")</f>
        <v/>
      </c>
      <c r="U29" s="22" t="n"/>
      <c r="V29" s="21">
        <f>IFERROR(subQ!V22/subQ!T22-1,"")</f>
        <v/>
      </c>
      <c r="W29" s="21">
        <f>IFERROR(subQ!W22/subQ!V22-1,"")</f>
        <v/>
      </c>
      <c r="X29" s="21">
        <f>IFERROR(subQ!X22/subQ!W22-1,"")</f>
        <v/>
      </c>
      <c r="Y29" s="21">
        <f>IFERROR(subQ!Y22/subQ!X22-1,"")</f>
        <v/>
      </c>
      <c r="Z29" s="22" t="n"/>
      <c r="AA29" s="21">
        <f>IFERROR(subQ!AA22/subQ!Y22-1,"")</f>
        <v/>
      </c>
      <c r="AB29" s="23">
        <f>IFERROR(subQ!AB22/subQ!AA22-1,"")</f>
        <v/>
      </c>
      <c r="AC29" s="24" t="n">
        <v>-3.485e-06</v>
      </c>
      <c r="AD29" s="24" t="n">
        <v>0</v>
      </c>
      <c r="AE29" s="25" t="n"/>
      <c r="AF29" s="24" t="n">
        <v>0</v>
      </c>
      <c r="AG29" s="24" t="n">
        <v>0</v>
      </c>
      <c r="AH29" s="24" t="n">
        <v>0</v>
      </c>
      <c r="AI29" s="24" t="n">
        <v>0</v>
      </c>
      <c r="AJ29" s="25" t="n"/>
      <c r="AK29" s="24" t="n">
        <v>0</v>
      </c>
      <c r="AL29" s="24" t="n">
        <v>0</v>
      </c>
      <c r="AM29" s="24" t="n">
        <v>0</v>
      </c>
      <c r="AN29" s="24" t="n">
        <v>0</v>
      </c>
      <c r="AO29" s="25" t="n"/>
    </row>
    <row r="30">
      <c r="A30" s="12" t="inlineStr">
        <is>
          <t>drv:자본총계</t>
        </is>
      </c>
      <c r="B30" s="2" t="inlineStr">
        <is>
          <t>roll</t>
        </is>
      </c>
      <c r="C30" t="inlineStr">
        <is>
          <t>자본총계 기타변동(배당 등, 억원)</t>
        </is>
      </c>
      <c r="E30" s="27" t="n"/>
      <c r="F30" s="28" t="n"/>
      <c r="G30" s="27">
        <f>IFERROR(subQ!E23+subQ!G17-subQ!G23,"")</f>
        <v/>
      </c>
      <c r="H30" s="27">
        <f>IFERROR(subQ!G23+subQ!H17-subQ!H23,"")</f>
        <v/>
      </c>
      <c r="I30" s="27">
        <f>IFERROR(subQ!H23+subQ!I17-subQ!I23,"")</f>
        <v/>
      </c>
      <c r="J30" s="27">
        <f>IFERROR(subQ!I23+subQ!J17-subQ!J23,"")</f>
        <v/>
      </c>
      <c r="K30" s="28" t="n"/>
      <c r="L30" s="27">
        <f>IFERROR(subQ!J23+subQ!L17-subQ!L23,"")</f>
        <v/>
      </c>
      <c r="M30" s="27">
        <f>IFERROR(subQ!L23+subQ!M17-subQ!M23,"")</f>
        <v/>
      </c>
      <c r="N30" s="27">
        <f>IFERROR(subQ!M23+subQ!N17-subQ!N23,"")</f>
        <v/>
      </c>
      <c r="O30" s="27">
        <f>IFERROR(subQ!N23+subQ!O17-subQ!O23,"")</f>
        <v/>
      </c>
      <c r="P30" s="28" t="n"/>
      <c r="Q30" s="27">
        <f>IFERROR(subQ!O23+subQ!Q17-subQ!Q23,"")</f>
        <v/>
      </c>
      <c r="R30" s="27">
        <f>IFERROR(subQ!Q23+subQ!R17-subQ!R23,"")</f>
        <v/>
      </c>
      <c r="S30" s="27">
        <f>IFERROR(subQ!R23+subQ!S17-subQ!S23,"")</f>
        <v/>
      </c>
      <c r="T30" s="27">
        <f>IFERROR(subQ!S23+subQ!T17-subQ!T23,"")</f>
        <v/>
      </c>
      <c r="U30" s="28" t="n"/>
      <c r="V30" s="27">
        <f>IFERROR(subQ!T23+subQ!V17-subQ!V23,"")</f>
        <v/>
      </c>
      <c r="W30" s="27">
        <f>IFERROR(subQ!V23+subQ!W17-subQ!W23,"")</f>
        <v/>
      </c>
      <c r="X30" s="27">
        <f>IFERROR(subQ!W23+subQ!X17-subQ!X23,"")</f>
        <v/>
      </c>
      <c r="Y30" s="27">
        <f>IFERROR(subQ!X23+subQ!Y17-subQ!Y23,"")</f>
        <v/>
      </c>
      <c r="Z30" s="28" t="n"/>
      <c r="AA30" s="27">
        <f>IFERROR(subQ!Y23+subQ!AA17-subQ!AA23,"")</f>
        <v/>
      </c>
      <c r="AB30" s="29">
        <f>IFERROR(subQ!AA23+subQ!AB17-subQ!AB23,"")</f>
        <v/>
      </c>
      <c r="AC30" s="30" t="n">
        <v>-0.002418528</v>
      </c>
      <c r="AD30" s="30" t="n">
        <v>0.000830364</v>
      </c>
      <c r="AE30" s="31" t="n"/>
      <c r="AF30" s="30" t="n">
        <v>-0.002256478</v>
      </c>
      <c r="AG30" s="30" t="n">
        <v>106.076188604</v>
      </c>
      <c r="AH30" s="30" t="n">
        <v>-0.005543283</v>
      </c>
      <c r="AI30" s="30" t="n">
        <v>-0.0008874380000000001</v>
      </c>
      <c r="AJ30" s="31" t="n"/>
      <c r="AK30" s="30" t="n">
        <v>0.003985084</v>
      </c>
      <c r="AL30" s="30" t="n">
        <v>106.080484136</v>
      </c>
      <c r="AM30" s="30" t="n">
        <v>-0.002082228</v>
      </c>
      <c r="AN30" s="30" t="n">
        <v>-0.01695103</v>
      </c>
      <c r="AO30" s="31" t="n"/>
    </row>
    <row r="31">
      <c r="A31" s="12" t="inlineStr">
        <is>
          <t>drv:지배주주지분</t>
        </is>
      </c>
      <c r="B31" s="2" t="inlineStr">
        <is>
          <t>roll</t>
        </is>
      </c>
      <c r="C31" t="inlineStr">
        <is>
          <t>지배주주지분 기타변동(배당 등, 억원)</t>
        </is>
      </c>
      <c r="E31" s="27" t="n"/>
      <c r="F31" s="28" t="n"/>
      <c r="G31" s="27">
        <f>IFERROR(subQ!E24+subQ!G18-subQ!G24,"")</f>
        <v/>
      </c>
      <c r="H31" s="27">
        <f>IFERROR(subQ!G24+subQ!H18-subQ!H24,"")</f>
        <v/>
      </c>
      <c r="I31" s="27">
        <f>IFERROR(subQ!H24+subQ!I18-subQ!I24,"")</f>
        <v/>
      </c>
      <c r="J31" s="27">
        <f>IFERROR(subQ!I24+subQ!J18-subQ!J24,"")</f>
        <v/>
      </c>
      <c r="K31" s="28" t="n"/>
      <c r="L31" s="27">
        <f>IFERROR(subQ!J24+subQ!L18-subQ!L24,"")</f>
        <v/>
      </c>
      <c r="M31" s="27">
        <f>IFERROR(subQ!L24+subQ!M18-subQ!M24,"")</f>
        <v/>
      </c>
      <c r="N31" s="27">
        <f>IFERROR(subQ!M24+subQ!N18-subQ!N24,"")</f>
        <v/>
      </c>
      <c r="O31" s="27">
        <f>IFERROR(subQ!N24+subQ!O18-subQ!O24,"")</f>
        <v/>
      </c>
      <c r="P31" s="28" t="n"/>
      <c r="Q31" s="27">
        <f>IFERROR(subQ!O24+subQ!Q18-subQ!Q24,"")</f>
        <v/>
      </c>
      <c r="R31" s="27">
        <f>IFERROR(subQ!Q24+subQ!R18-subQ!R24,"")</f>
        <v/>
      </c>
      <c r="S31" s="27">
        <f>IFERROR(subQ!R24+subQ!S18-subQ!S24,"")</f>
        <v/>
      </c>
      <c r="T31" s="27">
        <f>IFERROR(subQ!S24+subQ!T18-subQ!T24,"")</f>
        <v/>
      </c>
      <c r="U31" s="28" t="n"/>
      <c r="V31" s="27">
        <f>IFERROR(subQ!T24+subQ!V18-subQ!V24,"")</f>
        <v/>
      </c>
      <c r="W31" s="27">
        <f>IFERROR(subQ!V24+subQ!W18-subQ!W24,"")</f>
        <v/>
      </c>
      <c r="X31" s="27">
        <f>IFERROR(subQ!W24+subQ!X18-subQ!X24,"")</f>
        <v/>
      </c>
      <c r="Y31" s="27">
        <f>IFERROR(subQ!X24+subQ!Y18-subQ!Y24,"")</f>
        <v/>
      </c>
      <c r="Z31" s="28" t="n"/>
      <c r="AA31" s="27">
        <f>IFERROR(subQ!Y24+subQ!AA18-subQ!AA24,"")</f>
        <v/>
      </c>
      <c r="AB31" s="29">
        <f>IFERROR(subQ!AA24+subQ!AB18-subQ!AB24,"")</f>
        <v/>
      </c>
      <c r="AC31" s="30" t="n">
        <v>-0.002418528</v>
      </c>
      <c r="AD31" s="30" t="n">
        <v>0.000830364</v>
      </c>
      <c r="AE31" s="31" t="n"/>
      <c r="AF31" s="30" t="n">
        <v>-0.002256478</v>
      </c>
      <c r="AG31" s="30" t="n">
        <v>106.076188604</v>
      </c>
      <c r="AH31" s="30" t="n">
        <v>-0.005543283</v>
      </c>
      <c r="AI31" s="30" t="n">
        <v>-0.0008874380000000001</v>
      </c>
      <c r="AJ31" s="31" t="n"/>
      <c r="AK31" s="30" t="n">
        <v>0.003985084</v>
      </c>
      <c r="AL31" s="30" t="n">
        <v>106.080484136</v>
      </c>
      <c r="AM31" s="30" t="n">
        <v>-0.002082228</v>
      </c>
      <c r="AN31" s="30" t="n">
        <v>-0.01695103</v>
      </c>
      <c r="AO31" s="31" t="n"/>
    </row>
    <row r="32">
      <c r="A32" s="12" t="inlineStr">
        <is>
          <t>drv:총차입금</t>
        </is>
      </c>
      <c r="B32" s="2" t="inlineStr">
        <is>
          <t>qoq</t>
        </is>
      </c>
      <c r="C32" t="inlineStr">
        <is>
          <t>총차입금 QoQ</t>
        </is>
      </c>
      <c r="E32" s="21" t="n"/>
      <c r="F32" s="22" t="n"/>
      <c r="G32" s="21">
        <f>IFERROR(subQ!G25/subQ!E25-1,"")</f>
        <v/>
      </c>
      <c r="H32" s="21">
        <f>IFERROR(subQ!H25/subQ!G25-1,"")</f>
        <v/>
      </c>
      <c r="I32" s="21">
        <f>IFERROR(subQ!I25/subQ!H25-1,"")</f>
        <v/>
      </c>
      <c r="J32" s="21">
        <f>IFERROR(subQ!J25/subQ!I25-1,"")</f>
        <v/>
      </c>
      <c r="K32" s="22" t="n"/>
      <c r="L32" s="21">
        <f>IFERROR(subQ!L25/subQ!J25-1,"")</f>
        <v/>
      </c>
      <c r="M32" s="21">
        <f>IFERROR(subQ!M25/subQ!L25-1,"")</f>
        <v/>
      </c>
      <c r="N32" s="21">
        <f>IFERROR(subQ!N25/subQ!M25-1,"")</f>
        <v/>
      </c>
      <c r="O32" s="21">
        <f>IFERROR(subQ!O25/subQ!N25-1,"")</f>
        <v/>
      </c>
      <c r="P32" s="22" t="n"/>
      <c r="Q32" s="21">
        <f>IFERROR(subQ!Q25/subQ!O25-1,"")</f>
        <v/>
      </c>
      <c r="R32" s="21">
        <f>IFERROR(subQ!R25/subQ!Q25-1,"")</f>
        <v/>
      </c>
      <c r="S32" s="21">
        <f>IFERROR(subQ!S25/subQ!R25-1,"")</f>
        <v/>
      </c>
      <c r="T32" s="21">
        <f>IFERROR(subQ!T25/subQ!S25-1,"")</f>
        <v/>
      </c>
      <c r="U32" s="22" t="n"/>
      <c r="V32" s="21">
        <f>IFERROR(subQ!V25/subQ!T25-1,"")</f>
        <v/>
      </c>
      <c r="W32" s="21">
        <f>IFERROR(subQ!W25/subQ!V25-1,"")</f>
        <v/>
      </c>
      <c r="X32" s="21">
        <f>IFERROR(subQ!X25/subQ!W25-1,"")</f>
        <v/>
      </c>
      <c r="Y32" s="21">
        <f>IFERROR(subQ!Y25/subQ!X25-1,"")</f>
        <v/>
      </c>
      <c r="Z32" s="22" t="n"/>
      <c r="AA32" s="21">
        <f>IFERROR(subQ!AA25/subQ!Y25-1,"")</f>
        <v/>
      </c>
      <c r="AB32" s="23">
        <f>IFERROR(subQ!AB25/subQ!AA25-1,"")</f>
        <v/>
      </c>
      <c r="AC32" s="24" t="n">
        <v>7.881e-06</v>
      </c>
      <c r="AD32" s="24" t="n">
        <v>0</v>
      </c>
      <c r="AE32" s="25" t="n"/>
      <c r="AF32" s="24" t="n">
        <v>0</v>
      </c>
      <c r="AG32" s="24" t="n">
        <v>0</v>
      </c>
      <c r="AH32" s="24" t="n">
        <v>0</v>
      </c>
      <c r="AI32" s="24" t="n">
        <v>0</v>
      </c>
      <c r="AJ32" s="25" t="n"/>
      <c r="AK32" s="24" t="n">
        <v>0</v>
      </c>
      <c r="AL32" s="24" t="n">
        <v>0</v>
      </c>
      <c r="AM32" s="24" t="n">
        <v>0</v>
      </c>
      <c r="AN32" s="24" t="n">
        <v>0</v>
      </c>
      <c r="AO32" s="25" t="n"/>
    </row>
    <row r="33">
      <c r="A33" s="12" t="inlineStr">
        <is>
          <t>drv:순차입금</t>
        </is>
      </c>
      <c r="B33" s="2" t="inlineStr">
        <is>
          <t>qoq</t>
        </is>
      </c>
      <c r="C33" t="inlineStr">
        <is>
          <t>순차입금 QoQ</t>
        </is>
      </c>
      <c r="E33" s="21" t="n"/>
      <c r="F33" s="22" t="n"/>
      <c r="G33" s="21">
        <f>IFERROR(subQ!G26/subQ!E26-1,"")</f>
        <v/>
      </c>
      <c r="H33" s="21">
        <f>IFERROR(subQ!H26/subQ!G26-1,"")</f>
        <v/>
      </c>
      <c r="I33" s="21">
        <f>IFERROR(subQ!I26/subQ!H26-1,"")</f>
        <v/>
      </c>
      <c r="J33" s="21">
        <f>IFERROR(subQ!J26/subQ!I26-1,"")</f>
        <v/>
      </c>
      <c r="K33" s="22" t="n"/>
      <c r="L33" s="21">
        <f>IFERROR(subQ!L26/subQ!J26-1,"")</f>
        <v/>
      </c>
      <c r="M33" s="21">
        <f>IFERROR(subQ!M26/subQ!L26-1,"")</f>
        <v/>
      </c>
      <c r="N33" s="21">
        <f>IFERROR(subQ!N26/subQ!M26-1,"")</f>
        <v/>
      </c>
      <c r="O33" s="21">
        <f>IFERROR(subQ!O26/subQ!N26-1,"")</f>
        <v/>
      </c>
      <c r="P33" s="22" t="n"/>
      <c r="Q33" s="21">
        <f>IFERROR(subQ!Q26/subQ!O26-1,"")</f>
        <v/>
      </c>
      <c r="R33" s="21">
        <f>IFERROR(subQ!R26/subQ!Q26-1,"")</f>
        <v/>
      </c>
      <c r="S33" s="21">
        <f>IFERROR(subQ!S26/subQ!R26-1,"")</f>
        <v/>
      </c>
      <c r="T33" s="21">
        <f>IFERROR(subQ!T26/subQ!S26-1,"")</f>
        <v/>
      </c>
      <c r="U33" s="22" t="n"/>
      <c r="V33" s="21">
        <f>IFERROR(subQ!V26/subQ!T26-1,"")</f>
        <v/>
      </c>
      <c r="W33" s="21">
        <f>IFERROR(subQ!W26/subQ!V26-1,"")</f>
        <v/>
      </c>
      <c r="X33" s="21">
        <f>IFERROR(subQ!X26/subQ!W26-1,"")</f>
        <v/>
      </c>
      <c r="Y33" s="21">
        <f>IFERROR(subQ!Y26/subQ!X26-1,"")</f>
        <v/>
      </c>
      <c r="Z33" s="22" t="n"/>
      <c r="AA33" s="21">
        <f>IFERROR(subQ!AA26/subQ!Y26-1,"")</f>
        <v/>
      </c>
      <c r="AB33" s="23">
        <f>IFERROR(subQ!AB26/subQ!AA26-1,"")</f>
        <v/>
      </c>
      <c r="AC33" s="24" t="n">
        <v>0.038169183</v>
      </c>
      <c r="AD33" s="24" t="n">
        <v>-0.003766833</v>
      </c>
      <c r="AE33" s="25" t="n"/>
      <c r="AF33" s="24" t="n">
        <v>0.030406151</v>
      </c>
      <c r="AG33" s="24" t="n">
        <v>0.308299187</v>
      </c>
      <c r="AH33" s="24" t="n">
        <v>-0.001963351</v>
      </c>
      <c r="AI33" s="24" t="n">
        <v>-0.049812646</v>
      </c>
      <c r="AJ33" s="25" t="n"/>
      <c r="AK33" s="24" t="n">
        <v>-0.025854632</v>
      </c>
      <c r="AL33" s="24" t="n">
        <v>0.236767534</v>
      </c>
      <c r="AM33" s="24" t="n">
        <v>-0.008653492</v>
      </c>
      <c r="AN33" s="24" t="n">
        <v>-0.049608948</v>
      </c>
      <c r="AO33" s="25" t="n"/>
    </row>
    <row r="34">
      <c r="A34" s="12" t="inlineStr">
        <is>
          <t>drv:이자발생자산</t>
        </is>
      </c>
      <c r="B34" s="2" t="inlineStr">
        <is>
          <t>qoq</t>
        </is>
      </c>
      <c r="C34" t="inlineStr">
        <is>
          <t>이자발생자산 QoQ</t>
        </is>
      </c>
      <c r="E34" s="21" t="n"/>
      <c r="F34" s="22" t="n"/>
      <c r="G34" s="21">
        <f>IFERROR(subQ!G27/subQ!E27-1,"")</f>
        <v/>
      </c>
      <c r="H34" s="21">
        <f>IFERROR(subQ!H27/subQ!G27-1,"")</f>
        <v/>
      </c>
      <c r="I34" s="21">
        <f>IFERROR(subQ!I27/subQ!H27-1,"")</f>
        <v/>
      </c>
      <c r="J34" s="21">
        <f>IFERROR(subQ!J27/subQ!I27-1,"")</f>
        <v/>
      </c>
      <c r="K34" s="22" t="n"/>
      <c r="L34" s="21">
        <f>IFERROR(subQ!L27/subQ!J27-1,"")</f>
        <v/>
      </c>
      <c r="M34" s="21">
        <f>IFERROR(subQ!M27/subQ!L27-1,"")</f>
        <v/>
      </c>
      <c r="N34" s="21">
        <f>IFERROR(subQ!N27/subQ!M27-1,"")</f>
        <v/>
      </c>
      <c r="O34" s="21">
        <f>IFERROR(subQ!O27/subQ!N27-1,"")</f>
        <v/>
      </c>
      <c r="P34" s="22" t="n"/>
      <c r="Q34" s="21">
        <f>IFERROR(subQ!Q27/subQ!O27-1,"")</f>
        <v/>
      </c>
      <c r="R34" s="21">
        <f>IFERROR(subQ!R27/subQ!Q27-1,"")</f>
        <v/>
      </c>
      <c r="S34" s="21">
        <f>IFERROR(subQ!S27/subQ!R27-1,"")</f>
        <v/>
      </c>
      <c r="T34" s="21">
        <f>IFERROR(subQ!T27/subQ!S27-1,"")</f>
        <v/>
      </c>
      <c r="U34" s="22" t="n"/>
      <c r="V34" s="21">
        <f>IFERROR(subQ!V27/subQ!T27-1,"")</f>
        <v/>
      </c>
      <c r="W34" s="21">
        <f>IFERROR(subQ!W27/subQ!V27-1,"")</f>
        <v/>
      </c>
      <c r="X34" s="21">
        <f>IFERROR(subQ!X27/subQ!W27-1,"")</f>
        <v/>
      </c>
      <c r="Y34" s="21">
        <f>IFERROR(subQ!Y27/subQ!X27-1,"")</f>
        <v/>
      </c>
      <c r="Z34" s="22" t="n"/>
      <c r="AA34" s="21">
        <f>IFERROR(subQ!AA27/subQ!Y27-1,"")</f>
        <v/>
      </c>
      <c r="AB34" s="23">
        <f>IFERROR(subQ!AB27/subQ!AA27-1,"")</f>
        <v/>
      </c>
      <c r="AC34" s="24" t="n">
        <v>-0.04192397</v>
      </c>
      <c r="AD34" s="24" t="n">
        <v>0.0044833</v>
      </c>
      <c r="AE34" s="25" t="n"/>
      <c r="AF34" s="24" t="n">
        <v>-0.035892286</v>
      </c>
      <c r="AG34" s="24" t="n">
        <v>-0.388989622</v>
      </c>
      <c r="AH34" s="24" t="n">
        <v>0.005366839</v>
      </c>
      <c r="AI34" s="24" t="n">
        <v>0.133580355</v>
      </c>
      <c r="AJ34" s="25" t="n"/>
      <c r="AK34" s="24" t="n">
        <v>0.058116343</v>
      </c>
      <c r="AL34" s="24" t="n">
        <v>-0.489973297</v>
      </c>
      <c r="AM34" s="24" t="n">
        <v>0.0434247</v>
      </c>
      <c r="AN34" s="24" t="n">
        <v>0.236521055</v>
      </c>
      <c r="AO34" s="25" t="n"/>
    </row>
    <row r="35">
      <c r="A35" s="12" t="inlineStr">
        <is>
          <t>drv:현금및현금성자산</t>
        </is>
      </c>
      <c r="B35" s="2" t="inlineStr">
        <is>
          <t>qoq</t>
        </is>
      </c>
      <c r="C35" t="inlineStr">
        <is>
          <t>현금및현금성자산 QoQ</t>
        </is>
      </c>
      <c r="E35" s="21" t="n"/>
      <c r="F35" s="22" t="n"/>
      <c r="G35" s="21">
        <f>IFERROR(subQ!G28/subQ!E28-1,"")</f>
        <v/>
      </c>
      <c r="H35" s="21">
        <f>IFERROR(subQ!H28/subQ!G28-1,"")</f>
        <v/>
      </c>
      <c r="I35" s="21">
        <f>IFERROR(subQ!I28/subQ!H28-1,"")</f>
        <v/>
      </c>
      <c r="J35" s="21">
        <f>IFERROR(subQ!J28/subQ!I28-1,"")</f>
        <v/>
      </c>
      <c r="K35" s="22" t="n"/>
      <c r="L35" s="21">
        <f>IFERROR(subQ!L28/subQ!J28-1,"")</f>
        <v/>
      </c>
      <c r="M35" s="21">
        <f>IFERROR(subQ!M28/subQ!L28-1,"")</f>
        <v/>
      </c>
      <c r="N35" s="21">
        <f>IFERROR(subQ!N28/subQ!M28-1,"")</f>
        <v/>
      </c>
      <c r="O35" s="21">
        <f>IFERROR(subQ!O28/subQ!N28-1,"")</f>
        <v/>
      </c>
      <c r="P35" s="22" t="n"/>
      <c r="Q35" s="21">
        <f>IFERROR(subQ!Q28/subQ!O28-1,"")</f>
        <v/>
      </c>
      <c r="R35" s="21">
        <f>IFERROR(subQ!R28/subQ!Q28-1,"")</f>
        <v/>
      </c>
      <c r="S35" s="21">
        <f>IFERROR(subQ!S28/subQ!R28-1,"")</f>
        <v/>
      </c>
      <c r="T35" s="21">
        <f>IFERROR(subQ!T28/subQ!S28-1,"")</f>
        <v/>
      </c>
      <c r="U35" s="22" t="n"/>
      <c r="V35" s="21">
        <f>IFERROR(subQ!V28/subQ!T28-1,"")</f>
        <v/>
      </c>
      <c r="W35" s="21">
        <f>IFERROR(subQ!W28/subQ!V28-1,"")</f>
        <v/>
      </c>
      <c r="X35" s="21">
        <f>IFERROR(subQ!X28/subQ!W28-1,"")</f>
        <v/>
      </c>
      <c r="Y35" s="21">
        <f>IFERROR(subQ!Y28/subQ!X28-1,"")</f>
        <v/>
      </c>
      <c r="Z35" s="22" t="n"/>
      <c r="AA35" s="21">
        <f>IFERROR(subQ!AA28/subQ!Y28-1,"")</f>
        <v/>
      </c>
      <c r="AB35" s="23">
        <f>IFERROR(subQ!AB28/subQ!AA28-1,"")</f>
        <v/>
      </c>
      <c r="AC35" s="32" t="n"/>
      <c r="AD35" s="32" t="n"/>
      <c r="AE35" s="25" t="n"/>
      <c r="AF35" s="32" t="n"/>
      <c r="AG35" s="32" t="n"/>
      <c r="AH35" s="32" t="n"/>
      <c r="AI35" s="32" t="n"/>
      <c r="AJ35" s="25" t="n"/>
      <c r="AK35" s="32" t="n"/>
      <c r="AL35" s="32" t="n"/>
      <c r="AM35" s="32" t="n"/>
      <c r="AN35" s="32" t="n"/>
      <c r="AO35" s="25" t="n"/>
    </row>
    <row r="36">
      <c r="A36" s="12" t="inlineStr">
        <is>
          <t>drv:CAPEX</t>
        </is>
      </c>
      <c r="B36" s="2" t="inlineStr">
        <is>
          <t>yoy</t>
        </is>
      </c>
      <c r="C36" t="inlineStr">
        <is>
          <t>CAPEX YoY</t>
        </is>
      </c>
      <c r="E36" s="21" t="n"/>
      <c r="F36" s="22" t="n"/>
      <c r="G36" s="21" t="n"/>
      <c r="H36" s="21" t="n"/>
      <c r="I36" s="21" t="n"/>
      <c r="J36" s="21">
        <f>IFERROR(subQ!J29/subQ!E29-1,"")</f>
        <v/>
      </c>
      <c r="K36" s="22" t="n"/>
      <c r="L36" s="21">
        <f>IFERROR(subQ!L29/subQ!G29-1,"")</f>
        <v/>
      </c>
      <c r="M36" s="21">
        <f>IFERROR(subQ!M29/subQ!H29-1,"")</f>
        <v/>
      </c>
      <c r="N36" s="21">
        <f>IFERROR(subQ!N29/subQ!I29-1,"")</f>
        <v/>
      </c>
      <c r="O36" s="21">
        <f>IFERROR(subQ!O29/subQ!J29-1,"")</f>
        <v/>
      </c>
      <c r="P36" s="22" t="n"/>
      <c r="Q36" s="21">
        <f>IFERROR(subQ!Q29/subQ!L29-1,"")</f>
        <v/>
      </c>
      <c r="R36" s="21">
        <f>IFERROR(subQ!R29/subQ!M29-1,"")</f>
        <v/>
      </c>
      <c r="S36" s="21">
        <f>IFERROR(subQ!S29/subQ!N29-1,"")</f>
        <v/>
      </c>
      <c r="T36" s="21">
        <f>IFERROR(subQ!T29/subQ!O29-1,"")</f>
        <v/>
      </c>
      <c r="U36" s="22" t="n"/>
      <c r="V36" s="21">
        <f>IFERROR(subQ!V29/subQ!Q29-1,"")</f>
        <v/>
      </c>
      <c r="W36" s="21">
        <f>IFERROR(subQ!W29/subQ!R29-1,"")</f>
        <v/>
      </c>
      <c r="X36" s="21">
        <f>IFERROR(subQ!X29/subQ!S29-1,"")</f>
        <v/>
      </c>
      <c r="Y36" s="21">
        <f>IFERROR(subQ!Y29/subQ!T29-1,"")</f>
        <v/>
      </c>
      <c r="Z36" s="22" t="n"/>
      <c r="AA36" s="21">
        <f>IFERROR(subQ!AA29/subQ!V29-1,"")</f>
        <v/>
      </c>
      <c r="AB36" s="23">
        <f>IFERROR(subQ!AB29/subQ!W29-1,"")</f>
        <v/>
      </c>
      <c r="AC36" s="24" t="n">
        <v>12.342108412</v>
      </c>
      <c r="AD36" s="24" t="n">
        <v>-0.433916284</v>
      </c>
      <c r="AE36" s="25" t="n"/>
      <c r="AF36" s="24" t="n">
        <v>-0.931702887</v>
      </c>
      <c r="AG36" s="24" t="n">
        <v>3.283381887</v>
      </c>
      <c r="AH36" s="24" t="n">
        <v>0</v>
      </c>
      <c r="AI36" s="24" t="n">
        <v>0</v>
      </c>
      <c r="AJ36" s="25" t="n"/>
      <c r="AK36" s="24" t="n">
        <v>0</v>
      </c>
      <c r="AL36" s="24" t="n">
        <v>0</v>
      </c>
      <c r="AM36" s="24" t="n">
        <v>0</v>
      </c>
      <c r="AN36" s="24" t="n">
        <v>0</v>
      </c>
      <c r="AO36" s="25" t="n"/>
    </row>
    <row r="37">
      <c r="A37" s="12" t="inlineStr">
        <is>
          <t>drv:영업활동현금흐름</t>
        </is>
      </c>
      <c r="B37" s="2" t="inlineStr">
        <is>
          <t>yoy</t>
        </is>
      </c>
      <c r="C37" t="inlineStr">
        <is>
          <t>영업활동현금흐름 YoY</t>
        </is>
      </c>
      <c r="E37" s="21" t="n"/>
      <c r="F37" s="22" t="n"/>
      <c r="G37" s="21" t="n"/>
      <c r="H37" s="21" t="n"/>
      <c r="I37" s="21" t="n"/>
      <c r="J37" s="21">
        <f>IFERROR(subQ!J30/subQ!E30-1,"")</f>
        <v/>
      </c>
      <c r="K37" s="22" t="n"/>
      <c r="L37" s="21">
        <f>IFERROR(subQ!L30/subQ!G30-1,"")</f>
        <v/>
      </c>
      <c r="M37" s="21">
        <f>IFERROR(subQ!M30/subQ!H30-1,"")</f>
        <v/>
      </c>
      <c r="N37" s="21">
        <f>IFERROR(subQ!N30/subQ!I30-1,"")</f>
        <v/>
      </c>
      <c r="O37" s="21">
        <f>IFERROR(subQ!O30/subQ!J30-1,"")</f>
        <v/>
      </c>
      <c r="P37" s="22" t="n"/>
      <c r="Q37" s="21">
        <f>IFERROR(subQ!Q30/subQ!L30-1,"")</f>
        <v/>
      </c>
      <c r="R37" s="21">
        <f>IFERROR(subQ!R30/subQ!M30-1,"")</f>
        <v/>
      </c>
      <c r="S37" s="21">
        <f>IFERROR(subQ!S30/subQ!N30-1,"")</f>
        <v/>
      </c>
      <c r="T37" s="21">
        <f>IFERROR(subQ!T30/subQ!O30-1,"")</f>
        <v/>
      </c>
      <c r="U37" s="22" t="n"/>
      <c r="V37" s="21">
        <f>IFERROR(subQ!V30/subQ!Q30-1,"")</f>
        <v/>
      </c>
      <c r="W37" s="21">
        <f>IFERROR(subQ!W30/subQ!R30-1,"")</f>
        <v/>
      </c>
      <c r="X37" s="21">
        <f>IFERROR(subQ!X30/subQ!S30-1,"")</f>
        <v/>
      </c>
      <c r="Y37" s="21">
        <f>IFERROR(subQ!Y30/subQ!T30-1,"")</f>
        <v/>
      </c>
      <c r="Z37" s="22" t="n"/>
      <c r="AA37" s="21">
        <f>IFERROR(subQ!AA30/subQ!V30-1,"")</f>
        <v/>
      </c>
      <c r="AB37" s="23">
        <f>IFERROR(subQ!AB30/subQ!W30-1,"")</f>
        <v/>
      </c>
      <c r="AC37" s="32" t="n"/>
      <c r="AD37" s="32" t="n"/>
      <c r="AE37" s="25" t="n"/>
      <c r="AF37" s="32" t="n"/>
      <c r="AG37" s="32" t="n"/>
      <c r="AH37" s="32" t="n"/>
      <c r="AI37" s="32" t="n"/>
      <c r="AJ37" s="25" t="n"/>
      <c r="AK37" s="32" t="n"/>
      <c r="AL37" s="32" t="n"/>
      <c r="AM37" s="32" t="n"/>
      <c r="AN37" s="32" t="n"/>
      <c r="AO37" s="25" t="n"/>
    </row>
    <row r="38">
      <c r="A38" s="12" t="inlineStr">
        <is>
          <t>drv:주식수</t>
        </is>
      </c>
      <c r="B38" s="2" t="inlineStr">
        <is>
          <t>qoq</t>
        </is>
      </c>
      <c r="C38" t="inlineStr">
        <is>
          <t>주식수 QoQ</t>
        </is>
      </c>
      <c r="E38" s="21" t="n"/>
      <c r="F38" s="22" t="n"/>
      <c r="G38" s="21">
        <f>IFERROR(subQ!G31/subQ!E31-1,"")</f>
        <v/>
      </c>
      <c r="H38" s="21">
        <f>IFERROR(subQ!H31/subQ!G31-1,"")</f>
        <v/>
      </c>
      <c r="I38" s="21">
        <f>IFERROR(subQ!I31/subQ!H31-1,"")</f>
        <v/>
      </c>
      <c r="J38" s="21">
        <f>IFERROR(subQ!J31/subQ!I31-1,"")</f>
        <v/>
      </c>
      <c r="K38" s="22" t="n"/>
      <c r="L38" s="21">
        <f>IFERROR(subQ!L31/subQ!J31-1,"")</f>
        <v/>
      </c>
      <c r="M38" s="21">
        <f>IFERROR(subQ!M31/subQ!L31-1,"")</f>
        <v/>
      </c>
      <c r="N38" s="21">
        <f>IFERROR(subQ!N31/subQ!M31-1,"")</f>
        <v/>
      </c>
      <c r="O38" s="21">
        <f>IFERROR(subQ!O31/subQ!N31-1,"")</f>
        <v/>
      </c>
      <c r="P38" s="22" t="n"/>
      <c r="Q38" s="21">
        <f>IFERROR(subQ!Q31/subQ!O31-1,"")</f>
        <v/>
      </c>
      <c r="R38" s="21">
        <f>IFERROR(subQ!R31/subQ!Q31-1,"")</f>
        <v/>
      </c>
      <c r="S38" s="21">
        <f>IFERROR(subQ!S31/subQ!R31-1,"")</f>
        <v/>
      </c>
      <c r="T38" s="21">
        <f>IFERROR(subQ!T31/subQ!S31-1,"")</f>
        <v/>
      </c>
      <c r="U38" s="22" t="n"/>
      <c r="V38" s="21">
        <f>IFERROR(subQ!V31/subQ!T31-1,"")</f>
        <v/>
      </c>
      <c r="W38" s="21">
        <f>IFERROR(subQ!W31/subQ!V31-1,"")</f>
        <v/>
      </c>
      <c r="X38" s="21">
        <f>IFERROR(subQ!X31/subQ!W31-1,"")</f>
        <v/>
      </c>
      <c r="Y38" s="21">
        <f>IFERROR(subQ!Y31/subQ!X31-1,"")</f>
        <v/>
      </c>
      <c r="Z38" s="22" t="n"/>
      <c r="AA38" s="21">
        <f>IFERROR(subQ!AA31/subQ!Y31-1,"")</f>
        <v/>
      </c>
      <c r="AB38" s="23">
        <f>IFERROR(subQ!AB31/subQ!AA31-1,"")</f>
        <v/>
      </c>
      <c r="AC38" s="24" t="n">
        <v>0</v>
      </c>
      <c r="AD38" s="24" t="n">
        <v>0</v>
      </c>
      <c r="AE38" s="25" t="n"/>
      <c r="AF38" s="24" t="n">
        <v>0</v>
      </c>
      <c r="AG38" s="24" t="n">
        <v>0</v>
      </c>
      <c r="AH38" s="24" t="n">
        <v>0</v>
      </c>
      <c r="AI38" s="24" t="n">
        <v>0</v>
      </c>
      <c r="AJ38" s="25" t="n"/>
      <c r="AK38" s="24" t="n">
        <v>0</v>
      </c>
      <c r="AL38" s="24" t="n">
        <v>0</v>
      </c>
      <c r="AM38" s="24" t="n">
        <v>0</v>
      </c>
      <c r="AN38" s="24" t="n">
        <v>0</v>
      </c>
      <c r="AO38" s="25" t="n"/>
    </row>
    <row r="39">
      <c r="A39" s="12" t="inlineStr">
        <is>
          <t>drv:DPS</t>
        </is>
      </c>
      <c r="B39" s="2" t="inlineStr">
        <is>
          <t>abs</t>
        </is>
      </c>
      <c r="C39" t="inlineStr">
        <is>
          <t>DPS (가정, 원)</t>
        </is>
      </c>
      <c r="E39" s="27">
        <f>subQ!E34</f>
        <v/>
      </c>
      <c r="F39" s="28">
        <f>subQ!F34</f>
        <v/>
      </c>
      <c r="G39" s="27">
        <f>subQ!G34</f>
        <v/>
      </c>
      <c r="H39" s="27">
        <f>subQ!H34</f>
        <v/>
      </c>
      <c r="I39" s="27">
        <f>subQ!I34</f>
        <v/>
      </c>
      <c r="J39" s="27">
        <f>subQ!J34</f>
        <v/>
      </c>
      <c r="K39" s="28">
        <f>subQ!K34</f>
        <v/>
      </c>
      <c r="L39" s="27">
        <f>subQ!L34</f>
        <v/>
      </c>
      <c r="M39" s="27">
        <f>subQ!M34</f>
        <v/>
      </c>
      <c r="N39" s="27">
        <f>subQ!N34</f>
        <v/>
      </c>
      <c r="O39" s="27">
        <f>subQ!O34</f>
        <v/>
      </c>
      <c r="P39" s="28">
        <f>subQ!P34</f>
        <v/>
      </c>
      <c r="Q39" s="27">
        <f>subQ!Q34</f>
        <v/>
      </c>
      <c r="R39" s="27">
        <f>subQ!R34</f>
        <v/>
      </c>
      <c r="S39" s="27">
        <f>subQ!S34</f>
        <v/>
      </c>
      <c r="T39" s="27">
        <f>subQ!T34</f>
        <v/>
      </c>
      <c r="U39" s="28">
        <f>subQ!U34</f>
        <v/>
      </c>
      <c r="V39" s="27">
        <f>subQ!V34</f>
        <v/>
      </c>
      <c r="W39" s="27">
        <f>subQ!W34</f>
        <v/>
      </c>
      <c r="X39" s="27">
        <f>subQ!X34</f>
        <v/>
      </c>
      <c r="Y39" s="27">
        <f>subQ!Y34</f>
        <v/>
      </c>
      <c r="Z39" s="28">
        <f>subQ!Z34</f>
        <v/>
      </c>
      <c r="AA39" s="27">
        <f>subQ!AA34</f>
        <v/>
      </c>
      <c r="AB39" s="29">
        <f>subQ!AB34</f>
        <v/>
      </c>
      <c r="AC39" s="33" t="n"/>
      <c r="AD39" s="30" t="n">
        <v>620</v>
      </c>
      <c r="AE39" s="31">
        <f>subQ!AE34</f>
        <v/>
      </c>
      <c r="AF39" s="33" t="n"/>
      <c r="AG39" s="33" t="n"/>
      <c r="AH39" s="33" t="n"/>
      <c r="AI39" s="30" t="n">
        <v>620</v>
      </c>
      <c r="AJ39" s="31">
        <f>subQ!AJ34</f>
        <v/>
      </c>
      <c r="AK39" s="33" t="n"/>
      <c r="AL39" s="33" t="n"/>
      <c r="AM39" s="33" t="n"/>
      <c r="AN39" s="30" t="n">
        <v>620</v>
      </c>
      <c r="AO39" s="31">
        <f>subQ!AO34</f>
        <v/>
      </c>
    </row>
    <row r="40">
      <c r="F40" s="9" t="n"/>
      <c r="K40" s="9" t="n"/>
      <c r="P40" s="9" t="n"/>
      <c r="U40" s="9" t="n"/>
      <c r="Z40" s="9" t="n"/>
      <c r="AB40" s="5" t="n"/>
      <c r="AC40" s="10" t="n"/>
      <c r="AD40" s="10" t="n"/>
      <c r="AE40" s="11" t="n"/>
      <c r="AF40" s="10" t="n"/>
      <c r="AG40" s="10" t="n"/>
      <c r="AH40" s="10" t="n"/>
      <c r="AI40" s="10" t="n"/>
      <c r="AJ40" s="11" t="n"/>
      <c r="AK40" s="10" t="n"/>
      <c r="AL40" s="10" t="n"/>
      <c r="AM40" s="10" t="n"/>
      <c r="AN40" s="10" t="n"/>
      <c r="AO40" s="11" t="n"/>
    </row>
    <row r="41">
      <c r="B41" s="1" t="inlineStr">
        <is>
          <t>3. 밸류에이션·스칼라</t>
        </is>
      </c>
      <c r="C41" s="2" t="inlineStr">
        <is>
          <t>노란 셀 = 가정. '연결' 표시는 추정 전 분기 수식이 이 셀을 참조한다는 뜻</t>
        </is>
      </c>
      <c r="F41" s="9" t="n"/>
      <c r="K41" s="9" t="n"/>
      <c r="P41" s="9" t="n"/>
      <c r="U41" s="9" t="n"/>
      <c r="Z41" s="9" t="n"/>
      <c r="AB41" s="5" t="n"/>
      <c r="AC41" s="10" t="n"/>
      <c r="AD41" s="10" t="n"/>
      <c r="AE41" s="11" t="n"/>
      <c r="AF41" s="10" t="n"/>
      <c r="AG41" s="10" t="n"/>
      <c r="AH41" s="10" t="n"/>
      <c r="AI41" s="10" t="n"/>
      <c r="AJ41" s="11" t="n"/>
      <c r="AK41" s="10" t="n"/>
      <c r="AL41" s="10" t="n"/>
      <c r="AM41" s="10" t="n"/>
      <c r="AN41" s="10" t="n"/>
      <c r="AO41" s="11" t="n"/>
    </row>
    <row r="42">
      <c r="A42" s="12" t="inlineStr">
        <is>
          <t>sc:종가</t>
        </is>
      </c>
      <c r="C42" t="inlineStr">
        <is>
          <t>종가</t>
        </is>
      </c>
      <c r="D42" s="34" t="n">
        <v>16330</v>
      </c>
      <c r="E42" s="2" t="inlineStr">
        <is>
          <t>원 — 네이버 정규장 종가(aik 확정종가 대조 · aik 17,050원)</t>
        </is>
      </c>
      <c r="F42" s="9" t="n"/>
      <c r="K42" s="9" t="n"/>
      <c r="P42" s="9" t="n"/>
      <c r="U42" s="9" t="n"/>
      <c r="Z42" s="9" t="n"/>
      <c r="AB42" s="5" t="n"/>
      <c r="AC42" s="10" t="n"/>
      <c r="AD42" s="10" t="n"/>
      <c r="AE42" s="11" t="n"/>
      <c r="AF42" s="10" t="n"/>
      <c r="AG42" s="10" t="n"/>
      <c r="AH42" s="10" t="n"/>
      <c r="AI42" s="10" t="n"/>
      <c r="AJ42" s="11" t="n"/>
      <c r="AK42" s="10" t="n"/>
      <c r="AL42" s="10" t="n"/>
      <c r="AM42" s="10" t="n"/>
      <c r="AN42" s="10" t="n"/>
      <c r="AO42" s="11" t="n"/>
    </row>
    <row r="43">
      <c r="A43" s="12" t="inlineStr">
        <is>
          <t>sc:기준일</t>
        </is>
      </c>
      <c r="C43" t="inlineStr">
        <is>
          <t>기준일</t>
        </is>
      </c>
      <c r="D43" s="35" t="inlineStr">
        <is>
          <t>20261013</t>
        </is>
      </c>
      <c r="E43" s="2" t="inlineStr">
        <is>
          <t>종가 기준일</t>
        </is>
      </c>
      <c r="F43" s="9" t="n"/>
      <c r="K43" s="9" t="n"/>
      <c r="P43" s="9" t="n"/>
      <c r="U43" s="9" t="n"/>
      <c r="Z43" s="9" t="n"/>
      <c r="AB43" s="5" t="n"/>
      <c r="AC43" s="10" t="n"/>
      <c r="AD43" s="10" t="n"/>
      <c r="AE43" s="11" t="n"/>
      <c r="AF43" s="10" t="n"/>
      <c r="AG43" s="10" t="n"/>
      <c r="AH43" s="10" t="n"/>
      <c r="AI43" s="10" t="n"/>
      <c r="AJ43" s="11" t="n"/>
      <c r="AK43" s="10" t="n"/>
      <c r="AL43" s="10" t="n"/>
      <c r="AM43" s="10" t="n"/>
      <c r="AN43" s="10" t="n"/>
      <c r="AO43" s="11" t="n"/>
    </row>
    <row r="44">
      <c r="A44" s="12" t="inlineStr">
        <is>
          <t>sc:COE</t>
        </is>
      </c>
      <c r="C44" t="inlineStr">
        <is>
          <t>COE</t>
        </is>
      </c>
      <c r="D44" s="24" t="n">
        <v>0.09</v>
      </c>
      <c r="E44" s="2" t="inlineStr">
        <is>
          <t>자기자본비용(가정) — TP 적정 PBR = ROE/COE</t>
        </is>
      </c>
      <c r="F44" s="9" t="n"/>
      <c r="K44" s="9" t="n"/>
      <c r="P44" s="9" t="n"/>
      <c r="U44" s="9" t="n"/>
      <c r="Z44" s="9" t="n"/>
      <c r="AB44" s="5" t="n"/>
      <c r="AC44" s="10" t="n"/>
      <c r="AD44" s="10" t="n"/>
      <c r="AE44" s="11" t="n"/>
      <c r="AF44" s="10" t="n"/>
      <c r="AG44" s="10" t="n"/>
      <c r="AH44" s="10" t="n"/>
      <c r="AI44" s="10" t="n"/>
      <c r="AJ44" s="11" t="n"/>
      <c r="AK44" s="10" t="n"/>
      <c r="AL44" s="10" t="n"/>
      <c r="AM44" s="10" t="n"/>
      <c r="AN44" s="10" t="n"/>
      <c r="AO44" s="11" t="n"/>
    </row>
    <row r="45">
      <c r="A45" s="12" t="inlineStr">
        <is>
          <t>sc:PER_lo</t>
        </is>
      </c>
      <c r="C45" t="inlineStr">
        <is>
          <t>PER_lo</t>
        </is>
      </c>
      <c r="D45" s="30" t="n">
        <v>8.5</v>
      </c>
      <c r="E45" s="2" t="inlineStr">
        <is>
          <t>PER 밴드 하단(배) — hist_quarterly(분기 평균가 ÷ TTM EPS, 16분기, 25/50/75 백분위)</t>
        </is>
      </c>
      <c r="F45" s="9" t="n"/>
      <c r="K45" s="9" t="n"/>
      <c r="P45" s="9" t="n"/>
      <c r="U45" s="9" t="n"/>
      <c r="Z45" s="9" t="n"/>
      <c r="AB45" s="5" t="n"/>
      <c r="AC45" s="10" t="n"/>
      <c r="AD45" s="10" t="n"/>
      <c r="AE45" s="11" t="n"/>
      <c r="AF45" s="10" t="n"/>
      <c r="AG45" s="10" t="n"/>
      <c r="AH45" s="10" t="n"/>
      <c r="AI45" s="10" t="n"/>
      <c r="AJ45" s="11" t="n"/>
      <c r="AK45" s="10" t="n"/>
      <c r="AL45" s="10" t="n"/>
      <c r="AM45" s="10" t="n"/>
      <c r="AN45" s="10" t="n"/>
      <c r="AO45" s="11" t="n"/>
    </row>
    <row r="46">
      <c r="A46" s="12" t="inlineStr">
        <is>
          <t>sc:PER_mid</t>
        </is>
      </c>
      <c r="C46" t="inlineStr">
        <is>
          <t>PER_mid</t>
        </is>
      </c>
      <c r="D46" s="30" t="n">
        <v>9.300000000000001</v>
      </c>
      <c r="E46" s="2" t="inlineStr">
        <is>
          <t>PER 밴드 중단(배)</t>
        </is>
      </c>
      <c r="F46" s="9" t="n"/>
      <c r="K46" s="9" t="n"/>
      <c r="P46" s="9" t="n"/>
      <c r="U46" s="9" t="n"/>
      <c r="Z46" s="9" t="n"/>
      <c r="AB46" s="5" t="n"/>
      <c r="AC46" s="10" t="n"/>
      <c r="AD46" s="10" t="n"/>
      <c r="AE46" s="11" t="n"/>
      <c r="AF46" s="10" t="n"/>
      <c r="AG46" s="10" t="n"/>
      <c r="AH46" s="10" t="n"/>
      <c r="AI46" s="10" t="n"/>
      <c r="AJ46" s="11" t="n"/>
      <c r="AK46" s="10" t="n"/>
      <c r="AL46" s="10" t="n"/>
      <c r="AM46" s="10" t="n"/>
      <c r="AN46" s="10" t="n"/>
      <c r="AO46" s="11" t="n"/>
    </row>
    <row r="47">
      <c r="A47" s="12" t="inlineStr">
        <is>
          <t>sc:PER_hi</t>
        </is>
      </c>
      <c r="C47" t="inlineStr">
        <is>
          <t>PER_hi</t>
        </is>
      </c>
      <c r="D47" s="30" t="n">
        <v>11</v>
      </c>
      <c r="E47" s="2" t="inlineStr">
        <is>
          <t>PER 밴드 상단(배)</t>
        </is>
      </c>
      <c r="F47" s="9" t="n"/>
      <c r="K47" s="9" t="n"/>
      <c r="P47" s="9" t="n"/>
      <c r="U47" s="9" t="n"/>
      <c r="Z47" s="9" t="n"/>
      <c r="AB47" s="5" t="n"/>
      <c r="AC47" s="10" t="n"/>
      <c r="AD47" s="10" t="n"/>
      <c r="AE47" s="11" t="n"/>
      <c r="AF47" s="10" t="n"/>
      <c r="AG47" s="10" t="n"/>
      <c r="AH47" s="10" t="n"/>
      <c r="AI47" s="10" t="n"/>
      <c r="AJ47" s="11" t="n"/>
      <c r="AK47" s="10" t="n"/>
      <c r="AL47" s="10" t="n"/>
      <c r="AM47" s="10" t="n"/>
      <c r="AN47" s="10" t="n"/>
      <c r="AO47" s="11" t="n"/>
    </row>
    <row r="48">
      <c r="A48" s="12" t="inlineStr">
        <is>
          <t>sc:EPS_Y1가중</t>
        </is>
      </c>
      <c r="C48" t="inlineStr">
        <is>
          <t>EPS_Y1가중</t>
        </is>
      </c>
      <c r="D48" s="24" t="n">
        <v>0.5</v>
      </c>
      <c r="E48" s="2" t="inlineStr">
        <is>
          <t>12M fwd EPS = FY(last_actual연도)E × w + FY+1E × (1−w) — 기준 분기 2Q 이면 0.5(가정)</t>
        </is>
      </c>
      <c r="F48" s="9" t="n"/>
      <c r="K48" s="9" t="n"/>
      <c r="P48" s="9" t="n"/>
      <c r="U48" s="9" t="n"/>
      <c r="Z48" s="9" t="n"/>
      <c r="AB48" s="5" t="n"/>
      <c r="AC48" s="10" t="n"/>
      <c r="AD48" s="10" t="n"/>
      <c r="AE48" s="11" t="n"/>
      <c r="AF48" s="10" t="n"/>
      <c r="AG48" s="10" t="n"/>
      <c r="AH48" s="10" t="n"/>
      <c r="AI48" s="10" t="n"/>
      <c r="AJ48" s="11" t="n"/>
      <c r="AK48" s="10" t="n"/>
      <c r="AL48" s="10" t="n"/>
      <c r="AM48" s="10" t="n"/>
      <c r="AN48" s="10" t="n"/>
      <c r="AO48" s="11" t="n"/>
    </row>
    <row r="49">
      <c r="A49" s="12" t="inlineStr">
        <is>
          <t>sc:세율</t>
        </is>
      </c>
      <c r="C49" t="inlineStr">
        <is>
          <t>세율</t>
        </is>
      </c>
      <c r="D49" s="36" t="n">
        <v>0.1474329194028351</v>
      </c>
      <c r="E49" s="2" t="inlineStr">
        <is>
          <t>연결 — 법인세 = MAX(세전,0) × 세율(역산, 재현 오차 ≤ 0.05억 · 모델 assumptions 0.1474) · 최근 12분기 유효세율 14.7%(5~27% 안 — 그대로)</t>
        </is>
      </c>
      <c r="F49" s="9" t="n"/>
      <c r="K49" s="9" t="n"/>
      <c r="P49" s="9" t="n"/>
      <c r="U49" s="9" t="n"/>
      <c r="Z49" s="9" t="n"/>
      <c r="AB49" s="5" t="n"/>
      <c r="AC49" s="10" t="n"/>
      <c r="AD49" s="10" t="n"/>
      <c r="AE49" s="11" t="n"/>
      <c r="AF49" s="10" t="n"/>
      <c r="AG49" s="10" t="n"/>
      <c r="AH49" s="10" t="n"/>
      <c r="AI49" s="10" t="n"/>
      <c r="AJ49" s="11" t="n"/>
      <c r="AK49" s="10" t="n"/>
      <c r="AL49" s="10" t="n"/>
      <c r="AM49" s="10" t="n"/>
      <c r="AN49" s="10" t="n"/>
      <c r="AO49" s="11" t="n"/>
    </row>
    <row r="50">
      <c r="A50" s="12" t="inlineStr">
        <is>
          <t>sc:판관비율</t>
        </is>
      </c>
      <c r="C50" t="inlineStr">
        <is>
          <t>판관비율</t>
        </is>
      </c>
      <c r="D50" s="36" t="n">
        <v>0.1604201880229651</v>
      </c>
      <c r="E50" s="2" t="inlineStr">
        <is>
          <t>연결 — 판관비 = 매출액 × 판관비율(역산, 재현 오차 ≤ 0.05억 · 모델 assumptions 0.1604)</t>
        </is>
      </c>
      <c r="F50" s="9" t="n"/>
      <c r="K50" s="9" t="n"/>
      <c r="P50" s="9" t="n"/>
      <c r="U50" s="9" t="n"/>
      <c r="Z50" s="9" t="n"/>
      <c r="AB50" s="5" t="n"/>
      <c r="AC50" s="10" t="n"/>
      <c r="AD50" s="10" t="n"/>
      <c r="AE50" s="11" t="n"/>
      <c r="AF50" s="10" t="n"/>
      <c r="AG50" s="10" t="n"/>
      <c r="AH50" s="10" t="n"/>
      <c r="AI50" s="10" t="n"/>
      <c r="AJ50" s="11" t="n"/>
      <c r="AK50" s="10" t="n"/>
      <c r="AL50" s="10" t="n"/>
      <c r="AM50" s="10" t="n"/>
      <c r="AN50" s="10" t="n"/>
      <c r="AO50" s="11" t="n"/>
    </row>
    <row r="51">
      <c r="A51" s="12" t="inlineStr">
        <is>
          <t>sc:지배주주비중</t>
        </is>
      </c>
      <c r="C51" t="inlineStr">
        <is>
          <t>지배주주비중</t>
        </is>
      </c>
      <c r="D51" s="36" t="n">
        <v>1</v>
      </c>
      <c r="E51" s="2" t="inlineStr">
        <is>
          <t>연결 — 지배주주순이익 = 당기순이익 × 비중(역산, 재현 오차 ≤ 0.05억)</t>
        </is>
      </c>
      <c r="F51" s="9" t="n"/>
      <c r="K51" s="9" t="n"/>
      <c r="P51" s="9" t="n"/>
      <c r="U51" s="9" t="n"/>
      <c r="Z51" s="9" t="n"/>
      <c r="AB51" s="5" t="n"/>
      <c r="AC51" s="10" t="n"/>
      <c r="AD51" s="10" t="n"/>
      <c r="AE51" s="11" t="n"/>
      <c r="AF51" s="10" t="n"/>
      <c r="AG51" s="10" t="n"/>
      <c r="AH51" s="10" t="n"/>
      <c r="AI51" s="10" t="n"/>
      <c r="AJ51" s="11" t="n"/>
      <c r="AK51" s="10" t="n"/>
      <c r="AL51" s="10" t="n"/>
      <c r="AM51" s="10" t="n"/>
      <c r="AN51" s="10" t="n"/>
      <c r="AO51" s="11" t="n"/>
    </row>
    <row r="52">
      <c r="A52" s="12" t="inlineStr">
        <is>
          <t>sc:이자율_자산</t>
        </is>
      </c>
      <c r="C52" t="inlineStr">
        <is>
          <t>이자율_자산</t>
        </is>
      </c>
      <c r="D52" s="36" t="n">
        <v>0.03945829579762793</v>
      </c>
      <c r="E52" s="2" t="inlineStr">
        <is>
          <t>연결 — 이자손익 = (전분기 이자발생자산 × 자산이자율 − 전분기 총차입금 × 부채이자율)/4(역산, 재현 오차 ≤ 0.05억 · 모델 assumptions 0.0394)</t>
        </is>
      </c>
      <c r="F52" s="9" t="n"/>
      <c r="K52" s="9" t="n"/>
      <c r="P52" s="9" t="n"/>
      <c r="U52" s="9" t="n"/>
      <c r="Z52" s="9" t="n"/>
      <c r="AB52" s="5" t="n"/>
      <c r="AC52" s="10" t="n"/>
      <c r="AD52" s="10" t="n"/>
      <c r="AE52" s="11" t="n"/>
      <c r="AF52" s="10" t="n"/>
      <c r="AG52" s="10" t="n"/>
      <c r="AH52" s="10" t="n"/>
      <c r="AI52" s="10" t="n"/>
      <c r="AJ52" s="11" t="n"/>
      <c r="AK52" s="10" t="n"/>
      <c r="AL52" s="10" t="n"/>
      <c r="AM52" s="10" t="n"/>
      <c r="AN52" s="10" t="n"/>
      <c r="AO52" s="11" t="n"/>
    </row>
    <row r="53">
      <c r="A53" s="12" t="inlineStr">
        <is>
          <t>sc:이자율_부채</t>
        </is>
      </c>
      <c r="C53" t="inlineStr">
        <is>
          <t>이자율_부채</t>
        </is>
      </c>
      <c r="D53" s="36" t="n">
        <v>0.02200740653988508</v>
      </c>
      <c r="E53" s="2" t="inlineStr">
        <is>
          <t>연결 — 같은 수식의 부채 쪽(총차입금 행이 없으면 0)(역산, 재현 오차 ≤ 0.05억 · 모델 assumptions 0.022)</t>
        </is>
      </c>
      <c r="F53" s="9" t="n"/>
      <c r="K53" s="9" t="n"/>
      <c r="P53" s="9" t="n"/>
      <c r="U53" s="9" t="n"/>
      <c r="Z53" s="9" t="n"/>
      <c r="AB53" s="5" t="n"/>
      <c r="AC53" s="10" t="n"/>
      <c r="AD53" s="10" t="n"/>
      <c r="AE53" s="11" t="n"/>
      <c r="AF53" s="10" t="n"/>
      <c r="AG53" s="10" t="n"/>
      <c r="AH53" s="10" t="n"/>
      <c r="AI53" s="10" t="n"/>
      <c r="AJ53" s="11" t="n"/>
      <c r="AK53" s="10" t="n"/>
      <c r="AL53" s="10" t="n"/>
      <c r="AM53" s="10" t="n"/>
      <c r="AN53" s="10" t="n"/>
      <c r="AO53" s="11" t="n"/>
    </row>
    <row r="54">
      <c r="A54" s="12" t="inlineStr">
        <is>
          <t>sc:배당성향</t>
        </is>
      </c>
      <c r="C54" t="inlineStr">
        <is>
          <t>배당성향</t>
        </is>
      </c>
      <c r="D54" s="24" t="n">
        <v>0.4162</v>
      </c>
      <c r="E54" s="2" t="inlineStr">
        <is>
          <t>배당성향(참고 — 모델은 직전 DPS 유지·Q2 지급 가정)</t>
        </is>
      </c>
      <c r="F54" s="9" t="n"/>
      <c r="K54" s="9" t="n"/>
      <c r="P54" s="9" t="n"/>
      <c r="U54" s="9" t="n"/>
      <c r="Z54" s="9" t="n"/>
      <c r="AB54" s="5" t="n"/>
      <c r="AC54" s="10" t="n"/>
      <c r="AD54" s="10" t="n"/>
      <c r="AE54" s="11" t="n"/>
      <c r="AF54" s="10" t="n"/>
      <c r="AG54" s="10" t="n"/>
      <c r="AH54" s="10" t="n"/>
      <c r="AI54" s="10" t="n"/>
      <c r="AJ54" s="11" t="n"/>
      <c r="AK54" s="10" t="n"/>
      <c r="AL54" s="10" t="n"/>
      <c r="AM54" s="10" t="n"/>
      <c r="AN54" s="10" t="n"/>
      <c r="AO54" s="11" t="n"/>
    </row>
    <row r="55">
      <c r="A55" s="12" t="inlineStr">
        <is>
          <t>sc:외화순노출_백만$</t>
        </is>
      </c>
      <c r="C55" t="inlineStr">
        <is>
          <t>외화순노출_백만$</t>
        </is>
      </c>
      <c r="D55" s="30" t="n"/>
      <c r="E55" s="2" t="inlineStr">
        <is>
          <t>외화 순노출 × Δ기말환율 (외화 시트 방식) — 외화 순노출 미공시(face) → 0 + 표기</t>
        </is>
      </c>
      <c r="F55" s="9" t="n"/>
      <c r="K55" s="9" t="n"/>
      <c r="P55" s="9" t="n"/>
      <c r="U55" s="9" t="n"/>
      <c r="Z55" s="9" t="n"/>
      <c r="AB55" s="5" t="n"/>
      <c r="AC55" s="10" t="n"/>
      <c r="AD55" s="10" t="n"/>
      <c r="AE55" s="11" t="n"/>
      <c r="AF55" s="10" t="n"/>
      <c r="AG55" s="10" t="n"/>
      <c r="AH55" s="10" t="n"/>
      <c r="AI55" s="10" t="n"/>
      <c r="AJ55" s="11" t="n"/>
      <c r="AK55" s="10" t="n"/>
      <c r="AL55" s="10" t="n"/>
      <c r="AM55" s="10" t="n"/>
      <c r="AN55" s="10" t="n"/>
      <c r="AO55" s="11" t="n"/>
    </row>
    <row r="56">
      <c r="A56" s="12" t="inlineStr">
        <is>
          <t>sc:헤지비율</t>
        </is>
      </c>
      <c r="C56" t="inlineStr">
        <is>
          <t>헤지비율</t>
        </is>
      </c>
      <c r="D56" s="24" t="n"/>
      <c r="E56" s="2" t="inlineStr">
        <is>
          <t>sls 없음</t>
        </is>
      </c>
      <c r="F56" s="9" t="n"/>
      <c r="K56" s="9" t="n"/>
      <c r="P56" s="9" t="n"/>
      <c r="U56" s="9" t="n"/>
      <c r="Z56" s="9" t="n"/>
      <c r="AB56" s="5" t="n"/>
      <c r="AC56" s="10" t="n"/>
      <c r="AD56" s="10" t="n"/>
      <c r="AE56" s="11" t="n"/>
      <c r="AF56" s="10" t="n"/>
      <c r="AG56" s="10" t="n"/>
      <c r="AH56" s="10" t="n"/>
      <c r="AI56" s="10" t="n"/>
      <c r="AJ56" s="11" t="n"/>
      <c r="AK56" s="10" t="n"/>
      <c r="AL56" s="10" t="n"/>
      <c r="AM56" s="10" t="n"/>
      <c r="AN56" s="10" t="n"/>
      <c r="AO56" s="11" t="n"/>
    </row>
    <row r="57">
      <c r="A57" s="12" t="inlineStr">
        <is>
          <t>sc:헤지환율_약정</t>
        </is>
      </c>
      <c r="C57" t="inlineStr">
        <is>
          <t>헤지환율_약정</t>
        </is>
      </c>
      <c r="D57" s="16" t="n"/>
      <c r="E57" s="2" t="inlineStr">
        <is>
          <t>sls 없음</t>
        </is>
      </c>
      <c r="F57" s="9" t="n"/>
      <c r="K57" s="9" t="n"/>
      <c r="P57" s="9" t="n"/>
      <c r="U57" s="9" t="n"/>
      <c r="Z57" s="9" t="n"/>
      <c r="AB57" s="5" t="n"/>
      <c r="AC57" s="10" t="n"/>
      <c r="AD57" s="10" t="n"/>
      <c r="AE57" s="11" t="n"/>
      <c r="AF57" s="10" t="n"/>
      <c r="AG57" s="10" t="n"/>
      <c r="AH57" s="10" t="n"/>
      <c r="AI57" s="10" t="n"/>
      <c r="AJ57" s="11" t="n"/>
      <c r="AK57" s="10" t="n"/>
      <c r="AL57" s="10" t="n"/>
      <c r="AM57" s="10" t="n"/>
      <c r="AN57" s="10" t="n"/>
      <c r="AO57" s="11" t="n"/>
    </row>
  </sheetData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O99"/>
  <sheetViews>
    <sheetView workbookViewId="0">
      <pane xSplit="4" ySplit="4" topLeftCell="E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9" customWidth="1" min="2" max="2"/>
    <col width="26" customWidth="1" min="3" max="3"/>
    <col width="30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</cols>
  <sheetData>
    <row r="1">
      <c r="B1" s="2" t="inlineStr">
        <is>
          <t>(백만원)</t>
        </is>
      </c>
      <c r="C1" s="2" t="inlineStr">
        <is>
          <t>이름: BS연결H</t>
        </is>
      </c>
      <c r="E1" s="3" t="inlineStr">
        <is>
          <t>4Q21</t>
        </is>
      </c>
      <c r="F1" s="3" t="n">
        <v>2021</v>
      </c>
      <c r="G1" s="3" t="inlineStr">
        <is>
          <t>1Q22</t>
        </is>
      </c>
      <c r="H1" s="3" t="inlineStr">
        <is>
          <t>2Q22</t>
        </is>
      </c>
      <c r="I1" s="3" t="inlineStr">
        <is>
          <t>3Q22</t>
        </is>
      </c>
      <c r="J1" s="3" t="inlineStr">
        <is>
          <t>4Q22</t>
        </is>
      </c>
      <c r="K1" s="3" t="n">
        <v>2022</v>
      </c>
      <c r="L1" s="3" t="inlineStr">
        <is>
          <t>1Q23</t>
        </is>
      </c>
      <c r="M1" s="3" t="inlineStr">
        <is>
          <t>2Q23</t>
        </is>
      </c>
      <c r="N1" s="3" t="inlineStr">
        <is>
          <t>3Q23</t>
        </is>
      </c>
      <c r="O1" s="3" t="inlineStr">
        <is>
          <t>4Q23</t>
        </is>
      </c>
      <c r="P1" s="3" t="n">
        <v>2023</v>
      </c>
      <c r="Q1" s="3" t="inlineStr">
        <is>
          <t>1Q24</t>
        </is>
      </c>
      <c r="R1" s="3" t="inlineStr">
        <is>
          <t>2Q24</t>
        </is>
      </c>
      <c r="S1" s="3" t="inlineStr">
        <is>
          <t>3Q24</t>
        </is>
      </c>
      <c r="T1" s="3" t="inlineStr">
        <is>
          <t>4Q24</t>
        </is>
      </c>
      <c r="U1" s="3" t="n">
        <v>2024</v>
      </c>
      <c r="V1" s="3" t="inlineStr">
        <is>
          <t>1Q25</t>
        </is>
      </c>
      <c r="W1" s="3" t="inlineStr">
        <is>
          <t>2Q25</t>
        </is>
      </c>
      <c r="X1" s="3" t="inlineStr">
        <is>
          <t>3Q25</t>
        </is>
      </c>
      <c r="Y1" s="3" t="inlineStr">
        <is>
          <t>4Q25</t>
        </is>
      </c>
      <c r="Z1" s="3" t="n">
        <v>2025</v>
      </c>
      <c r="AA1" s="3" t="inlineStr">
        <is>
          <t>1Q26</t>
        </is>
      </c>
      <c r="AB1" s="4" t="inlineStr">
        <is>
          <t>2Q26</t>
        </is>
      </c>
      <c r="AC1" s="3" t="inlineStr">
        <is>
          <t>3Q26</t>
        </is>
      </c>
      <c r="AD1" s="3" t="inlineStr">
        <is>
          <t>4Q26</t>
        </is>
      </c>
      <c r="AE1" s="3" t="n">
        <v>2026</v>
      </c>
      <c r="AF1" s="3" t="inlineStr">
        <is>
          <t>1Q27</t>
        </is>
      </c>
      <c r="AG1" s="3" t="inlineStr">
        <is>
          <t>2Q27</t>
        </is>
      </c>
      <c r="AH1" s="3" t="inlineStr">
        <is>
          <t>3Q27</t>
        </is>
      </c>
      <c r="AI1" s="3" t="inlineStr">
        <is>
          <t>4Q27</t>
        </is>
      </c>
      <c r="AJ1" s="3" t="n">
        <v>2027</v>
      </c>
      <c r="AK1" s="3" t="inlineStr">
        <is>
          <t>1Q28</t>
        </is>
      </c>
      <c r="AL1" s="3" t="inlineStr">
        <is>
          <t>2Q28</t>
        </is>
      </c>
      <c r="AM1" s="3" t="inlineStr">
        <is>
          <t>3Q28</t>
        </is>
      </c>
      <c r="AN1" s="3" t="inlineStr">
        <is>
          <t>4Q28</t>
        </is>
      </c>
      <c r="AO1" s="3" t="n">
        <v>2028</v>
      </c>
    </row>
    <row r="2">
      <c r="B2" t="inlineStr">
        <is>
          <t>연결</t>
        </is>
      </c>
      <c r="D2" s="2" t="inlineStr">
        <is>
          <t>fin json(kship_fin.py)</t>
        </is>
      </c>
      <c r="AB2" s="5" t="n"/>
    </row>
    <row r="3">
      <c r="B3" t="inlineStr">
        <is>
          <t>한라IMS(연)</t>
        </is>
      </c>
      <c r="C3" s="2" t="inlineStr">
        <is>
          <t>UPDATE: 26-10-13</t>
        </is>
      </c>
      <c r="E3" s="2" t="n">
        <v>1</v>
      </c>
      <c r="F3" s="2" t="n">
        <v>2</v>
      </c>
      <c r="G3" s="2" t="n">
        <v>3</v>
      </c>
      <c r="H3" s="2" t="n">
        <v>4</v>
      </c>
      <c r="I3" s="2" t="n">
        <v>5</v>
      </c>
      <c r="J3" s="2" t="n">
        <v>6</v>
      </c>
      <c r="K3" s="2" t="n">
        <v>7</v>
      </c>
      <c r="L3" s="2" t="n">
        <v>8</v>
      </c>
      <c r="M3" s="2" t="n">
        <v>9</v>
      </c>
      <c r="N3" s="2" t="n">
        <v>10</v>
      </c>
      <c r="O3" s="2" t="n">
        <v>11</v>
      </c>
      <c r="P3" s="2" t="n">
        <v>12</v>
      </c>
      <c r="Q3" s="2" t="n">
        <v>13</v>
      </c>
      <c r="R3" s="2" t="n">
        <v>14</v>
      </c>
      <c r="S3" s="2" t="n">
        <v>15</v>
      </c>
      <c r="T3" s="2" t="n">
        <v>16</v>
      </c>
      <c r="U3" s="2" t="n">
        <v>17</v>
      </c>
      <c r="V3" s="2" t="n">
        <v>18</v>
      </c>
      <c r="W3" s="2" t="n">
        <v>19</v>
      </c>
      <c r="X3" s="2" t="n">
        <v>20</v>
      </c>
      <c r="Y3" s="2" t="n">
        <v>21</v>
      </c>
      <c r="Z3" s="2" t="n">
        <v>22</v>
      </c>
      <c r="AA3" s="2" t="n">
        <v>23</v>
      </c>
      <c r="AB3" s="6" t="n">
        <v>24</v>
      </c>
      <c r="AC3" s="2" t="n">
        <v>25</v>
      </c>
      <c r="AD3" s="2" t="n">
        <v>26</v>
      </c>
      <c r="AE3" s="2" t="n">
        <v>27</v>
      </c>
      <c r="AF3" s="2" t="n">
        <v>28</v>
      </c>
      <c r="AG3" s="2" t="n">
        <v>29</v>
      </c>
      <c r="AH3" s="2" t="n">
        <v>30</v>
      </c>
      <c r="AI3" s="2" t="n">
        <v>31</v>
      </c>
      <c r="AJ3" s="2" t="n">
        <v>32</v>
      </c>
      <c r="AK3" s="2" t="n">
        <v>33</v>
      </c>
      <c r="AL3" s="2" t="n">
        <v>34</v>
      </c>
      <c r="AM3" s="2" t="n">
        <v>35</v>
      </c>
      <c r="AN3" s="2" t="n">
        <v>36</v>
      </c>
      <c r="AO3" s="2" t="n">
        <v>37</v>
      </c>
    </row>
    <row r="4">
      <c r="B4" s="2" t="inlineStr">
        <is>
          <t>Account Code</t>
        </is>
      </c>
      <c r="C4" s="2" t="inlineStr">
        <is>
          <t>AccountNAME</t>
        </is>
      </c>
      <c r="E4" s="7" t="inlineStr">
        <is>
          <t>2021.12</t>
        </is>
      </c>
      <c r="F4" s="7" t="inlineStr">
        <is>
          <t>2021.12A</t>
        </is>
      </c>
      <c r="G4" s="7" t="inlineStr">
        <is>
          <t>2022.03</t>
        </is>
      </c>
      <c r="H4" s="7" t="inlineStr">
        <is>
          <t>2022.06</t>
        </is>
      </c>
      <c r="I4" s="7" t="inlineStr">
        <is>
          <t>2022.09</t>
        </is>
      </c>
      <c r="J4" s="7" t="inlineStr">
        <is>
          <t>2022.12</t>
        </is>
      </c>
      <c r="K4" s="7" t="inlineStr">
        <is>
          <t>2022.12A</t>
        </is>
      </c>
      <c r="L4" s="7" t="inlineStr">
        <is>
          <t>2023.03</t>
        </is>
      </c>
      <c r="M4" s="7" t="inlineStr">
        <is>
          <t>2023.06</t>
        </is>
      </c>
      <c r="N4" s="7" t="inlineStr">
        <is>
          <t>2023.09</t>
        </is>
      </c>
      <c r="O4" s="7" t="inlineStr">
        <is>
          <t>2023.12</t>
        </is>
      </c>
      <c r="P4" s="7" t="inlineStr">
        <is>
          <t>2023.12A</t>
        </is>
      </c>
      <c r="Q4" s="7" t="inlineStr">
        <is>
          <t>2024.03</t>
        </is>
      </c>
      <c r="R4" s="7" t="inlineStr">
        <is>
          <t>2024.06</t>
        </is>
      </c>
      <c r="S4" s="7" t="inlineStr">
        <is>
          <t>2024.09</t>
        </is>
      </c>
      <c r="T4" s="7" t="inlineStr">
        <is>
          <t>2024.12</t>
        </is>
      </c>
      <c r="U4" s="7" t="inlineStr">
        <is>
          <t>2024.12A</t>
        </is>
      </c>
      <c r="V4" s="7" t="inlineStr">
        <is>
          <t>2025.03</t>
        </is>
      </c>
      <c r="W4" s="7" t="inlineStr">
        <is>
          <t>2025.06</t>
        </is>
      </c>
      <c r="X4" s="7" t="inlineStr">
        <is>
          <t>2025.09</t>
        </is>
      </c>
      <c r="Y4" s="7" t="inlineStr">
        <is>
          <t>2025.12</t>
        </is>
      </c>
      <c r="Z4" s="7" t="inlineStr">
        <is>
          <t>2025.12A</t>
        </is>
      </c>
      <c r="AA4" s="7" t="inlineStr">
        <is>
          <t>2026.03</t>
        </is>
      </c>
      <c r="AB4" s="8" t="inlineStr">
        <is>
          <t>2026.06</t>
        </is>
      </c>
      <c r="AC4" s="7" t="inlineStr">
        <is>
          <t>2026.09</t>
        </is>
      </c>
      <c r="AD4" s="7" t="inlineStr">
        <is>
          <t>2026.12</t>
        </is>
      </c>
      <c r="AE4" s="7" t="inlineStr">
        <is>
          <t>2026.12A</t>
        </is>
      </c>
      <c r="AF4" s="7" t="inlineStr">
        <is>
          <t>2027.03</t>
        </is>
      </c>
      <c r="AG4" s="7" t="inlineStr">
        <is>
          <t>2027.06</t>
        </is>
      </c>
      <c r="AH4" s="7" t="inlineStr">
        <is>
          <t>2027.09</t>
        </is>
      </c>
      <c r="AI4" s="7" t="inlineStr">
        <is>
          <t>2027.12</t>
        </is>
      </c>
      <c r="AJ4" s="7" t="inlineStr">
        <is>
          <t>2027.12A</t>
        </is>
      </c>
      <c r="AK4" s="7" t="inlineStr">
        <is>
          <t>2028.03</t>
        </is>
      </c>
      <c r="AL4" s="7" t="inlineStr">
        <is>
          <t>2028.06</t>
        </is>
      </c>
      <c r="AM4" s="7" t="inlineStr">
        <is>
          <t>2028.09</t>
        </is>
      </c>
      <c r="AN4" s="7" t="inlineStr">
        <is>
          <t>2028.12</t>
        </is>
      </c>
      <c r="AO4" s="7" t="inlineStr">
        <is>
          <t>2028.12A</t>
        </is>
      </c>
    </row>
    <row r="5">
      <c r="A5" t="n">
        <v>1</v>
      </c>
      <c r="C5" t="inlineStr">
        <is>
          <t>유동자산</t>
        </is>
      </c>
      <c r="E5" s="18" t="n">
        <v>58184.56</v>
      </c>
      <c r="F5" s="37" t="n">
        <v>58184.56</v>
      </c>
      <c r="G5" s="18" t="n">
        <v>64766.98</v>
      </c>
      <c r="H5" s="18" t="n">
        <v>68592.41</v>
      </c>
      <c r="I5" s="18" t="n">
        <v>67882.14999999999</v>
      </c>
      <c r="J5" s="18" t="n">
        <v>59772.59</v>
      </c>
      <c r="K5" s="37" t="n">
        <v>59772.59</v>
      </c>
      <c r="L5" s="18" t="n">
        <v>55000.24</v>
      </c>
      <c r="M5" s="18" t="n">
        <v>132657.18</v>
      </c>
      <c r="N5" s="18" t="n">
        <v>117208.18</v>
      </c>
      <c r="O5" s="18" t="n">
        <v>117547.77</v>
      </c>
      <c r="P5" s="37" t="n">
        <v>117547.77</v>
      </c>
      <c r="Q5" s="18" t="n">
        <v>118171.35</v>
      </c>
      <c r="R5" s="18" t="n">
        <v>103934.28</v>
      </c>
      <c r="S5" s="18" t="n">
        <v>96579.73</v>
      </c>
      <c r="T5" s="18" t="n">
        <v>123488.98</v>
      </c>
      <c r="U5" s="37" t="n">
        <v>123488.98</v>
      </c>
      <c r="V5" s="18" t="n">
        <v>127453.17</v>
      </c>
      <c r="W5" s="18" t="n">
        <v>106294.15</v>
      </c>
      <c r="X5" s="18" t="n">
        <v>96003.24000000001</v>
      </c>
      <c r="Y5" s="18" t="n">
        <v>128976.72</v>
      </c>
      <c r="Z5" s="37" t="n">
        <v>128976.72</v>
      </c>
      <c r="AA5" s="18" t="n">
        <v>109351.06</v>
      </c>
      <c r="AB5" s="19" t="n">
        <v>107126.58</v>
      </c>
      <c r="AC5" s="10" t="n"/>
      <c r="AD5" s="10" t="n"/>
      <c r="AE5" s="11" t="n"/>
      <c r="AF5" s="10" t="n"/>
      <c r="AG5" s="10" t="n"/>
      <c r="AH5" s="10" t="n"/>
      <c r="AI5" s="10" t="n"/>
      <c r="AJ5" s="11" t="n"/>
      <c r="AK5" s="10" t="n"/>
      <c r="AL5" s="10" t="n"/>
      <c r="AM5" s="10" t="n"/>
      <c r="AN5" s="10" t="n"/>
      <c r="AO5" s="11" t="n"/>
    </row>
    <row r="6">
      <c r="A6" t="n">
        <v>1</v>
      </c>
      <c r="C6" t="inlineStr">
        <is>
          <t>현금및현금성자산</t>
        </is>
      </c>
      <c r="E6" s="18" t="n">
        <v>10519.63</v>
      </c>
      <c r="F6" s="37" t="n">
        <v>10519.63</v>
      </c>
      <c r="G6" s="18" t="n">
        <v>9202.709999999999</v>
      </c>
      <c r="H6" s="18" t="n">
        <v>10198.39</v>
      </c>
      <c r="I6" s="18" t="n">
        <v>10430.67</v>
      </c>
      <c r="J6" s="18" t="n">
        <v>14063.97</v>
      </c>
      <c r="K6" s="37" t="n">
        <v>14063.97</v>
      </c>
      <c r="L6" s="18" t="n">
        <v>9797.450000000001</v>
      </c>
      <c r="M6" s="18" t="n">
        <v>6040.72</v>
      </c>
      <c r="N6" s="18" t="n">
        <v>17247.51</v>
      </c>
      <c r="O6" s="18" t="n">
        <v>8171.99</v>
      </c>
      <c r="P6" s="37" t="n">
        <v>8171.99</v>
      </c>
      <c r="Q6" s="18" t="n">
        <v>7327.38</v>
      </c>
      <c r="R6" s="18" t="n">
        <v>9142.35</v>
      </c>
      <c r="S6" s="18" t="n">
        <v>4649.49</v>
      </c>
      <c r="T6" s="18" t="n">
        <v>8225.25</v>
      </c>
      <c r="U6" s="37" t="n">
        <v>8225.25</v>
      </c>
      <c r="V6" s="18" t="n">
        <v>10464.41</v>
      </c>
      <c r="W6" s="18" t="n">
        <v>21269.29</v>
      </c>
      <c r="X6" s="18" t="n">
        <v>16577.18</v>
      </c>
      <c r="Y6" s="18" t="n">
        <v>52382.29</v>
      </c>
      <c r="Z6" s="37" t="n">
        <v>52382.29</v>
      </c>
      <c r="AA6" s="18" t="n">
        <v>25905.37</v>
      </c>
      <c r="AB6" s="19" t="n">
        <v>24888.83</v>
      </c>
      <c r="AC6" s="10" t="n"/>
      <c r="AD6" s="10" t="n"/>
      <c r="AE6" s="11" t="n"/>
      <c r="AF6" s="10" t="n"/>
      <c r="AG6" s="10" t="n"/>
      <c r="AH6" s="10" t="n"/>
      <c r="AI6" s="10" t="n"/>
      <c r="AJ6" s="11" t="n"/>
      <c r="AK6" s="10" t="n"/>
      <c r="AL6" s="10" t="n"/>
      <c r="AM6" s="10" t="n"/>
      <c r="AN6" s="10" t="n"/>
      <c r="AO6" s="11" t="n"/>
    </row>
    <row r="7">
      <c r="A7" t="n">
        <v>1</v>
      </c>
      <c r="C7" t="inlineStr">
        <is>
          <t>단기금융상품</t>
        </is>
      </c>
      <c r="E7" s="18" t="n">
        <v>3432.45</v>
      </c>
      <c r="F7" s="37" t="n">
        <v>3432.45</v>
      </c>
      <c r="G7" s="18" t="n">
        <v>3571.72</v>
      </c>
      <c r="H7" s="18" t="n">
        <v>3503.1</v>
      </c>
      <c r="I7" s="18" t="n">
        <v>3437.71</v>
      </c>
      <c r="J7" s="18" t="n">
        <v>3705.94</v>
      </c>
      <c r="K7" s="37" t="n">
        <v>3705.94</v>
      </c>
      <c r="L7" s="18" t="n">
        <v>3480.38</v>
      </c>
      <c r="M7" s="18" t="n">
        <v>21291.55</v>
      </c>
      <c r="N7" s="18" t="n">
        <v>21326.97</v>
      </c>
      <c r="O7" s="18" t="n">
        <v>23002.38</v>
      </c>
      <c r="P7" s="37" t="n">
        <v>23002.38</v>
      </c>
      <c r="Q7" s="18" t="n">
        <v>4333</v>
      </c>
      <c r="R7" s="18" t="n">
        <v>4338.1</v>
      </c>
      <c r="S7" s="18" t="n">
        <v>4336.84</v>
      </c>
      <c r="T7" s="18" t="n">
        <v>7499.76</v>
      </c>
      <c r="U7" s="37" t="n">
        <v>7499.76</v>
      </c>
      <c r="V7" s="18" t="n">
        <v>6481.55</v>
      </c>
      <c r="W7" s="18" t="n">
        <v>4439.16</v>
      </c>
      <c r="X7" s="18" t="n">
        <v>4446.82</v>
      </c>
      <c r="Y7" s="18" t="n">
        <v>4454.76</v>
      </c>
      <c r="Z7" s="37" t="n">
        <v>4454.76</v>
      </c>
      <c r="AA7" s="18" t="n">
        <v>1518.7</v>
      </c>
      <c r="AB7" s="19" t="n">
        <v>1526.97</v>
      </c>
      <c r="AC7" s="10" t="n"/>
      <c r="AD7" s="10" t="n"/>
      <c r="AE7" s="11" t="n"/>
      <c r="AF7" s="10" t="n"/>
      <c r="AG7" s="10" t="n"/>
      <c r="AH7" s="10" t="n"/>
      <c r="AI7" s="10" t="n"/>
      <c r="AJ7" s="11" t="n"/>
      <c r="AK7" s="10" t="n"/>
      <c r="AL7" s="10" t="n"/>
      <c r="AM7" s="10" t="n"/>
      <c r="AN7" s="10" t="n"/>
      <c r="AO7" s="11" t="n"/>
    </row>
    <row r="8">
      <c r="A8" t="n">
        <v>1</v>
      </c>
      <c r="C8" t="inlineStr">
        <is>
          <t>단기금융자산</t>
        </is>
      </c>
      <c r="E8" s="18" t="n">
        <v>3432.45</v>
      </c>
      <c r="F8" s="37" t="n">
        <v>3432.45</v>
      </c>
      <c r="G8" s="18" t="n">
        <v>3571.72</v>
      </c>
      <c r="H8" s="18" t="n">
        <v>3503.1</v>
      </c>
      <c r="I8" s="18" t="n">
        <v>3437.71</v>
      </c>
      <c r="J8" s="18" t="n">
        <v>3705.94</v>
      </c>
      <c r="K8" s="37" t="n">
        <v>3705.94</v>
      </c>
      <c r="L8" s="18" t="n">
        <v>3480.38</v>
      </c>
      <c r="M8" s="18" t="n">
        <v>21291.55</v>
      </c>
      <c r="N8" s="18" t="n">
        <v>21326.97</v>
      </c>
      <c r="O8" s="18" t="n">
        <v>23002.38</v>
      </c>
      <c r="P8" s="37" t="n">
        <v>23002.38</v>
      </c>
      <c r="Q8" s="18" t="n">
        <v>4333</v>
      </c>
      <c r="R8" s="18" t="n">
        <v>4338.1</v>
      </c>
      <c r="S8" s="18" t="n">
        <v>4336.84</v>
      </c>
      <c r="T8" s="18" t="n">
        <v>7499.76</v>
      </c>
      <c r="U8" s="37" t="n">
        <v>7499.76</v>
      </c>
      <c r="V8" s="18" t="n">
        <v>6481.55</v>
      </c>
      <c r="W8" s="18" t="n">
        <v>4439.16</v>
      </c>
      <c r="X8" s="18" t="n">
        <v>4446.82</v>
      </c>
      <c r="Y8" s="18" t="n">
        <v>4454.76</v>
      </c>
      <c r="Z8" s="37" t="n">
        <v>4454.76</v>
      </c>
      <c r="AA8" s="18" t="n">
        <v>1518.7</v>
      </c>
      <c r="AB8" s="19" t="n">
        <v>1526.97</v>
      </c>
      <c r="AC8" s="10" t="n"/>
      <c r="AD8" s="10" t="n"/>
      <c r="AE8" s="11" t="n"/>
      <c r="AF8" s="10" t="n"/>
      <c r="AG8" s="10" t="n"/>
      <c r="AH8" s="10" t="n"/>
      <c r="AI8" s="10" t="n"/>
      <c r="AJ8" s="11" t="n"/>
      <c r="AK8" s="10" t="n"/>
      <c r="AL8" s="10" t="n"/>
      <c r="AM8" s="10" t="n"/>
      <c r="AN8" s="10" t="n"/>
      <c r="AO8" s="11" t="n"/>
    </row>
    <row r="9">
      <c r="A9" t="n">
        <v>1</v>
      </c>
      <c r="C9" t="inlineStr">
        <is>
          <t>매출채권및기타채권</t>
        </is>
      </c>
      <c r="E9" s="18" t="n">
        <v>8267.66</v>
      </c>
      <c r="F9" s="37" t="n">
        <v>8267.66</v>
      </c>
      <c r="G9" s="18" t="n">
        <v>11059.01</v>
      </c>
      <c r="H9" s="18" t="n">
        <v>14590.7</v>
      </c>
      <c r="I9" s="18" t="n">
        <v>14424.97</v>
      </c>
      <c r="J9" s="18" t="n">
        <v>11946.93</v>
      </c>
      <c r="K9" s="37" t="n">
        <v>11946.93</v>
      </c>
      <c r="L9" s="18" t="n">
        <v>10921.99</v>
      </c>
      <c r="M9" s="18" t="n">
        <v>7081.01</v>
      </c>
      <c r="N9" s="18" t="n">
        <v>8508.799999999999</v>
      </c>
      <c r="O9" s="18" t="n">
        <v>8540.41</v>
      </c>
      <c r="P9" s="37" t="n">
        <v>8540.41</v>
      </c>
      <c r="Q9" s="18" t="n">
        <v>9903.459999999999</v>
      </c>
      <c r="R9" s="18" t="n">
        <v>11552.69</v>
      </c>
      <c r="S9" s="18" t="n">
        <v>9140.33</v>
      </c>
      <c r="T9" s="18" t="n">
        <v>16148.76</v>
      </c>
      <c r="U9" s="37" t="n">
        <v>16148.76</v>
      </c>
      <c r="V9" s="18" t="n">
        <v>14902.6</v>
      </c>
      <c r="W9" s="18" t="n">
        <v>17620.31</v>
      </c>
      <c r="X9" s="18" t="n">
        <v>15855.85</v>
      </c>
      <c r="Y9" s="18" t="n">
        <v>19516.77</v>
      </c>
      <c r="Z9" s="37" t="n">
        <v>19516.77</v>
      </c>
      <c r="AA9" s="18" t="n">
        <v>21813.5</v>
      </c>
      <c r="AB9" s="19" t="n">
        <v>21101.03</v>
      </c>
      <c r="AC9" s="10" t="n"/>
      <c r="AD9" s="10" t="n"/>
      <c r="AE9" s="11" t="n"/>
      <c r="AF9" s="10" t="n"/>
      <c r="AG9" s="10" t="n"/>
      <c r="AH9" s="10" t="n"/>
      <c r="AI9" s="10" t="n"/>
      <c r="AJ9" s="11" t="n"/>
      <c r="AK9" s="10" t="n"/>
      <c r="AL9" s="10" t="n"/>
      <c r="AM9" s="10" t="n"/>
      <c r="AN9" s="10" t="n"/>
      <c r="AO9" s="11" t="n"/>
    </row>
    <row r="10">
      <c r="A10" t="n">
        <v>1</v>
      </c>
      <c r="C10" t="inlineStr">
        <is>
          <t>재고자산</t>
        </is>
      </c>
      <c r="E10" s="18" t="n">
        <v>14362.6</v>
      </c>
      <c r="F10" s="37" t="n">
        <v>14362.6</v>
      </c>
      <c r="G10" s="18" t="n">
        <v>17441.75</v>
      </c>
      <c r="H10" s="18" t="n">
        <v>21083.24</v>
      </c>
      <c r="I10" s="18" t="n">
        <v>20563.59</v>
      </c>
      <c r="J10" s="18" t="n">
        <v>18949.36</v>
      </c>
      <c r="K10" s="37" t="n">
        <v>18949.36</v>
      </c>
      <c r="L10" s="18" t="n">
        <v>20839.35</v>
      </c>
      <c r="M10" s="18" t="n">
        <v>21815.27</v>
      </c>
      <c r="N10" s="18" t="n">
        <v>23120.18</v>
      </c>
      <c r="O10" s="18" t="n">
        <v>24098.7</v>
      </c>
      <c r="P10" s="37" t="n">
        <v>24098.7</v>
      </c>
      <c r="Q10" s="18" t="n">
        <v>22834.3</v>
      </c>
      <c r="R10" s="18" t="n">
        <v>20524.37</v>
      </c>
      <c r="S10" s="18" t="n">
        <v>23014.22</v>
      </c>
      <c r="T10" s="18" t="n">
        <v>24031.69</v>
      </c>
      <c r="U10" s="37" t="n">
        <v>24031.69</v>
      </c>
      <c r="V10" s="18" t="n">
        <v>28714.01</v>
      </c>
      <c r="W10" s="18" t="n">
        <v>28977.73</v>
      </c>
      <c r="X10" s="18" t="n">
        <v>31952.33</v>
      </c>
      <c r="Y10" s="18" t="n">
        <v>31172.99</v>
      </c>
      <c r="Z10" s="37" t="n">
        <v>31172.99</v>
      </c>
      <c r="AA10" s="18" t="n">
        <v>35085.92</v>
      </c>
      <c r="AB10" s="19" t="n">
        <v>41062.97</v>
      </c>
      <c r="AC10" s="10" t="n"/>
      <c r="AD10" s="10" t="n"/>
      <c r="AE10" s="11" t="n"/>
      <c r="AF10" s="10" t="n"/>
      <c r="AG10" s="10" t="n"/>
      <c r="AH10" s="10" t="n"/>
      <c r="AI10" s="10" t="n"/>
      <c r="AJ10" s="11" t="n"/>
      <c r="AK10" s="10" t="n"/>
      <c r="AL10" s="10" t="n"/>
      <c r="AM10" s="10" t="n"/>
      <c r="AN10" s="10" t="n"/>
      <c r="AO10" s="11" t="n"/>
    </row>
    <row r="11">
      <c r="A11" t="n">
        <v>1</v>
      </c>
      <c r="C11" t="inlineStr">
        <is>
          <t>당기법인세자산(선급법인세)</t>
        </is>
      </c>
      <c r="E11" s="18" t="n">
        <v>118.78</v>
      </c>
      <c r="F11" s="37" t="n">
        <v>118.78</v>
      </c>
      <c r="G11" s="18" t="n">
        <v>118.78</v>
      </c>
      <c r="H11" s="18" t="n">
        <v>0</v>
      </c>
      <c r="I11" s="18" t="n">
        <v>17.15</v>
      </c>
      <c r="J11" s="18" t="n">
        <v>0</v>
      </c>
      <c r="K11" s="37" t="n">
        <v>0</v>
      </c>
      <c r="P11" s="9" t="n"/>
      <c r="U11" s="9" t="n"/>
      <c r="Y11" s="18" t="n">
        <v>77.23</v>
      </c>
      <c r="Z11" s="37" t="n">
        <v>77.23</v>
      </c>
      <c r="AA11" s="18" t="n">
        <v>82.48</v>
      </c>
      <c r="AB11" s="5" t="n"/>
      <c r="AC11" s="10" t="n"/>
      <c r="AD11" s="10" t="n"/>
      <c r="AE11" s="11" t="n"/>
      <c r="AF11" s="10" t="n"/>
      <c r="AG11" s="10" t="n"/>
      <c r="AH11" s="10" t="n"/>
      <c r="AI11" s="10" t="n"/>
      <c r="AJ11" s="11" t="n"/>
      <c r="AK11" s="10" t="n"/>
      <c r="AL11" s="10" t="n"/>
      <c r="AM11" s="10" t="n"/>
      <c r="AN11" s="10" t="n"/>
      <c r="AO11" s="11" t="n"/>
    </row>
    <row r="12">
      <c r="A12" t="n">
        <v>1</v>
      </c>
      <c r="C12" t="inlineStr">
        <is>
          <t>기타유동자산</t>
        </is>
      </c>
      <c r="E12" s="18" t="n">
        <v>2950.77</v>
      </c>
      <c r="F12" s="37" t="n">
        <v>2950.77</v>
      </c>
      <c r="G12" s="18" t="n">
        <v>8556.780000000001</v>
      </c>
      <c r="H12" s="18" t="n">
        <v>9026.43</v>
      </c>
      <c r="I12" s="18" t="n">
        <v>8783.5</v>
      </c>
      <c r="J12" s="18" t="n">
        <v>4084.7</v>
      </c>
      <c r="K12" s="37" t="n">
        <v>4084.7</v>
      </c>
      <c r="L12" s="18" t="n">
        <v>4208.41</v>
      </c>
      <c r="M12" s="18" t="n">
        <v>6759.3</v>
      </c>
      <c r="N12" s="18" t="n">
        <v>8043.18</v>
      </c>
      <c r="O12" s="18" t="n">
        <v>7089.05</v>
      </c>
      <c r="P12" s="37" t="n">
        <v>7089.05</v>
      </c>
      <c r="Q12" s="18" t="n">
        <v>20002.88</v>
      </c>
      <c r="R12" s="18" t="n">
        <v>11182.52</v>
      </c>
      <c r="S12" s="18" t="n">
        <v>11492.73</v>
      </c>
      <c r="T12" s="18" t="n">
        <v>10179.75</v>
      </c>
      <c r="U12" s="37" t="n">
        <v>10179.75</v>
      </c>
      <c r="V12" s="18" t="n">
        <v>11513.16</v>
      </c>
      <c r="W12" s="18" t="n">
        <v>9392.059999999999</v>
      </c>
      <c r="X12" s="18" t="n">
        <v>10247.61</v>
      </c>
      <c r="Y12" s="18" t="n">
        <v>9367.07</v>
      </c>
      <c r="Z12" s="37" t="n">
        <v>9367.07</v>
      </c>
      <c r="AA12" s="18" t="n">
        <v>13349.94</v>
      </c>
      <c r="AB12" s="19" t="n">
        <v>11469.39</v>
      </c>
      <c r="AC12" s="10" t="n"/>
      <c r="AD12" s="10" t="n"/>
      <c r="AE12" s="11" t="n"/>
      <c r="AF12" s="10" t="n"/>
      <c r="AG12" s="10" t="n"/>
      <c r="AH12" s="10" t="n"/>
      <c r="AI12" s="10" t="n"/>
      <c r="AJ12" s="11" t="n"/>
      <c r="AK12" s="10" t="n"/>
      <c r="AL12" s="10" t="n"/>
      <c r="AM12" s="10" t="n"/>
      <c r="AN12" s="10" t="n"/>
      <c r="AO12" s="11" t="n"/>
    </row>
    <row r="13">
      <c r="A13" t="n">
        <v>1</v>
      </c>
      <c r="C13" t="inlineStr">
        <is>
          <t>비유동자산</t>
        </is>
      </c>
      <c r="E13" s="18" t="n">
        <v>120367.69</v>
      </c>
      <c r="F13" s="37" t="n">
        <v>120367.69</v>
      </c>
      <c r="G13" s="18" t="n">
        <v>121509.94</v>
      </c>
      <c r="H13" s="18" t="n">
        <v>120532.12</v>
      </c>
      <c r="I13" s="18" t="n">
        <v>117745.78</v>
      </c>
      <c r="J13" s="18" t="n">
        <v>119083</v>
      </c>
      <c r="K13" s="37" t="n">
        <v>119083</v>
      </c>
      <c r="L13" s="18" t="n">
        <v>118665.24</v>
      </c>
      <c r="M13" s="18" t="n">
        <v>93445.39999999999</v>
      </c>
      <c r="N13" s="18" t="n">
        <v>107112.84</v>
      </c>
      <c r="O13" s="18" t="n">
        <v>104027.59</v>
      </c>
      <c r="P13" s="37" t="n">
        <v>104027.59</v>
      </c>
      <c r="Q13" s="18" t="n">
        <v>102544.74</v>
      </c>
      <c r="R13" s="18" t="n">
        <v>112435.3</v>
      </c>
      <c r="S13" s="18" t="n">
        <v>108768.14</v>
      </c>
      <c r="T13" s="18" t="n">
        <v>84793.17</v>
      </c>
      <c r="U13" s="37" t="n">
        <v>84793.17</v>
      </c>
      <c r="V13" s="18" t="n">
        <v>91311.73</v>
      </c>
      <c r="W13" s="18" t="n">
        <v>114490.3</v>
      </c>
      <c r="X13" s="18" t="n">
        <v>134238.07</v>
      </c>
      <c r="Y13" s="18" t="n">
        <v>112758.81</v>
      </c>
      <c r="Z13" s="37" t="n">
        <v>112758.81</v>
      </c>
      <c r="AA13" s="18" t="n">
        <v>191802.2</v>
      </c>
      <c r="AB13" s="19" t="n">
        <v>191469.59</v>
      </c>
      <c r="AC13" s="10" t="n"/>
      <c r="AD13" s="10" t="n"/>
      <c r="AE13" s="11" t="n"/>
      <c r="AF13" s="10" t="n"/>
      <c r="AG13" s="10" t="n"/>
      <c r="AH13" s="10" t="n"/>
      <c r="AI13" s="10" t="n"/>
      <c r="AJ13" s="11" t="n"/>
      <c r="AK13" s="10" t="n"/>
      <c r="AL13" s="10" t="n"/>
      <c r="AM13" s="10" t="n"/>
      <c r="AN13" s="10" t="n"/>
      <c r="AO13" s="11" t="n"/>
    </row>
    <row r="14">
      <c r="A14" t="n">
        <v>1</v>
      </c>
      <c r="C14" t="inlineStr">
        <is>
          <t>장기금융자산</t>
        </is>
      </c>
      <c r="E14" s="18" t="n">
        <v>677.16</v>
      </c>
      <c r="F14" s="37" t="n">
        <v>677.16</v>
      </c>
      <c r="G14" s="18" t="n">
        <v>643.29</v>
      </c>
      <c r="H14" s="18" t="n">
        <v>821.1</v>
      </c>
      <c r="I14" s="18" t="n">
        <v>897.33</v>
      </c>
      <c r="J14" s="18" t="n">
        <v>1.2</v>
      </c>
      <c r="K14" s="37" t="n">
        <v>1.2</v>
      </c>
      <c r="L14" s="18" t="n">
        <v>1.2</v>
      </c>
      <c r="N14" s="18" t="n">
        <v>38811.9</v>
      </c>
      <c r="O14" s="18" t="n">
        <v>36365.35</v>
      </c>
      <c r="P14" s="37" t="n">
        <v>36365.35</v>
      </c>
      <c r="Q14" s="18" t="n">
        <v>34756.86</v>
      </c>
      <c r="R14" s="18" t="n">
        <v>34563.74</v>
      </c>
      <c r="S14" s="18" t="n">
        <v>30365.43</v>
      </c>
      <c r="T14" s="18" t="n">
        <v>4000.38</v>
      </c>
      <c r="U14" s="37" t="n">
        <v>4000.38</v>
      </c>
      <c r="V14" s="18" t="n">
        <v>10212.05</v>
      </c>
      <c r="W14" s="18" t="n">
        <v>34034.66</v>
      </c>
      <c r="X14" s="18" t="n">
        <v>54750.06</v>
      </c>
      <c r="Y14" s="18" t="n">
        <v>20797.37</v>
      </c>
      <c r="Z14" s="37" t="n">
        <v>20797.37</v>
      </c>
      <c r="AA14" s="18" t="n">
        <v>2713.55</v>
      </c>
      <c r="AB14" s="19" t="n">
        <v>1521.44</v>
      </c>
      <c r="AC14" s="10" t="n"/>
      <c r="AD14" s="10" t="n"/>
      <c r="AE14" s="11" t="n"/>
      <c r="AF14" s="10" t="n"/>
      <c r="AG14" s="10" t="n"/>
      <c r="AH14" s="10" t="n"/>
      <c r="AI14" s="10" t="n"/>
      <c r="AJ14" s="11" t="n"/>
      <c r="AK14" s="10" t="n"/>
      <c r="AL14" s="10" t="n"/>
      <c r="AM14" s="10" t="n"/>
      <c r="AN14" s="10" t="n"/>
      <c r="AO14" s="11" t="n"/>
    </row>
    <row r="15">
      <c r="A15" t="n">
        <v>1</v>
      </c>
      <c r="C15" t="inlineStr">
        <is>
          <t>투자자산</t>
        </is>
      </c>
      <c r="E15" s="18" t="n">
        <v>677.16</v>
      </c>
      <c r="F15" s="37" t="n">
        <v>677.16</v>
      </c>
      <c r="G15" s="18" t="n">
        <v>643.29</v>
      </c>
      <c r="H15" s="18" t="n">
        <v>821.1</v>
      </c>
      <c r="I15" s="18" t="n">
        <v>897.33</v>
      </c>
      <c r="J15" s="18" t="n">
        <v>1.2</v>
      </c>
      <c r="K15" s="37" t="n">
        <v>1.2</v>
      </c>
      <c r="L15" s="18" t="n">
        <v>1.2</v>
      </c>
      <c r="N15" s="18" t="n">
        <v>38811.9</v>
      </c>
      <c r="O15" s="18" t="n">
        <v>36365.35</v>
      </c>
      <c r="P15" s="37" t="n">
        <v>36365.35</v>
      </c>
      <c r="Q15" s="18" t="n">
        <v>34756.86</v>
      </c>
      <c r="R15" s="18" t="n">
        <v>34563.74</v>
      </c>
      <c r="S15" s="18" t="n">
        <v>30365.43</v>
      </c>
      <c r="T15" s="18" t="n">
        <v>4000.38</v>
      </c>
      <c r="U15" s="37" t="n">
        <v>4000.38</v>
      </c>
      <c r="V15" s="18" t="n">
        <v>10212.05</v>
      </c>
      <c r="W15" s="18" t="n">
        <v>34034.66</v>
      </c>
      <c r="X15" s="18" t="n">
        <v>54750.06</v>
      </c>
      <c r="Y15" s="18" t="n">
        <v>20797.37</v>
      </c>
      <c r="Z15" s="37" t="n">
        <v>20797.37</v>
      </c>
      <c r="AA15" s="18" t="n">
        <v>2713.55</v>
      </c>
      <c r="AB15" s="19" t="n">
        <v>1521.44</v>
      </c>
      <c r="AC15" s="10" t="n"/>
      <c r="AD15" s="10" t="n"/>
      <c r="AE15" s="11" t="n"/>
      <c r="AF15" s="10" t="n"/>
      <c r="AG15" s="10" t="n"/>
      <c r="AH15" s="10" t="n"/>
      <c r="AI15" s="10" t="n"/>
      <c r="AJ15" s="11" t="n"/>
      <c r="AK15" s="10" t="n"/>
      <c r="AL15" s="10" t="n"/>
      <c r="AM15" s="10" t="n"/>
      <c r="AN15" s="10" t="n"/>
      <c r="AO15" s="11" t="n"/>
    </row>
    <row r="16">
      <c r="A16" t="n">
        <v>1</v>
      </c>
      <c r="C16" t="inlineStr">
        <is>
          <t>장기매출채권및기타채권</t>
        </is>
      </c>
      <c r="E16" s="18" t="n">
        <v>343.6</v>
      </c>
      <c r="F16" s="37" t="n">
        <v>343.6</v>
      </c>
      <c r="G16" s="18" t="n">
        <v>344.09</v>
      </c>
      <c r="H16" s="18" t="n">
        <v>348.74</v>
      </c>
      <c r="I16" s="18" t="n">
        <v>348.84</v>
      </c>
      <c r="J16" s="18" t="n">
        <v>232.08</v>
      </c>
      <c r="K16" s="37" t="n">
        <v>232.08</v>
      </c>
      <c r="L16" s="18" t="n">
        <v>235.62</v>
      </c>
      <c r="M16" s="18" t="n">
        <v>68.91</v>
      </c>
      <c r="N16" s="18" t="n">
        <v>147.56</v>
      </c>
      <c r="O16" s="18" t="n">
        <v>150.35</v>
      </c>
      <c r="P16" s="37" t="n">
        <v>150.35</v>
      </c>
      <c r="Q16" s="18" t="n">
        <v>150.7</v>
      </c>
      <c r="R16" s="18" t="n">
        <v>146.97</v>
      </c>
      <c r="S16" s="18" t="n">
        <v>159.67</v>
      </c>
      <c r="T16" s="18" t="n">
        <v>199.47</v>
      </c>
      <c r="U16" s="37" t="n">
        <v>199.47</v>
      </c>
      <c r="V16" s="18" t="n">
        <v>209.37</v>
      </c>
      <c r="W16" s="18" t="n">
        <v>206.54</v>
      </c>
      <c r="X16" s="18" t="n">
        <v>203.45</v>
      </c>
      <c r="Y16" s="18" t="n">
        <v>192.18</v>
      </c>
      <c r="Z16" s="37" t="n">
        <v>192.18</v>
      </c>
      <c r="AA16" s="18" t="n">
        <v>191.93</v>
      </c>
      <c r="AB16" s="19" t="n">
        <v>202.88</v>
      </c>
      <c r="AC16" s="10" t="n"/>
      <c r="AD16" s="10" t="n"/>
      <c r="AE16" s="11" t="n"/>
      <c r="AF16" s="10" t="n"/>
      <c r="AG16" s="10" t="n"/>
      <c r="AH16" s="10" t="n"/>
      <c r="AI16" s="10" t="n"/>
      <c r="AJ16" s="11" t="n"/>
      <c r="AK16" s="10" t="n"/>
      <c r="AL16" s="10" t="n"/>
      <c r="AM16" s="10" t="n"/>
      <c r="AN16" s="10" t="n"/>
      <c r="AO16" s="11" t="n"/>
    </row>
    <row r="17">
      <c r="A17" t="n">
        <v>1</v>
      </c>
      <c r="C17" t="inlineStr">
        <is>
          <t>유형자산</t>
        </is>
      </c>
      <c r="E17" s="18" t="n">
        <v>78795.21000000001</v>
      </c>
      <c r="F17" s="37" t="n">
        <v>78795.21000000001</v>
      </c>
      <c r="G17" s="18" t="n">
        <v>79258.64</v>
      </c>
      <c r="H17" s="18" t="n">
        <v>79028.55</v>
      </c>
      <c r="I17" s="18" t="n">
        <v>79626.45</v>
      </c>
      <c r="J17" s="18" t="n">
        <v>81451.91</v>
      </c>
      <c r="K17" s="37" t="n">
        <v>81451.91</v>
      </c>
      <c r="L17" s="18" t="n">
        <v>81794.57000000001</v>
      </c>
      <c r="M17" s="18" t="n">
        <v>54526.56</v>
      </c>
      <c r="N17" s="18" t="n">
        <v>54140.37</v>
      </c>
      <c r="O17" s="18" t="n">
        <v>53541.48</v>
      </c>
      <c r="P17" s="37" t="n">
        <v>53541.48</v>
      </c>
      <c r="Q17" s="18" t="n">
        <v>53773.03</v>
      </c>
      <c r="R17" s="18" t="n">
        <v>63487.64</v>
      </c>
      <c r="S17" s="18" t="n">
        <v>63962.09</v>
      </c>
      <c r="T17" s="18" t="n">
        <v>64915.33</v>
      </c>
      <c r="U17" s="37" t="n">
        <v>64915.33</v>
      </c>
      <c r="V17" s="18" t="n">
        <v>65298.37</v>
      </c>
      <c r="W17" s="18" t="n">
        <v>64710.34</v>
      </c>
      <c r="X17" s="18" t="n">
        <v>64819.93</v>
      </c>
      <c r="Y17" s="18" t="n">
        <v>71578.83</v>
      </c>
      <c r="Z17" s="37" t="n">
        <v>71578.83</v>
      </c>
      <c r="AA17" s="18" t="n">
        <v>168539.73</v>
      </c>
      <c r="AB17" s="19" t="n">
        <v>168821.05</v>
      </c>
      <c r="AC17" s="10" t="n"/>
      <c r="AD17" s="10" t="n"/>
      <c r="AE17" s="11" t="n"/>
      <c r="AF17" s="10" t="n"/>
      <c r="AG17" s="10" t="n"/>
      <c r="AH17" s="10" t="n"/>
      <c r="AI17" s="10" t="n"/>
      <c r="AJ17" s="11" t="n"/>
      <c r="AK17" s="10" t="n"/>
      <c r="AL17" s="10" t="n"/>
      <c r="AM17" s="10" t="n"/>
      <c r="AN17" s="10" t="n"/>
      <c r="AO17" s="11" t="n"/>
    </row>
    <row r="18">
      <c r="A18" t="n">
        <v>1</v>
      </c>
      <c r="C18" t="inlineStr">
        <is>
          <t>투자부동산</t>
        </is>
      </c>
      <c r="E18" s="18" t="n">
        <v>22018.31</v>
      </c>
      <c r="F18" s="37" t="n">
        <v>22018.31</v>
      </c>
      <c r="G18" s="18" t="n">
        <v>22121.9</v>
      </c>
      <c r="H18" s="18" t="n">
        <v>22013.31</v>
      </c>
      <c r="I18" s="18" t="n">
        <v>22049.39</v>
      </c>
      <c r="J18" s="18" t="n">
        <v>21816.55</v>
      </c>
      <c r="K18" s="37" t="n">
        <v>21816.55</v>
      </c>
      <c r="L18" s="18" t="n">
        <v>21860.69</v>
      </c>
      <c r="M18" s="18" t="n">
        <v>10991.11</v>
      </c>
      <c r="N18" s="18" t="n">
        <v>10987.48</v>
      </c>
      <c r="O18" s="18" t="n">
        <v>10914.57</v>
      </c>
      <c r="P18" s="37" t="n">
        <v>10914.57</v>
      </c>
      <c r="Q18" s="18" t="n">
        <v>10927.79</v>
      </c>
      <c r="R18" s="18" t="n">
        <v>10937.89</v>
      </c>
      <c r="S18" s="18" t="n">
        <v>10882.89</v>
      </c>
      <c r="T18" s="18" t="n">
        <v>10970.72</v>
      </c>
      <c r="U18" s="37" t="n">
        <v>10970.72</v>
      </c>
      <c r="V18" s="18" t="n">
        <v>10936.01</v>
      </c>
      <c r="W18" s="18" t="n">
        <v>10773.66</v>
      </c>
      <c r="X18" s="18" t="n">
        <v>10810.81</v>
      </c>
      <c r="Y18" s="18" t="n">
        <v>13578.65</v>
      </c>
      <c r="Z18" s="37" t="n">
        <v>13578.65</v>
      </c>
      <c r="AA18" s="18" t="n">
        <v>13631.81</v>
      </c>
      <c r="AB18" s="19" t="n">
        <v>13644.39</v>
      </c>
      <c r="AC18" s="10" t="n"/>
      <c r="AD18" s="10" t="n"/>
      <c r="AE18" s="11" t="n"/>
      <c r="AF18" s="10" t="n"/>
      <c r="AG18" s="10" t="n"/>
      <c r="AH18" s="10" t="n"/>
      <c r="AI18" s="10" t="n"/>
      <c r="AJ18" s="11" t="n"/>
      <c r="AK18" s="10" t="n"/>
      <c r="AL18" s="10" t="n"/>
      <c r="AM18" s="10" t="n"/>
      <c r="AN18" s="10" t="n"/>
      <c r="AO18" s="11" t="n"/>
    </row>
    <row r="19">
      <c r="A19" t="n">
        <v>1</v>
      </c>
      <c r="C19" t="inlineStr">
        <is>
          <t>무형자산</t>
        </is>
      </c>
      <c r="E19" s="18" t="n">
        <v>2543.58</v>
      </c>
      <c r="F19" s="37" t="n">
        <v>2543.58</v>
      </c>
      <c r="G19" s="18" t="n">
        <v>2669.65</v>
      </c>
      <c r="H19" s="18" t="n">
        <v>2994.77</v>
      </c>
      <c r="I19" s="18" t="n">
        <v>3012.06</v>
      </c>
      <c r="J19" s="18" t="n">
        <v>1013.54</v>
      </c>
      <c r="K19" s="37" t="n">
        <v>1013.54</v>
      </c>
      <c r="L19" s="18" t="n">
        <v>982.15</v>
      </c>
      <c r="M19" s="18" t="n">
        <v>944.09</v>
      </c>
      <c r="N19" s="18" t="n">
        <v>906.89</v>
      </c>
      <c r="O19" s="18" t="n">
        <v>889.86</v>
      </c>
      <c r="P19" s="37" t="n">
        <v>889.86</v>
      </c>
      <c r="Q19" s="18" t="n">
        <v>877.34</v>
      </c>
      <c r="R19" s="18" t="n">
        <v>914.86</v>
      </c>
      <c r="S19" s="18" t="n">
        <v>871.74</v>
      </c>
      <c r="T19" s="18" t="n">
        <v>864.3099999999999</v>
      </c>
      <c r="U19" s="37" t="n">
        <v>864.3099999999999</v>
      </c>
      <c r="V19" s="18" t="n">
        <v>831.91</v>
      </c>
      <c r="W19" s="18" t="n">
        <v>895.29</v>
      </c>
      <c r="X19" s="18" t="n">
        <v>865.4</v>
      </c>
      <c r="Y19" s="18" t="n">
        <v>888.3200000000001</v>
      </c>
      <c r="Z19" s="37" t="n">
        <v>888.3200000000001</v>
      </c>
      <c r="AA19" s="18" t="n">
        <v>868.12</v>
      </c>
      <c r="AB19" s="19" t="n">
        <v>907.2</v>
      </c>
      <c r="AC19" s="10" t="n"/>
      <c r="AD19" s="10" t="n"/>
      <c r="AE19" s="11" t="n"/>
      <c r="AF19" s="10" t="n"/>
      <c r="AG19" s="10" t="n"/>
      <c r="AH19" s="10" t="n"/>
      <c r="AI19" s="10" t="n"/>
      <c r="AJ19" s="11" t="n"/>
      <c r="AK19" s="10" t="n"/>
      <c r="AL19" s="10" t="n"/>
      <c r="AM19" s="10" t="n"/>
      <c r="AN19" s="10" t="n"/>
      <c r="AO19" s="11" t="n"/>
    </row>
    <row r="20">
      <c r="A20" t="n">
        <v>1</v>
      </c>
      <c r="C20" t="inlineStr">
        <is>
          <t>이연법인세자산</t>
        </is>
      </c>
      <c r="E20" s="18" t="n">
        <v>706.49</v>
      </c>
      <c r="F20" s="37" t="n">
        <v>706.49</v>
      </c>
      <c r="G20" s="18" t="n">
        <v>891.45</v>
      </c>
      <c r="H20" s="18" t="n">
        <v>1185.09</v>
      </c>
      <c r="I20" s="18" t="n">
        <v>1565.57</v>
      </c>
      <c r="J20" s="18" t="n">
        <v>2036.19</v>
      </c>
      <c r="K20" s="37" t="n">
        <v>2036.19</v>
      </c>
      <c r="L20" s="18" t="n">
        <v>1901.7</v>
      </c>
      <c r="M20" s="18" t="n">
        <v>1888.19</v>
      </c>
      <c r="N20" s="18" t="n">
        <v>2118.65</v>
      </c>
      <c r="O20" s="18" t="n">
        <v>2165.97</v>
      </c>
      <c r="P20" s="37" t="n">
        <v>2165.97</v>
      </c>
      <c r="Q20" s="18" t="n">
        <v>2059.02</v>
      </c>
      <c r="R20" s="18" t="n">
        <v>2384.19</v>
      </c>
      <c r="S20" s="18" t="n">
        <v>2526.33</v>
      </c>
      <c r="T20" s="18" t="n">
        <v>3842.95</v>
      </c>
      <c r="U20" s="37" t="n">
        <v>3842.95</v>
      </c>
      <c r="V20" s="18" t="n">
        <v>3824.01</v>
      </c>
      <c r="W20" s="18" t="n">
        <v>3869.82</v>
      </c>
      <c r="X20" s="18" t="n">
        <v>2788.41</v>
      </c>
      <c r="Y20" s="18" t="n">
        <v>4316.39</v>
      </c>
      <c r="Z20" s="37" t="n">
        <v>4316.39</v>
      </c>
      <c r="AA20" s="18" t="n">
        <v>4369.12</v>
      </c>
      <c r="AB20" s="19" t="n">
        <v>4841.29</v>
      </c>
      <c r="AC20" s="10" t="n"/>
      <c r="AD20" s="10" t="n"/>
      <c r="AE20" s="11" t="n"/>
      <c r="AF20" s="10" t="n"/>
      <c r="AG20" s="10" t="n"/>
      <c r="AH20" s="10" t="n"/>
      <c r="AI20" s="10" t="n"/>
      <c r="AJ20" s="11" t="n"/>
      <c r="AK20" s="10" t="n"/>
      <c r="AL20" s="10" t="n"/>
      <c r="AM20" s="10" t="n"/>
      <c r="AN20" s="10" t="n"/>
      <c r="AO20" s="11" t="n"/>
    </row>
    <row r="21">
      <c r="A21" t="n">
        <v>1</v>
      </c>
      <c r="C21" t="inlineStr">
        <is>
          <t>자산총계</t>
        </is>
      </c>
      <c r="E21" s="18" t="n">
        <v>178552.25</v>
      </c>
      <c r="F21" s="37" t="n">
        <v>178552.25</v>
      </c>
      <c r="G21" s="18" t="n">
        <v>186276.92</v>
      </c>
      <c r="H21" s="18" t="n">
        <v>189124.53</v>
      </c>
      <c r="I21" s="18" t="n">
        <v>185627.93</v>
      </c>
      <c r="J21" s="18" t="n">
        <v>178855.6</v>
      </c>
      <c r="K21" s="37" t="n">
        <v>178855.6</v>
      </c>
      <c r="L21" s="18" t="n">
        <v>173665.48</v>
      </c>
      <c r="M21" s="18" t="n">
        <v>226102.57</v>
      </c>
      <c r="N21" s="18" t="n">
        <v>224321.03</v>
      </c>
      <c r="O21" s="18" t="n">
        <v>221575.36</v>
      </c>
      <c r="P21" s="37" t="n">
        <v>221575.36</v>
      </c>
      <c r="Q21" s="18" t="n">
        <v>220716.08</v>
      </c>
      <c r="R21" s="18" t="n">
        <v>216369.58</v>
      </c>
      <c r="S21" s="18" t="n">
        <v>205347.87</v>
      </c>
      <c r="T21" s="18" t="n">
        <v>208282.15</v>
      </c>
      <c r="U21" s="37" t="n">
        <v>208282.15</v>
      </c>
      <c r="V21" s="18" t="n">
        <v>218764.9</v>
      </c>
      <c r="W21" s="18" t="n">
        <v>220784.45</v>
      </c>
      <c r="X21" s="18" t="n">
        <v>230241.31</v>
      </c>
      <c r="Y21" s="18" t="n">
        <v>241735.53</v>
      </c>
      <c r="Z21" s="37" t="n">
        <v>241735.53</v>
      </c>
      <c r="AA21" s="18" t="n">
        <v>301153.25</v>
      </c>
      <c r="AB21" s="19" t="n">
        <v>298596.17</v>
      </c>
      <c r="AC21" s="10" t="n"/>
      <c r="AD21" s="10" t="n"/>
      <c r="AE21" s="11" t="n"/>
      <c r="AF21" s="10" t="n"/>
      <c r="AG21" s="10" t="n"/>
      <c r="AH21" s="10" t="n"/>
      <c r="AI21" s="10" t="n"/>
      <c r="AJ21" s="11" t="n"/>
      <c r="AK21" s="10" t="n"/>
      <c r="AL21" s="10" t="n"/>
      <c r="AM21" s="10" t="n"/>
      <c r="AN21" s="10" t="n"/>
      <c r="AO21" s="11" t="n"/>
    </row>
    <row r="22">
      <c r="A22" t="n">
        <v>1</v>
      </c>
      <c r="C22" t="inlineStr">
        <is>
          <t>유동부채</t>
        </is>
      </c>
      <c r="E22" s="18" t="n">
        <v>42806.99</v>
      </c>
      <c r="F22" s="37" t="n">
        <v>42806.99</v>
      </c>
      <c r="G22" s="18" t="n">
        <v>55718.78</v>
      </c>
      <c r="H22" s="18" t="n">
        <v>56728.88</v>
      </c>
      <c r="I22" s="18" t="n">
        <v>52425.18</v>
      </c>
      <c r="J22" s="18" t="n">
        <v>48476.3</v>
      </c>
      <c r="K22" s="37" t="n">
        <v>48476.3</v>
      </c>
      <c r="L22" s="18" t="n">
        <v>57379.26</v>
      </c>
      <c r="M22" s="18" t="n">
        <v>50288.62</v>
      </c>
      <c r="N22" s="18" t="n">
        <v>49392.9</v>
      </c>
      <c r="O22" s="18" t="n">
        <v>49793.89</v>
      </c>
      <c r="P22" s="37" t="n">
        <v>49793.89</v>
      </c>
      <c r="Q22" s="18" t="n">
        <v>50037.42</v>
      </c>
      <c r="R22" s="18" t="n">
        <v>41982.72</v>
      </c>
      <c r="S22" s="18" t="n">
        <v>29159.13</v>
      </c>
      <c r="T22" s="18" t="n">
        <v>29637.88</v>
      </c>
      <c r="U22" s="37" t="n">
        <v>29637.88</v>
      </c>
      <c r="V22" s="18" t="n">
        <v>43563.27</v>
      </c>
      <c r="W22" s="18" t="n">
        <v>33813.61</v>
      </c>
      <c r="X22" s="18" t="n">
        <v>34655.51</v>
      </c>
      <c r="Y22" s="18" t="n">
        <v>41484.66</v>
      </c>
      <c r="Z22" s="37" t="n">
        <v>41484.66</v>
      </c>
      <c r="AA22" s="18" t="n">
        <v>48097.38</v>
      </c>
      <c r="AB22" s="19" t="n">
        <v>46703.55</v>
      </c>
      <c r="AC22" s="10" t="n"/>
      <c r="AD22" s="10" t="n"/>
      <c r="AE22" s="11" t="n"/>
      <c r="AF22" s="10" t="n"/>
      <c r="AG22" s="10" t="n"/>
      <c r="AH22" s="10" t="n"/>
      <c r="AI22" s="10" t="n"/>
      <c r="AJ22" s="11" t="n"/>
      <c r="AK22" s="10" t="n"/>
      <c r="AL22" s="10" t="n"/>
      <c r="AM22" s="10" t="n"/>
      <c r="AN22" s="10" t="n"/>
      <c r="AO22" s="11" t="n"/>
    </row>
    <row r="23">
      <c r="A23" t="n">
        <v>1</v>
      </c>
      <c r="C23" t="inlineStr">
        <is>
          <t>매입채무및기타채무</t>
        </is>
      </c>
      <c r="E23" s="18" t="n">
        <v>7013.26</v>
      </c>
      <c r="F23" s="37" t="n">
        <v>7013.26</v>
      </c>
      <c r="G23" s="18" t="n">
        <v>12209.06</v>
      </c>
      <c r="H23" s="18" t="n">
        <v>9094.799999999999</v>
      </c>
      <c r="I23" s="18" t="n">
        <v>6724.7</v>
      </c>
      <c r="J23" s="18" t="n">
        <v>7876.47</v>
      </c>
      <c r="K23" s="37" t="n">
        <v>7876.47</v>
      </c>
      <c r="L23" s="18" t="n">
        <v>11251.24</v>
      </c>
      <c r="M23" s="18" t="n">
        <v>5762.21</v>
      </c>
      <c r="N23" s="18" t="n">
        <v>5231.86</v>
      </c>
      <c r="O23" s="18" t="n">
        <v>6609.22</v>
      </c>
      <c r="P23" s="37" t="n">
        <v>6609.22</v>
      </c>
      <c r="Q23" s="18" t="n">
        <v>11756.04</v>
      </c>
      <c r="R23" s="18" t="n">
        <v>5529.35</v>
      </c>
      <c r="S23" s="18" t="n">
        <v>6805.43</v>
      </c>
      <c r="T23" s="18" t="n">
        <v>10090.11</v>
      </c>
      <c r="U23" s="37" t="n">
        <v>10090.11</v>
      </c>
      <c r="V23" s="18" t="n">
        <v>15336.21</v>
      </c>
      <c r="W23" s="18" t="n">
        <v>9621.32</v>
      </c>
      <c r="X23" s="18" t="n">
        <v>10796.86</v>
      </c>
      <c r="Y23" s="18" t="n">
        <v>12596.11</v>
      </c>
      <c r="Z23" s="37" t="n">
        <v>12596.11</v>
      </c>
      <c r="AA23" s="18" t="n">
        <v>23758.97</v>
      </c>
      <c r="AB23" s="19" t="n">
        <v>14607.99</v>
      </c>
      <c r="AC23" s="10" t="n"/>
      <c r="AD23" s="10" t="n"/>
      <c r="AE23" s="11" t="n"/>
      <c r="AF23" s="10" t="n"/>
      <c r="AG23" s="10" t="n"/>
      <c r="AH23" s="10" t="n"/>
      <c r="AI23" s="10" t="n"/>
      <c r="AJ23" s="11" t="n"/>
      <c r="AK23" s="10" t="n"/>
      <c r="AL23" s="10" t="n"/>
      <c r="AM23" s="10" t="n"/>
      <c r="AN23" s="10" t="n"/>
      <c r="AO23" s="11" t="n"/>
    </row>
    <row r="24">
      <c r="A24" t="n">
        <v>1</v>
      </c>
      <c r="C24" t="inlineStr">
        <is>
          <t>단기차입금</t>
        </is>
      </c>
      <c r="E24" s="18" t="n">
        <v>29772.95</v>
      </c>
      <c r="F24" s="37" t="n">
        <v>29772.95</v>
      </c>
      <c r="G24" s="18" t="n">
        <v>29318.79</v>
      </c>
      <c r="H24" s="18" t="n">
        <v>30440.87</v>
      </c>
      <c r="I24" s="18" t="n">
        <v>25870.34</v>
      </c>
      <c r="J24" s="18" t="n">
        <v>22424.77</v>
      </c>
      <c r="K24" s="37" t="n">
        <v>22424.77</v>
      </c>
      <c r="L24" s="18" t="n">
        <v>20027.53</v>
      </c>
      <c r="M24" s="18" t="n">
        <v>308.28</v>
      </c>
      <c r="N24" s="18" t="n">
        <v>991.47</v>
      </c>
      <c r="O24" s="18" t="n">
        <v>373.93</v>
      </c>
      <c r="P24" s="37" t="n">
        <v>373.93</v>
      </c>
      <c r="R24" s="18" t="n">
        <v>489.97</v>
      </c>
      <c r="S24" s="18" t="n">
        <v>191.54</v>
      </c>
      <c r="T24" s="18" t="n">
        <v>408.81</v>
      </c>
      <c r="U24" s="37" t="n">
        <v>408.81</v>
      </c>
      <c r="V24" s="18" t="n">
        <v>961.85</v>
      </c>
      <c r="W24" s="18" t="n">
        <v>784.39</v>
      </c>
      <c r="X24" s="18" t="n">
        <v>444.1</v>
      </c>
      <c r="Y24" s="18" t="n">
        <v>778.09</v>
      </c>
      <c r="Z24" s="37" t="n">
        <v>778.09</v>
      </c>
      <c r="AA24" s="18" t="n">
        <v>1147.52</v>
      </c>
      <c r="AB24" s="19" t="n">
        <v>768.22</v>
      </c>
      <c r="AC24" s="10" t="n"/>
      <c r="AD24" s="10" t="n"/>
      <c r="AE24" s="11" t="n"/>
      <c r="AF24" s="10" t="n"/>
      <c r="AG24" s="10" t="n"/>
      <c r="AH24" s="10" t="n"/>
      <c r="AI24" s="10" t="n"/>
      <c r="AJ24" s="11" t="n"/>
      <c r="AK24" s="10" t="n"/>
      <c r="AL24" s="10" t="n"/>
      <c r="AM24" s="10" t="n"/>
      <c r="AN24" s="10" t="n"/>
      <c r="AO24" s="11" t="n"/>
    </row>
    <row r="25">
      <c r="A25" t="n">
        <v>1</v>
      </c>
      <c r="C25" t="inlineStr">
        <is>
          <t>유동성장기부채</t>
        </is>
      </c>
      <c r="E25" s="18" t="n">
        <v>3355.8</v>
      </c>
      <c r="F25" s="37" t="n">
        <v>3355.8</v>
      </c>
      <c r="G25" s="18" t="n">
        <v>9030.74</v>
      </c>
      <c r="H25" s="18" t="n">
        <v>9033.23</v>
      </c>
      <c r="I25" s="18" t="n">
        <v>9033.23</v>
      </c>
      <c r="J25" s="18" t="n">
        <v>9033.23</v>
      </c>
      <c r="K25" s="37" t="n">
        <v>9033.23</v>
      </c>
      <c r="L25" s="18" t="n">
        <v>16033.23</v>
      </c>
      <c r="M25" s="18" t="n">
        <v>14840</v>
      </c>
      <c r="N25" s="18" t="n">
        <v>14840</v>
      </c>
      <c r="O25" s="18" t="n">
        <v>14840</v>
      </c>
      <c r="P25" s="37" t="n">
        <v>14840</v>
      </c>
      <c r="Q25" s="18" t="n">
        <v>2840</v>
      </c>
      <c r="R25" s="18" t="n">
        <v>2840</v>
      </c>
      <c r="S25" s="18" t="n">
        <v>2840</v>
      </c>
      <c r="T25" s="18" t="n">
        <v>2840</v>
      </c>
      <c r="U25" s="37" t="n">
        <v>2840</v>
      </c>
      <c r="V25" s="18" t="n">
        <v>8293.33</v>
      </c>
      <c r="W25" s="18" t="n">
        <v>7583.33</v>
      </c>
      <c r="X25" s="18" t="n">
        <v>6873.33</v>
      </c>
      <c r="Y25" s="18" t="n">
        <v>6770.83</v>
      </c>
      <c r="Z25" s="37" t="n">
        <v>6770.83</v>
      </c>
      <c r="AA25" s="18" t="n">
        <v>3310</v>
      </c>
      <c r="AB25" s="19" t="n">
        <v>10000</v>
      </c>
      <c r="AC25" s="10" t="n"/>
      <c r="AD25" s="10" t="n"/>
      <c r="AE25" s="11" t="n"/>
      <c r="AF25" s="10" t="n"/>
      <c r="AG25" s="10" t="n"/>
      <c r="AH25" s="10" t="n"/>
      <c r="AI25" s="10" t="n"/>
      <c r="AJ25" s="11" t="n"/>
      <c r="AK25" s="10" t="n"/>
      <c r="AL25" s="10" t="n"/>
      <c r="AM25" s="10" t="n"/>
      <c r="AN25" s="10" t="n"/>
      <c r="AO25" s="11" t="n"/>
    </row>
    <row r="26">
      <c r="A26" t="n">
        <v>1</v>
      </c>
      <c r="C26" t="inlineStr">
        <is>
          <t>당기법인세부채(미지급법인세)</t>
        </is>
      </c>
      <c r="E26" s="18" t="n">
        <v>2.02</v>
      </c>
      <c r="F26" s="37" t="n">
        <v>2.02</v>
      </c>
      <c r="G26" s="18" t="n">
        <v>266.57</v>
      </c>
      <c r="H26" s="18" t="n">
        <v>875.02</v>
      </c>
      <c r="I26" s="18" t="n">
        <v>1917.17</v>
      </c>
      <c r="J26" s="18" t="n">
        <v>2161.53</v>
      </c>
      <c r="K26" s="37" t="n">
        <v>2161.53</v>
      </c>
      <c r="L26" s="18" t="n">
        <v>2154.86</v>
      </c>
      <c r="M26" s="18" t="n">
        <v>20534.86</v>
      </c>
      <c r="N26" s="18" t="n">
        <v>19410.22</v>
      </c>
      <c r="O26" s="18" t="n">
        <v>19094.72</v>
      </c>
      <c r="P26" s="37" t="n">
        <v>19094.72</v>
      </c>
      <c r="Q26" s="18" t="n">
        <v>19811.33</v>
      </c>
      <c r="R26" s="18" t="n">
        <v>18953.88</v>
      </c>
      <c r="S26" s="18" t="n">
        <v>5623.4</v>
      </c>
      <c r="T26" s="18" t="n">
        <v>1786.41</v>
      </c>
      <c r="U26" s="37" t="n">
        <v>1786.41</v>
      </c>
      <c r="V26" s="18" t="n">
        <v>2317.65</v>
      </c>
      <c r="W26" s="18" t="n">
        <v>3056.81</v>
      </c>
      <c r="X26" s="18" t="n">
        <v>3253.96</v>
      </c>
      <c r="Y26" s="18" t="n">
        <v>4117.89</v>
      </c>
      <c r="Z26" s="37" t="n">
        <v>4117.89</v>
      </c>
      <c r="AA26" s="18" t="n">
        <v>3686.15</v>
      </c>
      <c r="AB26" s="19" t="n">
        <v>3933.76</v>
      </c>
      <c r="AC26" s="10" t="n"/>
      <c r="AD26" s="10" t="n"/>
      <c r="AE26" s="11" t="n"/>
      <c r="AF26" s="10" t="n"/>
      <c r="AG26" s="10" t="n"/>
      <c r="AH26" s="10" t="n"/>
      <c r="AI26" s="10" t="n"/>
      <c r="AJ26" s="11" t="n"/>
      <c r="AK26" s="10" t="n"/>
      <c r="AL26" s="10" t="n"/>
      <c r="AM26" s="10" t="n"/>
      <c r="AN26" s="10" t="n"/>
      <c r="AO26" s="11" t="n"/>
    </row>
    <row r="27">
      <c r="A27" t="n">
        <v>1</v>
      </c>
      <c r="C27" t="inlineStr">
        <is>
          <t>기타유동금융부채</t>
        </is>
      </c>
      <c r="E27" s="18" t="n">
        <v>326.58</v>
      </c>
      <c r="F27" s="37" t="n">
        <v>326.58</v>
      </c>
      <c r="G27" s="18" t="n">
        <v>128.38</v>
      </c>
      <c r="H27" s="18" t="n">
        <v>372.18</v>
      </c>
      <c r="I27" s="18" t="n">
        <v>1370.42</v>
      </c>
      <c r="J27" s="18" t="n">
        <v>42.46</v>
      </c>
      <c r="K27" s="37" t="n">
        <v>42.46</v>
      </c>
      <c r="L27" s="18" t="n">
        <v>185.58</v>
      </c>
      <c r="M27" s="18" t="n">
        <v>139.28</v>
      </c>
      <c r="N27" s="18" t="n">
        <v>405.05</v>
      </c>
      <c r="O27" s="18" t="n">
        <v>53.35</v>
      </c>
      <c r="P27" s="37" t="n">
        <v>53.35</v>
      </c>
      <c r="Q27" s="18" t="n">
        <v>739.91</v>
      </c>
      <c r="R27" s="18" t="n">
        <v>1049.22</v>
      </c>
      <c r="S27" s="18" t="n">
        <v>115.22</v>
      </c>
      <c r="T27" s="18" t="n">
        <v>1727.26</v>
      </c>
      <c r="U27" s="37" t="n">
        <v>1727.26</v>
      </c>
      <c r="V27" s="18" t="n">
        <v>1456.07</v>
      </c>
      <c r="W27" s="18" t="n">
        <v>150.34</v>
      </c>
      <c r="X27" s="18" t="n">
        <v>34.98</v>
      </c>
      <c r="Y27" s="18" t="n">
        <v>87.20999999999999</v>
      </c>
      <c r="Z27" s="37" t="n">
        <v>87.20999999999999</v>
      </c>
      <c r="AA27" s="18" t="n">
        <v>421.79</v>
      </c>
      <c r="AB27" s="19" t="n">
        <v>1181.36</v>
      </c>
      <c r="AC27" s="10" t="n"/>
      <c r="AD27" s="10" t="n"/>
      <c r="AE27" s="11" t="n"/>
      <c r="AF27" s="10" t="n"/>
      <c r="AG27" s="10" t="n"/>
      <c r="AH27" s="10" t="n"/>
      <c r="AI27" s="10" t="n"/>
      <c r="AJ27" s="11" t="n"/>
      <c r="AK27" s="10" t="n"/>
      <c r="AL27" s="10" t="n"/>
      <c r="AM27" s="10" t="n"/>
      <c r="AN27" s="10" t="n"/>
      <c r="AO27" s="11" t="n"/>
    </row>
    <row r="28">
      <c r="A28" t="n">
        <v>1</v>
      </c>
      <c r="C28" t="inlineStr">
        <is>
          <t>단기금융부채</t>
        </is>
      </c>
      <c r="E28" s="18" t="n">
        <v>443.48</v>
      </c>
      <c r="F28" s="37" t="n">
        <v>443.48</v>
      </c>
      <c r="G28" s="18" t="n">
        <v>243.4</v>
      </c>
      <c r="H28" s="18" t="n">
        <v>492.33</v>
      </c>
      <c r="I28" s="18" t="n">
        <v>1499.23</v>
      </c>
      <c r="J28" s="18" t="n">
        <v>163.73</v>
      </c>
      <c r="K28" s="37" t="n">
        <v>163.73</v>
      </c>
      <c r="L28" s="18" t="n">
        <v>307.49</v>
      </c>
      <c r="M28" s="18" t="n">
        <v>232.31</v>
      </c>
      <c r="N28" s="18" t="n">
        <v>474.96</v>
      </c>
      <c r="O28" s="18" t="n">
        <v>101.8</v>
      </c>
      <c r="P28" s="37" t="n">
        <v>101.8</v>
      </c>
      <c r="Q28" s="18" t="n">
        <v>770.5599999999999</v>
      </c>
      <c r="R28" s="18" t="n">
        <v>1074.15</v>
      </c>
      <c r="S28" s="18" t="n">
        <v>142.41</v>
      </c>
      <c r="T28" s="18" t="n">
        <v>1748.61</v>
      </c>
      <c r="U28" s="37" t="n">
        <v>1748.61</v>
      </c>
      <c r="V28" s="18" t="n">
        <v>1471.54</v>
      </c>
      <c r="W28" s="18" t="n">
        <v>161.83</v>
      </c>
      <c r="X28" s="18" t="n">
        <v>44.46</v>
      </c>
      <c r="Y28" s="18" t="n">
        <v>94.66</v>
      </c>
      <c r="Z28" s="37" t="n">
        <v>94.66</v>
      </c>
      <c r="AA28" s="18" t="n">
        <v>427.2</v>
      </c>
      <c r="AB28" s="19" t="n">
        <v>1186.8</v>
      </c>
      <c r="AC28" s="10" t="n"/>
      <c r="AD28" s="10" t="n"/>
      <c r="AE28" s="11" t="n"/>
      <c r="AF28" s="10" t="n"/>
      <c r="AG28" s="10" t="n"/>
      <c r="AH28" s="10" t="n"/>
      <c r="AI28" s="10" t="n"/>
      <c r="AJ28" s="11" t="n"/>
      <c r="AK28" s="10" t="n"/>
      <c r="AL28" s="10" t="n"/>
      <c r="AM28" s="10" t="n"/>
      <c r="AN28" s="10" t="n"/>
      <c r="AO28" s="11" t="n"/>
    </row>
    <row r="29">
      <c r="A29" t="n">
        <v>1</v>
      </c>
      <c r="C29" t="inlineStr">
        <is>
          <t>유동리스부채</t>
        </is>
      </c>
      <c r="E29" s="18" t="n">
        <v>116.9</v>
      </c>
      <c r="F29" s="37" t="n">
        <v>116.9</v>
      </c>
      <c r="G29" s="18" t="n">
        <v>115.02</v>
      </c>
      <c r="H29" s="18" t="n">
        <v>120.15</v>
      </c>
      <c r="I29" s="18" t="n">
        <v>128.81</v>
      </c>
      <c r="J29" s="18" t="n">
        <v>121.27</v>
      </c>
      <c r="K29" s="37" t="n">
        <v>121.27</v>
      </c>
      <c r="L29" s="18" t="n">
        <v>121.91</v>
      </c>
      <c r="M29" s="18" t="n">
        <v>93.03</v>
      </c>
      <c r="N29" s="18" t="n">
        <v>69.91</v>
      </c>
      <c r="O29" s="18" t="n">
        <v>48.45</v>
      </c>
      <c r="P29" s="37" t="n">
        <v>48.45</v>
      </c>
      <c r="Q29" s="18" t="n">
        <v>30.65</v>
      </c>
      <c r="R29" s="18" t="n">
        <v>24.93</v>
      </c>
      <c r="S29" s="18" t="n">
        <v>27.19</v>
      </c>
      <c r="T29" s="18" t="n">
        <v>21.35</v>
      </c>
      <c r="U29" s="37" t="n">
        <v>21.35</v>
      </c>
      <c r="V29" s="18" t="n">
        <v>15.47</v>
      </c>
      <c r="W29" s="18" t="n">
        <v>11.49</v>
      </c>
      <c r="X29" s="18" t="n">
        <v>9.48</v>
      </c>
      <c r="Y29" s="18" t="n">
        <v>7.45</v>
      </c>
      <c r="Z29" s="37" t="n">
        <v>7.45</v>
      </c>
      <c r="AA29" s="18" t="n">
        <v>5.41</v>
      </c>
      <c r="AB29" s="19" t="n">
        <v>5.44</v>
      </c>
      <c r="AC29" s="10" t="n"/>
      <c r="AD29" s="10" t="n"/>
      <c r="AE29" s="11" t="n"/>
      <c r="AF29" s="10" t="n"/>
      <c r="AG29" s="10" t="n"/>
      <c r="AH29" s="10" t="n"/>
      <c r="AI29" s="10" t="n"/>
      <c r="AJ29" s="11" t="n"/>
      <c r="AK29" s="10" t="n"/>
      <c r="AL29" s="10" t="n"/>
      <c r="AM29" s="10" t="n"/>
      <c r="AN29" s="10" t="n"/>
      <c r="AO29" s="11" t="n"/>
    </row>
    <row r="30">
      <c r="A30" t="n">
        <v>1</v>
      </c>
      <c r="C30" t="inlineStr">
        <is>
          <t>리스부채</t>
        </is>
      </c>
      <c r="E30" s="18" t="n">
        <v>291.42</v>
      </c>
      <c r="F30" s="37" t="n">
        <v>291.42</v>
      </c>
      <c r="G30" s="18" t="n">
        <v>261.36</v>
      </c>
      <c r="H30" s="18" t="n">
        <v>260.87</v>
      </c>
      <c r="I30" s="18" t="n">
        <v>258.78</v>
      </c>
      <c r="J30" s="18" t="n">
        <v>200.68</v>
      </c>
      <c r="K30" s="37" t="n">
        <v>200.68</v>
      </c>
      <c r="L30" s="18" t="n">
        <v>167.29</v>
      </c>
      <c r="M30" s="18" t="n">
        <v>129.45</v>
      </c>
      <c r="N30" s="18" t="n">
        <v>99.2</v>
      </c>
      <c r="O30" s="18" t="n">
        <v>70.31999999999999</v>
      </c>
      <c r="P30" s="37" t="n">
        <v>70.31999999999999</v>
      </c>
      <c r="Q30" s="18" t="n">
        <v>45.26</v>
      </c>
      <c r="R30" s="18" t="n">
        <v>36.24</v>
      </c>
      <c r="S30" s="18" t="n">
        <v>41.35</v>
      </c>
      <c r="T30" s="18" t="n">
        <v>32.12</v>
      </c>
      <c r="U30" s="37" t="n">
        <v>32.12</v>
      </c>
      <c r="V30" s="18" t="n">
        <v>22.84</v>
      </c>
      <c r="W30" s="18" t="n">
        <v>17.5</v>
      </c>
      <c r="X30" s="18" t="n">
        <v>14.14</v>
      </c>
      <c r="Y30" s="18" t="n">
        <v>10.76</v>
      </c>
      <c r="Z30" s="37" t="n">
        <v>10.76</v>
      </c>
      <c r="AA30" s="18" t="n">
        <v>7.35</v>
      </c>
      <c r="AB30" s="19" t="n">
        <v>6.01</v>
      </c>
      <c r="AC30" s="10" t="n"/>
      <c r="AD30" s="10" t="n"/>
      <c r="AE30" s="11" t="n"/>
      <c r="AF30" s="10" t="n"/>
      <c r="AG30" s="10" t="n"/>
      <c r="AH30" s="10" t="n"/>
      <c r="AI30" s="10" t="n"/>
      <c r="AJ30" s="11" t="n"/>
      <c r="AK30" s="10" t="n"/>
      <c r="AL30" s="10" t="n"/>
      <c r="AM30" s="10" t="n"/>
      <c r="AN30" s="10" t="n"/>
      <c r="AO30" s="11" t="n"/>
    </row>
    <row r="31">
      <c r="A31" t="n">
        <v>1</v>
      </c>
      <c r="C31" t="inlineStr">
        <is>
          <t>기타유동부채</t>
        </is>
      </c>
      <c r="E31" s="18" t="n">
        <v>2219.48</v>
      </c>
      <c r="F31" s="37" t="n">
        <v>2219.48</v>
      </c>
      <c r="G31" s="18" t="n">
        <v>4650.21</v>
      </c>
      <c r="H31" s="18" t="n">
        <v>6127.52</v>
      </c>
      <c r="I31" s="18" t="n">
        <v>6745.35</v>
      </c>
      <c r="J31" s="18" t="n">
        <v>5941.44</v>
      </c>
      <c r="K31" s="37" t="n">
        <v>5941.44</v>
      </c>
      <c r="L31" s="18" t="n">
        <v>6758.68</v>
      </c>
      <c r="M31" s="18" t="n">
        <v>7695.16</v>
      </c>
      <c r="N31" s="18" t="n">
        <v>7703.24</v>
      </c>
      <c r="O31" s="18" t="n">
        <v>7907.82</v>
      </c>
      <c r="P31" s="37" t="n">
        <v>7907.82</v>
      </c>
      <c r="Q31" s="18" t="n">
        <v>13948.41</v>
      </c>
      <c r="R31" s="18" t="n">
        <v>12721.02</v>
      </c>
      <c r="S31" s="18" t="n">
        <v>13192.53</v>
      </c>
      <c r="T31" s="18" t="n">
        <v>11920.63</v>
      </c>
      <c r="U31" s="37" t="n">
        <v>11920.63</v>
      </c>
      <c r="V31" s="18" t="n">
        <v>14342.4</v>
      </c>
      <c r="W31" s="18" t="n">
        <v>12089</v>
      </c>
      <c r="X31" s="18" t="n">
        <v>12725.88</v>
      </c>
      <c r="Y31" s="18" t="n">
        <v>15994.97</v>
      </c>
      <c r="Z31" s="37" t="n">
        <v>15994.97</v>
      </c>
      <c r="AA31" s="18" t="n">
        <v>15174.74</v>
      </c>
      <c r="AB31" s="19" t="n">
        <v>15560.94</v>
      </c>
      <c r="AC31" s="10" t="n"/>
      <c r="AD31" s="10" t="n"/>
      <c r="AE31" s="11" t="n"/>
      <c r="AF31" s="10" t="n"/>
      <c r="AG31" s="10" t="n"/>
      <c r="AH31" s="10" t="n"/>
      <c r="AI31" s="10" t="n"/>
      <c r="AJ31" s="11" t="n"/>
      <c r="AK31" s="10" t="n"/>
      <c r="AL31" s="10" t="n"/>
      <c r="AM31" s="10" t="n"/>
      <c r="AN31" s="10" t="n"/>
      <c r="AO31" s="11" t="n"/>
    </row>
    <row r="32">
      <c r="A32" t="n">
        <v>1</v>
      </c>
      <c r="C32" t="inlineStr">
        <is>
          <t>비유동부채</t>
        </is>
      </c>
      <c r="E32" s="18" t="n">
        <v>42119.03</v>
      </c>
      <c r="F32" s="37" t="n">
        <v>42119.03</v>
      </c>
      <c r="G32" s="18" t="n">
        <v>36088.36</v>
      </c>
      <c r="H32" s="18" t="n">
        <v>35369.35</v>
      </c>
      <c r="I32" s="18" t="n">
        <v>34340.85</v>
      </c>
      <c r="J32" s="18" t="n">
        <v>33211.29</v>
      </c>
      <c r="K32" s="37" t="n">
        <v>33211.29</v>
      </c>
      <c r="L32" s="18" t="n">
        <v>20186.31</v>
      </c>
      <c r="M32" s="18" t="n">
        <v>10981.38</v>
      </c>
      <c r="N32" s="18" t="n">
        <v>10243.57</v>
      </c>
      <c r="O32" s="18" t="n">
        <v>9525.120000000001</v>
      </c>
      <c r="P32" s="37" t="n">
        <v>9525.120000000001</v>
      </c>
      <c r="Q32" s="18" t="n">
        <v>8907.530000000001</v>
      </c>
      <c r="R32" s="18" t="n">
        <v>8874.01</v>
      </c>
      <c r="S32" s="18" t="n">
        <v>8146.39</v>
      </c>
      <c r="T32" s="18" t="n">
        <v>6926.41</v>
      </c>
      <c r="U32" s="37" t="n">
        <v>6926.41</v>
      </c>
      <c r="V32" s="18" t="n">
        <v>721.28</v>
      </c>
      <c r="W32" s="18" t="n">
        <v>2122.63</v>
      </c>
      <c r="X32" s="18" t="n">
        <v>2633.58</v>
      </c>
      <c r="Y32" s="18" t="n">
        <v>1559.94</v>
      </c>
      <c r="Z32" s="37" t="n">
        <v>1559.94</v>
      </c>
      <c r="AA32" s="18" t="n">
        <v>57799.02</v>
      </c>
      <c r="AB32" s="19" t="n">
        <v>47976.78</v>
      </c>
      <c r="AC32" s="10" t="n"/>
      <c r="AD32" s="10" t="n"/>
      <c r="AE32" s="11" t="n"/>
      <c r="AF32" s="10" t="n"/>
      <c r="AG32" s="10" t="n"/>
      <c r="AH32" s="10" t="n"/>
      <c r="AI32" s="10" t="n"/>
      <c r="AJ32" s="11" t="n"/>
      <c r="AK32" s="10" t="n"/>
      <c r="AL32" s="10" t="n"/>
      <c r="AM32" s="10" t="n"/>
      <c r="AN32" s="10" t="n"/>
      <c r="AO32" s="11" t="n"/>
    </row>
    <row r="33">
      <c r="A33" t="n">
        <v>1</v>
      </c>
      <c r="C33" t="inlineStr">
        <is>
          <t>장기매입채무및기타채무</t>
        </is>
      </c>
      <c r="E33" s="18" t="n">
        <v>200.3</v>
      </c>
      <c r="F33" s="37" t="n">
        <v>200.3</v>
      </c>
      <c r="G33" s="18" t="n">
        <v>206.13</v>
      </c>
      <c r="H33" s="18" t="n">
        <v>501.04</v>
      </c>
      <c r="I33" s="18" t="n">
        <v>491.6</v>
      </c>
      <c r="J33" s="18" t="n">
        <v>420.91</v>
      </c>
      <c r="K33" s="37" t="n">
        <v>420.91</v>
      </c>
      <c r="L33" s="18" t="n">
        <v>423.22</v>
      </c>
      <c r="M33" s="18" t="n">
        <v>499.98</v>
      </c>
      <c r="N33" s="18" t="n">
        <v>500.95</v>
      </c>
      <c r="O33" s="18" t="n">
        <v>499.92</v>
      </c>
      <c r="P33" s="37" t="n">
        <v>499.92</v>
      </c>
      <c r="Q33" s="18" t="n">
        <v>599.59</v>
      </c>
      <c r="R33" s="18" t="n">
        <v>630.99</v>
      </c>
      <c r="S33" s="18" t="n">
        <v>630.49</v>
      </c>
      <c r="T33" s="18" t="n">
        <v>438.58</v>
      </c>
      <c r="U33" s="37" t="n">
        <v>438.58</v>
      </c>
      <c r="V33" s="18" t="n">
        <v>438.7</v>
      </c>
      <c r="W33" s="18" t="n">
        <v>434.95</v>
      </c>
      <c r="X33" s="18" t="n">
        <v>447.25</v>
      </c>
      <c r="Y33" s="18" t="n">
        <v>449.63</v>
      </c>
      <c r="Z33" s="37" t="n">
        <v>449.63</v>
      </c>
      <c r="AA33" s="18" t="n">
        <v>453.81</v>
      </c>
      <c r="AB33" s="19" t="n">
        <v>456.29</v>
      </c>
      <c r="AC33" s="10" t="n"/>
      <c r="AD33" s="10" t="n"/>
      <c r="AE33" s="11" t="n"/>
      <c r="AF33" s="10" t="n"/>
      <c r="AG33" s="10" t="n"/>
      <c r="AH33" s="10" t="n"/>
      <c r="AI33" s="10" t="n"/>
      <c r="AJ33" s="11" t="n"/>
      <c r="AK33" s="10" t="n"/>
      <c r="AL33" s="10" t="n"/>
      <c r="AM33" s="10" t="n"/>
      <c r="AN33" s="10" t="n"/>
      <c r="AO33" s="11" t="n"/>
    </row>
    <row r="34">
      <c r="A34" t="n">
        <v>1</v>
      </c>
      <c r="C34" t="inlineStr">
        <is>
          <t>장기차입금</t>
        </is>
      </c>
      <c r="E34" s="18" t="n">
        <v>41744.2</v>
      </c>
      <c r="F34" s="37" t="n">
        <v>41744.2</v>
      </c>
      <c r="G34" s="18" t="n">
        <v>35735.89</v>
      </c>
      <c r="H34" s="18" t="n">
        <v>34727.59</v>
      </c>
      <c r="I34" s="18" t="n">
        <v>33719.28</v>
      </c>
      <c r="J34" s="18" t="n">
        <v>32710.97</v>
      </c>
      <c r="K34" s="37" t="n">
        <v>32710.97</v>
      </c>
      <c r="L34" s="18" t="n">
        <v>19702.66</v>
      </c>
      <c r="M34" s="18" t="n">
        <v>10423.33</v>
      </c>
      <c r="N34" s="18" t="n">
        <v>9713.33</v>
      </c>
      <c r="O34" s="18" t="n">
        <v>9003.33</v>
      </c>
      <c r="P34" s="37" t="n">
        <v>9003.33</v>
      </c>
      <c r="Q34" s="18" t="n">
        <v>8293.33</v>
      </c>
      <c r="R34" s="18" t="n">
        <v>7583.33</v>
      </c>
      <c r="S34" s="18" t="n">
        <v>6873.33</v>
      </c>
      <c r="T34" s="18" t="n">
        <v>6163.33</v>
      </c>
      <c r="U34" s="37" t="n">
        <v>6163.33</v>
      </c>
      <c r="W34" s="18" t="n">
        <v>810</v>
      </c>
      <c r="X34" s="18" t="n">
        <v>1310</v>
      </c>
      <c r="Y34" s="18" t="n">
        <v>702.5</v>
      </c>
      <c r="Z34" s="37" t="n">
        <v>702.5</v>
      </c>
      <c r="AA34" s="18" t="n">
        <v>56333.33</v>
      </c>
      <c r="AB34" s="19" t="n">
        <v>46333.33</v>
      </c>
      <c r="AC34" s="10" t="n"/>
      <c r="AD34" s="10" t="n"/>
      <c r="AE34" s="11" t="n"/>
      <c r="AF34" s="10" t="n"/>
      <c r="AG34" s="10" t="n"/>
      <c r="AH34" s="10" t="n"/>
      <c r="AI34" s="10" t="n"/>
      <c r="AJ34" s="11" t="n"/>
      <c r="AK34" s="10" t="n"/>
      <c r="AL34" s="10" t="n"/>
      <c r="AM34" s="10" t="n"/>
      <c r="AN34" s="10" t="n"/>
      <c r="AO34" s="11" t="n"/>
    </row>
    <row r="35">
      <c r="A35" t="n">
        <v>1</v>
      </c>
      <c r="C35" t="inlineStr">
        <is>
          <t>비유동리스부채</t>
        </is>
      </c>
      <c r="E35" s="18" t="n">
        <v>174.52</v>
      </c>
      <c r="F35" s="37" t="n">
        <v>174.52</v>
      </c>
      <c r="G35" s="18" t="n">
        <v>146.34</v>
      </c>
      <c r="H35" s="18" t="n">
        <v>140.72</v>
      </c>
      <c r="I35" s="18" t="n">
        <v>129.97</v>
      </c>
      <c r="J35" s="18" t="n">
        <v>79.41</v>
      </c>
      <c r="K35" s="37" t="n">
        <v>79.41</v>
      </c>
      <c r="L35" s="18" t="n">
        <v>45.38</v>
      </c>
      <c r="M35" s="18" t="n">
        <v>36.42</v>
      </c>
      <c r="N35" s="18" t="n">
        <v>29.29</v>
      </c>
      <c r="O35" s="18" t="n">
        <v>21.87</v>
      </c>
      <c r="P35" s="37" t="n">
        <v>21.87</v>
      </c>
      <c r="Q35" s="18" t="n">
        <v>14.61</v>
      </c>
      <c r="R35" s="18" t="n">
        <v>11.31</v>
      </c>
      <c r="S35" s="18" t="n">
        <v>14.16</v>
      </c>
      <c r="T35" s="18" t="n">
        <v>10.77</v>
      </c>
      <c r="U35" s="37" t="n">
        <v>10.77</v>
      </c>
      <c r="V35" s="18" t="n">
        <v>7.37</v>
      </c>
      <c r="W35" s="18" t="n">
        <v>6.01</v>
      </c>
      <c r="X35" s="18" t="n">
        <v>4.66</v>
      </c>
      <c r="Y35" s="18" t="n">
        <v>3.31</v>
      </c>
      <c r="Z35" s="37" t="n">
        <v>3.31</v>
      </c>
      <c r="AA35" s="18" t="n">
        <v>1.94</v>
      </c>
      <c r="AB35" s="19" t="n">
        <v>0.57</v>
      </c>
      <c r="AC35" s="10" t="n"/>
      <c r="AD35" s="10" t="n"/>
      <c r="AE35" s="11" t="n"/>
      <c r="AF35" s="10" t="n"/>
      <c r="AG35" s="10" t="n"/>
      <c r="AH35" s="10" t="n"/>
      <c r="AI35" s="10" t="n"/>
      <c r="AJ35" s="11" t="n"/>
      <c r="AK35" s="10" t="n"/>
      <c r="AL35" s="10" t="n"/>
      <c r="AM35" s="10" t="n"/>
      <c r="AN35" s="10" t="n"/>
      <c r="AO35" s="11" t="n"/>
    </row>
    <row r="36">
      <c r="A36" t="n">
        <v>1</v>
      </c>
      <c r="C36" t="inlineStr">
        <is>
          <t>장기금융부채</t>
        </is>
      </c>
      <c r="E36" s="18" t="n">
        <v>174.52</v>
      </c>
      <c r="F36" s="37" t="n">
        <v>174.52</v>
      </c>
      <c r="G36" s="18" t="n">
        <v>146.34</v>
      </c>
      <c r="H36" s="18" t="n">
        <v>140.72</v>
      </c>
      <c r="I36" s="18" t="n">
        <v>129.97</v>
      </c>
      <c r="J36" s="18" t="n">
        <v>79.41</v>
      </c>
      <c r="K36" s="37" t="n">
        <v>79.41</v>
      </c>
      <c r="L36" s="18" t="n">
        <v>60.43</v>
      </c>
      <c r="M36" s="18" t="n">
        <v>58.06</v>
      </c>
      <c r="N36" s="18" t="n">
        <v>29.29</v>
      </c>
      <c r="O36" s="18" t="n">
        <v>21.87</v>
      </c>
      <c r="P36" s="37" t="n">
        <v>21.87</v>
      </c>
      <c r="Q36" s="18" t="n">
        <v>14.61</v>
      </c>
      <c r="R36" s="18" t="n">
        <v>11.31</v>
      </c>
      <c r="S36" s="18" t="n">
        <v>14.16</v>
      </c>
      <c r="T36" s="18" t="n">
        <v>10.77</v>
      </c>
      <c r="U36" s="37" t="n">
        <v>10.77</v>
      </c>
      <c r="V36" s="18" t="n">
        <v>7.37</v>
      </c>
      <c r="W36" s="18" t="n">
        <v>6.01</v>
      </c>
      <c r="X36" s="18" t="n">
        <v>4.66</v>
      </c>
      <c r="Y36" s="18" t="n">
        <v>3.31</v>
      </c>
      <c r="Z36" s="37" t="n">
        <v>3.31</v>
      </c>
      <c r="AA36" s="18" t="n">
        <v>1.94</v>
      </c>
      <c r="AB36" s="19" t="n">
        <v>84.72</v>
      </c>
      <c r="AC36" s="10" t="n"/>
      <c r="AD36" s="10" t="n"/>
      <c r="AE36" s="11" t="n"/>
      <c r="AF36" s="10" t="n"/>
      <c r="AG36" s="10" t="n"/>
      <c r="AH36" s="10" t="n"/>
      <c r="AI36" s="10" t="n"/>
      <c r="AJ36" s="11" t="n"/>
      <c r="AK36" s="10" t="n"/>
      <c r="AL36" s="10" t="n"/>
      <c r="AM36" s="10" t="n"/>
      <c r="AN36" s="10" t="n"/>
      <c r="AO36" s="11" t="n"/>
    </row>
    <row r="37">
      <c r="A37" t="n">
        <v>1</v>
      </c>
      <c r="C37" t="inlineStr">
        <is>
          <t>부채총계</t>
        </is>
      </c>
      <c r="E37" s="18" t="n">
        <v>84926.00999999999</v>
      </c>
      <c r="F37" s="37" t="n">
        <v>84926.00999999999</v>
      </c>
      <c r="G37" s="18" t="n">
        <v>91807.14</v>
      </c>
      <c r="H37" s="18" t="n">
        <v>92098.23</v>
      </c>
      <c r="I37" s="18" t="n">
        <v>86766.03</v>
      </c>
      <c r="J37" s="18" t="n">
        <v>81687.59</v>
      </c>
      <c r="K37" s="37" t="n">
        <v>81687.59</v>
      </c>
      <c r="L37" s="18" t="n">
        <v>77565.57000000001</v>
      </c>
      <c r="M37" s="18" t="n">
        <v>61269.99</v>
      </c>
      <c r="N37" s="18" t="n">
        <v>59636.47</v>
      </c>
      <c r="O37" s="18" t="n">
        <v>59319.01</v>
      </c>
      <c r="P37" s="37" t="n">
        <v>59319.01</v>
      </c>
      <c r="Q37" s="18" t="n">
        <v>58944.95</v>
      </c>
      <c r="R37" s="18" t="n">
        <v>50856.73</v>
      </c>
      <c r="S37" s="18" t="n">
        <v>37305.52</v>
      </c>
      <c r="T37" s="18" t="n">
        <v>36564.29</v>
      </c>
      <c r="U37" s="37" t="n">
        <v>36564.29</v>
      </c>
      <c r="V37" s="18" t="n">
        <v>44284.55</v>
      </c>
      <c r="W37" s="18" t="n">
        <v>35936.23</v>
      </c>
      <c r="X37" s="18" t="n">
        <v>37289.09</v>
      </c>
      <c r="Y37" s="18" t="n">
        <v>43044.61</v>
      </c>
      <c r="Z37" s="37" t="n">
        <v>43044.61</v>
      </c>
      <c r="AA37" s="18" t="n">
        <v>105896.4</v>
      </c>
      <c r="AB37" s="19" t="n">
        <v>94680.33</v>
      </c>
      <c r="AC37" s="10" t="n"/>
      <c r="AD37" s="10" t="n"/>
      <c r="AE37" s="11" t="n"/>
      <c r="AF37" s="10" t="n"/>
      <c r="AG37" s="10" t="n"/>
      <c r="AH37" s="10" t="n"/>
      <c r="AI37" s="10" t="n"/>
      <c r="AJ37" s="11" t="n"/>
      <c r="AK37" s="10" t="n"/>
      <c r="AL37" s="10" t="n"/>
      <c r="AM37" s="10" t="n"/>
      <c r="AN37" s="10" t="n"/>
      <c r="AO37" s="11" t="n"/>
    </row>
    <row r="38">
      <c r="A38" t="n">
        <v>1</v>
      </c>
      <c r="C38" t="inlineStr">
        <is>
          <t>지배주주지분</t>
        </is>
      </c>
      <c r="E38" s="18" t="n">
        <v>93715.35000000001</v>
      </c>
      <c r="F38" s="37" t="n">
        <v>93715.35000000001</v>
      </c>
      <c r="G38" s="18" t="n">
        <v>94585.89</v>
      </c>
      <c r="H38" s="18" t="n">
        <v>97175.86</v>
      </c>
      <c r="I38" s="18" t="n">
        <v>99024.77</v>
      </c>
      <c r="J38" s="18" t="n">
        <v>97380.44</v>
      </c>
      <c r="K38" s="37" t="n">
        <v>97380.44</v>
      </c>
      <c r="L38" s="18" t="n">
        <v>96364.77</v>
      </c>
      <c r="M38" s="18" t="n">
        <v>164832.58</v>
      </c>
      <c r="N38" s="18" t="n">
        <v>164684.56</v>
      </c>
      <c r="O38" s="18" t="n">
        <v>162256.35</v>
      </c>
      <c r="P38" s="37" t="n">
        <v>162256.35</v>
      </c>
      <c r="Q38" s="18" t="n">
        <v>161771.13</v>
      </c>
      <c r="R38" s="18" t="n">
        <v>165512.85</v>
      </c>
      <c r="S38" s="18" t="n">
        <v>168042.35</v>
      </c>
      <c r="T38" s="18" t="n">
        <v>171717.86</v>
      </c>
      <c r="U38" s="37" t="n">
        <v>171717.86</v>
      </c>
      <c r="V38" s="18" t="n">
        <v>174480.35</v>
      </c>
      <c r="W38" s="18" t="n">
        <v>184848.21</v>
      </c>
      <c r="X38" s="18" t="n">
        <v>192952.22</v>
      </c>
      <c r="Y38" s="18" t="n">
        <v>198690.92</v>
      </c>
      <c r="Z38" s="37" t="n">
        <v>198690.92</v>
      </c>
      <c r="AA38" s="18" t="n">
        <v>195256.86</v>
      </c>
      <c r="AB38" s="19" t="n">
        <v>203915.84</v>
      </c>
      <c r="AC38" s="10" t="n"/>
      <c r="AD38" s="10" t="n"/>
      <c r="AE38" s="11" t="n"/>
      <c r="AF38" s="10" t="n"/>
      <c r="AG38" s="10" t="n"/>
      <c r="AH38" s="10" t="n"/>
      <c r="AI38" s="10" t="n"/>
      <c r="AJ38" s="11" t="n"/>
      <c r="AK38" s="10" t="n"/>
      <c r="AL38" s="10" t="n"/>
      <c r="AM38" s="10" t="n"/>
      <c r="AN38" s="10" t="n"/>
      <c r="AO38" s="11" t="n"/>
    </row>
    <row r="39">
      <c r="A39" t="n">
        <v>1</v>
      </c>
      <c r="C39" t="inlineStr">
        <is>
          <t>자본금</t>
        </is>
      </c>
      <c r="E39" s="18" t="n">
        <v>8808.73</v>
      </c>
      <c r="F39" s="37" t="n">
        <v>8808.73</v>
      </c>
      <c r="G39" s="18" t="n">
        <v>8808.73</v>
      </c>
      <c r="H39" s="18" t="n">
        <v>8808.73</v>
      </c>
      <c r="I39" s="18" t="n">
        <v>8808.73</v>
      </c>
      <c r="J39" s="18" t="n">
        <v>8808.73</v>
      </c>
      <c r="K39" s="37" t="n">
        <v>8808.73</v>
      </c>
      <c r="L39" s="18" t="n">
        <v>8808.73</v>
      </c>
      <c r="M39" s="18" t="n">
        <v>8808.73</v>
      </c>
      <c r="N39" s="18" t="n">
        <v>8808.73</v>
      </c>
      <c r="O39" s="18" t="n">
        <v>8808.73</v>
      </c>
      <c r="P39" s="37" t="n">
        <v>8808.73</v>
      </c>
      <c r="Q39" s="18" t="n">
        <v>8808.73</v>
      </c>
      <c r="R39" s="18" t="n">
        <v>8808.73</v>
      </c>
      <c r="S39" s="18" t="n">
        <v>8808.73</v>
      </c>
      <c r="T39" s="18" t="n">
        <v>8808.73</v>
      </c>
      <c r="U39" s="37" t="n">
        <v>8808.73</v>
      </c>
      <c r="V39" s="18" t="n">
        <v>8808.73</v>
      </c>
      <c r="W39" s="18" t="n">
        <v>8808.73</v>
      </c>
      <c r="X39" s="18" t="n">
        <v>8808.73</v>
      </c>
      <c r="Y39" s="18" t="n">
        <v>8808.73</v>
      </c>
      <c r="Z39" s="37" t="n">
        <v>8808.73</v>
      </c>
      <c r="AA39" s="18" t="n">
        <v>8808.73</v>
      </c>
      <c r="AB39" s="19" t="n">
        <v>8808.73</v>
      </c>
      <c r="AC39" s="10" t="n"/>
      <c r="AD39" s="10" t="n"/>
      <c r="AE39" s="11" t="n"/>
      <c r="AF39" s="10" t="n"/>
      <c r="AG39" s="10" t="n"/>
      <c r="AH39" s="10" t="n"/>
      <c r="AI39" s="10" t="n"/>
      <c r="AJ39" s="11" t="n"/>
      <c r="AK39" s="10" t="n"/>
      <c r="AL39" s="10" t="n"/>
      <c r="AM39" s="10" t="n"/>
      <c r="AN39" s="10" t="n"/>
      <c r="AO39" s="11" t="n"/>
    </row>
    <row r="40">
      <c r="A40" t="n">
        <v>1</v>
      </c>
      <c r="C40" t="inlineStr">
        <is>
          <t>자본잉여금</t>
        </is>
      </c>
      <c r="E40" s="18" t="n">
        <v>21450.9</v>
      </c>
      <c r="F40" s="37" t="n">
        <v>21450.9</v>
      </c>
      <c r="G40" s="18" t="n">
        <v>21450.9</v>
      </c>
      <c r="H40" s="18" t="n">
        <v>21357.65</v>
      </c>
      <c r="I40" s="18" t="n">
        <v>19495.13</v>
      </c>
      <c r="J40" s="18" t="n">
        <v>18907.81</v>
      </c>
      <c r="K40" s="37" t="n">
        <v>18907.81</v>
      </c>
      <c r="L40" s="18" t="n">
        <v>8595.870000000001</v>
      </c>
      <c r="M40" s="18" t="n">
        <v>11516.78</v>
      </c>
      <c r="N40" s="18" t="n">
        <v>11503.01</v>
      </c>
      <c r="O40" s="18" t="n">
        <v>6538.03</v>
      </c>
      <c r="P40" s="37" t="n">
        <v>6538.03</v>
      </c>
      <c r="Q40" s="18" t="n">
        <v>6538.03</v>
      </c>
      <c r="R40" s="18" t="n">
        <v>6538.03</v>
      </c>
      <c r="S40" s="18" t="n">
        <v>6538.03</v>
      </c>
      <c r="T40" s="18" t="n">
        <v>6538.03</v>
      </c>
      <c r="U40" s="37" t="n">
        <v>6538.03</v>
      </c>
      <c r="V40" s="18" t="n">
        <v>8511.540000000001</v>
      </c>
      <c r="W40" s="18" t="n">
        <v>12795.06</v>
      </c>
      <c r="X40" s="18" t="n">
        <v>12795.06</v>
      </c>
      <c r="Y40" s="18" t="n">
        <v>12795.06</v>
      </c>
      <c r="Z40" s="37" t="n">
        <v>12795.06</v>
      </c>
      <c r="AA40" s="18" t="n">
        <v>12795.06</v>
      </c>
      <c r="AB40" s="19" t="n">
        <v>12795.06</v>
      </c>
      <c r="AC40" s="10" t="n"/>
      <c r="AD40" s="10" t="n"/>
      <c r="AE40" s="11" t="n"/>
      <c r="AF40" s="10" t="n"/>
      <c r="AG40" s="10" t="n"/>
      <c r="AH40" s="10" t="n"/>
      <c r="AI40" s="10" t="n"/>
      <c r="AJ40" s="11" t="n"/>
      <c r="AK40" s="10" t="n"/>
      <c r="AL40" s="10" t="n"/>
      <c r="AM40" s="10" t="n"/>
      <c r="AN40" s="10" t="n"/>
      <c r="AO40" s="11" t="n"/>
    </row>
    <row r="41">
      <c r="A41" t="n">
        <v>1</v>
      </c>
      <c r="C41" t="inlineStr">
        <is>
          <t>기타자본</t>
        </is>
      </c>
      <c r="E41" s="18" t="n">
        <v>579.83</v>
      </c>
      <c r="F41" s="37" t="n">
        <v>579.83</v>
      </c>
      <c r="G41" s="18" t="n">
        <v>1115.05</v>
      </c>
      <c r="H41" s="18" t="n">
        <v>850.9299999999999</v>
      </c>
      <c r="I41" s="18" t="n">
        <v>1147.59</v>
      </c>
      <c r="J41" s="18" t="n">
        <v>358.69</v>
      </c>
      <c r="K41" s="37" t="n">
        <v>358.69</v>
      </c>
      <c r="L41" s="18" t="n">
        <v>692.23</v>
      </c>
      <c r="M41" s="18" t="n">
        <v>341.82</v>
      </c>
      <c r="N41" s="18" t="n">
        <v>481.36</v>
      </c>
      <c r="O41" s="18" t="n">
        <v>326.84</v>
      </c>
      <c r="P41" s="37" t="n">
        <v>326.84</v>
      </c>
      <c r="Q41" s="18" t="n">
        <v>475.31</v>
      </c>
      <c r="R41" s="18" t="n">
        <v>619.55</v>
      </c>
      <c r="S41" s="18" t="n">
        <v>567.49</v>
      </c>
      <c r="T41" s="18" t="n">
        <v>971.5599999999999</v>
      </c>
      <c r="U41" s="37" t="n">
        <v>971.5599999999999</v>
      </c>
      <c r="V41" s="18" t="n">
        <v>986.9400000000001</v>
      </c>
      <c r="W41" s="18" t="n">
        <v>556.77</v>
      </c>
      <c r="X41" s="18" t="n">
        <v>831.3099999999999</v>
      </c>
      <c r="Z41" s="9" t="n"/>
      <c r="AB41" s="5" t="n"/>
      <c r="AC41" s="10" t="n"/>
      <c r="AD41" s="10" t="n"/>
      <c r="AE41" s="11" t="n"/>
      <c r="AF41" s="10" t="n"/>
      <c r="AG41" s="10" t="n"/>
      <c r="AH41" s="10" t="n"/>
      <c r="AI41" s="10" t="n"/>
      <c r="AJ41" s="11" t="n"/>
      <c r="AK41" s="10" t="n"/>
      <c r="AL41" s="10" t="n"/>
      <c r="AM41" s="10" t="n"/>
      <c r="AN41" s="10" t="n"/>
      <c r="AO41" s="11" t="n"/>
    </row>
    <row r="42">
      <c r="A42" t="n">
        <v>1</v>
      </c>
      <c r="C42" t="inlineStr">
        <is>
          <t>이익잉여금</t>
        </is>
      </c>
      <c r="E42" s="18" t="n">
        <v>62875.88</v>
      </c>
      <c r="F42" s="37" t="n">
        <v>62875.88</v>
      </c>
      <c r="G42" s="18" t="n">
        <v>63211.19</v>
      </c>
      <c r="H42" s="18" t="n">
        <v>66158.55</v>
      </c>
      <c r="I42" s="18" t="n">
        <v>69573.33</v>
      </c>
      <c r="J42" s="18" t="n">
        <v>69305.21000000001</v>
      </c>
      <c r="K42" s="37" t="n">
        <v>69305.21000000001</v>
      </c>
      <c r="L42" s="18" t="n">
        <v>78267.94</v>
      </c>
      <c r="M42" s="18" t="n">
        <v>144165.25</v>
      </c>
      <c r="N42" s="18" t="n">
        <v>143891.45</v>
      </c>
      <c r="O42" s="18" t="n">
        <v>146582.75</v>
      </c>
      <c r="P42" s="37" t="n">
        <v>146582.75</v>
      </c>
      <c r="Q42" s="18" t="n">
        <v>145949.06</v>
      </c>
      <c r="R42" s="18" t="n">
        <v>149546.53</v>
      </c>
      <c r="S42" s="18" t="n">
        <v>152128.1</v>
      </c>
      <c r="T42" s="18" t="n">
        <v>155399.54</v>
      </c>
      <c r="U42" s="37" t="n">
        <v>155399.54</v>
      </c>
      <c r="V42" s="18" t="n">
        <v>156173.14</v>
      </c>
      <c r="W42" s="18" t="n">
        <v>162687.65</v>
      </c>
      <c r="X42" s="18" t="n">
        <v>170517.12</v>
      </c>
      <c r="Y42" s="18" t="n">
        <v>175985.82</v>
      </c>
      <c r="Z42" s="37" t="n">
        <v>175985.82</v>
      </c>
      <c r="AA42" s="18" t="n">
        <v>172057.69</v>
      </c>
      <c r="AB42" s="19" t="n">
        <v>180421.5</v>
      </c>
      <c r="AC42" s="10" t="n"/>
      <c r="AD42" s="10" t="n"/>
      <c r="AE42" s="11" t="n"/>
      <c r="AF42" s="10" t="n"/>
      <c r="AG42" s="10" t="n"/>
      <c r="AH42" s="10" t="n"/>
      <c r="AI42" s="10" t="n"/>
      <c r="AJ42" s="11" t="n"/>
      <c r="AK42" s="10" t="n"/>
      <c r="AL42" s="10" t="n"/>
      <c r="AM42" s="10" t="n"/>
      <c r="AN42" s="10" t="n"/>
      <c r="AO42" s="11" t="n"/>
    </row>
    <row r="43">
      <c r="A43" t="n">
        <v>1</v>
      </c>
      <c r="C43" t="inlineStr">
        <is>
          <t>비지배주주지분</t>
        </is>
      </c>
      <c r="E43" s="18" t="n">
        <v>-89.12</v>
      </c>
      <c r="F43" s="37" t="n">
        <v>-89.12</v>
      </c>
      <c r="G43" s="18" t="n">
        <v>-116.1</v>
      </c>
      <c r="H43" s="18" t="n">
        <v>-149.57</v>
      </c>
      <c r="I43" s="18" t="n">
        <v>-162.87</v>
      </c>
      <c r="J43" s="18" t="n">
        <v>-212.43</v>
      </c>
      <c r="K43" s="37" t="n">
        <v>-212.43</v>
      </c>
      <c r="L43" s="18" t="n">
        <v>-264.87</v>
      </c>
      <c r="P43" s="9" t="n"/>
      <c r="U43" s="9" t="n"/>
      <c r="Z43" s="9" t="n"/>
      <c r="AB43" s="5" t="n"/>
      <c r="AC43" s="10" t="n"/>
      <c r="AD43" s="10" t="n"/>
      <c r="AE43" s="11" t="n"/>
      <c r="AF43" s="10" t="n"/>
      <c r="AG43" s="10" t="n"/>
      <c r="AH43" s="10" t="n"/>
      <c r="AI43" s="10" t="n"/>
      <c r="AJ43" s="11" t="n"/>
      <c r="AK43" s="10" t="n"/>
      <c r="AL43" s="10" t="n"/>
      <c r="AM43" s="10" t="n"/>
      <c r="AN43" s="10" t="n"/>
      <c r="AO43" s="11" t="n"/>
    </row>
    <row r="44">
      <c r="A44" t="n">
        <v>1</v>
      </c>
      <c r="C44" t="inlineStr">
        <is>
          <t>자본총계</t>
        </is>
      </c>
      <c r="E44" s="18" t="n">
        <v>93626.23</v>
      </c>
      <c r="F44" s="37" t="n">
        <v>93626.23</v>
      </c>
      <c r="G44" s="18" t="n">
        <v>94469.78</v>
      </c>
      <c r="H44" s="18" t="n">
        <v>97026.3</v>
      </c>
      <c r="I44" s="18" t="n">
        <v>98861.89999999999</v>
      </c>
      <c r="J44" s="18" t="n">
        <v>97168</v>
      </c>
      <c r="K44" s="37" t="n">
        <v>97168</v>
      </c>
      <c r="L44" s="18" t="n">
        <v>96099.89999999999</v>
      </c>
      <c r="M44" s="18" t="n">
        <v>164832.58</v>
      </c>
      <c r="N44" s="18" t="n">
        <v>164684.56</v>
      </c>
      <c r="O44" s="18" t="n">
        <v>162256.35</v>
      </c>
      <c r="P44" s="37" t="n">
        <v>162256.35</v>
      </c>
      <c r="Q44" s="18" t="n">
        <v>161771.13</v>
      </c>
      <c r="R44" s="18" t="n">
        <v>165512.85</v>
      </c>
      <c r="S44" s="18" t="n">
        <v>168042.35</v>
      </c>
      <c r="T44" s="18" t="n">
        <v>171717.86</v>
      </c>
      <c r="U44" s="37" t="n">
        <v>171717.86</v>
      </c>
      <c r="V44" s="18" t="n">
        <v>174480.35</v>
      </c>
      <c r="W44" s="18" t="n">
        <v>184848.21</v>
      </c>
      <c r="X44" s="18" t="n">
        <v>192952.22</v>
      </c>
      <c r="Y44" s="18" t="n">
        <v>198690.92</v>
      </c>
      <c r="Z44" s="37" t="n">
        <v>198690.92</v>
      </c>
      <c r="AA44" s="18" t="n">
        <v>195256.86</v>
      </c>
      <c r="AB44" s="19" t="n">
        <v>203915.84</v>
      </c>
      <c r="AC44" s="10" t="n"/>
      <c r="AD44" s="10" t="n"/>
      <c r="AE44" s="11" t="n"/>
      <c r="AF44" s="10" t="n"/>
      <c r="AG44" s="10" t="n"/>
      <c r="AH44" s="10" t="n"/>
      <c r="AI44" s="10" t="n"/>
      <c r="AJ44" s="11" t="n"/>
      <c r="AK44" s="10" t="n"/>
      <c r="AL44" s="10" t="n"/>
      <c r="AM44" s="10" t="n"/>
      <c r="AN44" s="10" t="n"/>
      <c r="AO44" s="11" t="n"/>
    </row>
    <row r="45">
      <c r="A45" t="n">
        <v>1</v>
      </c>
      <c r="C45" t="inlineStr">
        <is>
          <t>부채와자본총계</t>
        </is>
      </c>
      <c r="E45" s="18" t="n">
        <v>178552.25</v>
      </c>
      <c r="F45" s="37" t="n">
        <v>178552.25</v>
      </c>
      <c r="G45" s="18" t="n">
        <v>186276.92</v>
      </c>
      <c r="H45" s="18" t="n">
        <v>189124.53</v>
      </c>
      <c r="I45" s="18" t="n">
        <v>185627.93</v>
      </c>
      <c r="J45" s="18" t="n">
        <v>178855.6</v>
      </c>
      <c r="K45" s="37" t="n">
        <v>178855.6</v>
      </c>
      <c r="L45" s="18" t="n">
        <v>173665.48</v>
      </c>
      <c r="M45" s="18" t="n">
        <v>226102.57</v>
      </c>
      <c r="N45" s="18" t="n">
        <v>224321.03</v>
      </c>
      <c r="O45" s="18" t="n">
        <v>221575.36</v>
      </c>
      <c r="P45" s="37" t="n">
        <v>221575.36</v>
      </c>
      <c r="Q45" s="18" t="n">
        <v>220716.08</v>
      </c>
      <c r="R45" s="18" t="n">
        <v>216369.58</v>
      </c>
      <c r="S45" s="18" t="n">
        <v>205347.87</v>
      </c>
      <c r="T45" s="18" t="n">
        <v>208282.15</v>
      </c>
      <c r="U45" s="37" t="n">
        <v>208282.15</v>
      </c>
      <c r="V45" s="18" t="n">
        <v>218764.9</v>
      </c>
      <c r="W45" s="18" t="n">
        <v>220784.45</v>
      </c>
      <c r="X45" s="18" t="n">
        <v>230241.31</v>
      </c>
      <c r="Y45" s="18" t="n">
        <v>241735.53</v>
      </c>
      <c r="Z45" s="37" t="n">
        <v>241735.53</v>
      </c>
      <c r="AA45" s="18" t="n">
        <v>301153.25</v>
      </c>
      <c r="AB45" s="19" t="n">
        <v>298596.17</v>
      </c>
      <c r="AC45" s="10" t="n"/>
      <c r="AD45" s="10" t="n"/>
      <c r="AE45" s="11" t="n"/>
      <c r="AF45" s="10" t="n"/>
      <c r="AG45" s="10" t="n"/>
      <c r="AH45" s="10" t="n"/>
      <c r="AI45" s="10" t="n"/>
      <c r="AJ45" s="11" t="n"/>
      <c r="AK45" s="10" t="n"/>
      <c r="AL45" s="10" t="n"/>
      <c r="AM45" s="10" t="n"/>
      <c r="AN45" s="10" t="n"/>
      <c r="AO45" s="11" t="n"/>
    </row>
    <row r="46">
      <c r="A46" t="n">
        <v>1</v>
      </c>
      <c r="C46" t="inlineStr">
        <is>
          <t>총차입금</t>
        </is>
      </c>
      <c r="E46" s="18" t="n">
        <v>74872.95</v>
      </c>
      <c r="F46" s="37" t="n">
        <v>74872.95</v>
      </c>
      <c r="G46" s="18" t="n">
        <v>74085.42</v>
      </c>
      <c r="H46" s="18" t="n">
        <v>74201.69</v>
      </c>
      <c r="I46" s="18" t="n">
        <v>68622.85000000001</v>
      </c>
      <c r="J46" s="18" t="n">
        <v>64168.97</v>
      </c>
      <c r="K46" s="37" t="n">
        <v>64168.97</v>
      </c>
      <c r="L46" s="18" t="n">
        <v>55763.42</v>
      </c>
      <c r="M46" s="18" t="n">
        <v>25571.61</v>
      </c>
      <c r="N46" s="18" t="n">
        <v>25544.8</v>
      </c>
      <c r="O46" s="18" t="n">
        <v>24217.26</v>
      </c>
      <c r="P46" s="37" t="n">
        <v>24217.26</v>
      </c>
      <c r="Q46" s="18" t="n">
        <v>11133.33</v>
      </c>
      <c r="R46" s="18" t="n">
        <v>10913.3</v>
      </c>
      <c r="S46" s="18" t="n">
        <v>9904.870000000001</v>
      </c>
      <c r="T46" s="18" t="n">
        <v>9412.139999999999</v>
      </c>
      <c r="U46" s="37" t="n">
        <v>9412.139999999999</v>
      </c>
      <c r="V46" s="18" t="n">
        <v>9255.18</v>
      </c>
      <c r="W46" s="18" t="n">
        <v>9177.719999999999</v>
      </c>
      <c r="X46" s="18" t="n">
        <v>8627.43</v>
      </c>
      <c r="Y46" s="18" t="n">
        <v>8251.42</v>
      </c>
      <c r="Z46" s="37" t="n">
        <v>8251.42</v>
      </c>
      <c r="AA46" s="18" t="n">
        <v>60790.85</v>
      </c>
      <c r="AB46" s="19" t="n">
        <v>57101.55</v>
      </c>
      <c r="AC46" s="10" t="n"/>
      <c r="AD46" s="10" t="n"/>
      <c r="AE46" s="11" t="n"/>
      <c r="AF46" s="10" t="n"/>
      <c r="AG46" s="10" t="n"/>
      <c r="AH46" s="10" t="n"/>
      <c r="AI46" s="10" t="n"/>
      <c r="AJ46" s="11" t="n"/>
      <c r="AK46" s="10" t="n"/>
      <c r="AL46" s="10" t="n"/>
      <c r="AM46" s="10" t="n"/>
      <c r="AN46" s="10" t="n"/>
      <c r="AO46" s="11" t="n"/>
    </row>
    <row r="47">
      <c r="A47" t="n">
        <v>1</v>
      </c>
      <c r="C47" t="inlineStr">
        <is>
          <t>순차입금</t>
        </is>
      </c>
      <c r="E47" s="18" t="n">
        <v>60920.87</v>
      </c>
      <c r="F47" s="37" t="n">
        <v>60920.87</v>
      </c>
      <c r="G47" s="18" t="n">
        <v>61310.99</v>
      </c>
      <c r="H47" s="18" t="n">
        <v>60500.2</v>
      </c>
      <c r="I47" s="18" t="n">
        <v>54754.47</v>
      </c>
      <c r="J47" s="18" t="n">
        <v>46399.06</v>
      </c>
      <c r="K47" s="37" t="n">
        <v>46399.06</v>
      </c>
      <c r="L47" s="18" t="n">
        <v>42485.59</v>
      </c>
      <c r="M47" s="18" t="n">
        <v>-1760.66</v>
      </c>
      <c r="N47" s="18" t="n">
        <v>-13029.68</v>
      </c>
      <c r="O47" s="18" t="n">
        <v>-6957.11</v>
      </c>
      <c r="P47" s="37" t="n">
        <v>-6957.11</v>
      </c>
      <c r="Q47" s="18" t="n">
        <v>-527.05</v>
      </c>
      <c r="R47" s="18" t="n">
        <v>-2567.15</v>
      </c>
      <c r="S47" s="18" t="n">
        <v>918.54</v>
      </c>
      <c r="T47" s="18" t="n">
        <v>-6312.87</v>
      </c>
      <c r="U47" s="37" t="n">
        <v>-6312.87</v>
      </c>
      <c r="V47" s="18" t="n">
        <v>-7690.78</v>
      </c>
      <c r="W47" s="18" t="n">
        <v>-16530.73</v>
      </c>
      <c r="X47" s="18" t="n">
        <v>-12396.57</v>
      </c>
      <c r="Y47" s="18" t="n">
        <v>-48585.63</v>
      </c>
      <c r="Z47" s="37" t="n">
        <v>-48585.63</v>
      </c>
      <c r="AA47" s="18" t="n">
        <v>33366.78</v>
      </c>
      <c r="AB47" s="19" t="n">
        <v>30685.75</v>
      </c>
      <c r="AC47" s="10" t="n"/>
      <c r="AD47" s="10" t="n"/>
      <c r="AE47" s="11" t="n"/>
      <c r="AF47" s="10" t="n"/>
      <c r="AG47" s="10" t="n"/>
      <c r="AH47" s="10" t="n"/>
      <c r="AI47" s="10" t="n"/>
      <c r="AJ47" s="11" t="n"/>
      <c r="AK47" s="10" t="n"/>
      <c r="AL47" s="10" t="n"/>
      <c r="AM47" s="10" t="n"/>
      <c r="AN47" s="10" t="n"/>
      <c r="AO47" s="11" t="n"/>
    </row>
    <row r="48">
      <c r="A48" t="n">
        <v>1</v>
      </c>
      <c r="C48" t="inlineStr">
        <is>
          <t>이자발생자산</t>
        </is>
      </c>
      <c r="E48" s="18" t="n">
        <v>14629.24</v>
      </c>
      <c r="F48" s="37" t="n">
        <v>14629.24</v>
      </c>
      <c r="G48" s="18" t="n">
        <v>13417.72</v>
      </c>
      <c r="H48" s="18" t="n">
        <v>14522.59</v>
      </c>
      <c r="I48" s="18" t="n">
        <v>14765.71</v>
      </c>
      <c r="J48" s="18" t="n">
        <v>17771.11</v>
      </c>
      <c r="K48" s="37" t="n">
        <v>17771.11</v>
      </c>
      <c r="L48" s="18" t="n">
        <v>13279.03</v>
      </c>
      <c r="M48" s="18" t="n">
        <v>27332.27</v>
      </c>
      <c r="N48" s="18" t="n">
        <v>77386.38</v>
      </c>
      <c r="O48" s="18" t="n">
        <v>67539.72</v>
      </c>
      <c r="P48" s="37" t="n">
        <v>67539.72</v>
      </c>
      <c r="Q48" s="18" t="n">
        <v>46417.24</v>
      </c>
      <c r="R48" s="18" t="n">
        <v>48044.19</v>
      </c>
      <c r="S48" s="18" t="n">
        <v>39351.76</v>
      </c>
      <c r="T48" s="18" t="n">
        <v>19725.39</v>
      </c>
      <c r="U48" s="37" t="n">
        <v>19725.39</v>
      </c>
      <c r="V48" s="18" t="n">
        <v>27158.01</v>
      </c>
      <c r="W48" s="18" t="n">
        <v>59743.11</v>
      </c>
      <c r="X48" s="18" t="n">
        <v>75774.06</v>
      </c>
      <c r="Y48" s="18" t="n">
        <v>77634.42</v>
      </c>
      <c r="Z48" s="37" t="n">
        <v>77634.42</v>
      </c>
      <c r="AA48" s="18" t="n">
        <v>30137.62</v>
      </c>
      <c r="AB48" s="19" t="n">
        <v>27937.24</v>
      </c>
      <c r="AC48" s="10" t="n"/>
      <c r="AD48" s="10" t="n"/>
      <c r="AE48" s="11" t="n"/>
      <c r="AF48" s="10" t="n"/>
      <c r="AG48" s="10" t="n"/>
      <c r="AH48" s="10" t="n"/>
      <c r="AI48" s="10" t="n"/>
      <c r="AJ48" s="11" t="n"/>
      <c r="AK48" s="10" t="n"/>
      <c r="AL48" s="10" t="n"/>
      <c r="AM48" s="10" t="n"/>
      <c r="AN48" s="10" t="n"/>
      <c r="AO48" s="11" t="n"/>
    </row>
    <row r="49">
      <c r="A49" t="n">
        <v>1</v>
      </c>
      <c r="C49" t="inlineStr">
        <is>
          <t>단기충당부채</t>
        </is>
      </c>
      <c r="F49" s="9" t="n"/>
      <c r="H49" s="18" t="n">
        <v>665.11</v>
      </c>
      <c r="I49" s="18" t="n">
        <v>635.15</v>
      </c>
      <c r="J49" s="18" t="n">
        <v>875.13</v>
      </c>
      <c r="K49" s="37" t="n">
        <v>875.13</v>
      </c>
      <c r="L49" s="18" t="n">
        <v>846.23</v>
      </c>
      <c r="M49" s="18" t="n">
        <v>915.8</v>
      </c>
      <c r="N49" s="18" t="n">
        <v>741.14</v>
      </c>
      <c r="O49" s="18" t="n">
        <v>866.41</v>
      </c>
      <c r="P49" s="37" t="n">
        <v>866.41</v>
      </c>
      <c r="Q49" s="18" t="n">
        <v>911.08</v>
      </c>
      <c r="R49" s="18" t="n">
        <v>374.35</v>
      </c>
      <c r="S49" s="18" t="n">
        <v>363.83</v>
      </c>
      <c r="T49" s="18" t="n">
        <v>843.3099999999999</v>
      </c>
      <c r="U49" s="37" t="n">
        <v>843.3099999999999</v>
      </c>
      <c r="V49" s="18" t="n">
        <v>840.28</v>
      </c>
      <c r="W49" s="18" t="n">
        <v>516.92</v>
      </c>
      <c r="X49" s="18" t="n">
        <v>516.92</v>
      </c>
      <c r="Y49" s="18" t="n">
        <v>1132.11</v>
      </c>
      <c r="Z49" s="37" t="n">
        <v>1132.11</v>
      </c>
      <c r="AA49" s="18" t="n">
        <v>592.79</v>
      </c>
      <c r="AB49" s="19" t="n">
        <v>645.84</v>
      </c>
      <c r="AC49" s="10" t="n"/>
      <c r="AD49" s="10" t="n"/>
      <c r="AE49" s="11" t="n"/>
      <c r="AF49" s="10" t="n"/>
      <c r="AG49" s="10" t="n"/>
      <c r="AH49" s="10" t="n"/>
      <c r="AI49" s="10" t="n"/>
      <c r="AJ49" s="11" t="n"/>
      <c r="AK49" s="10" t="n"/>
      <c r="AL49" s="10" t="n"/>
      <c r="AM49" s="10" t="n"/>
      <c r="AN49" s="10" t="n"/>
      <c r="AO49" s="11" t="n"/>
    </row>
    <row r="50">
      <c r="A50" t="n">
        <v>1</v>
      </c>
      <c r="C50" t="inlineStr">
        <is>
          <t>기타비유동금융부채</t>
        </is>
      </c>
      <c r="F50" s="9" t="n"/>
      <c r="K50" s="9" t="n"/>
      <c r="L50" s="18" t="n">
        <v>15.05</v>
      </c>
      <c r="M50" s="18" t="n">
        <v>21.64</v>
      </c>
      <c r="P50" s="9" t="n"/>
      <c r="U50" s="9" t="n"/>
      <c r="Z50" s="9" t="n"/>
      <c r="AB50" s="19" t="n">
        <v>84.15000000000001</v>
      </c>
      <c r="AC50" s="10" t="n"/>
      <c r="AD50" s="10" t="n"/>
      <c r="AE50" s="11" t="n"/>
      <c r="AF50" s="10" t="n"/>
      <c r="AG50" s="10" t="n"/>
      <c r="AH50" s="10" t="n"/>
      <c r="AI50" s="10" t="n"/>
      <c r="AJ50" s="11" t="n"/>
      <c r="AK50" s="10" t="n"/>
      <c r="AL50" s="10" t="n"/>
      <c r="AM50" s="10" t="n"/>
      <c r="AN50" s="10" t="n"/>
      <c r="AO50" s="11" t="n"/>
    </row>
    <row r="51">
      <c r="A51" t="n">
        <v>1</v>
      </c>
      <c r="C51" t="inlineStr">
        <is>
          <t>단기투자자산(공정가치)</t>
        </is>
      </c>
      <c r="F51" s="9" t="n"/>
      <c r="K51" s="9" t="n"/>
      <c r="N51" s="18" t="n">
        <v>38961.54</v>
      </c>
      <c r="O51" s="18" t="n">
        <v>46645.24</v>
      </c>
      <c r="P51" s="37" t="n">
        <v>46645.24</v>
      </c>
      <c r="Q51" s="18" t="n">
        <v>53770.33</v>
      </c>
      <c r="R51" s="18" t="n">
        <v>47194.25</v>
      </c>
      <c r="S51" s="18" t="n">
        <v>43946.1</v>
      </c>
      <c r="T51" s="18" t="n">
        <v>57403.76</v>
      </c>
      <c r="U51" s="37" t="n">
        <v>57403.76</v>
      </c>
      <c r="V51" s="18" t="n">
        <v>55377.44</v>
      </c>
      <c r="W51" s="18" t="n">
        <v>24595.6</v>
      </c>
      <c r="X51" s="18" t="n">
        <v>16923.46</v>
      </c>
      <c r="Y51" s="18" t="n">
        <v>12005.61</v>
      </c>
      <c r="Z51" s="37" t="n">
        <v>12005.61</v>
      </c>
      <c r="AA51" s="18" t="n">
        <v>11595.15</v>
      </c>
      <c r="AB51" s="19" t="n">
        <v>7077.39</v>
      </c>
      <c r="AC51" s="10" t="n"/>
      <c r="AD51" s="10" t="n"/>
      <c r="AE51" s="11" t="n"/>
      <c r="AF51" s="10" t="n"/>
      <c r="AG51" s="10" t="n"/>
      <c r="AH51" s="10" t="n"/>
      <c r="AI51" s="10" t="n"/>
      <c r="AJ51" s="11" t="n"/>
      <c r="AK51" s="10" t="n"/>
      <c r="AL51" s="10" t="n"/>
      <c r="AM51" s="10" t="n"/>
      <c r="AN51" s="10" t="n"/>
      <c r="AO51" s="11" t="n"/>
    </row>
    <row r="52">
      <c r="A52" t="n">
        <v>1</v>
      </c>
      <c r="C52" t="inlineStr">
        <is>
          <t>장기충당부채</t>
        </is>
      </c>
      <c r="F52" s="9" t="n"/>
      <c r="K52" s="9" t="n"/>
      <c r="P52" s="9" t="n"/>
      <c r="R52" s="18" t="n">
        <v>648.37</v>
      </c>
      <c r="S52" s="18" t="n">
        <v>628.41</v>
      </c>
      <c r="T52" s="18" t="n">
        <v>313.72</v>
      </c>
      <c r="U52" s="37" t="n">
        <v>313.72</v>
      </c>
      <c r="V52" s="18" t="n">
        <v>275.21</v>
      </c>
      <c r="W52" s="18" t="n">
        <v>871.67</v>
      </c>
      <c r="X52" s="18" t="n">
        <v>871.67</v>
      </c>
      <c r="Y52" s="18" t="n">
        <v>404.51</v>
      </c>
      <c r="Z52" s="37" t="n">
        <v>404.51</v>
      </c>
      <c r="AA52" s="18" t="n">
        <v>1009.93</v>
      </c>
      <c r="AB52" s="19" t="n">
        <v>1102.43</v>
      </c>
      <c r="AC52" s="10" t="n"/>
      <c r="AD52" s="10" t="n"/>
      <c r="AE52" s="11" t="n"/>
      <c r="AF52" s="10" t="n"/>
      <c r="AG52" s="10" t="n"/>
      <c r="AH52" s="10" t="n"/>
      <c r="AI52" s="10" t="n"/>
      <c r="AJ52" s="11" t="n"/>
      <c r="AK52" s="10" t="n"/>
      <c r="AL52" s="10" t="n"/>
      <c r="AM52" s="10" t="n"/>
      <c r="AN52" s="10" t="n"/>
      <c r="AO52" s="11" t="n"/>
    </row>
    <row r="53">
      <c r="A53" t="n">
        <v>1</v>
      </c>
      <c r="C53" t="inlineStr">
        <is>
          <t>단기금융부채(face)</t>
        </is>
      </c>
      <c r="F53" s="9" t="n"/>
      <c r="K53" s="9" t="n"/>
      <c r="P53" s="9" t="n"/>
      <c r="S53" s="18" t="n">
        <v>191.54</v>
      </c>
      <c r="U53" s="9" t="n"/>
      <c r="Z53" s="9" t="n"/>
      <c r="AB53" s="5" t="n"/>
      <c r="AC53" s="10" t="n"/>
      <c r="AD53" s="10" t="n"/>
      <c r="AE53" s="11" t="n"/>
      <c r="AF53" s="10" t="n"/>
      <c r="AG53" s="10" t="n"/>
      <c r="AH53" s="10" t="n"/>
      <c r="AI53" s="10" t="n"/>
      <c r="AJ53" s="11" t="n"/>
      <c r="AK53" s="10" t="n"/>
      <c r="AL53" s="10" t="n"/>
      <c r="AM53" s="10" t="n"/>
      <c r="AN53" s="10" t="n"/>
      <c r="AO53" s="11" t="n"/>
    </row>
    <row r="54">
      <c r="A54" t="n">
        <v>1</v>
      </c>
      <c r="C54" t="inlineStr">
        <is>
          <t>사용권자산</t>
        </is>
      </c>
      <c r="F54" s="9" t="n"/>
      <c r="K54" s="9" t="n"/>
      <c r="P54" s="9" t="n"/>
      <c r="U54" s="9" t="n"/>
      <c r="Y54" s="18" t="n">
        <v>1407.07</v>
      </c>
      <c r="Z54" s="37" t="n">
        <v>1407.07</v>
      </c>
      <c r="AA54" s="18" t="n">
        <v>1487.93</v>
      </c>
      <c r="AB54" s="19" t="n">
        <v>1531.34</v>
      </c>
      <c r="AC54" s="10" t="n"/>
      <c r="AD54" s="10" t="n"/>
      <c r="AE54" s="11" t="n"/>
      <c r="AF54" s="10" t="n"/>
      <c r="AG54" s="10" t="n"/>
      <c r="AH54" s="10" t="n"/>
      <c r="AI54" s="10" t="n"/>
      <c r="AJ54" s="11" t="n"/>
      <c r="AK54" s="10" t="n"/>
      <c r="AL54" s="10" t="n"/>
      <c r="AM54" s="10" t="n"/>
      <c r="AN54" s="10" t="n"/>
      <c r="AO54" s="11" t="n"/>
    </row>
    <row r="55">
      <c r="A55" t="n">
        <v>1</v>
      </c>
      <c r="C55" t="inlineStr">
        <is>
          <t>기타비유동자산</t>
        </is>
      </c>
      <c r="F55" s="9" t="n"/>
      <c r="K55" s="9" t="n"/>
      <c r="P55" s="9" t="n"/>
      <c r="U55" s="9" t="n"/>
      <c r="Y55" s="18" t="n">
        <v>1407.07</v>
      </c>
      <c r="Z55" s="37" t="n">
        <v>1407.07</v>
      </c>
      <c r="AA55" s="18" t="n">
        <v>1487.93</v>
      </c>
      <c r="AB55" s="19" t="n">
        <v>1531.34</v>
      </c>
      <c r="AC55" s="10" t="n"/>
      <c r="AD55" s="10" t="n"/>
      <c r="AE55" s="11" t="n"/>
      <c r="AF55" s="10" t="n"/>
      <c r="AG55" s="10" t="n"/>
      <c r="AH55" s="10" t="n"/>
      <c r="AI55" s="10" t="n"/>
      <c r="AJ55" s="11" t="n"/>
      <c r="AK55" s="10" t="n"/>
      <c r="AL55" s="10" t="n"/>
      <c r="AM55" s="10" t="n"/>
      <c r="AN55" s="10" t="n"/>
      <c r="AO55" s="11" t="n"/>
    </row>
    <row r="56">
      <c r="A56" t="n">
        <v>1</v>
      </c>
      <c r="C56" t="inlineStr">
        <is>
          <t>기타포괄이익누계액</t>
        </is>
      </c>
      <c r="F56" s="9" t="n"/>
      <c r="K56" s="9" t="n"/>
      <c r="P56" s="9" t="n"/>
      <c r="U56" s="9" t="n"/>
      <c r="Y56" s="18" t="n">
        <v>1101.31</v>
      </c>
      <c r="Z56" s="37" t="n">
        <v>1101.31</v>
      </c>
      <c r="AA56" s="18" t="n">
        <v>1595.37</v>
      </c>
      <c r="AB56" s="19" t="n">
        <v>1890.55</v>
      </c>
      <c r="AC56" s="10" t="n"/>
      <c r="AD56" s="10" t="n"/>
      <c r="AE56" s="11" t="n"/>
      <c r="AF56" s="10" t="n"/>
      <c r="AG56" s="10" t="n"/>
      <c r="AH56" s="10" t="n"/>
      <c r="AI56" s="10" t="n"/>
      <c r="AJ56" s="11" t="n"/>
      <c r="AK56" s="10" t="n"/>
      <c r="AL56" s="10" t="n"/>
      <c r="AM56" s="10" t="n"/>
      <c r="AN56" s="10" t="n"/>
      <c r="AO56" s="11" t="n"/>
    </row>
    <row r="57">
      <c r="A57" t="n">
        <v>1</v>
      </c>
      <c r="C57" t="inlineStr">
        <is>
          <t>매출액(수익)</t>
        </is>
      </c>
      <c r="E57" s="18" t="n">
        <v>16376.74</v>
      </c>
      <c r="F57" s="9" t="n"/>
      <c r="G57" s="18" t="n">
        <v>15940.16</v>
      </c>
      <c r="H57" s="18" t="n">
        <v>26914.1</v>
      </c>
      <c r="I57" s="18" t="n">
        <v>27546.49</v>
      </c>
      <c r="J57" s="18" t="n">
        <v>28236.37</v>
      </c>
      <c r="K57" s="37" t="n">
        <v>98637.12</v>
      </c>
      <c r="L57" s="18" t="n">
        <v>22138.71</v>
      </c>
      <c r="M57" s="18" t="n">
        <v>20341.43</v>
      </c>
      <c r="N57" s="18" t="n">
        <v>17300.47</v>
      </c>
      <c r="O57" s="18" t="n">
        <v>19163.89</v>
      </c>
      <c r="P57" s="37" t="n">
        <v>78944.5</v>
      </c>
      <c r="Q57" s="18" t="n">
        <v>23101</v>
      </c>
      <c r="R57" s="18" t="n">
        <v>25584.69</v>
      </c>
      <c r="S57" s="18" t="n">
        <v>23280.13</v>
      </c>
      <c r="T57" s="18" t="n">
        <v>32269.91</v>
      </c>
      <c r="U57" s="37" t="n">
        <v>104235.73</v>
      </c>
      <c r="V57" s="18" t="n">
        <v>26555.57</v>
      </c>
      <c r="W57" s="18" t="n">
        <v>35662.18</v>
      </c>
      <c r="X57" s="18" t="n">
        <v>31667.7</v>
      </c>
      <c r="Y57" s="18" t="n">
        <v>39591.48</v>
      </c>
      <c r="Z57" s="37" t="n">
        <v>133476.93</v>
      </c>
      <c r="AA57" s="18" t="n">
        <v>39356.69</v>
      </c>
      <c r="AB57" s="19" t="n">
        <v>42836.21</v>
      </c>
      <c r="AC57" s="10" t="n"/>
      <c r="AD57" s="10" t="n"/>
      <c r="AE57" s="11" t="n"/>
      <c r="AF57" s="10" t="n"/>
      <c r="AG57" s="10" t="n"/>
      <c r="AH57" s="10" t="n"/>
      <c r="AI57" s="10" t="n"/>
      <c r="AJ57" s="11" t="n"/>
      <c r="AK57" s="10" t="n"/>
      <c r="AL57" s="10" t="n"/>
      <c r="AM57" s="10" t="n"/>
      <c r="AN57" s="10" t="n"/>
      <c r="AO57" s="11" t="n"/>
    </row>
    <row r="58">
      <c r="A58" t="n">
        <v>1</v>
      </c>
      <c r="C58" t="inlineStr">
        <is>
          <t>매출원가</t>
        </is>
      </c>
      <c r="E58" s="18" t="n">
        <v>12659.26</v>
      </c>
      <c r="F58" s="9" t="n"/>
      <c r="G58" s="18" t="n">
        <v>11228.77</v>
      </c>
      <c r="H58" s="18" t="n">
        <v>18720.11</v>
      </c>
      <c r="I58" s="18" t="n">
        <v>17805.4</v>
      </c>
      <c r="J58" s="18" t="n">
        <v>22009.73</v>
      </c>
      <c r="K58" s="37" t="n">
        <v>69764.00999999999</v>
      </c>
      <c r="L58" s="18" t="n">
        <v>15495.92</v>
      </c>
      <c r="M58" s="18" t="n">
        <v>12894.81</v>
      </c>
      <c r="N58" s="18" t="n">
        <v>10380.52</v>
      </c>
      <c r="O58" s="18" t="n">
        <v>13991.35</v>
      </c>
      <c r="P58" s="37" t="n">
        <v>52762.6</v>
      </c>
      <c r="Q58" s="18" t="n">
        <v>15744.72</v>
      </c>
      <c r="R58" s="18" t="n">
        <v>17950.51</v>
      </c>
      <c r="S58" s="18" t="n">
        <v>15209.14</v>
      </c>
      <c r="T58" s="18" t="n">
        <v>21576.46</v>
      </c>
      <c r="U58" s="37" t="n">
        <v>70480.83</v>
      </c>
      <c r="V58" s="18" t="n">
        <v>17537.51</v>
      </c>
      <c r="W58" s="18" t="n">
        <v>24649.24</v>
      </c>
      <c r="X58" s="18" t="n">
        <v>20625.3</v>
      </c>
      <c r="Y58" s="18" t="n">
        <v>26789.93</v>
      </c>
      <c r="Z58" s="37" t="n">
        <v>89601.98</v>
      </c>
      <c r="AA58" s="18" t="n">
        <v>28220.3</v>
      </c>
      <c r="AB58" s="19" t="n">
        <v>27476.15</v>
      </c>
      <c r="AC58" s="10" t="n"/>
      <c r="AD58" s="10" t="n"/>
      <c r="AE58" s="11" t="n"/>
      <c r="AF58" s="10" t="n"/>
      <c r="AG58" s="10" t="n"/>
      <c r="AH58" s="10" t="n"/>
      <c r="AI58" s="10" t="n"/>
      <c r="AJ58" s="11" t="n"/>
      <c r="AK58" s="10" t="n"/>
      <c r="AL58" s="10" t="n"/>
      <c r="AM58" s="10" t="n"/>
      <c r="AN58" s="10" t="n"/>
      <c r="AO58" s="11" t="n"/>
    </row>
    <row r="59">
      <c r="A59" t="n">
        <v>1</v>
      </c>
      <c r="C59" t="inlineStr">
        <is>
          <t>매출총이익</t>
        </is>
      </c>
      <c r="E59" s="18" t="n">
        <v>3717.48</v>
      </c>
      <c r="F59" s="9" t="n"/>
      <c r="G59" s="18" t="n">
        <v>4711.39</v>
      </c>
      <c r="H59" s="18" t="n">
        <v>8193.99</v>
      </c>
      <c r="I59" s="18" t="n">
        <v>9741.09</v>
      </c>
      <c r="J59" s="18" t="n">
        <v>6226.62</v>
      </c>
      <c r="K59" s="37" t="n">
        <v>28873.09</v>
      </c>
      <c r="L59" s="18" t="n">
        <v>6642.79</v>
      </c>
      <c r="M59" s="18" t="n">
        <v>7446.62</v>
      </c>
      <c r="N59" s="18" t="n">
        <v>6919.95</v>
      </c>
      <c r="O59" s="18" t="n">
        <v>5172.54</v>
      </c>
      <c r="P59" s="37" t="n">
        <v>26181.9</v>
      </c>
      <c r="Q59" s="18" t="n">
        <v>7356.28</v>
      </c>
      <c r="R59" s="18" t="n">
        <v>7634.19</v>
      </c>
      <c r="S59" s="18" t="n">
        <v>8070.99</v>
      </c>
      <c r="T59" s="18" t="n">
        <v>10693.45</v>
      </c>
      <c r="U59" s="37" t="n">
        <v>33754.91</v>
      </c>
      <c r="V59" s="18" t="n">
        <v>9018.07</v>
      </c>
      <c r="W59" s="18" t="n">
        <v>11012.94</v>
      </c>
      <c r="X59" s="18" t="n">
        <v>11042.4</v>
      </c>
      <c r="Y59" s="18" t="n">
        <v>12801.54</v>
      </c>
      <c r="Z59" s="37" t="n">
        <v>43874.95</v>
      </c>
      <c r="AA59" s="18" t="n">
        <v>11136.39</v>
      </c>
      <c r="AB59" s="19" t="n">
        <v>15360.05</v>
      </c>
      <c r="AC59" s="10" t="n"/>
      <c r="AD59" s="10" t="n"/>
      <c r="AE59" s="11" t="n"/>
      <c r="AF59" s="10" t="n"/>
      <c r="AG59" s="10" t="n"/>
      <c r="AH59" s="10" t="n"/>
      <c r="AI59" s="10" t="n"/>
      <c r="AJ59" s="11" t="n"/>
      <c r="AK59" s="10" t="n"/>
      <c r="AL59" s="10" t="n"/>
      <c r="AM59" s="10" t="n"/>
      <c r="AN59" s="10" t="n"/>
      <c r="AO59" s="11" t="n"/>
    </row>
    <row r="60">
      <c r="A60" t="n">
        <v>1</v>
      </c>
      <c r="C60" t="inlineStr">
        <is>
          <t>판관비</t>
        </is>
      </c>
      <c r="E60" s="18" t="n">
        <v>4543.32</v>
      </c>
      <c r="F60" s="9" t="n"/>
      <c r="G60" s="18" t="n">
        <v>3762.49</v>
      </c>
      <c r="H60" s="18" t="n">
        <v>5508.65</v>
      </c>
      <c r="I60" s="18" t="n">
        <v>4669.47</v>
      </c>
      <c r="J60" s="18" t="n">
        <v>6117.08</v>
      </c>
      <c r="K60" s="37" t="n">
        <v>20057.69</v>
      </c>
      <c r="L60" s="18" t="n">
        <v>5648.53</v>
      </c>
      <c r="M60" s="18" t="n">
        <v>6167.58</v>
      </c>
      <c r="N60" s="18" t="n">
        <v>5398.72</v>
      </c>
      <c r="O60" s="18" t="n">
        <v>3601.88</v>
      </c>
      <c r="P60" s="37" t="n">
        <v>20816.71</v>
      </c>
      <c r="Q60" s="18" t="n">
        <v>3443.5</v>
      </c>
      <c r="R60" s="18" t="n">
        <v>3669.41</v>
      </c>
      <c r="S60" s="18" t="n">
        <v>4880.89</v>
      </c>
      <c r="T60" s="18" t="n">
        <v>5798.23</v>
      </c>
      <c r="U60" s="37" t="n">
        <v>17792.03</v>
      </c>
      <c r="V60" s="18" t="n">
        <v>3889.35</v>
      </c>
      <c r="W60" s="18" t="n">
        <v>4852.19</v>
      </c>
      <c r="X60" s="18" t="n">
        <v>5601.71</v>
      </c>
      <c r="Y60" s="18" t="n">
        <v>7259.75</v>
      </c>
      <c r="Z60" s="37" t="n">
        <v>21603</v>
      </c>
      <c r="AA60" s="18" t="n">
        <v>5618.02</v>
      </c>
      <c r="AB60" s="19" t="n">
        <v>6166.42</v>
      </c>
      <c r="AC60" s="10" t="n"/>
      <c r="AD60" s="10" t="n"/>
      <c r="AE60" s="11" t="n"/>
      <c r="AF60" s="10" t="n"/>
      <c r="AG60" s="10" t="n"/>
      <c r="AH60" s="10" t="n"/>
      <c r="AI60" s="10" t="n"/>
      <c r="AJ60" s="11" t="n"/>
      <c r="AK60" s="10" t="n"/>
      <c r="AL60" s="10" t="n"/>
      <c r="AM60" s="10" t="n"/>
      <c r="AN60" s="10" t="n"/>
      <c r="AO60" s="11" t="n"/>
    </row>
    <row r="61">
      <c r="A61" t="n">
        <v>1</v>
      </c>
      <c r="C61" t="inlineStr">
        <is>
          <t>영업이익</t>
        </is>
      </c>
      <c r="E61" s="18" t="n">
        <v>-825.84</v>
      </c>
      <c r="F61" s="9" t="n"/>
      <c r="G61" s="18" t="n">
        <v>948.9</v>
      </c>
      <c r="H61" s="18" t="n">
        <v>2685.34</v>
      </c>
      <c r="I61" s="18" t="n">
        <v>5071.62</v>
      </c>
      <c r="J61" s="18" t="n">
        <v>109.54</v>
      </c>
      <c r="K61" s="37" t="n">
        <v>8815.4</v>
      </c>
      <c r="L61" s="18" t="n">
        <v>994.26</v>
      </c>
      <c r="M61" s="18" t="n">
        <v>1279.04</v>
      </c>
      <c r="N61" s="18" t="n">
        <v>1521.23</v>
      </c>
      <c r="O61" s="18" t="n">
        <v>1570.66</v>
      </c>
      <c r="P61" s="37" t="n">
        <v>5365.19</v>
      </c>
      <c r="Q61" s="18" t="n">
        <v>3912.78</v>
      </c>
      <c r="R61" s="18" t="n">
        <v>3964.77</v>
      </c>
      <c r="S61" s="18" t="n">
        <v>3190.1</v>
      </c>
      <c r="T61" s="18" t="n">
        <v>4895.21</v>
      </c>
      <c r="U61" s="37" t="n">
        <v>15962.86</v>
      </c>
      <c r="V61" s="18" t="n">
        <v>5128.72</v>
      </c>
      <c r="W61" s="18" t="n">
        <v>6160.75</v>
      </c>
      <c r="X61" s="18" t="n">
        <v>5440.69</v>
      </c>
      <c r="Y61" s="18" t="n">
        <v>5541.79</v>
      </c>
      <c r="Z61" s="37" t="n">
        <v>22271.95</v>
      </c>
      <c r="AA61" s="18" t="n">
        <v>5518.38</v>
      </c>
      <c r="AB61" s="19" t="n">
        <v>9193.629999999999</v>
      </c>
      <c r="AC61" s="10" t="n"/>
      <c r="AD61" s="10" t="n"/>
      <c r="AE61" s="11" t="n"/>
      <c r="AF61" s="10" t="n"/>
      <c r="AG61" s="10" t="n"/>
      <c r="AH61" s="10" t="n"/>
      <c r="AI61" s="10" t="n"/>
      <c r="AJ61" s="11" t="n"/>
      <c r="AK61" s="10" t="n"/>
      <c r="AL61" s="10" t="n"/>
      <c r="AM61" s="10" t="n"/>
      <c r="AN61" s="10" t="n"/>
      <c r="AO61" s="11" t="n"/>
    </row>
    <row r="62">
      <c r="A62" t="n">
        <v>1</v>
      </c>
      <c r="C62" t="inlineStr">
        <is>
          <t>종속기업,공동지배기업및관계기업관련손익</t>
        </is>
      </c>
      <c r="E62" s="18" t="n">
        <v>51.33</v>
      </c>
      <c r="F62" s="9" t="n"/>
      <c r="G62" s="18" t="n">
        <v>-20.69</v>
      </c>
      <c r="J62" s="18" t="n">
        <v>-545.0599999999999</v>
      </c>
      <c r="K62" s="9" t="n"/>
      <c r="P62" s="9" t="n"/>
      <c r="U62" s="9" t="n"/>
      <c r="Z62" s="9" t="n"/>
      <c r="AB62" s="5" t="n"/>
      <c r="AC62" s="10" t="n"/>
      <c r="AD62" s="10" t="n"/>
      <c r="AE62" s="11" t="n"/>
      <c r="AF62" s="10" t="n"/>
      <c r="AG62" s="10" t="n"/>
      <c r="AH62" s="10" t="n"/>
      <c r="AI62" s="10" t="n"/>
      <c r="AJ62" s="11" t="n"/>
      <c r="AK62" s="10" t="n"/>
      <c r="AL62" s="10" t="n"/>
      <c r="AM62" s="10" t="n"/>
      <c r="AN62" s="10" t="n"/>
      <c r="AO62" s="11" t="n"/>
    </row>
    <row r="63">
      <c r="A63" t="n">
        <v>1</v>
      </c>
      <c r="C63" t="inlineStr">
        <is>
          <t>지분법관련손익</t>
        </is>
      </c>
      <c r="E63" s="18" t="n">
        <v>51.33</v>
      </c>
      <c r="F63" s="9" t="n"/>
      <c r="G63" s="18" t="n">
        <v>-20.69</v>
      </c>
      <c r="J63" s="18" t="n">
        <v>-545.0599999999999</v>
      </c>
      <c r="K63" s="9" t="n"/>
      <c r="P63" s="9" t="n"/>
      <c r="U63" s="9" t="n"/>
      <c r="Z63" s="9" t="n"/>
      <c r="AB63" s="5" t="n"/>
      <c r="AC63" s="10" t="n"/>
      <c r="AD63" s="10" t="n"/>
      <c r="AE63" s="11" t="n"/>
      <c r="AF63" s="10" t="n"/>
      <c r="AG63" s="10" t="n"/>
      <c r="AH63" s="10" t="n"/>
      <c r="AI63" s="10" t="n"/>
      <c r="AJ63" s="11" t="n"/>
      <c r="AK63" s="10" t="n"/>
      <c r="AL63" s="10" t="n"/>
      <c r="AM63" s="10" t="n"/>
      <c r="AN63" s="10" t="n"/>
      <c r="AO63" s="11" t="n"/>
    </row>
    <row r="64">
      <c r="A64" t="n">
        <v>1</v>
      </c>
      <c r="C64" t="inlineStr">
        <is>
          <t>금융비용</t>
        </is>
      </c>
      <c r="E64" s="18" t="n">
        <v>409.03</v>
      </c>
      <c r="F64" s="9" t="n"/>
      <c r="G64" s="18" t="n">
        <v>381.21</v>
      </c>
      <c r="H64" s="18" t="n">
        <v>392.46</v>
      </c>
      <c r="I64" s="18" t="n">
        <v>394.46</v>
      </c>
      <c r="J64" s="18" t="n">
        <v>461.79</v>
      </c>
      <c r="K64" s="37" t="n">
        <v>1629.92</v>
      </c>
      <c r="L64" s="18" t="n">
        <v>414.33</v>
      </c>
      <c r="M64" s="18" t="n">
        <v>401.27</v>
      </c>
      <c r="N64" s="18" t="n">
        <v>162.96</v>
      </c>
      <c r="O64" s="18" t="n">
        <v>163.23</v>
      </c>
      <c r="P64" s="37" t="n">
        <v>1141.79</v>
      </c>
      <c r="Q64" s="18" t="n">
        <v>110.61</v>
      </c>
      <c r="R64" s="18" t="n">
        <v>80.84</v>
      </c>
      <c r="S64" s="18" t="n">
        <v>78.05</v>
      </c>
      <c r="T64" s="18" t="n">
        <v>75.56999999999999</v>
      </c>
      <c r="U64" s="37" t="n">
        <v>345.07</v>
      </c>
      <c r="V64" s="18" t="n">
        <v>84.15000000000001</v>
      </c>
      <c r="W64" s="18" t="n">
        <v>67.33</v>
      </c>
      <c r="X64" s="18" t="n">
        <v>62.18</v>
      </c>
      <c r="Y64" s="18" t="n">
        <v>57.64</v>
      </c>
      <c r="Z64" s="37" t="n">
        <v>271.3</v>
      </c>
      <c r="AA64" s="18" t="n">
        <v>346.48</v>
      </c>
      <c r="AB64" s="19" t="n">
        <v>367.43</v>
      </c>
      <c r="AC64" s="10" t="n"/>
      <c r="AD64" s="10" t="n"/>
      <c r="AE64" s="11" t="n"/>
      <c r="AF64" s="10" t="n"/>
      <c r="AG64" s="10" t="n"/>
      <c r="AH64" s="10" t="n"/>
      <c r="AI64" s="10" t="n"/>
      <c r="AJ64" s="11" t="n"/>
      <c r="AK64" s="10" t="n"/>
      <c r="AL64" s="10" t="n"/>
      <c r="AM64" s="10" t="n"/>
      <c r="AN64" s="10" t="n"/>
      <c r="AO64" s="11" t="n"/>
    </row>
    <row r="65">
      <c r="A65" t="n">
        <v>1</v>
      </c>
      <c r="C65" t="inlineStr">
        <is>
          <t>기타영업외수익</t>
        </is>
      </c>
      <c r="E65" s="18" t="n">
        <v>2940.38</v>
      </c>
      <c r="F65" s="9" t="n"/>
      <c r="G65" s="18" t="n">
        <v>2307.43</v>
      </c>
      <c r="H65" s="18" t="n">
        <v>2742.67</v>
      </c>
      <c r="I65" s="18" t="n">
        <v>2300.58</v>
      </c>
      <c r="J65" s="18" t="n">
        <v>101.01</v>
      </c>
      <c r="K65" s="37" t="n">
        <v>7451.69</v>
      </c>
      <c r="L65" s="18" t="n">
        <v>1181.31</v>
      </c>
      <c r="M65" s="18" t="n">
        <v>87991.53</v>
      </c>
      <c r="N65" s="18" t="n">
        <v>-258.95</v>
      </c>
      <c r="O65" s="18" t="n">
        <v>4154.98</v>
      </c>
      <c r="P65" s="37" t="n">
        <v>93068.87</v>
      </c>
      <c r="Q65" s="18" t="n">
        <v>2492.23</v>
      </c>
      <c r="R65" s="18" t="n">
        <v>683.29</v>
      </c>
      <c r="S65" s="18" t="n">
        <v>899.39</v>
      </c>
      <c r="T65" s="18" t="n">
        <v>2149.17</v>
      </c>
      <c r="U65" s="37" t="n">
        <v>6224.08</v>
      </c>
      <c r="V65" s="18" t="n">
        <v>1983.68</v>
      </c>
      <c r="W65" s="18" t="n">
        <v>2854.28</v>
      </c>
      <c r="X65" s="18" t="n">
        <v>4396.96</v>
      </c>
      <c r="Y65" s="18" t="n">
        <v>2559.01</v>
      </c>
      <c r="Z65" s="37" t="n">
        <v>11793.93</v>
      </c>
      <c r="AA65" s="18" t="n">
        <v>4671.16</v>
      </c>
      <c r="AB65" s="19" t="n">
        <v>3669.56</v>
      </c>
      <c r="AC65" s="10" t="n"/>
      <c r="AD65" s="10" t="n"/>
      <c r="AE65" s="11" t="n"/>
      <c r="AF65" s="10" t="n"/>
      <c r="AG65" s="10" t="n"/>
      <c r="AH65" s="10" t="n"/>
      <c r="AI65" s="10" t="n"/>
      <c r="AJ65" s="11" t="n"/>
      <c r="AK65" s="10" t="n"/>
      <c r="AL65" s="10" t="n"/>
      <c r="AM65" s="10" t="n"/>
      <c r="AN65" s="10" t="n"/>
      <c r="AO65" s="11" t="n"/>
    </row>
    <row r="66">
      <c r="A66" t="n">
        <v>1</v>
      </c>
      <c r="C66" t="inlineStr">
        <is>
          <t>기타영업외비용</t>
        </is>
      </c>
      <c r="E66" s="18" t="n">
        <v>1347.62</v>
      </c>
      <c r="F66" s="9" t="n"/>
      <c r="G66" s="18" t="n">
        <v>759.3099999999999</v>
      </c>
      <c r="H66" s="18" t="n">
        <v>1879.86</v>
      </c>
      <c r="I66" s="18" t="n">
        <v>2969.5</v>
      </c>
      <c r="J66" s="18" t="n">
        <v>2643.14</v>
      </c>
      <c r="K66" s="37" t="n">
        <v>8251.809999999999</v>
      </c>
      <c r="L66" s="18" t="n">
        <v>1094.45</v>
      </c>
      <c r="M66" s="18" t="n">
        <v>973.54</v>
      </c>
      <c r="N66" s="18" t="n">
        <v>2157.49</v>
      </c>
      <c r="O66" s="18" t="n">
        <v>4114.95</v>
      </c>
      <c r="P66" s="37" t="n">
        <v>8340.43</v>
      </c>
      <c r="Q66" s="18" t="n">
        <v>1862.99</v>
      </c>
      <c r="R66" s="18" t="n">
        <v>1141.95</v>
      </c>
      <c r="S66" s="18" t="n">
        <v>1633.29</v>
      </c>
      <c r="T66" s="18" t="n">
        <v>4602.78</v>
      </c>
      <c r="U66" s="37" t="n">
        <v>9241.01</v>
      </c>
      <c r="V66" s="18" t="n">
        <v>358.66</v>
      </c>
      <c r="W66" s="18" t="n">
        <v>2775.47</v>
      </c>
      <c r="X66" s="18" t="n">
        <v>210.48</v>
      </c>
      <c r="Y66" s="18" t="n">
        <v>3623.06</v>
      </c>
      <c r="Z66" s="37" t="n">
        <v>6967.67</v>
      </c>
      <c r="AA66" s="18" t="n">
        <v>2013.07</v>
      </c>
      <c r="AB66" s="19" t="n">
        <v>2280.06</v>
      </c>
      <c r="AC66" s="10" t="n"/>
      <c r="AD66" s="10" t="n"/>
      <c r="AE66" s="11" t="n"/>
      <c r="AF66" s="10" t="n"/>
      <c r="AG66" s="10" t="n"/>
      <c r="AH66" s="10" t="n"/>
      <c r="AI66" s="10" t="n"/>
      <c r="AJ66" s="11" t="n"/>
      <c r="AK66" s="10" t="n"/>
      <c r="AL66" s="10" t="n"/>
      <c r="AM66" s="10" t="n"/>
      <c r="AN66" s="10" t="n"/>
      <c r="AO66" s="11" t="n"/>
    </row>
    <row r="67">
      <c r="A67" t="n">
        <v>1</v>
      </c>
      <c r="C67" t="inlineStr">
        <is>
          <t>법인세비용차감전계속사업이익</t>
        </is>
      </c>
      <c r="E67" s="18" t="n">
        <v>1621.44</v>
      </c>
      <c r="F67" s="9" t="n"/>
      <c r="G67" s="18" t="n">
        <v>2286.52</v>
      </c>
      <c r="H67" s="18" t="n">
        <v>3489.79</v>
      </c>
      <c r="I67" s="18" t="n">
        <v>4069.82</v>
      </c>
      <c r="J67" s="18" t="n">
        <v>-634.73</v>
      </c>
      <c r="K67" s="37" t="n">
        <v>9211.4</v>
      </c>
      <c r="L67" s="18" t="n">
        <v>779.5700000000001</v>
      </c>
      <c r="M67" s="18" t="n">
        <v>88170.14999999999</v>
      </c>
      <c r="N67" s="18" t="n">
        <v>-377.57</v>
      </c>
      <c r="O67" s="18" t="n">
        <v>2893.1</v>
      </c>
      <c r="P67" s="37" t="n">
        <v>91465.25</v>
      </c>
      <c r="Q67" s="18" t="n">
        <v>5186.74</v>
      </c>
      <c r="R67" s="18" t="n">
        <v>4379.87</v>
      </c>
      <c r="S67" s="18" t="n">
        <v>2994.91</v>
      </c>
      <c r="T67" s="18" t="n">
        <v>3024.2</v>
      </c>
      <c r="U67" s="37" t="n">
        <v>15585.72</v>
      </c>
      <c r="V67" s="18" t="n">
        <v>6996.09</v>
      </c>
      <c r="W67" s="18" t="n">
        <v>7371.46</v>
      </c>
      <c r="X67" s="18" t="n">
        <v>10036.7</v>
      </c>
      <c r="Y67" s="18" t="n">
        <v>5763.11</v>
      </c>
      <c r="Z67" s="37" t="n">
        <v>30167.36</v>
      </c>
      <c r="AA67" s="18" t="n">
        <v>7881.91</v>
      </c>
      <c r="AB67" s="19" t="n">
        <v>10319.81</v>
      </c>
      <c r="AC67" s="10" t="n"/>
      <c r="AD67" s="10" t="n"/>
      <c r="AE67" s="11" t="n"/>
      <c r="AF67" s="10" t="n"/>
      <c r="AG67" s="10" t="n"/>
      <c r="AH67" s="10" t="n"/>
      <c r="AI67" s="10" t="n"/>
      <c r="AJ67" s="11" t="n"/>
      <c r="AK67" s="10" t="n"/>
      <c r="AL67" s="10" t="n"/>
      <c r="AM67" s="10" t="n"/>
      <c r="AN67" s="10" t="n"/>
      <c r="AO67" s="11" t="n"/>
    </row>
    <row r="68">
      <c r="A68" t="n">
        <v>1</v>
      </c>
      <c r="C68" t="inlineStr">
        <is>
          <t>법인세비용</t>
        </is>
      </c>
      <c r="E68" s="18" t="n">
        <v>225.31</v>
      </c>
      <c r="F68" s="9" t="n"/>
      <c r="G68" s="18" t="n">
        <v>216.45</v>
      </c>
      <c r="H68" s="18" t="n">
        <v>575.9</v>
      </c>
      <c r="I68" s="18" t="n">
        <v>668.35</v>
      </c>
      <c r="J68" s="18" t="n">
        <v>-317.04</v>
      </c>
      <c r="K68" s="37" t="n">
        <v>1143.66</v>
      </c>
      <c r="L68" s="18" t="n">
        <v>155.88</v>
      </c>
      <c r="M68" s="18" t="n">
        <v>19590.32</v>
      </c>
      <c r="N68" s="18" t="n">
        <v>-103.77</v>
      </c>
      <c r="O68" s="18" t="n">
        <v>201.8</v>
      </c>
      <c r="P68" s="37" t="n">
        <v>19844.23</v>
      </c>
      <c r="Q68" s="18" t="n">
        <v>917.33</v>
      </c>
      <c r="R68" s="18" t="n">
        <v>782.4</v>
      </c>
      <c r="S68" s="18" t="n">
        <v>413.34</v>
      </c>
      <c r="T68" s="18" t="n">
        <v>-247.24</v>
      </c>
      <c r="U68" s="37" t="n">
        <v>1865.83</v>
      </c>
      <c r="V68" s="18" t="n">
        <v>1319.39</v>
      </c>
      <c r="W68" s="18" t="n">
        <v>856.95</v>
      </c>
      <c r="X68" s="18" t="n">
        <v>2207.23</v>
      </c>
      <c r="Y68" s="18" t="n">
        <v>294.41</v>
      </c>
      <c r="Z68" s="37" t="n">
        <v>4677.98</v>
      </c>
      <c r="AA68" s="18" t="n">
        <v>1202.04</v>
      </c>
      <c r="AB68" s="19" t="n">
        <v>1956</v>
      </c>
      <c r="AC68" s="10" t="n"/>
      <c r="AD68" s="10" t="n"/>
      <c r="AE68" s="11" t="n"/>
      <c r="AF68" s="10" t="n"/>
      <c r="AG68" s="10" t="n"/>
      <c r="AH68" s="10" t="n"/>
      <c r="AI68" s="10" t="n"/>
      <c r="AJ68" s="11" t="n"/>
      <c r="AK68" s="10" t="n"/>
      <c r="AL68" s="10" t="n"/>
      <c r="AM68" s="10" t="n"/>
      <c r="AN68" s="10" t="n"/>
      <c r="AO68" s="11" t="n"/>
    </row>
    <row r="69">
      <c r="A69" t="n">
        <v>1</v>
      </c>
      <c r="C69" t="inlineStr">
        <is>
          <t>당기순이익</t>
        </is>
      </c>
      <c r="E69" s="18" t="n">
        <v>1396.14</v>
      </c>
      <c r="F69" s="9" t="n"/>
      <c r="G69" s="18" t="n">
        <v>2070.07</v>
      </c>
      <c r="H69" s="18" t="n">
        <v>2913.89</v>
      </c>
      <c r="I69" s="18" t="n">
        <v>3401.48</v>
      </c>
      <c r="J69" s="18" t="n">
        <v>-317.69</v>
      </c>
      <c r="K69" s="37" t="n">
        <v>8067.75</v>
      </c>
      <c r="L69" s="18" t="n">
        <v>623.7</v>
      </c>
      <c r="M69" s="18" t="n">
        <v>68579.84</v>
      </c>
      <c r="N69" s="18" t="n">
        <v>-273.79</v>
      </c>
      <c r="O69" s="18" t="n">
        <v>2691.3</v>
      </c>
      <c r="P69" s="37" t="n">
        <v>71621.05</v>
      </c>
      <c r="Q69" s="18" t="n">
        <v>4269.41</v>
      </c>
      <c r="R69" s="18" t="n">
        <v>3597.47</v>
      </c>
      <c r="S69" s="18" t="n">
        <v>2581.57</v>
      </c>
      <c r="T69" s="18" t="n">
        <v>3271.45</v>
      </c>
      <c r="U69" s="37" t="n">
        <v>13719.9</v>
      </c>
      <c r="V69" s="18" t="n">
        <v>5676.7</v>
      </c>
      <c r="W69" s="18" t="n">
        <v>6514.51</v>
      </c>
      <c r="X69" s="18" t="n">
        <v>7829.47</v>
      </c>
      <c r="Y69" s="18" t="n">
        <v>5468.7</v>
      </c>
      <c r="Z69" s="37" t="n">
        <v>25489.38</v>
      </c>
      <c r="AA69" s="18" t="n">
        <v>6679.87</v>
      </c>
      <c r="AB69" s="19" t="n">
        <v>8363.809999999999</v>
      </c>
      <c r="AC69" s="10" t="n"/>
      <c r="AD69" s="10" t="n"/>
      <c r="AE69" s="11" t="n"/>
      <c r="AF69" s="10" t="n"/>
      <c r="AG69" s="10" t="n"/>
      <c r="AH69" s="10" t="n"/>
      <c r="AI69" s="10" t="n"/>
      <c r="AJ69" s="11" t="n"/>
      <c r="AK69" s="10" t="n"/>
      <c r="AL69" s="10" t="n"/>
      <c r="AM69" s="10" t="n"/>
      <c r="AN69" s="10" t="n"/>
      <c r="AO69" s="11" t="n"/>
    </row>
    <row r="70">
      <c r="A70" t="n">
        <v>1</v>
      </c>
      <c r="C70" t="inlineStr">
        <is>
          <t>총포괄손익</t>
        </is>
      </c>
      <c r="E70" s="18" t="n">
        <v>1530.94</v>
      </c>
      <c r="F70" s="9" t="n"/>
      <c r="G70" s="18" t="n">
        <v>2605.29</v>
      </c>
      <c r="H70" s="18" t="n">
        <v>2649.77</v>
      </c>
      <c r="I70" s="18" t="n">
        <v>3698.13</v>
      </c>
      <c r="J70" s="18" t="n">
        <v>-1106.58</v>
      </c>
      <c r="K70" s="37" t="n">
        <v>7846.61</v>
      </c>
      <c r="L70" s="18" t="n">
        <v>957.24</v>
      </c>
      <c r="M70" s="18" t="n">
        <v>68229.42</v>
      </c>
      <c r="N70" s="18" t="n">
        <v>-134.26</v>
      </c>
      <c r="O70" s="18" t="n">
        <v>2536.78</v>
      </c>
      <c r="P70" s="37" t="n">
        <v>71589.17999999999</v>
      </c>
      <c r="Q70" s="18" t="n">
        <v>4292.49</v>
      </c>
      <c r="R70" s="18" t="n">
        <v>3741.72</v>
      </c>
      <c r="S70" s="18" t="n">
        <v>2529.5</v>
      </c>
      <c r="T70" s="18" t="n">
        <v>3675.52</v>
      </c>
      <c r="U70" s="37" t="n">
        <v>14239.23</v>
      </c>
      <c r="V70" s="18" t="n">
        <v>5692.08</v>
      </c>
      <c r="W70" s="18" t="n">
        <v>6084.35</v>
      </c>
      <c r="X70" s="18" t="n">
        <v>8104</v>
      </c>
      <c r="Y70" s="18" t="n">
        <v>5738.7</v>
      </c>
      <c r="Z70" s="37" t="n">
        <v>25619.13</v>
      </c>
      <c r="AA70" s="18" t="n">
        <v>7173.94</v>
      </c>
      <c r="AB70" s="19" t="n">
        <v>8658.98</v>
      </c>
      <c r="AC70" s="10" t="n"/>
      <c r="AD70" s="10" t="n"/>
      <c r="AE70" s="11" t="n"/>
      <c r="AF70" s="10" t="n"/>
      <c r="AG70" s="10" t="n"/>
      <c r="AH70" s="10" t="n"/>
      <c r="AI70" s="10" t="n"/>
      <c r="AJ70" s="11" t="n"/>
      <c r="AK70" s="10" t="n"/>
      <c r="AL70" s="10" t="n"/>
      <c r="AM70" s="10" t="n"/>
      <c r="AN70" s="10" t="n"/>
      <c r="AO70" s="11" t="n"/>
    </row>
    <row r="71">
      <c r="A71" t="n">
        <v>1</v>
      </c>
      <c r="C71" t="inlineStr">
        <is>
          <t>(지배주주지분)당기순이익</t>
        </is>
      </c>
      <c r="E71" s="18" t="n">
        <v>1396.14</v>
      </c>
      <c r="F71" s="9" t="n"/>
      <c r="G71" s="18" t="n">
        <v>2070.07</v>
      </c>
      <c r="H71" s="18" t="n">
        <v>2913.89</v>
      </c>
      <c r="I71" s="18" t="n">
        <v>3401.48</v>
      </c>
      <c r="J71" s="18" t="n">
        <v>-317.69</v>
      </c>
      <c r="K71" s="37" t="n">
        <v>8067.75</v>
      </c>
      <c r="L71" s="18" t="n">
        <v>623.7</v>
      </c>
      <c r="M71" s="18" t="n">
        <v>68579.84</v>
      </c>
      <c r="N71" s="18" t="n">
        <v>-273.79</v>
      </c>
      <c r="O71" s="18" t="n">
        <v>2691.3</v>
      </c>
      <c r="P71" s="37" t="n">
        <v>71621.05</v>
      </c>
      <c r="Q71" s="18" t="n">
        <v>4269.41</v>
      </c>
      <c r="R71" s="18" t="n">
        <v>3597.47</v>
      </c>
      <c r="S71" s="18" t="n">
        <v>2581.57</v>
      </c>
      <c r="T71" s="18" t="n">
        <v>3271.45</v>
      </c>
      <c r="U71" s="37" t="n">
        <v>13719.9</v>
      </c>
      <c r="V71" s="18" t="n">
        <v>5676.7</v>
      </c>
      <c r="W71" s="18" t="n">
        <v>6514.51</v>
      </c>
      <c r="X71" s="18" t="n">
        <v>7829.47</v>
      </c>
      <c r="Y71" s="18" t="n">
        <v>5468.7</v>
      </c>
      <c r="Z71" s="37" t="n">
        <v>25489.38</v>
      </c>
      <c r="AA71" s="18" t="n">
        <v>6679.87</v>
      </c>
      <c r="AB71" s="19" t="n">
        <v>8363.809999999999</v>
      </c>
      <c r="AC71" s="10" t="n"/>
      <c r="AD71" s="10" t="n"/>
      <c r="AE71" s="11" t="n"/>
      <c r="AF71" s="10" t="n"/>
      <c r="AG71" s="10" t="n"/>
      <c r="AH71" s="10" t="n"/>
      <c r="AI71" s="10" t="n"/>
      <c r="AJ71" s="11" t="n"/>
      <c r="AK71" s="10" t="n"/>
      <c r="AL71" s="10" t="n"/>
      <c r="AM71" s="10" t="n"/>
      <c r="AN71" s="10" t="n"/>
      <c r="AO71" s="11" t="n"/>
    </row>
    <row r="72">
      <c r="A72" t="n">
        <v>1</v>
      </c>
      <c r="C72" t="inlineStr">
        <is>
          <t>금융손익</t>
        </is>
      </c>
      <c r="E72" s="18" t="n">
        <v>-409.03</v>
      </c>
      <c r="F72" s="9" t="n"/>
      <c r="G72" s="18" t="n">
        <v>-381.21</v>
      </c>
      <c r="H72" s="18" t="n">
        <v>-392.46</v>
      </c>
      <c r="I72" s="18" t="n">
        <v>-394.46</v>
      </c>
      <c r="J72" s="18" t="n">
        <v>2930.02</v>
      </c>
      <c r="K72" s="37" t="n">
        <v>1761.89</v>
      </c>
      <c r="L72" s="18" t="n">
        <v>-301.54</v>
      </c>
      <c r="M72" s="18" t="n">
        <v>-126.87</v>
      </c>
      <c r="N72" s="18" t="n">
        <v>517.64</v>
      </c>
      <c r="O72" s="18" t="n">
        <v>1282.41</v>
      </c>
      <c r="P72" s="37" t="n">
        <v>1371.64</v>
      </c>
      <c r="Q72" s="18" t="n">
        <v>644.73</v>
      </c>
      <c r="R72" s="18" t="n">
        <v>873.77</v>
      </c>
      <c r="S72" s="18" t="n">
        <v>538.71</v>
      </c>
      <c r="T72" s="18" t="n">
        <v>582.59</v>
      </c>
      <c r="U72" s="37" t="n">
        <v>2639.8</v>
      </c>
      <c r="V72" s="18" t="n">
        <v>242.34</v>
      </c>
      <c r="W72" s="18" t="n">
        <v>1131.9</v>
      </c>
      <c r="X72" s="18" t="n">
        <v>409.52</v>
      </c>
      <c r="Y72" s="18" t="n">
        <v>1285.37</v>
      </c>
      <c r="Z72" s="37" t="n">
        <v>3069.13</v>
      </c>
      <c r="AA72" s="18" t="n">
        <v>-294.56</v>
      </c>
      <c r="AB72" s="19" t="n">
        <v>-263.33</v>
      </c>
      <c r="AC72" s="10" t="n"/>
      <c r="AD72" s="10" t="n"/>
      <c r="AE72" s="11" t="n"/>
      <c r="AF72" s="10" t="n"/>
      <c r="AG72" s="10" t="n"/>
      <c r="AH72" s="10" t="n"/>
      <c r="AI72" s="10" t="n"/>
      <c r="AJ72" s="11" t="n"/>
      <c r="AK72" s="10" t="n"/>
      <c r="AL72" s="10" t="n"/>
      <c r="AM72" s="10" t="n"/>
      <c r="AN72" s="10" t="n"/>
      <c r="AO72" s="11" t="n"/>
    </row>
    <row r="73">
      <c r="A73" t="n">
        <v>1</v>
      </c>
      <c r="C73" t="inlineStr">
        <is>
          <t>기타영업외손익</t>
        </is>
      </c>
      <c r="E73" s="18" t="n">
        <v>1592.76</v>
      </c>
      <c r="F73" s="9" t="n"/>
      <c r="G73" s="18" t="n">
        <v>1548.12</v>
      </c>
      <c r="H73" s="18" t="n">
        <v>862.8099999999999</v>
      </c>
      <c r="I73" s="18" t="n">
        <v>-668.92</v>
      </c>
      <c r="J73" s="18" t="n">
        <v>-2542.13</v>
      </c>
      <c r="K73" s="37" t="n">
        <v>-800.12</v>
      </c>
      <c r="L73" s="18" t="n">
        <v>86.86</v>
      </c>
      <c r="M73" s="18" t="n">
        <v>87017.99000000001</v>
      </c>
      <c r="N73" s="18" t="n">
        <v>-2416.44</v>
      </c>
      <c r="O73" s="18" t="n">
        <v>40.03</v>
      </c>
      <c r="P73" s="37" t="n">
        <v>84728.44</v>
      </c>
      <c r="Q73" s="18" t="n">
        <v>629.24</v>
      </c>
      <c r="R73" s="18" t="n">
        <v>-458.66</v>
      </c>
      <c r="S73" s="18" t="n">
        <v>-733.9</v>
      </c>
      <c r="T73" s="18" t="n">
        <v>-2453.61</v>
      </c>
      <c r="U73" s="37" t="n">
        <v>-3016.93</v>
      </c>
      <c r="V73" s="18" t="n">
        <v>1625.02</v>
      </c>
      <c r="W73" s="18" t="n">
        <v>78.81</v>
      </c>
      <c r="X73" s="18" t="n">
        <v>4186.48</v>
      </c>
      <c r="Y73" s="18" t="n">
        <v>-1064.05</v>
      </c>
      <c r="Z73" s="37" t="n">
        <v>4826.26</v>
      </c>
      <c r="AA73" s="18" t="n">
        <v>2658.09</v>
      </c>
      <c r="AB73" s="19" t="n">
        <v>1389.5</v>
      </c>
      <c r="AC73" s="10" t="n"/>
      <c r="AD73" s="10" t="n"/>
      <c r="AE73" s="11" t="n"/>
      <c r="AF73" s="10" t="n"/>
      <c r="AG73" s="10" t="n"/>
      <c r="AH73" s="10" t="n"/>
      <c r="AI73" s="10" t="n"/>
      <c r="AJ73" s="11" t="n"/>
      <c r="AK73" s="10" t="n"/>
      <c r="AL73" s="10" t="n"/>
      <c r="AM73" s="10" t="n"/>
      <c r="AN73" s="10" t="n"/>
      <c r="AO73" s="11" t="n"/>
    </row>
    <row r="74">
      <c r="A74" t="n">
        <v>1</v>
      </c>
      <c r="C74" t="inlineStr">
        <is>
          <t>계속사업이익</t>
        </is>
      </c>
      <c r="E74" s="18" t="n">
        <v>1396.14</v>
      </c>
      <c r="F74" s="9" t="n"/>
      <c r="G74" s="18" t="n">
        <v>2070.07</v>
      </c>
      <c r="H74" s="18" t="n">
        <v>2913.89</v>
      </c>
      <c r="I74" s="18" t="n">
        <v>3401.48</v>
      </c>
      <c r="J74" s="18" t="n">
        <v>-317.69</v>
      </c>
      <c r="K74" s="37" t="n">
        <v>8067.75</v>
      </c>
      <c r="L74" s="18" t="n">
        <v>623.7</v>
      </c>
      <c r="M74" s="18" t="n">
        <v>68579.84</v>
      </c>
      <c r="N74" s="18" t="n">
        <v>-273.79</v>
      </c>
      <c r="O74" s="18" t="n">
        <v>2691.3</v>
      </c>
      <c r="P74" s="37" t="n">
        <v>71621.05</v>
      </c>
      <c r="Q74" s="18" t="n">
        <v>4269.41</v>
      </c>
      <c r="R74" s="18" t="n">
        <v>3597.47</v>
      </c>
      <c r="S74" s="18" t="n">
        <v>2581.57</v>
      </c>
      <c r="T74" s="18" t="n">
        <v>3271.45</v>
      </c>
      <c r="U74" s="37" t="n">
        <v>13719.9</v>
      </c>
      <c r="V74" s="18" t="n">
        <v>5676.7</v>
      </c>
      <c r="W74" s="18" t="n">
        <v>6514.51</v>
      </c>
      <c r="X74" s="18" t="n">
        <v>7829.47</v>
      </c>
      <c r="Y74" s="18" t="n">
        <v>5468.7</v>
      </c>
      <c r="Z74" s="37" t="n">
        <v>25489.38</v>
      </c>
      <c r="AA74" s="18" t="n">
        <v>6679.87</v>
      </c>
      <c r="AB74" s="19" t="n">
        <v>8363.809999999999</v>
      </c>
      <c r="AC74" s="10" t="n"/>
      <c r="AD74" s="10" t="n"/>
      <c r="AE74" s="11" t="n"/>
      <c r="AF74" s="10" t="n"/>
      <c r="AG74" s="10" t="n"/>
      <c r="AH74" s="10" t="n"/>
      <c r="AI74" s="10" t="n"/>
      <c r="AJ74" s="11" t="n"/>
      <c r="AK74" s="10" t="n"/>
      <c r="AL74" s="10" t="n"/>
      <c r="AM74" s="10" t="n"/>
      <c r="AN74" s="10" t="n"/>
      <c r="AO74" s="11" t="n"/>
    </row>
    <row r="75">
      <c r="A75" t="n">
        <v>1</v>
      </c>
      <c r="C75" t="inlineStr">
        <is>
          <t>금융수익</t>
        </is>
      </c>
      <c r="F75" s="9" t="n"/>
      <c r="K75" s="9" t="n"/>
      <c r="L75" s="18" t="n">
        <v>112.79</v>
      </c>
      <c r="M75" s="18" t="n">
        <v>274.4</v>
      </c>
      <c r="N75" s="18" t="n">
        <v>680.6</v>
      </c>
      <c r="O75" s="18" t="n">
        <v>1445.64</v>
      </c>
      <c r="P75" s="37" t="n">
        <v>2513.43</v>
      </c>
      <c r="Q75" s="18" t="n">
        <v>755.34</v>
      </c>
      <c r="R75" s="18" t="n">
        <v>954.61</v>
      </c>
      <c r="S75" s="18" t="n">
        <v>616.76</v>
      </c>
      <c r="T75" s="18" t="n">
        <v>658.16</v>
      </c>
      <c r="U75" s="37" t="n">
        <v>2984.87</v>
      </c>
      <c r="V75" s="18" t="n">
        <v>326.49</v>
      </c>
      <c r="W75" s="18" t="n">
        <v>1199.23</v>
      </c>
      <c r="X75" s="18" t="n">
        <v>471.7</v>
      </c>
      <c r="Y75" s="18" t="n">
        <v>1343.01</v>
      </c>
      <c r="Z75" s="37" t="n">
        <v>3340.43</v>
      </c>
      <c r="AA75" s="18" t="n">
        <v>51.92</v>
      </c>
      <c r="AB75" s="19" t="n">
        <v>104.1</v>
      </c>
      <c r="AC75" s="10" t="n"/>
      <c r="AD75" s="10" t="n"/>
      <c r="AE75" s="11" t="n"/>
      <c r="AF75" s="10" t="n"/>
      <c r="AG75" s="10" t="n"/>
      <c r="AH75" s="10" t="n"/>
      <c r="AI75" s="10" t="n"/>
      <c r="AJ75" s="11" t="n"/>
      <c r="AK75" s="10" t="n"/>
      <c r="AL75" s="10" t="n"/>
      <c r="AM75" s="10" t="n"/>
      <c r="AN75" s="10" t="n"/>
      <c r="AO75" s="11" t="n"/>
    </row>
    <row r="76">
      <c r="A76" t="n">
        <v>1</v>
      </c>
      <c r="C76" t="inlineStr">
        <is>
          <t>영업활동으로인한현금흐름</t>
        </is>
      </c>
      <c r="E76" s="18" t="n">
        <v>-1594.38</v>
      </c>
      <c r="F76" s="9" t="n"/>
      <c r="G76" s="18" t="n">
        <v>-4726.18</v>
      </c>
      <c r="H76" s="18" t="n">
        <v>-3550.77</v>
      </c>
      <c r="I76" s="18" t="n">
        <v>5613.14</v>
      </c>
      <c r="J76" s="18" t="n">
        <v>10437.67</v>
      </c>
      <c r="K76" s="37" t="n">
        <v>7773.86</v>
      </c>
      <c r="L76" s="18" t="n">
        <v>2947.9</v>
      </c>
      <c r="M76" s="18" t="n">
        <v>-1969.61</v>
      </c>
      <c r="N76" s="18" t="n">
        <v>-3674.88</v>
      </c>
      <c r="O76" s="18" t="n">
        <v>5893.46</v>
      </c>
      <c r="P76" s="37" t="n">
        <v>3196.87</v>
      </c>
      <c r="Q76" s="18" t="n">
        <v>-25.83</v>
      </c>
      <c r="R76" s="18" t="n">
        <v>10950.22</v>
      </c>
      <c r="S76" s="18" t="n">
        <v>-8615.23</v>
      </c>
      <c r="T76" s="18" t="n">
        <v>-2495.97</v>
      </c>
      <c r="U76" s="37" t="n">
        <v>-186.81</v>
      </c>
      <c r="V76" s="18" t="n">
        <v>3276.21</v>
      </c>
      <c r="W76" s="18" t="n">
        <v>2936.9</v>
      </c>
      <c r="X76" s="18" t="n">
        <v>5767.29</v>
      </c>
      <c r="Y76" s="18" t="n">
        <v>10071.83</v>
      </c>
      <c r="Z76" s="37" t="n">
        <v>22052.23</v>
      </c>
      <c r="AA76" s="18" t="n">
        <v>-4448.87</v>
      </c>
      <c r="AB76" s="19" t="n">
        <v>7103.93</v>
      </c>
      <c r="AC76" s="10" t="n"/>
      <c r="AD76" s="10" t="n"/>
      <c r="AE76" s="11" t="n"/>
      <c r="AF76" s="10" t="n"/>
      <c r="AG76" s="10" t="n"/>
      <c r="AH76" s="10" t="n"/>
      <c r="AI76" s="10" t="n"/>
      <c r="AJ76" s="11" t="n"/>
      <c r="AK76" s="10" t="n"/>
      <c r="AL76" s="10" t="n"/>
      <c r="AM76" s="10" t="n"/>
      <c r="AN76" s="10" t="n"/>
      <c r="AO76" s="11" t="n"/>
    </row>
    <row r="77">
      <c r="A77" t="n">
        <v>1</v>
      </c>
      <c r="C77" t="inlineStr">
        <is>
          <t>감가상각비</t>
        </is>
      </c>
      <c r="E77" s="18" t="n">
        <v>375.82</v>
      </c>
      <c r="F77" s="9" t="n"/>
      <c r="G77" s="18" t="n">
        <v>399.43</v>
      </c>
      <c r="H77" s="18" t="n">
        <v>412.75</v>
      </c>
      <c r="I77" s="18" t="n">
        <v>461.99</v>
      </c>
      <c r="J77" s="18" t="n">
        <v>512.73</v>
      </c>
      <c r="K77" s="37" t="n">
        <v>1786.9</v>
      </c>
      <c r="L77" s="18" t="n">
        <v>484.02</v>
      </c>
      <c r="M77" s="18" t="n">
        <v>484.96</v>
      </c>
      <c r="P77" s="9" t="n"/>
      <c r="U77" s="9" t="n"/>
      <c r="Z77" s="9" t="n"/>
      <c r="AB77" s="5" t="n"/>
      <c r="AC77" s="10" t="n"/>
      <c r="AD77" s="10" t="n"/>
      <c r="AE77" s="11" t="n"/>
      <c r="AF77" s="10" t="n"/>
      <c r="AG77" s="10" t="n"/>
      <c r="AH77" s="10" t="n"/>
      <c r="AI77" s="10" t="n"/>
      <c r="AJ77" s="11" t="n"/>
      <c r="AK77" s="10" t="n"/>
      <c r="AL77" s="10" t="n"/>
      <c r="AM77" s="10" t="n"/>
      <c r="AN77" s="10" t="n"/>
      <c r="AO77" s="11" t="n"/>
    </row>
    <row r="78">
      <c r="A78" t="n">
        <v>1</v>
      </c>
      <c r="C78" t="inlineStr">
        <is>
          <t>무형자산상각비</t>
        </is>
      </c>
      <c r="E78" s="18" t="n">
        <v>28.51</v>
      </c>
      <c r="F78" s="9" t="n"/>
      <c r="G78" s="18" t="n">
        <v>27.22</v>
      </c>
      <c r="H78" s="18" t="n">
        <v>35.57</v>
      </c>
      <c r="I78" s="18" t="n">
        <v>48.97</v>
      </c>
      <c r="J78" s="18" t="n">
        <v>11.46</v>
      </c>
      <c r="K78" s="37" t="n">
        <v>123.22</v>
      </c>
      <c r="L78" s="18" t="n">
        <v>40.67</v>
      </c>
      <c r="M78" s="18" t="n">
        <v>40.6</v>
      </c>
      <c r="P78" s="9" t="n"/>
      <c r="U78" s="9" t="n"/>
      <c r="Z78" s="9" t="n"/>
      <c r="AB78" s="5" t="n"/>
      <c r="AC78" s="10" t="n"/>
      <c r="AD78" s="10" t="n"/>
      <c r="AE78" s="11" t="n"/>
      <c r="AF78" s="10" t="n"/>
      <c r="AG78" s="10" t="n"/>
      <c r="AH78" s="10" t="n"/>
      <c r="AI78" s="10" t="n"/>
      <c r="AJ78" s="11" t="n"/>
      <c r="AK78" s="10" t="n"/>
      <c r="AL78" s="10" t="n"/>
      <c r="AM78" s="10" t="n"/>
      <c r="AN78" s="10" t="n"/>
      <c r="AO78" s="11" t="n"/>
    </row>
    <row r="79">
      <c r="A79" t="n">
        <v>1</v>
      </c>
      <c r="C79" t="inlineStr">
        <is>
          <t>배당금수취(CF)</t>
        </is>
      </c>
      <c r="E79" s="18" t="n">
        <v>1150.38</v>
      </c>
      <c r="F79" s="9" t="n"/>
      <c r="G79" s="18" t="n">
        <v>159.18</v>
      </c>
      <c r="H79" s="18" t="n">
        <v>236.73</v>
      </c>
      <c r="I79" s="18" t="n">
        <v>-3.31</v>
      </c>
      <c r="J79" s="18" t="n">
        <v>2660.03</v>
      </c>
      <c r="K79" s="37" t="n">
        <v>3052.63</v>
      </c>
      <c r="L79" s="18" t="n">
        <v>40.95</v>
      </c>
      <c r="M79" s="18" t="n">
        <v>95.34999999999999</v>
      </c>
      <c r="N79" s="18" t="n">
        <v>370.66</v>
      </c>
      <c r="O79" s="18" t="n">
        <v>346.04</v>
      </c>
      <c r="P79" s="37" t="n">
        <v>853</v>
      </c>
      <c r="Q79" s="18" t="n">
        <v>157.41</v>
      </c>
      <c r="R79" s="18" t="n">
        <v>276.66</v>
      </c>
      <c r="S79" s="18" t="n">
        <v>300.04</v>
      </c>
      <c r="T79" s="18" t="n">
        <v>290.59</v>
      </c>
      <c r="U79" s="37" t="n">
        <v>1024.7</v>
      </c>
      <c r="V79" s="18" t="n">
        <v>75.84</v>
      </c>
      <c r="W79" s="18" t="n">
        <v>518.51</v>
      </c>
      <c r="X79" s="18" t="n">
        <v>74.84999999999999</v>
      </c>
      <c r="Y79" s="18" t="n">
        <v>231.78</v>
      </c>
      <c r="Z79" s="37" t="n">
        <v>900.98</v>
      </c>
      <c r="AB79" s="5" t="n"/>
      <c r="AC79" s="10" t="n"/>
      <c r="AD79" s="10" t="n"/>
      <c r="AE79" s="11" t="n"/>
      <c r="AF79" s="10" t="n"/>
      <c r="AG79" s="10" t="n"/>
      <c r="AH79" s="10" t="n"/>
      <c r="AI79" s="10" t="n"/>
      <c r="AJ79" s="11" t="n"/>
      <c r="AK79" s="10" t="n"/>
      <c r="AL79" s="10" t="n"/>
      <c r="AM79" s="10" t="n"/>
      <c r="AN79" s="10" t="n"/>
      <c r="AO79" s="11" t="n"/>
    </row>
    <row r="80">
      <c r="A80" t="n">
        <v>1</v>
      </c>
      <c r="C80" t="inlineStr">
        <is>
          <t>법인세납부(CF)</t>
        </is>
      </c>
      <c r="E80" s="18" t="n">
        <v>-171.88</v>
      </c>
      <c r="F80" s="9" t="n"/>
      <c r="G80" s="18" t="n">
        <v>-136.85</v>
      </c>
      <c r="H80" s="18" t="n">
        <v>-142.32</v>
      </c>
      <c r="I80" s="18" t="n">
        <v>-23.83</v>
      </c>
      <c r="J80" s="18" t="n">
        <v>9.4</v>
      </c>
      <c r="K80" s="37" t="n">
        <v>-293.6</v>
      </c>
      <c r="L80" s="18" t="n">
        <v>-28.05</v>
      </c>
      <c r="M80" s="18" t="n">
        <v>-1196.82</v>
      </c>
      <c r="N80" s="18" t="n">
        <v>-1265.1</v>
      </c>
      <c r="O80" s="18" t="n">
        <v>-564.62</v>
      </c>
      <c r="P80" s="37" t="n">
        <v>-3054.59</v>
      </c>
      <c r="Q80" s="18" t="n">
        <v>-93.76000000000001</v>
      </c>
      <c r="R80" s="18" t="n">
        <v>-1965.02</v>
      </c>
      <c r="S80" s="18" t="n">
        <v>-13885.96</v>
      </c>
      <c r="T80" s="18" t="n">
        <v>-4906.38</v>
      </c>
      <c r="U80" s="37" t="n">
        <v>-20851.12</v>
      </c>
      <c r="V80" s="18" t="n">
        <v>-769.2</v>
      </c>
      <c r="W80" s="18" t="n">
        <v>-551.72</v>
      </c>
      <c r="X80" s="18" t="n">
        <v>-928.67</v>
      </c>
      <c r="Y80" s="18" t="n">
        <v>-1035.68</v>
      </c>
      <c r="Z80" s="37" t="n">
        <v>-3285.27</v>
      </c>
      <c r="AA80" s="18" t="n">
        <v>-1691.77</v>
      </c>
      <c r="AB80" s="19" t="n">
        <v>-2098.08</v>
      </c>
      <c r="AC80" s="10" t="n"/>
      <c r="AD80" s="10" t="n"/>
      <c r="AE80" s="11" t="n"/>
      <c r="AF80" s="10" t="n"/>
      <c r="AG80" s="10" t="n"/>
      <c r="AH80" s="10" t="n"/>
      <c r="AI80" s="10" t="n"/>
      <c r="AJ80" s="11" t="n"/>
      <c r="AK80" s="10" t="n"/>
      <c r="AL80" s="10" t="n"/>
      <c r="AM80" s="10" t="n"/>
      <c r="AN80" s="10" t="n"/>
      <c r="AO80" s="11" t="n"/>
    </row>
    <row r="81">
      <c r="A81" t="n">
        <v>1</v>
      </c>
      <c r="C81" t="inlineStr">
        <is>
          <t>투자활동으로인한현금흐름</t>
        </is>
      </c>
      <c r="E81" s="18" t="n">
        <v>2478.68</v>
      </c>
      <c r="F81" s="9" t="n"/>
      <c r="G81" s="18" t="n">
        <v>4163.57</v>
      </c>
      <c r="H81" s="18" t="n">
        <v>6328.05</v>
      </c>
      <c r="I81" s="18" t="n">
        <v>1968.07</v>
      </c>
      <c r="J81" s="18" t="n">
        <v>-2062.69</v>
      </c>
      <c r="K81" s="37" t="n">
        <v>10397</v>
      </c>
      <c r="L81" s="18" t="n">
        <v>1297.51</v>
      </c>
      <c r="M81" s="18" t="n">
        <v>29279.05</v>
      </c>
      <c r="N81" s="18" t="n">
        <v>14944.01</v>
      </c>
      <c r="O81" s="18" t="n">
        <v>-8203.129999999999</v>
      </c>
      <c r="P81" s="37" t="n">
        <v>37317.44</v>
      </c>
      <c r="Q81" s="18" t="n">
        <v>12006.74</v>
      </c>
      <c r="R81" s="18" t="n">
        <v>-3905.9</v>
      </c>
      <c r="S81" s="18" t="n">
        <v>5154.36</v>
      </c>
      <c r="T81" s="18" t="n">
        <v>6323.19</v>
      </c>
      <c r="U81" s="37" t="n">
        <v>19578.39</v>
      </c>
      <c r="V81" s="18" t="n">
        <v>-2853.24</v>
      </c>
      <c r="W81" s="18" t="n">
        <v>8495.92</v>
      </c>
      <c r="X81" s="18" t="n">
        <v>-10091.37</v>
      </c>
      <c r="Y81" s="18" t="n">
        <v>25876.94</v>
      </c>
      <c r="Z81" s="37" t="n">
        <v>21428.25</v>
      </c>
      <c r="AA81" s="18" t="n">
        <v>-74783.14</v>
      </c>
      <c r="AB81" s="19" t="n">
        <v>4765.21</v>
      </c>
      <c r="AC81" s="10" t="n"/>
      <c r="AD81" s="10" t="n"/>
      <c r="AE81" s="11" t="n"/>
      <c r="AF81" s="10" t="n"/>
      <c r="AG81" s="10" t="n"/>
      <c r="AH81" s="10" t="n"/>
      <c r="AI81" s="10" t="n"/>
      <c r="AJ81" s="11" t="n"/>
      <c r="AK81" s="10" t="n"/>
      <c r="AL81" s="10" t="n"/>
      <c r="AM81" s="10" t="n"/>
      <c r="AN81" s="10" t="n"/>
      <c r="AO81" s="11" t="n"/>
    </row>
    <row r="82">
      <c r="A82" t="n">
        <v>1</v>
      </c>
      <c r="C82" t="inlineStr">
        <is>
          <t>유형자산의감소</t>
        </is>
      </c>
      <c r="E82" s="18" t="n">
        <v>0</v>
      </c>
      <c r="F82" s="9" t="n"/>
      <c r="G82" s="18" t="n">
        <v>6.27</v>
      </c>
      <c r="H82" s="18" t="n">
        <v>6.64</v>
      </c>
      <c r="I82" s="18" t="n">
        <v>0</v>
      </c>
      <c r="J82" s="18" t="n">
        <v>17.32</v>
      </c>
      <c r="K82" s="37" t="n">
        <v>30.23</v>
      </c>
      <c r="L82" s="18" t="n">
        <v>2.36</v>
      </c>
      <c r="M82" s="18" t="n">
        <v>87498.16</v>
      </c>
      <c r="N82" s="18" t="n">
        <v>83.70999999999999</v>
      </c>
      <c r="O82" s="18" t="n">
        <v>30</v>
      </c>
      <c r="P82" s="37" t="n">
        <v>87614.23</v>
      </c>
      <c r="S82" s="18" t="n">
        <v>0.02</v>
      </c>
      <c r="T82" s="18" t="n">
        <v>0.05</v>
      </c>
      <c r="U82" s="9" t="n"/>
      <c r="V82" s="18" t="n">
        <v>0.3</v>
      </c>
      <c r="W82" s="18" t="n">
        <v>16.64</v>
      </c>
      <c r="X82" s="18" t="n">
        <v>52.18</v>
      </c>
      <c r="Z82" s="9" t="n"/>
      <c r="AA82" s="18" t="n">
        <v>43.62</v>
      </c>
      <c r="AB82" s="19" t="n">
        <v>0.16</v>
      </c>
      <c r="AC82" s="10" t="n"/>
      <c r="AD82" s="10" t="n"/>
      <c r="AE82" s="11" t="n"/>
      <c r="AF82" s="10" t="n"/>
      <c r="AG82" s="10" t="n"/>
      <c r="AH82" s="10" t="n"/>
      <c r="AI82" s="10" t="n"/>
      <c r="AJ82" s="11" t="n"/>
      <c r="AK82" s="10" t="n"/>
      <c r="AL82" s="10" t="n"/>
      <c r="AM82" s="10" t="n"/>
      <c r="AN82" s="10" t="n"/>
      <c r="AO82" s="11" t="n"/>
    </row>
    <row r="83">
      <c r="A83" t="n">
        <v>1</v>
      </c>
      <c r="C83" t="inlineStr">
        <is>
          <t>유형자산의증가</t>
        </is>
      </c>
      <c r="E83" s="18" t="n">
        <v>11421.11</v>
      </c>
      <c r="F83" s="9" t="n"/>
      <c r="G83" s="18" t="n">
        <v>723.4299999999999</v>
      </c>
      <c r="H83" s="18" t="n">
        <v>165.91</v>
      </c>
      <c r="I83" s="18" t="n">
        <v>907.8200000000001</v>
      </c>
      <c r="J83" s="18" t="n">
        <v>1312.85</v>
      </c>
      <c r="K83" s="37" t="n">
        <v>3110.01</v>
      </c>
      <c r="L83" s="18" t="n">
        <v>676.88</v>
      </c>
      <c r="M83" s="18" t="n">
        <v>63.3</v>
      </c>
      <c r="N83" s="18" t="n">
        <v>94.81999999999999</v>
      </c>
      <c r="O83" s="18" t="n">
        <v>676.45</v>
      </c>
      <c r="P83" s="37" t="n">
        <v>1511.45</v>
      </c>
      <c r="Q83" s="18" t="n">
        <v>588.46</v>
      </c>
      <c r="R83" s="18" t="n">
        <v>10118.76</v>
      </c>
      <c r="S83" s="18" t="n">
        <v>1079.08</v>
      </c>
      <c r="T83" s="18" t="n">
        <v>1435.57</v>
      </c>
      <c r="U83" s="37" t="n">
        <v>13221.87</v>
      </c>
      <c r="V83" s="18" t="n">
        <v>821.5700000000001</v>
      </c>
      <c r="W83" s="18" t="n">
        <v>278.56</v>
      </c>
      <c r="X83" s="18" t="n">
        <v>489.34</v>
      </c>
      <c r="Y83" s="18" t="n">
        <v>11628.84</v>
      </c>
      <c r="Z83" s="37" t="n">
        <v>13218.31</v>
      </c>
      <c r="AA83" s="18" t="n">
        <v>97929.17</v>
      </c>
      <c r="AB83" s="19" t="n">
        <v>1501.35</v>
      </c>
      <c r="AC83" s="10" t="n"/>
      <c r="AD83" s="10" t="n"/>
      <c r="AE83" s="11" t="n"/>
      <c r="AF83" s="10" t="n"/>
      <c r="AG83" s="10" t="n"/>
      <c r="AH83" s="10" t="n"/>
      <c r="AI83" s="10" t="n"/>
      <c r="AJ83" s="11" t="n"/>
      <c r="AK83" s="10" t="n"/>
      <c r="AL83" s="10" t="n"/>
      <c r="AM83" s="10" t="n"/>
      <c r="AN83" s="10" t="n"/>
      <c r="AO83" s="11" t="n"/>
    </row>
    <row r="84">
      <c r="A84" t="n">
        <v>1</v>
      </c>
      <c r="C84" t="inlineStr">
        <is>
          <t>CAPEX</t>
        </is>
      </c>
      <c r="E84" s="18" t="n">
        <v>11425.28</v>
      </c>
      <c r="F84" s="9" t="n"/>
      <c r="G84" s="18" t="n">
        <v>778.38</v>
      </c>
      <c r="H84" s="18" t="n">
        <v>575.72</v>
      </c>
      <c r="I84" s="18" t="n">
        <v>952.05</v>
      </c>
      <c r="J84" s="18" t="n">
        <v>1307.1</v>
      </c>
      <c r="K84" s="37" t="n">
        <v>3613.25</v>
      </c>
      <c r="L84" s="18" t="n">
        <v>686.0599999999999</v>
      </c>
      <c r="M84" s="18" t="n">
        <v>68.67</v>
      </c>
      <c r="N84" s="18" t="n">
        <v>98.08</v>
      </c>
      <c r="O84" s="18" t="n">
        <v>700.4400000000001</v>
      </c>
      <c r="P84" s="37" t="n">
        <v>1553.25</v>
      </c>
      <c r="Q84" s="18" t="n">
        <v>618.96</v>
      </c>
      <c r="R84" s="18" t="n">
        <v>10202.13</v>
      </c>
      <c r="S84" s="18" t="n">
        <v>1081.78</v>
      </c>
      <c r="T84" s="18" t="n">
        <v>1471.13</v>
      </c>
      <c r="U84" s="37" t="n">
        <v>13374</v>
      </c>
      <c r="V84" s="18" t="n">
        <v>826.8099999999999</v>
      </c>
      <c r="W84" s="18" t="n">
        <v>382.89</v>
      </c>
      <c r="X84" s="18" t="n">
        <v>501.42</v>
      </c>
      <c r="Y84" s="18" t="n">
        <v>11818.04</v>
      </c>
      <c r="Z84" s="37" t="n">
        <v>13529.16</v>
      </c>
      <c r="AA84" s="18" t="n">
        <v>97954.36</v>
      </c>
      <c r="AB84" s="19" t="n">
        <v>1561.85</v>
      </c>
      <c r="AC84" s="10" t="n"/>
      <c r="AD84" s="10" t="n"/>
      <c r="AE84" s="11" t="n"/>
      <c r="AF84" s="10" t="n"/>
      <c r="AG84" s="10" t="n"/>
      <c r="AH84" s="10" t="n"/>
      <c r="AI84" s="10" t="n"/>
      <c r="AJ84" s="11" t="n"/>
      <c r="AK84" s="10" t="n"/>
      <c r="AL84" s="10" t="n"/>
      <c r="AM84" s="10" t="n"/>
      <c r="AN84" s="10" t="n"/>
      <c r="AO84" s="11" t="n"/>
    </row>
    <row r="85">
      <c r="A85" t="n">
        <v>1</v>
      </c>
      <c r="C85" t="inlineStr">
        <is>
          <t>무형자산의증가</t>
        </is>
      </c>
      <c r="E85" s="18" t="n">
        <v>4.17</v>
      </c>
      <c r="F85" s="9" t="n"/>
      <c r="G85" s="18" t="n">
        <v>54.95</v>
      </c>
      <c r="H85" s="18" t="n">
        <v>409.81</v>
      </c>
      <c r="I85" s="18" t="n">
        <v>44.23</v>
      </c>
      <c r="K85" s="9" t="n"/>
      <c r="L85" s="18" t="n">
        <v>9.18</v>
      </c>
      <c r="M85" s="18" t="n">
        <v>5.37</v>
      </c>
      <c r="N85" s="18" t="n">
        <v>3.26</v>
      </c>
      <c r="O85" s="18" t="n">
        <v>23.99</v>
      </c>
      <c r="P85" s="37" t="n">
        <v>41.8</v>
      </c>
      <c r="Q85" s="18" t="n">
        <v>30.5</v>
      </c>
      <c r="R85" s="18" t="n">
        <v>83.37</v>
      </c>
      <c r="S85" s="18" t="n">
        <v>2.7</v>
      </c>
      <c r="T85" s="18" t="n">
        <v>35.56</v>
      </c>
      <c r="U85" s="37" t="n">
        <v>152.13</v>
      </c>
      <c r="V85" s="18" t="n">
        <v>5.24</v>
      </c>
      <c r="W85" s="18" t="n">
        <v>104.33</v>
      </c>
      <c r="X85" s="18" t="n">
        <v>12.08</v>
      </c>
      <c r="Y85" s="18" t="n">
        <v>189.2</v>
      </c>
      <c r="Z85" s="37" t="n">
        <v>310.85</v>
      </c>
      <c r="AA85" s="18" t="n">
        <v>25.19</v>
      </c>
      <c r="AB85" s="19" t="n">
        <v>60.5</v>
      </c>
      <c r="AC85" s="10" t="n"/>
      <c r="AD85" s="10" t="n"/>
      <c r="AE85" s="11" t="n"/>
      <c r="AF85" s="10" t="n"/>
      <c r="AG85" s="10" t="n"/>
      <c r="AH85" s="10" t="n"/>
      <c r="AI85" s="10" t="n"/>
      <c r="AJ85" s="11" t="n"/>
      <c r="AK85" s="10" t="n"/>
      <c r="AL85" s="10" t="n"/>
      <c r="AM85" s="10" t="n"/>
      <c r="AN85" s="10" t="n"/>
      <c r="AO85" s="11" t="n"/>
    </row>
    <row r="86">
      <c r="A86" t="n">
        <v>1</v>
      </c>
      <c r="C86" t="inlineStr">
        <is>
          <t>재무활동으로인한현금흐름</t>
        </is>
      </c>
      <c r="E86" s="18" t="n">
        <v>-2642.76</v>
      </c>
      <c r="F86" s="9" t="n"/>
      <c r="G86" s="18" t="n">
        <v>-819.45</v>
      </c>
      <c r="H86" s="18" t="n">
        <v>-1771.35</v>
      </c>
      <c r="I86" s="18" t="n">
        <v>-7476.15</v>
      </c>
      <c r="J86" s="18" t="n">
        <v>-4387.91</v>
      </c>
      <c r="K86" s="37" t="n">
        <v>-14454.86</v>
      </c>
      <c r="L86" s="18" t="n">
        <v>-8574.129999999999</v>
      </c>
      <c r="M86" s="18" t="n">
        <v>-31004.96</v>
      </c>
      <c r="N86" s="18" t="n">
        <v>-94.11</v>
      </c>
      <c r="O86" s="18" t="n">
        <v>-6694.72</v>
      </c>
      <c r="P86" s="37" t="n">
        <v>-46367.92</v>
      </c>
      <c r="Q86" s="18" t="n">
        <v>-12855.98</v>
      </c>
      <c r="R86" s="18" t="n">
        <v>-5262.99</v>
      </c>
      <c r="S86" s="18" t="n">
        <v>-992.92</v>
      </c>
      <c r="T86" s="18" t="n">
        <v>-398.18</v>
      </c>
      <c r="U86" s="37" t="n">
        <v>-19510.07</v>
      </c>
      <c r="V86" s="18" t="n">
        <v>1792.73</v>
      </c>
      <c r="W86" s="18" t="n">
        <v>-449.77</v>
      </c>
      <c r="X86" s="18" t="n">
        <v>-518.01</v>
      </c>
      <c r="Y86" s="18" t="n">
        <v>1.83</v>
      </c>
      <c r="Z86" s="37" t="n">
        <v>826.78</v>
      </c>
      <c r="AA86" s="18" t="n">
        <v>52524.33</v>
      </c>
      <c r="AB86" s="19" t="n">
        <v>-12904.96</v>
      </c>
      <c r="AC86" s="10" t="n"/>
      <c r="AD86" s="10" t="n"/>
      <c r="AE86" s="11" t="n"/>
      <c r="AF86" s="10" t="n"/>
      <c r="AG86" s="10" t="n"/>
      <c r="AH86" s="10" t="n"/>
      <c r="AI86" s="10" t="n"/>
      <c r="AJ86" s="11" t="n"/>
      <c r="AK86" s="10" t="n"/>
      <c r="AL86" s="10" t="n"/>
      <c r="AM86" s="10" t="n"/>
      <c r="AN86" s="10" t="n"/>
      <c r="AO86" s="11" t="n"/>
    </row>
    <row r="87">
      <c r="A87" t="n">
        <v>1</v>
      </c>
      <c r="C87" t="inlineStr">
        <is>
          <t>단기차입금의증가</t>
        </is>
      </c>
      <c r="E87" s="18" t="n">
        <v>13089.04</v>
      </c>
      <c r="F87" s="9" t="n"/>
      <c r="G87" s="18" t="n">
        <v>100</v>
      </c>
      <c r="H87" s="18" t="n">
        <v>10567.93</v>
      </c>
      <c r="I87" s="18" t="n">
        <v>15129.47</v>
      </c>
      <c r="J87" s="18" t="n">
        <v>554.42</v>
      </c>
      <c r="K87" s="37" t="n">
        <v>26351.82</v>
      </c>
      <c r="L87" s="18" t="n">
        <v>9300</v>
      </c>
      <c r="M87" s="18" t="n">
        <v>0</v>
      </c>
      <c r="N87" s="18" t="n">
        <v>0</v>
      </c>
      <c r="O87" s="18" t="n">
        <v>0</v>
      </c>
      <c r="P87" s="37" t="n">
        <v>9300</v>
      </c>
      <c r="T87" s="18" t="n">
        <v>898.78</v>
      </c>
      <c r="U87" s="9" t="n"/>
      <c r="V87" s="18" t="n">
        <v>961.85</v>
      </c>
      <c r="W87" s="18" t="n">
        <v>784.39</v>
      </c>
      <c r="X87" s="18" t="n">
        <v>444.11</v>
      </c>
      <c r="Z87" s="9" t="n"/>
      <c r="AB87" s="5" t="n"/>
      <c r="AC87" s="10" t="n"/>
      <c r="AD87" s="10" t="n"/>
      <c r="AE87" s="11" t="n"/>
      <c r="AF87" s="10" t="n"/>
      <c r="AG87" s="10" t="n"/>
      <c r="AH87" s="10" t="n"/>
      <c r="AI87" s="10" t="n"/>
      <c r="AJ87" s="11" t="n"/>
      <c r="AK87" s="10" t="n"/>
      <c r="AL87" s="10" t="n"/>
      <c r="AM87" s="10" t="n"/>
      <c r="AN87" s="10" t="n"/>
      <c r="AO87" s="11" t="n"/>
    </row>
    <row r="88">
      <c r="A88" t="n">
        <v>1</v>
      </c>
      <c r="C88" t="inlineStr">
        <is>
          <t>장기차입금의증가</t>
        </is>
      </c>
      <c r="E88" s="18" t="n">
        <v>0</v>
      </c>
      <c r="F88" s="9" t="n"/>
      <c r="K88" s="9" t="n"/>
      <c r="P88" s="9" t="n"/>
      <c r="U88" s="9" t="n"/>
      <c r="X88" s="18" t="n">
        <v>500</v>
      </c>
      <c r="Z88" s="9" t="n"/>
      <c r="AB88" s="5" t="n"/>
      <c r="AC88" s="10" t="n"/>
      <c r="AD88" s="10" t="n"/>
      <c r="AE88" s="11" t="n"/>
      <c r="AF88" s="10" t="n"/>
      <c r="AG88" s="10" t="n"/>
      <c r="AH88" s="10" t="n"/>
      <c r="AI88" s="10" t="n"/>
      <c r="AJ88" s="11" t="n"/>
      <c r="AK88" s="10" t="n"/>
      <c r="AL88" s="10" t="n"/>
      <c r="AM88" s="10" t="n"/>
      <c r="AN88" s="10" t="n"/>
      <c r="AO88" s="11" t="n"/>
    </row>
    <row r="89">
      <c r="A89" t="n">
        <v>1</v>
      </c>
      <c r="C89" t="inlineStr">
        <is>
          <t>배당금지급</t>
        </is>
      </c>
      <c r="E89" s="18" t="n">
        <v>0</v>
      </c>
      <c r="F89" s="9" t="n"/>
      <c r="I89" s="18" t="n">
        <v>0</v>
      </c>
      <c r="J89" s="18" t="n">
        <v>0</v>
      </c>
      <c r="K89" s="9" t="n"/>
      <c r="N89" s="18" t="n">
        <v>0</v>
      </c>
      <c r="O89" s="18" t="n">
        <v>0</v>
      </c>
      <c r="P89" s="9" t="n"/>
      <c r="S89" s="18" t="n">
        <v>0</v>
      </c>
      <c r="T89" s="18" t="n">
        <v>0</v>
      </c>
      <c r="U89" s="9" t="n"/>
      <c r="X89" s="18" t="n">
        <v>0</v>
      </c>
      <c r="Y89" s="18" t="n">
        <v>0</v>
      </c>
      <c r="Z89" s="9" t="n"/>
      <c r="AB89" s="5" t="n"/>
      <c r="AC89" s="10" t="n"/>
      <c r="AD89" s="10" t="n"/>
      <c r="AE89" s="11" t="n"/>
      <c r="AF89" s="10" t="n"/>
      <c r="AG89" s="10" t="n"/>
      <c r="AH89" s="10" t="n"/>
      <c r="AI89" s="10" t="n"/>
      <c r="AJ89" s="11" t="n"/>
      <c r="AK89" s="10" t="n"/>
      <c r="AL89" s="10" t="n"/>
      <c r="AM89" s="10" t="n"/>
      <c r="AN89" s="10" t="n"/>
      <c r="AO89" s="11" t="n"/>
    </row>
    <row r="90">
      <c r="A90" t="n">
        <v>1</v>
      </c>
      <c r="C90" t="inlineStr">
        <is>
          <t>단기차입금의감소</t>
        </is>
      </c>
      <c r="E90" s="18" t="n">
        <v>15700</v>
      </c>
      <c r="F90" s="9" t="n"/>
      <c r="G90" s="18" t="n">
        <v>554.15</v>
      </c>
      <c r="H90" s="18" t="n">
        <v>9445.85</v>
      </c>
      <c r="I90" s="18" t="n">
        <v>19700</v>
      </c>
      <c r="J90" s="18" t="n">
        <v>4000</v>
      </c>
      <c r="K90" s="37" t="n">
        <v>33700</v>
      </c>
      <c r="L90" s="18" t="n">
        <v>11697.24</v>
      </c>
      <c r="M90" s="18" t="n">
        <v>18619.24</v>
      </c>
      <c r="P90" s="9" t="n"/>
      <c r="U90" s="9" t="n"/>
      <c r="Z90" s="9" t="n"/>
      <c r="AB90" s="5" t="n"/>
      <c r="AC90" s="10" t="n"/>
      <c r="AD90" s="10" t="n"/>
      <c r="AE90" s="11" t="n"/>
      <c r="AF90" s="10" t="n"/>
      <c r="AG90" s="10" t="n"/>
      <c r="AH90" s="10" t="n"/>
      <c r="AI90" s="10" t="n"/>
      <c r="AJ90" s="11" t="n"/>
      <c r="AK90" s="10" t="n"/>
      <c r="AL90" s="10" t="n"/>
      <c r="AM90" s="10" t="n"/>
      <c r="AN90" s="10" t="n"/>
      <c r="AO90" s="11" t="n"/>
    </row>
    <row r="91">
      <c r="A91" t="n">
        <v>1</v>
      </c>
      <c r="C91" t="inlineStr">
        <is>
          <t>리스부채의상환</t>
        </is>
      </c>
      <c r="E91" s="18" t="n">
        <v>31.93</v>
      </c>
      <c r="F91" s="9" t="n"/>
      <c r="G91" s="18" t="n">
        <v>31.93</v>
      </c>
      <c r="H91" s="18" t="n">
        <v>32.62</v>
      </c>
      <c r="I91" s="18" t="n">
        <v>34.78</v>
      </c>
      <c r="K91" s="9" t="n"/>
      <c r="O91" s="18" t="n">
        <v>29.45</v>
      </c>
      <c r="P91" s="9" t="n"/>
      <c r="Q91" s="18" t="n">
        <v>25.26</v>
      </c>
      <c r="R91" s="18" t="n">
        <v>8.82</v>
      </c>
      <c r="U91" s="9" t="n"/>
      <c r="Z91" s="9" t="n"/>
      <c r="AA91" s="18" t="n">
        <v>3.41</v>
      </c>
      <c r="AB91" s="19" t="n">
        <v>1.33</v>
      </c>
      <c r="AC91" s="10" t="n"/>
      <c r="AD91" s="10" t="n"/>
      <c r="AE91" s="11" t="n"/>
      <c r="AF91" s="10" t="n"/>
      <c r="AG91" s="10" t="n"/>
      <c r="AH91" s="10" t="n"/>
      <c r="AI91" s="10" t="n"/>
      <c r="AJ91" s="11" t="n"/>
      <c r="AK91" s="10" t="n"/>
      <c r="AL91" s="10" t="n"/>
      <c r="AM91" s="10" t="n"/>
      <c r="AN91" s="10" t="n"/>
      <c r="AO91" s="11" t="n"/>
    </row>
    <row r="92">
      <c r="A92" t="n">
        <v>1</v>
      </c>
      <c r="C92" t="inlineStr">
        <is>
          <t>현금및현금성자산의증감</t>
        </is>
      </c>
      <c r="E92" s="18" t="n">
        <v>-1758.46</v>
      </c>
      <c r="F92" s="9" t="n"/>
      <c r="G92" s="18" t="n">
        <v>-1382.06</v>
      </c>
      <c r="H92" s="18" t="n">
        <v>1005.92</v>
      </c>
      <c r="I92" s="18" t="n">
        <v>105.06</v>
      </c>
      <c r="J92" s="18" t="n">
        <v>3987.08</v>
      </c>
      <c r="K92" s="37" t="n">
        <v>3716</v>
      </c>
      <c r="L92" s="18" t="n">
        <v>-4328.72</v>
      </c>
      <c r="M92" s="18" t="n">
        <v>-3695.52</v>
      </c>
      <c r="N92" s="18" t="n">
        <v>11175.02</v>
      </c>
      <c r="O92" s="18" t="n">
        <v>-9004.379999999999</v>
      </c>
      <c r="P92" s="37" t="n">
        <v>-5853.6</v>
      </c>
      <c r="Q92" s="18" t="n">
        <v>-875.08</v>
      </c>
      <c r="R92" s="18" t="n">
        <v>1781.34</v>
      </c>
      <c r="S92" s="18" t="n">
        <v>-4453.79</v>
      </c>
      <c r="T92" s="18" t="n">
        <v>3429.04</v>
      </c>
      <c r="U92" s="37" t="n">
        <v>-118.49</v>
      </c>
      <c r="V92" s="18" t="n">
        <v>2215.7</v>
      </c>
      <c r="W92" s="18" t="n">
        <v>10983.05</v>
      </c>
      <c r="X92" s="18" t="n">
        <v>-4842.08</v>
      </c>
      <c r="Y92" s="18" t="n">
        <v>35950.6</v>
      </c>
      <c r="Z92" s="37" t="n">
        <v>44307.27</v>
      </c>
      <c r="AA92" s="18" t="n">
        <v>-26707.68</v>
      </c>
      <c r="AB92" s="19" t="n">
        <v>-1035.82</v>
      </c>
      <c r="AC92" s="10" t="n"/>
      <c r="AD92" s="10" t="n"/>
      <c r="AE92" s="11" t="n"/>
      <c r="AF92" s="10" t="n"/>
      <c r="AG92" s="10" t="n"/>
      <c r="AH92" s="10" t="n"/>
      <c r="AI92" s="10" t="n"/>
      <c r="AJ92" s="11" t="n"/>
      <c r="AK92" s="10" t="n"/>
      <c r="AL92" s="10" t="n"/>
      <c r="AM92" s="10" t="n"/>
      <c r="AN92" s="10" t="n"/>
      <c r="AO92" s="11" t="n"/>
    </row>
    <row r="93">
      <c r="A93" t="n">
        <v>1</v>
      </c>
      <c r="C93" t="inlineStr">
        <is>
          <t>기말현금및현금성자산</t>
        </is>
      </c>
      <c r="E93" s="18" t="n">
        <v>-1879.43</v>
      </c>
      <c r="F93" s="9" t="n"/>
      <c r="G93" s="18" t="n">
        <v>9202.709999999999</v>
      </c>
      <c r="H93" s="18" t="n">
        <v>995.6799999999999</v>
      </c>
      <c r="I93" s="18" t="n">
        <v>232.28</v>
      </c>
      <c r="J93" s="18" t="n">
        <v>3633.3</v>
      </c>
      <c r="K93" s="37" t="n">
        <v>14063.97</v>
      </c>
      <c r="L93" s="18" t="n">
        <v>9797.450000000001</v>
      </c>
      <c r="M93" s="18" t="n">
        <v>-3756.73</v>
      </c>
      <c r="N93" s="18" t="n">
        <v>11206.79</v>
      </c>
      <c r="O93" s="18" t="n">
        <v>-9075.52</v>
      </c>
      <c r="P93" s="37" t="n">
        <v>8171.99</v>
      </c>
      <c r="Q93" s="18" t="n">
        <v>7237.38</v>
      </c>
      <c r="R93" s="18" t="n">
        <v>1904.97</v>
      </c>
      <c r="S93" s="18" t="n">
        <v>-4492.86</v>
      </c>
      <c r="T93" s="18" t="n">
        <v>3575.76</v>
      </c>
      <c r="U93" s="37" t="n">
        <v>8225.25</v>
      </c>
      <c r="V93" s="18" t="n">
        <v>10464.41</v>
      </c>
      <c r="W93" s="18" t="n">
        <v>10804.88</v>
      </c>
      <c r="X93" s="18" t="n">
        <v>-4692.11</v>
      </c>
      <c r="Y93" s="18" t="n">
        <v>35805.11</v>
      </c>
      <c r="Z93" s="37" t="n">
        <v>52382.29</v>
      </c>
      <c r="AA93" s="18" t="n">
        <v>25905.37</v>
      </c>
      <c r="AB93" s="19" t="n">
        <v>-1016.54</v>
      </c>
      <c r="AC93" s="10" t="n"/>
      <c r="AD93" s="10" t="n"/>
      <c r="AE93" s="11" t="n"/>
      <c r="AF93" s="10" t="n"/>
      <c r="AG93" s="10" t="n"/>
      <c r="AH93" s="10" t="n"/>
      <c r="AI93" s="10" t="n"/>
      <c r="AJ93" s="11" t="n"/>
      <c r="AK93" s="10" t="n"/>
      <c r="AL93" s="10" t="n"/>
      <c r="AM93" s="10" t="n"/>
      <c r="AN93" s="10" t="n"/>
      <c r="AO93" s="11" t="n"/>
    </row>
    <row r="94">
      <c r="A94" t="n">
        <v>1</v>
      </c>
      <c r="C94" t="inlineStr">
        <is>
          <t>장기차입금의감소</t>
        </is>
      </c>
      <c r="F94" s="9" t="n"/>
      <c r="G94" s="18" t="n">
        <v>333.36</v>
      </c>
      <c r="H94" s="18" t="n">
        <v>1005.82</v>
      </c>
      <c r="I94" s="18" t="n">
        <v>1008.31</v>
      </c>
      <c r="J94" s="18" t="n">
        <v>1008.31</v>
      </c>
      <c r="K94" s="37" t="n">
        <v>3355.8</v>
      </c>
      <c r="L94" s="18" t="n">
        <v>6008.31</v>
      </c>
      <c r="M94" s="18" t="n">
        <v>10403.31</v>
      </c>
      <c r="N94" s="18" t="n">
        <v>710</v>
      </c>
      <c r="P94" s="9" t="n"/>
      <c r="U94" s="9" t="n"/>
      <c r="Z94" s="9" t="n"/>
      <c r="AB94" s="5" t="n"/>
      <c r="AC94" s="10" t="n"/>
      <c r="AD94" s="10" t="n"/>
      <c r="AE94" s="11" t="n"/>
      <c r="AF94" s="10" t="n"/>
      <c r="AG94" s="10" t="n"/>
      <c r="AH94" s="10" t="n"/>
      <c r="AI94" s="10" t="n"/>
      <c r="AJ94" s="11" t="n"/>
      <c r="AK94" s="10" t="n"/>
      <c r="AL94" s="10" t="n"/>
      <c r="AM94" s="10" t="n"/>
      <c r="AN94" s="10" t="n"/>
      <c r="AO94" s="11" t="n"/>
    </row>
    <row r="95">
      <c r="A95" t="n">
        <v>1</v>
      </c>
      <c r="C95" t="inlineStr">
        <is>
          <t>자기주식의취득</t>
        </is>
      </c>
      <c r="F95" s="9" t="n"/>
      <c r="I95" s="18" t="n">
        <v>1862.53</v>
      </c>
      <c r="J95" s="18" t="n">
        <v>587.3099999999999</v>
      </c>
      <c r="K95" s="9" t="n"/>
      <c r="L95" s="18" t="n">
        <v>311.94</v>
      </c>
      <c r="M95" s="18" t="n">
        <v>0</v>
      </c>
      <c r="P95" s="9" t="n"/>
      <c r="U95" s="9" t="n"/>
      <c r="Z95" s="9" t="n"/>
      <c r="AB95" s="5" t="n"/>
      <c r="AC95" s="10" t="n"/>
      <c r="AD95" s="10" t="n"/>
      <c r="AE95" s="11" t="n"/>
      <c r="AF95" s="10" t="n"/>
      <c r="AG95" s="10" t="n"/>
      <c r="AH95" s="10" t="n"/>
      <c r="AI95" s="10" t="n"/>
      <c r="AJ95" s="11" t="n"/>
      <c r="AK95" s="10" t="n"/>
      <c r="AL95" s="10" t="n"/>
      <c r="AM95" s="10" t="n"/>
      <c r="AN95" s="10" t="n"/>
      <c r="AO95" s="11" t="n"/>
    </row>
    <row r="96">
      <c r="A96" t="n">
        <v>1</v>
      </c>
      <c r="C96" t="inlineStr">
        <is>
          <t>이자수취(CF)</t>
        </is>
      </c>
      <c r="F96" s="9" t="n"/>
      <c r="K96" s="9" t="n"/>
      <c r="O96" s="18" t="n">
        <v>1028.35</v>
      </c>
      <c r="P96" s="9" t="n"/>
      <c r="Q96" s="18" t="n">
        <v>621.61</v>
      </c>
      <c r="R96" s="18" t="n">
        <v>716.9400000000001</v>
      </c>
      <c r="S96" s="18" t="n">
        <v>347.49</v>
      </c>
      <c r="T96" s="18" t="n">
        <v>422.52</v>
      </c>
      <c r="U96" s="37" t="n">
        <v>2108.56</v>
      </c>
      <c r="V96" s="18" t="n">
        <v>305.44</v>
      </c>
      <c r="W96" s="18" t="n">
        <v>265.98</v>
      </c>
      <c r="X96" s="18" t="n">
        <v>565.61</v>
      </c>
      <c r="Y96" s="18" t="n">
        <v>1391.12</v>
      </c>
      <c r="Z96" s="37" t="n">
        <v>2528.15</v>
      </c>
      <c r="AA96" s="18" t="n">
        <v>87.83</v>
      </c>
      <c r="AB96" s="19" t="n">
        <v>37.87</v>
      </c>
      <c r="AC96" s="10" t="n"/>
      <c r="AD96" s="10" t="n"/>
      <c r="AE96" s="11" t="n"/>
      <c r="AF96" s="10" t="n"/>
      <c r="AG96" s="10" t="n"/>
      <c r="AH96" s="10" t="n"/>
      <c r="AI96" s="10" t="n"/>
      <c r="AJ96" s="11" t="n"/>
      <c r="AK96" s="10" t="n"/>
      <c r="AL96" s="10" t="n"/>
      <c r="AM96" s="10" t="n"/>
      <c r="AN96" s="10" t="n"/>
      <c r="AO96" s="11" t="n"/>
    </row>
    <row r="97">
      <c r="A97" t="n">
        <v>1</v>
      </c>
      <c r="C97" t="inlineStr">
        <is>
          <t>차입금의감소</t>
        </is>
      </c>
      <c r="F97" s="9" t="n"/>
      <c r="K97" s="9" t="n"/>
      <c r="P97" s="9" t="n"/>
      <c r="Q97" s="18" t="n">
        <v>13083.93</v>
      </c>
      <c r="R97" s="18" t="n">
        <v>710</v>
      </c>
      <c r="U97" s="9" t="n"/>
      <c r="V97" s="18" t="n">
        <v>1118.81</v>
      </c>
      <c r="W97" s="18" t="n">
        <v>1671.85</v>
      </c>
      <c r="X97" s="18" t="n">
        <v>1494.39</v>
      </c>
      <c r="Y97" s="18" t="n">
        <v>1154.11</v>
      </c>
      <c r="Z97" s="37" t="n">
        <v>5439.16</v>
      </c>
      <c r="AA97" s="18" t="n">
        <v>7830</v>
      </c>
      <c r="AB97" s="19" t="n">
        <v>5235.61</v>
      </c>
      <c r="AC97" s="10" t="n"/>
      <c r="AD97" s="10" t="n"/>
      <c r="AE97" s="11" t="n"/>
      <c r="AF97" s="10" t="n"/>
      <c r="AG97" s="10" t="n"/>
      <c r="AH97" s="10" t="n"/>
      <c r="AI97" s="10" t="n"/>
      <c r="AJ97" s="11" t="n"/>
      <c r="AK97" s="10" t="n"/>
      <c r="AL97" s="10" t="n"/>
      <c r="AM97" s="10" t="n"/>
      <c r="AN97" s="10" t="n"/>
      <c r="AO97" s="11" t="n"/>
    </row>
    <row r="98">
      <c r="A98" t="n">
        <v>1</v>
      </c>
      <c r="C98" t="inlineStr">
        <is>
          <t>이자지급(CF)</t>
        </is>
      </c>
      <c r="F98" s="9" t="n"/>
      <c r="K98" s="9" t="n"/>
      <c r="P98" s="9" t="n"/>
      <c r="U98" s="9" t="n"/>
      <c r="Z98" s="9" t="n"/>
      <c r="AA98" s="18" t="n">
        <v>-272.93</v>
      </c>
      <c r="AB98" s="19" t="n">
        <v>-374.8</v>
      </c>
      <c r="AC98" s="10" t="n"/>
      <c r="AD98" s="10" t="n"/>
      <c r="AE98" s="11" t="n"/>
      <c r="AF98" s="10" t="n"/>
      <c r="AG98" s="10" t="n"/>
      <c r="AH98" s="10" t="n"/>
      <c r="AI98" s="10" t="n"/>
      <c r="AJ98" s="11" t="n"/>
      <c r="AK98" s="10" t="n"/>
      <c r="AL98" s="10" t="n"/>
      <c r="AM98" s="10" t="n"/>
      <c r="AN98" s="10" t="n"/>
      <c r="AO98" s="11" t="n"/>
    </row>
    <row r="99">
      <c r="A99" t="n">
        <v>1</v>
      </c>
      <c r="C99" t="inlineStr">
        <is>
          <t>차입금의증가</t>
        </is>
      </c>
      <c r="F99" s="9" t="n"/>
      <c r="K99" s="9" t="n"/>
      <c r="P99" s="9" t="n"/>
      <c r="U99" s="9" t="n"/>
      <c r="Z99" s="9" t="n"/>
      <c r="AA99" s="18" t="n">
        <v>60369.43</v>
      </c>
      <c r="AB99" s="19" t="n">
        <v>1546.31</v>
      </c>
      <c r="AC99" s="10" t="n"/>
      <c r="AD99" s="10" t="n"/>
      <c r="AE99" s="11" t="n"/>
      <c r="AF99" s="10" t="n"/>
      <c r="AG99" s="10" t="n"/>
      <c r="AH99" s="10" t="n"/>
      <c r="AI99" s="10" t="n"/>
      <c r="AJ99" s="11" t="n"/>
      <c r="AK99" s="10" t="n"/>
      <c r="AL99" s="10" t="n"/>
      <c r="AM99" s="10" t="n"/>
      <c r="AN99" s="10" t="n"/>
      <c r="AO99" s="1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96"/>
  <sheetViews>
    <sheetView workbookViewId="0">
      <pane xSplit="4" ySplit="4" topLeftCell="E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9" customWidth="1" min="2" max="2"/>
    <col width="26" customWidth="1" min="3" max="3"/>
    <col width="30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</cols>
  <sheetData>
    <row r="1">
      <c r="B1" s="2" t="inlineStr">
        <is>
          <t>(백만원)</t>
        </is>
      </c>
      <c r="C1" s="2" t="inlineStr">
        <is>
          <t>이름: BS별도H</t>
        </is>
      </c>
      <c r="E1" s="3" t="inlineStr">
        <is>
          <t>4Q21</t>
        </is>
      </c>
      <c r="F1" s="3" t="n">
        <v>2021</v>
      </c>
      <c r="G1" s="3" t="inlineStr">
        <is>
          <t>1Q22</t>
        </is>
      </c>
      <c r="H1" s="3" t="inlineStr">
        <is>
          <t>2Q22</t>
        </is>
      </c>
      <c r="I1" s="3" t="inlineStr">
        <is>
          <t>3Q22</t>
        </is>
      </c>
      <c r="J1" s="3" t="inlineStr">
        <is>
          <t>4Q22</t>
        </is>
      </c>
      <c r="K1" s="3" t="n">
        <v>2022</v>
      </c>
      <c r="L1" s="3" t="inlineStr">
        <is>
          <t>1Q23</t>
        </is>
      </c>
      <c r="M1" s="3" t="inlineStr">
        <is>
          <t>2Q23</t>
        </is>
      </c>
      <c r="N1" s="3" t="inlineStr">
        <is>
          <t>3Q23</t>
        </is>
      </c>
      <c r="O1" s="3" t="inlineStr">
        <is>
          <t>4Q23</t>
        </is>
      </c>
      <c r="P1" s="3" t="n">
        <v>2023</v>
      </c>
      <c r="Q1" s="3" t="inlineStr">
        <is>
          <t>1Q24</t>
        </is>
      </c>
      <c r="R1" s="3" t="inlineStr">
        <is>
          <t>2Q24</t>
        </is>
      </c>
      <c r="S1" s="3" t="inlineStr">
        <is>
          <t>3Q24</t>
        </is>
      </c>
      <c r="T1" s="3" t="inlineStr">
        <is>
          <t>4Q24</t>
        </is>
      </c>
      <c r="U1" s="3" t="n">
        <v>2024</v>
      </c>
      <c r="V1" s="3" t="inlineStr">
        <is>
          <t>1Q25</t>
        </is>
      </c>
      <c r="W1" s="3" t="inlineStr">
        <is>
          <t>2Q25</t>
        </is>
      </c>
      <c r="X1" s="3" t="inlineStr">
        <is>
          <t>3Q25</t>
        </is>
      </c>
      <c r="Y1" s="3" t="inlineStr">
        <is>
          <t>4Q25</t>
        </is>
      </c>
      <c r="Z1" s="3" t="n">
        <v>2025</v>
      </c>
      <c r="AA1" s="3" t="inlineStr">
        <is>
          <t>1Q26</t>
        </is>
      </c>
      <c r="AB1" s="4" t="inlineStr">
        <is>
          <t>2Q26</t>
        </is>
      </c>
      <c r="AC1" s="3" t="inlineStr">
        <is>
          <t>3Q26</t>
        </is>
      </c>
      <c r="AD1" s="3" t="inlineStr">
        <is>
          <t>4Q26</t>
        </is>
      </c>
      <c r="AE1" s="3" t="n">
        <v>2026</v>
      </c>
      <c r="AF1" s="3" t="inlineStr">
        <is>
          <t>1Q27</t>
        </is>
      </c>
      <c r="AG1" s="3" t="inlineStr">
        <is>
          <t>2Q27</t>
        </is>
      </c>
      <c r="AH1" s="3" t="inlineStr">
        <is>
          <t>3Q27</t>
        </is>
      </c>
      <c r="AI1" s="3" t="inlineStr">
        <is>
          <t>4Q27</t>
        </is>
      </c>
      <c r="AJ1" s="3" t="n">
        <v>2027</v>
      </c>
      <c r="AK1" s="3" t="inlineStr">
        <is>
          <t>1Q28</t>
        </is>
      </c>
      <c r="AL1" s="3" t="inlineStr">
        <is>
          <t>2Q28</t>
        </is>
      </c>
      <c r="AM1" s="3" t="inlineStr">
        <is>
          <t>3Q28</t>
        </is>
      </c>
      <c r="AN1" s="3" t="inlineStr">
        <is>
          <t>4Q28</t>
        </is>
      </c>
      <c r="AO1" s="3" t="n">
        <v>2028</v>
      </c>
    </row>
    <row r="2">
      <c r="B2" t="inlineStr">
        <is>
          <t>별도</t>
        </is>
      </c>
      <c r="D2" s="2" t="inlineStr">
        <is>
          <t>fin json(kship_fin.py)</t>
        </is>
      </c>
      <c r="AB2" s="5" t="n"/>
    </row>
    <row r="3">
      <c r="B3" t="inlineStr">
        <is>
          <t>한라IMS(별)</t>
        </is>
      </c>
      <c r="C3" s="2" t="inlineStr">
        <is>
          <t>UPDATE: 26-10-13</t>
        </is>
      </c>
      <c r="E3" s="2" t="n">
        <v>1</v>
      </c>
      <c r="F3" s="2" t="n">
        <v>2</v>
      </c>
      <c r="G3" s="2" t="n">
        <v>3</v>
      </c>
      <c r="H3" s="2" t="n">
        <v>4</v>
      </c>
      <c r="I3" s="2" t="n">
        <v>5</v>
      </c>
      <c r="J3" s="2" t="n">
        <v>6</v>
      </c>
      <c r="K3" s="2" t="n">
        <v>7</v>
      </c>
      <c r="L3" s="2" t="n">
        <v>8</v>
      </c>
      <c r="M3" s="2" t="n">
        <v>9</v>
      </c>
      <c r="N3" s="2" t="n">
        <v>10</v>
      </c>
      <c r="O3" s="2" t="n">
        <v>11</v>
      </c>
      <c r="P3" s="2" t="n">
        <v>12</v>
      </c>
      <c r="Q3" s="2" t="n">
        <v>13</v>
      </c>
      <c r="R3" s="2" t="n">
        <v>14</v>
      </c>
      <c r="S3" s="2" t="n">
        <v>15</v>
      </c>
      <c r="T3" s="2" t="n">
        <v>16</v>
      </c>
      <c r="U3" s="2" t="n">
        <v>17</v>
      </c>
      <c r="V3" s="2" t="n">
        <v>18</v>
      </c>
      <c r="W3" s="2" t="n">
        <v>19</v>
      </c>
      <c r="X3" s="2" t="n">
        <v>20</v>
      </c>
      <c r="Y3" s="2" t="n">
        <v>21</v>
      </c>
      <c r="Z3" s="2" t="n">
        <v>22</v>
      </c>
      <c r="AA3" s="2" t="n">
        <v>23</v>
      </c>
      <c r="AB3" s="6" t="n">
        <v>24</v>
      </c>
      <c r="AC3" s="2" t="n">
        <v>25</v>
      </c>
      <c r="AD3" s="2" t="n">
        <v>26</v>
      </c>
      <c r="AE3" s="2" t="n">
        <v>27</v>
      </c>
      <c r="AF3" s="2" t="n">
        <v>28</v>
      </c>
      <c r="AG3" s="2" t="n">
        <v>29</v>
      </c>
      <c r="AH3" s="2" t="n">
        <v>30</v>
      </c>
      <c r="AI3" s="2" t="n">
        <v>31</v>
      </c>
      <c r="AJ3" s="2" t="n">
        <v>32</v>
      </c>
      <c r="AK3" s="2" t="n">
        <v>33</v>
      </c>
      <c r="AL3" s="2" t="n">
        <v>34</v>
      </c>
      <c r="AM3" s="2" t="n">
        <v>35</v>
      </c>
      <c r="AN3" s="2" t="n">
        <v>36</v>
      </c>
      <c r="AO3" s="2" t="n">
        <v>37</v>
      </c>
    </row>
    <row r="4">
      <c r="B4" s="2" t="inlineStr">
        <is>
          <t>Account Code</t>
        </is>
      </c>
      <c r="C4" s="2" t="inlineStr">
        <is>
          <t>AccountNAME</t>
        </is>
      </c>
      <c r="E4" s="7" t="inlineStr">
        <is>
          <t>2021.12</t>
        </is>
      </c>
      <c r="F4" s="7" t="inlineStr">
        <is>
          <t>2021.12A</t>
        </is>
      </c>
      <c r="G4" s="7" t="inlineStr">
        <is>
          <t>2022.03</t>
        </is>
      </c>
      <c r="H4" s="7" t="inlineStr">
        <is>
          <t>2022.06</t>
        </is>
      </c>
      <c r="I4" s="7" t="inlineStr">
        <is>
          <t>2022.09</t>
        </is>
      </c>
      <c r="J4" s="7" t="inlineStr">
        <is>
          <t>2022.12</t>
        </is>
      </c>
      <c r="K4" s="7" t="inlineStr">
        <is>
          <t>2022.12A</t>
        </is>
      </c>
      <c r="L4" s="7" t="inlineStr">
        <is>
          <t>2023.03</t>
        </is>
      </c>
      <c r="M4" s="7" t="inlineStr">
        <is>
          <t>2023.06</t>
        </is>
      </c>
      <c r="N4" s="7" t="inlineStr">
        <is>
          <t>2023.09</t>
        </is>
      </c>
      <c r="O4" s="7" t="inlineStr">
        <is>
          <t>2023.12</t>
        </is>
      </c>
      <c r="P4" s="7" t="inlineStr">
        <is>
          <t>2023.12A</t>
        </is>
      </c>
      <c r="Q4" s="7" t="inlineStr">
        <is>
          <t>2024.03</t>
        </is>
      </c>
      <c r="R4" s="7" t="inlineStr">
        <is>
          <t>2024.06</t>
        </is>
      </c>
      <c r="S4" s="7" t="inlineStr">
        <is>
          <t>2024.09</t>
        </is>
      </c>
      <c r="T4" s="7" t="inlineStr">
        <is>
          <t>2024.12</t>
        </is>
      </c>
      <c r="U4" s="7" t="inlineStr">
        <is>
          <t>2024.12A</t>
        </is>
      </c>
      <c r="V4" s="7" t="inlineStr">
        <is>
          <t>2025.03</t>
        </is>
      </c>
      <c r="W4" s="7" t="inlineStr">
        <is>
          <t>2025.06</t>
        </is>
      </c>
      <c r="X4" s="7" t="inlineStr">
        <is>
          <t>2025.09</t>
        </is>
      </c>
      <c r="Y4" s="7" t="inlineStr">
        <is>
          <t>2025.12</t>
        </is>
      </c>
      <c r="Z4" s="7" t="inlineStr">
        <is>
          <t>2025.12A</t>
        </is>
      </c>
      <c r="AA4" s="7" t="inlineStr">
        <is>
          <t>2026.03</t>
        </is>
      </c>
      <c r="AB4" s="8" t="inlineStr">
        <is>
          <t>2026.06</t>
        </is>
      </c>
      <c r="AC4" s="7" t="inlineStr">
        <is>
          <t>2026.09</t>
        </is>
      </c>
      <c r="AD4" s="7" t="inlineStr">
        <is>
          <t>2026.12</t>
        </is>
      </c>
      <c r="AE4" s="7" t="inlineStr">
        <is>
          <t>2026.12A</t>
        </is>
      </c>
      <c r="AF4" s="7" t="inlineStr">
        <is>
          <t>2027.03</t>
        </is>
      </c>
      <c r="AG4" s="7" t="inlineStr">
        <is>
          <t>2027.06</t>
        </is>
      </c>
      <c r="AH4" s="7" t="inlineStr">
        <is>
          <t>2027.09</t>
        </is>
      </c>
      <c r="AI4" s="7" t="inlineStr">
        <is>
          <t>2027.12</t>
        </is>
      </c>
      <c r="AJ4" s="7" t="inlineStr">
        <is>
          <t>2027.12A</t>
        </is>
      </c>
      <c r="AK4" s="7" t="inlineStr">
        <is>
          <t>2028.03</t>
        </is>
      </c>
      <c r="AL4" s="7" t="inlineStr">
        <is>
          <t>2028.06</t>
        </is>
      </c>
      <c r="AM4" s="7" t="inlineStr">
        <is>
          <t>2028.09</t>
        </is>
      </c>
      <c r="AN4" s="7" t="inlineStr">
        <is>
          <t>2028.12</t>
        </is>
      </c>
      <c r="AO4" s="7" t="inlineStr">
        <is>
          <t>2028.12A</t>
        </is>
      </c>
    </row>
    <row r="5">
      <c r="A5" t="n">
        <v>1</v>
      </c>
      <c r="C5" t="inlineStr">
        <is>
          <t>유동자산</t>
        </is>
      </c>
      <c r="E5" s="18" t="n">
        <v>53460.46</v>
      </c>
      <c r="F5" s="37" t="n">
        <v>53460.46</v>
      </c>
      <c r="G5" s="18" t="n">
        <v>59848.63</v>
      </c>
      <c r="H5" s="18" t="n">
        <v>63397.91</v>
      </c>
      <c r="I5" s="18" t="n">
        <v>61700.82</v>
      </c>
      <c r="J5" s="18" t="n">
        <v>55727.19</v>
      </c>
      <c r="K5" s="37" t="n">
        <v>55727.19</v>
      </c>
      <c r="L5" s="18" t="n">
        <v>50559.97</v>
      </c>
      <c r="M5" s="18" t="n">
        <v>128912.08</v>
      </c>
      <c r="N5" s="18" t="n">
        <v>112988.3</v>
      </c>
      <c r="O5" s="18" t="n">
        <v>116125.93</v>
      </c>
      <c r="P5" s="37" t="n">
        <v>116125.93</v>
      </c>
      <c r="Q5" s="18" t="n">
        <v>116561.02</v>
      </c>
      <c r="R5" s="18" t="n">
        <v>102260.02</v>
      </c>
      <c r="S5" s="18" t="n">
        <v>94306.94</v>
      </c>
      <c r="T5" s="18" t="n">
        <v>121188.79</v>
      </c>
      <c r="U5" s="37" t="n">
        <v>121188.79</v>
      </c>
      <c r="V5" s="18" t="n">
        <v>125019.68</v>
      </c>
      <c r="W5" s="18" t="n">
        <v>103412.85</v>
      </c>
      <c r="X5" s="18" t="n">
        <v>93039.85000000001</v>
      </c>
      <c r="Y5" s="18" t="n">
        <v>125390.94</v>
      </c>
      <c r="Z5" s="37" t="n">
        <v>125390.94</v>
      </c>
      <c r="AA5" s="18" t="n">
        <v>106625.72</v>
      </c>
      <c r="AB5" s="19" t="n">
        <v>101540.62</v>
      </c>
      <c r="AC5" s="10" t="n"/>
      <c r="AD5" s="10" t="n"/>
      <c r="AE5" s="11" t="n"/>
      <c r="AF5" s="10" t="n"/>
      <c r="AG5" s="10" t="n"/>
      <c r="AH5" s="10" t="n"/>
      <c r="AI5" s="10" t="n"/>
      <c r="AJ5" s="11" t="n"/>
      <c r="AK5" s="10" t="n"/>
      <c r="AL5" s="10" t="n"/>
      <c r="AM5" s="10" t="n"/>
      <c r="AN5" s="10" t="n"/>
      <c r="AO5" s="11" t="n"/>
    </row>
    <row r="6">
      <c r="A6" t="n">
        <v>1</v>
      </c>
      <c r="C6" t="inlineStr">
        <is>
          <t>현금및현금성자산</t>
        </is>
      </c>
      <c r="E6" s="18" t="n">
        <v>9012.41</v>
      </c>
      <c r="F6" s="37" t="n">
        <v>9012.41</v>
      </c>
      <c r="G6" s="18" t="n">
        <v>7661.12</v>
      </c>
      <c r="H6" s="18" t="n">
        <v>8231.799999999999</v>
      </c>
      <c r="I6" s="18" t="n">
        <v>7927.58</v>
      </c>
      <c r="J6" s="18" t="n">
        <v>12730.14</v>
      </c>
      <c r="K6" s="37" t="n">
        <v>12730.14</v>
      </c>
      <c r="L6" s="18" t="n">
        <v>8333.639999999999</v>
      </c>
      <c r="M6" s="18" t="n">
        <v>4624.41</v>
      </c>
      <c r="N6" s="18" t="n">
        <v>15462.02</v>
      </c>
      <c r="O6" s="18" t="n">
        <v>7469.18</v>
      </c>
      <c r="P6" s="37" t="n">
        <v>7469.18</v>
      </c>
      <c r="Q6" s="18" t="n">
        <v>6303.31</v>
      </c>
      <c r="R6" s="18" t="n">
        <v>8380.68</v>
      </c>
      <c r="S6" s="18" t="n">
        <v>3394.05</v>
      </c>
      <c r="T6" s="18" t="n">
        <v>6652.09</v>
      </c>
      <c r="U6" s="37" t="n">
        <v>6652.09</v>
      </c>
      <c r="V6" s="18" t="n">
        <v>8682.08</v>
      </c>
      <c r="W6" s="18" t="n">
        <v>20047.95</v>
      </c>
      <c r="X6" s="18" t="n">
        <v>14833.48</v>
      </c>
      <c r="Y6" s="18" t="n">
        <v>49685.02</v>
      </c>
      <c r="Z6" s="37" t="n">
        <v>49685.02</v>
      </c>
      <c r="AA6" s="18" t="n">
        <v>24011.79</v>
      </c>
      <c r="AB6" s="19" t="n">
        <v>21932.5</v>
      </c>
      <c r="AC6" s="10" t="n"/>
      <c r="AD6" s="10" t="n"/>
      <c r="AE6" s="11" t="n"/>
      <c r="AF6" s="10" t="n"/>
      <c r="AG6" s="10" t="n"/>
      <c r="AH6" s="10" t="n"/>
      <c r="AI6" s="10" t="n"/>
      <c r="AJ6" s="11" t="n"/>
      <c r="AK6" s="10" t="n"/>
      <c r="AL6" s="10" t="n"/>
      <c r="AM6" s="10" t="n"/>
      <c r="AN6" s="10" t="n"/>
      <c r="AO6" s="11" t="n"/>
    </row>
    <row r="7">
      <c r="A7" t="n">
        <v>1</v>
      </c>
      <c r="C7" t="inlineStr">
        <is>
          <t>단기금융상품</t>
        </is>
      </c>
      <c r="E7" s="18" t="n">
        <v>1440</v>
      </c>
      <c r="F7" s="37" t="n">
        <v>1440</v>
      </c>
      <c r="G7" s="18" t="n">
        <v>1440</v>
      </c>
      <c r="H7" s="18" t="n">
        <v>1440</v>
      </c>
      <c r="I7" s="18" t="n">
        <v>1300</v>
      </c>
      <c r="J7" s="18" t="n">
        <v>1762.72</v>
      </c>
      <c r="K7" s="37" t="n">
        <v>1762.72</v>
      </c>
      <c r="L7" s="18" t="n">
        <v>1454.19</v>
      </c>
      <c r="M7" s="18" t="n">
        <v>19300</v>
      </c>
      <c r="N7" s="18" t="n">
        <v>19300</v>
      </c>
      <c r="O7" s="18" t="n">
        <v>22821.54</v>
      </c>
      <c r="P7" s="37" t="n">
        <v>22821.54</v>
      </c>
      <c r="Q7" s="18" t="n">
        <v>4147.25</v>
      </c>
      <c r="R7" s="18" t="n">
        <v>4147.67</v>
      </c>
      <c r="S7" s="18" t="n">
        <v>4148.1</v>
      </c>
      <c r="T7" s="18" t="n">
        <v>7298.49</v>
      </c>
      <c r="U7" s="37" t="n">
        <v>7298.49</v>
      </c>
      <c r="V7" s="18" t="n">
        <v>6279.87</v>
      </c>
      <c r="W7" s="18" t="n">
        <v>4250</v>
      </c>
      <c r="X7" s="18" t="n">
        <v>4250</v>
      </c>
      <c r="Y7" s="18" t="n">
        <v>4250</v>
      </c>
      <c r="Z7" s="37" t="n">
        <v>4250</v>
      </c>
      <c r="AA7" s="18" t="n">
        <v>1300</v>
      </c>
      <c r="AB7" s="19" t="n">
        <v>1300</v>
      </c>
      <c r="AC7" s="10" t="n"/>
      <c r="AD7" s="10" t="n"/>
      <c r="AE7" s="11" t="n"/>
      <c r="AF7" s="10" t="n"/>
      <c r="AG7" s="10" t="n"/>
      <c r="AH7" s="10" t="n"/>
      <c r="AI7" s="10" t="n"/>
      <c r="AJ7" s="11" t="n"/>
      <c r="AK7" s="10" t="n"/>
      <c r="AL7" s="10" t="n"/>
      <c r="AM7" s="10" t="n"/>
      <c r="AN7" s="10" t="n"/>
      <c r="AO7" s="11" t="n"/>
    </row>
    <row r="8">
      <c r="A8" t="n">
        <v>1</v>
      </c>
      <c r="C8" t="inlineStr">
        <is>
          <t>단기금융자산</t>
        </is>
      </c>
      <c r="E8" s="18" t="n">
        <v>1440</v>
      </c>
      <c r="F8" s="37" t="n">
        <v>1440</v>
      </c>
      <c r="G8" s="18" t="n">
        <v>1440</v>
      </c>
      <c r="H8" s="18" t="n">
        <v>1440</v>
      </c>
      <c r="I8" s="18" t="n">
        <v>1300</v>
      </c>
      <c r="J8" s="18" t="n">
        <v>1762.72</v>
      </c>
      <c r="K8" s="37" t="n">
        <v>1762.72</v>
      </c>
      <c r="L8" s="18" t="n">
        <v>1454.19</v>
      </c>
      <c r="M8" s="18" t="n">
        <v>19300</v>
      </c>
      <c r="N8" s="18" t="n">
        <v>19300</v>
      </c>
      <c r="O8" s="18" t="n">
        <v>22821.54</v>
      </c>
      <c r="P8" s="37" t="n">
        <v>22821.54</v>
      </c>
      <c r="Q8" s="18" t="n">
        <v>4147.25</v>
      </c>
      <c r="R8" s="18" t="n">
        <v>4147.67</v>
      </c>
      <c r="S8" s="18" t="n">
        <v>4148.1</v>
      </c>
      <c r="T8" s="18" t="n">
        <v>7298.49</v>
      </c>
      <c r="U8" s="37" t="n">
        <v>7298.49</v>
      </c>
      <c r="V8" s="18" t="n">
        <v>6279.87</v>
      </c>
      <c r="W8" s="18" t="n">
        <v>4250</v>
      </c>
      <c r="X8" s="18" t="n">
        <v>4250</v>
      </c>
      <c r="Y8" s="18" t="n">
        <v>4250</v>
      </c>
      <c r="Z8" s="37" t="n">
        <v>4250</v>
      </c>
      <c r="AA8" s="18" t="n">
        <v>1300</v>
      </c>
      <c r="AB8" s="19" t="n">
        <v>1300</v>
      </c>
      <c r="AC8" s="10" t="n"/>
      <c r="AD8" s="10" t="n"/>
      <c r="AE8" s="11" t="n"/>
      <c r="AF8" s="10" t="n"/>
      <c r="AG8" s="10" t="n"/>
      <c r="AH8" s="10" t="n"/>
      <c r="AI8" s="10" t="n"/>
      <c r="AJ8" s="11" t="n"/>
      <c r="AK8" s="10" t="n"/>
      <c r="AL8" s="10" t="n"/>
      <c r="AM8" s="10" t="n"/>
      <c r="AN8" s="10" t="n"/>
      <c r="AO8" s="11" t="n"/>
    </row>
    <row r="9">
      <c r="A9" t="n">
        <v>1</v>
      </c>
      <c r="C9" t="inlineStr">
        <is>
          <t>매출채권및기타채권</t>
        </is>
      </c>
      <c r="E9" s="18" t="n">
        <v>7759.32</v>
      </c>
      <c r="F9" s="37" t="n">
        <v>7759.32</v>
      </c>
      <c r="G9" s="18" t="n">
        <v>10581.37</v>
      </c>
      <c r="H9" s="18" t="n">
        <v>14016.6</v>
      </c>
      <c r="I9" s="18" t="n">
        <v>13517.74</v>
      </c>
      <c r="J9" s="18" t="n">
        <v>11816.19</v>
      </c>
      <c r="K9" s="37" t="n">
        <v>11816.19</v>
      </c>
      <c r="L9" s="18" t="n">
        <v>10680.43</v>
      </c>
      <c r="M9" s="18" t="n">
        <v>7180.08</v>
      </c>
      <c r="N9" s="18" t="n">
        <v>8689</v>
      </c>
      <c r="O9" s="18" t="n">
        <v>8568.98</v>
      </c>
      <c r="P9" s="37" t="n">
        <v>8568.98</v>
      </c>
      <c r="Q9" s="18" t="n">
        <v>10080.51</v>
      </c>
      <c r="R9" s="18" t="n">
        <v>11573.03</v>
      </c>
      <c r="S9" s="18" t="n">
        <v>9406.84</v>
      </c>
      <c r="T9" s="18" t="n">
        <v>16629.51</v>
      </c>
      <c r="U9" s="37" t="n">
        <v>16629.51</v>
      </c>
      <c r="V9" s="18" t="n">
        <v>16022.89</v>
      </c>
      <c r="W9" s="18" t="n">
        <v>17769.97</v>
      </c>
      <c r="X9" s="18" t="n">
        <v>17178.48</v>
      </c>
      <c r="Y9" s="18" t="n">
        <v>20986.88</v>
      </c>
      <c r="Z9" s="37" t="n">
        <v>20986.88</v>
      </c>
      <c r="AA9" s="18" t="n">
        <v>23850.93</v>
      </c>
      <c r="AB9" s="19" t="n">
        <v>22959.6</v>
      </c>
      <c r="AC9" s="10" t="n"/>
      <c r="AD9" s="10" t="n"/>
      <c r="AE9" s="11" t="n"/>
      <c r="AF9" s="10" t="n"/>
      <c r="AG9" s="10" t="n"/>
      <c r="AH9" s="10" t="n"/>
      <c r="AI9" s="10" t="n"/>
      <c r="AJ9" s="11" t="n"/>
      <c r="AK9" s="10" t="n"/>
      <c r="AL9" s="10" t="n"/>
      <c r="AM9" s="10" t="n"/>
      <c r="AN9" s="10" t="n"/>
      <c r="AO9" s="11" t="n"/>
    </row>
    <row r="10">
      <c r="A10" t="n">
        <v>1</v>
      </c>
      <c r="C10" t="inlineStr">
        <is>
          <t>재고자산</t>
        </is>
      </c>
      <c r="E10" s="18" t="n">
        <v>13685.51</v>
      </c>
      <c r="F10" s="37" t="n">
        <v>13685.51</v>
      </c>
      <c r="G10" s="18" t="n">
        <v>16745.6</v>
      </c>
      <c r="H10" s="18" t="n">
        <v>20546.79</v>
      </c>
      <c r="I10" s="18" t="n">
        <v>19996.9</v>
      </c>
      <c r="J10" s="18" t="n">
        <v>18545.75</v>
      </c>
      <c r="K10" s="37" t="n">
        <v>18545.75</v>
      </c>
      <c r="L10" s="18" t="n">
        <v>20217.89</v>
      </c>
      <c r="M10" s="18" t="n">
        <v>21409.47</v>
      </c>
      <c r="N10" s="18" t="n">
        <v>22569.35</v>
      </c>
      <c r="O10" s="18" t="n">
        <v>23545.04</v>
      </c>
      <c r="P10" s="37" t="n">
        <v>23545.04</v>
      </c>
      <c r="Q10" s="18" t="n">
        <v>22285.43</v>
      </c>
      <c r="R10" s="18" t="n">
        <v>19832.84</v>
      </c>
      <c r="S10" s="18" t="n">
        <v>22001.45</v>
      </c>
      <c r="T10" s="18" t="n">
        <v>23081.5</v>
      </c>
      <c r="U10" s="37" t="n">
        <v>23081.5</v>
      </c>
      <c r="V10" s="18" t="n">
        <v>27241.31</v>
      </c>
      <c r="W10" s="18" t="n">
        <v>27538.38</v>
      </c>
      <c r="X10" s="18" t="n">
        <v>29764.1</v>
      </c>
      <c r="Y10" s="18" t="n">
        <v>29107.59</v>
      </c>
      <c r="Z10" s="37" t="n">
        <v>29107.59</v>
      </c>
      <c r="AA10" s="18" t="n">
        <v>32742.08</v>
      </c>
      <c r="AB10" s="19" t="n">
        <v>37287.53</v>
      </c>
      <c r="AC10" s="10" t="n"/>
      <c r="AD10" s="10" t="n"/>
      <c r="AE10" s="11" t="n"/>
      <c r="AF10" s="10" t="n"/>
      <c r="AG10" s="10" t="n"/>
      <c r="AH10" s="10" t="n"/>
      <c r="AI10" s="10" t="n"/>
      <c r="AJ10" s="11" t="n"/>
      <c r="AK10" s="10" t="n"/>
      <c r="AL10" s="10" t="n"/>
      <c r="AM10" s="10" t="n"/>
      <c r="AN10" s="10" t="n"/>
      <c r="AO10" s="11" t="n"/>
    </row>
    <row r="11">
      <c r="A11" t="n">
        <v>1</v>
      </c>
      <c r="C11" t="inlineStr">
        <is>
          <t>당기법인세자산(선급법인세)</t>
        </is>
      </c>
      <c r="E11" s="18" t="n">
        <v>118.78</v>
      </c>
      <c r="F11" s="37" t="n">
        <v>118.78</v>
      </c>
      <c r="G11" s="18" t="n">
        <v>118.78</v>
      </c>
      <c r="K11" s="9" t="n"/>
      <c r="P11" s="9" t="n"/>
      <c r="U11" s="9" t="n"/>
      <c r="Z11" s="9" t="n"/>
      <c r="AB11" s="5" t="n"/>
      <c r="AC11" s="10" t="n"/>
      <c r="AD11" s="10" t="n"/>
      <c r="AE11" s="11" t="n"/>
      <c r="AF11" s="10" t="n"/>
      <c r="AG11" s="10" t="n"/>
      <c r="AH11" s="10" t="n"/>
      <c r="AI11" s="10" t="n"/>
      <c r="AJ11" s="11" t="n"/>
      <c r="AK11" s="10" t="n"/>
      <c r="AL11" s="10" t="n"/>
      <c r="AM11" s="10" t="n"/>
      <c r="AN11" s="10" t="n"/>
      <c r="AO11" s="11" t="n"/>
    </row>
    <row r="12">
      <c r="A12" t="n">
        <v>1</v>
      </c>
      <c r="C12" t="inlineStr">
        <is>
          <t>기타유동자산</t>
        </is>
      </c>
      <c r="E12" s="18" t="n">
        <v>2911.78</v>
      </c>
      <c r="F12" s="37" t="n">
        <v>2911.78</v>
      </c>
      <c r="G12" s="18" t="n">
        <v>8485.52</v>
      </c>
      <c r="H12" s="18" t="n">
        <v>8972.16</v>
      </c>
      <c r="I12" s="18" t="n">
        <v>8734.030000000001</v>
      </c>
      <c r="J12" s="18" t="n">
        <v>3850.69</v>
      </c>
      <c r="K12" s="37" t="n">
        <v>3850.69</v>
      </c>
      <c r="L12" s="18" t="n">
        <v>4121.17</v>
      </c>
      <c r="M12" s="18" t="n">
        <v>6728.8</v>
      </c>
      <c r="N12" s="18" t="n">
        <v>8006.39</v>
      </c>
      <c r="O12" s="18" t="n">
        <v>7075.94</v>
      </c>
      <c r="P12" s="37" t="n">
        <v>7075.94</v>
      </c>
      <c r="Q12" s="18" t="n">
        <v>19974.19</v>
      </c>
      <c r="R12" s="18" t="n">
        <v>11131.56</v>
      </c>
      <c r="S12" s="18" t="n">
        <v>11410.4</v>
      </c>
      <c r="T12" s="18" t="n">
        <v>10123.43</v>
      </c>
      <c r="U12" s="37" t="n">
        <v>10123.43</v>
      </c>
      <c r="V12" s="18" t="n">
        <v>11416.09</v>
      </c>
      <c r="W12" s="18" t="n">
        <v>9210.940000000001</v>
      </c>
      <c r="X12" s="18" t="n">
        <v>10090.34</v>
      </c>
      <c r="Y12" s="18" t="n">
        <v>9355.83</v>
      </c>
      <c r="Z12" s="37" t="n">
        <v>9355.83</v>
      </c>
      <c r="AA12" s="18" t="n">
        <v>13125.77</v>
      </c>
      <c r="AB12" s="19" t="n">
        <v>10983.6</v>
      </c>
      <c r="AC12" s="10" t="n"/>
      <c r="AD12" s="10" t="n"/>
      <c r="AE12" s="11" t="n"/>
      <c r="AF12" s="10" t="n"/>
      <c r="AG12" s="10" t="n"/>
      <c r="AH12" s="10" t="n"/>
      <c r="AI12" s="10" t="n"/>
      <c r="AJ12" s="11" t="n"/>
      <c r="AK12" s="10" t="n"/>
      <c r="AL12" s="10" t="n"/>
      <c r="AM12" s="10" t="n"/>
      <c r="AN12" s="10" t="n"/>
      <c r="AO12" s="11" t="n"/>
    </row>
    <row r="13">
      <c r="A13" t="n">
        <v>1</v>
      </c>
      <c r="C13" t="inlineStr">
        <is>
          <t>비유동자산</t>
        </is>
      </c>
      <c r="E13" s="18" t="n">
        <v>120253.04</v>
      </c>
      <c r="F13" s="37" t="n">
        <v>120253.04</v>
      </c>
      <c r="G13" s="18" t="n">
        <v>121134.07</v>
      </c>
      <c r="H13" s="18" t="n">
        <v>121374.26</v>
      </c>
      <c r="I13" s="18" t="n">
        <v>118432.17</v>
      </c>
      <c r="J13" s="18" t="n">
        <v>120410.93</v>
      </c>
      <c r="K13" s="37" t="n">
        <v>120410.93</v>
      </c>
      <c r="L13" s="18" t="n">
        <v>119820.74</v>
      </c>
      <c r="M13" s="18" t="n">
        <v>95029.72</v>
      </c>
      <c r="N13" s="18" t="n">
        <v>108649.41</v>
      </c>
      <c r="O13" s="18" t="n">
        <v>103801.96</v>
      </c>
      <c r="P13" s="37" t="n">
        <v>103801.96</v>
      </c>
      <c r="Q13" s="18" t="n">
        <v>102224.87</v>
      </c>
      <c r="R13" s="18" t="n">
        <v>111998.54</v>
      </c>
      <c r="S13" s="18" t="n">
        <v>108378.65</v>
      </c>
      <c r="T13" s="18" t="n">
        <v>84107.22</v>
      </c>
      <c r="U13" s="37" t="n">
        <v>84107.22</v>
      </c>
      <c r="V13" s="18" t="n">
        <v>90666.14999999999</v>
      </c>
      <c r="W13" s="18" t="n">
        <v>114151.91</v>
      </c>
      <c r="X13" s="18" t="n">
        <v>133547.76</v>
      </c>
      <c r="Y13" s="18" t="n">
        <v>111886.73</v>
      </c>
      <c r="Z13" s="37" t="n">
        <v>111886.73</v>
      </c>
      <c r="AA13" s="18" t="n">
        <v>190630</v>
      </c>
      <c r="AB13" s="19" t="n">
        <v>190103.31</v>
      </c>
      <c r="AC13" s="10" t="n"/>
      <c r="AD13" s="10" t="n"/>
      <c r="AE13" s="11" t="n"/>
      <c r="AF13" s="10" t="n"/>
      <c r="AG13" s="10" t="n"/>
      <c r="AH13" s="10" t="n"/>
      <c r="AI13" s="10" t="n"/>
      <c r="AJ13" s="11" t="n"/>
      <c r="AK13" s="10" t="n"/>
      <c r="AL13" s="10" t="n"/>
      <c r="AM13" s="10" t="n"/>
      <c r="AN13" s="10" t="n"/>
      <c r="AO13" s="11" t="n"/>
    </row>
    <row r="14">
      <c r="A14" t="n">
        <v>1</v>
      </c>
      <c r="C14" t="inlineStr">
        <is>
          <t>장기금융자산</t>
        </is>
      </c>
      <c r="E14" s="18" t="n">
        <v>675.96</v>
      </c>
      <c r="F14" s="37" t="n">
        <v>675.96</v>
      </c>
      <c r="G14" s="18" t="n">
        <v>642.09</v>
      </c>
      <c r="H14" s="18" t="n">
        <v>819.9</v>
      </c>
      <c r="I14" s="18" t="n">
        <v>896.13</v>
      </c>
      <c r="K14" s="9" t="n"/>
      <c r="N14" s="18" t="n">
        <v>38811.9</v>
      </c>
      <c r="O14" s="18" t="n">
        <v>36365.35</v>
      </c>
      <c r="P14" s="37" t="n">
        <v>36365.35</v>
      </c>
      <c r="Q14" s="18" t="n">
        <v>34756.86</v>
      </c>
      <c r="R14" s="18" t="n">
        <v>34563.74</v>
      </c>
      <c r="S14" s="18" t="n">
        <v>30365.43</v>
      </c>
      <c r="T14" s="18" t="n">
        <v>4000.38</v>
      </c>
      <c r="U14" s="37" t="n">
        <v>4000.38</v>
      </c>
      <c r="V14" s="18" t="n">
        <v>10212.05</v>
      </c>
      <c r="W14" s="18" t="n">
        <v>34034.66</v>
      </c>
      <c r="X14" s="18" t="n">
        <v>54750.06</v>
      </c>
      <c r="Y14" s="18" t="n">
        <v>20797.37</v>
      </c>
      <c r="Z14" s="37" t="n">
        <v>20797.37</v>
      </c>
      <c r="AA14" s="18" t="n">
        <v>2713.55</v>
      </c>
      <c r="AB14" s="19" t="n">
        <v>1521.44</v>
      </c>
      <c r="AC14" s="10" t="n"/>
      <c r="AD14" s="10" t="n"/>
      <c r="AE14" s="11" t="n"/>
      <c r="AF14" s="10" t="n"/>
      <c r="AG14" s="10" t="n"/>
      <c r="AH14" s="10" t="n"/>
      <c r="AI14" s="10" t="n"/>
      <c r="AJ14" s="11" t="n"/>
      <c r="AK14" s="10" t="n"/>
      <c r="AL14" s="10" t="n"/>
      <c r="AM14" s="10" t="n"/>
      <c r="AN14" s="10" t="n"/>
      <c r="AO14" s="11" t="n"/>
    </row>
    <row r="15">
      <c r="A15" t="n">
        <v>1</v>
      </c>
      <c r="C15" t="inlineStr">
        <is>
          <t>투자자산</t>
        </is>
      </c>
      <c r="E15" s="18" t="n">
        <v>7697.52</v>
      </c>
      <c r="F15" s="37" t="n">
        <v>7697.52</v>
      </c>
      <c r="G15" s="18" t="n">
        <v>7663.65</v>
      </c>
      <c r="H15" s="18" t="n">
        <v>7841.46</v>
      </c>
      <c r="I15" s="18" t="n">
        <v>7917.69</v>
      </c>
      <c r="J15" s="18" t="n">
        <v>6205.02</v>
      </c>
      <c r="K15" s="37" t="n">
        <v>6205.02</v>
      </c>
      <c r="L15" s="18" t="n">
        <v>6205.02</v>
      </c>
      <c r="M15" s="18" t="n">
        <v>6205.02</v>
      </c>
      <c r="N15" s="18" t="n">
        <v>45016.92</v>
      </c>
      <c r="O15" s="18" t="n">
        <v>40678.79</v>
      </c>
      <c r="P15" s="37" t="n">
        <v>40678.79</v>
      </c>
      <c r="Q15" s="18" t="n">
        <v>39070.3</v>
      </c>
      <c r="R15" s="18" t="n">
        <v>38877.18</v>
      </c>
      <c r="S15" s="18" t="n">
        <v>34678.87</v>
      </c>
      <c r="T15" s="18" t="n">
        <v>8313.82</v>
      </c>
      <c r="U15" s="37" t="n">
        <v>8313.82</v>
      </c>
      <c r="V15" s="18" t="n">
        <v>14525.49</v>
      </c>
      <c r="W15" s="18" t="n">
        <v>38348.1</v>
      </c>
      <c r="X15" s="18" t="n">
        <v>59063.5</v>
      </c>
      <c r="Y15" s="18" t="n">
        <v>25110.81</v>
      </c>
      <c r="Z15" s="37" t="n">
        <v>25110.81</v>
      </c>
      <c r="AA15" s="18" t="n">
        <v>7026.99</v>
      </c>
      <c r="AB15" s="19" t="n">
        <v>5834.88</v>
      </c>
      <c r="AC15" s="10" t="n"/>
      <c r="AD15" s="10" t="n"/>
      <c r="AE15" s="11" t="n"/>
      <c r="AF15" s="10" t="n"/>
      <c r="AG15" s="10" t="n"/>
      <c r="AH15" s="10" t="n"/>
      <c r="AI15" s="10" t="n"/>
      <c r="AJ15" s="11" t="n"/>
      <c r="AK15" s="10" t="n"/>
      <c r="AL15" s="10" t="n"/>
      <c r="AM15" s="10" t="n"/>
      <c r="AN15" s="10" t="n"/>
      <c r="AO15" s="11" t="n"/>
    </row>
    <row r="16">
      <c r="A16" t="n">
        <v>1</v>
      </c>
      <c r="C16" t="inlineStr">
        <is>
          <t>장기매출채권및기타채권</t>
        </is>
      </c>
      <c r="E16" s="18" t="n">
        <v>37.63</v>
      </c>
      <c r="F16" s="37" t="n">
        <v>37.63</v>
      </c>
      <c r="G16" s="18" t="n">
        <v>37.63</v>
      </c>
      <c r="H16" s="18" t="n">
        <v>47.63</v>
      </c>
      <c r="I16" s="18" t="n">
        <v>47.63</v>
      </c>
      <c r="J16" s="18" t="n">
        <v>47.63</v>
      </c>
      <c r="K16" s="37" t="n">
        <v>47.63</v>
      </c>
      <c r="L16" s="18" t="n">
        <v>47.63</v>
      </c>
      <c r="M16" s="18" t="n">
        <v>47.63</v>
      </c>
      <c r="N16" s="18" t="n">
        <v>127.28</v>
      </c>
      <c r="O16" s="18" t="n">
        <v>128.6</v>
      </c>
      <c r="P16" s="37" t="n">
        <v>128.6</v>
      </c>
      <c r="Q16" s="18" t="n">
        <v>128.6</v>
      </c>
      <c r="R16" s="18" t="n">
        <v>128.6</v>
      </c>
      <c r="S16" s="18" t="n">
        <v>128.6</v>
      </c>
      <c r="T16" s="18" t="n">
        <v>178.6</v>
      </c>
      <c r="U16" s="37" t="n">
        <v>178.6</v>
      </c>
      <c r="V16" s="18" t="n">
        <v>178.6</v>
      </c>
      <c r="W16" s="18" t="n">
        <v>178.6</v>
      </c>
      <c r="X16" s="18" t="n">
        <v>178.6</v>
      </c>
      <c r="Y16" s="18" t="n">
        <v>168.6</v>
      </c>
      <c r="Z16" s="37" t="n">
        <v>168.6</v>
      </c>
      <c r="AA16" s="18" t="n">
        <v>168.9</v>
      </c>
      <c r="AB16" s="19" t="n">
        <v>179.1</v>
      </c>
      <c r="AC16" s="10" t="n"/>
      <c r="AD16" s="10" t="n"/>
      <c r="AE16" s="11" t="n"/>
      <c r="AF16" s="10" t="n"/>
      <c r="AG16" s="10" t="n"/>
      <c r="AH16" s="10" t="n"/>
      <c r="AI16" s="10" t="n"/>
      <c r="AJ16" s="11" t="n"/>
      <c r="AK16" s="10" t="n"/>
      <c r="AL16" s="10" t="n"/>
      <c r="AM16" s="10" t="n"/>
      <c r="AN16" s="10" t="n"/>
      <c r="AO16" s="11" t="n"/>
    </row>
    <row r="17">
      <c r="A17" t="n">
        <v>1</v>
      </c>
      <c r="C17" t="inlineStr">
        <is>
          <t>유형자산</t>
        </is>
      </c>
      <c r="E17" s="18" t="n">
        <v>77097.73</v>
      </c>
      <c r="F17" s="37" t="n">
        <v>77097.73</v>
      </c>
      <c r="G17" s="18" t="n">
        <v>77498.25</v>
      </c>
      <c r="H17" s="18" t="n">
        <v>77304.75</v>
      </c>
      <c r="I17" s="18" t="n">
        <v>77847.98</v>
      </c>
      <c r="J17" s="18" t="n">
        <v>78732.25999999999</v>
      </c>
      <c r="K17" s="37" t="n">
        <v>78732.25999999999</v>
      </c>
      <c r="L17" s="18" t="n">
        <v>78978.96000000001</v>
      </c>
      <c r="M17" s="18" t="n">
        <v>51869.13</v>
      </c>
      <c r="N17" s="18" t="n">
        <v>51453.37</v>
      </c>
      <c r="O17" s="18" t="n">
        <v>50926.79</v>
      </c>
      <c r="P17" s="37" t="n">
        <v>50926.79</v>
      </c>
      <c r="Q17" s="18" t="n">
        <v>51100.53</v>
      </c>
      <c r="R17" s="18" t="n">
        <v>60723.05</v>
      </c>
      <c r="S17" s="18" t="n">
        <v>61236.27</v>
      </c>
      <c r="T17" s="18" t="n">
        <v>62001.37</v>
      </c>
      <c r="U17" s="37" t="n">
        <v>62001.37</v>
      </c>
      <c r="V17" s="18" t="n">
        <v>62388.9</v>
      </c>
      <c r="W17" s="18" t="n">
        <v>61973.3</v>
      </c>
      <c r="X17" s="18" t="n">
        <v>61828.58</v>
      </c>
      <c r="Y17" s="18" t="n">
        <v>69308.33</v>
      </c>
      <c r="Z17" s="37" t="n">
        <v>69308.33</v>
      </c>
      <c r="AA17" s="18" t="n">
        <v>166142.36</v>
      </c>
      <c r="AB17" s="19" t="n">
        <v>166330.33</v>
      </c>
      <c r="AC17" s="10" t="n"/>
      <c r="AD17" s="10" t="n"/>
      <c r="AE17" s="11" t="n"/>
      <c r="AF17" s="10" t="n"/>
      <c r="AG17" s="10" t="n"/>
      <c r="AH17" s="10" t="n"/>
      <c r="AI17" s="10" t="n"/>
      <c r="AJ17" s="11" t="n"/>
      <c r="AK17" s="10" t="n"/>
      <c r="AL17" s="10" t="n"/>
      <c r="AM17" s="10" t="n"/>
      <c r="AN17" s="10" t="n"/>
      <c r="AO17" s="11" t="n"/>
    </row>
    <row r="18">
      <c r="A18" t="n">
        <v>1</v>
      </c>
      <c r="C18" t="inlineStr">
        <is>
          <t>투자부동산</t>
        </is>
      </c>
      <c r="E18" s="18" t="n">
        <v>19974.42</v>
      </c>
      <c r="F18" s="37" t="n">
        <v>19974.42</v>
      </c>
      <c r="G18" s="18" t="n">
        <v>19951.54</v>
      </c>
      <c r="H18" s="18" t="n">
        <v>19928.65</v>
      </c>
      <c r="I18" s="18" t="n">
        <v>19905.76</v>
      </c>
      <c r="J18" s="18" t="n">
        <v>19882.87</v>
      </c>
      <c r="K18" s="37" t="n">
        <v>19882.87</v>
      </c>
      <c r="L18" s="18" t="n">
        <v>19859.99</v>
      </c>
      <c r="M18" s="18" t="n">
        <v>9090.18</v>
      </c>
      <c r="N18" s="18" t="n">
        <v>9067.299999999999</v>
      </c>
      <c r="O18" s="18" t="n">
        <v>9044.41</v>
      </c>
      <c r="P18" s="37" t="n">
        <v>9044.41</v>
      </c>
      <c r="Q18" s="18" t="n">
        <v>9021.52</v>
      </c>
      <c r="R18" s="18" t="n">
        <v>8998.629999999999</v>
      </c>
      <c r="S18" s="18" t="n">
        <v>8975.75</v>
      </c>
      <c r="T18" s="18" t="n">
        <v>8952.860000000001</v>
      </c>
      <c r="U18" s="37" t="n">
        <v>8952.860000000001</v>
      </c>
      <c r="V18" s="18" t="n">
        <v>8929.969999999999</v>
      </c>
      <c r="W18" s="18" t="n">
        <v>8907.08</v>
      </c>
      <c r="X18" s="18" t="n">
        <v>8884.200000000001</v>
      </c>
      <c r="Y18" s="18" t="n">
        <v>12147.01</v>
      </c>
      <c r="Z18" s="37" t="n">
        <v>12147.01</v>
      </c>
      <c r="AA18" s="18" t="n">
        <v>12115.11</v>
      </c>
      <c r="AB18" s="19" t="n">
        <v>12083.21</v>
      </c>
      <c r="AC18" s="10" t="n"/>
      <c r="AD18" s="10" t="n"/>
      <c r="AE18" s="11" t="n"/>
      <c r="AF18" s="10" t="n"/>
      <c r="AG18" s="10" t="n"/>
      <c r="AH18" s="10" t="n"/>
      <c r="AI18" s="10" t="n"/>
      <c r="AJ18" s="11" t="n"/>
      <c r="AK18" s="10" t="n"/>
      <c r="AL18" s="10" t="n"/>
      <c r="AM18" s="10" t="n"/>
      <c r="AN18" s="10" t="n"/>
      <c r="AO18" s="11" t="n"/>
    </row>
    <row r="19">
      <c r="A19" t="n">
        <v>1</v>
      </c>
      <c r="C19" t="inlineStr">
        <is>
          <t>무형자산</t>
        </is>
      </c>
      <c r="E19" s="18" t="n">
        <v>632.21</v>
      </c>
      <c r="F19" s="37" t="n">
        <v>632.21</v>
      </c>
      <c r="G19" s="18" t="n">
        <v>669.4299999999999</v>
      </c>
      <c r="H19" s="18" t="n">
        <v>1053.21</v>
      </c>
      <c r="I19" s="18" t="n">
        <v>1028.5</v>
      </c>
      <c r="J19" s="18" t="n">
        <v>1012.45</v>
      </c>
      <c r="K19" s="37" t="n">
        <v>1012.45</v>
      </c>
      <c r="L19" s="18" t="n">
        <v>974.98</v>
      </c>
      <c r="M19" s="18" t="n">
        <v>939.88</v>
      </c>
      <c r="N19" s="18" t="n">
        <v>902.74</v>
      </c>
      <c r="O19" s="18" t="n">
        <v>885.9299999999999</v>
      </c>
      <c r="P19" s="37" t="n">
        <v>885.9299999999999</v>
      </c>
      <c r="Q19" s="18" t="n">
        <v>873.4400000000001</v>
      </c>
      <c r="R19" s="18" t="n">
        <v>911</v>
      </c>
      <c r="S19" s="18" t="n">
        <v>868.0599999999999</v>
      </c>
      <c r="T19" s="18" t="n">
        <v>857.6900000000001</v>
      </c>
      <c r="U19" s="37" t="n">
        <v>857.6900000000001</v>
      </c>
      <c r="V19" s="18" t="n">
        <v>825.5</v>
      </c>
      <c r="W19" s="18" t="n">
        <v>887.35</v>
      </c>
      <c r="X19" s="18" t="n">
        <v>857.41</v>
      </c>
      <c r="Y19" s="18" t="n">
        <v>880.29</v>
      </c>
      <c r="Z19" s="37" t="n">
        <v>880.29</v>
      </c>
      <c r="AA19" s="18" t="n">
        <v>859.85</v>
      </c>
      <c r="AB19" s="19" t="n">
        <v>898.9299999999999</v>
      </c>
      <c r="AC19" s="10" t="n"/>
      <c r="AD19" s="10" t="n"/>
      <c r="AE19" s="11" t="n"/>
      <c r="AF19" s="10" t="n"/>
      <c r="AG19" s="10" t="n"/>
      <c r="AH19" s="10" t="n"/>
      <c r="AI19" s="10" t="n"/>
      <c r="AJ19" s="11" t="n"/>
      <c r="AK19" s="10" t="n"/>
      <c r="AL19" s="10" t="n"/>
      <c r="AM19" s="10" t="n"/>
      <c r="AN19" s="10" t="n"/>
      <c r="AO19" s="11" t="n"/>
    </row>
    <row r="20">
      <c r="A20" t="n">
        <v>1</v>
      </c>
      <c r="C20" t="inlineStr">
        <is>
          <t>종속기업및관계기업투자</t>
        </is>
      </c>
      <c r="E20" s="18" t="n">
        <v>7021.56</v>
      </c>
      <c r="F20" s="37" t="n">
        <v>7021.56</v>
      </c>
      <c r="G20" s="18" t="n">
        <v>7021.56</v>
      </c>
      <c r="H20" s="18" t="n">
        <v>7021.56</v>
      </c>
      <c r="I20" s="18" t="n">
        <v>7021.56</v>
      </c>
      <c r="J20" s="18" t="n">
        <v>6205.02</v>
      </c>
      <c r="K20" s="37" t="n">
        <v>6205.02</v>
      </c>
      <c r="L20" s="18" t="n">
        <v>6205.02</v>
      </c>
      <c r="M20" s="18" t="n">
        <v>6205.02</v>
      </c>
      <c r="N20" s="18" t="n">
        <v>6205.02</v>
      </c>
      <c r="O20" s="18" t="n">
        <v>4313.44</v>
      </c>
      <c r="P20" s="37" t="n">
        <v>4313.44</v>
      </c>
      <c r="Q20" s="18" t="n">
        <v>4313.44</v>
      </c>
      <c r="R20" s="18" t="n">
        <v>4313.44</v>
      </c>
      <c r="S20" s="18" t="n">
        <v>4313.44</v>
      </c>
      <c r="T20" s="18" t="n">
        <v>4313.44</v>
      </c>
      <c r="U20" s="37" t="n">
        <v>4313.44</v>
      </c>
      <c r="V20" s="18" t="n">
        <v>4313.44</v>
      </c>
      <c r="W20" s="18" t="n">
        <v>4313.44</v>
      </c>
      <c r="X20" s="18" t="n">
        <v>4313.44</v>
      </c>
      <c r="Y20" s="18" t="n">
        <v>4313.44</v>
      </c>
      <c r="Z20" s="37" t="n">
        <v>4313.44</v>
      </c>
      <c r="AA20" s="18" t="n">
        <v>4313.44</v>
      </c>
      <c r="AB20" s="19" t="n">
        <v>4313.44</v>
      </c>
      <c r="AC20" s="10" t="n"/>
      <c r="AD20" s="10" t="n"/>
      <c r="AE20" s="11" t="n"/>
      <c r="AF20" s="10" t="n"/>
      <c r="AG20" s="10" t="n"/>
      <c r="AH20" s="10" t="n"/>
      <c r="AI20" s="10" t="n"/>
      <c r="AJ20" s="11" t="n"/>
      <c r="AK20" s="10" t="n"/>
      <c r="AL20" s="10" t="n"/>
      <c r="AM20" s="10" t="n"/>
      <c r="AN20" s="10" t="n"/>
      <c r="AO20" s="11" t="n"/>
    </row>
    <row r="21">
      <c r="A21" t="n">
        <v>1</v>
      </c>
      <c r="C21" t="inlineStr">
        <is>
          <t>이연법인세자산</t>
        </is>
      </c>
      <c r="E21" s="18" t="n">
        <v>798.9400000000001</v>
      </c>
      <c r="F21" s="37" t="n">
        <v>798.9400000000001</v>
      </c>
      <c r="G21" s="18" t="n">
        <v>980.71</v>
      </c>
      <c r="H21" s="18" t="n">
        <v>1086.55</v>
      </c>
      <c r="I21" s="18" t="n">
        <v>1467.04</v>
      </c>
      <c r="J21" s="18" t="n">
        <v>1999.16</v>
      </c>
      <c r="K21" s="37" t="n">
        <v>1999.16</v>
      </c>
      <c r="L21" s="18" t="n">
        <v>1864.85</v>
      </c>
      <c r="M21" s="18" t="n">
        <v>1851.34</v>
      </c>
      <c r="N21" s="18" t="n">
        <v>2081.81</v>
      </c>
      <c r="O21" s="18" t="n">
        <v>2137.44</v>
      </c>
      <c r="P21" s="37" t="n">
        <v>2137.44</v>
      </c>
      <c r="Q21" s="18" t="n">
        <v>2030.49</v>
      </c>
      <c r="R21" s="18" t="n">
        <v>2360.08</v>
      </c>
      <c r="S21" s="18" t="n">
        <v>2491.11</v>
      </c>
      <c r="T21" s="18" t="n">
        <v>3802.88</v>
      </c>
      <c r="U21" s="37" t="n">
        <v>3802.88</v>
      </c>
      <c r="V21" s="18" t="n">
        <v>3817.68</v>
      </c>
      <c r="W21" s="18" t="n">
        <v>3857.48</v>
      </c>
      <c r="X21" s="18" t="n">
        <v>2735.47</v>
      </c>
      <c r="Y21" s="18" t="n">
        <v>4261.44</v>
      </c>
      <c r="Z21" s="37" t="n">
        <v>4261.44</v>
      </c>
      <c r="AA21" s="18" t="n">
        <v>4309.87</v>
      </c>
      <c r="AB21" s="19" t="n">
        <v>4771.25</v>
      </c>
      <c r="AC21" s="10" t="n"/>
      <c r="AD21" s="10" t="n"/>
      <c r="AE21" s="11" t="n"/>
      <c r="AF21" s="10" t="n"/>
      <c r="AG21" s="10" t="n"/>
      <c r="AH21" s="10" t="n"/>
      <c r="AI21" s="10" t="n"/>
      <c r="AJ21" s="11" t="n"/>
      <c r="AK21" s="10" t="n"/>
      <c r="AL21" s="10" t="n"/>
      <c r="AM21" s="10" t="n"/>
      <c r="AN21" s="10" t="n"/>
      <c r="AO21" s="11" t="n"/>
    </row>
    <row r="22">
      <c r="A22" t="n">
        <v>1</v>
      </c>
      <c r="C22" t="inlineStr">
        <is>
          <t>자산총계</t>
        </is>
      </c>
      <c r="E22" s="18" t="n">
        <v>173713.51</v>
      </c>
      <c r="F22" s="37" t="n">
        <v>173713.51</v>
      </c>
      <c r="G22" s="18" t="n">
        <v>180982.7</v>
      </c>
      <c r="H22" s="18" t="n">
        <v>184772.17</v>
      </c>
      <c r="I22" s="18" t="n">
        <v>180132.99</v>
      </c>
      <c r="J22" s="18" t="n">
        <v>176138.12</v>
      </c>
      <c r="K22" s="37" t="n">
        <v>176138.12</v>
      </c>
      <c r="L22" s="18" t="n">
        <v>170380.71</v>
      </c>
      <c r="M22" s="18" t="n">
        <v>223941.79</v>
      </c>
      <c r="N22" s="18" t="n">
        <v>221637.71</v>
      </c>
      <c r="O22" s="18" t="n">
        <v>219927.88</v>
      </c>
      <c r="P22" s="37" t="n">
        <v>219927.88</v>
      </c>
      <c r="Q22" s="18" t="n">
        <v>218785.9</v>
      </c>
      <c r="R22" s="18" t="n">
        <v>214258.56</v>
      </c>
      <c r="S22" s="18" t="n">
        <v>202685.59</v>
      </c>
      <c r="T22" s="18" t="n">
        <v>205296.01</v>
      </c>
      <c r="U22" s="37" t="n">
        <v>205296.01</v>
      </c>
      <c r="V22" s="18" t="n">
        <v>215685.83</v>
      </c>
      <c r="W22" s="18" t="n">
        <v>217564.76</v>
      </c>
      <c r="X22" s="18" t="n">
        <v>226587.61</v>
      </c>
      <c r="Y22" s="18" t="n">
        <v>237277.67</v>
      </c>
      <c r="Z22" s="37" t="n">
        <v>237277.67</v>
      </c>
      <c r="AA22" s="18" t="n">
        <v>297255.72</v>
      </c>
      <c r="AB22" s="19" t="n">
        <v>291643.93</v>
      </c>
      <c r="AC22" s="10" t="n"/>
      <c r="AD22" s="10" t="n"/>
      <c r="AE22" s="11" t="n"/>
      <c r="AF22" s="10" t="n"/>
      <c r="AG22" s="10" t="n"/>
      <c r="AH22" s="10" t="n"/>
      <c r="AI22" s="10" t="n"/>
      <c r="AJ22" s="11" t="n"/>
      <c r="AK22" s="10" t="n"/>
      <c r="AL22" s="10" t="n"/>
      <c r="AM22" s="10" t="n"/>
      <c r="AN22" s="10" t="n"/>
      <c r="AO22" s="11" t="n"/>
    </row>
    <row r="23">
      <c r="A23" t="n">
        <v>1</v>
      </c>
      <c r="C23" t="inlineStr">
        <is>
          <t>유동부채</t>
        </is>
      </c>
      <c r="E23" s="18" t="n">
        <v>41584.6</v>
      </c>
      <c r="F23" s="37" t="n">
        <v>41584.6</v>
      </c>
      <c r="G23" s="18" t="n">
        <v>54577.45</v>
      </c>
      <c r="H23" s="18" t="n">
        <v>55635.27</v>
      </c>
      <c r="I23" s="18" t="n">
        <v>50908.24</v>
      </c>
      <c r="J23" s="18" t="n">
        <v>46897.17</v>
      </c>
      <c r="K23" s="37" t="n">
        <v>46897.17</v>
      </c>
      <c r="L23" s="18" t="n">
        <v>55350.47</v>
      </c>
      <c r="M23" s="18" t="n">
        <v>49730.42</v>
      </c>
      <c r="N23" s="18" t="n">
        <v>48656</v>
      </c>
      <c r="O23" s="18" t="n">
        <v>49248.06</v>
      </c>
      <c r="P23" s="37" t="n">
        <v>49248.06</v>
      </c>
      <c r="Q23" s="18" t="n">
        <v>49413.11</v>
      </c>
      <c r="R23" s="18" t="n">
        <v>41457.24</v>
      </c>
      <c r="S23" s="18" t="n">
        <v>28184.65</v>
      </c>
      <c r="T23" s="18" t="n">
        <v>28823.57</v>
      </c>
      <c r="U23" s="37" t="n">
        <v>28823.57</v>
      </c>
      <c r="V23" s="18" t="n">
        <v>42945.86</v>
      </c>
      <c r="W23" s="18" t="n">
        <v>32457.73</v>
      </c>
      <c r="X23" s="18" t="n">
        <v>33083.7</v>
      </c>
      <c r="Y23" s="18" t="n">
        <v>39102.94</v>
      </c>
      <c r="Z23" s="37" t="n">
        <v>39102.94</v>
      </c>
      <c r="AA23" s="18" t="n">
        <v>47638.56</v>
      </c>
      <c r="AB23" s="19" t="n">
        <v>43515.17</v>
      </c>
      <c r="AC23" s="10" t="n"/>
      <c r="AD23" s="10" t="n"/>
      <c r="AE23" s="11" t="n"/>
      <c r="AF23" s="10" t="n"/>
      <c r="AG23" s="10" t="n"/>
      <c r="AH23" s="10" t="n"/>
      <c r="AI23" s="10" t="n"/>
      <c r="AJ23" s="11" t="n"/>
      <c r="AK23" s="10" t="n"/>
      <c r="AL23" s="10" t="n"/>
      <c r="AM23" s="10" t="n"/>
      <c r="AN23" s="10" t="n"/>
      <c r="AO23" s="11" t="n"/>
    </row>
    <row r="24">
      <c r="A24" t="n">
        <v>1</v>
      </c>
      <c r="C24" t="inlineStr">
        <is>
          <t>매입채무및기타채무</t>
        </is>
      </c>
      <c r="E24" s="18" t="n">
        <v>6490.75</v>
      </c>
      <c r="F24" s="37" t="n">
        <v>6490.75</v>
      </c>
      <c r="G24" s="18" t="n">
        <v>11754.11</v>
      </c>
      <c r="H24" s="18" t="n">
        <v>8841.15</v>
      </c>
      <c r="I24" s="18" t="n">
        <v>6327.85</v>
      </c>
      <c r="J24" s="18" t="n">
        <v>7433.22</v>
      </c>
      <c r="K24" s="37" t="n">
        <v>7433.22</v>
      </c>
      <c r="L24" s="18" t="n">
        <v>10749.62</v>
      </c>
      <c r="M24" s="18" t="n">
        <v>5469.42</v>
      </c>
      <c r="N24" s="18" t="n">
        <v>4808.38</v>
      </c>
      <c r="O24" s="18" t="n">
        <v>6233.57</v>
      </c>
      <c r="P24" s="37" t="n">
        <v>6233.57</v>
      </c>
      <c r="Q24" s="18" t="n">
        <v>11419.98</v>
      </c>
      <c r="R24" s="18" t="n">
        <v>5176.82</v>
      </c>
      <c r="S24" s="18" t="n">
        <v>6119.06</v>
      </c>
      <c r="T24" s="18" t="n">
        <v>9461.4</v>
      </c>
      <c r="U24" s="37" t="n">
        <v>9461.4</v>
      </c>
      <c r="V24" s="18" t="n">
        <v>15014.06</v>
      </c>
      <c r="W24" s="18" t="n">
        <v>8447.67</v>
      </c>
      <c r="X24" s="18" t="n">
        <v>9698.76</v>
      </c>
      <c r="Y24" s="18" t="n">
        <v>10373.42</v>
      </c>
      <c r="Z24" s="37" t="n">
        <v>10373.42</v>
      </c>
      <c r="AA24" s="18" t="n">
        <v>23630.51</v>
      </c>
      <c r="AB24" s="19" t="n">
        <v>12059.93</v>
      </c>
      <c r="AC24" s="10" t="n"/>
      <c r="AD24" s="10" t="n"/>
      <c r="AE24" s="11" t="n"/>
      <c r="AF24" s="10" t="n"/>
      <c r="AG24" s="10" t="n"/>
      <c r="AH24" s="10" t="n"/>
      <c r="AI24" s="10" t="n"/>
      <c r="AJ24" s="11" t="n"/>
      <c r="AK24" s="10" t="n"/>
      <c r="AL24" s="10" t="n"/>
      <c r="AM24" s="10" t="n"/>
      <c r="AN24" s="10" t="n"/>
      <c r="AO24" s="11" t="n"/>
    </row>
    <row r="25">
      <c r="A25" t="n">
        <v>1</v>
      </c>
      <c r="C25" t="inlineStr">
        <is>
          <t>단기차입금</t>
        </is>
      </c>
      <c r="E25" s="18" t="n">
        <v>29472.95</v>
      </c>
      <c r="F25" s="37" t="n">
        <v>29472.95</v>
      </c>
      <c r="G25" s="18" t="n">
        <v>28918.79</v>
      </c>
      <c r="H25" s="18" t="n">
        <v>29940.87</v>
      </c>
      <c r="I25" s="18" t="n">
        <v>25270.34</v>
      </c>
      <c r="J25" s="18" t="n">
        <v>21524.77</v>
      </c>
      <c r="K25" s="37" t="n">
        <v>21524.77</v>
      </c>
      <c r="L25" s="18" t="n">
        <v>18927.53</v>
      </c>
      <c r="M25" s="18" t="n">
        <v>308.28</v>
      </c>
      <c r="N25" s="18" t="n">
        <v>991.47</v>
      </c>
      <c r="O25" s="18" t="n">
        <v>373.93</v>
      </c>
      <c r="P25" s="37" t="n">
        <v>373.93</v>
      </c>
      <c r="R25" s="18" t="n">
        <v>489.97</v>
      </c>
      <c r="S25" s="18" t="n">
        <v>191.54</v>
      </c>
      <c r="T25" s="18" t="n">
        <v>408.81</v>
      </c>
      <c r="U25" s="37" t="n">
        <v>408.81</v>
      </c>
      <c r="V25" s="18" t="n">
        <v>961.85</v>
      </c>
      <c r="W25" s="18" t="n">
        <v>784.4</v>
      </c>
      <c r="X25" s="18" t="n">
        <v>444.1</v>
      </c>
      <c r="Y25" s="18" t="n">
        <v>778.09</v>
      </c>
      <c r="Z25" s="37" t="n">
        <v>778.09</v>
      </c>
      <c r="AA25" s="18" t="n">
        <v>1147.52</v>
      </c>
      <c r="AB25" s="19" t="n">
        <v>768.22</v>
      </c>
      <c r="AC25" s="10" t="n"/>
      <c r="AD25" s="10" t="n"/>
      <c r="AE25" s="11" t="n"/>
      <c r="AF25" s="10" t="n"/>
      <c r="AG25" s="10" t="n"/>
      <c r="AH25" s="10" t="n"/>
      <c r="AI25" s="10" t="n"/>
      <c r="AJ25" s="11" t="n"/>
      <c r="AK25" s="10" t="n"/>
      <c r="AL25" s="10" t="n"/>
      <c r="AM25" s="10" t="n"/>
      <c r="AN25" s="10" t="n"/>
      <c r="AO25" s="11" t="n"/>
    </row>
    <row r="26">
      <c r="A26" t="n">
        <v>1</v>
      </c>
      <c r="C26" t="inlineStr">
        <is>
          <t>유동성장기부채</t>
        </is>
      </c>
      <c r="E26" s="18" t="n">
        <v>3333.36</v>
      </c>
      <c r="F26" s="37" t="n">
        <v>3333.36</v>
      </c>
      <c r="G26" s="18" t="n">
        <v>8999.99</v>
      </c>
      <c r="H26" s="18" t="n">
        <v>8999.99</v>
      </c>
      <c r="I26" s="18" t="n">
        <v>8999.99</v>
      </c>
      <c r="J26" s="18" t="n">
        <v>8999.99</v>
      </c>
      <c r="K26" s="37" t="n">
        <v>8999.99</v>
      </c>
      <c r="L26" s="18" t="n">
        <v>15999.99</v>
      </c>
      <c r="M26" s="18" t="n">
        <v>14840</v>
      </c>
      <c r="N26" s="18" t="n">
        <v>14840</v>
      </c>
      <c r="O26" s="18" t="n">
        <v>14840</v>
      </c>
      <c r="P26" s="37" t="n">
        <v>14840</v>
      </c>
      <c r="Q26" s="18" t="n">
        <v>2840</v>
      </c>
      <c r="R26" s="18" t="n">
        <v>2840</v>
      </c>
      <c r="S26" s="18" t="n">
        <v>2840</v>
      </c>
      <c r="T26" s="18" t="n">
        <v>2840</v>
      </c>
      <c r="U26" s="37" t="n">
        <v>2840</v>
      </c>
      <c r="V26" s="18" t="n">
        <v>8293.33</v>
      </c>
      <c r="W26" s="18" t="n">
        <v>7583.33</v>
      </c>
      <c r="X26" s="18" t="n">
        <v>6873.33</v>
      </c>
      <c r="Y26" s="18" t="n">
        <v>6770.83</v>
      </c>
      <c r="Z26" s="37" t="n">
        <v>6770.83</v>
      </c>
      <c r="AA26" s="18" t="n">
        <v>3310</v>
      </c>
      <c r="AB26" s="19" t="n">
        <v>10000</v>
      </c>
      <c r="AC26" s="10" t="n"/>
      <c r="AD26" s="10" t="n"/>
      <c r="AE26" s="11" t="n"/>
      <c r="AF26" s="10" t="n"/>
      <c r="AG26" s="10" t="n"/>
      <c r="AH26" s="10" t="n"/>
      <c r="AI26" s="10" t="n"/>
      <c r="AJ26" s="11" t="n"/>
      <c r="AK26" s="10" t="n"/>
      <c r="AL26" s="10" t="n"/>
      <c r="AM26" s="10" t="n"/>
      <c r="AN26" s="10" t="n"/>
      <c r="AO26" s="11" t="n"/>
    </row>
    <row r="27">
      <c r="A27" t="n">
        <v>1</v>
      </c>
      <c r="C27" t="inlineStr">
        <is>
          <t>기타유동금융부채</t>
        </is>
      </c>
      <c r="E27" s="18" t="n">
        <v>326.58</v>
      </c>
      <c r="F27" s="37" t="n">
        <v>326.58</v>
      </c>
      <c r="G27" s="18" t="n">
        <v>128.38</v>
      </c>
      <c r="H27" s="18" t="n">
        <v>372.18</v>
      </c>
      <c r="I27" s="18" t="n">
        <v>1370.42</v>
      </c>
      <c r="J27" s="18" t="n">
        <v>42.46</v>
      </c>
      <c r="K27" s="37" t="n">
        <v>42.46</v>
      </c>
      <c r="L27" s="18" t="n">
        <v>185.58</v>
      </c>
      <c r="M27" s="18" t="n">
        <v>139.28</v>
      </c>
      <c r="N27" s="18" t="n">
        <v>405.05</v>
      </c>
      <c r="O27" s="18" t="n">
        <v>53.35</v>
      </c>
      <c r="P27" s="37" t="n">
        <v>53.35</v>
      </c>
      <c r="Q27" s="18" t="n">
        <v>739.91</v>
      </c>
      <c r="R27" s="18" t="n">
        <v>1049.22</v>
      </c>
      <c r="S27" s="18" t="n">
        <v>115.22</v>
      </c>
      <c r="T27" s="18" t="n">
        <v>1727.26</v>
      </c>
      <c r="U27" s="37" t="n">
        <v>1727.26</v>
      </c>
      <c r="V27" s="18" t="n">
        <v>1456.07</v>
      </c>
      <c r="W27" s="18" t="n">
        <v>150.34</v>
      </c>
      <c r="X27" s="18" t="n">
        <v>34.98</v>
      </c>
      <c r="Y27" s="18" t="n">
        <v>87.20999999999999</v>
      </c>
      <c r="Z27" s="37" t="n">
        <v>87.20999999999999</v>
      </c>
      <c r="AA27" s="18" t="n">
        <v>421.79</v>
      </c>
      <c r="AB27" s="19" t="n">
        <v>1181.36</v>
      </c>
      <c r="AC27" s="10" t="n"/>
      <c r="AD27" s="10" t="n"/>
      <c r="AE27" s="11" t="n"/>
      <c r="AF27" s="10" t="n"/>
      <c r="AG27" s="10" t="n"/>
      <c r="AH27" s="10" t="n"/>
      <c r="AI27" s="10" t="n"/>
      <c r="AJ27" s="11" t="n"/>
      <c r="AK27" s="10" t="n"/>
      <c r="AL27" s="10" t="n"/>
      <c r="AM27" s="10" t="n"/>
      <c r="AN27" s="10" t="n"/>
      <c r="AO27" s="11" t="n"/>
    </row>
    <row r="28">
      <c r="A28" t="n">
        <v>1</v>
      </c>
      <c r="C28" t="inlineStr">
        <is>
          <t>단기금융부채</t>
        </is>
      </c>
      <c r="E28" s="18" t="n">
        <v>428.4</v>
      </c>
      <c r="F28" s="37" t="n">
        <v>428.4</v>
      </c>
      <c r="G28" s="18" t="n">
        <v>228.2</v>
      </c>
      <c r="H28" s="18" t="n">
        <v>470</v>
      </c>
      <c r="I28" s="18" t="n">
        <v>1476.74</v>
      </c>
      <c r="J28" s="18" t="n">
        <v>156.32</v>
      </c>
      <c r="K28" s="37" t="n">
        <v>156.32</v>
      </c>
      <c r="L28" s="18" t="n">
        <v>300.02</v>
      </c>
      <c r="M28" s="18" t="n">
        <v>232.31</v>
      </c>
      <c r="N28" s="18" t="n">
        <v>474.96</v>
      </c>
      <c r="O28" s="18" t="n">
        <v>101.8</v>
      </c>
      <c r="P28" s="37" t="n">
        <v>101.8</v>
      </c>
      <c r="Q28" s="18" t="n">
        <v>770.5599999999999</v>
      </c>
      <c r="R28" s="18" t="n">
        <v>1074.15</v>
      </c>
      <c r="S28" s="18" t="n">
        <v>142.41</v>
      </c>
      <c r="T28" s="18" t="n">
        <v>1748.61</v>
      </c>
      <c r="U28" s="37" t="n">
        <v>1748.61</v>
      </c>
      <c r="V28" s="18" t="n">
        <v>1471.54</v>
      </c>
      <c r="W28" s="18" t="n">
        <v>161.83</v>
      </c>
      <c r="X28" s="18" t="n">
        <v>44.46</v>
      </c>
      <c r="Y28" s="18" t="n">
        <v>94.66</v>
      </c>
      <c r="Z28" s="37" t="n">
        <v>94.66</v>
      </c>
      <c r="AA28" s="18" t="n">
        <v>427.2</v>
      </c>
      <c r="AB28" s="19" t="n">
        <v>1186.8</v>
      </c>
      <c r="AC28" s="10" t="n"/>
      <c r="AD28" s="10" t="n"/>
      <c r="AE28" s="11" t="n"/>
      <c r="AF28" s="10" t="n"/>
      <c r="AG28" s="10" t="n"/>
      <c r="AH28" s="10" t="n"/>
      <c r="AI28" s="10" t="n"/>
      <c r="AJ28" s="11" t="n"/>
      <c r="AK28" s="10" t="n"/>
      <c r="AL28" s="10" t="n"/>
      <c r="AM28" s="10" t="n"/>
      <c r="AN28" s="10" t="n"/>
      <c r="AO28" s="11" t="n"/>
    </row>
    <row r="29">
      <c r="A29" t="n">
        <v>1</v>
      </c>
      <c r="C29" t="inlineStr">
        <is>
          <t>유동리스부채</t>
        </is>
      </c>
      <c r="E29" s="18" t="n">
        <v>101.82</v>
      </c>
      <c r="F29" s="37" t="n">
        <v>101.82</v>
      </c>
      <c r="G29" s="18" t="n">
        <v>99.81999999999999</v>
      </c>
      <c r="H29" s="18" t="n">
        <v>97.81999999999999</v>
      </c>
      <c r="I29" s="18" t="n">
        <v>106.32</v>
      </c>
      <c r="J29" s="18" t="n">
        <v>113.86</v>
      </c>
      <c r="K29" s="37" t="n">
        <v>113.86</v>
      </c>
      <c r="L29" s="18" t="n">
        <v>114.44</v>
      </c>
      <c r="M29" s="18" t="n">
        <v>93.03</v>
      </c>
      <c r="N29" s="18" t="n">
        <v>69.91</v>
      </c>
      <c r="O29" s="18" t="n">
        <v>48.45</v>
      </c>
      <c r="P29" s="37" t="n">
        <v>48.45</v>
      </c>
      <c r="Q29" s="18" t="n">
        <v>30.65</v>
      </c>
      <c r="R29" s="18" t="n">
        <v>24.93</v>
      </c>
      <c r="S29" s="18" t="n">
        <v>27.19</v>
      </c>
      <c r="T29" s="18" t="n">
        <v>21.35</v>
      </c>
      <c r="U29" s="37" t="n">
        <v>21.35</v>
      </c>
      <c r="V29" s="18" t="n">
        <v>15.47</v>
      </c>
      <c r="W29" s="18" t="n">
        <v>11.49</v>
      </c>
      <c r="X29" s="18" t="n">
        <v>9.48</v>
      </c>
      <c r="Y29" s="18" t="n">
        <v>7.45</v>
      </c>
      <c r="Z29" s="37" t="n">
        <v>7.45</v>
      </c>
      <c r="AA29" s="18" t="n">
        <v>5.41</v>
      </c>
      <c r="AB29" s="19" t="n">
        <v>5.44</v>
      </c>
      <c r="AC29" s="10" t="n"/>
      <c r="AD29" s="10" t="n"/>
      <c r="AE29" s="11" t="n"/>
      <c r="AF29" s="10" t="n"/>
      <c r="AG29" s="10" t="n"/>
      <c r="AH29" s="10" t="n"/>
      <c r="AI29" s="10" t="n"/>
      <c r="AJ29" s="11" t="n"/>
      <c r="AK29" s="10" t="n"/>
      <c r="AL29" s="10" t="n"/>
      <c r="AM29" s="10" t="n"/>
      <c r="AN29" s="10" t="n"/>
      <c r="AO29" s="11" t="n"/>
    </row>
    <row r="30">
      <c r="A30" t="n">
        <v>1</v>
      </c>
      <c r="C30" t="inlineStr">
        <is>
          <t>리스부채</t>
        </is>
      </c>
      <c r="E30" s="18" t="n">
        <v>257.97</v>
      </c>
      <c r="F30" s="37" t="n">
        <v>257.97</v>
      </c>
      <c r="G30" s="18" t="n">
        <v>231.63</v>
      </c>
      <c r="H30" s="18" t="n">
        <v>205.12</v>
      </c>
      <c r="I30" s="18" t="n">
        <v>208.71</v>
      </c>
      <c r="J30" s="18" t="n">
        <v>191.38</v>
      </c>
      <c r="K30" s="37" t="n">
        <v>191.38</v>
      </c>
      <c r="L30" s="18" t="n">
        <v>159.82</v>
      </c>
      <c r="M30" s="18" t="n">
        <v>129.45</v>
      </c>
      <c r="N30" s="18" t="n">
        <v>99.2</v>
      </c>
      <c r="O30" s="18" t="n">
        <v>70.31999999999999</v>
      </c>
      <c r="P30" s="37" t="n">
        <v>70.31999999999999</v>
      </c>
      <c r="Q30" s="18" t="n">
        <v>45.26</v>
      </c>
      <c r="R30" s="18" t="n">
        <v>36.24</v>
      </c>
      <c r="S30" s="18" t="n">
        <v>41.35</v>
      </c>
      <c r="T30" s="18" t="n">
        <v>32.12</v>
      </c>
      <c r="U30" s="37" t="n">
        <v>32.12</v>
      </c>
      <c r="V30" s="18" t="n">
        <v>22.84</v>
      </c>
      <c r="W30" s="18" t="n">
        <v>17.5</v>
      </c>
      <c r="X30" s="18" t="n">
        <v>14.14</v>
      </c>
      <c r="Y30" s="18" t="n">
        <v>10.76</v>
      </c>
      <c r="Z30" s="37" t="n">
        <v>10.76</v>
      </c>
      <c r="AA30" s="18" t="n">
        <v>7.35</v>
      </c>
      <c r="AB30" s="19" t="n">
        <v>6.01</v>
      </c>
      <c r="AC30" s="10" t="n"/>
      <c r="AD30" s="10" t="n"/>
      <c r="AE30" s="11" t="n"/>
      <c r="AF30" s="10" t="n"/>
      <c r="AG30" s="10" t="n"/>
      <c r="AH30" s="10" t="n"/>
      <c r="AI30" s="10" t="n"/>
      <c r="AJ30" s="11" t="n"/>
      <c r="AK30" s="10" t="n"/>
      <c r="AL30" s="10" t="n"/>
      <c r="AM30" s="10" t="n"/>
      <c r="AN30" s="10" t="n"/>
      <c r="AO30" s="11" t="n"/>
    </row>
    <row r="31">
      <c r="A31" t="n">
        <v>1</v>
      </c>
      <c r="C31" t="inlineStr">
        <is>
          <t>기타유동부채</t>
        </is>
      </c>
      <c r="E31" s="18" t="n">
        <v>1859.14</v>
      </c>
      <c r="F31" s="37" t="n">
        <v>1859.14</v>
      </c>
      <c r="G31" s="18" t="n">
        <v>4434.55</v>
      </c>
      <c r="H31" s="18" t="n">
        <v>5890.13</v>
      </c>
      <c r="I31" s="18" t="n">
        <v>6331.24</v>
      </c>
      <c r="J31" s="18" t="n">
        <v>5763.94</v>
      </c>
      <c r="K31" s="37" t="n">
        <v>5763.94</v>
      </c>
      <c r="L31" s="18" t="n">
        <v>6376.49</v>
      </c>
      <c r="M31" s="18" t="n">
        <v>7429.75</v>
      </c>
      <c r="N31" s="18" t="n">
        <v>7400.42</v>
      </c>
      <c r="O31" s="18" t="n">
        <v>7743.53</v>
      </c>
      <c r="P31" s="37" t="n">
        <v>7743.53</v>
      </c>
      <c r="Q31" s="18" t="n">
        <v>13663.03</v>
      </c>
      <c r="R31" s="18" t="n">
        <v>12554.51</v>
      </c>
      <c r="S31" s="18" t="n">
        <v>12914.64</v>
      </c>
      <c r="T31" s="18" t="n">
        <v>11739.13</v>
      </c>
      <c r="U31" s="37" t="n">
        <v>11739.13</v>
      </c>
      <c r="V31" s="18" t="n">
        <v>14056.52</v>
      </c>
      <c r="W31" s="18" t="n">
        <v>11926.02</v>
      </c>
      <c r="X31" s="18" t="n">
        <v>12452.94</v>
      </c>
      <c r="Y31" s="18" t="n">
        <v>15835.93</v>
      </c>
      <c r="Z31" s="37" t="n">
        <v>15835.93</v>
      </c>
      <c r="AA31" s="18" t="n">
        <v>14844.39</v>
      </c>
      <c r="AB31" s="19" t="n">
        <v>14920.63</v>
      </c>
      <c r="AC31" s="10" t="n"/>
      <c r="AD31" s="10" t="n"/>
      <c r="AE31" s="11" t="n"/>
      <c r="AF31" s="10" t="n"/>
      <c r="AG31" s="10" t="n"/>
      <c r="AH31" s="10" t="n"/>
      <c r="AI31" s="10" t="n"/>
      <c r="AJ31" s="11" t="n"/>
      <c r="AK31" s="10" t="n"/>
      <c r="AL31" s="10" t="n"/>
      <c r="AM31" s="10" t="n"/>
      <c r="AN31" s="10" t="n"/>
      <c r="AO31" s="11" t="n"/>
    </row>
    <row r="32">
      <c r="A32" t="n">
        <v>1</v>
      </c>
      <c r="C32" t="inlineStr">
        <is>
          <t>비유동부채</t>
        </is>
      </c>
      <c r="E32" s="18" t="n">
        <v>41939.27</v>
      </c>
      <c r="F32" s="37" t="n">
        <v>41939.27</v>
      </c>
      <c r="G32" s="18" t="n">
        <v>35914.93</v>
      </c>
      <c r="H32" s="18" t="n">
        <v>35130.43</v>
      </c>
      <c r="I32" s="18" t="n">
        <v>34125.52</v>
      </c>
      <c r="J32" s="18" t="n">
        <v>33110.65</v>
      </c>
      <c r="K32" s="37" t="n">
        <v>33110.65</v>
      </c>
      <c r="L32" s="18" t="n">
        <v>20093.56</v>
      </c>
      <c r="M32" s="18" t="n">
        <v>10927.06</v>
      </c>
      <c r="N32" s="18" t="n">
        <v>10188.29</v>
      </c>
      <c r="O32" s="18" t="n">
        <v>9470.870000000001</v>
      </c>
      <c r="P32" s="37" t="n">
        <v>9470.870000000001</v>
      </c>
      <c r="Q32" s="18" t="n">
        <v>8851.809999999999</v>
      </c>
      <c r="R32" s="18" t="n">
        <v>8816.879999999999</v>
      </c>
      <c r="S32" s="18" t="n">
        <v>8089.77</v>
      </c>
      <c r="T32" s="18" t="n">
        <v>6866.03</v>
      </c>
      <c r="U32" s="37" t="n">
        <v>6866.03</v>
      </c>
      <c r="V32" s="18" t="n">
        <v>660.78</v>
      </c>
      <c r="W32" s="18" t="n">
        <v>2065.88</v>
      </c>
      <c r="X32" s="18" t="n">
        <v>2574.53</v>
      </c>
      <c r="Y32" s="18" t="n">
        <v>1498.51</v>
      </c>
      <c r="Z32" s="37" t="n">
        <v>1498.51</v>
      </c>
      <c r="AA32" s="18" t="n">
        <v>57733.41</v>
      </c>
      <c r="AB32" s="19" t="n">
        <v>47908.69</v>
      </c>
      <c r="AC32" s="10" t="n"/>
      <c r="AD32" s="10" t="n"/>
      <c r="AE32" s="11" t="n"/>
      <c r="AF32" s="10" t="n"/>
      <c r="AG32" s="10" t="n"/>
      <c r="AH32" s="10" t="n"/>
      <c r="AI32" s="10" t="n"/>
      <c r="AJ32" s="11" t="n"/>
      <c r="AK32" s="10" t="n"/>
      <c r="AL32" s="10" t="n"/>
      <c r="AM32" s="10" t="n"/>
      <c r="AN32" s="10" t="n"/>
      <c r="AO32" s="11" t="n"/>
    </row>
    <row r="33">
      <c r="A33" t="n">
        <v>1</v>
      </c>
      <c r="C33" t="inlineStr">
        <is>
          <t>장기매입채무및기타채무</t>
        </is>
      </c>
      <c r="E33" s="18" t="n">
        <v>116.48</v>
      </c>
      <c r="F33" s="37" t="n">
        <v>116.48</v>
      </c>
      <c r="G33" s="18" t="n">
        <v>116.48</v>
      </c>
      <c r="H33" s="18" t="n">
        <v>356.48</v>
      </c>
      <c r="I33" s="18" t="n">
        <v>356.48</v>
      </c>
      <c r="J33" s="18" t="n">
        <v>366.48</v>
      </c>
      <c r="K33" s="37" t="n">
        <v>366.48</v>
      </c>
      <c r="L33" s="18" t="n">
        <v>366.48</v>
      </c>
      <c r="M33" s="18" t="n">
        <v>445.66</v>
      </c>
      <c r="N33" s="18" t="n">
        <v>445.66</v>
      </c>
      <c r="O33" s="18" t="n">
        <v>445.66</v>
      </c>
      <c r="P33" s="37" t="n">
        <v>445.66</v>
      </c>
      <c r="Q33" s="18" t="n">
        <v>543.86</v>
      </c>
      <c r="R33" s="18" t="n">
        <v>573.86</v>
      </c>
      <c r="S33" s="18" t="n">
        <v>573.86</v>
      </c>
      <c r="T33" s="18" t="n">
        <v>378.2</v>
      </c>
      <c r="U33" s="37" t="n">
        <v>378.2</v>
      </c>
      <c r="V33" s="18" t="n">
        <v>378.2</v>
      </c>
      <c r="W33" s="18" t="n">
        <v>378.2</v>
      </c>
      <c r="X33" s="18" t="n">
        <v>388.2</v>
      </c>
      <c r="Y33" s="18" t="n">
        <v>388.2</v>
      </c>
      <c r="Z33" s="37" t="n">
        <v>388.2</v>
      </c>
      <c r="AA33" s="18" t="n">
        <v>388.2</v>
      </c>
      <c r="AB33" s="19" t="n">
        <v>388.2</v>
      </c>
      <c r="AC33" s="10" t="n"/>
      <c r="AD33" s="10" t="n"/>
      <c r="AE33" s="11" t="n"/>
      <c r="AF33" s="10" t="n"/>
      <c r="AG33" s="10" t="n"/>
      <c r="AH33" s="10" t="n"/>
      <c r="AI33" s="10" t="n"/>
      <c r="AJ33" s="11" t="n"/>
      <c r="AK33" s="10" t="n"/>
      <c r="AL33" s="10" t="n"/>
      <c r="AM33" s="10" t="n"/>
      <c r="AN33" s="10" t="n"/>
      <c r="AO33" s="11" t="n"/>
    </row>
    <row r="34">
      <c r="A34" t="n">
        <v>1</v>
      </c>
      <c r="C34" t="inlineStr">
        <is>
          <t>장기차입금</t>
        </is>
      </c>
      <c r="E34" s="18" t="n">
        <v>41666.64</v>
      </c>
      <c r="F34" s="37" t="n">
        <v>41666.64</v>
      </c>
      <c r="G34" s="18" t="n">
        <v>35666.64</v>
      </c>
      <c r="H34" s="18" t="n">
        <v>34666.65</v>
      </c>
      <c r="I34" s="18" t="n">
        <v>33666.65</v>
      </c>
      <c r="J34" s="18" t="n">
        <v>32666.65</v>
      </c>
      <c r="K34" s="37" t="n">
        <v>32666.65</v>
      </c>
      <c r="L34" s="18" t="n">
        <v>19666.65</v>
      </c>
      <c r="M34" s="18" t="n">
        <v>10423.33</v>
      </c>
      <c r="N34" s="18" t="n">
        <v>9713.33</v>
      </c>
      <c r="O34" s="18" t="n">
        <v>9003.33</v>
      </c>
      <c r="P34" s="37" t="n">
        <v>9003.33</v>
      </c>
      <c r="Q34" s="18" t="n">
        <v>8293.33</v>
      </c>
      <c r="R34" s="18" t="n">
        <v>7583.33</v>
      </c>
      <c r="S34" s="18" t="n">
        <v>6873.33</v>
      </c>
      <c r="T34" s="18" t="n">
        <v>6163.33</v>
      </c>
      <c r="U34" s="37" t="n">
        <v>6163.33</v>
      </c>
      <c r="W34" s="18" t="n">
        <v>810</v>
      </c>
      <c r="X34" s="18" t="n">
        <v>1310</v>
      </c>
      <c r="Y34" s="18" t="n">
        <v>702.5</v>
      </c>
      <c r="Z34" s="37" t="n">
        <v>702.5</v>
      </c>
      <c r="AA34" s="18" t="n">
        <v>56333.33</v>
      </c>
      <c r="AB34" s="19" t="n">
        <v>46333.33</v>
      </c>
      <c r="AC34" s="10" t="n"/>
      <c r="AD34" s="10" t="n"/>
      <c r="AE34" s="11" t="n"/>
      <c r="AF34" s="10" t="n"/>
      <c r="AG34" s="10" t="n"/>
      <c r="AH34" s="10" t="n"/>
      <c r="AI34" s="10" t="n"/>
      <c r="AJ34" s="11" t="n"/>
      <c r="AK34" s="10" t="n"/>
      <c r="AL34" s="10" t="n"/>
      <c r="AM34" s="10" t="n"/>
      <c r="AN34" s="10" t="n"/>
      <c r="AO34" s="11" t="n"/>
    </row>
    <row r="35">
      <c r="A35" t="n">
        <v>1</v>
      </c>
      <c r="C35" t="inlineStr">
        <is>
          <t>비유동리스부채</t>
        </is>
      </c>
      <c r="E35" s="18" t="n">
        <v>156.15</v>
      </c>
      <c r="F35" s="37" t="n">
        <v>156.15</v>
      </c>
      <c r="G35" s="18" t="n">
        <v>131.81</v>
      </c>
      <c r="H35" s="18" t="n">
        <v>107.3</v>
      </c>
      <c r="I35" s="18" t="n">
        <v>102.39</v>
      </c>
      <c r="J35" s="18" t="n">
        <v>77.52</v>
      </c>
      <c r="K35" s="37" t="n">
        <v>77.52</v>
      </c>
      <c r="L35" s="18" t="n">
        <v>45.38</v>
      </c>
      <c r="M35" s="18" t="n">
        <v>36.42</v>
      </c>
      <c r="N35" s="18" t="n">
        <v>29.29</v>
      </c>
      <c r="O35" s="18" t="n">
        <v>21.87</v>
      </c>
      <c r="P35" s="37" t="n">
        <v>21.87</v>
      </c>
      <c r="Q35" s="18" t="n">
        <v>14.61</v>
      </c>
      <c r="R35" s="18" t="n">
        <v>11.31</v>
      </c>
      <c r="S35" s="18" t="n">
        <v>14.16</v>
      </c>
      <c r="T35" s="18" t="n">
        <v>10.77</v>
      </c>
      <c r="U35" s="37" t="n">
        <v>10.77</v>
      </c>
      <c r="V35" s="18" t="n">
        <v>7.37</v>
      </c>
      <c r="W35" s="18" t="n">
        <v>6.01</v>
      </c>
      <c r="X35" s="18" t="n">
        <v>4.66</v>
      </c>
      <c r="Y35" s="18" t="n">
        <v>3.31</v>
      </c>
      <c r="Z35" s="37" t="n">
        <v>3.31</v>
      </c>
      <c r="AA35" s="18" t="n">
        <v>1.94</v>
      </c>
      <c r="AB35" s="19" t="n">
        <v>0.57</v>
      </c>
      <c r="AC35" s="10" t="n"/>
      <c r="AD35" s="10" t="n"/>
      <c r="AE35" s="11" t="n"/>
      <c r="AF35" s="10" t="n"/>
      <c r="AG35" s="10" t="n"/>
      <c r="AH35" s="10" t="n"/>
      <c r="AI35" s="10" t="n"/>
      <c r="AJ35" s="11" t="n"/>
      <c r="AK35" s="10" t="n"/>
      <c r="AL35" s="10" t="n"/>
      <c r="AM35" s="10" t="n"/>
      <c r="AN35" s="10" t="n"/>
      <c r="AO35" s="11" t="n"/>
    </row>
    <row r="36">
      <c r="A36" t="n">
        <v>1</v>
      </c>
      <c r="C36" t="inlineStr">
        <is>
          <t>장기금융부채</t>
        </is>
      </c>
      <c r="E36" s="18" t="n">
        <v>156.15</v>
      </c>
      <c r="F36" s="37" t="n">
        <v>156.15</v>
      </c>
      <c r="G36" s="18" t="n">
        <v>131.81</v>
      </c>
      <c r="H36" s="18" t="n">
        <v>107.3</v>
      </c>
      <c r="I36" s="18" t="n">
        <v>102.39</v>
      </c>
      <c r="J36" s="18" t="n">
        <v>77.52</v>
      </c>
      <c r="K36" s="37" t="n">
        <v>77.52</v>
      </c>
      <c r="L36" s="18" t="n">
        <v>60.43</v>
      </c>
      <c r="M36" s="18" t="n">
        <v>58.06</v>
      </c>
      <c r="N36" s="18" t="n">
        <v>29.29</v>
      </c>
      <c r="O36" s="18" t="n">
        <v>21.87</v>
      </c>
      <c r="P36" s="37" t="n">
        <v>21.87</v>
      </c>
      <c r="Q36" s="18" t="n">
        <v>14.61</v>
      </c>
      <c r="R36" s="18" t="n">
        <v>11.31</v>
      </c>
      <c r="S36" s="18" t="n">
        <v>14.16</v>
      </c>
      <c r="T36" s="18" t="n">
        <v>10.77</v>
      </c>
      <c r="U36" s="37" t="n">
        <v>10.77</v>
      </c>
      <c r="V36" s="18" t="n">
        <v>7.37</v>
      </c>
      <c r="W36" s="18" t="n">
        <v>6.01</v>
      </c>
      <c r="X36" s="18" t="n">
        <v>4.66</v>
      </c>
      <c r="Y36" s="18" t="n">
        <v>3.31</v>
      </c>
      <c r="Z36" s="37" t="n">
        <v>3.31</v>
      </c>
      <c r="AA36" s="18" t="n">
        <v>1.94</v>
      </c>
      <c r="AB36" s="19" t="n">
        <v>84.72</v>
      </c>
      <c r="AC36" s="10" t="n"/>
      <c r="AD36" s="10" t="n"/>
      <c r="AE36" s="11" t="n"/>
      <c r="AF36" s="10" t="n"/>
      <c r="AG36" s="10" t="n"/>
      <c r="AH36" s="10" t="n"/>
      <c r="AI36" s="10" t="n"/>
      <c r="AJ36" s="11" t="n"/>
      <c r="AK36" s="10" t="n"/>
      <c r="AL36" s="10" t="n"/>
      <c r="AM36" s="10" t="n"/>
      <c r="AN36" s="10" t="n"/>
      <c r="AO36" s="11" t="n"/>
    </row>
    <row r="37">
      <c r="A37" t="n">
        <v>1</v>
      </c>
      <c r="C37" t="inlineStr">
        <is>
          <t>부채총계</t>
        </is>
      </c>
      <c r="E37" s="18" t="n">
        <v>83523.87</v>
      </c>
      <c r="F37" s="37" t="n">
        <v>83523.87</v>
      </c>
      <c r="G37" s="18" t="n">
        <v>90492.38</v>
      </c>
      <c r="H37" s="18" t="n">
        <v>90765.7</v>
      </c>
      <c r="I37" s="18" t="n">
        <v>85033.75999999999</v>
      </c>
      <c r="J37" s="18" t="n">
        <v>80007.81</v>
      </c>
      <c r="K37" s="37" t="n">
        <v>80007.81</v>
      </c>
      <c r="L37" s="18" t="n">
        <v>75444.03</v>
      </c>
      <c r="M37" s="18" t="n">
        <v>60657.48</v>
      </c>
      <c r="N37" s="18" t="n">
        <v>58844.29</v>
      </c>
      <c r="O37" s="18" t="n">
        <v>58718.92</v>
      </c>
      <c r="P37" s="37" t="n">
        <v>58718.92</v>
      </c>
      <c r="Q37" s="18" t="n">
        <v>58264.92</v>
      </c>
      <c r="R37" s="18" t="n">
        <v>50274.12</v>
      </c>
      <c r="S37" s="18" t="n">
        <v>36274.42</v>
      </c>
      <c r="T37" s="18" t="n">
        <v>35689.6</v>
      </c>
      <c r="U37" s="37" t="n">
        <v>35689.6</v>
      </c>
      <c r="V37" s="18" t="n">
        <v>43606.64</v>
      </c>
      <c r="W37" s="18" t="n">
        <v>34523.61</v>
      </c>
      <c r="X37" s="18" t="n">
        <v>35658.23</v>
      </c>
      <c r="Y37" s="18" t="n">
        <v>40601.45</v>
      </c>
      <c r="Z37" s="37" t="n">
        <v>40601.45</v>
      </c>
      <c r="AA37" s="18" t="n">
        <v>105371.97</v>
      </c>
      <c r="AB37" s="19" t="n">
        <v>91423.85000000001</v>
      </c>
      <c r="AC37" s="10" t="n"/>
      <c r="AD37" s="10" t="n"/>
      <c r="AE37" s="11" t="n"/>
      <c r="AF37" s="10" t="n"/>
      <c r="AG37" s="10" t="n"/>
      <c r="AH37" s="10" t="n"/>
      <c r="AI37" s="10" t="n"/>
      <c r="AJ37" s="11" t="n"/>
      <c r="AK37" s="10" t="n"/>
      <c r="AL37" s="10" t="n"/>
      <c r="AM37" s="10" t="n"/>
      <c r="AN37" s="10" t="n"/>
      <c r="AO37" s="11" t="n"/>
    </row>
    <row r="38">
      <c r="A38" t="n">
        <v>1</v>
      </c>
      <c r="C38" t="inlineStr">
        <is>
          <t>자본금</t>
        </is>
      </c>
      <c r="E38" s="18" t="n">
        <v>8808.73</v>
      </c>
      <c r="F38" s="37" t="n">
        <v>8808.73</v>
      </c>
      <c r="G38" s="18" t="n">
        <v>8808.73</v>
      </c>
      <c r="H38" s="18" t="n">
        <v>8808.73</v>
      </c>
      <c r="I38" s="18" t="n">
        <v>8808.73</v>
      </c>
      <c r="J38" s="18" t="n">
        <v>8808.73</v>
      </c>
      <c r="K38" s="37" t="n">
        <v>8808.73</v>
      </c>
      <c r="L38" s="18" t="n">
        <v>8808.73</v>
      </c>
      <c r="M38" s="18" t="n">
        <v>8808.73</v>
      </c>
      <c r="N38" s="18" t="n">
        <v>8808.73</v>
      </c>
      <c r="O38" s="18" t="n">
        <v>8808.73</v>
      </c>
      <c r="P38" s="37" t="n">
        <v>8808.73</v>
      </c>
      <c r="Q38" s="18" t="n">
        <v>8808.73</v>
      </c>
      <c r="R38" s="18" t="n">
        <v>8808.73</v>
      </c>
      <c r="S38" s="18" t="n">
        <v>8808.73</v>
      </c>
      <c r="T38" s="18" t="n">
        <v>8808.73</v>
      </c>
      <c r="U38" s="37" t="n">
        <v>8808.73</v>
      </c>
      <c r="V38" s="18" t="n">
        <v>8808.73</v>
      </c>
      <c r="W38" s="18" t="n">
        <v>8808.73</v>
      </c>
      <c r="X38" s="18" t="n">
        <v>8808.73</v>
      </c>
      <c r="Y38" s="18" t="n">
        <v>8808.73</v>
      </c>
      <c r="Z38" s="37" t="n">
        <v>8808.73</v>
      </c>
      <c r="AA38" s="18" t="n">
        <v>8808.73</v>
      </c>
      <c r="AB38" s="19" t="n">
        <v>8808.73</v>
      </c>
      <c r="AC38" s="10" t="n"/>
      <c r="AD38" s="10" t="n"/>
      <c r="AE38" s="11" t="n"/>
      <c r="AF38" s="10" t="n"/>
      <c r="AG38" s="10" t="n"/>
      <c r="AH38" s="10" t="n"/>
      <c r="AI38" s="10" t="n"/>
      <c r="AJ38" s="11" t="n"/>
      <c r="AK38" s="10" t="n"/>
      <c r="AL38" s="10" t="n"/>
      <c r="AM38" s="10" t="n"/>
      <c r="AN38" s="10" t="n"/>
      <c r="AO38" s="11" t="n"/>
    </row>
    <row r="39">
      <c r="A39" t="n">
        <v>1</v>
      </c>
      <c r="C39" t="inlineStr">
        <is>
          <t>자본잉여금</t>
        </is>
      </c>
      <c r="E39" s="18" t="n">
        <v>21450.9</v>
      </c>
      <c r="F39" s="37" t="n">
        <v>21450.9</v>
      </c>
      <c r="G39" s="18" t="n">
        <v>21450.9</v>
      </c>
      <c r="H39" s="18" t="n">
        <v>21357.65</v>
      </c>
      <c r="I39" s="18" t="n">
        <v>19495.13</v>
      </c>
      <c r="J39" s="18" t="n">
        <v>18907.81</v>
      </c>
      <c r="K39" s="37" t="n">
        <v>18907.81</v>
      </c>
      <c r="L39" s="18" t="n">
        <v>8595.870000000001</v>
      </c>
      <c r="M39" s="18" t="n">
        <v>11516.78</v>
      </c>
      <c r="N39" s="18" t="n">
        <v>11503.01</v>
      </c>
      <c r="O39" s="18" t="n">
        <v>6538.03</v>
      </c>
      <c r="P39" s="37" t="n">
        <v>6538.03</v>
      </c>
      <c r="Q39" s="18" t="n">
        <v>6538.03</v>
      </c>
      <c r="R39" s="18" t="n">
        <v>6538.03</v>
      </c>
      <c r="S39" s="18" t="n">
        <v>6538.03</v>
      </c>
      <c r="T39" s="18" t="n">
        <v>6538.03</v>
      </c>
      <c r="U39" s="37" t="n">
        <v>6538.03</v>
      </c>
      <c r="V39" s="18" t="n">
        <v>8511.540000000001</v>
      </c>
      <c r="W39" s="18" t="n">
        <v>12795.06</v>
      </c>
      <c r="X39" s="18" t="n">
        <v>12795.06</v>
      </c>
      <c r="Y39" s="18" t="n">
        <v>12795.06</v>
      </c>
      <c r="Z39" s="37" t="n">
        <v>12795.06</v>
      </c>
      <c r="AA39" s="18" t="n">
        <v>12795.06</v>
      </c>
      <c r="AB39" s="19" t="n">
        <v>12795.06</v>
      </c>
      <c r="AC39" s="10" t="n"/>
      <c r="AD39" s="10" t="n"/>
      <c r="AE39" s="11" t="n"/>
      <c r="AF39" s="10" t="n"/>
      <c r="AG39" s="10" t="n"/>
      <c r="AH39" s="10" t="n"/>
      <c r="AI39" s="10" t="n"/>
      <c r="AJ39" s="11" t="n"/>
      <c r="AK39" s="10" t="n"/>
      <c r="AL39" s="10" t="n"/>
      <c r="AM39" s="10" t="n"/>
      <c r="AN39" s="10" t="n"/>
      <c r="AO39" s="11" t="n"/>
    </row>
    <row r="40">
      <c r="A40" t="n">
        <v>1</v>
      </c>
      <c r="C40" t="inlineStr">
        <is>
          <t>이익잉여금</t>
        </is>
      </c>
      <c r="E40" s="18" t="n">
        <v>59930</v>
      </c>
      <c r="F40" s="37" t="n">
        <v>59930</v>
      </c>
      <c r="G40" s="18" t="n">
        <v>60230.69</v>
      </c>
      <c r="H40" s="18" t="n">
        <v>63840.09</v>
      </c>
      <c r="I40" s="18" t="n">
        <v>66795.37</v>
      </c>
      <c r="J40" s="18" t="n">
        <v>68413.75999999999</v>
      </c>
      <c r="K40" s="37" t="n">
        <v>68413.75999999999</v>
      </c>
      <c r="L40" s="18" t="n">
        <v>77532.07000000001</v>
      </c>
      <c r="M40" s="18" t="n">
        <v>142958.8</v>
      </c>
      <c r="N40" s="18" t="n">
        <v>142481.67</v>
      </c>
      <c r="O40" s="18" t="n">
        <v>145862.2</v>
      </c>
      <c r="P40" s="37" t="n">
        <v>145862.2</v>
      </c>
      <c r="Q40" s="18" t="n">
        <v>145174.22</v>
      </c>
      <c r="R40" s="18" t="n">
        <v>148637.68</v>
      </c>
      <c r="S40" s="18" t="n">
        <v>151064.41</v>
      </c>
      <c r="T40" s="18" t="n">
        <v>154259.65</v>
      </c>
      <c r="U40" s="37" t="n">
        <v>154259.65</v>
      </c>
      <c r="V40" s="18" t="n">
        <v>154758.92</v>
      </c>
      <c r="W40" s="18" t="n">
        <v>161437.36</v>
      </c>
      <c r="X40" s="18" t="n">
        <v>169325.59</v>
      </c>
      <c r="Y40" s="18" t="n">
        <v>175072.43</v>
      </c>
      <c r="Z40" s="37" t="n">
        <v>175072.43</v>
      </c>
      <c r="AA40" s="18" t="n">
        <v>170279.96</v>
      </c>
      <c r="AB40" s="19" t="n">
        <v>178616.29</v>
      </c>
      <c r="AC40" s="10" t="n"/>
      <c r="AD40" s="10" t="n"/>
      <c r="AE40" s="11" t="n"/>
      <c r="AF40" s="10" t="n"/>
      <c r="AG40" s="10" t="n"/>
      <c r="AH40" s="10" t="n"/>
      <c r="AI40" s="10" t="n"/>
      <c r="AJ40" s="11" t="n"/>
      <c r="AK40" s="10" t="n"/>
      <c r="AL40" s="10" t="n"/>
      <c r="AM40" s="10" t="n"/>
      <c r="AN40" s="10" t="n"/>
      <c r="AO40" s="11" t="n"/>
    </row>
    <row r="41">
      <c r="A41" t="n">
        <v>1</v>
      </c>
      <c r="C41" t="inlineStr">
        <is>
          <t>자본총계</t>
        </is>
      </c>
      <c r="E41" s="18" t="n">
        <v>90189.64</v>
      </c>
      <c r="F41" s="37" t="n">
        <v>90189.64</v>
      </c>
      <c r="G41" s="18" t="n">
        <v>90490.32000000001</v>
      </c>
      <c r="H41" s="18" t="n">
        <v>94006.48</v>
      </c>
      <c r="I41" s="18" t="n">
        <v>95099.23</v>
      </c>
      <c r="J41" s="18" t="n">
        <v>96130.3</v>
      </c>
      <c r="K41" s="37" t="n">
        <v>96130.3</v>
      </c>
      <c r="L41" s="18" t="n">
        <v>94936.67</v>
      </c>
      <c r="M41" s="18" t="n">
        <v>163284.32</v>
      </c>
      <c r="N41" s="18" t="n">
        <v>162793.42</v>
      </c>
      <c r="O41" s="18" t="n">
        <v>161208.96</v>
      </c>
      <c r="P41" s="37" t="n">
        <v>161208.96</v>
      </c>
      <c r="Q41" s="18" t="n">
        <v>160520.98</v>
      </c>
      <c r="R41" s="18" t="n">
        <v>163984.44</v>
      </c>
      <c r="S41" s="18" t="n">
        <v>166411.17</v>
      </c>
      <c r="T41" s="18" t="n">
        <v>169606.41</v>
      </c>
      <c r="U41" s="37" t="n">
        <v>169606.41</v>
      </c>
      <c r="V41" s="18" t="n">
        <v>172079.19</v>
      </c>
      <c r="W41" s="18" t="n">
        <v>183041.15</v>
      </c>
      <c r="X41" s="18" t="n">
        <v>190929.38</v>
      </c>
      <c r="Y41" s="18" t="n">
        <v>196676.22</v>
      </c>
      <c r="Z41" s="37" t="n">
        <v>196676.22</v>
      </c>
      <c r="AA41" s="18" t="n">
        <v>191883.75</v>
      </c>
      <c r="AB41" s="19" t="n">
        <v>200220.08</v>
      </c>
      <c r="AC41" s="10" t="n"/>
      <c r="AD41" s="10" t="n"/>
      <c r="AE41" s="11" t="n"/>
      <c r="AF41" s="10" t="n"/>
      <c r="AG41" s="10" t="n"/>
      <c r="AH41" s="10" t="n"/>
      <c r="AI41" s="10" t="n"/>
      <c r="AJ41" s="11" t="n"/>
      <c r="AK41" s="10" t="n"/>
      <c r="AL41" s="10" t="n"/>
      <c r="AM41" s="10" t="n"/>
      <c r="AN41" s="10" t="n"/>
      <c r="AO41" s="11" t="n"/>
    </row>
    <row r="42">
      <c r="A42" t="n">
        <v>1</v>
      </c>
      <c r="C42" t="inlineStr">
        <is>
          <t>부채와자본총계</t>
        </is>
      </c>
      <c r="E42" s="18" t="n">
        <v>173713.51</v>
      </c>
      <c r="F42" s="37" t="n">
        <v>173713.51</v>
      </c>
      <c r="G42" s="18" t="n">
        <v>180982.7</v>
      </c>
      <c r="H42" s="18" t="n">
        <v>184772.17</v>
      </c>
      <c r="I42" s="18" t="n">
        <v>180132.99</v>
      </c>
      <c r="J42" s="18" t="n">
        <v>176138.12</v>
      </c>
      <c r="K42" s="37" t="n">
        <v>176138.12</v>
      </c>
      <c r="L42" s="18" t="n">
        <v>170380.71</v>
      </c>
      <c r="M42" s="18" t="n">
        <v>223941.79</v>
      </c>
      <c r="N42" s="18" t="n">
        <v>221637.71</v>
      </c>
      <c r="O42" s="18" t="n">
        <v>219927.88</v>
      </c>
      <c r="P42" s="37" t="n">
        <v>219927.88</v>
      </c>
      <c r="Q42" s="18" t="n">
        <v>218785.9</v>
      </c>
      <c r="R42" s="18" t="n">
        <v>214258.56</v>
      </c>
      <c r="S42" s="18" t="n">
        <v>202685.59</v>
      </c>
      <c r="T42" s="18" t="n">
        <v>205296.01</v>
      </c>
      <c r="U42" s="37" t="n">
        <v>205296.01</v>
      </c>
      <c r="V42" s="18" t="n">
        <v>215685.83</v>
      </c>
      <c r="W42" s="18" t="n">
        <v>217564.76</v>
      </c>
      <c r="X42" s="18" t="n">
        <v>226587.61</v>
      </c>
      <c r="Y42" s="18" t="n">
        <v>237277.67</v>
      </c>
      <c r="Z42" s="37" t="n">
        <v>237277.67</v>
      </c>
      <c r="AA42" s="18" t="n">
        <v>297255.72</v>
      </c>
      <c r="AB42" s="19" t="n">
        <v>291643.93</v>
      </c>
      <c r="AC42" s="10" t="n"/>
      <c r="AD42" s="10" t="n"/>
      <c r="AE42" s="11" t="n"/>
      <c r="AF42" s="10" t="n"/>
      <c r="AG42" s="10" t="n"/>
      <c r="AH42" s="10" t="n"/>
      <c r="AI42" s="10" t="n"/>
      <c r="AJ42" s="11" t="n"/>
      <c r="AK42" s="10" t="n"/>
      <c r="AL42" s="10" t="n"/>
      <c r="AM42" s="10" t="n"/>
      <c r="AN42" s="10" t="n"/>
      <c r="AO42" s="11" t="n"/>
    </row>
    <row r="43">
      <c r="A43" t="n">
        <v>1</v>
      </c>
      <c r="C43" t="inlineStr">
        <is>
          <t>지배주주지분</t>
        </is>
      </c>
      <c r="E43" s="18" t="n">
        <v>90189.64</v>
      </c>
      <c r="F43" s="37" t="n">
        <v>90189.64</v>
      </c>
      <c r="G43" s="18" t="n">
        <v>90490.32000000001</v>
      </c>
      <c r="H43" s="18" t="n">
        <v>94006.48</v>
      </c>
      <c r="I43" s="18" t="n">
        <v>95099.23</v>
      </c>
      <c r="J43" s="18" t="n">
        <v>96130.3</v>
      </c>
      <c r="K43" s="37" t="n">
        <v>96130.3</v>
      </c>
      <c r="L43" s="18" t="n">
        <v>94936.67</v>
      </c>
      <c r="M43" s="18" t="n">
        <v>163284.32</v>
      </c>
      <c r="N43" s="18" t="n">
        <v>162793.42</v>
      </c>
      <c r="O43" s="18" t="n">
        <v>161208.96</v>
      </c>
      <c r="P43" s="37" t="n">
        <v>161208.96</v>
      </c>
      <c r="Q43" s="18" t="n">
        <v>160520.98</v>
      </c>
      <c r="R43" s="18" t="n">
        <v>163984.44</v>
      </c>
      <c r="S43" s="18" t="n">
        <v>166411.17</v>
      </c>
      <c r="T43" s="18" t="n">
        <v>169606.41</v>
      </c>
      <c r="U43" s="37" t="n">
        <v>169606.41</v>
      </c>
      <c r="V43" s="18" t="n">
        <v>172079.19</v>
      </c>
      <c r="W43" s="18" t="n">
        <v>183041.15</v>
      </c>
      <c r="X43" s="18" t="n">
        <v>190929.38</v>
      </c>
      <c r="Y43" s="18" t="n">
        <v>196676.22</v>
      </c>
      <c r="Z43" s="37" t="n">
        <v>196676.22</v>
      </c>
      <c r="AA43" s="18" t="n">
        <v>191883.75</v>
      </c>
      <c r="AB43" s="19" t="n">
        <v>200220.08</v>
      </c>
      <c r="AC43" s="10" t="n"/>
      <c r="AD43" s="10" t="n"/>
      <c r="AE43" s="11" t="n"/>
      <c r="AF43" s="10" t="n"/>
      <c r="AG43" s="10" t="n"/>
      <c r="AH43" s="10" t="n"/>
      <c r="AI43" s="10" t="n"/>
      <c r="AJ43" s="11" t="n"/>
      <c r="AK43" s="10" t="n"/>
      <c r="AL43" s="10" t="n"/>
      <c r="AM43" s="10" t="n"/>
      <c r="AN43" s="10" t="n"/>
      <c r="AO43" s="11" t="n"/>
    </row>
    <row r="44">
      <c r="A44" t="n">
        <v>1</v>
      </c>
      <c r="C44" t="inlineStr">
        <is>
          <t>총차입금</t>
        </is>
      </c>
      <c r="E44" s="18" t="n">
        <v>74472.95</v>
      </c>
      <c r="F44" s="37" t="n">
        <v>74472.95</v>
      </c>
      <c r="G44" s="18" t="n">
        <v>73585.42</v>
      </c>
      <c r="H44" s="18" t="n">
        <v>73607.50999999999</v>
      </c>
      <c r="I44" s="18" t="n">
        <v>67936.98</v>
      </c>
      <c r="J44" s="18" t="n">
        <v>63191.41</v>
      </c>
      <c r="K44" s="37" t="n">
        <v>63191.41</v>
      </c>
      <c r="L44" s="18" t="n">
        <v>54594.17</v>
      </c>
      <c r="M44" s="18" t="n">
        <v>25571.61</v>
      </c>
      <c r="N44" s="18" t="n">
        <v>25544.8</v>
      </c>
      <c r="O44" s="18" t="n">
        <v>24217.26</v>
      </c>
      <c r="P44" s="37" t="n">
        <v>24217.26</v>
      </c>
      <c r="Q44" s="18" t="n">
        <v>11133.33</v>
      </c>
      <c r="R44" s="18" t="n">
        <v>10913.3</v>
      </c>
      <c r="S44" s="18" t="n">
        <v>9904.870000000001</v>
      </c>
      <c r="T44" s="18" t="n">
        <v>9412.139999999999</v>
      </c>
      <c r="U44" s="37" t="n">
        <v>9412.139999999999</v>
      </c>
      <c r="V44" s="18" t="n">
        <v>9255.18</v>
      </c>
      <c r="W44" s="18" t="n">
        <v>9177.73</v>
      </c>
      <c r="X44" s="18" t="n">
        <v>8627.43</v>
      </c>
      <c r="Y44" s="18" t="n">
        <v>8251.42</v>
      </c>
      <c r="Z44" s="37" t="n">
        <v>8251.42</v>
      </c>
      <c r="AA44" s="18" t="n">
        <v>60790.85</v>
      </c>
      <c r="AB44" s="19" t="n">
        <v>57101.55</v>
      </c>
      <c r="AC44" s="10" t="n"/>
      <c r="AD44" s="10" t="n"/>
      <c r="AE44" s="11" t="n"/>
      <c r="AF44" s="10" t="n"/>
      <c r="AG44" s="10" t="n"/>
      <c r="AH44" s="10" t="n"/>
      <c r="AI44" s="10" t="n"/>
      <c r="AJ44" s="11" t="n"/>
      <c r="AK44" s="10" t="n"/>
      <c r="AL44" s="10" t="n"/>
      <c r="AM44" s="10" t="n"/>
      <c r="AN44" s="10" t="n"/>
      <c r="AO44" s="11" t="n"/>
    </row>
    <row r="45">
      <c r="A45" t="n">
        <v>1</v>
      </c>
      <c r="C45" t="inlineStr">
        <is>
          <t>순차입금</t>
        </is>
      </c>
      <c r="E45" s="18" t="n">
        <v>64020.54</v>
      </c>
      <c r="F45" s="37" t="n">
        <v>64020.54</v>
      </c>
      <c r="G45" s="18" t="n">
        <v>64484.3</v>
      </c>
      <c r="H45" s="18" t="n">
        <v>63935.71</v>
      </c>
      <c r="I45" s="18" t="n">
        <v>58709.4</v>
      </c>
      <c r="J45" s="18" t="n">
        <v>48698.55</v>
      </c>
      <c r="K45" s="37" t="n">
        <v>48698.55</v>
      </c>
      <c r="L45" s="18" t="n">
        <v>44806.34</v>
      </c>
      <c r="M45" s="18" t="n">
        <v>1647.2</v>
      </c>
      <c r="N45" s="18" t="n">
        <v>-9217.219999999999</v>
      </c>
      <c r="O45" s="18" t="n">
        <v>-6073.46</v>
      </c>
      <c r="P45" s="37" t="n">
        <v>-6073.46</v>
      </c>
      <c r="Q45" s="18" t="n">
        <v>682.77</v>
      </c>
      <c r="R45" s="18" t="n">
        <v>-1615.05</v>
      </c>
      <c r="S45" s="18" t="n">
        <v>2362.72</v>
      </c>
      <c r="T45" s="18" t="n">
        <v>-4538.44</v>
      </c>
      <c r="U45" s="37" t="n">
        <v>-4538.44</v>
      </c>
      <c r="V45" s="18" t="n">
        <v>-5706.77</v>
      </c>
      <c r="W45" s="18" t="n">
        <v>-15120.22</v>
      </c>
      <c r="X45" s="18" t="n">
        <v>-10456.05</v>
      </c>
      <c r="Y45" s="18" t="n">
        <v>-45683.6</v>
      </c>
      <c r="Z45" s="37" t="n">
        <v>-45683.6</v>
      </c>
      <c r="AA45" s="18" t="n">
        <v>35479.06</v>
      </c>
      <c r="AB45" s="19" t="n">
        <v>33869.05</v>
      </c>
      <c r="AC45" s="10" t="n"/>
      <c r="AD45" s="10" t="n"/>
      <c r="AE45" s="11" t="n"/>
      <c r="AF45" s="10" t="n"/>
      <c r="AG45" s="10" t="n"/>
      <c r="AH45" s="10" t="n"/>
      <c r="AI45" s="10" t="n"/>
      <c r="AJ45" s="11" t="n"/>
      <c r="AK45" s="10" t="n"/>
      <c r="AL45" s="10" t="n"/>
      <c r="AM45" s="10" t="n"/>
      <c r="AN45" s="10" t="n"/>
      <c r="AO45" s="11" t="n"/>
    </row>
    <row r="46">
      <c r="A46" t="n">
        <v>1</v>
      </c>
      <c r="C46" t="inlineStr">
        <is>
          <t>이자발생자산</t>
        </is>
      </c>
      <c r="E46" s="18" t="n">
        <v>11128.37</v>
      </c>
      <c r="F46" s="37" t="n">
        <v>11128.37</v>
      </c>
      <c r="G46" s="18" t="n">
        <v>9743.209999999999</v>
      </c>
      <c r="H46" s="18" t="n">
        <v>10491.7</v>
      </c>
      <c r="I46" s="18" t="n">
        <v>10123.71</v>
      </c>
      <c r="J46" s="18" t="n">
        <v>14492.86</v>
      </c>
      <c r="K46" s="37" t="n">
        <v>14492.86</v>
      </c>
      <c r="L46" s="18" t="n">
        <v>9787.83</v>
      </c>
      <c r="M46" s="18" t="n">
        <v>23924.41</v>
      </c>
      <c r="N46" s="18" t="n">
        <v>73573.92</v>
      </c>
      <c r="O46" s="18" t="n">
        <v>66656.07000000001</v>
      </c>
      <c r="P46" s="37" t="n">
        <v>66656.07000000001</v>
      </c>
      <c r="Q46" s="18" t="n">
        <v>45207.42</v>
      </c>
      <c r="R46" s="18" t="n">
        <v>47092.09</v>
      </c>
      <c r="S46" s="18" t="n">
        <v>37907.58</v>
      </c>
      <c r="T46" s="18" t="n">
        <v>17950.96</v>
      </c>
      <c r="U46" s="37" t="n">
        <v>17950.96</v>
      </c>
      <c r="V46" s="18" t="n">
        <v>25174</v>
      </c>
      <c r="W46" s="18" t="n">
        <v>58332.61</v>
      </c>
      <c r="X46" s="18" t="n">
        <v>73833.53999999999</v>
      </c>
      <c r="Y46" s="18" t="n">
        <v>74732.39</v>
      </c>
      <c r="Z46" s="37" t="n">
        <v>74732.39</v>
      </c>
      <c r="AA46" s="18" t="n">
        <v>28025.34</v>
      </c>
      <c r="AB46" s="19" t="n">
        <v>24753.94</v>
      </c>
      <c r="AC46" s="10" t="n"/>
      <c r="AD46" s="10" t="n"/>
      <c r="AE46" s="11" t="n"/>
      <c r="AF46" s="10" t="n"/>
      <c r="AG46" s="10" t="n"/>
      <c r="AH46" s="10" t="n"/>
      <c r="AI46" s="10" t="n"/>
      <c r="AJ46" s="11" t="n"/>
      <c r="AK46" s="10" t="n"/>
      <c r="AL46" s="10" t="n"/>
      <c r="AM46" s="10" t="n"/>
      <c r="AN46" s="10" t="n"/>
      <c r="AO46" s="11" t="n"/>
    </row>
    <row r="47">
      <c r="A47" t="n">
        <v>1</v>
      </c>
      <c r="C47" t="inlineStr">
        <is>
          <t>당기법인세부채(미지급법인세)</t>
        </is>
      </c>
      <c r="F47" s="9" t="n"/>
      <c r="G47" s="18" t="n">
        <v>241.81</v>
      </c>
      <c r="H47" s="18" t="n">
        <v>828.02</v>
      </c>
      <c r="I47" s="18" t="n">
        <v>1866.91</v>
      </c>
      <c r="J47" s="18" t="n">
        <v>2143.79</v>
      </c>
      <c r="K47" s="37" t="n">
        <v>2143.79</v>
      </c>
      <c r="L47" s="18" t="n">
        <v>2150.59</v>
      </c>
      <c r="M47" s="18" t="n">
        <v>20534.86</v>
      </c>
      <c r="N47" s="18" t="n">
        <v>19399.63</v>
      </c>
      <c r="O47" s="18" t="n">
        <v>19088.82</v>
      </c>
      <c r="P47" s="37" t="n">
        <v>19088.82</v>
      </c>
      <c r="Q47" s="18" t="n">
        <v>19808.45</v>
      </c>
      <c r="R47" s="18" t="n">
        <v>18947.43</v>
      </c>
      <c r="S47" s="18" t="n">
        <v>5613.17</v>
      </c>
      <c r="T47" s="18" t="n">
        <v>1782.31</v>
      </c>
      <c r="U47" s="37" t="n">
        <v>1782.31</v>
      </c>
      <c r="V47" s="18" t="n">
        <v>2308.29</v>
      </c>
      <c r="W47" s="18" t="n">
        <v>3037.57</v>
      </c>
      <c r="X47" s="18" t="n">
        <v>3053.19</v>
      </c>
      <c r="Y47" s="18" t="n">
        <v>4117.89</v>
      </c>
      <c r="Z47" s="37" t="n">
        <v>4117.89</v>
      </c>
      <c r="AA47" s="18" t="n">
        <v>3686.15</v>
      </c>
      <c r="AB47" s="19" t="n">
        <v>3933.76</v>
      </c>
      <c r="AC47" s="10" t="n"/>
      <c r="AD47" s="10" t="n"/>
      <c r="AE47" s="11" t="n"/>
      <c r="AF47" s="10" t="n"/>
      <c r="AG47" s="10" t="n"/>
      <c r="AH47" s="10" t="n"/>
      <c r="AI47" s="10" t="n"/>
      <c r="AJ47" s="11" t="n"/>
      <c r="AK47" s="10" t="n"/>
      <c r="AL47" s="10" t="n"/>
      <c r="AM47" s="10" t="n"/>
      <c r="AN47" s="10" t="n"/>
      <c r="AO47" s="11" t="n"/>
    </row>
    <row r="48">
      <c r="A48" t="n">
        <v>1</v>
      </c>
      <c r="C48" t="inlineStr">
        <is>
          <t>단기충당부채</t>
        </is>
      </c>
      <c r="F48" s="9" t="n"/>
      <c r="H48" s="18" t="n">
        <v>665.11</v>
      </c>
      <c r="I48" s="18" t="n">
        <v>635.15</v>
      </c>
      <c r="J48" s="18" t="n">
        <v>875.13</v>
      </c>
      <c r="K48" s="37" t="n">
        <v>875.13</v>
      </c>
      <c r="L48" s="18" t="n">
        <v>846.23</v>
      </c>
      <c r="M48" s="18" t="n">
        <v>915.8</v>
      </c>
      <c r="N48" s="18" t="n">
        <v>741.14</v>
      </c>
      <c r="O48" s="18" t="n">
        <v>866.41</v>
      </c>
      <c r="P48" s="37" t="n">
        <v>866.41</v>
      </c>
      <c r="Q48" s="18" t="n">
        <v>911.08</v>
      </c>
      <c r="R48" s="18" t="n">
        <v>374.35</v>
      </c>
      <c r="S48" s="18" t="n">
        <v>363.83</v>
      </c>
      <c r="T48" s="18" t="n">
        <v>843.3099999999999</v>
      </c>
      <c r="U48" s="37" t="n">
        <v>843.3099999999999</v>
      </c>
      <c r="V48" s="18" t="n">
        <v>840.28</v>
      </c>
      <c r="W48" s="18" t="n">
        <v>516.92</v>
      </c>
      <c r="X48" s="18" t="n">
        <v>516.92</v>
      </c>
      <c r="Y48" s="18" t="n">
        <v>1132.11</v>
      </c>
      <c r="Z48" s="37" t="n">
        <v>1132.11</v>
      </c>
      <c r="AA48" s="18" t="n">
        <v>592.79</v>
      </c>
      <c r="AB48" s="19" t="n">
        <v>645.84</v>
      </c>
      <c r="AC48" s="10" t="n"/>
      <c r="AD48" s="10" t="n"/>
      <c r="AE48" s="11" t="n"/>
      <c r="AF48" s="10" t="n"/>
      <c r="AG48" s="10" t="n"/>
      <c r="AH48" s="10" t="n"/>
      <c r="AI48" s="10" t="n"/>
      <c r="AJ48" s="11" t="n"/>
      <c r="AK48" s="10" t="n"/>
      <c r="AL48" s="10" t="n"/>
      <c r="AM48" s="10" t="n"/>
      <c r="AN48" s="10" t="n"/>
      <c r="AO48" s="11" t="n"/>
    </row>
    <row r="49">
      <c r="A49" t="n">
        <v>1</v>
      </c>
      <c r="C49" t="inlineStr">
        <is>
          <t>기타비유동금융부채</t>
        </is>
      </c>
      <c r="F49" s="9" t="n"/>
      <c r="K49" s="9" t="n"/>
      <c r="L49" s="18" t="n">
        <v>15.05</v>
      </c>
      <c r="M49" s="18" t="n">
        <v>21.64</v>
      </c>
      <c r="P49" s="9" t="n"/>
      <c r="U49" s="9" t="n"/>
      <c r="Z49" s="9" t="n"/>
      <c r="AB49" s="19" t="n">
        <v>84.15000000000001</v>
      </c>
      <c r="AC49" s="10" t="n"/>
      <c r="AD49" s="10" t="n"/>
      <c r="AE49" s="11" t="n"/>
      <c r="AF49" s="10" t="n"/>
      <c r="AG49" s="10" t="n"/>
      <c r="AH49" s="10" t="n"/>
      <c r="AI49" s="10" t="n"/>
      <c r="AJ49" s="11" t="n"/>
      <c r="AK49" s="10" t="n"/>
      <c r="AL49" s="10" t="n"/>
      <c r="AM49" s="10" t="n"/>
      <c r="AN49" s="10" t="n"/>
      <c r="AO49" s="11" t="n"/>
    </row>
    <row r="50">
      <c r="A50" t="n">
        <v>1</v>
      </c>
      <c r="C50" t="inlineStr">
        <is>
          <t>단기투자자산(공정가치)</t>
        </is>
      </c>
      <c r="F50" s="9" t="n"/>
      <c r="K50" s="9" t="n"/>
      <c r="N50" s="18" t="n">
        <v>38961.54</v>
      </c>
      <c r="O50" s="18" t="n">
        <v>46645.24</v>
      </c>
      <c r="P50" s="37" t="n">
        <v>46645.24</v>
      </c>
      <c r="Q50" s="18" t="n">
        <v>53770.33</v>
      </c>
      <c r="R50" s="18" t="n">
        <v>47194.25</v>
      </c>
      <c r="S50" s="18" t="n">
        <v>43946.1</v>
      </c>
      <c r="T50" s="18" t="n">
        <v>57403.76</v>
      </c>
      <c r="U50" s="37" t="n">
        <v>57403.76</v>
      </c>
      <c r="V50" s="18" t="n">
        <v>55377.44</v>
      </c>
      <c r="W50" s="18" t="n">
        <v>24595.6</v>
      </c>
      <c r="X50" s="18" t="n">
        <v>16923.46</v>
      </c>
      <c r="Y50" s="18" t="n">
        <v>12005.61</v>
      </c>
      <c r="Z50" s="37" t="n">
        <v>12005.61</v>
      </c>
      <c r="AA50" s="18" t="n">
        <v>11595.15</v>
      </c>
      <c r="AB50" s="19" t="n">
        <v>7077.39</v>
      </c>
      <c r="AC50" s="10" t="n"/>
      <c r="AD50" s="10" t="n"/>
      <c r="AE50" s="11" t="n"/>
      <c r="AF50" s="10" t="n"/>
      <c r="AG50" s="10" t="n"/>
      <c r="AH50" s="10" t="n"/>
      <c r="AI50" s="10" t="n"/>
      <c r="AJ50" s="11" t="n"/>
      <c r="AK50" s="10" t="n"/>
      <c r="AL50" s="10" t="n"/>
      <c r="AM50" s="10" t="n"/>
      <c r="AN50" s="10" t="n"/>
      <c r="AO50" s="11" t="n"/>
    </row>
    <row r="51">
      <c r="A51" t="n">
        <v>1</v>
      </c>
      <c r="C51" t="inlineStr">
        <is>
          <t>단기금융부채(face)</t>
        </is>
      </c>
      <c r="F51" s="9" t="n"/>
      <c r="K51" s="9" t="n"/>
      <c r="N51" s="18" t="n">
        <v>991.47</v>
      </c>
      <c r="O51" s="18" t="n">
        <v>373.93</v>
      </c>
      <c r="P51" s="37" t="n">
        <v>373.93</v>
      </c>
      <c r="R51" s="18" t="n">
        <v>489.97</v>
      </c>
      <c r="S51" s="18" t="n">
        <v>191.54</v>
      </c>
      <c r="T51" s="18" t="n">
        <v>408.81</v>
      </c>
      <c r="U51" s="37" t="n">
        <v>408.81</v>
      </c>
      <c r="V51" s="18" t="n">
        <v>961.85</v>
      </c>
      <c r="W51" s="18" t="n">
        <v>784.4</v>
      </c>
      <c r="X51" s="18" t="n">
        <v>444.1</v>
      </c>
      <c r="Z51" s="9" t="n"/>
      <c r="AB51" s="5" t="n"/>
      <c r="AC51" s="10" t="n"/>
      <c r="AD51" s="10" t="n"/>
      <c r="AE51" s="11" t="n"/>
      <c r="AF51" s="10" t="n"/>
      <c r="AG51" s="10" t="n"/>
      <c r="AH51" s="10" t="n"/>
      <c r="AI51" s="10" t="n"/>
      <c r="AJ51" s="11" t="n"/>
      <c r="AK51" s="10" t="n"/>
      <c r="AL51" s="10" t="n"/>
      <c r="AM51" s="10" t="n"/>
      <c r="AN51" s="10" t="n"/>
      <c r="AO51" s="11" t="n"/>
    </row>
    <row r="52">
      <c r="A52" t="n">
        <v>1</v>
      </c>
      <c r="C52" t="inlineStr">
        <is>
          <t>장기충당부채</t>
        </is>
      </c>
      <c r="F52" s="9" t="n"/>
      <c r="K52" s="9" t="n"/>
      <c r="P52" s="9" t="n"/>
      <c r="R52" s="18" t="n">
        <v>648.37</v>
      </c>
      <c r="S52" s="18" t="n">
        <v>628.41</v>
      </c>
      <c r="T52" s="18" t="n">
        <v>313.72</v>
      </c>
      <c r="U52" s="37" t="n">
        <v>313.72</v>
      </c>
      <c r="V52" s="18" t="n">
        <v>275.21</v>
      </c>
      <c r="W52" s="18" t="n">
        <v>871.67</v>
      </c>
      <c r="X52" s="18" t="n">
        <v>871.67</v>
      </c>
      <c r="Y52" s="18" t="n">
        <v>404.51</v>
      </c>
      <c r="Z52" s="37" t="n">
        <v>404.51</v>
      </c>
      <c r="AA52" s="18" t="n">
        <v>1009.93</v>
      </c>
      <c r="AB52" s="19" t="n">
        <v>1102.43</v>
      </c>
      <c r="AC52" s="10" t="n"/>
      <c r="AD52" s="10" t="n"/>
      <c r="AE52" s="11" t="n"/>
      <c r="AF52" s="10" t="n"/>
      <c r="AG52" s="10" t="n"/>
      <c r="AH52" s="10" t="n"/>
      <c r="AI52" s="10" t="n"/>
      <c r="AJ52" s="11" t="n"/>
      <c r="AK52" s="10" t="n"/>
      <c r="AL52" s="10" t="n"/>
      <c r="AM52" s="10" t="n"/>
      <c r="AN52" s="10" t="n"/>
      <c r="AO52" s="11" t="n"/>
    </row>
    <row r="53">
      <c r="A53" t="n">
        <v>1</v>
      </c>
      <c r="C53" t="inlineStr">
        <is>
          <t>장기금융부채(face)</t>
        </is>
      </c>
      <c r="F53" s="9" t="n"/>
      <c r="K53" s="9" t="n"/>
      <c r="P53" s="9" t="n"/>
      <c r="S53" s="18" t="n">
        <v>6873.33</v>
      </c>
      <c r="T53" s="18" t="n">
        <v>6163.33</v>
      </c>
      <c r="U53" s="37" t="n">
        <v>6163.33</v>
      </c>
      <c r="W53" s="18" t="n">
        <v>810</v>
      </c>
      <c r="X53" s="18" t="n">
        <v>1310</v>
      </c>
      <c r="Z53" s="9" t="n"/>
      <c r="AB53" s="5" t="n"/>
      <c r="AC53" s="10" t="n"/>
      <c r="AD53" s="10" t="n"/>
      <c r="AE53" s="11" t="n"/>
      <c r="AF53" s="10" t="n"/>
      <c r="AG53" s="10" t="n"/>
      <c r="AH53" s="10" t="n"/>
      <c r="AI53" s="10" t="n"/>
      <c r="AJ53" s="11" t="n"/>
      <c r="AK53" s="10" t="n"/>
      <c r="AL53" s="10" t="n"/>
      <c r="AM53" s="10" t="n"/>
      <c r="AN53" s="10" t="n"/>
      <c r="AO53" s="11" t="n"/>
    </row>
    <row r="54">
      <c r="A54" t="n">
        <v>1</v>
      </c>
      <c r="C54" t="inlineStr">
        <is>
          <t>사용권자산</t>
        </is>
      </c>
      <c r="F54" s="9" t="n"/>
      <c r="K54" s="9" t="n"/>
      <c r="P54" s="9" t="n"/>
      <c r="U54" s="9" t="n"/>
      <c r="Y54" s="18" t="n">
        <v>10.25</v>
      </c>
      <c r="Z54" s="37" t="n">
        <v>10.25</v>
      </c>
      <c r="AA54" s="18" t="n">
        <v>6.91</v>
      </c>
      <c r="AB54" s="19" t="n">
        <v>5.61</v>
      </c>
      <c r="AC54" s="10" t="n"/>
      <c r="AD54" s="10" t="n"/>
      <c r="AE54" s="11" t="n"/>
      <c r="AF54" s="10" t="n"/>
      <c r="AG54" s="10" t="n"/>
      <c r="AH54" s="10" t="n"/>
      <c r="AI54" s="10" t="n"/>
      <c r="AJ54" s="11" t="n"/>
      <c r="AK54" s="10" t="n"/>
      <c r="AL54" s="10" t="n"/>
      <c r="AM54" s="10" t="n"/>
      <c r="AN54" s="10" t="n"/>
      <c r="AO54" s="11" t="n"/>
    </row>
    <row r="55">
      <c r="A55" t="n">
        <v>1</v>
      </c>
      <c r="C55" t="inlineStr">
        <is>
          <t>기타비유동자산</t>
        </is>
      </c>
      <c r="F55" s="9" t="n"/>
      <c r="K55" s="9" t="n"/>
      <c r="P55" s="9" t="n"/>
      <c r="U55" s="9" t="n"/>
      <c r="Y55" s="18" t="n">
        <v>10.25</v>
      </c>
      <c r="Z55" s="37" t="n">
        <v>10.25</v>
      </c>
      <c r="AA55" s="18" t="n">
        <v>6.91</v>
      </c>
      <c r="AB55" s="19" t="n">
        <v>5.61</v>
      </c>
      <c r="AC55" s="10" t="n"/>
      <c r="AD55" s="10" t="n"/>
      <c r="AE55" s="11" t="n"/>
      <c r="AF55" s="10" t="n"/>
      <c r="AG55" s="10" t="n"/>
      <c r="AH55" s="10" t="n"/>
      <c r="AI55" s="10" t="n"/>
      <c r="AJ55" s="11" t="n"/>
      <c r="AK55" s="10" t="n"/>
      <c r="AL55" s="10" t="n"/>
      <c r="AM55" s="10" t="n"/>
      <c r="AN55" s="10" t="n"/>
      <c r="AO55" s="11" t="n"/>
    </row>
    <row r="56">
      <c r="A56" t="n">
        <v>1</v>
      </c>
      <c r="C56" t="inlineStr">
        <is>
          <t>매출액(수익)</t>
        </is>
      </c>
      <c r="E56" s="18" t="n">
        <v>15395.23</v>
      </c>
      <c r="F56" s="9" t="n"/>
      <c r="G56" s="18" t="n">
        <v>15073.85</v>
      </c>
      <c r="H56" s="18" t="n">
        <v>25281.15</v>
      </c>
      <c r="I56" s="18" t="n">
        <v>25927.99</v>
      </c>
      <c r="J56" s="18" t="n">
        <v>28017.68</v>
      </c>
      <c r="K56" s="37" t="n">
        <v>94300.67</v>
      </c>
      <c r="L56" s="18" t="n">
        <v>21554.51</v>
      </c>
      <c r="M56" s="18" t="n">
        <v>20076.61</v>
      </c>
      <c r="N56" s="18" t="n">
        <v>16917.7</v>
      </c>
      <c r="O56" s="18" t="n">
        <v>18798.32</v>
      </c>
      <c r="P56" s="37" t="n">
        <v>77347.14</v>
      </c>
      <c r="Q56" s="18" t="n">
        <v>22743.58</v>
      </c>
      <c r="R56" s="18" t="n">
        <v>25215.47</v>
      </c>
      <c r="S56" s="18" t="n">
        <v>22818.91</v>
      </c>
      <c r="T56" s="18" t="n">
        <v>31815.15</v>
      </c>
      <c r="U56" s="37" t="n">
        <v>102593.11</v>
      </c>
      <c r="V56" s="18" t="n">
        <v>26551.91</v>
      </c>
      <c r="W56" s="18" t="n">
        <v>34548.56</v>
      </c>
      <c r="X56" s="18" t="n">
        <v>31016.57</v>
      </c>
      <c r="Y56" s="18" t="n">
        <v>39519.79</v>
      </c>
      <c r="Z56" s="37" t="n">
        <v>131636.83</v>
      </c>
      <c r="AA56" s="18" t="n">
        <v>38816.33</v>
      </c>
      <c r="AB56" s="19" t="n">
        <v>42619.59</v>
      </c>
      <c r="AC56" s="10" t="n"/>
      <c r="AD56" s="10" t="n"/>
      <c r="AE56" s="11" t="n"/>
      <c r="AF56" s="10" t="n"/>
      <c r="AG56" s="10" t="n"/>
      <c r="AH56" s="10" t="n"/>
      <c r="AI56" s="10" t="n"/>
      <c r="AJ56" s="11" t="n"/>
      <c r="AK56" s="10" t="n"/>
      <c r="AL56" s="10" t="n"/>
      <c r="AM56" s="10" t="n"/>
      <c r="AN56" s="10" t="n"/>
      <c r="AO56" s="11" t="n"/>
    </row>
    <row r="57">
      <c r="A57" t="n">
        <v>1</v>
      </c>
      <c r="C57" t="inlineStr">
        <is>
          <t>매출원가</t>
        </is>
      </c>
      <c r="E57" s="18" t="n">
        <v>12066.35</v>
      </c>
      <c r="F57" s="9" t="n"/>
      <c r="G57" s="18" t="n">
        <v>10851.01</v>
      </c>
      <c r="H57" s="18" t="n">
        <v>17950.2</v>
      </c>
      <c r="I57" s="18" t="n">
        <v>17148.28</v>
      </c>
      <c r="J57" s="18" t="n">
        <v>21929.17</v>
      </c>
      <c r="K57" s="37" t="n">
        <v>67878.66</v>
      </c>
      <c r="L57" s="18" t="n">
        <v>15109.32</v>
      </c>
      <c r="M57" s="18" t="n">
        <v>12758.95</v>
      </c>
      <c r="N57" s="18" t="n">
        <v>10351.45</v>
      </c>
      <c r="O57" s="18" t="n">
        <v>13925.78</v>
      </c>
      <c r="P57" s="37" t="n">
        <v>52145.5</v>
      </c>
      <c r="Q57" s="18" t="n">
        <v>15610.4</v>
      </c>
      <c r="R57" s="18" t="n">
        <v>17871.44</v>
      </c>
      <c r="S57" s="18" t="n">
        <v>15086.99</v>
      </c>
      <c r="T57" s="18" t="n">
        <v>21396.2</v>
      </c>
      <c r="U57" s="37" t="n">
        <v>69965.03</v>
      </c>
      <c r="V57" s="18" t="n">
        <v>17967.77</v>
      </c>
      <c r="W57" s="18" t="n">
        <v>23392.41</v>
      </c>
      <c r="X57" s="18" t="n">
        <v>19947.2</v>
      </c>
      <c r="Y57" s="18" t="n">
        <v>26742.8</v>
      </c>
      <c r="Z57" s="37" t="n">
        <v>88050.17999999999</v>
      </c>
      <c r="AA57" s="18" t="n">
        <v>28180.06</v>
      </c>
      <c r="AB57" s="19" t="n">
        <v>26974.72</v>
      </c>
      <c r="AC57" s="10" t="n"/>
      <c r="AD57" s="10" t="n"/>
      <c r="AE57" s="11" t="n"/>
      <c r="AF57" s="10" t="n"/>
      <c r="AG57" s="10" t="n"/>
      <c r="AH57" s="10" t="n"/>
      <c r="AI57" s="10" t="n"/>
      <c r="AJ57" s="11" t="n"/>
      <c r="AK57" s="10" t="n"/>
      <c r="AL57" s="10" t="n"/>
      <c r="AM57" s="10" t="n"/>
      <c r="AN57" s="10" t="n"/>
      <c r="AO57" s="11" t="n"/>
    </row>
    <row r="58">
      <c r="A58" t="n">
        <v>1</v>
      </c>
      <c r="C58" t="inlineStr">
        <is>
          <t>매출총이익</t>
        </is>
      </c>
      <c r="E58" s="18" t="n">
        <v>3328.88</v>
      </c>
      <c r="F58" s="9" t="n"/>
      <c r="G58" s="18" t="n">
        <v>4222.84</v>
      </c>
      <c r="H58" s="18" t="n">
        <v>7330.95</v>
      </c>
      <c r="I58" s="18" t="n">
        <v>8779.709999999999</v>
      </c>
      <c r="J58" s="18" t="n">
        <v>6088.5</v>
      </c>
      <c r="K58" s="37" t="n">
        <v>26422</v>
      </c>
      <c r="L58" s="18" t="n">
        <v>6445.19</v>
      </c>
      <c r="M58" s="18" t="n">
        <v>7317.66</v>
      </c>
      <c r="N58" s="18" t="n">
        <v>6566.25</v>
      </c>
      <c r="O58" s="18" t="n">
        <v>4872.54</v>
      </c>
      <c r="P58" s="37" t="n">
        <v>25201.64</v>
      </c>
      <c r="Q58" s="18" t="n">
        <v>7133.18</v>
      </c>
      <c r="R58" s="18" t="n">
        <v>7344.03</v>
      </c>
      <c r="S58" s="18" t="n">
        <v>7731.92</v>
      </c>
      <c r="T58" s="18" t="n">
        <v>10418.95</v>
      </c>
      <c r="U58" s="37" t="n">
        <v>32628.08</v>
      </c>
      <c r="V58" s="18" t="n">
        <v>8584.129999999999</v>
      </c>
      <c r="W58" s="18" t="n">
        <v>11156.14</v>
      </c>
      <c r="X58" s="18" t="n">
        <v>11069.37</v>
      </c>
      <c r="Y58" s="18" t="n">
        <v>12776.99</v>
      </c>
      <c r="Z58" s="37" t="n">
        <v>43586.63</v>
      </c>
      <c r="AA58" s="18" t="n">
        <v>10636.26</v>
      </c>
      <c r="AB58" s="19" t="n">
        <v>15644.87</v>
      </c>
      <c r="AC58" s="10" t="n"/>
      <c r="AD58" s="10" t="n"/>
      <c r="AE58" s="11" t="n"/>
      <c r="AF58" s="10" t="n"/>
      <c r="AG58" s="10" t="n"/>
      <c r="AH58" s="10" t="n"/>
      <c r="AI58" s="10" t="n"/>
      <c r="AJ58" s="11" t="n"/>
      <c r="AK58" s="10" t="n"/>
      <c r="AL58" s="10" t="n"/>
      <c r="AM58" s="10" t="n"/>
      <c r="AN58" s="10" t="n"/>
      <c r="AO58" s="11" t="n"/>
    </row>
    <row r="59">
      <c r="A59" t="n">
        <v>1</v>
      </c>
      <c r="C59" t="inlineStr">
        <is>
          <t>판관비</t>
        </is>
      </c>
      <c r="E59" s="18" t="n">
        <v>4125.75</v>
      </c>
      <c r="F59" s="9" t="n"/>
      <c r="G59" s="18" t="n">
        <v>3325.82</v>
      </c>
      <c r="H59" s="18" t="n">
        <v>4974.17</v>
      </c>
      <c r="I59" s="18" t="n">
        <v>4096.42</v>
      </c>
      <c r="J59" s="18" t="n">
        <v>5796.43</v>
      </c>
      <c r="K59" s="37" t="n">
        <v>18192.84</v>
      </c>
      <c r="L59" s="18" t="n">
        <v>5267.93</v>
      </c>
      <c r="M59" s="18" t="n">
        <v>6039.98</v>
      </c>
      <c r="N59" s="18" t="n">
        <v>5250.36</v>
      </c>
      <c r="O59" s="18" t="n">
        <v>3467.18</v>
      </c>
      <c r="P59" s="37" t="n">
        <v>20025.45</v>
      </c>
      <c r="Q59" s="18" t="n">
        <v>3270.06</v>
      </c>
      <c r="R59" s="18" t="n">
        <v>3502.15</v>
      </c>
      <c r="S59" s="18" t="n">
        <v>4699.57</v>
      </c>
      <c r="T59" s="18" t="n">
        <v>5546.95</v>
      </c>
      <c r="U59" s="37" t="n">
        <v>17018.73</v>
      </c>
      <c r="V59" s="18" t="n">
        <v>3764.8</v>
      </c>
      <c r="W59" s="18" t="n">
        <v>4838.7</v>
      </c>
      <c r="X59" s="18" t="n">
        <v>5722.97</v>
      </c>
      <c r="Y59" s="18" t="n">
        <v>6889.69</v>
      </c>
      <c r="Z59" s="37" t="n">
        <v>21216.16</v>
      </c>
      <c r="AA59" s="18" t="n">
        <v>6001.66</v>
      </c>
      <c r="AB59" s="19" t="n">
        <v>6317.51</v>
      </c>
      <c r="AC59" s="10" t="n"/>
      <c r="AD59" s="10" t="n"/>
      <c r="AE59" s="11" t="n"/>
      <c r="AF59" s="10" t="n"/>
      <c r="AG59" s="10" t="n"/>
      <c r="AH59" s="10" t="n"/>
      <c r="AI59" s="10" t="n"/>
      <c r="AJ59" s="11" t="n"/>
      <c r="AK59" s="10" t="n"/>
      <c r="AL59" s="10" t="n"/>
      <c r="AM59" s="10" t="n"/>
      <c r="AN59" s="10" t="n"/>
      <c r="AO59" s="11" t="n"/>
    </row>
    <row r="60">
      <c r="A60" t="n">
        <v>1</v>
      </c>
      <c r="C60" t="inlineStr">
        <is>
          <t>영업이익</t>
        </is>
      </c>
      <c r="E60" s="18" t="n">
        <v>-796.88</v>
      </c>
      <c r="F60" s="9" t="n"/>
      <c r="G60" s="18" t="n">
        <v>897.01</v>
      </c>
      <c r="H60" s="18" t="n">
        <v>2356.78</v>
      </c>
      <c r="I60" s="18" t="n">
        <v>4683.29</v>
      </c>
      <c r="J60" s="18" t="n">
        <v>292.08</v>
      </c>
      <c r="K60" s="37" t="n">
        <v>8229.16</v>
      </c>
      <c r="L60" s="18" t="n">
        <v>1177.26</v>
      </c>
      <c r="M60" s="18" t="n">
        <v>1277.68</v>
      </c>
      <c r="N60" s="18" t="n">
        <v>1315.89</v>
      </c>
      <c r="O60" s="18" t="n">
        <v>1405.36</v>
      </c>
      <c r="P60" s="37" t="n">
        <v>5176.19</v>
      </c>
      <c r="Q60" s="18" t="n">
        <v>3863.12</v>
      </c>
      <c r="R60" s="18" t="n">
        <v>3841.88</v>
      </c>
      <c r="S60" s="18" t="n">
        <v>3032.35</v>
      </c>
      <c r="T60" s="18" t="n">
        <v>4872</v>
      </c>
      <c r="U60" s="37" t="n">
        <v>15609.35</v>
      </c>
      <c r="V60" s="18" t="n">
        <v>4819.33</v>
      </c>
      <c r="W60" s="18" t="n">
        <v>6317.44</v>
      </c>
      <c r="X60" s="18" t="n">
        <v>5346.4</v>
      </c>
      <c r="Y60" s="18" t="n">
        <v>5887.29</v>
      </c>
      <c r="Z60" s="37" t="n">
        <v>22370.46</v>
      </c>
      <c r="AA60" s="18" t="n">
        <v>4634.6</v>
      </c>
      <c r="AB60" s="19" t="n">
        <v>9327.360000000001</v>
      </c>
      <c r="AC60" s="10" t="n"/>
      <c r="AD60" s="10" t="n"/>
      <c r="AE60" s="11" t="n"/>
      <c r="AF60" s="10" t="n"/>
      <c r="AG60" s="10" t="n"/>
      <c r="AH60" s="10" t="n"/>
      <c r="AI60" s="10" t="n"/>
      <c r="AJ60" s="11" t="n"/>
      <c r="AK60" s="10" t="n"/>
      <c r="AL60" s="10" t="n"/>
      <c r="AM60" s="10" t="n"/>
      <c r="AN60" s="10" t="n"/>
      <c r="AO60" s="11" t="n"/>
    </row>
    <row r="61">
      <c r="A61" t="n">
        <v>1</v>
      </c>
      <c r="C61" t="inlineStr">
        <is>
          <t>금융비용</t>
        </is>
      </c>
      <c r="E61" s="18" t="n">
        <v>406.35</v>
      </c>
      <c r="F61" s="9" t="n"/>
      <c r="G61" s="18" t="n">
        <v>378.66</v>
      </c>
      <c r="H61" s="18" t="n">
        <v>389.69</v>
      </c>
      <c r="I61" s="18" t="n">
        <v>391.58</v>
      </c>
      <c r="J61" s="18" t="n">
        <v>448.1</v>
      </c>
      <c r="K61" s="37" t="n">
        <v>1608.03</v>
      </c>
      <c r="L61" s="18" t="n">
        <v>403.23</v>
      </c>
      <c r="M61" s="18" t="n">
        <v>400.91</v>
      </c>
      <c r="N61" s="18" t="n">
        <v>162.81</v>
      </c>
      <c r="O61" s="18" t="n">
        <v>162.5</v>
      </c>
      <c r="P61" s="37" t="n">
        <v>1129.45</v>
      </c>
      <c r="Q61" s="18" t="n">
        <v>110.3</v>
      </c>
      <c r="R61" s="18" t="n">
        <v>80.48999999999999</v>
      </c>
      <c r="S61" s="18" t="n">
        <v>77.56</v>
      </c>
      <c r="T61" s="18" t="n">
        <v>75.17</v>
      </c>
      <c r="U61" s="37" t="n">
        <v>343.52</v>
      </c>
      <c r="V61" s="18" t="n">
        <v>83.65000000000001</v>
      </c>
      <c r="W61" s="18" t="n">
        <v>2774.13</v>
      </c>
      <c r="X61" s="18" t="n">
        <v>61.73</v>
      </c>
      <c r="Y61" s="18" t="n">
        <v>56.94</v>
      </c>
      <c r="Z61" s="37" t="n">
        <v>2976.45</v>
      </c>
      <c r="AA61" s="18" t="n">
        <v>345.44</v>
      </c>
      <c r="AB61" s="19" t="n">
        <v>367</v>
      </c>
      <c r="AC61" s="10" t="n"/>
      <c r="AD61" s="10" t="n"/>
      <c r="AE61" s="11" t="n"/>
      <c r="AF61" s="10" t="n"/>
      <c r="AG61" s="10" t="n"/>
      <c r="AH61" s="10" t="n"/>
      <c r="AI61" s="10" t="n"/>
      <c r="AJ61" s="11" t="n"/>
      <c r="AK61" s="10" t="n"/>
      <c r="AL61" s="10" t="n"/>
      <c r="AM61" s="10" t="n"/>
      <c r="AN61" s="10" t="n"/>
      <c r="AO61" s="11" t="n"/>
    </row>
    <row r="62">
      <c r="A62" t="n">
        <v>1</v>
      </c>
      <c r="C62" t="inlineStr">
        <is>
          <t>기타영업외수익</t>
        </is>
      </c>
      <c r="E62" s="18" t="n">
        <v>2935.25</v>
      </c>
      <c r="F62" s="9" t="n"/>
      <c r="G62" s="18" t="n">
        <v>2299.32</v>
      </c>
      <c r="H62" s="18" t="n">
        <v>3912.25</v>
      </c>
      <c r="I62" s="18" t="n">
        <v>2241.02</v>
      </c>
      <c r="J62" s="18" t="n">
        <v>1383.83</v>
      </c>
      <c r="K62" s="37" t="n">
        <v>9836.42</v>
      </c>
      <c r="L62" s="18" t="n">
        <v>1180.11</v>
      </c>
      <c r="M62" s="18" t="n">
        <v>87554.14999999999</v>
      </c>
      <c r="N62" s="18" t="n">
        <v>-258.51</v>
      </c>
      <c r="O62" s="18" t="n">
        <v>5009.56</v>
      </c>
      <c r="P62" s="37" t="n">
        <v>93485.31</v>
      </c>
      <c r="Q62" s="18" t="n">
        <v>2485.11</v>
      </c>
      <c r="R62" s="18" t="n">
        <v>661.24</v>
      </c>
      <c r="S62" s="18" t="n">
        <v>905.05</v>
      </c>
      <c r="T62" s="18" t="n">
        <v>2099.43</v>
      </c>
      <c r="U62" s="37" t="n">
        <v>6150.83</v>
      </c>
      <c r="V62" s="18" t="n">
        <v>1975.65</v>
      </c>
      <c r="W62" s="18" t="n">
        <v>1196.62</v>
      </c>
      <c r="X62" s="18" t="n">
        <v>4389.34</v>
      </c>
      <c r="Y62" s="18" t="n">
        <v>2566.11</v>
      </c>
      <c r="Z62" s="37" t="n">
        <v>10127.72</v>
      </c>
      <c r="AA62" s="18" t="n">
        <v>4667.76</v>
      </c>
      <c r="AB62" s="19" t="n">
        <v>3668.44</v>
      </c>
      <c r="AC62" s="10" t="n"/>
      <c r="AD62" s="10" t="n"/>
      <c r="AE62" s="11" t="n"/>
      <c r="AF62" s="10" t="n"/>
      <c r="AG62" s="10" t="n"/>
      <c r="AH62" s="10" t="n"/>
      <c r="AI62" s="10" t="n"/>
      <c r="AJ62" s="11" t="n"/>
      <c r="AK62" s="10" t="n"/>
      <c r="AL62" s="10" t="n"/>
      <c r="AM62" s="10" t="n"/>
      <c r="AN62" s="10" t="n"/>
      <c r="AO62" s="11" t="n"/>
    </row>
    <row r="63">
      <c r="A63" t="n">
        <v>1</v>
      </c>
      <c r="C63" t="inlineStr">
        <is>
          <t>기타영업외비용</t>
        </is>
      </c>
      <c r="E63" s="18" t="n">
        <v>1337.96</v>
      </c>
      <c r="F63" s="9" t="n"/>
      <c r="G63" s="18" t="n">
        <v>749.1900000000001</v>
      </c>
      <c r="H63" s="18" t="n">
        <v>1881.9</v>
      </c>
      <c r="I63" s="18" t="n">
        <v>2951.52</v>
      </c>
      <c r="J63" s="18" t="n">
        <v>2656.06</v>
      </c>
      <c r="K63" s="37" t="n">
        <v>8238.67</v>
      </c>
      <c r="L63" s="18" t="n">
        <v>1069.04</v>
      </c>
      <c r="M63" s="18" t="n">
        <v>996.9299999999999</v>
      </c>
      <c r="N63" s="18" t="n">
        <v>2157.12</v>
      </c>
      <c r="O63" s="18" t="n">
        <v>4114.95</v>
      </c>
      <c r="P63" s="37" t="n">
        <v>8338.040000000001</v>
      </c>
      <c r="Q63" s="18" t="n">
        <v>1862.99</v>
      </c>
      <c r="R63" s="18" t="n">
        <v>1141.73</v>
      </c>
      <c r="S63" s="18" t="n">
        <v>1633.24</v>
      </c>
      <c r="T63" s="18" t="n">
        <v>4602.77</v>
      </c>
      <c r="U63" s="37" t="n">
        <v>9240.73</v>
      </c>
      <c r="V63" s="18" t="n">
        <v>358.66</v>
      </c>
      <c r="W63" s="18" t="n">
        <v>66.58</v>
      </c>
      <c r="X63" s="18" t="n">
        <v>208.45</v>
      </c>
      <c r="Y63" s="18" t="n">
        <v>3622.03</v>
      </c>
      <c r="Z63" s="37" t="n">
        <v>4255.72</v>
      </c>
      <c r="AA63" s="18" t="n">
        <v>1985.96</v>
      </c>
      <c r="AB63" s="19" t="n">
        <v>2258.27</v>
      </c>
      <c r="AC63" s="10" t="n"/>
      <c r="AD63" s="10" t="n"/>
      <c r="AE63" s="11" t="n"/>
      <c r="AF63" s="10" t="n"/>
      <c r="AG63" s="10" t="n"/>
      <c r="AH63" s="10" t="n"/>
      <c r="AI63" s="10" t="n"/>
      <c r="AJ63" s="11" t="n"/>
      <c r="AK63" s="10" t="n"/>
      <c r="AL63" s="10" t="n"/>
      <c r="AM63" s="10" t="n"/>
      <c r="AN63" s="10" t="n"/>
      <c r="AO63" s="11" t="n"/>
    </row>
    <row r="64">
      <c r="A64" t="n">
        <v>1</v>
      </c>
      <c r="C64" t="inlineStr">
        <is>
          <t>법인세비용차감전계속사업이익</t>
        </is>
      </c>
      <c r="E64" s="18" t="n">
        <v>1599.82</v>
      </c>
      <c r="F64" s="9" t="n"/>
      <c r="G64" s="18" t="n">
        <v>2242</v>
      </c>
      <c r="H64" s="18" t="n">
        <v>4327.9</v>
      </c>
      <c r="I64" s="18" t="n">
        <v>3620.19</v>
      </c>
      <c r="J64" s="18" t="n">
        <v>1369.31</v>
      </c>
      <c r="K64" s="37" t="n">
        <v>11559.4</v>
      </c>
      <c r="L64" s="18" t="n">
        <v>987.41</v>
      </c>
      <c r="M64" s="18" t="n">
        <v>87697.56</v>
      </c>
      <c r="N64" s="18" t="n">
        <v>-591.5</v>
      </c>
      <c r="O64" s="18" t="n">
        <v>3568.05</v>
      </c>
      <c r="P64" s="37" t="n">
        <v>91661.52</v>
      </c>
      <c r="Q64" s="18" t="n">
        <v>5129.59</v>
      </c>
      <c r="R64" s="18" t="n">
        <v>4232.86</v>
      </c>
      <c r="S64" s="18" t="n">
        <v>2842.77</v>
      </c>
      <c r="T64" s="18" t="n">
        <v>2948.82</v>
      </c>
      <c r="U64" s="37" t="n">
        <v>15154.04</v>
      </c>
      <c r="V64" s="18" t="n">
        <v>6678.75</v>
      </c>
      <c r="W64" s="18" t="n">
        <v>7519.92</v>
      </c>
      <c r="X64" s="18" t="n">
        <v>9936.76</v>
      </c>
      <c r="Y64" s="18" t="n">
        <v>6115.21</v>
      </c>
      <c r="Z64" s="37" t="n">
        <v>30250.64</v>
      </c>
      <c r="AA64" s="18" t="n">
        <v>7021.87</v>
      </c>
      <c r="AB64" s="19" t="n">
        <v>10471.56</v>
      </c>
      <c r="AC64" s="10" t="n"/>
      <c r="AD64" s="10" t="n"/>
      <c r="AE64" s="11" t="n"/>
      <c r="AF64" s="10" t="n"/>
      <c r="AG64" s="10" t="n"/>
      <c r="AH64" s="10" t="n"/>
      <c r="AI64" s="10" t="n"/>
      <c r="AJ64" s="11" t="n"/>
      <c r="AK64" s="10" t="n"/>
      <c r="AL64" s="10" t="n"/>
      <c r="AM64" s="10" t="n"/>
      <c r="AN64" s="10" t="n"/>
      <c r="AO64" s="11" t="n"/>
    </row>
    <row r="65">
      <c r="A65" t="n">
        <v>1</v>
      </c>
      <c r="C65" t="inlineStr">
        <is>
          <t>법인세비용</t>
        </is>
      </c>
      <c r="E65" s="18" t="n">
        <v>215.3</v>
      </c>
      <c r="F65" s="9" t="n"/>
      <c r="G65" s="18" t="n">
        <v>179.57</v>
      </c>
      <c r="H65" s="18" t="n">
        <v>718.5</v>
      </c>
      <c r="I65" s="18" t="n">
        <v>664.91</v>
      </c>
      <c r="J65" s="18" t="n">
        <v>-249.08</v>
      </c>
      <c r="K65" s="37" t="n">
        <v>1313.9</v>
      </c>
      <c r="L65" s="18" t="n">
        <v>155.7</v>
      </c>
      <c r="M65" s="18" t="n">
        <v>19588.31</v>
      </c>
      <c r="N65" s="18" t="n">
        <v>-114.37</v>
      </c>
      <c r="O65" s="18" t="n">
        <v>187.52</v>
      </c>
      <c r="P65" s="37" t="n">
        <v>19817.16</v>
      </c>
      <c r="Q65" s="18" t="n">
        <v>914.47</v>
      </c>
      <c r="R65" s="18" t="n">
        <v>769.39</v>
      </c>
      <c r="S65" s="18" t="n">
        <v>416.04</v>
      </c>
      <c r="T65" s="18" t="n">
        <v>-246.41</v>
      </c>
      <c r="U65" s="37" t="n">
        <v>1853.49</v>
      </c>
      <c r="V65" s="18" t="n">
        <v>1276.38</v>
      </c>
      <c r="W65" s="18" t="n">
        <v>841.48</v>
      </c>
      <c r="X65" s="18" t="n">
        <v>2048.52</v>
      </c>
      <c r="Y65" s="18" t="n">
        <v>368.38</v>
      </c>
      <c r="Z65" s="37" t="n">
        <v>4534.76</v>
      </c>
      <c r="AA65" s="18" t="n">
        <v>1206.34</v>
      </c>
      <c r="AB65" s="19" t="n">
        <v>2135.24</v>
      </c>
      <c r="AC65" s="10" t="n"/>
      <c r="AD65" s="10" t="n"/>
      <c r="AE65" s="11" t="n"/>
      <c r="AF65" s="10" t="n"/>
      <c r="AG65" s="10" t="n"/>
      <c r="AH65" s="10" t="n"/>
      <c r="AI65" s="10" t="n"/>
      <c r="AJ65" s="11" t="n"/>
      <c r="AK65" s="10" t="n"/>
      <c r="AL65" s="10" t="n"/>
      <c r="AM65" s="10" t="n"/>
      <c r="AN65" s="10" t="n"/>
      <c r="AO65" s="11" t="n"/>
    </row>
    <row r="66">
      <c r="A66" t="n">
        <v>1</v>
      </c>
      <c r="C66" t="inlineStr">
        <is>
          <t>당기순이익</t>
        </is>
      </c>
      <c r="E66" s="18" t="n">
        <v>1384.53</v>
      </c>
      <c r="F66" s="9" t="n"/>
      <c r="G66" s="18" t="n">
        <v>2062.43</v>
      </c>
      <c r="H66" s="18" t="n">
        <v>3609.4</v>
      </c>
      <c r="I66" s="18" t="n">
        <v>2955.28</v>
      </c>
      <c r="J66" s="18" t="n">
        <v>1618.39</v>
      </c>
      <c r="K66" s="37" t="n">
        <v>10245.5</v>
      </c>
      <c r="L66" s="18" t="n">
        <v>831.71</v>
      </c>
      <c r="M66" s="18" t="n">
        <v>68109.25999999999</v>
      </c>
      <c r="N66" s="18" t="n">
        <v>-477.13</v>
      </c>
      <c r="O66" s="18" t="n">
        <v>3380.53</v>
      </c>
      <c r="P66" s="37" t="n">
        <v>71844.37</v>
      </c>
      <c r="Q66" s="18" t="n">
        <v>4215.12</v>
      </c>
      <c r="R66" s="18" t="n">
        <v>3463.46</v>
      </c>
      <c r="S66" s="18" t="n">
        <v>2426.73</v>
      </c>
      <c r="T66" s="18" t="n">
        <v>3195.23</v>
      </c>
      <c r="U66" s="37" t="n">
        <v>13300.54</v>
      </c>
      <c r="V66" s="18" t="n">
        <v>5402.37</v>
      </c>
      <c r="W66" s="18" t="n">
        <v>6678.44</v>
      </c>
      <c r="X66" s="18" t="n">
        <v>7888.23</v>
      </c>
      <c r="Y66" s="18" t="n">
        <v>5746.83</v>
      </c>
      <c r="Z66" s="37" t="n">
        <v>25715.87</v>
      </c>
      <c r="AA66" s="18" t="n">
        <v>5815.53</v>
      </c>
      <c r="AB66" s="19" t="n">
        <v>8336.33</v>
      </c>
      <c r="AC66" s="10" t="n"/>
      <c r="AD66" s="10" t="n"/>
      <c r="AE66" s="11" t="n"/>
      <c r="AF66" s="10" t="n"/>
      <c r="AG66" s="10" t="n"/>
      <c r="AH66" s="10" t="n"/>
      <c r="AI66" s="10" t="n"/>
      <c r="AJ66" s="11" t="n"/>
      <c r="AK66" s="10" t="n"/>
      <c r="AL66" s="10" t="n"/>
      <c r="AM66" s="10" t="n"/>
      <c r="AN66" s="10" t="n"/>
      <c r="AO66" s="11" t="n"/>
    </row>
    <row r="67">
      <c r="A67" t="n">
        <v>1</v>
      </c>
      <c r="C67" t="inlineStr">
        <is>
          <t>총포괄손익</t>
        </is>
      </c>
      <c r="E67" s="18" t="n">
        <v>1384.53</v>
      </c>
      <c r="F67" s="9" t="n"/>
      <c r="G67" s="18" t="n">
        <v>2062.43</v>
      </c>
      <c r="H67" s="18" t="n">
        <v>3609.4</v>
      </c>
      <c r="I67" s="18" t="n">
        <v>2955.28</v>
      </c>
      <c r="J67" s="18" t="n">
        <v>1618.39</v>
      </c>
      <c r="K67" s="37" t="n">
        <v>10245.5</v>
      </c>
      <c r="L67" s="18" t="n">
        <v>831.71</v>
      </c>
      <c r="M67" s="18" t="n">
        <v>68109.25999999999</v>
      </c>
      <c r="N67" s="18" t="n">
        <v>-477.13</v>
      </c>
      <c r="O67" s="18" t="n">
        <v>3380.53</v>
      </c>
      <c r="P67" s="37" t="n">
        <v>71844.37</v>
      </c>
      <c r="Q67" s="18" t="n">
        <v>4215.12</v>
      </c>
      <c r="R67" s="18" t="n">
        <v>3463.46</v>
      </c>
      <c r="S67" s="18" t="n">
        <v>2426.73</v>
      </c>
      <c r="T67" s="18" t="n">
        <v>3195.23</v>
      </c>
      <c r="U67" s="37" t="n">
        <v>13300.54</v>
      </c>
      <c r="V67" s="18" t="n">
        <v>5402.37</v>
      </c>
      <c r="W67" s="18" t="n">
        <v>6678.44</v>
      </c>
      <c r="X67" s="18" t="n">
        <v>7888.23</v>
      </c>
      <c r="Y67" s="18" t="n">
        <v>5746.83</v>
      </c>
      <c r="Z67" s="37" t="n">
        <v>25715.87</v>
      </c>
      <c r="AA67" s="18" t="n">
        <v>5815.53</v>
      </c>
      <c r="AB67" s="19" t="n">
        <v>8336.33</v>
      </c>
      <c r="AC67" s="10" t="n"/>
      <c r="AD67" s="10" t="n"/>
      <c r="AE67" s="11" t="n"/>
      <c r="AF67" s="10" t="n"/>
      <c r="AG67" s="10" t="n"/>
      <c r="AH67" s="10" t="n"/>
      <c r="AI67" s="10" t="n"/>
      <c r="AJ67" s="11" t="n"/>
      <c r="AK67" s="10" t="n"/>
      <c r="AL67" s="10" t="n"/>
      <c r="AM67" s="10" t="n"/>
      <c r="AN67" s="10" t="n"/>
      <c r="AO67" s="11" t="n"/>
    </row>
    <row r="68">
      <c r="A68" t="n">
        <v>1</v>
      </c>
      <c r="C68" t="inlineStr">
        <is>
          <t>금융손익</t>
        </is>
      </c>
      <c r="E68" s="18" t="n">
        <v>-406.35</v>
      </c>
      <c r="F68" s="9" t="n"/>
      <c r="G68" s="18" t="n">
        <v>-378.66</v>
      </c>
      <c r="H68" s="18" t="n">
        <v>-389.69</v>
      </c>
      <c r="I68" s="18" t="n">
        <v>-391.58</v>
      </c>
      <c r="J68" s="18" t="n">
        <v>2892.44</v>
      </c>
      <c r="K68" s="37" t="n">
        <v>1732.51</v>
      </c>
      <c r="L68" s="18" t="n">
        <v>-300.92</v>
      </c>
      <c r="M68" s="18" t="n">
        <v>-137.33</v>
      </c>
      <c r="N68" s="18" t="n">
        <v>508.25</v>
      </c>
      <c r="O68" s="18" t="n">
        <v>1268.09</v>
      </c>
      <c r="P68" s="37" t="n">
        <v>1338.09</v>
      </c>
      <c r="Q68" s="18" t="n">
        <v>644.35</v>
      </c>
      <c r="R68" s="18" t="n">
        <v>871.48</v>
      </c>
      <c r="S68" s="18" t="n">
        <v>538.62</v>
      </c>
      <c r="T68" s="18" t="n">
        <v>580.15</v>
      </c>
      <c r="U68" s="37" t="n">
        <v>2634.6</v>
      </c>
      <c r="V68" s="18" t="n">
        <v>242.44</v>
      </c>
      <c r="W68" s="18" t="n">
        <v>72.45</v>
      </c>
      <c r="X68" s="18" t="n">
        <v>409.47</v>
      </c>
      <c r="Y68" s="18" t="n">
        <v>1283.83</v>
      </c>
      <c r="Z68" s="37" t="n">
        <v>2008.19</v>
      </c>
      <c r="AA68" s="18" t="n">
        <v>-294.54</v>
      </c>
      <c r="AB68" s="19" t="n">
        <v>-265.97</v>
      </c>
      <c r="AC68" s="10" t="n"/>
      <c r="AD68" s="10" t="n"/>
      <c r="AE68" s="11" t="n"/>
      <c r="AF68" s="10" t="n"/>
      <c r="AG68" s="10" t="n"/>
      <c r="AH68" s="10" t="n"/>
      <c r="AI68" s="10" t="n"/>
      <c r="AJ68" s="11" t="n"/>
      <c r="AK68" s="10" t="n"/>
      <c r="AL68" s="10" t="n"/>
      <c r="AM68" s="10" t="n"/>
      <c r="AN68" s="10" t="n"/>
      <c r="AO68" s="11" t="n"/>
    </row>
    <row r="69">
      <c r="A69" t="n">
        <v>1</v>
      </c>
      <c r="C69" t="inlineStr">
        <is>
          <t>기타영업외손익</t>
        </is>
      </c>
      <c r="E69" s="18" t="n">
        <v>1597.29</v>
      </c>
      <c r="F69" s="9" t="n"/>
      <c r="G69" s="18" t="n">
        <v>1550.13</v>
      </c>
      <c r="H69" s="18" t="n">
        <v>2030.35</v>
      </c>
      <c r="I69" s="18" t="n">
        <v>-710.5</v>
      </c>
      <c r="J69" s="18" t="n">
        <v>-1272.23</v>
      </c>
      <c r="K69" s="37" t="n">
        <v>1597.75</v>
      </c>
      <c r="L69" s="18" t="n">
        <v>111.07</v>
      </c>
      <c r="M69" s="18" t="n">
        <v>86557.22</v>
      </c>
      <c r="N69" s="18" t="n">
        <v>-2415.63</v>
      </c>
      <c r="O69" s="18" t="n">
        <v>894.61</v>
      </c>
      <c r="P69" s="37" t="n">
        <v>85147.27</v>
      </c>
      <c r="Q69" s="18" t="n">
        <v>622.12</v>
      </c>
      <c r="R69" s="18" t="n">
        <v>-480.49</v>
      </c>
      <c r="S69" s="18" t="n">
        <v>-728.1900000000001</v>
      </c>
      <c r="T69" s="18" t="n">
        <v>-2503.34</v>
      </c>
      <c r="U69" s="37" t="n">
        <v>-3089.9</v>
      </c>
      <c r="V69" s="18" t="n">
        <v>1616.99</v>
      </c>
      <c r="W69" s="18" t="n">
        <v>1130.04</v>
      </c>
      <c r="X69" s="18" t="n">
        <v>4180.89</v>
      </c>
      <c r="Y69" s="18" t="n">
        <v>-1055.92</v>
      </c>
      <c r="Z69" s="37" t="n">
        <v>5872</v>
      </c>
      <c r="AA69" s="18" t="n">
        <v>2681.8</v>
      </c>
      <c r="AB69" s="19" t="n">
        <v>1410.17</v>
      </c>
      <c r="AC69" s="10" t="n"/>
      <c r="AD69" s="10" t="n"/>
      <c r="AE69" s="11" t="n"/>
      <c r="AF69" s="10" t="n"/>
      <c r="AG69" s="10" t="n"/>
      <c r="AH69" s="10" t="n"/>
      <c r="AI69" s="10" t="n"/>
      <c r="AJ69" s="11" t="n"/>
      <c r="AK69" s="10" t="n"/>
      <c r="AL69" s="10" t="n"/>
      <c r="AM69" s="10" t="n"/>
      <c r="AN69" s="10" t="n"/>
      <c r="AO69" s="11" t="n"/>
    </row>
    <row r="70">
      <c r="A70" t="n">
        <v>1</v>
      </c>
      <c r="C70" t="inlineStr">
        <is>
          <t>(지배주주지분)당기순이익</t>
        </is>
      </c>
      <c r="E70" s="18" t="n">
        <v>1384.53</v>
      </c>
      <c r="F70" s="9" t="n"/>
      <c r="G70" s="18" t="n">
        <v>2062.43</v>
      </c>
      <c r="H70" s="18" t="n">
        <v>3609.4</v>
      </c>
      <c r="I70" s="18" t="n">
        <v>2955.28</v>
      </c>
      <c r="J70" s="18" t="n">
        <v>1618.39</v>
      </c>
      <c r="K70" s="37" t="n">
        <v>10245.5</v>
      </c>
      <c r="L70" s="18" t="n">
        <v>831.71</v>
      </c>
      <c r="M70" s="18" t="n">
        <v>68109.25999999999</v>
      </c>
      <c r="N70" s="18" t="n">
        <v>-477.13</v>
      </c>
      <c r="O70" s="18" t="n">
        <v>3380.53</v>
      </c>
      <c r="P70" s="37" t="n">
        <v>71844.37</v>
      </c>
      <c r="Q70" s="18" t="n">
        <v>4215.12</v>
      </c>
      <c r="R70" s="18" t="n">
        <v>3463.46</v>
      </c>
      <c r="S70" s="18" t="n">
        <v>2426.73</v>
      </c>
      <c r="T70" s="18" t="n">
        <v>3195.23</v>
      </c>
      <c r="U70" s="37" t="n">
        <v>13300.54</v>
      </c>
      <c r="V70" s="18" t="n">
        <v>5402.37</v>
      </c>
      <c r="W70" s="18" t="n">
        <v>6678.44</v>
      </c>
      <c r="X70" s="18" t="n">
        <v>7888.23</v>
      </c>
      <c r="Y70" s="18" t="n">
        <v>5746.83</v>
      </c>
      <c r="Z70" s="37" t="n">
        <v>25715.87</v>
      </c>
      <c r="AA70" s="18" t="n">
        <v>5815.53</v>
      </c>
      <c r="AB70" s="19" t="n">
        <v>8336.33</v>
      </c>
      <c r="AC70" s="10" t="n"/>
      <c r="AD70" s="10" t="n"/>
      <c r="AE70" s="11" t="n"/>
      <c r="AF70" s="10" t="n"/>
      <c r="AG70" s="10" t="n"/>
      <c r="AH70" s="10" t="n"/>
      <c r="AI70" s="10" t="n"/>
      <c r="AJ70" s="11" t="n"/>
      <c r="AK70" s="10" t="n"/>
      <c r="AL70" s="10" t="n"/>
      <c r="AM70" s="10" t="n"/>
      <c r="AN70" s="10" t="n"/>
      <c r="AO70" s="11" t="n"/>
    </row>
    <row r="71">
      <c r="A71" t="n">
        <v>1</v>
      </c>
      <c r="C71" t="inlineStr">
        <is>
          <t>계속사업이익</t>
        </is>
      </c>
      <c r="E71" s="18" t="n">
        <v>1384.53</v>
      </c>
      <c r="F71" s="9" t="n"/>
      <c r="G71" s="18" t="n">
        <v>2062.43</v>
      </c>
      <c r="H71" s="18" t="n">
        <v>3609.4</v>
      </c>
      <c r="I71" s="18" t="n">
        <v>2955.28</v>
      </c>
      <c r="J71" s="18" t="n">
        <v>1618.39</v>
      </c>
      <c r="K71" s="37" t="n">
        <v>10245.5</v>
      </c>
      <c r="L71" s="18" t="n">
        <v>831.71</v>
      </c>
      <c r="M71" s="18" t="n">
        <v>68109.25999999999</v>
      </c>
      <c r="N71" s="18" t="n">
        <v>-477.13</v>
      </c>
      <c r="O71" s="18" t="n">
        <v>3380.53</v>
      </c>
      <c r="P71" s="37" t="n">
        <v>71844.37</v>
      </c>
      <c r="Q71" s="18" t="n">
        <v>4215.12</v>
      </c>
      <c r="R71" s="18" t="n">
        <v>3463.46</v>
      </c>
      <c r="S71" s="18" t="n">
        <v>2426.73</v>
      </c>
      <c r="T71" s="18" t="n">
        <v>3195.23</v>
      </c>
      <c r="U71" s="37" t="n">
        <v>13300.54</v>
      </c>
      <c r="V71" s="18" t="n">
        <v>5402.37</v>
      </c>
      <c r="W71" s="18" t="n">
        <v>6678.44</v>
      </c>
      <c r="X71" s="18" t="n">
        <v>7888.23</v>
      </c>
      <c r="Y71" s="18" t="n">
        <v>5746.83</v>
      </c>
      <c r="Z71" s="37" t="n">
        <v>25715.87</v>
      </c>
      <c r="AA71" s="18" t="n">
        <v>5815.53</v>
      </c>
      <c r="AB71" s="19" t="n">
        <v>8336.33</v>
      </c>
      <c r="AC71" s="10" t="n"/>
      <c r="AD71" s="10" t="n"/>
      <c r="AE71" s="11" t="n"/>
      <c r="AF71" s="10" t="n"/>
      <c r="AG71" s="10" t="n"/>
      <c r="AH71" s="10" t="n"/>
      <c r="AI71" s="10" t="n"/>
      <c r="AJ71" s="11" t="n"/>
      <c r="AK71" s="10" t="n"/>
      <c r="AL71" s="10" t="n"/>
      <c r="AM71" s="10" t="n"/>
      <c r="AN71" s="10" t="n"/>
      <c r="AO71" s="11" t="n"/>
    </row>
    <row r="72">
      <c r="A72" t="n">
        <v>1</v>
      </c>
      <c r="C72" t="inlineStr">
        <is>
          <t>금융수익</t>
        </is>
      </c>
      <c r="F72" s="9" t="n"/>
      <c r="K72" s="9" t="n"/>
      <c r="L72" s="18" t="n">
        <v>102.31</v>
      </c>
      <c r="M72" s="18" t="n">
        <v>263.58</v>
      </c>
      <c r="N72" s="18" t="n">
        <v>671.0599999999999</v>
      </c>
      <c r="O72" s="18" t="n">
        <v>1430.59</v>
      </c>
      <c r="P72" s="37" t="n">
        <v>2467.54</v>
      </c>
      <c r="Q72" s="18" t="n">
        <v>754.65</v>
      </c>
      <c r="R72" s="18" t="n">
        <v>951.97</v>
      </c>
      <c r="S72" s="18" t="n">
        <v>616.1799999999999</v>
      </c>
      <c r="T72" s="18" t="n">
        <v>655.3200000000001</v>
      </c>
      <c r="U72" s="37" t="n">
        <v>2978.12</v>
      </c>
      <c r="V72" s="18" t="n">
        <v>326.09</v>
      </c>
      <c r="W72" s="18" t="n">
        <v>2846.58</v>
      </c>
      <c r="X72" s="18" t="n">
        <v>471.2</v>
      </c>
      <c r="Y72" s="18" t="n">
        <v>1340.77</v>
      </c>
      <c r="Z72" s="37" t="n">
        <v>4984.64</v>
      </c>
      <c r="AA72" s="18" t="n">
        <v>50.9</v>
      </c>
      <c r="AB72" s="19" t="n">
        <v>101.03</v>
      </c>
      <c r="AC72" s="10" t="n"/>
      <c r="AD72" s="10" t="n"/>
      <c r="AE72" s="11" t="n"/>
      <c r="AF72" s="10" t="n"/>
      <c r="AG72" s="10" t="n"/>
      <c r="AH72" s="10" t="n"/>
      <c r="AI72" s="10" t="n"/>
      <c r="AJ72" s="11" t="n"/>
      <c r="AK72" s="10" t="n"/>
      <c r="AL72" s="10" t="n"/>
      <c r="AM72" s="10" t="n"/>
      <c r="AN72" s="10" t="n"/>
      <c r="AO72" s="11" t="n"/>
    </row>
    <row r="73">
      <c r="A73" t="n">
        <v>1</v>
      </c>
      <c r="C73" t="inlineStr">
        <is>
          <t>영업활동으로인한현금흐름</t>
        </is>
      </c>
      <c r="E73" s="18" t="n">
        <v>-1967.08</v>
      </c>
      <c r="F73" s="9" t="n"/>
      <c r="G73" s="18" t="n">
        <v>-4610.87</v>
      </c>
      <c r="H73" s="18" t="n">
        <v>-3931.02</v>
      </c>
      <c r="I73" s="18" t="n">
        <v>5165.3</v>
      </c>
      <c r="J73" s="18" t="n">
        <v>10811.74</v>
      </c>
      <c r="K73" s="37" t="n">
        <v>7435.15</v>
      </c>
      <c r="L73" s="18" t="n">
        <v>3003.68</v>
      </c>
      <c r="M73" s="18" t="n">
        <v>-2058.63</v>
      </c>
      <c r="N73" s="18" t="n">
        <v>-4026.49</v>
      </c>
      <c r="O73" s="18" t="n">
        <v>5987.26</v>
      </c>
      <c r="P73" s="37" t="n">
        <v>2905.82</v>
      </c>
      <c r="Q73" s="18" t="n">
        <v>-335.8</v>
      </c>
      <c r="R73" s="18" t="n">
        <v>11190.97</v>
      </c>
      <c r="S73" s="18" t="n">
        <v>-9131.209999999999</v>
      </c>
      <c r="T73" s="18" t="n">
        <v>-2767.72</v>
      </c>
      <c r="U73" s="37" t="n">
        <v>-1043.76</v>
      </c>
      <c r="V73" s="18" t="n">
        <v>2570.4</v>
      </c>
      <c r="W73" s="18" t="n">
        <v>3821.01</v>
      </c>
      <c r="X73" s="18" t="n">
        <v>5147.3</v>
      </c>
      <c r="Y73" s="18" t="n">
        <v>9166.959999999999</v>
      </c>
      <c r="Z73" s="37" t="n">
        <v>20705.67</v>
      </c>
      <c r="AA73" s="18" t="n">
        <v>-3485.32</v>
      </c>
      <c r="AB73" s="19" t="n">
        <v>6064.93</v>
      </c>
      <c r="AC73" s="10" t="n"/>
      <c r="AD73" s="10" t="n"/>
      <c r="AE73" s="11" t="n"/>
      <c r="AF73" s="10" t="n"/>
      <c r="AG73" s="10" t="n"/>
      <c r="AH73" s="10" t="n"/>
      <c r="AI73" s="10" t="n"/>
      <c r="AJ73" s="11" t="n"/>
      <c r="AK73" s="10" t="n"/>
      <c r="AL73" s="10" t="n"/>
      <c r="AM73" s="10" t="n"/>
      <c r="AN73" s="10" t="n"/>
      <c r="AO73" s="11" t="n"/>
    </row>
    <row r="74">
      <c r="A74" t="n">
        <v>1</v>
      </c>
      <c r="C74" t="inlineStr">
        <is>
          <t>감가상각비</t>
        </is>
      </c>
      <c r="E74" s="18" t="n">
        <v>318.58</v>
      </c>
      <c r="F74" s="9" t="n"/>
      <c r="G74" s="18" t="n">
        <v>344.87</v>
      </c>
      <c r="H74" s="18" t="n">
        <v>362.5</v>
      </c>
      <c r="I74" s="18" t="n">
        <v>408.46</v>
      </c>
      <c r="J74" s="18" t="n">
        <v>440.95</v>
      </c>
      <c r="K74" s="37" t="n">
        <v>1556.78</v>
      </c>
      <c r="L74" s="18" t="n">
        <v>443.17</v>
      </c>
      <c r="M74" s="18" t="n">
        <v>446.35</v>
      </c>
      <c r="P74" s="9" t="n"/>
      <c r="U74" s="9" t="n"/>
      <c r="Z74" s="9" t="n"/>
      <c r="AB74" s="5" t="n"/>
      <c r="AC74" s="10" t="n"/>
      <c r="AD74" s="10" t="n"/>
      <c r="AE74" s="11" t="n"/>
      <c r="AF74" s="10" t="n"/>
      <c r="AG74" s="10" t="n"/>
      <c r="AH74" s="10" t="n"/>
      <c r="AI74" s="10" t="n"/>
      <c r="AJ74" s="11" t="n"/>
      <c r="AK74" s="10" t="n"/>
      <c r="AL74" s="10" t="n"/>
      <c r="AM74" s="10" t="n"/>
      <c r="AN74" s="10" t="n"/>
      <c r="AO74" s="11" t="n"/>
    </row>
    <row r="75">
      <c r="A75" t="n">
        <v>1</v>
      </c>
      <c r="C75" t="inlineStr">
        <is>
          <t>무형자산상각비</t>
        </is>
      </c>
      <c r="E75" s="18" t="n">
        <v>19.23</v>
      </c>
      <c r="F75" s="9" t="n"/>
      <c r="G75" s="18" t="n">
        <v>17.73</v>
      </c>
      <c r="H75" s="18" t="n">
        <v>26.03</v>
      </c>
      <c r="I75" s="18" t="n">
        <v>39.19</v>
      </c>
      <c r="J75" s="18" t="n">
        <v>40.05</v>
      </c>
      <c r="K75" s="37" t="n">
        <v>123</v>
      </c>
      <c r="L75" s="18" t="n">
        <v>40.46</v>
      </c>
      <c r="M75" s="18" t="n">
        <v>40.46</v>
      </c>
      <c r="P75" s="9" t="n"/>
      <c r="U75" s="9" t="n"/>
      <c r="Z75" s="9" t="n"/>
      <c r="AB75" s="5" t="n"/>
      <c r="AC75" s="10" t="n"/>
      <c r="AD75" s="10" t="n"/>
      <c r="AE75" s="11" t="n"/>
      <c r="AF75" s="10" t="n"/>
      <c r="AG75" s="10" t="n"/>
      <c r="AH75" s="10" t="n"/>
      <c r="AI75" s="10" t="n"/>
      <c r="AJ75" s="11" t="n"/>
      <c r="AK75" s="10" t="n"/>
      <c r="AL75" s="10" t="n"/>
      <c r="AM75" s="10" t="n"/>
      <c r="AN75" s="10" t="n"/>
      <c r="AO75" s="11" t="n"/>
    </row>
    <row r="76">
      <c r="A76" t="n">
        <v>1</v>
      </c>
      <c r="C76" t="inlineStr">
        <is>
          <t>배당금수취(CF)</t>
        </is>
      </c>
      <c r="E76" s="18" t="n">
        <v>1150.38</v>
      </c>
      <c r="F76" s="9" t="n"/>
      <c r="G76" s="18" t="n">
        <v>157.42</v>
      </c>
      <c r="H76" s="18" t="n">
        <v>234.44</v>
      </c>
      <c r="I76" s="18" t="n">
        <v>0.74</v>
      </c>
      <c r="J76" s="18" t="n">
        <v>2660.03</v>
      </c>
      <c r="K76" s="37" t="n">
        <v>3052.63</v>
      </c>
      <c r="L76" s="18" t="n">
        <v>40.95</v>
      </c>
      <c r="M76" s="18" t="n">
        <v>95.34999999999999</v>
      </c>
      <c r="N76" s="18" t="n">
        <v>370.66</v>
      </c>
      <c r="O76" s="18" t="n">
        <v>346.04</v>
      </c>
      <c r="P76" s="37" t="n">
        <v>853</v>
      </c>
      <c r="Q76" s="18" t="n">
        <v>157.41</v>
      </c>
      <c r="R76" s="18" t="n">
        <v>276.66</v>
      </c>
      <c r="S76" s="18" t="n">
        <v>300.04</v>
      </c>
      <c r="T76" s="18" t="n">
        <v>290.59</v>
      </c>
      <c r="U76" s="37" t="n">
        <v>1024.7</v>
      </c>
      <c r="V76" s="18" t="n">
        <v>75.84</v>
      </c>
      <c r="W76" s="18" t="n">
        <v>518.51</v>
      </c>
      <c r="X76" s="18" t="n">
        <v>74.84999999999999</v>
      </c>
      <c r="Y76" s="18" t="n">
        <v>231.78</v>
      </c>
      <c r="Z76" s="37" t="n">
        <v>900.98</v>
      </c>
      <c r="AB76" s="5" t="n"/>
      <c r="AC76" s="10" t="n"/>
      <c r="AD76" s="10" t="n"/>
      <c r="AE76" s="11" t="n"/>
      <c r="AF76" s="10" t="n"/>
      <c r="AG76" s="10" t="n"/>
      <c r="AH76" s="10" t="n"/>
      <c r="AI76" s="10" t="n"/>
      <c r="AJ76" s="11" t="n"/>
      <c r="AK76" s="10" t="n"/>
      <c r="AL76" s="10" t="n"/>
      <c r="AM76" s="10" t="n"/>
      <c r="AN76" s="10" t="n"/>
      <c r="AO76" s="11" t="n"/>
    </row>
    <row r="77">
      <c r="A77" t="n">
        <v>1</v>
      </c>
      <c r="C77" t="inlineStr">
        <is>
          <t>법인세납부(CF)</t>
        </is>
      </c>
      <c r="E77" s="18" t="n">
        <v>-171.29</v>
      </c>
      <c r="F77" s="9" t="n"/>
      <c r="G77" s="18" t="n">
        <v>-119.53</v>
      </c>
      <c r="H77" s="18" t="n">
        <v>-119.36</v>
      </c>
      <c r="I77" s="18" t="n">
        <v>-6.5</v>
      </c>
      <c r="J77" s="18" t="n">
        <v>-6.16</v>
      </c>
      <c r="K77" s="37" t="n">
        <v>-251.55</v>
      </c>
      <c r="L77" s="18" t="n">
        <v>-14.59</v>
      </c>
      <c r="M77" s="18" t="n">
        <v>-1190.53</v>
      </c>
      <c r="N77" s="18" t="n">
        <v>-1265.09</v>
      </c>
      <c r="O77" s="18" t="n">
        <v>-553.96</v>
      </c>
      <c r="P77" s="37" t="n">
        <v>-3024.17</v>
      </c>
      <c r="Q77" s="18" t="n">
        <v>-87.88</v>
      </c>
      <c r="R77" s="18" t="n">
        <v>-1960</v>
      </c>
      <c r="S77" s="18" t="n">
        <v>-13881.33</v>
      </c>
      <c r="T77" s="18" t="n">
        <v>-4896.22</v>
      </c>
      <c r="U77" s="37" t="n">
        <v>-20825.43</v>
      </c>
      <c r="V77" s="18" t="n">
        <v>-765.22</v>
      </c>
      <c r="W77" s="18" t="n">
        <v>-540.11</v>
      </c>
      <c r="X77" s="18" t="n">
        <v>-910.89</v>
      </c>
      <c r="Y77" s="18" t="n">
        <v>-829.65</v>
      </c>
      <c r="Z77" s="37" t="n">
        <v>-3045.87</v>
      </c>
      <c r="AA77" s="18" t="n">
        <v>-1686.51</v>
      </c>
      <c r="AB77" s="19" t="n">
        <v>-2349</v>
      </c>
      <c r="AC77" s="10" t="n"/>
      <c r="AD77" s="10" t="n"/>
      <c r="AE77" s="11" t="n"/>
      <c r="AF77" s="10" t="n"/>
      <c r="AG77" s="10" t="n"/>
      <c r="AH77" s="10" t="n"/>
      <c r="AI77" s="10" t="n"/>
      <c r="AJ77" s="11" t="n"/>
      <c r="AK77" s="10" t="n"/>
      <c r="AL77" s="10" t="n"/>
      <c r="AM77" s="10" t="n"/>
      <c r="AN77" s="10" t="n"/>
      <c r="AO77" s="11" t="n"/>
    </row>
    <row r="78">
      <c r="A78" t="n">
        <v>1</v>
      </c>
      <c r="C78" t="inlineStr">
        <is>
          <t>투자활동으로인한현금흐름</t>
        </is>
      </c>
      <c r="E78" s="18" t="n">
        <v>2508.47</v>
      </c>
      <c r="F78" s="9" t="n"/>
      <c r="G78" s="18" t="n">
        <v>4165.1</v>
      </c>
      <c r="H78" s="18" t="n">
        <v>6348.46</v>
      </c>
      <c r="I78" s="18" t="n">
        <v>2008.4</v>
      </c>
      <c r="J78" s="18" t="n">
        <v>-1103.19</v>
      </c>
      <c r="K78" s="37" t="n">
        <v>11418.77</v>
      </c>
      <c r="L78" s="18" t="n">
        <v>1356.66</v>
      </c>
      <c r="M78" s="18" t="n">
        <v>29357.28</v>
      </c>
      <c r="N78" s="18" t="n">
        <v>14949.46</v>
      </c>
      <c r="O78" s="18" t="n">
        <v>-7279.44</v>
      </c>
      <c r="P78" s="37" t="n">
        <v>38383.96</v>
      </c>
      <c r="Q78" s="18" t="n">
        <v>12017.31</v>
      </c>
      <c r="R78" s="18" t="n">
        <v>-3857.78</v>
      </c>
      <c r="S78" s="18" t="n">
        <v>5167.57</v>
      </c>
      <c r="T78" s="18" t="n">
        <v>6360.88</v>
      </c>
      <c r="U78" s="37" t="n">
        <v>19687.98</v>
      </c>
      <c r="V78" s="18" t="n">
        <v>-2349</v>
      </c>
      <c r="W78" s="18" t="n">
        <v>8060.86</v>
      </c>
      <c r="X78" s="18" t="n">
        <v>-9914.26</v>
      </c>
      <c r="Y78" s="18" t="n">
        <v>25891.97</v>
      </c>
      <c r="Z78" s="37" t="n">
        <v>21689.57</v>
      </c>
      <c r="AA78" s="18" t="n">
        <v>-74804.7</v>
      </c>
      <c r="AB78" s="19" t="n">
        <v>4826.48</v>
      </c>
      <c r="AC78" s="10" t="n"/>
      <c r="AD78" s="10" t="n"/>
      <c r="AE78" s="11" t="n"/>
      <c r="AF78" s="10" t="n"/>
      <c r="AG78" s="10" t="n"/>
      <c r="AH78" s="10" t="n"/>
      <c r="AI78" s="10" t="n"/>
      <c r="AJ78" s="11" t="n"/>
      <c r="AK78" s="10" t="n"/>
      <c r="AL78" s="10" t="n"/>
      <c r="AM78" s="10" t="n"/>
      <c r="AN78" s="10" t="n"/>
      <c r="AO78" s="11" t="n"/>
    </row>
    <row r="79">
      <c r="A79" t="n">
        <v>1</v>
      </c>
      <c r="C79" t="inlineStr">
        <is>
          <t>유형자산의감소</t>
        </is>
      </c>
      <c r="E79" s="18" t="n">
        <v>0</v>
      </c>
      <c r="F79" s="9" t="n"/>
      <c r="G79" s="18" t="n">
        <v>6.27</v>
      </c>
      <c r="H79" s="18" t="n">
        <v>6.64</v>
      </c>
      <c r="I79" s="18" t="n">
        <v>0</v>
      </c>
      <c r="J79" s="18" t="n">
        <v>0</v>
      </c>
      <c r="K79" s="37" t="n">
        <v>12.91</v>
      </c>
      <c r="L79" s="18" t="n">
        <v>2.36</v>
      </c>
      <c r="M79" s="18" t="n">
        <v>87498.16</v>
      </c>
      <c r="N79" s="18" t="n">
        <v>83.70999999999999</v>
      </c>
      <c r="O79" s="18" t="n">
        <v>30</v>
      </c>
      <c r="P79" s="37" t="n">
        <v>87614.23</v>
      </c>
      <c r="U79" s="9" t="n"/>
      <c r="V79" s="18" t="n">
        <v>0.3</v>
      </c>
      <c r="W79" s="18" t="n">
        <v>16.64</v>
      </c>
      <c r="X79" s="18" t="n">
        <v>52.18</v>
      </c>
      <c r="Z79" s="9" t="n"/>
      <c r="AA79" s="18" t="n">
        <v>43</v>
      </c>
      <c r="AB79" s="19" t="n">
        <v>0</v>
      </c>
      <c r="AC79" s="10" t="n"/>
      <c r="AD79" s="10" t="n"/>
      <c r="AE79" s="11" t="n"/>
      <c r="AF79" s="10" t="n"/>
      <c r="AG79" s="10" t="n"/>
      <c r="AH79" s="10" t="n"/>
      <c r="AI79" s="10" t="n"/>
      <c r="AJ79" s="11" t="n"/>
      <c r="AK79" s="10" t="n"/>
      <c r="AL79" s="10" t="n"/>
      <c r="AM79" s="10" t="n"/>
      <c r="AN79" s="10" t="n"/>
      <c r="AO79" s="11" t="n"/>
    </row>
    <row r="80">
      <c r="A80" t="n">
        <v>1</v>
      </c>
      <c r="C80" t="inlineStr">
        <is>
          <t>유형자산의증가</t>
        </is>
      </c>
      <c r="E80" s="18" t="n">
        <v>11396.33</v>
      </c>
      <c r="F80" s="9" t="n"/>
      <c r="G80" s="18" t="n">
        <v>722.5</v>
      </c>
      <c r="H80" s="18" t="n">
        <v>146.11</v>
      </c>
      <c r="I80" s="18" t="n">
        <v>868.12</v>
      </c>
      <c r="J80" s="18" t="n">
        <v>1312.33</v>
      </c>
      <c r="K80" s="37" t="n">
        <v>3049.06</v>
      </c>
      <c r="L80" s="18" t="n">
        <v>666.98</v>
      </c>
      <c r="M80" s="18" t="n">
        <v>61.03</v>
      </c>
      <c r="N80" s="18" t="n">
        <v>88.75</v>
      </c>
      <c r="O80" s="18" t="n">
        <v>675.5599999999999</v>
      </c>
      <c r="P80" s="37" t="n">
        <v>1492.32</v>
      </c>
      <c r="Q80" s="18" t="n">
        <v>577.89</v>
      </c>
      <c r="R80" s="18" t="n">
        <v>10065.51</v>
      </c>
      <c r="S80" s="18" t="n">
        <v>1065.85</v>
      </c>
      <c r="T80" s="18" t="n">
        <v>1400.52</v>
      </c>
      <c r="U80" s="37" t="n">
        <v>13109.77</v>
      </c>
      <c r="V80" s="18" t="n">
        <v>802.62</v>
      </c>
      <c r="W80" s="18" t="n">
        <v>240.44</v>
      </c>
      <c r="X80" s="18" t="n">
        <v>312.23</v>
      </c>
      <c r="Y80" s="18" t="n">
        <v>11583.06</v>
      </c>
      <c r="Z80" s="37" t="n">
        <v>12938.35</v>
      </c>
      <c r="AA80" s="18" t="n">
        <v>97913.94</v>
      </c>
      <c r="AB80" s="19" t="n">
        <v>1455.21</v>
      </c>
      <c r="AC80" s="10" t="n"/>
      <c r="AD80" s="10" t="n"/>
      <c r="AE80" s="11" t="n"/>
      <c r="AF80" s="10" t="n"/>
      <c r="AG80" s="10" t="n"/>
      <c r="AH80" s="10" t="n"/>
      <c r="AI80" s="10" t="n"/>
      <c r="AJ80" s="11" t="n"/>
      <c r="AK80" s="10" t="n"/>
      <c r="AL80" s="10" t="n"/>
      <c r="AM80" s="10" t="n"/>
      <c r="AN80" s="10" t="n"/>
      <c r="AO80" s="11" t="n"/>
    </row>
    <row r="81">
      <c r="A81" t="n">
        <v>1</v>
      </c>
      <c r="C81" t="inlineStr">
        <is>
          <t>CAPEX</t>
        </is>
      </c>
      <c r="E81" s="18" t="n">
        <v>11400.5</v>
      </c>
      <c r="F81" s="9" t="n"/>
      <c r="G81" s="18" t="n">
        <v>777.45</v>
      </c>
      <c r="H81" s="18" t="n">
        <v>555.92</v>
      </c>
      <c r="I81" s="18" t="n">
        <v>912.35</v>
      </c>
      <c r="J81" s="18" t="n">
        <v>1306.58</v>
      </c>
      <c r="K81" s="37" t="n">
        <v>3552.3</v>
      </c>
      <c r="L81" s="18" t="n">
        <v>669.98</v>
      </c>
      <c r="M81" s="18" t="n">
        <v>66.38</v>
      </c>
      <c r="N81" s="18" t="n">
        <v>92.05</v>
      </c>
      <c r="O81" s="18" t="n">
        <v>699.5599999999999</v>
      </c>
      <c r="P81" s="37" t="n">
        <v>1527.97</v>
      </c>
      <c r="Q81" s="18" t="n">
        <v>608.39</v>
      </c>
      <c r="R81" s="18" t="n">
        <v>10148.88</v>
      </c>
      <c r="S81" s="18" t="n">
        <v>1068.55</v>
      </c>
      <c r="T81" s="18" t="n">
        <v>1433.41</v>
      </c>
      <c r="U81" s="37" t="n">
        <v>13259.23</v>
      </c>
      <c r="V81" s="18" t="n">
        <v>807.86</v>
      </c>
      <c r="W81" s="18" t="n">
        <v>342.55</v>
      </c>
      <c r="X81" s="18" t="n">
        <v>324.32</v>
      </c>
      <c r="Y81" s="18" t="n">
        <v>11772.24</v>
      </c>
      <c r="Z81" s="37" t="n">
        <v>13246.97</v>
      </c>
      <c r="AA81" s="18" t="n">
        <v>97939.13</v>
      </c>
      <c r="AB81" s="19" t="n">
        <v>1515.71</v>
      </c>
      <c r="AC81" s="10" t="n"/>
      <c r="AD81" s="10" t="n"/>
      <c r="AE81" s="11" t="n"/>
      <c r="AF81" s="10" t="n"/>
      <c r="AG81" s="10" t="n"/>
      <c r="AH81" s="10" t="n"/>
      <c r="AI81" s="10" t="n"/>
      <c r="AJ81" s="11" t="n"/>
      <c r="AK81" s="10" t="n"/>
      <c r="AL81" s="10" t="n"/>
      <c r="AM81" s="10" t="n"/>
      <c r="AN81" s="10" t="n"/>
      <c r="AO81" s="11" t="n"/>
    </row>
    <row r="82">
      <c r="A82" t="n">
        <v>1</v>
      </c>
      <c r="C82" t="inlineStr">
        <is>
          <t>무형자산의증가</t>
        </is>
      </c>
      <c r="E82" s="18" t="n">
        <v>4.17</v>
      </c>
      <c r="F82" s="9" t="n"/>
      <c r="G82" s="18" t="n">
        <v>54.95</v>
      </c>
      <c r="H82" s="18" t="n">
        <v>409.81</v>
      </c>
      <c r="I82" s="18" t="n">
        <v>44.23</v>
      </c>
      <c r="K82" s="9" t="n"/>
      <c r="L82" s="18" t="n">
        <v>3</v>
      </c>
      <c r="M82" s="18" t="n">
        <v>5.35</v>
      </c>
      <c r="N82" s="18" t="n">
        <v>3.3</v>
      </c>
      <c r="O82" s="18" t="n">
        <v>24</v>
      </c>
      <c r="P82" s="37" t="n">
        <v>35.65</v>
      </c>
      <c r="Q82" s="18" t="n">
        <v>30.5</v>
      </c>
      <c r="R82" s="18" t="n">
        <v>83.37</v>
      </c>
      <c r="S82" s="18" t="n">
        <v>2.7</v>
      </c>
      <c r="T82" s="18" t="n">
        <v>32.89</v>
      </c>
      <c r="U82" s="37" t="n">
        <v>149.46</v>
      </c>
      <c r="V82" s="18" t="n">
        <v>5.24</v>
      </c>
      <c r="W82" s="18" t="n">
        <v>102.11</v>
      </c>
      <c r="X82" s="18" t="n">
        <v>12.09</v>
      </c>
      <c r="Y82" s="18" t="n">
        <v>189.18</v>
      </c>
      <c r="Z82" s="37" t="n">
        <v>308.62</v>
      </c>
      <c r="AA82" s="18" t="n">
        <v>25.19</v>
      </c>
      <c r="AB82" s="19" t="n">
        <v>60.5</v>
      </c>
      <c r="AC82" s="10" t="n"/>
      <c r="AD82" s="10" t="n"/>
      <c r="AE82" s="11" t="n"/>
      <c r="AF82" s="10" t="n"/>
      <c r="AG82" s="10" t="n"/>
      <c r="AH82" s="10" t="n"/>
      <c r="AI82" s="10" t="n"/>
      <c r="AJ82" s="11" t="n"/>
      <c r="AK82" s="10" t="n"/>
      <c r="AL82" s="10" t="n"/>
      <c r="AM82" s="10" t="n"/>
      <c r="AN82" s="10" t="n"/>
      <c r="AO82" s="11" t="n"/>
    </row>
    <row r="83">
      <c r="A83" t="n">
        <v>1</v>
      </c>
      <c r="C83" t="inlineStr">
        <is>
          <t>재무활동으로인한현금흐름</t>
        </is>
      </c>
      <c r="E83" s="18" t="n">
        <v>-2638.79</v>
      </c>
      <c r="F83" s="9" t="n"/>
      <c r="G83" s="18" t="n">
        <v>-915.48</v>
      </c>
      <c r="H83" s="18" t="n">
        <v>-1860.87</v>
      </c>
      <c r="I83" s="18" t="n">
        <v>-7561.78</v>
      </c>
      <c r="J83" s="18" t="n">
        <v>-4677.7</v>
      </c>
      <c r="K83" s="37" t="n">
        <v>-15015.83</v>
      </c>
      <c r="L83" s="18" t="n">
        <v>-8763.91</v>
      </c>
      <c r="M83" s="18" t="n">
        <v>-31004.91</v>
      </c>
      <c r="N83" s="18" t="n">
        <v>-94.12</v>
      </c>
      <c r="O83" s="18" t="n">
        <v>-6694.71</v>
      </c>
      <c r="P83" s="37" t="n">
        <v>-46557.65</v>
      </c>
      <c r="Q83" s="18" t="n">
        <v>-12855.98</v>
      </c>
      <c r="R83" s="18" t="n">
        <v>-5265.87</v>
      </c>
      <c r="S83" s="18" t="n">
        <v>-992.41</v>
      </c>
      <c r="T83" s="18" t="n">
        <v>-398.18</v>
      </c>
      <c r="U83" s="37" t="n">
        <v>-19512.44</v>
      </c>
      <c r="V83" s="18" t="n">
        <v>1790.36</v>
      </c>
      <c r="W83" s="18" t="n">
        <v>-449.77</v>
      </c>
      <c r="X83" s="18" t="n">
        <v>-518.01</v>
      </c>
      <c r="Y83" s="18" t="n">
        <v>4.2</v>
      </c>
      <c r="Z83" s="37" t="n">
        <v>826.78</v>
      </c>
      <c r="AA83" s="18" t="n">
        <v>52524.33</v>
      </c>
      <c r="AB83" s="19" t="n">
        <v>-12904.96</v>
      </c>
      <c r="AC83" s="10" t="n"/>
      <c r="AD83" s="10" t="n"/>
      <c r="AE83" s="11" t="n"/>
      <c r="AF83" s="10" t="n"/>
      <c r="AG83" s="10" t="n"/>
      <c r="AH83" s="10" t="n"/>
      <c r="AI83" s="10" t="n"/>
      <c r="AJ83" s="11" t="n"/>
      <c r="AK83" s="10" t="n"/>
      <c r="AL83" s="10" t="n"/>
      <c r="AM83" s="10" t="n"/>
      <c r="AN83" s="10" t="n"/>
      <c r="AO83" s="11" t="n"/>
    </row>
    <row r="84">
      <c r="A84" t="n">
        <v>1</v>
      </c>
      <c r="C84" t="inlineStr">
        <is>
          <t>단기차입금의증가</t>
        </is>
      </c>
      <c r="E84" s="18" t="n">
        <v>13089.04</v>
      </c>
      <c r="F84" s="9" t="n"/>
      <c r="G84" s="18" t="n">
        <v>554.15</v>
      </c>
      <c r="H84" s="18" t="n">
        <v>9913.780000000001</v>
      </c>
      <c r="I84" s="18" t="n">
        <v>15029.47</v>
      </c>
      <c r="J84" s="18" t="n">
        <v>254.42</v>
      </c>
      <c r="K84" s="37" t="n">
        <v>25751.82</v>
      </c>
      <c r="L84" s="18" t="n">
        <v>9000</v>
      </c>
      <c r="M84" s="18" t="n">
        <v>0</v>
      </c>
      <c r="N84" s="18" t="n">
        <v>0</v>
      </c>
      <c r="O84" s="18" t="n">
        <v>0</v>
      </c>
      <c r="P84" s="37" t="n">
        <v>9000</v>
      </c>
      <c r="T84" s="18" t="n">
        <v>898.78</v>
      </c>
      <c r="U84" s="9" t="n"/>
      <c r="V84" s="18" t="n">
        <v>961.85</v>
      </c>
      <c r="W84" s="18" t="n">
        <v>784.39</v>
      </c>
      <c r="X84" s="18" t="n">
        <v>444.11</v>
      </c>
      <c r="Z84" s="9" t="n"/>
      <c r="AB84" s="5" t="n"/>
      <c r="AC84" s="10" t="n"/>
      <c r="AD84" s="10" t="n"/>
      <c r="AE84" s="11" t="n"/>
      <c r="AF84" s="10" t="n"/>
      <c r="AG84" s="10" t="n"/>
      <c r="AH84" s="10" t="n"/>
      <c r="AI84" s="10" t="n"/>
      <c r="AJ84" s="11" t="n"/>
      <c r="AK84" s="10" t="n"/>
      <c r="AL84" s="10" t="n"/>
      <c r="AM84" s="10" t="n"/>
      <c r="AN84" s="10" t="n"/>
      <c r="AO84" s="11" t="n"/>
    </row>
    <row r="85">
      <c r="A85" t="n">
        <v>1</v>
      </c>
      <c r="C85" t="inlineStr">
        <is>
          <t>장기차입금의증가</t>
        </is>
      </c>
      <c r="E85" s="18" t="n">
        <v>0</v>
      </c>
      <c r="F85" s="9" t="n"/>
      <c r="G85" s="18" t="n">
        <v>333.36</v>
      </c>
      <c r="K85" s="9" t="n"/>
      <c r="P85" s="9" t="n"/>
      <c r="U85" s="9" t="n"/>
      <c r="X85" s="18" t="n">
        <v>500</v>
      </c>
      <c r="Z85" s="9" t="n"/>
      <c r="AB85" s="5" t="n"/>
      <c r="AC85" s="10" t="n"/>
      <c r="AD85" s="10" t="n"/>
      <c r="AE85" s="11" t="n"/>
      <c r="AF85" s="10" t="n"/>
      <c r="AG85" s="10" t="n"/>
      <c r="AH85" s="10" t="n"/>
      <c r="AI85" s="10" t="n"/>
      <c r="AJ85" s="11" t="n"/>
      <c r="AK85" s="10" t="n"/>
      <c r="AL85" s="10" t="n"/>
      <c r="AM85" s="10" t="n"/>
      <c r="AN85" s="10" t="n"/>
      <c r="AO85" s="11" t="n"/>
    </row>
    <row r="86">
      <c r="A86" t="n">
        <v>1</v>
      </c>
      <c r="C86" t="inlineStr">
        <is>
          <t>배당금지급</t>
        </is>
      </c>
      <c r="E86" s="18" t="n">
        <v>0</v>
      </c>
      <c r="F86" s="9" t="n"/>
      <c r="I86" s="18" t="n">
        <v>0</v>
      </c>
      <c r="J86" s="18" t="n">
        <v>0</v>
      </c>
      <c r="K86" s="9" t="n"/>
      <c r="N86" s="18" t="n">
        <v>0</v>
      </c>
      <c r="O86" s="18" t="n">
        <v>0</v>
      </c>
      <c r="P86" s="9" t="n"/>
      <c r="S86" s="18" t="n">
        <v>0</v>
      </c>
      <c r="T86" s="18" t="n">
        <v>0</v>
      </c>
      <c r="U86" s="9" t="n"/>
      <c r="X86" s="18" t="n">
        <v>0</v>
      </c>
      <c r="Y86" s="18" t="n">
        <v>0</v>
      </c>
      <c r="Z86" s="9" t="n"/>
      <c r="AB86" s="5" t="n"/>
      <c r="AC86" s="10" t="n"/>
      <c r="AD86" s="10" t="n"/>
      <c r="AE86" s="11" t="n"/>
      <c r="AF86" s="10" t="n"/>
      <c r="AG86" s="10" t="n"/>
      <c r="AH86" s="10" t="n"/>
      <c r="AI86" s="10" t="n"/>
      <c r="AJ86" s="11" t="n"/>
      <c r="AK86" s="10" t="n"/>
      <c r="AL86" s="10" t="n"/>
      <c r="AM86" s="10" t="n"/>
      <c r="AN86" s="10" t="n"/>
      <c r="AO86" s="11" t="n"/>
    </row>
    <row r="87">
      <c r="A87" t="n">
        <v>1</v>
      </c>
      <c r="C87" t="inlineStr">
        <is>
          <t>단기차입금의감소</t>
        </is>
      </c>
      <c r="E87" s="18" t="n">
        <v>15700</v>
      </c>
      <c r="F87" s="9" t="n"/>
      <c r="I87" s="18" t="n">
        <v>19700</v>
      </c>
      <c r="J87" s="18" t="n">
        <v>4000</v>
      </c>
      <c r="K87" s="9" t="n"/>
      <c r="L87" s="18" t="n">
        <v>11597.24</v>
      </c>
      <c r="M87" s="18" t="n">
        <v>18619.24</v>
      </c>
      <c r="P87" s="9" t="n"/>
      <c r="U87" s="9" t="n"/>
      <c r="Z87" s="9" t="n"/>
      <c r="AB87" s="5" t="n"/>
      <c r="AC87" s="10" t="n"/>
      <c r="AD87" s="10" t="n"/>
      <c r="AE87" s="11" t="n"/>
      <c r="AF87" s="10" t="n"/>
      <c r="AG87" s="10" t="n"/>
      <c r="AH87" s="10" t="n"/>
      <c r="AI87" s="10" t="n"/>
      <c r="AJ87" s="11" t="n"/>
      <c r="AK87" s="10" t="n"/>
      <c r="AL87" s="10" t="n"/>
      <c r="AM87" s="10" t="n"/>
      <c r="AN87" s="10" t="n"/>
      <c r="AO87" s="11" t="n"/>
    </row>
    <row r="88">
      <c r="A88" t="n">
        <v>1</v>
      </c>
      <c r="C88" t="inlineStr">
        <is>
          <t>리스부채의상환</t>
        </is>
      </c>
      <c r="E88" s="18" t="n">
        <v>27.95</v>
      </c>
      <c r="F88" s="9" t="n"/>
      <c r="G88" s="18" t="n">
        <v>27.96</v>
      </c>
      <c r="H88" s="18" t="n">
        <v>27.96</v>
      </c>
      <c r="I88" s="18" t="n">
        <v>28.72</v>
      </c>
      <c r="K88" s="9" t="n"/>
      <c r="L88" s="18" t="n">
        <v>32.74</v>
      </c>
      <c r="M88" s="18" t="n">
        <v>31.34</v>
      </c>
      <c r="N88" s="18" t="n">
        <v>31.02</v>
      </c>
      <c r="O88" s="18" t="n">
        <v>29.45</v>
      </c>
      <c r="P88" s="37" t="n">
        <v>124.55</v>
      </c>
      <c r="Q88" s="18" t="n">
        <v>25.26</v>
      </c>
      <c r="R88" s="18" t="n">
        <v>8.82</v>
      </c>
      <c r="U88" s="9" t="n"/>
      <c r="Z88" s="9" t="n"/>
      <c r="AA88" s="18" t="n">
        <v>3.41</v>
      </c>
      <c r="AB88" s="19" t="n">
        <v>1.33</v>
      </c>
      <c r="AC88" s="10" t="n"/>
      <c r="AD88" s="10" t="n"/>
      <c r="AE88" s="11" t="n"/>
      <c r="AF88" s="10" t="n"/>
      <c r="AG88" s="10" t="n"/>
      <c r="AH88" s="10" t="n"/>
      <c r="AI88" s="10" t="n"/>
      <c r="AJ88" s="11" t="n"/>
      <c r="AK88" s="10" t="n"/>
      <c r="AL88" s="10" t="n"/>
      <c r="AM88" s="10" t="n"/>
      <c r="AN88" s="10" t="n"/>
      <c r="AO88" s="11" t="n"/>
    </row>
    <row r="89">
      <c r="A89" t="n">
        <v>1</v>
      </c>
      <c r="C89" t="inlineStr">
        <is>
          <t>현금및현금성자산의증감</t>
        </is>
      </c>
      <c r="E89" s="18" t="n">
        <v>-2097.39</v>
      </c>
      <c r="F89" s="9" t="n"/>
      <c r="G89" s="18" t="n">
        <v>-1361.24</v>
      </c>
      <c r="H89" s="18" t="n">
        <v>556.5599999999999</v>
      </c>
      <c r="I89" s="18" t="n">
        <v>-388.08</v>
      </c>
      <c r="J89" s="18" t="n">
        <v>5030.86</v>
      </c>
      <c r="K89" s="37" t="n">
        <v>3838.1</v>
      </c>
      <c r="L89" s="18" t="n">
        <v>-4403.57</v>
      </c>
      <c r="M89" s="18" t="n">
        <v>-3706.26</v>
      </c>
      <c r="N89" s="18" t="n">
        <v>10828.85</v>
      </c>
      <c r="O89" s="18" t="n">
        <v>-7986.89</v>
      </c>
      <c r="P89" s="37" t="n">
        <v>-5267.87</v>
      </c>
      <c r="Q89" s="18" t="n">
        <v>-1174.48</v>
      </c>
      <c r="R89" s="18" t="n">
        <v>2067.33</v>
      </c>
      <c r="S89" s="18" t="n">
        <v>-4956.05</v>
      </c>
      <c r="T89" s="18" t="n">
        <v>3194.98</v>
      </c>
      <c r="U89" s="37" t="n">
        <v>-868.22</v>
      </c>
      <c r="V89" s="18" t="n">
        <v>2011.76</v>
      </c>
      <c r="W89" s="18" t="n">
        <v>11432.1</v>
      </c>
      <c r="X89" s="18" t="n">
        <v>-5284.96</v>
      </c>
      <c r="Y89" s="18" t="n">
        <v>35063.13</v>
      </c>
      <c r="Z89" s="37" t="n">
        <v>43222.03</v>
      </c>
      <c r="AA89" s="18" t="n">
        <v>-25765.69</v>
      </c>
      <c r="AB89" s="19" t="n">
        <v>-2013.55</v>
      </c>
      <c r="AC89" s="10" t="n"/>
      <c r="AD89" s="10" t="n"/>
      <c r="AE89" s="11" t="n"/>
      <c r="AF89" s="10" t="n"/>
      <c r="AG89" s="10" t="n"/>
      <c r="AH89" s="10" t="n"/>
      <c r="AI89" s="10" t="n"/>
      <c r="AJ89" s="11" t="n"/>
      <c r="AK89" s="10" t="n"/>
      <c r="AL89" s="10" t="n"/>
      <c r="AM89" s="10" t="n"/>
      <c r="AN89" s="10" t="n"/>
      <c r="AO89" s="11" t="n"/>
    </row>
    <row r="90">
      <c r="A90" t="n">
        <v>1</v>
      </c>
      <c r="C90" t="inlineStr">
        <is>
          <t>기말현금및현금성자산</t>
        </is>
      </c>
      <c r="E90" s="18" t="n">
        <v>-2236.47</v>
      </c>
      <c r="F90" s="9" t="n"/>
      <c r="G90" s="18" t="n">
        <v>7661.12</v>
      </c>
      <c r="H90" s="18" t="n">
        <v>570.6799999999999</v>
      </c>
      <c r="I90" s="18" t="n">
        <v>-304.22</v>
      </c>
      <c r="J90" s="18" t="n">
        <v>4802.56</v>
      </c>
      <c r="K90" s="37" t="n">
        <v>12730.14</v>
      </c>
      <c r="L90" s="18" t="n">
        <v>8333.639999999999</v>
      </c>
      <c r="M90" s="18" t="n">
        <v>-3709.23</v>
      </c>
      <c r="N90" s="18" t="n">
        <v>10837.61</v>
      </c>
      <c r="O90" s="18" t="n">
        <v>-7992.84</v>
      </c>
      <c r="P90" s="37" t="n">
        <v>7469.18</v>
      </c>
      <c r="Q90" s="18" t="n">
        <v>6303.31</v>
      </c>
      <c r="R90" s="18" t="n">
        <v>2077.37</v>
      </c>
      <c r="S90" s="18" t="n">
        <v>-4986.63</v>
      </c>
      <c r="T90" s="18" t="n">
        <v>3258.04</v>
      </c>
      <c r="U90" s="37" t="n">
        <v>6652.09</v>
      </c>
      <c r="V90" s="18" t="n">
        <v>8682.08</v>
      </c>
      <c r="W90" s="18" t="n">
        <v>11365.87</v>
      </c>
      <c r="X90" s="18" t="n">
        <v>-5214.47</v>
      </c>
      <c r="Y90" s="18" t="n">
        <v>34851.54</v>
      </c>
      <c r="Z90" s="37" t="n">
        <v>49685.02</v>
      </c>
      <c r="AA90" s="18" t="n">
        <v>24011.79</v>
      </c>
      <c r="AB90" s="19" t="n">
        <v>-2079.29</v>
      </c>
      <c r="AC90" s="10" t="n"/>
      <c r="AD90" s="10" t="n"/>
      <c r="AE90" s="11" t="n"/>
      <c r="AF90" s="10" t="n"/>
      <c r="AG90" s="10" t="n"/>
      <c r="AH90" s="10" t="n"/>
      <c r="AI90" s="10" t="n"/>
      <c r="AJ90" s="11" t="n"/>
      <c r="AK90" s="10" t="n"/>
      <c r="AL90" s="10" t="n"/>
      <c r="AM90" s="10" t="n"/>
      <c r="AN90" s="10" t="n"/>
      <c r="AO90" s="11" t="n"/>
    </row>
    <row r="91">
      <c r="A91" t="n">
        <v>1</v>
      </c>
      <c r="C91" t="inlineStr">
        <is>
          <t>장기차입금의감소</t>
        </is>
      </c>
      <c r="F91" s="9" t="n"/>
      <c r="I91" s="18" t="n">
        <v>1000</v>
      </c>
      <c r="J91" s="18" t="n">
        <v>1000</v>
      </c>
      <c r="K91" s="9" t="n"/>
      <c r="L91" s="18" t="n">
        <v>6000</v>
      </c>
      <c r="M91" s="18" t="n">
        <v>10403.31</v>
      </c>
      <c r="N91" s="18" t="n">
        <v>710</v>
      </c>
      <c r="P91" s="9" t="n"/>
      <c r="U91" s="9" t="n"/>
      <c r="Z91" s="9" t="n"/>
      <c r="AB91" s="5" t="n"/>
      <c r="AC91" s="10" t="n"/>
      <c r="AD91" s="10" t="n"/>
      <c r="AE91" s="11" t="n"/>
      <c r="AF91" s="10" t="n"/>
      <c r="AG91" s="10" t="n"/>
      <c r="AH91" s="10" t="n"/>
      <c r="AI91" s="10" t="n"/>
      <c r="AJ91" s="11" t="n"/>
      <c r="AK91" s="10" t="n"/>
      <c r="AL91" s="10" t="n"/>
      <c r="AM91" s="10" t="n"/>
      <c r="AN91" s="10" t="n"/>
      <c r="AO91" s="11" t="n"/>
    </row>
    <row r="92">
      <c r="A92" t="n">
        <v>1</v>
      </c>
      <c r="C92" t="inlineStr">
        <is>
          <t>자기주식의취득</t>
        </is>
      </c>
      <c r="F92" s="9" t="n"/>
      <c r="I92" s="18" t="n">
        <v>1862.53</v>
      </c>
      <c r="J92" s="18" t="n">
        <v>587.3099999999999</v>
      </c>
      <c r="K92" s="9" t="n"/>
      <c r="L92" s="18" t="n">
        <v>311.94</v>
      </c>
      <c r="M92" s="18" t="n">
        <v>0</v>
      </c>
      <c r="P92" s="9" t="n"/>
      <c r="U92" s="9" t="n"/>
      <c r="Z92" s="9" t="n"/>
      <c r="AB92" s="5" t="n"/>
      <c r="AC92" s="10" t="n"/>
      <c r="AD92" s="10" t="n"/>
      <c r="AE92" s="11" t="n"/>
      <c r="AF92" s="10" t="n"/>
      <c r="AG92" s="10" t="n"/>
      <c r="AH92" s="10" t="n"/>
      <c r="AI92" s="10" t="n"/>
      <c r="AJ92" s="11" t="n"/>
      <c r="AK92" s="10" t="n"/>
      <c r="AL92" s="10" t="n"/>
      <c r="AM92" s="10" t="n"/>
      <c r="AN92" s="10" t="n"/>
      <c r="AO92" s="11" t="n"/>
    </row>
    <row r="93">
      <c r="A93" t="n">
        <v>1</v>
      </c>
      <c r="C93" t="inlineStr">
        <is>
          <t>이자수취(CF)</t>
        </is>
      </c>
      <c r="F93" s="9" t="n"/>
      <c r="K93" s="9" t="n"/>
      <c r="O93" s="18" t="n">
        <v>1013.28</v>
      </c>
      <c r="P93" s="9" t="n"/>
      <c r="Q93" s="18" t="n">
        <v>620.9299999999999</v>
      </c>
      <c r="R93" s="18" t="n">
        <v>714.29</v>
      </c>
      <c r="S93" s="18" t="n">
        <v>346.91</v>
      </c>
      <c r="T93" s="18" t="n">
        <v>419.69</v>
      </c>
      <c r="U93" s="37" t="n">
        <v>2101.82</v>
      </c>
      <c r="V93" s="18" t="n">
        <v>305.03</v>
      </c>
      <c r="W93" s="18" t="n">
        <v>263.38</v>
      </c>
      <c r="X93" s="18" t="n">
        <v>565.11</v>
      </c>
      <c r="Y93" s="18" t="n">
        <v>1388.87</v>
      </c>
      <c r="Z93" s="37" t="n">
        <v>2522.39</v>
      </c>
      <c r="AA93" s="18" t="n">
        <v>86.81</v>
      </c>
      <c r="AB93" s="19" t="n">
        <v>34.8</v>
      </c>
      <c r="AC93" s="10" t="n"/>
      <c r="AD93" s="10" t="n"/>
      <c r="AE93" s="11" t="n"/>
      <c r="AF93" s="10" t="n"/>
      <c r="AG93" s="10" t="n"/>
      <c r="AH93" s="10" t="n"/>
      <c r="AI93" s="10" t="n"/>
      <c r="AJ93" s="11" t="n"/>
      <c r="AK93" s="10" t="n"/>
      <c r="AL93" s="10" t="n"/>
      <c r="AM93" s="10" t="n"/>
      <c r="AN93" s="10" t="n"/>
      <c r="AO93" s="11" t="n"/>
    </row>
    <row r="94">
      <c r="A94" t="n">
        <v>1</v>
      </c>
      <c r="C94" t="inlineStr">
        <is>
          <t>차입금의감소</t>
        </is>
      </c>
      <c r="F94" s="9" t="n"/>
      <c r="K94" s="9" t="n"/>
      <c r="P94" s="9" t="n"/>
      <c r="Q94" s="18" t="n">
        <v>13083.93</v>
      </c>
      <c r="R94" s="18" t="n">
        <v>710</v>
      </c>
      <c r="U94" s="9" t="n"/>
      <c r="V94" s="18" t="n">
        <v>1118.81</v>
      </c>
      <c r="W94" s="18" t="n">
        <v>1671.85</v>
      </c>
      <c r="X94" s="18" t="n">
        <v>1494.39</v>
      </c>
      <c r="Y94" s="18" t="n">
        <v>1154.11</v>
      </c>
      <c r="Z94" s="37" t="n">
        <v>5439.16</v>
      </c>
      <c r="AA94" s="18" t="n">
        <v>7830</v>
      </c>
      <c r="AB94" s="19" t="n">
        <v>5235.61</v>
      </c>
      <c r="AC94" s="10" t="n"/>
      <c r="AD94" s="10" t="n"/>
      <c r="AE94" s="11" t="n"/>
      <c r="AF94" s="10" t="n"/>
      <c r="AG94" s="10" t="n"/>
      <c r="AH94" s="10" t="n"/>
      <c r="AI94" s="10" t="n"/>
      <c r="AJ94" s="11" t="n"/>
      <c r="AK94" s="10" t="n"/>
      <c r="AL94" s="10" t="n"/>
      <c r="AM94" s="10" t="n"/>
      <c r="AN94" s="10" t="n"/>
      <c r="AO94" s="11" t="n"/>
    </row>
    <row r="95">
      <c r="A95" t="n">
        <v>1</v>
      </c>
      <c r="C95" t="inlineStr">
        <is>
          <t>이자지급(CF)</t>
        </is>
      </c>
      <c r="F95" s="9" t="n"/>
      <c r="K95" s="9" t="n"/>
      <c r="P95" s="9" t="n"/>
      <c r="U95" s="9" t="n"/>
      <c r="Z95" s="9" t="n"/>
      <c r="AA95" s="18" t="n">
        <v>-272.93</v>
      </c>
      <c r="AB95" s="19" t="n">
        <v>-374.8</v>
      </c>
      <c r="AC95" s="10" t="n"/>
      <c r="AD95" s="10" t="n"/>
      <c r="AE95" s="11" t="n"/>
      <c r="AF95" s="10" t="n"/>
      <c r="AG95" s="10" t="n"/>
      <c r="AH95" s="10" t="n"/>
      <c r="AI95" s="10" t="n"/>
      <c r="AJ95" s="11" t="n"/>
      <c r="AK95" s="10" t="n"/>
      <c r="AL95" s="10" t="n"/>
      <c r="AM95" s="10" t="n"/>
      <c r="AN95" s="10" t="n"/>
      <c r="AO95" s="11" t="n"/>
    </row>
    <row r="96">
      <c r="A96" t="n">
        <v>1</v>
      </c>
      <c r="C96" t="inlineStr">
        <is>
          <t>차입금의증가</t>
        </is>
      </c>
      <c r="F96" s="9" t="n"/>
      <c r="K96" s="9" t="n"/>
      <c r="P96" s="9" t="n"/>
      <c r="U96" s="9" t="n"/>
      <c r="Z96" s="9" t="n"/>
      <c r="AA96" s="18" t="n">
        <v>60369.43</v>
      </c>
      <c r="AB96" s="19" t="n">
        <v>1546.31</v>
      </c>
      <c r="AC96" s="10" t="n"/>
      <c r="AD96" s="10" t="n"/>
      <c r="AE96" s="11" t="n"/>
      <c r="AF96" s="10" t="n"/>
      <c r="AG96" s="10" t="n"/>
      <c r="AH96" s="10" t="n"/>
      <c r="AI96" s="10" t="n"/>
      <c r="AJ96" s="11" t="n"/>
      <c r="AK96" s="10" t="n"/>
      <c r="AL96" s="10" t="n"/>
      <c r="AM96" s="10" t="n"/>
      <c r="AN96" s="10" t="n"/>
      <c r="AO96" s="1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O42"/>
  <sheetViews>
    <sheetView workbookViewId="0">
      <pane xSplit="4" ySplit="4" topLeftCell="E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9" customWidth="1" min="2" max="2"/>
    <col width="26" customWidth="1" min="3" max="3"/>
    <col width="30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</cols>
  <sheetData>
    <row r="1">
      <c r="A1" s="1" t="inlineStr">
        <is>
          <t>YQ</t>
        </is>
      </c>
      <c r="C1" s="2" t="inlineStr">
        <is>
          <t>subQ 분기 서브모델(억원, U=100)</t>
        </is>
      </c>
      <c r="E1" s="3" t="inlineStr">
        <is>
          <t>4Q21</t>
        </is>
      </c>
      <c r="F1" s="3" t="n">
        <v>2021</v>
      </c>
      <c r="G1" s="3" t="inlineStr">
        <is>
          <t>1Q22</t>
        </is>
      </c>
      <c r="H1" s="3" t="inlineStr">
        <is>
          <t>2Q22</t>
        </is>
      </c>
      <c r="I1" s="3" t="inlineStr">
        <is>
          <t>3Q22</t>
        </is>
      </c>
      <c r="J1" s="3" t="inlineStr">
        <is>
          <t>4Q22</t>
        </is>
      </c>
      <c r="K1" s="3" t="n">
        <v>2022</v>
      </c>
      <c r="L1" s="3" t="inlineStr">
        <is>
          <t>1Q23</t>
        </is>
      </c>
      <c r="M1" s="3" t="inlineStr">
        <is>
          <t>2Q23</t>
        </is>
      </c>
      <c r="N1" s="3" t="inlineStr">
        <is>
          <t>3Q23</t>
        </is>
      </c>
      <c r="O1" s="3" t="inlineStr">
        <is>
          <t>4Q23</t>
        </is>
      </c>
      <c r="P1" s="3" t="n">
        <v>2023</v>
      </c>
      <c r="Q1" s="3" t="inlineStr">
        <is>
          <t>1Q24</t>
        </is>
      </c>
      <c r="R1" s="3" t="inlineStr">
        <is>
          <t>2Q24</t>
        </is>
      </c>
      <c r="S1" s="3" t="inlineStr">
        <is>
          <t>3Q24</t>
        </is>
      </c>
      <c r="T1" s="3" t="inlineStr">
        <is>
          <t>4Q24</t>
        </is>
      </c>
      <c r="U1" s="3" t="n">
        <v>2024</v>
      </c>
      <c r="V1" s="3" t="inlineStr">
        <is>
          <t>1Q25</t>
        </is>
      </c>
      <c r="W1" s="3" t="inlineStr">
        <is>
          <t>2Q25</t>
        </is>
      </c>
      <c r="X1" s="3" t="inlineStr">
        <is>
          <t>3Q25</t>
        </is>
      </c>
      <c r="Y1" s="3" t="inlineStr">
        <is>
          <t>4Q25</t>
        </is>
      </c>
      <c r="Z1" s="3" t="n">
        <v>2025</v>
      </c>
      <c r="AA1" s="3" t="inlineStr">
        <is>
          <t>1Q26</t>
        </is>
      </c>
      <c r="AB1" s="4" t="inlineStr">
        <is>
          <t>2Q26</t>
        </is>
      </c>
      <c r="AC1" s="3" t="inlineStr">
        <is>
          <t>3Q26</t>
        </is>
      </c>
      <c r="AD1" s="3" t="inlineStr">
        <is>
          <t>4Q26</t>
        </is>
      </c>
      <c r="AE1" s="3" t="n">
        <v>2026</v>
      </c>
      <c r="AF1" s="3" t="inlineStr">
        <is>
          <t>1Q27</t>
        </is>
      </c>
      <c r="AG1" s="3" t="inlineStr">
        <is>
          <t>2Q27</t>
        </is>
      </c>
      <c r="AH1" s="3" t="inlineStr">
        <is>
          <t>3Q27</t>
        </is>
      </c>
      <c r="AI1" s="3" t="inlineStr">
        <is>
          <t>4Q27</t>
        </is>
      </c>
      <c r="AJ1" s="3" t="n">
        <v>2027</v>
      </c>
      <c r="AK1" s="3" t="inlineStr">
        <is>
          <t>1Q28</t>
        </is>
      </c>
      <c r="AL1" s="3" t="inlineStr">
        <is>
          <t>2Q28</t>
        </is>
      </c>
      <c r="AM1" s="3" t="inlineStr">
        <is>
          <t>3Q28</t>
        </is>
      </c>
      <c r="AN1" s="3" t="inlineStr">
        <is>
          <t>4Q28</t>
        </is>
      </c>
      <c r="AO1" s="3" t="n">
        <v>2028</v>
      </c>
    </row>
    <row r="2">
      <c r="A2" s="2" t="inlineStr">
        <is>
          <t>A=이름(key) B=그룹 C=단위 D=FnGuide 계정명(VLOOKUP 키). 확정=VLOOKUP(BS), 추정=변수 가정 참조</t>
        </is>
      </c>
      <c r="AB2" s="5" t="n"/>
    </row>
    <row r="3">
      <c r="E3" s="2" t="n">
        <v>1</v>
      </c>
      <c r="F3" s="2" t="n">
        <v>2</v>
      </c>
      <c r="G3" s="2" t="n">
        <v>3</v>
      </c>
      <c r="H3" s="2" t="n">
        <v>4</v>
      </c>
      <c r="I3" s="2" t="n">
        <v>5</v>
      </c>
      <c r="J3" s="2" t="n">
        <v>6</v>
      </c>
      <c r="K3" s="2" t="n">
        <v>7</v>
      </c>
      <c r="L3" s="2" t="n">
        <v>8</v>
      </c>
      <c r="M3" s="2" t="n">
        <v>9</v>
      </c>
      <c r="N3" s="2" t="n">
        <v>10</v>
      </c>
      <c r="O3" s="2" t="n">
        <v>11</v>
      </c>
      <c r="P3" s="2" t="n">
        <v>12</v>
      </c>
      <c r="Q3" s="2" t="n">
        <v>13</v>
      </c>
      <c r="R3" s="2" t="n">
        <v>14</v>
      </c>
      <c r="S3" s="2" t="n">
        <v>15</v>
      </c>
      <c r="T3" s="2" t="n">
        <v>16</v>
      </c>
      <c r="U3" s="2" t="n">
        <v>17</v>
      </c>
      <c r="V3" s="2" t="n">
        <v>18</v>
      </c>
      <c r="W3" s="2" t="n">
        <v>19</v>
      </c>
      <c r="X3" s="2" t="n">
        <v>20</v>
      </c>
      <c r="Y3" s="2" t="n">
        <v>21</v>
      </c>
      <c r="Z3" s="2" t="n">
        <v>22</v>
      </c>
      <c r="AA3" s="2" t="n">
        <v>23</v>
      </c>
      <c r="AB3" s="6" t="n">
        <v>24</v>
      </c>
      <c r="AC3" s="2" t="n">
        <v>25</v>
      </c>
      <c r="AD3" s="2" t="n">
        <v>26</v>
      </c>
      <c r="AE3" s="2" t="n">
        <v>27</v>
      </c>
      <c r="AF3" s="2" t="n">
        <v>28</v>
      </c>
      <c r="AG3" s="2" t="n">
        <v>29</v>
      </c>
      <c r="AH3" s="2" t="n">
        <v>30</v>
      </c>
      <c r="AI3" s="2" t="n">
        <v>31</v>
      </c>
      <c r="AJ3" s="2" t="n">
        <v>32</v>
      </c>
      <c r="AK3" s="2" t="n">
        <v>33</v>
      </c>
      <c r="AL3" s="2" t="n">
        <v>34</v>
      </c>
      <c r="AM3" s="2" t="n">
        <v>35</v>
      </c>
      <c r="AN3" s="2" t="n">
        <v>36</v>
      </c>
      <c r="AO3" s="2" t="n">
        <v>37</v>
      </c>
    </row>
    <row r="4">
      <c r="E4" s="7" t="inlineStr">
        <is>
          <t>2021.12</t>
        </is>
      </c>
      <c r="F4" s="7" t="inlineStr">
        <is>
          <t>2021.12A</t>
        </is>
      </c>
      <c r="G4" s="7" t="inlineStr">
        <is>
          <t>2022.03</t>
        </is>
      </c>
      <c r="H4" s="7" t="inlineStr">
        <is>
          <t>2022.06</t>
        </is>
      </c>
      <c r="I4" s="7" t="inlineStr">
        <is>
          <t>2022.09</t>
        </is>
      </c>
      <c r="J4" s="7" t="inlineStr">
        <is>
          <t>2022.12</t>
        </is>
      </c>
      <c r="K4" s="7" t="inlineStr">
        <is>
          <t>2022.12A</t>
        </is>
      </c>
      <c r="L4" s="7" t="inlineStr">
        <is>
          <t>2023.03</t>
        </is>
      </c>
      <c r="M4" s="7" t="inlineStr">
        <is>
          <t>2023.06</t>
        </is>
      </c>
      <c r="N4" s="7" t="inlineStr">
        <is>
          <t>2023.09</t>
        </is>
      </c>
      <c r="O4" s="7" t="inlineStr">
        <is>
          <t>2023.12</t>
        </is>
      </c>
      <c r="P4" s="7" t="inlineStr">
        <is>
          <t>2023.12A</t>
        </is>
      </c>
      <c r="Q4" s="7" t="inlineStr">
        <is>
          <t>2024.03</t>
        </is>
      </c>
      <c r="R4" s="7" t="inlineStr">
        <is>
          <t>2024.06</t>
        </is>
      </c>
      <c r="S4" s="7" t="inlineStr">
        <is>
          <t>2024.09</t>
        </is>
      </c>
      <c r="T4" s="7" t="inlineStr">
        <is>
          <t>2024.12</t>
        </is>
      </c>
      <c r="U4" s="7" t="inlineStr">
        <is>
          <t>2024.12A</t>
        </is>
      </c>
      <c r="V4" s="7" t="inlineStr">
        <is>
          <t>2025.03</t>
        </is>
      </c>
      <c r="W4" s="7" t="inlineStr">
        <is>
          <t>2025.06</t>
        </is>
      </c>
      <c r="X4" s="7" t="inlineStr">
        <is>
          <t>2025.09</t>
        </is>
      </c>
      <c r="Y4" s="7" t="inlineStr">
        <is>
          <t>2025.12</t>
        </is>
      </c>
      <c r="Z4" s="7" t="inlineStr">
        <is>
          <t>2025.12A</t>
        </is>
      </c>
      <c r="AA4" s="7" t="inlineStr">
        <is>
          <t>2026.03</t>
        </is>
      </c>
      <c r="AB4" s="8" t="inlineStr">
        <is>
          <t>2026.06</t>
        </is>
      </c>
      <c r="AC4" s="7" t="inlineStr">
        <is>
          <t>2026.09</t>
        </is>
      </c>
      <c r="AD4" s="7" t="inlineStr">
        <is>
          <t>2026.12</t>
        </is>
      </c>
      <c r="AE4" s="7" t="inlineStr">
        <is>
          <t>2026.12A</t>
        </is>
      </c>
      <c r="AF4" s="7" t="inlineStr">
        <is>
          <t>2027.03</t>
        </is>
      </c>
      <c r="AG4" s="7" t="inlineStr">
        <is>
          <t>2027.06</t>
        </is>
      </c>
      <c r="AH4" s="7" t="inlineStr">
        <is>
          <t>2027.09</t>
        </is>
      </c>
      <c r="AI4" s="7" t="inlineStr">
        <is>
          <t>2027.12</t>
        </is>
      </c>
      <c r="AJ4" s="7" t="inlineStr">
        <is>
          <t>2027.12A</t>
        </is>
      </c>
      <c r="AK4" s="7" t="inlineStr">
        <is>
          <t>2028.03</t>
        </is>
      </c>
      <c r="AL4" s="7" t="inlineStr">
        <is>
          <t>2028.06</t>
        </is>
      </c>
      <c r="AM4" s="7" t="inlineStr">
        <is>
          <t>2028.09</t>
        </is>
      </c>
      <c r="AN4" s="7" t="inlineStr">
        <is>
          <t>2028.12</t>
        </is>
      </c>
      <c r="AO4" s="7" t="inlineStr">
        <is>
          <t>2028.12A</t>
        </is>
      </c>
    </row>
    <row r="5">
      <c r="A5" s="12" t="inlineStr">
        <is>
          <t>매출액</t>
        </is>
      </c>
      <c r="B5" t="inlineStr">
        <is>
          <t>손익</t>
        </is>
      </c>
      <c r="C5" t="inlineStr">
        <is>
          <t>억원</t>
        </is>
      </c>
      <c r="D5" t="inlineStr">
        <is>
          <t>매출액(수익)</t>
        </is>
      </c>
      <c r="E5" s="18">
        <f>IFERROR(VLOOKUP($D5,BS연결,MATCH(E$1,BS연결H,0),0)/100,"")</f>
        <v/>
      </c>
      <c r="F5" s="37" t="n"/>
      <c r="G5" s="18">
        <f>IFERROR(VLOOKUP($D5,BS연결,MATCH(G$1,BS연결H,0),0)/100,"")</f>
        <v/>
      </c>
      <c r="H5" s="18">
        <f>IFERROR(VLOOKUP($D5,BS연결,MATCH(H$1,BS연결H,0),0)/100,"")</f>
        <v/>
      </c>
      <c r="I5" s="18">
        <f>IFERROR(VLOOKUP($D5,BS연결,MATCH(I$1,BS연결H,0),0)/100,"")</f>
        <v/>
      </c>
      <c r="J5" s="18">
        <f>IFERROR(VLOOKUP($D5,BS연결,MATCH(J$1,BS연결H,0),0)/100,"")</f>
        <v/>
      </c>
      <c r="K5" s="37">
        <f>IFERROR(VLOOKUP($D5,BS연결,MATCH(K$1,BS연결H,0),0)/100,"")</f>
        <v/>
      </c>
      <c r="L5" s="18">
        <f>IFERROR(VLOOKUP($D5,BS연결,MATCH(L$1,BS연결H,0),0)/100,"")</f>
        <v/>
      </c>
      <c r="M5" s="18">
        <f>IFERROR(VLOOKUP($D5,BS연결,MATCH(M$1,BS연결H,0),0)/100,"")</f>
        <v/>
      </c>
      <c r="N5" s="18">
        <f>IFERROR(VLOOKUP($D5,BS연결,MATCH(N$1,BS연결H,0),0)/100,"")</f>
        <v/>
      </c>
      <c r="O5" s="18">
        <f>IFERROR(VLOOKUP($D5,BS연결,MATCH(O$1,BS연결H,0),0)/100,"")</f>
        <v/>
      </c>
      <c r="P5" s="37">
        <f>IFERROR(VLOOKUP($D5,BS연결,MATCH(P$1,BS연결H,0),0)/100,"")</f>
        <v/>
      </c>
      <c r="Q5" s="18">
        <f>IFERROR(VLOOKUP($D5,BS연결,MATCH(Q$1,BS연결H,0),0)/100,"")</f>
        <v/>
      </c>
      <c r="R5" s="18">
        <f>IFERROR(VLOOKUP($D5,BS연결,MATCH(R$1,BS연결H,0),0)/100,"")</f>
        <v/>
      </c>
      <c r="S5" s="18">
        <f>IFERROR(VLOOKUP($D5,BS연결,MATCH(S$1,BS연결H,0),0)/100,"")</f>
        <v/>
      </c>
      <c r="T5" s="18">
        <f>IFERROR(VLOOKUP($D5,BS연결,MATCH(T$1,BS연결H,0),0)/100,"")</f>
        <v/>
      </c>
      <c r="U5" s="37">
        <f>IFERROR(VLOOKUP($D5,BS연결,MATCH(U$1,BS연결H,0),0)/100,"")</f>
        <v/>
      </c>
      <c r="V5" s="18">
        <f>IFERROR(VLOOKUP($D5,BS연결,MATCH(V$1,BS연결H,0),0)/100,"")</f>
        <v/>
      </c>
      <c r="W5" s="18">
        <f>IFERROR(VLOOKUP($D5,BS연결,MATCH(W$1,BS연결H,0),0)/100,"")</f>
        <v/>
      </c>
      <c r="X5" s="18">
        <f>IFERROR(VLOOKUP($D5,BS연결,MATCH(X$1,BS연결H,0),0)/100,"")</f>
        <v/>
      </c>
      <c r="Y5" s="18">
        <f>IFERROR(VLOOKUP($D5,BS연결,MATCH(Y$1,BS연결H,0),0)/100,"")</f>
        <v/>
      </c>
      <c r="Z5" s="37">
        <f>IFERROR(VLOOKUP($D5,BS연결,MATCH(Z$1,BS연결H,0),0)/100,"")</f>
        <v/>
      </c>
      <c r="AA5" s="18">
        <f>IFERROR(VLOOKUP($D5,BS연결,MATCH(AA$1,BS연결H,0),0)/100,"")</f>
        <v/>
      </c>
      <c r="AB5" s="19">
        <f>IFERROR(VLOOKUP($D5,BS연결,MATCH(AB$1,BS연결H,0),0)/100,"")</f>
        <v/>
      </c>
      <c r="AC5" s="20">
        <f>IFERROR(X5*(1+변수!AC21),"")</f>
        <v/>
      </c>
      <c r="AD5" s="20">
        <f>IFERROR(Y5*(1+변수!AD21),"")</f>
        <v/>
      </c>
      <c r="AE5" s="38">
        <f>SUM(AA5:AD5)</f>
        <v/>
      </c>
      <c r="AF5" s="20">
        <f>IFERROR(AA5*(1+변수!AF21),"")</f>
        <v/>
      </c>
      <c r="AG5" s="20">
        <f>IFERROR(AB5*(1+변수!AG21),"")</f>
        <v/>
      </c>
      <c r="AH5" s="20">
        <f>IFERROR(AC5*(1+변수!AH21),"")</f>
        <v/>
      </c>
      <c r="AI5" s="20">
        <f>IFERROR(AD5*(1+변수!AI21),"")</f>
        <v/>
      </c>
      <c r="AJ5" s="38">
        <f>SUM(AF5:AI5)</f>
        <v/>
      </c>
      <c r="AK5" s="20">
        <f>IFERROR(AF5*(1+변수!AK21),"")</f>
        <v/>
      </c>
      <c r="AL5" s="20">
        <f>IFERROR(AG5*(1+변수!AL21),"")</f>
        <v/>
      </c>
      <c r="AM5" s="20">
        <f>IFERROR(AH5*(1+변수!AM21),"")</f>
        <v/>
      </c>
      <c r="AN5" s="20">
        <f>IFERROR(AI5*(1+변수!AN21),"")</f>
        <v/>
      </c>
      <c r="AO5" s="38">
        <f>SUM(AK5:AN5)</f>
        <v/>
      </c>
    </row>
    <row r="6">
      <c r="A6" s="12" t="inlineStr">
        <is>
          <t>매출원가</t>
        </is>
      </c>
      <c r="B6" t="inlineStr">
        <is>
          <t>손익</t>
        </is>
      </c>
      <c r="C6" t="inlineStr">
        <is>
          <t>억원</t>
        </is>
      </c>
      <c r="D6" t="inlineStr">
        <is>
          <t>매출원가</t>
        </is>
      </c>
      <c r="E6" s="18">
        <f>IFERROR(VLOOKUP($D6,BS연결,MATCH(E$1,BS연결H,0),0)/100,"")</f>
        <v/>
      </c>
      <c r="F6" s="37" t="n"/>
      <c r="G6" s="18">
        <f>IFERROR(VLOOKUP($D6,BS연결,MATCH(G$1,BS연결H,0),0)/100,"")</f>
        <v/>
      </c>
      <c r="H6" s="18">
        <f>IFERROR(VLOOKUP($D6,BS연결,MATCH(H$1,BS연결H,0),0)/100,"")</f>
        <v/>
      </c>
      <c r="I6" s="18">
        <f>IFERROR(VLOOKUP($D6,BS연결,MATCH(I$1,BS연결H,0),0)/100,"")</f>
        <v/>
      </c>
      <c r="J6" s="18">
        <f>IFERROR(VLOOKUP($D6,BS연결,MATCH(J$1,BS연결H,0),0)/100,"")</f>
        <v/>
      </c>
      <c r="K6" s="37">
        <f>IFERROR(VLOOKUP($D6,BS연결,MATCH(K$1,BS연결H,0),0)/100,"")</f>
        <v/>
      </c>
      <c r="L6" s="18">
        <f>IFERROR(VLOOKUP($D6,BS연결,MATCH(L$1,BS연결H,0),0)/100,"")</f>
        <v/>
      </c>
      <c r="M6" s="18">
        <f>IFERROR(VLOOKUP($D6,BS연결,MATCH(M$1,BS연결H,0),0)/100,"")</f>
        <v/>
      </c>
      <c r="N6" s="18">
        <f>IFERROR(VLOOKUP($D6,BS연결,MATCH(N$1,BS연결H,0),0)/100,"")</f>
        <v/>
      </c>
      <c r="O6" s="18">
        <f>IFERROR(VLOOKUP($D6,BS연결,MATCH(O$1,BS연결H,0),0)/100,"")</f>
        <v/>
      </c>
      <c r="P6" s="37">
        <f>IFERROR(VLOOKUP($D6,BS연결,MATCH(P$1,BS연결H,0),0)/100,"")</f>
        <v/>
      </c>
      <c r="Q6" s="18">
        <f>IFERROR(VLOOKUP($D6,BS연결,MATCH(Q$1,BS연결H,0),0)/100,"")</f>
        <v/>
      </c>
      <c r="R6" s="18">
        <f>IFERROR(VLOOKUP($D6,BS연결,MATCH(R$1,BS연결H,0),0)/100,"")</f>
        <v/>
      </c>
      <c r="S6" s="18">
        <f>IFERROR(VLOOKUP($D6,BS연결,MATCH(S$1,BS연결H,0),0)/100,"")</f>
        <v/>
      </c>
      <c r="T6" s="18">
        <f>IFERROR(VLOOKUP($D6,BS연결,MATCH(T$1,BS연결H,0),0)/100,"")</f>
        <v/>
      </c>
      <c r="U6" s="37">
        <f>IFERROR(VLOOKUP($D6,BS연결,MATCH(U$1,BS연결H,0),0)/100,"")</f>
        <v/>
      </c>
      <c r="V6" s="18">
        <f>IFERROR(VLOOKUP($D6,BS연결,MATCH(V$1,BS연결H,0),0)/100,"")</f>
        <v/>
      </c>
      <c r="W6" s="18">
        <f>IFERROR(VLOOKUP($D6,BS연결,MATCH(W$1,BS연결H,0),0)/100,"")</f>
        <v/>
      </c>
      <c r="X6" s="18">
        <f>IFERROR(VLOOKUP($D6,BS연결,MATCH(X$1,BS연결H,0),0)/100,"")</f>
        <v/>
      </c>
      <c r="Y6" s="18">
        <f>IFERROR(VLOOKUP($D6,BS연결,MATCH(Y$1,BS연결H,0),0)/100,"")</f>
        <v/>
      </c>
      <c r="Z6" s="37">
        <f>IFERROR(VLOOKUP($D6,BS연결,MATCH(Z$1,BS연결H,0),0)/100,"")</f>
        <v/>
      </c>
      <c r="AA6" s="18">
        <f>IFERROR(VLOOKUP($D6,BS연결,MATCH(AA$1,BS연결H,0),0)/100,"")</f>
        <v/>
      </c>
      <c r="AB6" s="19">
        <f>IFERROR(VLOOKUP($D6,BS연결,MATCH(AB$1,BS연결H,0),0)/100,"")</f>
        <v/>
      </c>
      <c r="AC6" s="20">
        <f>IFERROR(AC5-AC7,"")</f>
        <v/>
      </c>
      <c r="AD6" s="20">
        <f>IFERROR(AD5-AD7,"")</f>
        <v/>
      </c>
      <c r="AE6" s="38">
        <f>SUM(AA6:AD6)</f>
        <v/>
      </c>
      <c r="AF6" s="20">
        <f>IFERROR(AF5-AF7,"")</f>
        <v/>
      </c>
      <c r="AG6" s="20">
        <f>IFERROR(AG5-AG7,"")</f>
        <v/>
      </c>
      <c r="AH6" s="20">
        <f>IFERROR(AH5-AH7,"")</f>
        <v/>
      </c>
      <c r="AI6" s="20">
        <f>IFERROR(AI5-AI7,"")</f>
        <v/>
      </c>
      <c r="AJ6" s="38">
        <f>SUM(AF6:AI6)</f>
        <v/>
      </c>
      <c r="AK6" s="20">
        <f>IFERROR(AK5-AK7,"")</f>
        <v/>
      </c>
      <c r="AL6" s="20">
        <f>IFERROR(AL5-AL7,"")</f>
        <v/>
      </c>
      <c r="AM6" s="20">
        <f>IFERROR(AM5-AM7,"")</f>
        <v/>
      </c>
      <c r="AN6" s="20">
        <f>IFERROR(AN5-AN7,"")</f>
        <v/>
      </c>
      <c r="AO6" s="38">
        <f>SUM(AK6:AN6)</f>
        <v/>
      </c>
    </row>
    <row r="7">
      <c r="A7" s="12" t="inlineStr">
        <is>
          <t>매출총이익</t>
        </is>
      </c>
      <c r="B7" t="inlineStr">
        <is>
          <t>손익</t>
        </is>
      </c>
      <c r="C7" t="inlineStr">
        <is>
          <t>억원</t>
        </is>
      </c>
      <c r="D7" t="inlineStr">
        <is>
          <t>매출총이익</t>
        </is>
      </c>
      <c r="E7" s="18">
        <f>IFERROR(VLOOKUP($D7,BS연결,MATCH(E$1,BS연결H,0),0)/100,"")</f>
        <v/>
      </c>
      <c r="F7" s="37" t="n"/>
      <c r="G7" s="18">
        <f>IFERROR(VLOOKUP($D7,BS연결,MATCH(G$1,BS연결H,0),0)/100,"")</f>
        <v/>
      </c>
      <c r="H7" s="18">
        <f>IFERROR(VLOOKUP($D7,BS연결,MATCH(H$1,BS연결H,0),0)/100,"")</f>
        <v/>
      </c>
      <c r="I7" s="18">
        <f>IFERROR(VLOOKUP($D7,BS연결,MATCH(I$1,BS연결H,0),0)/100,"")</f>
        <v/>
      </c>
      <c r="J7" s="18">
        <f>IFERROR(VLOOKUP($D7,BS연결,MATCH(J$1,BS연결H,0),0)/100,"")</f>
        <v/>
      </c>
      <c r="K7" s="37">
        <f>IFERROR(VLOOKUP($D7,BS연결,MATCH(K$1,BS연결H,0),0)/100,"")</f>
        <v/>
      </c>
      <c r="L7" s="18">
        <f>IFERROR(VLOOKUP($D7,BS연결,MATCH(L$1,BS연결H,0),0)/100,"")</f>
        <v/>
      </c>
      <c r="M7" s="18">
        <f>IFERROR(VLOOKUP($D7,BS연결,MATCH(M$1,BS연결H,0),0)/100,"")</f>
        <v/>
      </c>
      <c r="N7" s="18">
        <f>IFERROR(VLOOKUP($D7,BS연결,MATCH(N$1,BS연결H,0),0)/100,"")</f>
        <v/>
      </c>
      <c r="O7" s="18">
        <f>IFERROR(VLOOKUP($D7,BS연결,MATCH(O$1,BS연결H,0),0)/100,"")</f>
        <v/>
      </c>
      <c r="P7" s="37">
        <f>IFERROR(VLOOKUP($D7,BS연결,MATCH(P$1,BS연결H,0),0)/100,"")</f>
        <v/>
      </c>
      <c r="Q7" s="18">
        <f>IFERROR(VLOOKUP($D7,BS연결,MATCH(Q$1,BS연결H,0),0)/100,"")</f>
        <v/>
      </c>
      <c r="R7" s="18">
        <f>IFERROR(VLOOKUP($D7,BS연결,MATCH(R$1,BS연결H,0),0)/100,"")</f>
        <v/>
      </c>
      <c r="S7" s="18">
        <f>IFERROR(VLOOKUP($D7,BS연결,MATCH(S$1,BS연결H,0),0)/100,"")</f>
        <v/>
      </c>
      <c r="T7" s="18">
        <f>IFERROR(VLOOKUP($D7,BS연결,MATCH(T$1,BS연결H,0),0)/100,"")</f>
        <v/>
      </c>
      <c r="U7" s="37">
        <f>IFERROR(VLOOKUP($D7,BS연결,MATCH(U$1,BS연결H,0),0)/100,"")</f>
        <v/>
      </c>
      <c r="V7" s="18">
        <f>IFERROR(VLOOKUP($D7,BS연결,MATCH(V$1,BS연결H,0),0)/100,"")</f>
        <v/>
      </c>
      <c r="W7" s="18">
        <f>IFERROR(VLOOKUP($D7,BS연결,MATCH(W$1,BS연결H,0),0)/100,"")</f>
        <v/>
      </c>
      <c r="X7" s="18">
        <f>IFERROR(VLOOKUP($D7,BS연결,MATCH(X$1,BS연결H,0),0)/100,"")</f>
        <v/>
      </c>
      <c r="Y7" s="18">
        <f>IFERROR(VLOOKUP($D7,BS연결,MATCH(Y$1,BS연결H,0),0)/100,"")</f>
        <v/>
      </c>
      <c r="Z7" s="37">
        <f>IFERROR(VLOOKUP($D7,BS연결,MATCH(Z$1,BS연결H,0),0)/100,"")</f>
        <v/>
      </c>
      <c r="AA7" s="18">
        <f>IFERROR(VLOOKUP($D7,BS연결,MATCH(AA$1,BS연결H,0),0)/100,"")</f>
        <v/>
      </c>
      <c r="AB7" s="19">
        <f>IFERROR(VLOOKUP($D7,BS연결,MATCH(AB$1,BS연결H,0),0)/100,"")</f>
        <v/>
      </c>
      <c r="AC7" s="20">
        <f>IFERROR(AC9+AC8,"")</f>
        <v/>
      </c>
      <c r="AD7" s="20">
        <f>IFERROR(AD9+AD8,"")</f>
        <v/>
      </c>
      <c r="AE7" s="38">
        <f>SUM(AA7:AD7)</f>
        <v/>
      </c>
      <c r="AF7" s="20">
        <f>IFERROR(AF9+AF8,"")</f>
        <v/>
      </c>
      <c r="AG7" s="20">
        <f>IFERROR(AG9+AG8,"")</f>
        <v/>
      </c>
      <c r="AH7" s="20">
        <f>IFERROR(AH9+AH8,"")</f>
        <v/>
      </c>
      <c r="AI7" s="20">
        <f>IFERROR(AI9+AI8,"")</f>
        <v/>
      </c>
      <c r="AJ7" s="38">
        <f>SUM(AF7:AI7)</f>
        <v/>
      </c>
      <c r="AK7" s="20">
        <f>IFERROR(AK9+AK8,"")</f>
        <v/>
      </c>
      <c r="AL7" s="20">
        <f>IFERROR(AL9+AL8,"")</f>
        <v/>
      </c>
      <c r="AM7" s="20">
        <f>IFERROR(AM9+AM8,"")</f>
        <v/>
      </c>
      <c r="AN7" s="20">
        <f>IFERROR(AN9+AN8,"")</f>
        <v/>
      </c>
      <c r="AO7" s="38">
        <f>SUM(AK7:AN7)</f>
        <v/>
      </c>
    </row>
    <row r="8">
      <c r="A8" s="12" t="inlineStr">
        <is>
          <t>판관비</t>
        </is>
      </c>
      <c r="B8" t="inlineStr">
        <is>
          <t>손익</t>
        </is>
      </c>
      <c r="C8" t="inlineStr">
        <is>
          <t>억원</t>
        </is>
      </c>
      <c r="D8" t="inlineStr">
        <is>
          <t>판관비</t>
        </is>
      </c>
      <c r="E8" s="18">
        <f>IFERROR(VLOOKUP($D8,BS연결,MATCH(E$1,BS연결H,0),0)/100,"")</f>
        <v/>
      </c>
      <c r="F8" s="37" t="n"/>
      <c r="G8" s="18">
        <f>IFERROR(VLOOKUP($D8,BS연결,MATCH(G$1,BS연결H,0),0)/100,"")</f>
        <v/>
      </c>
      <c r="H8" s="18">
        <f>IFERROR(VLOOKUP($D8,BS연결,MATCH(H$1,BS연결H,0),0)/100,"")</f>
        <v/>
      </c>
      <c r="I8" s="18">
        <f>IFERROR(VLOOKUP($D8,BS연결,MATCH(I$1,BS연결H,0),0)/100,"")</f>
        <v/>
      </c>
      <c r="J8" s="18">
        <f>IFERROR(VLOOKUP($D8,BS연결,MATCH(J$1,BS연결H,0),0)/100,"")</f>
        <v/>
      </c>
      <c r="K8" s="37">
        <f>IFERROR(VLOOKUP($D8,BS연결,MATCH(K$1,BS연결H,0),0)/100,"")</f>
        <v/>
      </c>
      <c r="L8" s="18">
        <f>IFERROR(VLOOKUP($D8,BS연결,MATCH(L$1,BS연결H,0),0)/100,"")</f>
        <v/>
      </c>
      <c r="M8" s="18">
        <f>IFERROR(VLOOKUP($D8,BS연결,MATCH(M$1,BS연결H,0),0)/100,"")</f>
        <v/>
      </c>
      <c r="N8" s="18">
        <f>IFERROR(VLOOKUP($D8,BS연결,MATCH(N$1,BS연결H,0),0)/100,"")</f>
        <v/>
      </c>
      <c r="O8" s="18">
        <f>IFERROR(VLOOKUP($D8,BS연결,MATCH(O$1,BS연결H,0),0)/100,"")</f>
        <v/>
      </c>
      <c r="P8" s="37">
        <f>SUM(L8:O8)</f>
        <v/>
      </c>
      <c r="Q8" s="18">
        <f>IFERROR(VLOOKUP($D8,BS연결,MATCH(Q$1,BS연결H,0),0)/100,"")</f>
        <v/>
      </c>
      <c r="R8" s="18">
        <f>IFERROR(VLOOKUP($D8,BS연결,MATCH(R$1,BS연결H,0),0)/100,"")</f>
        <v/>
      </c>
      <c r="S8" s="18">
        <f>IFERROR(VLOOKUP($D8,BS연결,MATCH(S$1,BS연결H,0),0)/100,"")</f>
        <v/>
      </c>
      <c r="T8" s="18">
        <f>IFERROR(VLOOKUP($D8,BS연결,MATCH(T$1,BS연결H,0),0)/100,"")</f>
        <v/>
      </c>
      <c r="U8" s="37">
        <f>IFERROR(VLOOKUP($D8,BS연결,MATCH(U$1,BS연결H,0),0)/100,"")</f>
        <v/>
      </c>
      <c r="V8" s="18">
        <f>IFERROR(VLOOKUP($D8,BS연결,MATCH(V$1,BS연결H,0),0)/100,"")</f>
        <v/>
      </c>
      <c r="W8" s="18">
        <f>IFERROR(VLOOKUP($D8,BS연결,MATCH(W$1,BS연결H,0),0)/100,"")</f>
        <v/>
      </c>
      <c r="X8" s="18">
        <f>IFERROR(VLOOKUP($D8,BS연결,MATCH(X$1,BS연결H,0),0)/100,"")</f>
        <v/>
      </c>
      <c r="Y8" s="18">
        <f>IFERROR(VLOOKUP($D8,BS연결,MATCH(Y$1,BS연결H,0),0)/100,"")</f>
        <v/>
      </c>
      <c r="Z8" s="37">
        <f>IFERROR(VLOOKUP($D8,BS연결,MATCH(Z$1,BS연결H,0),0)/100,"")</f>
        <v/>
      </c>
      <c r="AA8" s="18">
        <f>IFERROR(VLOOKUP($D8,BS연결,MATCH(AA$1,BS연결H,0),0)/100,"")</f>
        <v/>
      </c>
      <c r="AB8" s="19">
        <f>IFERROR(VLOOKUP($D8,BS연결,MATCH(AB$1,BS연결H,0),0)/100,"")</f>
        <v/>
      </c>
      <c r="AC8" s="20">
        <f>IFERROR(AC5*변수!AC22,"")</f>
        <v/>
      </c>
      <c r="AD8" s="20">
        <f>IFERROR(AD5*변수!AD22,"")</f>
        <v/>
      </c>
      <c r="AE8" s="38">
        <f>SUM(AA8:AD8)</f>
        <v/>
      </c>
      <c r="AF8" s="20">
        <f>IFERROR(AF5*변수!AF22,"")</f>
        <v/>
      </c>
      <c r="AG8" s="20">
        <f>IFERROR(AG5*변수!AG22,"")</f>
        <v/>
      </c>
      <c r="AH8" s="20">
        <f>IFERROR(AH5*변수!AH22,"")</f>
        <v/>
      </c>
      <c r="AI8" s="20">
        <f>IFERROR(AI5*변수!AI22,"")</f>
        <v/>
      </c>
      <c r="AJ8" s="38">
        <f>SUM(AF8:AI8)</f>
        <v/>
      </c>
      <c r="AK8" s="20">
        <f>IFERROR(AK5*변수!AK22,"")</f>
        <v/>
      </c>
      <c r="AL8" s="20">
        <f>IFERROR(AL5*변수!AL22,"")</f>
        <v/>
      </c>
      <c r="AM8" s="20">
        <f>IFERROR(AM5*변수!AM22,"")</f>
        <v/>
      </c>
      <c r="AN8" s="20">
        <f>IFERROR(AN5*변수!AN22,"")</f>
        <v/>
      </c>
      <c r="AO8" s="38">
        <f>SUM(AK8:AN8)</f>
        <v/>
      </c>
    </row>
    <row r="9">
      <c r="A9" s="12" t="inlineStr">
        <is>
          <t>영업이익</t>
        </is>
      </c>
      <c r="B9" t="inlineStr">
        <is>
          <t>손익</t>
        </is>
      </c>
      <c r="C9" t="inlineStr">
        <is>
          <t>억원</t>
        </is>
      </c>
      <c r="D9" t="inlineStr">
        <is>
          <t>영업이익</t>
        </is>
      </c>
      <c r="E9" s="18">
        <f>IFERROR(VLOOKUP($D9,BS연결,MATCH(E$1,BS연결H,0),0)/100,"")</f>
        <v/>
      </c>
      <c r="F9" s="37" t="n"/>
      <c r="G9" s="18">
        <f>IFERROR(VLOOKUP($D9,BS연결,MATCH(G$1,BS연결H,0),0)/100,"")</f>
        <v/>
      </c>
      <c r="H9" s="18">
        <f>IFERROR(VLOOKUP($D9,BS연결,MATCH(H$1,BS연결H,0),0)/100,"")</f>
        <v/>
      </c>
      <c r="I9" s="18">
        <f>IFERROR(VLOOKUP($D9,BS연결,MATCH(I$1,BS연결H,0),0)/100,"")</f>
        <v/>
      </c>
      <c r="J9" s="18">
        <f>IFERROR(VLOOKUP($D9,BS연결,MATCH(J$1,BS연결H,0),0)/100,"")</f>
        <v/>
      </c>
      <c r="K9" s="37">
        <f>IFERROR(VLOOKUP($D9,BS연결,MATCH(K$1,BS연결H,0),0)/100,"")</f>
        <v/>
      </c>
      <c r="L9" s="18">
        <f>IFERROR(VLOOKUP($D9,BS연결,MATCH(L$1,BS연결H,0),0)/100,"")</f>
        <v/>
      </c>
      <c r="M9" s="18">
        <f>IFERROR(VLOOKUP($D9,BS연결,MATCH(M$1,BS연결H,0),0)/100,"")</f>
        <v/>
      </c>
      <c r="N9" s="18">
        <f>IFERROR(VLOOKUP($D9,BS연결,MATCH(N$1,BS연결H,0),0)/100,"")</f>
        <v/>
      </c>
      <c r="O9" s="18">
        <f>IFERROR(VLOOKUP($D9,BS연결,MATCH(O$1,BS연결H,0),0)/100,"")</f>
        <v/>
      </c>
      <c r="P9" s="37">
        <f>IFERROR(VLOOKUP($D9,BS연결,MATCH(P$1,BS연결H,0),0)/100,"")</f>
        <v/>
      </c>
      <c r="Q9" s="18">
        <f>IFERROR(VLOOKUP($D9,BS연결,MATCH(Q$1,BS연결H,0),0)/100,"")</f>
        <v/>
      </c>
      <c r="R9" s="18">
        <f>IFERROR(VLOOKUP($D9,BS연결,MATCH(R$1,BS연결H,0),0)/100,"")</f>
        <v/>
      </c>
      <c r="S9" s="18">
        <f>IFERROR(VLOOKUP($D9,BS연결,MATCH(S$1,BS연결H,0),0)/100,"")</f>
        <v/>
      </c>
      <c r="T9" s="18">
        <f>IFERROR(VLOOKUP($D9,BS연결,MATCH(T$1,BS연결H,0),0)/100,"")</f>
        <v/>
      </c>
      <c r="U9" s="37">
        <f>IFERROR(VLOOKUP($D9,BS연결,MATCH(U$1,BS연결H,0),0)/100,"")</f>
        <v/>
      </c>
      <c r="V9" s="18">
        <f>IFERROR(VLOOKUP($D9,BS연결,MATCH(V$1,BS연결H,0),0)/100,"")</f>
        <v/>
      </c>
      <c r="W9" s="18">
        <f>IFERROR(VLOOKUP($D9,BS연결,MATCH(W$1,BS연결H,0),0)/100,"")</f>
        <v/>
      </c>
      <c r="X9" s="18">
        <f>IFERROR(VLOOKUP($D9,BS연결,MATCH(X$1,BS연결H,0),0)/100,"")</f>
        <v/>
      </c>
      <c r="Y9" s="18">
        <f>IFERROR(VLOOKUP($D9,BS연결,MATCH(Y$1,BS연결H,0),0)/100,"")</f>
        <v/>
      </c>
      <c r="Z9" s="37">
        <f>IFERROR(VLOOKUP($D9,BS연결,MATCH(Z$1,BS연결H,0),0)/100,"")</f>
        <v/>
      </c>
      <c r="AA9" s="18">
        <f>IFERROR(VLOOKUP($D9,BS연결,MATCH(AA$1,BS연결H,0),0)/100,"")</f>
        <v/>
      </c>
      <c r="AB9" s="19">
        <f>IFERROR(VLOOKUP($D9,BS연결,MATCH(AB$1,BS연결H,0),0)/100,"")</f>
        <v/>
      </c>
      <c r="AC9" s="20">
        <f>IFERROR(AC5*변수!AC23,"")</f>
        <v/>
      </c>
      <c r="AD9" s="20">
        <f>IFERROR(AD5*변수!AD23,"")</f>
        <v/>
      </c>
      <c r="AE9" s="38">
        <f>SUM(AA9:AD9)</f>
        <v/>
      </c>
      <c r="AF9" s="20">
        <f>IFERROR(AF5*변수!AF23,"")</f>
        <v/>
      </c>
      <c r="AG9" s="20">
        <f>IFERROR(AG5*변수!AG23,"")</f>
        <v/>
      </c>
      <c r="AH9" s="20">
        <f>IFERROR(AH5*변수!AH23,"")</f>
        <v/>
      </c>
      <c r="AI9" s="20">
        <f>IFERROR(AI5*변수!AI23,"")</f>
        <v/>
      </c>
      <c r="AJ9" s="38">
        <f>SUM(AF9:AI9)</f>
        <v/>
      </c>
      <c r="AK9" s="20">
        <f>IFERROR(AK5*변수!AK23,"")</f>
        <v/>
      </c>
      <c r="AL9" s="20">
        <f>IFERROR(AL5*변수!AL23,"")</f>
        <v/>
      </c>
      <c r="AM9" s="20">
        <f>IFERROR(AM5*변수!AM23,"")</f>
        <v/>
      </c>
      <c r="AN9" s="20">
        <f>IFERROR(AN5*변수!AN23,"")</f>
        <v/>
      </c>
      <c r="AO9" s="38">
        <f>SUM(AK9:AN9)</f>
        <v/>
      </c>
    </row>
    <row r="10">
      <c r="A10" s="12" t="inlineStr">
        <is>
          <t>OPM</t>
        </is>
      </c>
      <c r="B10" t="inlineStr">
        <is>
          <t>손익</t>
        </is>
      </c>
      <c r="C10" t="inlineStr">
        <is>
          <t>%</t>
        </is>
      </c>
      <c r="D10" t="inlineStr">
        <is>
          <t>영업이익률</t>
        </is>
      </c>
      <c r="E10" s="21">
        <f>IFERROR(E9/E5,"")</f>
        <v/>
      </c>
      <c r="F10" s="22" t="n"/>
      <c r="G10" s="21">
        <f>IFERROR(G9/G5,"")</f>
        <v/>
      </c>
      <c r="H10" s="21">
        <f>IFERROR(H9/H5,"")</f>
        <v/>
      </c>
      <c r="I10" s="21">
        <f>IFERROR(I9/I5,"")</f>
        <v/>
      </c>
      <c r="J10" s="21">
        <f>IFERROR(J9/J5,"")</f>
        <v/>
      </c>
      <c r="K10" s="22">
        <f>IFERROR(K9/K5,"")</f>
        <v/>
      </c>
      <c r="L10" s="21">
        <f>IFERROR(L9/L5,"")</f>
        <v/>
      </c>
      <c r="M10" s="21">
        <f>IFERROR(M9/M5,"")</f>
        <v/>
      </c>
      <c r="N10" s="21">
        <f>IFERROR(N9/N5,"")</f>
        <v/>
      </c>
      <c r="O10" s="21">
        <f>IFERROR(O9/O5,"")</f>
        <v/>
      </c>
      <c r="P10" s="22">
        <f>IFERROR(P9/P5,"")</f>
        <v/>
      </c>
      <c r="Q10" s="21">
        <f>IFERROR(Q9/Q5,"")</f>
        <v/>
      </c>
      <c r="R10" s="21">
        <f>IFERROR(R9/R5,"")</f>
        <v/>
      </c>
      <c r="S10" s="21">
        <f>IFERROR(S9/S5,"")</f>
        <v/>
      </c>
      <c r="T10" s="21">
        <f>IFERROR(T9/T5,"")</f>
        <v/>
      </c>
      <c r="U10" s="22">
        <f>IFERROR(U9/U5,"")</f>
        <v/>
      </c>
      <c r="V10" s="21">
        <f>IFERROR(V9/V5,"")</f>
        <v/>
      </c>
      <c r="W10" s="21">
        <f>IFERROR(W9/W5,"")</f>
        <v/>
      </c>
      <c r="X10" s="21">
        <f>IFERROR(X9/X5,"")</f>
        <v/>
      </c>
      <c r="Y10" s="21">
        <f>IFERROR(Y9/Y5,"")</f>
        <v/>
      </c>
      <c r="Z10" s="22">
        <f>IFERROR(Z9/Z5,"")</f>
        <v/>
      </c>
      <c r="AA10" s="21">
        <f>IFERROR(AA9/AA5,"")</f>
        <v/>
      </c>
      <c r="AB10" s="23">
        <f>IFERROR(AB9/AB5,"")</f>
        <v/>
      </c>
      <c r="AC10" s="32">
        <f>IFERROR(AC9/AC5,"")</f>
        <v/>
      </c>
      <c r="AD10" s="32">
        <f>IFERROR(AD9/AD5,"")</f>
        <v/>
      </c>
      <c r="AE10" s="25">
        <f>IFERROR(AE9/AE5,"")</f>
        <v/>
      </c>
      <c r="AF10" s="32">
        <f>IFERROR(AF9/AF5,"")</f>
        <v/>
      </c>
      <c r="AG10" s="32">
        <f>IFERROR(AG9/AG5,"")</f>
        <v/>
      </c>
      <c r="AH10" s="32">
        <f>IFERROR(AH9/AH5,"")</f>
        <v/>
      </c>
      <c r="AI10" s="32">
        <f>IFERROR(AI9/AI5,"")</f>
        <v/>
      </c>
      <c r="AJ10" s="25">
        <f>IFERROR(AJ9/AJ5,"")</f>
        <v/>
      </c>
      <c r="AK10" s="32">
        <f>IFERROR(AK9/AK5,"")</f>
        <v/>
      </c>
      <c r="AL10" s="32">
        <f>IFERROR(AL9/AL5,"")</f>
        <v/>
      </c>
      <c r="AM10" s="32">
        <f>IFERROR(AM9/AM5,"")</f>
        <v/>
      </c>
      <c r="AN10" s="32">
        <f>IFERROR(AN9/AN5,"")</f>
        <v/>
      </c>
      <c r="AO10" s="25">
        <f>IFERROR(AO9/AO5,"")</f>
        <v/>
      </c>
    </row>
    <row r="11">
      <c r="A11" s="12" t="inlineStr">
        <is>
          <t>금융손익</t>
        </is>
      </c>
      <c r="B11" t="inlineStr">
        <is>
          <t>손익</t>
        </is>
      </c>
      <c r="C11" t="inlineStr">
        <is>
          <t>억원</t>
        </is>
      </c>
      <c r="D11" t="inlineStr">
        <is>
          <t>금융손익</t>
        </is>
      </c>
      <c r="E11" s="18">
        <f>IFERROR(VLOOKUP($D11,BS연결,MATCH(E$1,BS연결H,0),0)/100,"")</f>
        <v/>
      </c>
      <c r="F11" s="37" t="n"/>
      <c r="G11" s="18">
        <f>IFERROR(VLOOKUP($D11,BS연결,MATCH(G$1,BS연결H,0),0)/100,"")</f>
        <v/>
      </c>
      <c r="H11" s="18">
        <f>IFERROR(VLOOKUP($D11,BS연결,MATCH(H$1,BS연결H,0),0)/100,"")</f>
        <v/>
      </c>
      <c r="I11" s="18">
        <f>IFERROR(VLOOKUP($D11,BS연결,MATCH(I$1,BS연결H,0),0)/100,"")</f>
        <v/>
      </c>
      <c r="J11" s="18">
        <f>IFERROR(VLOOKUP($D11,BS연결,MATCH(J$1,BS연결H,0),0)/100,"")</f>
        <v/>
      </c>
      <c r="K11" s="37">
        <f>SUM(G11:J11)</f>
        <v/>
      </c>
      <c r="L11" s="18">
        <f>IFERROR(VLOOKUP($D11,BS연결,MATCH(L$1,BS연결H,0),0)/100,"")</f>
        <v/>
      </c>
      <c r="M11" s="18">
        <f>IFERROR(VLOOKUP($D11,BS연결,MATCH(M$1,BS연결H,0),0)/100,"")</f>
        <v/>
      </c>
      <c r="N11" s="18">
        <f>IFERROR(VLOOKUP($D11,BS연결,MATCH(N$1,BS연결H,0),0)/100,"")</f>
        <v/>
      </c>
      <c r="O11" s="18">
        <f>IFERROR(VLOOKUP($D11,BS연결,MATCH(O$1,BS연결H,0),0)/100,"")</f>
        <v/>
      </c>
      <c r="P11" s="37">
        <f>IFERROR(VLOOKUP($D11,BS연결,MATCH(P$1,BS연결H,0),0)/100,"")</f>
        <v/>
      </c>
      <c r="Q11" s="18">
        <f>IFERROR(VLOOKUP($D11,BS연결,MATCH(Q$1,BS연결H,0),0)/100,"")</f>
        <v/>
      </c>
      <c r="R11" s="18">
        <f>IFERROR(VLOOKUP($D11,BS연결,MATCH(R$1,BS연결H,0),0)/100,"")</f>
        <v/>
      </c>
      <c r="S11" s="18">
        <f>IFERROR(VLOOKUP($D11,BS연결,MATCH(S$1,BS연결H,0),0)/100,"")</f>
        <v/>
      </c>
      <c r="T11" s="18">
        <f>IFERROR(VLOOKUP($D11,BS연결,MATCH(T$1,BS연결H,0),0)/100,"")</f>
        <v/>
      </c>
      <c r="U11" s="37">
        <f>SUM(Q11:T11)</f>
        <v/>
      </c>
      <c r="V11" s="18">
        <f>IFERROR(VLOOKUP($D11,BS연결,MATCH(V$1,BS연결H,0),0)/100,"")</f>
        <v/>
      </c>
      <c r="W11" s="18">
        <f>IFERROR(VLOOKUP($D11,BS연결,MATCH(W$1,BS연결H,0),0)/100,"")</f>
        <v/>
      </c>
      <c r="X11" s="18">
        <f>IFERROR(VLOOKUP($D11,BS연결,MATCH(X$1,BS연결H,0),0)/100,"")</f>
        <v/>
      </c>
      <c r="Y11" s="18">
        <f>IFERROR(VLOOKUP($D11,BS연결,MATCH(Y$1,BS연결H,0),0)/100,"")</f>
        <v/>
      </c>
      <c r="Z11" s="37">
        <f>IFERROR(VLOOKUP($D11,BS연결,MATCH(Z$1,BS연결H,0),0)/100,"")</f>
        <v/>
      </c>
      <c r="AA11" s="18">
        <f>IFERROR(VLOOKUP($D11,BS연결,MATCH(AA$1,BS연결H,0),0)/100,"")</f>
        <v/>
      </c>
      <c r="AB11" s="19">
        <f>IFERROR(VLOOKUP($D11,BS연결,MATCH(AB$1,BS연결H,0),0)/100,"")</f>
        <v/>
      </c>
      <c r="AC11" s="20">
        <f>IFERROR(AC12,"")</f>
        <v/>
      </c>
      <c r="AD11" s="20">
        <f>IFERROR(AD12,"")</f>
        <v/>
      </c>
      <c r="AE11" s="38">
        <f>SUM(AA11:AD11)</f>
        <v/>
      </c>
      <c r="AF11" s="20">
        <f>IFERROR(AF12,"")</f>
        <v/>
      </c>
      <c r="AG11" s="20">
        <f>IFERROR(AG12,"")</f>
        <v/>
      </c>
      <c r="AH11" s="20">
        <f>IFERROR(AH12,"")</f>
        <v/>
      </c>
      <c r="AI11" s="20">
        <f>IFERROR(AI12,"")</f>
        <v/>
      </c>
      <c r="AJ11" s="38">
        <f>SUM(AF11:AI11)</f>
        <v/>
      </c>
      <c r="AK11" s="20">
        <f>IFERROR(AK12,"")</f>
        <v/>
      </c>
      <c r="AL11" s="20">
        <f>IFERROR(AL12,"")</f>
        <v/>
      </c>
      <c r="AM11" s="20">
        <f>IFERROR(AM12,"")</f>
        <v/>
      </c>
      <c r="AN11" s="20">
        <f>IFERROR(AN12,"")</f>
        <v/>
      </c>
      <c r="AO11" s="38">
        <f>SUM(AK11:AN11)</f>
        <v/>
      </c>
    </row>
    <row r="12">
      <c r="A12" s="12" t="inlineStr">
        <is>
          <t>이자손익</t>
        </is>
      </c>
      <c r="B12" t="inlineStr">
        <is>
          <t>손익</t>
        </is>
      </c>
      <c r="C12" t="inlineStr">
        <is>
          <t>억원</t>
        </is>
      </c>
      <c r="D12" t="inlineStr">
        <is>
          <t>이자손익</t>
        </is>
      </c>
      <c r="E12" s="18" t="n"/>
      <c r="F12" s="37" t="n"/>
      <c r="G12" s="18" t="n"/>
      <c r="H12" s="18" t="n"/>
      <c r="I12" s="18" t="n"/>
      <c r="J12" s="18" t="n"/>
      <c r="K12" s="37">
        <f>SUM(G12:J12)</f>
        <v/>
      </c>
      <c r="L12" s="18" t="n"/>
      <c r="M12" s="18" t="n"/>
      <c r="N12" s="18" t="n"/>
      <c r="O12" s="18" t="n"/>
      <c r="P12" s="37">
        <f>SUM(L12:O12)</f>
        <v/>
      </c>
      <c r="Q12" s="18" t="n"/>
      <c r="R12" s="18" t="n"/>
      <c r="S12" s="18" t="n"/>
      <c r="T12" s="18" t="n"/>
      <c r="U12" s="37">
        <f>SUM(Q12:T12)</f>
        <v/>
      </c>
      <c r="V12" s="18" t="n"/>
      <c r="W12" s="18" t="n"/>
      <c r="X12" s="18" t="n"/>
      <c r="Y12" s="18" t="n"/>
      <c r="Z12" s="37">
        <f>SUM(V12:Y12)</f>
        <v/>
      </c>
      <c r="AA12" s="18" t="n"/>
      <c r="AB12" s="19" t="n"/>
      <c r="AC12" s="20">
        <f>IFERROR((AB27*변수!$D$52-AB25*변수!$D$53)/4,"")</f>
        <v/>
      </c>
      <c r="AD12" s="20">
        <f>IFERROR((AC27*변수!$D$52-AC25*변수!$D$53)/4,"")</f>
        <v/>
      </c>
      <c r="AE12" s="38">
        <f>SUM(AA12:AD12)</f>
        <v/>
      </c>
      <c r="AF12" s="20">
        <f>IFERROR((AD27*변수!$D$52-AD25*변수!$D$53)/4,"")</f>
        <v/>
      </c>
      <c r="AG12" s="20">
        <f>IFERROR((AF27*변수!$D$52-AF25*변수!$D$53)/4,"")</f>
        <v/>
      </c>
      <c r="AH12" s="20">
        <f>IFERROR((AG27*변수!$D$52-AG25*변수!$D$53)/4,"")</f>
        <v/>
      </c>
      <c r="AI12" s="20">
        <f>IFERROR((AH27*변수!$D$52-AH25*변수!$D$53)/4,"")</f>
        <v/>
      </c>
      <c r="AJ12" s="38">
        <f>SUM(AF12:AI12)</f>
        <v/>
      </c>
      <c r="AK12" s="20">
        <f>IFERROR((AI27*변수!$D$52-AI25*변수!$D$53)/4,"")</f>
        <v/>
      </c>
      <c r="AL12" s="20">
        <f>IFERROR((AK27*변수!$D$52-AK25*변수!$D$53)/4,"")</f>
        <v/>
      </c>
      <c r="AM12" s="20">
        <f>IFERROR((AL27*변수!$D$52-AL25*변수!$D$53)/4,"")</f>
        <v/>
      </c>
      <c r="AN12" s="20">
        <f>IFERROR((AM27*변수!$D$52-AM25*변수!$D$53)/4,"")</f>
        <v/>
      </c>
      <c r="AO12" s="38">
        <f>SUM(AK12:AN12)</f>
        <v/>
      </c>
    </row>
    <row r="13">
      <c r="A13" s="12" t="inlineStr">
        <is>
          <t>기타영업외손익</t>
        </is>
      </c>
      <c r="B13" t="inlineStr">
        <is>
          <t>손익</t>
        </is>
      </c>
      <c r="C13" t="inlineStr">
        <is>
          <t>억원</t>
        </is>
      </c>
      <c r="D13" t="inlineStr">
        <is>
          <t>기타영업외손익</t>
        </is>
      </c>
      <c r="E13" s="18">
        <f>IFERROR(VLOOKUP($D13,BS연결,MATCH(E$1,BS연결H,0),0)/100,"")</f>
        <v/>
      </c>
      <c r="F13" s="37" t="n"/>
      <c r="G13" s="18">
        <f>IFERROR(VLOOKUP($D13,BS연결,MATCH(G$1,BS연결H,0),0)/100,"")</f>
        <v/>
      </c>
      <c r="H13" s="18">
        <f>IFERROR(VLOOKUP($D13,BS연결,MATCH(H$1,BS연결H,0),0)/100,"")</f>
        <v/>
      </c>
      <c r="I13" s="18">
        <f>IFERROR(VLOOKUP($D13,BS연결,MATCH(I$1,BS연결H,0),0)/100,"")</f>
        <v/>
      </c>
      <c r="J13" s="18">
        <f>IFERROR(VLOOKUP($D13,BS연결,MATCH(J$1,BS연결H,0),0)/100,"")</f>
        <v/>
      </c>
      <c r="K13" s="37">
        <f>IFERROR(VLOOKUP($D13,BS연결,MATCH(K$1,BS연결H,0),0)/100,"")</f>
        <v/>
      </c>
      <c r="L13" s="18">
        <f>IFERROR(VLOOKUP($D13,BS연결,MATCH(L$1,BS연결H,0),0)/100,"")</f>
        <v/>
      </c>
      <c r="M13" s="18">
        <f>IFERROR(VLOOKUP($D13,BS연결,MATCH(M$1,BS연결H,0),0)/100,"")</f>
        <v/>
      </c>
      <c r="N13" s="18">
        <f>IFERROR(VLOOKUP($D13,BS연결,MATCH(N$1,BS연결H,0),0)/100,"")</f>
        <v/>
      </c>
      <c r="O13" s="18">
        <f>IFERROR(VLOOKUP($D13,BS연결,MATCH(O$1,BS연결H,0),0)/100,"")</f>
        <v/>
      </c>
      <c r="P13" s="37">
        <f>IFERROR(VLOOKUP($D13,BS연결,MATCH(P$1,BS연결H,0),0)/100,"")</f>
        <v/>
      </c>
      <c r="Q13" s="18">
        <f>IFERROR(VLOOKUP($D13,BS연결,MATCH(Q$1,BS연결H,0),0)/100,"")</f>
        <v/>
      </c>
      <c r="R13" s="18">
        <f>IFERROR(VLOOKUP($D13,BS연결,MATCH(R$1,BS연결H,0),0)/100,"")</f>
        <v/>
      </c>
      <c r="S13" s="18">
        <f>IFERROR(VLOOKUP($D13,BS연결,MATCH(S$1,BS연결H,0),0)/100,"")</f>
        <v/>
      </c>
      <c r="T13" s="18">
        <f>IFERROR(VLOOKUP($D13,BS연결,MATCH(T$1,BS연결H,0),0)/100,"")</f>
        <v/>
      </c>
      <c r="U13" s="37">
        <f>IFERROR(VLOOKUP($D13,BS연결,MATCH(U$1,BS연결H,0),0)/100,"")</f>
        <v/>
      </c>
      <c r="V13" s="18">
        <f>IFERROR(VLOOKUP($D13,BS연결,MATCH(V$1,BS연결H,0),0)/100,"")</f>
        <v/>
      </c>
      <c r="W13" s="18">
        <f>IFERROR(VLOOKUP($D13,BS연결,MATCH(W$1,BS연결H,0),0)/100,"")</f>
        <v/>
      </c>
      <c r="X13" s="18">
        <f>IFERROR(VLOOKUP($D13,BS연결,MATCH(X$1,BS연결H,0),0)/100,"")</f>
        <v/>
      </c>
      <c r="Y13" s="18">
        <f>IFERROR(VLOOKUP($D13,BS연결,MATCH(Y$1,BS연결H,0),0)/100,"")</f>
        <v/>
      </c>
      <c r="Z13" s="37">
        <f>IFERROR(VLOOKUP($D13,BS연결,MATCH(Z$1,BS연결H,0),0)/100,"")</f>
        <v/>
      </c>
      <c r="AA13" s="18">
        <f>IFERROR(VLOOKUP($D13,BS연결,MATCH(AA$1,BS연결H,0),0)/100,"")</f>
        <v/>
      </c>
      <c r="AB13" s="19">
        <f>IFERROR(VLOOKUP($D13,BS연결,MATCH(AB$1,BS연결H,0),0)/100,"")</f>
        <v/>
      </c>
      <c r="AC13" s="20">
        <f>변수!AC24</f>
        <v/>
      </c>
      <c r="AD13" s="20">
        <f>변수!AD24</f>
        <v/>
      </c>
      <c r="AE13" s="38">
        <f>SUM(AA13:AD13)</f>
        <v/>
      </c>
      <c r="AF13" s="20">
        <f>변수!AF24</f>
        <v/>
      </c>
      <c r="AG13" s="20">
        <f>변수!AG24</f>
        <v/>
      </c>
      <c r="AH13" s="20">
        <f>변수!AH24</f>
        <v/>
      </c>
      <c r="AI13" s="20">
        <f>변수!AI24</f>
        <v/>
      </c>
      <c r="AJ13" s="38">
        <f>SUM(AF13:AI13)</f>
        <v/>
      </c>
      <c r="AK13" s="20">
        <f>변수!AK24</f>
        <v/>
      </c>
      <c r="AL13" s="20">
        <f>변수!AL24</f>
        <v/>
      </c>
      <c r="AM13" s="20">
        <f>변수!AM24</f>
        <v/>
      </c>
      <c r="AN13" s="20">
        <f>변수!AN24</f>
        <v/>
      </c>
      <c r="AO13" s="38">
        <f>SUM(AK13:AN13)</f>
        <v/>
      </c>
    </row>
    <row r="14">
      <c r="A14" s="12" t="inlineStr">
        <is>
          <t>지분법손익</t>
        </is>
      </c>
      <c r="B14" t="inlineStr">
        <is>
          <t>손익</t>
        </is>
      </c>
      <c r="C14" t="inlineStr">
        <is>
          <t>억원</t>
        </is>
      </c>
      <c r="D14" t="inlineStr">
        <is>
          <t>종속기업,공동지배기업및관계기업관련손익</t>
        </is>
      </c>
      <c r="E14" s="18">
        <f>IFERROR(VLOOKUP($D14,BS연결,MATCH(E$1,BS연결H,0),0)/100,"")</f>
        <v/>
      </c>
      <c r="F14" s="37" t="n"/>
      <c r="G14" s="18">
        <f>IFERROR(VLOOKUP($D14,BS연결,MATCH(G$1,BS연결H,0),0)/100,"")</f>
        <v/>
      </c>
      <c r="H14" s="18" t="n"/>
      <c r="I14" s="18" t="n"/>
      <c r="J14" s="18">
        <f>IFERROR(VLOOKUP($D14,BS연결,MATCH(J$1,BS연결H,0),0)/100,"")</f>
        <v/>
      </c>
      <c r="K14" s="37">
        <f>SUM(G14:J14)</f>
        <v/>
      </c>
      <c r="L14" s="18" t="n"/>
      <c r="M14" s="18" t="n"/>
      <c r="N14" s="18" t="n"/>
      <c r="O14" s="18" t="n"/>
      <c r="P14" s="37">
        <f>SUM(L14:O14)</f>
        <v/>
      </c>
      <c r="Q14" s="18" t="n"/>
      <c r="R14" s="18" t="n"/>
      <c r="S14" s="18" t="n"/>
      <c r="T14" s="18" t="n"/>
      <c r="U14" s="37">
        <f>SUM(Q14:T14)</f>
        <v/>
      </c>
      <c r="V14" s="18" t="n"/>
      <c r="W14" s="18" t="n"/>
      <c r="X14" s="18" t="n"/>
      <c r="Y14" s="18" t="n"/>
      <c r="Z14" s="37">
        <f>SUM(V14:Y14)</f>
        <v/>
      </c>
      <c r="AA14" s="18" t="n"/>
      <c r="AB14" s="19" t="n"/>
      <c r="AC14" s="20">
        <f>변수!AC25</f>
        <v/>
      </c>
      <c r="AD14" s="20">
        <f>변수!AD25</f>
        <v/>
      </c>
      <c r="AE14" s="38">
        <f>SUM(AA14:AD14)</f>
        <v/>
      </c>
      <c r="AF14" s="20">
        <f>변수!AF25</f>
        <v/>
      </c>
      <c r="AG14" s="20">
        <f>변수!AG25</f>
        <v/>
      </c>
      <c r="AH14" s="20">
        <f>변수!AH25</f>
        <v/>
      </c>
      <c r="AI14" s="20">
        <f>변수!AI25</f>
        <v/>
      </c>
      <c r="AJ14" s="38">
        <f>SUM(AF14:AI14)</f>
        <v/>
      </c>
      <c r="AK14" s="20">
        <f>변수!AK25</f>
        <v/>
      </c>
      <c r="AL14" s="20">
        <f>변수!AL25</f>
        <v/>
      </c>
      <c r="AM14" s="20">
        <f>변수!AM25</f>
        <v/>
      </c>
      <c r="AN14" s="20">
        <f>변수!AN25</f>
        <v/>
      </c>
      <c r="AO14" s="38">
        <f>SUM(AK14:AN14)</f>
        <v/>
      </c>
    </row>
    <row r="15">
      <c r="A15" s="12" t="inlineStr">
        <is>
          <t>세전이익</t>
        </is>
      </c>
      <c r="B15" t="inlineStr">
        <is>
          <t>손익</t>
        </is>
      </c>
      <c r="C15" t="inlineStr">
        <is>
          <t>억원</t>
        </is>
      </c>
      <c r="D15" t="inlineStr">
        <is>
          <t>법인세비용차감전계속사업이익</t>
        </is>
      </c>
      <c r="E15" s="18">
        <f>IFERROR(VLOOKUP($D15,BS연결,MATCH(E$1,BS연결H,0),0)/100,"")</f>
        <v/>
      </c>
      <c r="F15" s="37" t="n"/>
      <c r="G15" s="18">
        <f>IFERROR(VLOOKUP($D15,BS연결,MATCH(G$1,BS연결H,0),0)/100,"")</f>
        <v/>
      </c>
      <c r="H15" s="18">
        <f>IFERROR(VLOOKUP($D15,BS연결,MATCH(H$1,BS연결H,0),0)/100,"")</f>
        <v/>
      </c>
      <c r="I15" s="18">
        <f>IFERROR(VLOOKUP($D15,BS연결,MATCH(I$1,BS연결H,0),0)/100,"")</f>
        <v/>
      </c>
      <c r="J15" s="18">
        <f>IFERROR(VLOOKUP($D15,BS연결,MATCH(J$1,BS연결H,0),0)/100,"")</f>
        <v/>
      </c>
      <c r="K15" s="37">
        <f>IFERROR(VLOOKUP($D15,BS연결,MATCH(K$1,BS연결H,0),0)/100,"")</f>
        <v/>
      </c>
      <c r="L15" s="18">
        <f>IFERROR(VLOOKUP($D15,BS연결,MATCH(L$1,BS연결H,0),0)/100,"")</f>
        <v/>
      </c>
      <c r="M15" s="18">
        <f>IFERROR(VLOOKUP($D15,BS연결,MATCH(M$1,BS연결H,0),0)/100,"")</f>
        <v/>
      </c>
      <c r="N15" s="18">
        <f>IFERROR(VLOOKUP($D15,BS연결,MATCH(N$1,BS연결H,0),0)/100,"")</f>
        <v/>
      </c>
      <c r="O15" s="18">
        <f>IFERROR(VLOOKUP($D15,BS연결,MATCH(O$1,BS연결H,0),0)/100,"")</f>
        <v/>
      </c>
      <c r="P15" s="37">
        <f>IFERROR(VLOOKUP($D15,BS연결,MATCH(P$1,BS연결H,0),0)/100,"")</f>
        <v/>
      </c>
      <c r="Q15" s="18">
        <f>IFERROR(VLOOKUP($D15,BS연결,MATCH(Q$1,BS연결H,0),0)/100,"")</f>
        <v/>
      </c>
      <c r="R15" s="18">
        <f>IFERROR(VLOOKUP($D15,BS연결,MATCH(R$1,BS연결H,0),0)/100,"")</f>
        <v/>
      </c>
      <c r="S15" s="18">
        <f>IFERROR(VLOOKUP($D15,BS연결,MATCH(S$1,BS연결H,0),0)/100,"")</f>
        <v/>
      </c>
      <c r="T15" s="18">
        <f>IFERROR(VLOOKUP($D15,BS연결,MATCH(T$1,BS연결H,0),0)/100,"")</f>
        <v/>
      </c>
      <c r="U15" s="37">
        <f>IFERROR(VLOOKUP($D15,BS연결,MATCH(U$1,BS연결H,0),0)/100,"")</f>
        <v/>
      </c>
      <c r="V15" s="18">
        <f>IFERROR(VLOOKUP($D15,BS연결,MATCH(V$1,BS연결H,0),0)/100,"")</f>
        <v/>
      </c>
      <c r="W15" s="18">
        <f>IFERROR(VLOOKUP($D15,BS연결,MATCH(W$1,BS연결H,0),0)/100,"")</f>
        <v/>
      </c>
      <c r="X15" s="18">
        <f>IFERROR(VLOOKUP($D15,BS연결,MATCH(X$1,BS연결H,0),0)/100,"")</f>
        <v/>
      </c>
      <c r="Y15" s="18">
        <f>IFERROR(VLOOKUP($D15,BS연결,MATCH(Y$1,BS연결H,0),0)/100,"")</f>
        <v/>
      </c>
      <c r="Z15" s="37">
        <f>IFERROR(VLOOKUP($D15,BS연결,MATCH(Z$1,BS연결H,0),0)/100,"")</f>
        <v/>
      </c>
      <c r="AA15" s="18">
        <f>IFERROR(VLOOKUP($D15,BS연결,MATCH(AA$1,BS연결H,0),0)/100,"")</f>
        <v/>
      </c>
      <c r="AB15" s="19">
        <f>IFERROR(VLOOKUP($D15,BS연결,MATCH(AB$1,BS연결H,0),0)/100,"")</f>
        <v/>
      </c>
      <c r="AC15" s="20">
        <f>IFERROR(AC9+AC11+AC13+AC14,"")</f>
        <v/>
      </c>
      <c r="AD15" s="20">
        <f>IFERROR(AD9+AD11+AD13+AD14,"")</f>
        <v/>
      </c>
      <c r="AE15" s="38">
        <f>SUM(AA15:AD15)</f>
        <v/>
      </c>
      <c r="AF15" s="20">
        <f>IFERROR(AF9+AF11+AF13+AF14,"")</f>
        <v/>
      </c>
      <c r="AG15" s="20">
        <f>IFERROR(AG9+AG11+AG13+AG14,"")</f>
        <v/>
      </c>
      <c r="AH15" s="20">
        <f>IFERROR(AH9+AH11+AH13+AH14,"")</f>
        <v/>
      </c>
      <c r="AI15" s="20">
        <f>IFERROR(AI9+AI11+AI13+AI14,"")</f>
        <v/>
      </c>
      <c r="AJ15" s="38">
        <f>SUM(AF15:AI15)</f>
        <v/>
      </c>
      <c r="AK15" s="20">
        <f>IFERROR(AK9+AK11+AK13+AK14,"")</f>
        <v/>
      </c>
      <c r="AL15" s="20">
        <f>IFERROR(AL9+AL11+AL13+AL14,"")</f>
        <v/>
      </c>
      <c r="AM15" s="20">
        <f>IFERROR(AM9+AM11+AM13+AM14,"")</f>
        <v/>
      </c>
      <c r="AN15" s="20">
        <f>IFERROR(AN9+AN11+AN13+AN14,"")</f>
        <v/>
      </c>
      <c r="AO15" s="38">
        <f>SUM(AK15:AN15)</f>
        <v/>
      </c>
    </row>
    <row r="16">
      <c r="A16" s="12" t="inlineStr">
        <is>
          <t>법인세비용</t>
        </is>
      </c>
      <c r="B16" t="inlineStr">
        <is>
          <t>손익</t>
        </is>
      </c>
      <c r="C16" t="inlineStr">
        <is>
          <t>억원</t>
        </is>
      </c>
      <c r="D16" t="inlineStr">
        <is>
          <t>법인세비용</t>
        </is>
      </c>
      <c r="E16" s="18">
        <f>IFERROR(VLOOKUP($D16,BS연결,MATCH(E$1,BS연결H,0),0)/100,"")</f>
        <v/>
      </c>
      <c r="F16" s="37" t="n"/>
      <c r="G16" s="18">
        <f>IFERROR(VLOOKUP($D16,BS연결,MATCH(G$1,BS연결H,0),0)/100,"")</f>
        <v/>
      </c>
      <c r="H16" s="18">
        <f>IFERROR(VLOOKUP($D16,BS연결,MATCH(H$1,BS연결H,0),0)/100,"")</f>
        <v/>
      </c>
      <c r="I16" s="18">
        <f>IFERROR(VLOOKUP($D16,BS연결,MATCH(I$1,BS연결H,0),0)/100,"")</f>
        <v/>
      </c>
      <c r="J16" s="18">
        <f>IFERROR(VLOOKUP($D16,BS연결,MATCH(J$1,BS연결H,0),0)/100,"")</f>
        <v/>
      </c>
      <c r="K16" s="37">
        <f>IFERROR(VLOOKUP($D16,BS연결,MATCH(K$1,BS연결H,0),0)/100,"")</f>
        <v/>
      </c>
      <c r="L16" s="18">
        <f>IFERROR(VLOOKUP($D16,BS연결,MATCH(L$1,BS연결H,0),0)/100,"")</f>
        <v/>
      </c>
      <c r="M16" s="18">
        <f>IFERROR(VLOOKUP($D16,BS연결,MATCH(M$1,BS연결H,0),0)/100,"")</f>
        <v/>
      </c>
      <c r="N16" s="18">
        <f>IFERROR(VLOOKUP($D16,BS연결,MATCH(N$1,BS연결H,0),0)/100,"")</f>
        <v/>
      </c>
      <c r="O16" s="18">
        <f>IFERROR(VLOOKUP($D16,BS연결,MATCH(O$1,BS연결H,0),0)/100,"")</f>
        <v/>
      </c>
      <c r="P16" s="37">
        <f>IFERROR(VLOOKUP($D16,BS연결,MATCH(P$1,BS연결H,0),0)/100,"")</f>
        <v/>
      </c>
      <c r="Q16" s="18">
        <f>IFERROR(VLOOKUP($D16,BS연결,MATCH(Q$1,BS연결H,0),0)/100,"")</f>
        <v/>
      </c>
      <c r="R16" s="18">
        <f>IFERROR(VLOOKUP($D16,BS연결,MATCH(R$1,BS연결H,0),0)/100,"")</f>
        <v/>
      </c>
      <c r="S16" s="18">
        <f>IFERROR(VLOOKUP($D16,BS연결,MATCH(S$1,BS연결H,0),0)/100,"")</f>
        <v/>
      </c>
      <c r="T16" s="18">
        <f>IFERROR(VLOOKUP($D16,BS연결,MATCH(T$1,BS연결H,0),0)/100,"")</f>
        <v/>
      </c>
      <c r="U16" s="37">
        <f>IFERROR(VLOOKUP($D16,BS연결,MATCH(U$1,BS연결H,0),0)/100,"")</f>
        <v/>
      </c>
      <c r="V16" s="18">
        <f>IFERROR(VLOOKUP($D16,BS연결,MATCH(V$1,BS연결H,0),0)/100,"")</f>
        <v/>
      </c>
      <c r="W16" s="18">
        <f>IFERROR(VLOOKUP($D16,BS연결,MATCH(W$1,BS연결H,0),0)/100,"")</f>
        <v/>
      </c>
      <c r="X16" s="18">
        <f>IFERROR(VLOOKUP($D16,BS연결,MATCH(X$1,BS연결H,0),0)/100,"")</f>
        <v/>
      </c>
      <c r="Y16" s="18">
        <f>IFERROR(VLOOKUP($D16,BS연결,MATCH(Y$1,BS연결H,0),0)/100,"")</f>
        <v/>
      </c>
      <c r="Z16" s="37">
        <f>IFERROR(VLOOKUP($D16,BS연결,MATCH(Z$1,BS연결H,0),0)/100,"")</f>
        <v/>
      </c>
      <c r="AA16" s="18">
        <f>IFERROR(VLOOKUP($D16,BS연결,MATCH(AA$1,BS연결H,0),0)/100,"")</f>
        <v/>
      </c>
      <c r="AB16" s="19">
        <f>IFERROR(VLOOKUP($D16,BS연결,MATCH(AB$1,BS연결H,0),0)/100,"")</f>
        <v/>
      </c>
      <c r="AC16" s="20">
        <f>IFERROR(MAX(AC15,0)*변수!AC26,"")</f>
        <v/>
      </c>
      <c r="AD16" s="20">
        <f>IFERROR(MAX(AD15,0)*변수!AD26,"")</f>
        <v/>
      </c>
      <c r="AE16" s="38">
        <f>SUM(AA16:AD16)</f>
        <v/>
      </c>
      <c r="AF16" s="20">
        <f>IFERROR(MAX(AF15,0)*변수!AF26,"")</f>
        <v/>
      </c>
      <c r="AG16" s="20">
        <f>IFERROR(MAX(AG15,0)*변수!AG26,"")</f>
        <v/>
      </c>
      <c r="AH16" s="20">
        <f>IFERROR(MAX(AH15,0)*변수!AH26,"")</f>
        <v/>
      </c>
      <c r="AI16" s="20">
        <f>IFERROR(MAX(AI15,0)*변수!AI26,"")</f>
        <v/>
      </c>
      <c r="AJ16" s="38">
        <f>SUM(AF16:AI16)</f>
        <v/>
      </c>
      <c r="AK16" s="20">
        <f>IFERROR(MAX(AK15,0)*변수!AK26,"")</f>
        <v/>
      </c>
      <c r="AL16" s="20">
        <f>IFERROR(MAX(AL15,0)*변수!AL26,"")</f>
        <v/>
      </c>
      <c r="AM16" s="20">
        <f>IFERROR(MAX(AM15,0)*변수!AM26,"")</f>
        <v/>
      </c>
      <c r="AN16" s="20">
        <f>IFERROR(MAX(AN15,0)*변수!AN26,"")</f>
        <v/>
      </c>
      <c r="AO16" s="38">
        <f>SUM(AK16:AN16)</f>
        <v/>
      </c>
    </row>
    <row r="17">
      <c r="A17" s="12" t="inlineStr">
        <is>
          <t>당기순이익</t>
        </is>
      </c>
      <c r="B17" t="inlineStr">
        <is>
          <t>손익</t>
        </is>
      </c>
      <c r="C17" t="inlineStr">
        <is>
          <t>억원</t>
        </is>
      </c>
      <c r="D17" t="inlineStr">
        <is>
          <t>당기순이익</t>
        </is>
      </c>
      <c r="E17" s="18">
        <f>IFERROR(VLOOKUP($D17,BS연결,MATCH(E$1,BS연결H,0),0)/100,"")</f>
        <v/>
      </c>
      <c r="F17" s="37" t="n"/>
      <c r="G17" s="18">
        <f>IFERROR(VLOOKUP($D17,BS연결,MATCH(G$1,BS연결H,0),0)/100,"")</f>
        <v/>
      </c>
      <c r="H17" s="18">
        <f>IFERROR(VLOOKUP($D17,BS연결,MATCH(H$1,BS연결H,0),0)/100,"")</f>
        <v/>
      </c>
      <c r="I17" s="18">
        <f>IFERROR(VLOOKUP($D17,BS연결,MATCH(I$1,BS연결H,0),0)/100,"")</f>
        <v/>
      </c>
      <c r="J17" s="18">
        <f>IFERROR(VLOOKUP($D17,BS연결,MATCH(J$1,BS연결H,0),0)/100,"")</f>
        <v/>
      </c>
      <c r="K17" s="37">
        <f>IFERROR(VLOOKUP($D17,BS연결,MATCH(K$1,BS연결H,0),0)/100,"")</f>
        <v/>
      </c>
      <c r="L17" s="18">
        <f>IFERROR(VLOOKUP($D17,BS연결,MATCH(L$1,BS연결H,0),0)/100,"")</f>
        <v/>
      </c>
      <c r="M17" s="18">
        <f>IFERROR(VLOOKUP($D17,BS연결,MATCH(M$1,BS연결H,0),0)/100,"")</f>
        <v/>
      </c>
      <c r="N17" s="18">
        <f>IFERROR(VLOOKUP($D17,BS연결,MATCH(N$1,BS연결H,0),0)/100,"")</f>
        <v/>
      </c>
      <c r="O17" s="18">
        <f>IFERROR(VLOOKUP($D17,BS연결,MATCH(O$1,BS연결H,0),0)/100,"")</f>
        <v/>
      </c>
      <c r="P17" s="37">
        <f>IFERROR(VLOOKUP($D17,BS연결,MATCH(P$1,BS연결H,0),0)/100,"")</f>
        <v/>
      </c>
      <c r="Q17" s="18">
        <f>IFERROR(VLOOKUP($D17,BS연결,MATCH(Q$1,BS연결H,0),0)/100,"")</f>
        <v/>
      </c>
      <c r="R17" s="18">
        <f>IFERROR(VLOOKUP($D17,BS연결,MATCH(R$1,BS연결H,0),0)/100,"")</f>
        <v/>
      </c>
      <c r="S17" s="18">
        <f>IFERROR(VLOOKUP($D17,BS연결,MATCH(S$1,BS연결H,0),0)/100,"")</f>
        <v/>
      </c>
      <c r="T17" s="18">
        <f>IFERROR(VLOOKUP($D17,BS연결,MATCH(T$1,BS연결H,0),0)/100,"")</f>
        <v/>
      </c>
      <c r="U17" s="37">
        <f>IFERROR(VLOOKUP($D17,BS연결,MATCH(U$1,BS연결H,0),0)/100,"")</f>
        <v/>
      </c>
      <c r="V17" s="18">
        <f>IFERROR(VLOOKUP($D17,BS연결,MATCH(V$1,BS연결H,0),0)/100,"")</f>
        <v/>
      </c>
      <c r="W17" s="18">
        <f>IFERROR(VLOOKUP($D17,BS연결,MATCH(W$1,BS연결H,0),0)/100,"")</f>
        <v/>
      </c>
      <c r="X17" s="18">
        <f>IFERROR(VLOOKUP($D17,BS연결,MATCH(X$1,BS연결H,0),0)/100,"")</f>
        <v/>
      </c>
      <c r="Y17" s="18">
        <f>IFERROR(VLOOKUP($D17,BS연결,MATCH(Y$1,BS연결H,0),0)/100,"")</f>
        <v/>
      </c>
      <c r="Z17" s="37">
        <f>IFERROR(VLOOKUP($D17,BS연결,MATCH(Z$1,BS연결H,0),0)/100,"")</f>
        <v/>
      </c>
      <c r="AA17" s="18">
        <f>IFERROR(VLOOKUP($D17,BS연결,MATCH(AA$1,BS연결H,0),0)/100,"")</f>
        <v/>
      </c>
      <c r="AB17" s="19">
        <f>IFERROR(VLOOKUP($D17,BS연결,MATCH(AB$1,BS연결H,0),0)/100,"")</f>
        <v/>
      </c>
      <c r="AC17" s="20">
        <f>IFERROR(AC15-AC16,"")</f>
        <v/>
      </c>
      <c r="AD17" s="20">
        <f>IFERROR(AD15-AD16,"")</f>
        <v/>
      </c>
      <c r="AE17" s="38">
        <f>SUM(AA17:AD17)</f>
        <v/>
      </c>
      <c r="AF17" s="20">
        <f>IFERROR(AF15-AF16,"")</f>
        <v/>
      </c>
      <c r="AG17" s="20">
        <f>IFERROR(AG15-AG16,"")</f>
        <v/>
      </c>
      <c r="AH17" s="20">
        <f>IFERROR(AH15-AH16,"")</f>
        <v/>
      </c>
      <c r="AI17" s="20">
        <f>IFERROR(AI15-AI16,"")</f>
        <v/>
      </c>
      <c r="AJ17" s="38">
        <f>SUM(AF17:AI17)</f>
        <v/>
      </c>
      <c r="AK17" s="20">
        <f>IFERROR(AK15-AK16,"")</f>
        <v/>
      </c>
      <c r="AL17" s="20">
        <f>IFERROR(AL15-AL16,"")</f>
        <v/>
      </c>
      <c r="AM17" s="20">
        <f>IFERROR(AM15-AM16,"")</f>
        <v/>
      </c>
      <c r="AN17" s="20">
        <f>IFERROR(AN15-AN16,"")</f>
        <v/>
      </c>
      <c r="AO17" s="38">
        <f>SUM(AK17:AN17)</f>
        <v/>
      </c>
    </row>
    <row r="18">
      <c r="A18" s="12" t="inlineStr">
        <is>
          <t>지배주주순이익</t>
        </is>
      </c>
      <c r="B18" t="inlineStr">
        <is>
          <t>손익</t>
        </is>
      </c>
      <c r="C18" t="inlineStr">
        <is>
          <t>억원</t>
        </is>
      </c>
      <c r="D18" t="inlineStr">
        <is>
          <t>(지배주주지분)당기순이익</t>
        </is>
      </c>
      <c r="E18" s="18">
        <f>IFERROR(VLOOKUP($D18,BS연결,MATCH(E$1,BS연결H,0),0)/100,"")</f>
        <v/>
      </c>
      <c r="F18" s="37" t="n"/>
      <c r="G18" s="18">
        <f>IFERROR(VLOOKUP($D18,BS연결,MATCH(G$1,BS연결H,0),0)/100,"")</f>
        <v/>
      </c>
      <c r="H18" s="18">
        <f>IFERROR(VLOOKUP($D18,BS연결,MATCH(H$1,BS연결H,0),0)/100,"")</f>
        <v/>
      </c>
      <c r="I18" s="18">
        <f>IFERROR(VLOOKUP($D18,BS연결,MATCH(I$1,BS연결H,0),0)/100,"")</f>
        <v/>
      </c>
      <c r="J18" s="18">
        <f>IFERROR(VLOOKUP($D18,BS연결,MATCH(J$1,BS연결H,0),0)/100,"")</f>
        <v/>
      </c>
      <c r="K18" s="37">
        <f>IFERROR(VLOOKUP($D18,BS연결,MATCH(K$1,BS연결H,0),0)/100,"")</f>
        <v/>
      </c>
      <c r="L18" s="18">
        <f>IFERROR(VLOOKUP($D18,BS연결,MATCH(L$1,BS연결H,0),0)/100,"")</f>
        <v/>
      </c>
      <c r="M18" s="18">
        <f>IFERROR(VLOOKUP($D18,BS연결,MATCH(M$1,BS연결H,0),0)/100,"")</f>
        <v/>
      </c>
      <c r="N18" s="18">
        <f>IFERROR(VLOOKUP($D18,BS연결,MATCH(N$1,BS연결H,0),0)/100,"")</f>
        <v/>
      </c>
      <c r="O18" s="18">
        <f>IFERROR(VLOOKUP($D18,BS연결,MATCH(O$1,BS연결H,0),0)/100,"")</f>
        <v/>
      </c>
      <c r="P18" s="37">
        <f>IFERROR(VLOOKUP($D18,BS연결,MATCH(P$1,BS연결H,0),0)/100,"")</f>
        <v/>
      </c>
      <c r="Q18" s="18">
        <f>IFERROR(VLOOKUP($D18,BS연결,MATCH(Q$1,BS연결H,0),0)/100,"")</f>
        <v/>
      </c>
      <c r="R18" s="18">
        <f>IFERROR(VLOOKUP($D18,BS연결,MATCH(R$1,BS연결H,0),0)/100,"")</f>
        <v/>
      </c>
      <c r="S18" s="18">
        <f>IFERROR(VLOOKUP($D18,BS연결,MATCH(S$1,BS연결H,0),0)/100,"")</f>
        <v/>
      </c>
      <c r="T18" s="18">
        <f>IFERROR(VLOOKUP($D18,BS연결,MATCH(T$1,BS연결H,0),0)/100,"")</f>
        <v/>
      </c>
      <c r="U18" s="37">
        <f>IFERROR(VLOOKUP($D18,BS연결,MATCH(U$1,BS연결H,0),0)/100,"")</f>
        <v/>
      </c>
      <c r="V18" s="18">
        <f>IFERROR(VLOOKUP($D18,BS연결,MATCH(V$1,BS연결H,0),0)/100,"")</f>
        <v/>
      </c>
      <c r="W18" s="18">
        <f>IFERROR(VLOOKUP($D18,BS연결,MATCH(W$1,BS연결H,0),0)/100,"")</f>
        <v/>
      </c>
      <c r="X18" s="18">
        <f>IFERROR(VLOOKUP($D18,BS연결,MATCH(X$1,BS연결H,0),0)/100,"")</f>
        <v/>
      </c>
      <c r="Y18" s="18">
        <f>IFERROR(VLOOKUP($D18,BS연결,MATCH(Y$1,BS연결H,0),0)/100,"")</f>
        <v/>
      </c>
      <c r="Z18" s="37">
        <f>IFERROR(VLOOKUP($D18,BS연결,MATCH(Z$1,BS연결H,0),0)/100,"")</f>
        <v/>
      </c>
      <c r="AA18" s="18">
        <f>IFERROR(VLOOKUP($D18,BS연결,MATCH(AA$1,BS연결H,0),0)/100,"")</f>
        <v/>
      </c>
      <c r="AB18" s="19">
        <f>IFERROR(VLOOKUP($D18,BS연결,MATCH(AB$1,BS연결H,0),0)/100,"")</f>
        <v/>
      </c>
      <c r="AC18" s="20">
        <f>IFERROR(AC17*변수!AC27,"")</f>
        <v/>
      </c>
      <c r="AD18" s="20">
        <f>IFERROR(AD17*변수!AD27,"")</f>
        <v/>
      </c>
      <c r="AE18" s="38">
        <f>SUM(AA18:AD18)</f>
        <v/>
      </c>
      <c r="AF18" s="20">
        <f>IFERROR(AF17*변수!AF27,"")</f>
        <v/>
      </c>
      <c r="AG18" s="20">
        <f>IFERROR(AG17*변수!AG27,"")</f>
        <v/>
      </c>
      <c r="AH18" s="20">
        <f>IFERROR(AH17*변수!AH27,"")</f>
        <v/>
      </c>
      <c r="AI18" s="20">
        <f>IFERROR(AI17*변수!AI27,"")</f>
        <v/>
      </c>
      <c r="AJ18" s="38">
        <f>SUM(AF18:AI18)</f>
        <v/>
      </c>
      <c r="AK18" s="20">
        <f>IFERROR(AK17*변수!AK27,"")</f>
        <v/>
      </c>
      <c r="AL18" s="20">
        <f>IFERROR(AL17*변수!AL27,"")</f>
        <v/>
      </c>
      <c r="AM18" s="20">
        <f>IFERROR(AM17*변수!AM27,"")</f>
        <v/>
      </c>
      <c r="AN18" s="20">
        <f>IFERROR(AN17*변수!AN27,"")</f>
        <v/>
      </c>
      <c r="AO18" s="38">
        <f>SUM(AK18:AN18)</f>
        <v/>
      </c>
    </row>
    <row r="19">
      <c r="A19" s="12" t="inlineStr">
        <is>
          <t>감가상각비</t>
        </is>
      </c>
      <c r="B19" t="inlineStr">
        <is>
          <t>손익</t>
        </is>
      </c>
      <c r="C19" t="inlineStr">
        <is>
          <t>억원</t>
        </is>
      </c>
      <c r="D19" t="inlineStr">
        <is>
          <t>감가상각비</t>
        </is>
      </c>
      <c r="E19" s="18">
        <f>IFERROR(VLOOKUP($D19,BS연결,MATCH(E$1,BS연결H,0),0)/100,"")</f>
        <v/>
      </c>
      <c r="F19" s="37" t="n"/>
      <c r="G19" s="18">
        <f>IFERROR(VLOOKUP($D19,BS연결,MATCH(G$1,BS연결H,0),0)/100,"")</f>
        <v/>
      </c>
      <c r="H19" s="18">
        <f>IFERROR(VLOOKUP($D19,BS연결,MATCH(H$1,BS연결H,0),0)/100,"")</f>
        <v/>
      </c>
      <c r="I19" s="18">
        <f>IFERROR(VLOOKUP($D19,BS연결,MATCH(I$1,BS연결H,0),0)/100,"")</f>
        <v/>
      </c>
      <c r="J19" s="18">
        <f>IFERROR(VLOOKUP($D19,BS연결,MATCH(J$1,BS연결H,0),0)/100,"")</f>
        <v/>
      </c>
      <c r="K19" s="37">
        <f>IFERROR(VLOOKUP($D19,BS연결,MATCH(K$1,BS연결H,0),0)/100,"")</f>
        <v/>
      </c>
      <c r="L19" s="18">
        <f>IFERROR(VLOOKUP($D19,BS연결,MATCH(L$1,BS연결H,0),0)/100,"")</f>
        <v/>
      </c>
      <c r="M19" s="18">
        <f>IFERROR(VLOOKUP($D19,BS연결,MATCH(M$1,BS연결H,0),0)/100,"")</f>
        <v/>
      </c>
      <c r="N19" s="18" t="n"/>
      <c r="O19" s="18" t="n"/>
      <c r="P19" s="37">
        <f>SUM(L19:O19)</f>
        <v/>
      </c>
      <c r="Q19" s="18" t="n"/>
      <c r="R19" s="18" t="n"/>
      <c r="S19" s="18" t="n"/>
      <c r="T19" s="18" t="n"/>
      <c r="U19" s="37">
        <f>SUM(Q19:T19)</f>
        <v/>
      </c>
      <c r="V19" s="18" t="n"/>
      <c r="W19" s="18" t="n"/>
      <c r="X19" s="18" t="n"/>
      <c r="Y19" s="18" t="n"/>
      <c r="Z19" s="37">
        <f>SUM(V19:Y19)</f>
        <v/>
      </c>
      <c r="AA19" s="18" t="n"/>
      <c r="AB19" s="19" t="n"/>
      <c r="AC19" s="20">
        <f>변수!AC28</f>
        <v/>
      </c>
      <c r="AD19" s="20">
        <f>변수!AD28</f>
        <v/>
      </c>
      <c r="AE19" s="38">
        <f>SUM(AA19:AD19)</f>
        <v/>
      </c>
      <c r="AF19" s="20">
        <f>변수!AF28</f>
        <v/>
      </c>
      <c r="AG19" s="20">
        <f>변수!AG28</f>
        <v/>
      </c>
      <c r="AH19" s="20">
        <f>변수!AH28</f>
        <v/>
      </c>
      <c r="AI19" s="20">
        <f>변수!AI28</f>
        <v/>
      </c>
      <c r="AJ19" s="38">
        <f>SUM(AF19:AI19)</f>
        <v/>
      </c>
      <c r="AK19" s="20">
        <f>변수!AK28</f>
        <v/>
      </c>
      <c r="AL19" s="20">
        <f>변수!AL28</f>
        <v/>
      </c>
      <c r="AM19" s="20">
        <f>변수!AM28</f>
        <v/>
      </c>
      <c r="AN19" s="20">
        <f>변수!AN28</f>
        <v/>
      </c>
      <c r="AO19" s="38">
        <f>SUM(AK19:AN19)</f>
        <v/>
      </c>
    </row>
    <row r="20">
      <c r="A20" s="12" t="inlineStr">
        <is>
          <t>EBITDA</t>
        </is>
      </c>
      <c r="B20" t="inlineStr">
        <is>
          <t>손익</t>
        </is>
      </c>
      <c r="C20" t="inlineStr">
        <is>
          <t>억원</t>
        </is>
      </c>
      <c r="D20" t="inlineStr">
        <is>
          <t>EBITDA</t>
        </is>
      </c>
      <c r="E20" s="18" t="n">
        <v>-4.5</v>
      </c>
      <c r="F20" s="37" t="n"/>
      <c r="G20" s="18" t="n">
        <v>13.48</v>
      </c>
      <c r="H20" s="18" t="n">
        <v>30.98</v>
      </c>
      <c r="I20" s="18" t="n">
        <v>55.34</v>
      </c>
      <c r="J20" s="18" t="n">
        <v>6.22</v>
      </c>
      <c r="K20" s="37">
        <f>SUM(G20:J20)</f>
        <v/>
      </c>
      <c r="L20" s="18" t="n">
        <v>14.78</v>
      </c>
      <c r="M20" s="18" t="n">
        <v>17.64</v>
      </c>
      <c r="N20" s="18" t="n"/>
      <c r="O20" s="18" t="n"/>
      <c r="P20" s="37">
        <f>SUM(L20:O20)</f>
        <v/>
      </c>
      <c r="Q20" s="18" t="n"/>
      <c r="R20" s="18" t="n"/>
      <c r="S20" s="18" t="n"/>
      <c r="T20" s="18" t="n"/>
      <c r="U20" s="37">
        <f>SUM(Q20:T20)</f>
        <v/>
      </c>
      <c r="V20" s="18" t="n"/>
      <c r="W20" s="18" t="n"/>
      <c r="X20" s="18" t="n"/>
      <c r="Y20" s="18" t="n"/>
      <c r="Z20" s="37">
        <f>SUM(V20:Y20)</f>
        <v/>
      </c>
      <c r="AA20" s="18" t="n"/>
      <c r="AB20" s="19" t="n"/>
      <c r="AC20" s="20">
        <f>IFERROR(AC9+AC19,"")</f>
        <v/>
      </c>
      <c r="AD20" s="20">
        <f>IFERROR(AD9+AD19,"")</f>
        <v/>
      </c>
      <c r="AE20" s="38">
        <f>SUM(AA20:AD20)</f>
        <v/>
      </c>
      <c r="AF20" s="20">
        <f>IFERROR(AF9+AF19,"")</f>
        <v/>
      </c>
      <c r="AG20" s="20">
        <f>IFERROR(AG9+AG19,"")</f>
        <v/>
      </c>
      <c r="AH20" s="20">
        <f>IFERROR(AH9+AH19,"")</f>
        <v/>
      </c>
      <c r="AI20" s="20">
        <f>IFERROR(AI9+AI19,"")</f>
        <v/>
      </c>
      <c r="AJ20" s="38">
        <f>SUM(AF20:AI20)</f>
        <v/>
      </c>
      <c r="AK20" s="20">
        <f>IFERROR(AK9+AK19,"")</f>
        <v/>
      </c>
      <c r="AL20" s="20">
        <f>IFERROR(AL9+AL19,"")</f>
        <v/>
      </c>
      <c r="AM20" s="20">
        <f>IFERROR(AM9+AM19,"")</f>
        <v/>
      </c>
      <c r="AN20" s="20">
        <f>IFERROR(AN9+AN19,"")</f>
        <v/>
      </c>
      <c r="AO20" s="38">
        <f>SUM(AK20:AN20)</f>
        <v/>
      </c>
    </row>
    <row r="21">
      <c r="A21" s="12" t="inlineStr">
        <is>
          <t>자산총계</t>
        </is>
      </c>
      <c r="B21" t="inlineStr">
        <is>
          <t>재무상태</t>
        </is>
      </c>
      <c r="C21" t="inlineStr">
        <is>
          <t>억원</t>
        </is>
      </c>
      <c r="D21" t="inlineStr">
        <is>
          <t>자산총계</t>
        </is>
      </c>
      <c r="E21" s="18">
        <f>IFERROR(VLOOKUP($D21,BS연결,MATCH(E$1,BS연결H,0),0)/100,"")</f>
        <v/>
      </c>
      <c r="F21" s="37">
        <f>IFERROR(VLOOKUP($D21,BS연결,MATCH(F$1,BS연결H,0),0)/100,"")</f>
        <v/>
      </c>
      <c r="G21" s="18">
        <f>IFERROR(VLOOKUP($D21,BS연결,MATCH(G$1,BS연결H,0),0)/100,"")</f>
        <v/>
      </c>
      <c r="H21" s="18">
        <f>IFERROR(VLOOKUP($D21,BS연결,MATCH(H$1,BS연결H,0),0)/100,"")</f>
        <v/>
      </c>
      <c r="I21" s="18">
        <f>IFERROR(VLOOKUP($D21,BS연결,MATCH(I$1,BS연결H,0),0)/100,"")</f>
        <v/>
      </c>
      <c r="J21" s="18">
        <f>IFERROR(VLOOKUP($D21,BS연결,MATCH(J$1,BS연결H,0),0)/100,"")</f>
        <v/>
      </c>
      <c r="K21" s="37">
        <f>IFERROR(VLOOKUP($D21,BS연결,MATCH(K$1,BS연결H,0),0)/100,"")</f>
        <v/>
      </c>
      <c r="L21" s="18">
        <f>IFERROR(VLOOKUP($D21,BS연결,MATCH(L$1,BS연결H,0),0)/100,"")</f>
        <v/>
      </c>
      <c r="M21" s="18">
        <f>IFERROR(VLOOKUP($D21,BS연결,MATCH(M$1,BS연결H,0),0)/100,"")</f>
        <v/>
      </c>
      <c r="N21" s="18">
        <f>IFERROR(VLOOKUP($D21,BS연결,MATCH(N$1,BS연결H,0),0)/100,"")</f>
        <v/>
      </c>
      <c r="O21" s="18">
        <f>IFERROR(VLOOKUP($D21,BS연결,MATCH(O$1,BS연결H,0),0)/100,"")</f>
        <v/>
      </c>
      <c r="P21" s="37">
        <f>IFERROR(VLOOKUP($D21,BS연결,MATCH(P$1,BS연결H,0),0)/100,"")</f>
        <v/>
      </c>
      <c r="Q21" s="18">
        <f>IFERROR(VLOOKUP($D21,BS연결,MATCH(Q$1,BS연결H,0),0)/100,"")</f>
        <v/>
      </c>
      <c r="R21" s="18">
        <f>IFERROR(VLOOKUP($D21,BS연결,MATCH(R$1,BS연결H,0),0)/100,"")</f>
        <v/>
      </c>
      <c r="S21" s="18">
        <f>IFERROR(VLOOKUP($D21,BS연결,MATCH(S$1,BS연결H,0),0)/100,"")</f>
        <v/>
      </c>
      <c r="T21" s="18">
        <f>IFERROR(VLOOKUP($D21,BS연결,MATCH(T$1,BS연결H,0),0)/100,"")</f>
        <v/>
      </c>
      <c r="U21" s="37">
        <f>IFERROR(VLOOKUP($D21,BS연결,MATCH(U$1,BS연결H,0),0)/100,"")</f>
        <v/>
      </c>
      <c r="V21" s="18">
        <f>IFERROR(VLOOKUP($D21,BS연결,MATCH(V$1,BS연결H,0),0)/100,"")</f>
        <v/>
      </c>
      <c r="W21" s="18">
        <f>IFERROR(VLOOKUP($D21,BS연결,MATCH(W$1,BS연결H,0),0)/100,"")</f>
        <v/>
      </c>
      <c r="X21" s="18">
        <f>IFERROR(VLOOKUP($D21,BS연결,MATCH(X$1,BS연결H,0),0)/100,"")</f>
        <v/>
      </c>
      <c r="Y21" s="18">
        <f>IFERROR(VLOOKUP($D21,BS연결,MATCH(Y$1,BS연결H,0),0)/100,"")</f>
        <v/>
      </c>
      <c r="Z21" s="37">
        <f>IFERROR(VLOOKUP($D21,BS연결,MATCH(Z$1,BS연결H,0),0)/100,"")</f>
        <v/>
      </c>
      <c r="AA21" s="18">
        <f>IFERROR(VLOOKUP($D21,BS연결,MATCH(AA$1,BS연결H,0),0)/100,"")</f>
        <v/>
      </c>
      <c r="AB21" s="19">
        <f>IFERROR(VLOOKUP($D21,BS연결,MATCH(AB$1,BS연결H,0),0)/100,"")</f>
        <v/>
      </c>
      <c r="AC21" s="20">
        <f>IFERROR(AC22+AC23,"")</f>
        <v/>
      </c>
      <c r="AD21" s="20">
        <f>IFERROR(AD22+AD23,"")</f>
        <v/>
      </c>
      <c r="AE21" s="38">
        <f>AD21</f>
        <v/>
      </c>
      <c r="AF21" s="20">
        <f>IFERROR(AF22+AF23,"")</f>
        <v/>
      </c>
      <c r="AG21" s="20">
        <f>IFERROR(AG22+AG23,"")</f>
        <v/>
      </c>
      <c r="AH21" s="20">
        <f>IFERROR(AH22+AH23,"")</f>
        <v/>
      </c>
      <c r="AI21" s="20">
        <f>IFERROR(AI22+AI23,"")</f>
        <v/>
      </c>
      <c r="AJ21" s="38">
        <f>AI21</f>
        <v/>
      </c>
      <c r="AK21" s="20">
        <f>IFERROR(AK22+AK23,"")</f>
        <v/>
      </c>
      <c r="AL21" s="20">
        <f>IFERROR(AL22+AL23,"")</f>
        <v/>
      </c>
      <c r="AM21" s="20">
        <f>IFERROR(AM22+AM23,"")</f>
        <v/>
      </c>
      <c r="AN21" s="20">
        <f>IFERROR(AN22+AN23,"")</f>
        <v/>
      </c>
      <c r="AO21" s="38">
        <f>AN21</f>
        <v/>
      </c>
    </row>
    <row r="22">
      <c r="A22" s="12" t="inlineStr">
        <is>
          <t>부채총계</t>
        </is>
      </c>
      <c r="B22" t="inlineStr">
        <is>
          <t>재무상태</t>
        </is>
      </c>
      <c r="C22" t="inlineStr">
        <is>
          <t>억원</t>
        </is>
      </c>
      <c r="D22" t="inlineStr">
        <is>
          <t>부채총계</t>
        </is>
      </c>
      <c r="E22" s="18">
        <f>IFERROR(VLOOKUP($D22,BS연결,MATCH(E$1,BS연결H,0),0)/100,"")</f>
        <v/>
      </c>
      <c r="F22" s="37">
        <f>IFERROR(VLOOKUP($D22,BS연결,MATCH(F$1,BS연결H,0),0)/100,"")</f>
        <v/>
      </c>
      <c r="G22" s="18">
        <f>IFERROR(VLOOKUP($D22,BS연결,MATCH(G$1,BS연결H,0),0)/100,"")</f>
        <v/>
      </c>
      <c r="H22" s="18">
        <f>IFERROR(VLOOKUP($D22,BS연결,MATCH(H$1,BS연결H,0),0)/100,"")</f>
        <v/>
      </c>
      <c r="I22" s="18">
        <f>IFERROR(VLOOKUP($D22,BS연결,MATCH(I$1,BS연결H,0),0)/100,"")</f>
        <v/>
      </c>
      <c r="J22" s="18">
        <f>IFERROR(VLOOKUP($D22,BS연결,MATCH(J$1,BS연결H,0),0)/100,"")</f>
        <v/>
      </c>
      <c r="K22" s="37">
        <f>IFERROR(VLOOKUP($D22,BS연결,MATCH(K$1,BS연결H,0),0)/100,"")</f>
        <v/>
      </c>
      <c r="L22" s="18">
        <f>IFERROR(VLOOKUP($D22,BS연결,MATCH(L$1,BS연결H,0),0)/100,"")</f>
        <v/>
      </c>
      <c r="M22" s="18">
        <f>IFERROR(VLOOKUP($D22,BS연결,MATCH(M$1,BS연결H,0),0)/100,"")</f>
        <v/>
      </c>
      <c r="N22" s="18">
        <f>IFERROR(VLOOKUP($D22,BS연결,MATCH(N$1,BS연결H,0),0)/100,"")</f>
        <v/>
      </c>
      <c r="O22" s="18">
        <f>IFERROR(VLOOKUP($D22,BS연결,MATCH(O$1,BS연결H,0),0)/100,"")</f>
        <v/>
      </c>
      <c r="P22" s="37">
        <f>IFERROR(VLOOKUP($D22,BS연결,MATCH(P$1,BS연결H,0),0)/100,"")</f>
        <v/>
      </c>
      <c r="Q22" s="18">
        <f>IFERROR(VLOOKUP($D22,BS연결,MATCH(Q$1,BS연결H,0),0)/100,"")</f>
        <v/>
      </c>
      <c r="R22" s="18">
        <f>IFERROR(VLOOKUP($D22,BS연결,MATCH(R$1,BS연결H,0),0)/100,"")</f>
        <v/>
      </c>
      <c r="S22" s="18">
        <f>IFERROR(VLOOKUP($D22,BS연결,MATCH(S$1,BS연결H,0),0)/100,"")</f>
        <v/>
      </c>
      <c r="T22" s="18">
        <f>IFERROR(VLOOKUP($D22,BS연결,MATCH(T$1,BS연결H,0),0)/100,"")</f>
        <v/>
      </c>
      <c r="U22" s="37">
        <f>IFERROR(VLOOKUP($D22,BS연결,MATCH(U$1,BS연결H,0),0)/100,"")</f>
        <v/>
      </c>
      <c r="V22" s="18">
        <f>IFERROR(VLOOKUP($D22,BS연결,MATCH(V$1,BS연결H,0),0)/100,"")</f>
        <v/>
      </c>
      <c r="W22" s="18">
        <f>IFERROR(VLOOKUP($D22,BS연결,MATCH(W$1,BS연결H,0),0)/100,"")</f>
        <v/>
      </c>
      <c r="X22" s="18">
        <f>IFERROR(VLOOKUP($D22,BS연결,MATCH(X$1,BS연결H,0),0)/100,"")</f>
        <v/>
      </c>
      <c r="Y22" s="18">
        <f>IFERROR(VLOOKUP($D22,BS연결,MATCH(Y$1,BS연결H,0),0)/100,"")</f>
        <v/>
      </c>
      <c r="Z22" s="37">
        <f>IFERROR(VLOOKUP($D22,BS연결,MATCH(Z$1,BS연결H,0),0)/100,"")</f>
        <v/>
      </c>
      <c r="AA22" s="18">
        <f>IFERROR(VLOOKUP($D22,BS연결,MATCH(AA$1,BS연결H,0),0)/100,"")</f>
        <v/>
      </c>
      <c r="AB22" s="19">
        <f>IFERROR(VLOOKUP($D22,BS연결,MATCH(AB$1,BS연결H,0),0)/100,"")</f>
        <v/>
      </c>
      <c r="AC22" s="20">
        <f>IFERROR(AB22*(1+변수!AC29),"")</f>
        <v/>
      </c>
      <c r="AD22" s="20">
        <f>IFERROR(AC22*(1+변수!AD29),"")</f>
        <v/>
      </c>
      <c r="AE22" s="38">
        <f>AD22</f>
        <v/>
      </c>
      <c r="AF22" s="20">
        <f>IFERROR(AD22*(1+변수!AF29),"")</f>
        <v/>
      </c>
      <c r="AG22" s="20">
        <f>IFERROR(AF22*(1+변수!AG29),"")</f>
        <v/>
      </c>
      <c r="AH22" s="20">
        <f>IFERROR(AG22*(1+변수!AH29),"")</f>
        <v/>
      </c>
      <c r="AI22" s="20">
        <f>IFERROR(AH22*(1+변수!AI29),"")</f>
        <v/>
      </c>
      <c r="AJ22" s="38">
        <f>AI22</f>
        <v/>
      </c>
      <c r="AK22" s="20">
        <f>IFERROR(AI22*(1+변수!AK29),"")</f>
        <v/>
      </c>
      <c r="AL22" s="20">
        <f>IFERROR(AK22*(1+변수!AL29),"")</f>
        <v/>
      </c>
      <c r="AM22" s="20">
        <f>IFERROR(AL22*(1+변수!AM29),"")</f>
        <v/>
      </c>
      <c r="AN22" s="20">
        <f>IFERROR(AM22*(1+변수!AN29),"")</f>
        <v/>
      </c>
      <c r="AO22" s="38">
        <f>AN22</f>
        <v/>
      </c>
    </row>
    <row r="23">
      <c r="A23" s="12" t="inlineStr">
        <is>
          <t>자본총계</t>
        </is>
      </c>
      <c r="B23" t="inlineStr">
        <is>
          <t>재무상태</t>
        </is>
      </c>
      <c r="C23" t="inlineStr">
        <is>
          <t>억원</t>
        </is>
      </c>
      <c r="D23" t="inlineStr">
        <is>
          <t>자본총계</t>
        </is>
      </c>
      <c r="E23" s="18">
        <f>IFERROR(VLOOKUP($D23,BS연결,MATCH(E$1,BS연결H,0),0)/100,"")</f>
        <v/>
      </c>
      <c r="F23" s="37">
        <f>IFERROR(VLOOKUP($D23,BS연결,MATCH(F$1,BS연결H,0),0)/100,"")</f>
        <v/>
      </c>
      <c r="G23" s="18">
        <f>IFERROR(VLOOKUP($D23,BS연결,MATCH(G$1,BS연결H,0),0)/100,"")</f>
        <v/>
      </c>
      <c r="H23" s="18">
        <f>IFERROR(VLOOKUP($D23,BS연결,MATCH(H$1,BS연결H,0),0)/100,"")</f>
        <v/>
      </c>
      <c r="I23" s="18">
        <f>IFERROR(VLOOKUP($D23,BS연결,MATCH(I$1,BS연결H,0),0)/100,"")</f>
        <v/>
      </c>
      <c r="J23" s="18">
        <f>IFERROR(VLOOKUP($D23,BS연결,MATCH(J$1,BS연결H,0),0)/100,"")</f>
        <v/>
      </c>
      <c r="K23" s="37">
        <f>IFERROR(VLOOKUP($D23,BS연결,MATCH(K$1,BS연결H,0),0)/100,"")</f>
        <v/>
      </c>
      <c r="L23" s="18">
        <f>IFERROR(VLOOKUP($D23,BS연결,MATCH(L$1,BS연결H,0),0)/100,"")</f>
        <v/>
      </c>
      <c r="M23" s="18">
        <f>IFERROR(VLOOKUP($D23,BS연결,MATCH(M$1,BS연결H,0),0)/100,"")</f>
        <v/>
      </c>
      <c r="N23" s="18">
        <f>IFERROR(VLOOKUP($D23,BS연결,MATCH(N$1,BS연결H,0),0)/100,"")</f>
        <v/>
      </c>
      <c r="O23" s="18">
        <f>IFERROR(VLOOKUP($D23,BS연결,MATCH(O$1,BS연결H,0),0)/100,"")</f>
        <v/>
      </c>
      <c r="P23" s="37">
        <f>IFERROR(VLOOKUP($D23,BS연결,MATCH(P$1,BS연결H,0),0)/100,"")</f>
        <v/>
      </c>
      <c r="Q23" s="18">
        <f>IFERROR(VLOOKUP($D23,BS연결,MATCH(Q$1,BS연결H,0),0)/100,"")</f>
        <v/>
      </c>
      <c r="R23" s="18">
        <f>IFERROR(VLOOKUP($D23,BS연결,MATCH(R$1,BS연결H,0),0)/100,"")</f>
        <v/>
      </c>
      <c r="S23" s="18">
        <f>IFERROR(VLOOKUP($D23,BS연결,MATCH(S$1,BS연결H,0),0)/100,"")</f>
        <v/>
      </c>
      <c r="T23" s="18">
        <f>IFERROR(VLOOKUP($D23,BS연결,MATCH(T$1,BS연결H,0),0)/100,"")</f>
        <v/>
      </c>
      <c r="U23" s="37">
        <f>IFERROR(VLOOKUP($D23,BS연결,MATCH(U$1,BS연결H,0),0)/100,"")</f>
        <v/>
      </c>
      <c r="V23" s="18">
        <f>IFERROR(VLOOKUP($D23,BS연결,MATCH(V$1,BS연결H,0),0)/100,"")</f>
        <v/>
      </c>
      <c r="W23" s="18">
        <f>IFERROR(VLOOKUP($D23,BS연결,MATCH(W$1,BS연결H,0),0)/100,"")</f>
        <v/>
      </c>
      <c r="X23" s="18">
        <f>IFERROR(VLOOKUP($D23,BS연결,MATCH(X$1,BS연결H,0),0)/100,"")</f>
        <v/>
      </c>
      <c r="Y23" s="18">
        <f>IFERROR(VLOOKUP($D23,BS연결,MATCH(Y$1,BS연결H,0),0)/100,"")</f>
        <v/>
      </c>
      <c r="Z23" s="37">
        <f>IFERROR(VLOOKUP($D23,BS연결,MATCH(Z$1,BS연결H,0),0)/100,"")</f>
        <v/>
      </c>
      <c r="AA23" s="18">
        <f>IFERROR(VLOOKUP($D23,BS연결,MATCH(AA$1,BS연결H,0),0)/100,"")</f>
        <v/>
      </c>
      <c r="AB23" s="19">
        <f>IFERROR(VLOOKUP($D23,BS연결,MATCH(AB$1,BS연결H,0),0)/100,"")</f>
        <v/>
      </c>
      <c r="AC23" s="20">
        <f>IFERROR(AB23+AC17-변수!AC30,"")</f>
        <v/>
      </c>
      <c r="AD23" s="20">
        <f>IFERROR(AC23+AD17-변수!AD30,"")</f>
        <v/>
      </c>
      <c r="AE23" s="38">
        <f>AD23</f>
        <v/>
      </c>
      <c r="AF23" s="20">
        <f>IFERROR(AD23+AF17-변수!AF30,"")</f>
        <v/>
      </c>
      <c r="AG23" s="20">
        <f>IFERROR(AF23+AG17-변수!AG30,"")</f>
        <v/>
      </c>
      <c r="AH23" s="20">
        <f>IFERROR(AG23+AH17-변수!AH30,"")</f>
        <v/>
      </c>
      <c r="AI23" s="20">
        <f>IFERROR(AH23+AI17-변수!AI30,"")</f>
        <v/>
      </c>
      <c r="AJ23" s="38">
        <f>AI23</f>
        <v/>
      </c>
      <c r="AK23" s="20">
        <f>IFERROR(AI23+AK17-변수!AK30,"")</f>
        <v/>
      </c>
      <c r="AL23" s="20">
        <f>IFERROR(AK23+AL17-변수!AL30,"")</f>
        <v/>
      </c>
      <c r="AM23" s="20">
        <f>IFERROR(AL23+AM17-변수!AM30,"")</f>
        <v/>
      </c>
      <c r="AN23" s="20">
        <f>IFERROR(AM23+AN17-변수!AN30,"")</f>
        <v/>
      </c>
      <c r="AO23" s="38">
        <f>AN23</f>
        <v/>
      </c>
    </row>
    <row r="24">
      <c r="A24" s="12" t="inlineStr">
        <is>
          <t>지배주주지분</t>
        </is>
      </c>
      <c r="B24" t="inlineStr">
        <is>
          <t>재무상태</t>
        </is>
      </c>
      <c r="C24" t="inlineStr">
        <is>
          <t>억원</t>
        </is>
      </c>
      <c r="D24" t="inlineStr">
        <is>
          <t>지배주주지분</t>
        </is>
      </c>
      <c r="E24" s="18">
        <f>IFERROR(VLOOKUP($D24,BS연결,MATCH(E$1,BS연결H,0),0)/100,"")</f>
        <v/>
      </c>
      <c r="F24" s="37">
        <f>IFERROR(VLOOKUP($D24,BS연결,MATCH(F$1,BS연결H,0),0)/100,"")</f>
        <v/>
      </c>
      <c r="G24" s="18">
        <f>IFERROR(VLOOKUP($D24,BS연결,MATCH(G$1,BS연결H,0),0)/100,"")</f>
        <v/>
      </c>
      <c r="H24" s="18">
        <f>IFERROR(VLOOKUP($D24,BS연결,MATCH(H$1,BS연결H,0),0)/100,"")</f>
        <v/>
      </c>
      <c r="I24" s="18">
        <f>IFERROR(VLOOKUP($D24,BS연결,MATCH(I$1,BS연결H,0),0)/100,"")</f>
        <v/>
      </c>
      <c r="J24" s="18">
        <f>IFERROR(VLOOKUP($D24,BS연결,MATCH(J$1,BS연결H,0),0)/100,"")</f>
        <v/>
      </c>
      <c r="K24" s="37">
        <f>IFERROR(VLOOKUP($D24,BS연결,MATCH(K$1,BS연결H,0),0)/100,"")</f>
        <v/>
      </c>
      <c r="L24" s="18">
        <f>IFERROR(VLOOKUP($D24,BS연결,MATCH(L$1,BS연결H,0),0)/100,"")</f>
        <v/>
      </c>
      <c r="M24" s="18">
        <f>IFERROR(VLOOKUP($D24,BS연결,MATCH(M$1,BS연결H,0),0)/100,"")</f>
        <v/>
      </c>
      <c r="N24" s="18">
        <f>IFERROR(VLOOKUP($D24,BS연결,MATCH(N$1,BS연결H,0),0)/100,"")</f>
        <v/>
      </c>
      <c r="O24" s="18">
        <f>IFERROR(VLOOKUP($D24,BS연결,MATCH(O$1,BS연결H,0),0)/100,"")</f>
        <v/>
      </c>
      <c r="P24" s="37">
        <f>IFERROR(VLOOKUP($D24,BS연결,MATCH(P$1,BS연결H,0),0)/100,"")</f>
        <v/>
      </c>
      <c r="Q24" s="18">
        <f>IFERROR(VLOOKUP($D24,BS연결,MATCH(Q$1,BS연결H,0),0)/100,"")</f>
        <v/>
      </c>
      <c r="R24" s="18">
        <f>IFERROR(VLOOKUP($D24,BS연결,MATCH(R$1,BS연결H,0),0)/100,"")</f>
        <v/>
      </c>
      <c r="S24" s="18">
        <f>IFERROR(VLOOKUP($D24,BS연결,MATCH(S$1,BS연결H,0),0)/100,"")</f>
        <v/>
      </c>
      <c r="T24" s="18">
        <f>IFERROR(VLOOKUP($D24,BS연결,MATCH(T$1,BS연결H,0),0)/100,"")</f>
        <v/>
      </c>
      <c r="U24" s="37">
        <f>IFERROR(VLOOKUP($D24,BS연결,MATCH(U$1,BS연결H,0),0)/100,"")</f>
        <v/>
      </c>
      <c r="V24" s="18">
        <f>IFERROR(VLOOKUP($D24,BS연결,MATCH(V$1,BS연결H,0),0)/100,"")</f>
        <v/>
      </c>
      <c r="W24" s="18">
        <f>IFERROR(VLOOKUP($D24,BS연결,MATCH(W$1,BS연결H,0),0)/100,"")</f>
        <v/>
      </c>
      <c r="X24" s="18">
        <f>IFERROR(VLOOKUP($D24,BS연결,MATCH(X$1,BS연결H,0),0)/100,"")</f>
        <v/>
      </c>
      <c r="Y24" s="18">
        <f>IFERROR(VLOOKUP($D24,BS연결,MATCH(Y$1,BS연결H,0),0)/100,"")</f>
        <v/>
      </c>
      <c r="Z24" s="37">
        <f>IFERROR(VLOOKUP($D24,BS연결,MATCH(Z$1,BS연결H,0),0)/100,"")</f>
        <v/>
      </c>
      <c r="AA24" s="18">
        <f>IFERROR(VLOOKUP($D24,BS연결,MATCH(AA$1,BS연결H,0),0)/100,"")</f>
        <v/>
      </c>
      <c r="AB24" s="19">
        <f>IFERROR(VLOOKUP($D24,BS연결,MATCH(AB$1,BS연결H,0),0)/100,"")</f>
        <v/>
      </c>
      <c r="AC24" s="20">
        <f>IFERROR(AB24+AC18-변수!AC31,"")</f>
        <v/>
      </c>
      <c r="AD24" s="20">
        <f>IFERROR(AC24+AD18-변수!AD31,"")</f>
        <v/>
      </c>
      <c r="AE24" s="38">
        <f>AD24</f>
        <v/>
      </c>
      <c r="AF24" s="20">
        <f>IFERROR(AD24+AF18-변수!AF31,"")</f>
        <v/>
      </c>
      <c r="AG24" s="20">
        <f>IFERROR(AF24+AG18-변수!AG31,"")</f>
        <v/>
      </c>
      <c r="AH24" s="20">
        <f>IFERROR(AG24+AH18-변수!AH31,"")</f>
        <v/>
      </c>
      <c r="AI24" s="20">
        <f>IFERROR(AH24+AI18-변수!AI31,"")</f>
        <v/>
      </c>
      <c r="AJ24" s="38">
        <f>AI24</f>
        <v/>
      </c>
      <c r="AK24" s="20">
        <f>IFERROR(AI24+AK18-변수!AK31,"")</f>
        <v/>
      </c>
      <c r="AL24" s="20">
        <f>IFERROR(AK24+AL18-변수!AL31,"")</f>
        <v/>
      </c>
      <c r="AM24" s="20">
        <f>IFERROR(AL24+AM18-변수!AM31,"")</f>
        <v/>
      </c>
      <c r="AN24" s="20">
        <f>IFERROR(AM24+AN18-변수!AN31,"")</f>
        <v/>
      </c>
      <c r="AO24" s="38">
        <f>AN24</f>
        <v/>
      </c>
    </row>
    <row r="25">
      <c r="A25" s="12" t="inlineStr">
        <is>
          <t>총차입금</t>
        </is>
      </c>
      <c r="B25" t="inlineStr">
        <is>
          <t>재무상태</t>
        </is>
      </c>
      <c r="C25" t="inlineStr">
        <is>
          <t>억원</t>
        </is>
      </c>
      <c r="D25" t="inlineStr">
        <is>
          <t>총차입금</t>
        </is>
      </c>
      <c r="E25" s="18">
        <f>IFERROR(VLOOKUP($D25,BS연결,MATCH(E$1,BS연결H,0),0)/100,"")</f>
        <v/>
      </c>
      <c r="F25" s="37">
        <f>IFERROR(VLOOKUP($D25,BS연결,MATCH(F$1,BS연결H,0),0)/100,"")</f>
        <v/>
      </c>
      <c r="G25" s="18">
        <f>IFERROR(VLOOKUP($D25,BS연결,MATCH(G$1,BS연결H,0),0)/100,"")</f>
        <v/>
      </c>
      <c r="H25" s="18">
        <f>IFERROR(VLOOKUP($D25,BS연결,MATCH(H$1,BS연결H,0),0)/100,"")</f>
        <v/>
      </c>
      <c r="I25" s="18">
        <f>IFERROR(VLOOKUP($D25,BS연결,MATCH(I$1,BS연결H,0),0)/100,"")</f>
        <v/>
      </c>
      <c r="J25" s="18">
        <f>IFERROR(VLOOKUP($D25,BS연결,MATCH(J$1,BS연결H,0),0)/100,"")</f>
        <v/>
      </c>
      <c r="K25" s="37">
        <f>IFERROR(VLOOKUP($D25,BS연결,MATCH(K$1,BS연결H,0),0)/100,"")</f>
        <v/>
      </c>
      <c r="L25" s="18">
        <f>IFERROR(VLOOKUP($D25,BS연결,MATCH(L$1,BS연결H,0),0)/100,"")</f>
        <v/>
      </c>
      <c r="M25" s="18">
        <f>IFERROR(VLOOKUP($D25,BS연결,MATCH(M$1,BS연결H,0),0)/100,"")</f>
        <v/>
      </c>
      <c r="N25" s="18">
        <f>IFERROR(VLOOKUP($D25,BS연결,MATCH(N$1,BS연결H,0),0)/100,"")</f>
        <v/>
      </c>
      <c r="O25" s="18">
        <f>IFERROR(VLOOKUP($D25,BS연결,MATCH(O$1,BS연결H,0),0)/100,"")</f>
        <v/>
      </c>
      <c r="P25" s="37">
        <f>IFERROR(VLOOKUP($D25,BS연결,MATCH(P$1,BS연결H,0),0)/100,"")</f>
        <v/>
      </c>
      <c r="Q25" s="18">
        <f>IFERROR(VLOOKUP($D25,BS연결,MATCH(Q$1,BS연결H,0),0)/100,"")</f>
        <v/>
      </c>
      <c r="R25" s="18">
        <f>IFERROR(VLOOKUP($D25,BS연결,MATCH(R$1,BS연결H,0),0)/100,"")</f>
        <v/>
      </c>
      <c r="S25" s="18">
        <f>IFERROR(VLOOKUP($D25,BS연결,MATCH(S$1,BS연결H,0),0)/100,"")</f>
        <v/>
      </c>
      <c r="T25" s="18">
        <f>IFERROR(VLOOKUP($D25,BS연결,MATCH(T$1,BS연결H,0),0)/100,"")</f>
        <v/>
      </c>
      <c r="U25" s="37">
        <f>IFERROR(VLOOKUP($D25,BS연결,MATCH(U$1,BS연결H,0),0)/100,"")</f>
        <v/>
      </c>
      <c r="V25" s="18">
        <f>IFERROR(VLOOKUP($D25,BS연결,MATCH(V$1,BS연결H,0),0)/100,"")</f>
        <v/>
      </c>
      <c r="W25" s="18">
        <f>IFERROR(VLOOKUP($D25,BS연결,MATCH(W$1,BS연결H,0),0)/100,"")</f>
        <v/>
      </c>
      <c r="X25" s="18">
        <f>IFERROR(VLOOKUP($D25,BS연결,MATCH(X$1,BS연결H,0),0)/100,"")</f>
        <v/>
      </c>
      <c r="Y25" s="18">
        <f>IFERROR(VLOOKUP($D25,BS연결,MATCH(Y$1,BS연결H,0),0)/100,"")</f>
        <v/>
      </c>
      <c r="Z25" s="37">
        <f>IFERROR(VLOOKUP($D25,BS연결,MATCH(Z$1,BS연결H,0),0)/100,"")</f>
        <v/>
      </c>
      <c r="AA25" s="18">
        <f>IFERROR(VLOOKUP($D25,BS연결,MATCH(AA$1,BS연결H,0),0)/100,"")</f>
        <v/>
      </c>
      <c r="AB25" s="19">
        <f>IFERROR(VLOOKUP($D25,BS연결,MATCH(AB$1,BS연결H,0),0)/100,"")</f>
        <v/>
      </c>
      <c r="AC25" s="20">
        <f>IFERROR(AB25*(1+변수!AC32),"")</f>
        <v/>
      </c>
      <c r="AD25" s="20">
        <f>IFERROR(AC25*(1+변수!AD32),"")</f>
        <v/>
      </c>
      <c r="AE25" s="38">
        <f>AD25</f>
        <v/>
      </c>
      <c r="AF25" s="20">
        <f>IFERROR(AD25*(1+변수!AF32),"")</f>
        <v/>
      </c>
      <c r="AG25" s="20">
        <f>IFERROR(AF25*(1+변수!AG32),"")</f>
        <v/>
      </c>
      <c r="AH25" s="20">
        <f>IFERROR(AG25*(1+변수!AH32),"")</f>
        <v/>
      </c>
      <c r="AI25" s="20">
        <f>IFERROR(AH25*(1+변수!AI32),"")</f>
        <v/>
      </c>
      <c r="AJ25" s="38">
        <f>AI25</f>
        <v/>
      </c>
      <c r="AK25" s="20">
        <f>IFERROR(AI25*(1+변수!AK32),"")</f>
        <v/>
      </c>
      <c r="AL25" s="20">
        <f>IFERROR(AK25*(1+변수!AL32),"")</f>
        <v/>
      </c>
      <c r="AM25" s="20">
        <f>IFERROR(AL25*(1+변수!AM32),"")</f>
        <v/>
      </c>
      <c r="AN25" s="20">
        <f>IFERROR(AM25*(1+변수!AN32),"")</f>
        <v/>
      </c>
      <c r="AO25" s="38">
        <f>AN25</f>
        <v/>
      </c>
    </row>
    <row r="26">
      <c r="A26" s="12" t="inlineStr">
        <is>
          <t>순차입금</t>
        </is>
      </c>
      <c r="B26" t="inlineStr">
        <is>
          <t>재무상태</t>
        </is>
      </c>
      <c r="C26" t="inlineStr">
        <is>
          <t>억원</t>
        </is>
      </c>
      <c r="D26" t="inlineStr">
        <is>
          <t>순차입금</t>
        </is>
      </c>
      <c r="E26" s="18">
        <f>IFERROR(VLOOKUP($D26,BS연결,MATCH(E$1,BS연결H,0),0)/100,"")</f>
        <v/>
      </c>
      <c r="F26" s="37">
        <f>IFERROR(VLOOKUP($D26,BS연결,MATCH(F$1,BS연결H,0),0)/100,"")</f>
        <v/>
      </c>
      <c r="G26" s="18">
        <f>IFERROR(VLOOKUP($D26,BS연결,MATCH(G$1,BS연결H,0),0)/100,"")</f>
        <v/>
      </c>
      <c r="H26" s="18">
        <f>IFERROR(VLOOKUP($D26,BS연결,MATCH(H$1,BS연결H,0),0)/100,"")</f>
        <v/>
      </c>
      <c r="I26" s="18">
        <f>IFERROR(VLOOKUP($D26,BS연결,MATCH(I$1,BS연결H,0),0)/100,"")</f>
        <v/>
      </c>
      <c r="J26" s="18">
        <f>IFERROR(VLOOKUP($D26,BS연결,MATCH(J$1,BS연결H,0),0)/100,"")</f>
        <v/>
      </c>
      <c r="K26" s="37">
        <f>IFERROR(VLOOKUP($D26,BS연결,MATCH(K$1,BS연결H,0),0)/100,"")</f>
        <v/>
      </c>
      <c r="L26" s="18">
        <f>IFERROR(VLOOKUP($D26,BS연결,MATCH(L$1,BS연결H,0),0)/100,"")</f>
        <v/>
      </c>
      <c r="M26" s="18">
        <f>IFERROR(VLOOKUP($D26,BS연결,MATCH(M$1,BS연결H,0),0)/100,"")</f>
        <v/>
      </c>
      <c r="N26" s="18">
        <f>IFERROR(VLOOKUP($D26,BS연결,MATCH(N$1,BS연결H,0),0)/100,"")</f>
        <v/>
      </c>
      <c r="O26" s="18">
        <f>IFERROR(VLOOKUP($D26,BS연결,MATCH(O$1,BS연결H,0),0)/100,"")</f>
        <v/>
      </c>
      <c r="P26" s="37">
        <f>IFERROR(VLOOKUP($D26,BS연결,MATCH(P$1,BS연결H,0),0)/100,"")</f>
        <v/>
      </c>
      <c r="Q26" s="18">
        <f>IFERROR(VLOOKUP($D26,BS연결,MATCH(Q$1,BS연결H,0),0)/100,"")</f>
        <v/>
      </c>
      <c r="R26" s="18">
        <f>IFERROR(VLOOKUP($D26,BS연결,MATCH(R$1,BS연결H,0),0)/100,"")</f>
        <v/>
      </c>
      <c r="S26" s="18">
        <f>IFERROR(VLOOKUP($D26,BS연결,MATCH(S$1,BS연결H,0),0)/100,"")</f>
        <v/>
      </c>
      <c r="T26" s="18">
        <f>IFERROR(VLOOKUP($D26,BS연결,MATCH(T$1,BS연결H,0),0)/100,"")</f>
        <v/>
      </c>
      <c r="U26" s="37">
        <f>IFERROR(VLOOKUP($D26,BS연결,MATCH(U$1,BS연결H,0),0)/100,"")</f>
        <v/>
      </c>
      <c r="V26" s="18">
        <f>IFERROR(VLOOKUP($D26,BS연결,MATCH(V$1,BS연결H,0),0)/100,"")</f>
        <v/>
      </c>
      <c r="W26" s="18">
        <f>IFERROR(VLOOKUP($D26,BS연결,MATCH(W$1,BS연결H,0),0)/100,"")</f>
        <v/>
      </c>
      <c r="X26" s="18">
        <f>IFERROR(VLOOKUP($D26,BS연결,MATCH(X$1,BS연결H,0),0)/100,"")</f>
        <v/>
      </c>
      <c r="Y26" s="18">
        <f>IFERROR(VLOOKUP($D26,BS연결,MATCH(Y$1,BS연결H,0),0)/100,"")</f>
        <v/>
      </c>
      <c r="Z26" s="37">
        <f>IFERROR(VLOOKUP($D26,BS연결,MATCH(Z$1,BS연결H,0),0)/100,"")</f>
        <v/>
      </c>
      <c r="AA26" s="18">
        <f>IFERROR(VLOOKUP($D26,BS연결,MATCH(AA$1,BS연결H,0),0)/100,"")</f>
        <v/>
      </c>
      <c r="AB26" s="19">
        <f>IFERROR(VLOOKUP($D26,BS연결,MATCH(AB$1,BS연결H,0),0)/100,"")</f>
        <v/>
      </c>
      <c r="AC26" s="20">
        <f>IFERROR(AB26*(1+변수!AC33),"")</f>
        <v/>
      </c>
      <c r="AD26" s="20">
        <f>IFERROR(AC26*(1+변수!AD33),"")</f>
        <v/>
      </c>
      <c r="AE26" s="38">
        <f>AD26</f>
        <v/>
      </c>
      <c r="AF26" s="20">
        <f>IFERROR(AD26*(1+변수!AF33),"")</f>
        <v/>
      </c>
      <c r="AG26" s="20">
        <f>IFERROR(AF26*(1+변수!AG33),"")</f>
        <v/>
      </c>
      <c r="AH26" s="20">
        <f>IFERROR(AG26*(1+변수!AH33),"")</f>
        <v/>
      </c>
      <c r="AI26" s="20">
        <f>IFERROR(AH26*(1+변수!AI33),"")</f>
        <v/>
      </c>
      <c r="AJ26" s="38">
        <f>AI26</f>
        <v/>
      </c>
      <c r="AK26" s="20">
        <f>IFERROR(AI26*(1+변수!AK33),"")</f>
        <v/>
      </c>
      <c r="AL26" s="20">
        <f>IFERROR(AK26*(1+변수!AL33),"")</f>
        <v/>
      </c>
      <c r="AM26" s="20">
        <f>IFERROR(AL26*(1+변수!AM33),"")</f>
        <v/>
      </c>
      <c r="AN26" s="20">
        <f>IFERROR(AM26*(1+변수!AN33),"")</f>
        <v/>
      </c>
      <c r="AO26" s="38">
        <f>AN26</f>
        <v/>
      </c>
    </row>
    <row r="27">
      <c r="A27" s="12" t="inlineStr">
        <is>
          <t>이자발생자산</t>
        </is>
      </c>
      <c r="B27" t="inlineStr">
        <is>
          <t>재무상태</t>
        </is>
      </c>
      <c r="C27" t="inlineStr">
        <is>
          <t>억원</t>
        </is>
      </c>
      <c r="D27" t="inlineStr">
        <is>
          <t>이자발생자산</t>
        </is>
      </c>
      <c r="E27" s="18">
        <f>IFERROR(VLOOKUP($D27,BS연결,MATCH(E$1,BS연결H,0),0)/100,"")</f>
        <v/>
      </c>
      <c r="F27" s="37">
        <f>IFERROR(VLOOKUP($D27,BS연결,MATCH(F$1,BS연결H,0),0)/100,"")</f>
        <v/>
      </c>
      <c r="G27" s="18">
        <f>IFERROR(VLOOKUP($D27,BS연결,MATCH(G$1,BS연결H,0),0)/100,"")</f>
        <v/>
      </c>
      <c r="H27" s="18">
        <f>IFERROR(VLOOKUP($D27,BS연결,MATCH(H$1,BS연결H,0),0)/100,"")</f>
        <v/>
      </c>
      <c r="I27" s="18">
        <f>IFERROR(VLOOKUP($D27,BS연결,MATCH(I$1,BS연결H,0),0)/100,"")</f>
        <v/>
      </c>
      <c r="J27" s="18">
        <f>IFERROR(VLOOKUP($D27,BS연결,MATCH(J$1,BS연결H,0),0)/100,"")</f>
        <v/>
      </c>
      <c r="K27" s="37">
        <f>IFERROR(VLOOKUP($D27,BS연결,MATCH(K$1,BS연결H,0),0)/100,"")</f>
        <v/>
      </c>
      <c r="L27" s="18">
        <f>IFERROR(VLOOKUP($D27,BS연결,MATCH(L$1,BS연결H,0),0)/100,"")</f>
        <v/>
      </c>
      <c r="M27" s="18">
        <f>IFERROR(VLOOKUP($D27,BS연결,MATCH(M$1,BS연결H,0),0)/100,"")</f>
        <v/>
      </c>
      <c r="N27" s="18">
        <f>IFERROR(VLOOKUP($D27,BS연결,MATCH(N$1,BS연결H,0),0)/100,"")</f>
        <v/>
      </c>
      <c r="O27" s="18">
        <f>IFERROR(VLOOKUP($D27,BS연결,MATCH(O$1,BS연결H,0),0)/100,"")</f>
        <v/>
      </c>
      <c r="P27" s="37">
        <f>IFERROR(VLOOKUP($D27,BS연결,MATCH(P$1,BS연결H,0),0)/100,"")</f>
        <v/>
      </c>
      <c r="Q27" s="18">
        <f>IFERROR(VLOOKUP($D27,BS연결,MATCH(Q$1,BS연결H,0),0)/100,"")</f>
        <v/>
      </c>
      <c r="R27" s="18">
        <f>IFERROR(VLOOKUP($D27,BS연결,MATCH(R$1,BS연결H,0),0)/100,"")</f>
        <v/>
      </c>
      <c r="S27" s="18">
        <f>IFERROR(VLOOKUP($D27,BS연결,MATCH(S$1,BS연결H,0),0)/100,"")</f>
        <v/>
      </c>
      <c r="T27" s="18">
        <f>IFERROR(VLOOKUP($D27,BS연결,MATCH(T$1,BS연결H,0),0)/100,"")</f>
        <v/>
      </c>
      <c r="U27" s="37">
        <f>IFERROR(VLOOKUP($D27,BS연결,MATCH(U$1,BS연결H,0),0)/100,"")</f>
        <v/>
      </c>
      <c r="V27" s="18">
        <f>IFERROR(VLOOKUP($D27,BS연결,MATCH(V$1,BS연결H,0),0)/100,"")</f>
        <v/>
      </c>
      <c r="W27" s="18">
        <f>IFERROR(VLOOKUP($D27,BS연결,MATCH(W$1,BS연결H,0),0)/100,"")</f>
        <v/>
      </c>
      <c r="X27" s="18">
        <f>IFERROR(VLOOKUP($D27,BS연결,MATCH(X$1,BS연결H,0),0)/100,"")</f>
        <v/>
      </c>
      <c r="Y27" s="18">
        <f>IFERROR(VLOOKUP($D27,BS연결,MATCH(Y$1,BS연결H,0),0)/100,"")</f>
        <v/>
      </c>
      <c r="Z27" s="37">
        <f>IFERROR(VLOOKUP($D27,BS연결,MATCH(Z$1,BS연결H,0),0)/100,"")</f>
        <v/>
      </c>
      <c r="AA27" s="18">
        <f>IFERROR(VLOOKUP($D27,BS연결,MATCH(AA$1,BS연결H,0),0)/100,"")</f>
        <v/>
      </c>
      <c r="AB27" s="19">
        <f>IFERROR(VLOOKUP($D27,BS연결,MATCH(AB$1,BS연결H,0),0)/100,"")</f>
        <v/>
      </c>
      <c r="AC27" s="20">
        <f>IFERROR(AB27*(1+변수!AC34),"")</f>
        <v/>
      </c>
      <c r="AD27" s="20">
        <f>IFERROR(AC27*(1+변수!AD34),"")</f>
        <v/>
      </c>
      <c r="AE27" s="38">
        <f>AD27</f>
        <v/>
      </c>
      <c r="AF27" s="20">
        <f>IFERROR(AD27*(1+변수!AF34),"")</f>
        <v/>
      </c>
      <c r="AG27" s="20">
        <f>IFERROR(AF27*(1+변수!AG34),"")</f>
        <v/>
      </c>
      <c r="AH27" s="20">
        <f>IFERROR(AG27*(1+변수!AH34),"")</f>
        <v/>
      </c>
      <c r="AI27" s="20">
        <f>IFERROR(AH27*(1+변수!AI34),"")</f>
        <v/>
      </c>
      <c r="AJ27" s="38">
        <f>AI27</f>
        <v/>
      </c>
      <c r="AK27" s="20">
        <f>IFERROR(AI27*(1+변수!AK34),"")</f>
        <v/>
      </c>
      <c r="AL27" s="20">
        <f>IFERROR(AK27*(1+변수!AL34),"")</f>
        <v/>
      </c>
      <c r="AM27" s="20">
        <f>IFERROR(AL27*(1+변수!AM34),"")</f>
        <v/>
      </c>
      <c r="AN27" s="20">
        <f>IFERROR(AM27*(1+변수!AN34),"")</f>
        <v/>
      </c>
      <c r="AO27" s="38">
        <f>AN27</f>
        <v/>
      </c>
    </row>
    <row r="28">
      <c r="A28" s="12" t="inlineStr">
        <is>
          <t>현금및현금성자산</t>
        </is>
      </c>
      <c r="B28" t="inlineStr">
        <is>
          <t>재무상태</t>
        </is>
      </c>
      <c r="C28" t="inlineStr">
        <is>
          <t>억원</t>
        </is>
      </c>
      <c r="D28" t="inlineStr">
        <is>
          <t>현금및현금성자산</t>
        </is>
      </c>
      <c r="E28" s="18">
        <f>IFERROR(VLOOKUP($D28,BS연결,MATCH(E$1,BS연결H,0),0)/100,"")</f>
        <v/>
      </c>
      <c r="F28" s="37">
        <f>IFERROR(VLOOKUP($D28,BS연결,MATCH(F$1,BS연결H,0),0)/100,"")</f>
        <v/>
      </c>
      <c r="G28" s="18">
        <f>IFERROR(VLOOKUP($D28,BS연결,MATCH(G$1,BS연결H,0),0)/100,"")</f>
        <v/>
      </c>
      <c r="H28" s="18">
        <f>IFERROR(VLOOKUP($D28,BS연결,MATCH(H$1,BS연결H,0),0)/100,"")</f>
        <v/>
      </c>
      <c r="I28" s="18">
        <f>IFERROR(VLOOKUP($D28,BS연결,MATCH(I$1,BS연결H,0),0)/100,"")</f>
        <v/>
      </c>
      <c r="J28" s="18">
        <f>IFERROR(VLOOKUP($D28,BS연결,MATCH(J$1,BS연결H,0),0)/100,"")</f>
        <v/>
      </c>
      <c r="K28" s="37">
        <f>IFERROR(VLOOKUP($D28,BS연결,MATCH(K$1,BS연결H,0),0)/100,"")</f>
        <v/>
      </c>
      <c r="L28" s="18">
        <f>IFERROR(VLOOKUP($D28,BS연결,MATCH(L$1,BS연결H,0),0)/100,"")</f>
        <v/>
      </c>
      <c r="M28" s="18">
        <f>IFERROR(VLOOKUP($D28,BS연결,MATCH(M$1,BS연결H,0),0)/100,"")</f>
        <v/>
      </c>
      <c r="N28" s="18">
        <f>IFERROR(VLOOKUP($D28,BS연결,MATCH(N$1,BS연결H,0),0)/100,"")</f>
        <v/>
      </c>
      <c r="O28" s="18">
        <f>IFERROR(VLOOKUP($D28,BS연결,MATCH(O$1,BS연결H,0),0)/100,"")</f>
        <v/>
      </c>
      <c r="P28" s="37">
        <f>IFERROR(VLOOKUP($D28,BS연결,MATCH(P$1,BS연결H,0),0)/100,"")</f>
        <v/>
      </c>
      <c r="Q28" s="18">
        <f>IFERROR(VLOOKUP($D28,BS연결,MATCH(Q$1,BS연결H,0),0)/100,"")</f>
        <v/>
      </c>
      <c r="R28" s="18">
        <f>IFERROR(VLOOKUP($D28,BS연결,MATCH(R$1,BS연결H,0),0)/100,"")</f>
        <v/>
      </c>
      <c r="S28" s="18">
        <f>IFERROR(VLOOKUP($D28,BS연결,MATCH(S$1,BS연결H,0),0)/100,"")</f>
        <v/>
      </c>
      <c r="T28" s="18">
        <f>IFERROR(VLOOKUP($D28,BS연결,MATCH(T$1,BS연결H,0),0)/100,"")</f>
        <v/>
      </c>
      <c r="U28" s="37">
        <f>IFERROR(VLOOKUP($D28,BS연결,MATCH(U$1,BS연결H,0),0)/100,"")</f>
        <v/>
      </c>
      <c r="V28" s="18">
        <f>IFERROR(VLOOKUP($D28,BS연결,MATCH(V$1,BS연결H,0),0)/100,"")</f>
        <v/>
      </c>
      <c r="W28" s="18">
        <f>IFERROR(VLOOKUP($D28,BS연결,MATCH(W$1,BS연결H,0),0)/100,"")</f>
        <v/>
      </c>
      <c r="X28" s="18">
        <f>IFERROR(VLOOKUP($D28,BS연결,MATCH(X$1,BS연결H,0),0)/100,"")</f>
        <v/>
      </c>
      <c r="Y28" s="18">
        <f>IFERROR(VLOOKUP($D28,BS연결,MATCH(Y$1,BS연결H,0),0)/100,"")</f>
        <v/>
      </c>
      <c r="Z28" s="37">
        <f>IFERROR(VLOOKUP($D28,BS연결,MATCH(Z$1,BS연결H,0),0)/100,"")</f>
        <v/>
      </c>
      <c r="AA28" s="18">
        <f>IFERROR(VLOOKUP($D28,BS연결,MATCH(AA$1,BS연결H,0),0)/100,"")</f>
        <v/>
      </c>
      <c r="AB28" s="19">
        <f>IFERROR(VLOOKUP($D28,BS연결,MATCH(AB$1,BS연결H,0),0)/100,"")</f>
        <v/>
      </c>
      <c r="AC28" s="20" t="n"/>
      <c r="AD28" s="20" t="n"/>
      <c r="AE28" s="38">
        <f>AD28</f>
        <v/>
      </c>
      <c r="AF28" s="20" t="n"/>
      <c r="AG28" s="20" t="n"/>
      <c r="AH28" s="20" t="n"/>
      <c r="AI28" s="20" t="n"/>
      <c r="AJ28" s="38">
        <f>AI28</f>
        <v/>
      </c>
      <c r="AK28" s="20" t="n"/>
      <c r="AL28" s="20" t="n"/>
      <c r="AM28" s="20" t="n"/>
      <c r="AN28" s="20" t="n"/>
      <c r="AO28" s="38">
        <f>AN28</f>
        <v/>
      </c>
    </row>
    <row r="29">
      <c r="A29" s="12" t="inlineStr">
        <is>
          <t>CAPEX</t>
        </is>
      </c>
      <c r="B29" t="inlineStr">
        <is>
          <t>현금흐름</t>
        </is>
      </c>
      <c r="C29" t="inlineStr">
        <is>
          <t>억원</t>
        </is>
      </c>
      <c r="D29" t="inlineStr">
        <is>
          <t>CAPEX</t>
        </is>
      </c>
      <c r="E29" s="18">
        <f>IFERROR(VLOOKUP($D29,BS연결,MATCH(E$1,BS연결H,0),0)/100,"")</f>
        <v/>
      </c>
      <c r="F29" s="37" t="n"/>
      <c r="G29" s="18">
        <f>IFERROR(VLOOKUP($D29,BS연결,MATCH(G$1,BS연결H,0),0)/100,"")</f>
        <v/>
      </c>
      <c r="H29" s="18">
        <f>IFERROR(VLOOKUP($D29,BS연결,MATCH(H$1,BS연결H,0),0)/100,"")</f>
        <v/>
      </c>
      <c r="I29" s="18">
        <f>IFERROR(VLOOKUP($D29,BS연결,MATCH(I$1,BS연결H,0),0)/100,"")</f>
        <v/>
      </c>
      <c r="J29" s="18">
        <f>IFERROR(VLOOKUP($D29,BS연결,MATCH(J$1,BS연결H,0),0)/100,"")</f>
        <v/>
      </c>
      <c r="K29" s="37">
        <f>IFERROR(VLOOKUP($D29,BS연결,MATCH(K$1,BS연결H,0),0)/100,"")</f>
        <v/>
      </c>
      <c r="L29" s="18">
        <f>IFERROR(VLOOKUP($D29,BS연결,MATCH(L$1,BS연결H,0),0)/100,"")</f>
        <v/>
      </c>
      <c r="M29" s="18">
        <f>IFERROR(VLOOKUP($D29,BS연결,MATCH(M$1,BS연결H,0),0)/100,"")</f>
        <v/>
      </c>
      <c r="N29" s="18">
        <f>IFERROR(VLOOKUP($D29,BS연결,MATCH(N$1,BS연결H,0),0)/100,"")</f>
        <v/>
      </c>
      <c r="O29" s="18">
        <f>IFERROR(VLOOKUP($D29,BS연결,MATCH(O$1,BS연결H,0),0)/100,"")</f>
        <v/>
      </c>
      <c r="P29" s="37">
        <f>IFERROR(VLOOKUP($D29,BS연결,MATCH(P$1,BS연결H,0),0)/100,"")</f>
        <v/>
      </c>
      <c r="Q29" s="18">
        <f>IFERROR(VLOOKUP($D29,BS연결,MATCH(Q$1,BS연결H,0),0)/100,"")</f>
        <v/>
      </c>
      <c r="R29" s="18">
        <f>IFERROR(VLOOKUP($D29,BS연결,MATCH(R$1,BS연결H,0),0)/100,"")</f>
        <v/>
      </c>
      <c r="S29" s="18">
        <f>IFERROR(VLOOKUP($D29,BS연결,MATCH(S$1,BS연결H,0),0)/100,"")</f>
        <v/>
      </c>
      <c r="T29" s="18">
        <f>IFERROR(VLOOKUP($D29,BS연결,MATCH(T$1,BS연결H,0),0)/100,"")</f>
        <v/>
      </c>
      <c r="U29" s="37">
        <f>IFERROR(VLOOKUP($D29,BS연결,MATCH(U$1,BS연결H,0),0)/100,"")</f>
        <v/>
      </c>
      <c r="V29" s="18">
        <f>IFERROR(VLOOKUP($D29,BS연결,MATCH(V$1,BS연결H,0),0)/100,"")</f>
        <v/>
      </c>
      <c r="W29" s="18">
        <f>IFERROR(VLOOKUP($D29,BS연결,MATCH(W$1,BS연결H,0),0)/100,"")</f>
        <v/>
      </c>
      <c r="X29" s="18">
        <f>IFERROR(VLOOKUP($D29,BS연결,MATCH(X$1,BS연결H,0),0)/100,"")</f>
        <v/>
      </c>
      <c r="Y29" s="18">
        <f>IFERROR(VLOOKUP($D29,BS연결,MATCH(Y$1,BS연결H,0),0)/100,"")</f>
        <v/>
      </c>
      <c r="Z29" s="37">
        <f>IFERROR(VLOOKUP($D29,BS연결,MATCH(Z$1,BS연결H,0),0)/100,"")</f>
        <v/>
      </c>
      <c r="AA29" s="18">
        <f>IFERROR(VLOOKUP($D29,BS연결,MATCH(AA$1,BS연결H,0),0)/100,"")</f>
        <v/>
      </c>
      <c r="AB29" s="19">
        <f>IFERROR(VLOOKUP($D29,BS연결,MATCH(AB$1,BS연결H,0),0)/100,"")</f>
        <v/>
      </c>
      <c r="AC29" s="20">
        <f>IFERROR(X29*(1+변수!AC36),"")</f>
        <v/>
      </c>
      <c r="AD29" s="20">
        <f>IFERROR(Y29*(1+변수!AD36),"")</f>
        <v/>
      </c>
      <c r="AE29" s="38">
        <f>SUM(AA29:AD29)</f>
        <v/>
      </c>
      <c r="AF29" s="20">
        <f>IFERROR(AA29*(1+변수!AF36),"")</f>
        <v/>
      </c>
      <c r="AG29" s="20">
        <f>IFERROR(AB29*(1+변수!AG36),"")</f>
        <v/>
      </c>
      <c r="AH29" s="20">
        <f>IFERROR(AC29*(1+변수!AH36),"")</f>
        <v/>
      </c>
      <c r="AI29" s="20">
        <f>IFERROR(AD29*(1+변수!AI36),"")</f>
        <v/>
      </c>
      <c r="AJ29" s="38">
        <f>SUM(AF29:AI29)</f>
        <v/>
      </c>
      <c r="AK29" s="20">
        <f>IFERROR(AF29*(1+변수!AK36),"")</f>
        <v/>
      </c>
      <c r="AL29" s="20">
        <f>IFERROR(AG29*(1+변수!AL36),"")</f>
        <v/>
      </c>
      <c r="AM29" s="20">
        <f>IFERROR(AH29*(1+변수!AM36),"")</f>
        <v/>
      </c>
      <c r="AN29" s="20">
        <f>IFERROR(AI29*(1+변수!AN36),"")</f>
        <v/>
      </c>
      <c r="AO29" s="38">
        <f>SUM(AK29:AN29)</f>
        <v/>
      </c>
    </row>
    <row r="30">
      <c r="A30" s="12" t="inlineStr">
        <is>
          <t>영업활동현금흐름</t>
        </is>
      </c>
      <c r="B30" t="inlineStr">
        <is>
          <t>현금흐름</t>
        </is>
      </c>
      <c r="C30" t="inlineStr">
        <is>
          <t>억원</t>
        </is>
      </c>
      <c r="D30" t="inlineStr">
        <is>
          <t>영업활동으로인한현금흐름</t>
        </is>
      </c>
      <c r="E30" s="18">
        <f>IFERROR(VLOOKUP($D30,BS연결,MATCH(E$1,BS연결H,0),0)/100,"")</f>
        <v/>
      </c>
      <c r="F30" s="37" t="n"/>
      <c r="G30" s="18">
        <f>IFERROR(VLOOKUP($D30,BS연결,MATCH(G$1,BS연결H,0),0)/100,"")</f>
        <v/>
      </c>
      <c r="H30" s="18">
        <f>IFERROR(VLOOKUP($D30,BS연결,MATCH(H$1,BS연결H,0),0)/100,"")</f>
        <v/>
      </c>
      <c r="I30" s="18">
        <f>IFERROR(VLOOKUP($D30,BS연결,MATCH(I$1,BS연결H,0),0)/100,"")</f>
        <v/>
      </c>
      <c r="J30" s="18">
        <f>IFERROR(VLOOKUP($D30,BS연결,MATCH(J$1,BS연결H,0),0)/100,"")</f>
        <v/>
      </c>
      <c r="K30" s="37">
        <f>IFERROR(VLOOKUP($D30,BS연결,MATCH(K$1,BS연결H,0),0)/100,"")</f>
        <v/>
      </c>
      <c r="L30" s="18">
        <f>IFERROR(VLOOKUP($D30,BS연결,MATCH(L$1,BS연결H,0),0)/100,"")</f>
        <v/>
      </c>
      <c r="M30" s="18">
        <f>IFERROR(VLOOKUP($D30,BS연결,MATCH(M$1,BS연결H,0),0)/100,"")</f>
        <v/>
      </c>
      <c r="N30" s="18">
        <f>IFERROR(VLOOKUP($D30,BS연결,MATCH(N$1,BS연결H,0),0)/100,"")</f>
        <v/>
      </c>
      <c r="O30" s="18">
        <f>IFERROR(VLOOKUP($D30,BS연결,MATCH(O$1,BS연결H,0),0)/100,"")</f>
        <v/>
      </c>
      <c r="P30" s="37">
        <f>IFERROR(VLOOKUP($D30,BS연결,MATCH(P$1,BS연결H,0),0)/100,"")</f>
        <v/>
      </c>
      <c r="Q30" s="18">
        <f>IFERROR(VLOOKUP($D30,BS연결,MATCH(Q$1,BS연결H,0),0)/100,"")</f>
        <v/>
      </c>
      <c r="R30" s="18">
        <f>IFERROR(VLOOKUP($D30,BS연결,MATCH(R$1,BS연결H,0),0)/100,"")</f>
        <v/>
      </c>
      <c r="S30" s="18">
        <f>IFERROR(VLOOKUP($D30,BS연결,MATCH(S$1,BS연결H,0),0)/100,"")</f>
        <v/>
      </c>
      <c r="T30" s="18">
        <f>IFERROR(VLOOKUP($D30,BS연결,MATCH(T$1,BS연결H,0),0)/100,"")</f>
        <v/>
      </c>
      <c r="U30" s="37">
        <f>IFERROR(VLOOKUP($D30,BS연결,MATCH(U$1,BS연결H,0),0)/100,"")</f>
        <v/>
      </c>
      <c r="V30" s="18">
        <f>IFERROR(VLOOKUP($D30,BS연결,MATCH(V$1,BS연결H,0),0)/100,"")</f>
        <v/>
      </c>
      <c r="W30" s="18">
        <f>IFERROR(VLOOKUP($D30,BS연결,MATCH(W$1,BS연결H,0),0)/100,"")</f>
        <v/>
      </c>
      <c r="X30" s="18">
        <f>IFERROR(VLOOKUP($D30,BS연결,MATCH(X$1,BS연결H,0),0)/100,"")</f>
        <v/>
      </c>
      <c r="Y30" s="18">
        <f>IFERROR(VLOOKUP($D30,BS연결,MATCH(Y$1,BS연결H,0),0)/100,"")</f>
        <v/>
      </c>
      <c r="Z30" s="37">
        <f>IFERROR(VLOOKUP($D30,BS연결,MATCH(Z$1,BS연결H,0),0)/100,"")</f>
        <v/>
      </c>
      <c r="AA30" s="18">
        <f>IFERROR(VLOOKUP($D30,BS연결,MATCH(AA$1,BS연결H,0),0)/100,"")</f>
        <v/>
      </c>
      <c r="AB30" s="19">
        <f>IFERROR(VLOOKUP($D30,BS연결,MATCH(AB$1,BS연결H,0),0)/100,"")</f>
        <v/>
      </c>
      <c r="AC30" s="20" t="n"/>
      <c r="AD30" s="20" t="n"/>
      <c r="AE30" s="38">
        <f>SUM(AA30:AD30)</f>
        <v/>
      </c>
      <c r="AF30" s="20" t="n"/>
      <c r="AG30" s="20" t="n"/>
      <c r="AH30" s="20" t="n"/>
      <c r="AI30" s="20" t="n"/>
      <c r="AJ30" s="38">
        <f>SUM(AF30:AI30)</f>
        <v/>
      </c>
      <c r="AK30" s="20" t="n"/>
      <c r="AL30" s="20" t="n"/>
      <c r="AM30" s="20" t="n"/>
      <c r="AN30" s="20" t="n"/>
      <c r="AO30" s="38">
        <f>SUM(AK30:AN30)</f>
        <v/>
      </c>
    </row>
    <row r="31">
      <c r="A31" s="12" t="inlineStr">
        <is>
          <t>주식수</t>
        </is>
      </c>
      <c r="B31" t="inlineStr">
        <is>
          <t>주당</t>
        </is>
      </c>
      <c r="C31" t="inlineStr">
        <is>
          <t>백만주</t>
        </is>
      </c>
      <c r="D31" t="inlineStr">
        <is>
          <t>유통주식수</t>
        </is>
      </c>
      <c r="E31" s="27" t="n">
        <v>17.617</v>
      </c>
      <c r="F31" s="28">
        <f>E31</f>
        <v/>
      </c>
      <c r="G31" s="27" t="n">
        <v>17.617</v>
      </c>
      <c r="H31" s="27" t="n">
        <v>17.599</v>
      </c>
      <c r="I31" s="27" t="n">
        <v>17.254</v>
      </c>
      <c r="J31" s="27" t="n">
        <v>17.134</v>
      </c>
      <c r="K31" s="28">
        <f>J31</f>
        <v/>
      </c>
      <c r="L31" s="27" t="n">
        <v>17.077</v>
      </c>
      <c r="M31" s="27" t="n">
        <v>17.11</v>
      </c>
      <c r="N31" s="27" t="n">
        <v>17.11</v>
      </c>
      <c r="O31" s="27" t="n">
        <v>16.344</v>
      </c>
      <c r="P31" s="28">
        <f>O31</f>
        <v/>
      </c>
      <c r="Q31" s="27" t="n">
        <v>16.344</v>
      </c>
      <c r="R31" s="27" t="n">
        <v>16.344</v>
      </c>
      <c r="S31" s="27" t="n">
        <v>16.344</v>
      </c>
      <c r="T31" s="27" t="n">
        <v>16.344</v>
      </c>
      <c r="U31" s="28">
        <f>T31</f>
        <v/>
      </c>
      <c r="V31" s="27" t="n">
        <v>16.581</v>
      </c>
      <c r="W31" s="27" t="n">
        <v>17.11</v>
      </c>
      <c r="X31" s="27" t="n">
        <v>17.11</v>
      </c>
      <c r="Y31" s="27" t="n">
        <v>17.11</v>
      </c>
      <c r="Z31" s="28">
        <f>Y31</f>
        <v/>
      </c>
      <c r="AA31" s="27" t="n">
        <v>17.11</v>
      </c>
      <c r="AB31" s="29" t="n">
        <v>17.11</v>
      </c>
      <c r="AC31" s="33">
        <f>IFERROR(AB31*(1+변수!AC38),"")</f>
        <v/>
      </c>
      <c r="AD31" s="33">
        <f>IFERROR(AC31*(1+변수!AD38),"")</f>
        <v/>
      </c>
      <c r="AE31" s="31">
        <f>AD31</f>
        <v/>
      </c>
      <c r="AF31" s="33">
        <f>IFERROR(AD31*(1+변수!AF38),"")</f>
        <v/>
      </c>
      <c r="AG31" s="33">
        <f>IFERROR(AF31*(1+변수!AG38),"")</f>
        <v/>
      </c>
      <c r="AH31" s="33">
        <f>IFERROR(AG31*(1+변수!AH38),"")</f>
        <v/>
      </c>
      <c r="AI31" s="33">
        <f>IFERROR(AH31*(1+변수!AI38),"")</f>
        <v/>
      </c>
      <c r="AJ31" s="31">
        <f>AI31</f>
        <v/>
      </c>
      <c r="AK31" s="33">
        <f>IFERROR(AI31*(1+변수!AK38),"")</f>
        <v/>
      </c>
      <c r="AL31" s="33">
        <f>IFERROR(AK31*(1+변수!AL38),"")</f>
        <v/>
      </c>
      <c r="AM31" s="33">
        <f>IFERROR(AL31*(1+변수!AM38),"")</f>
        <v/>
      </c>
      <c r="AN31" s="33">
        <f>IFERROR(AM31*(1+변수!AN38),"")</f>
        <v/>
      </c>
      <c r="AO31" s="31">
        <f>AN31</f>
        <v/>
      </c>
    </row>
    <row r="32">
      <c r="A32" s="12" t="inlineStr">
        <is>
          <t>EPS</t>
        </is>
      </c>
      <c r="B32" t="inlineStr">
        <is>
          <t>주당</t>
        </is>
      </c>
      <c r="C32" t="inlineStr">
        <is>
          <t>원</t>
        </is>
      </c>
      <c r="D32" t="inlineStr">
        <is>
          <t>EPS</t>
        </is>
      </c>
      <c r="E32" s="18">
        <f>IFERROR(E18*100/E31,"")</f>
        <v/>
      </c>
      <c r="F32" s="37" t="n"/>
      <c r="G32" s="18">
        <f>IFERROR(G18*100/G31,"")</f>
        <v/>
      </c>
      <c r="H32" s="18">
        <f>IFERROR(H18*100/H31,"")</f>
        <v/>
      </c>
      <c r="I32" s="18">
        <f>IFERROR(I18*100/I31,"")</f>
        <v/>
      </c>
      <c r="J32" s="18">
        <f>IFERROR(J18*100/J31,"")</f>
        <v/>
      </c>
      <c r="K32" s="37">
        <f>SUM(G32:J32)</f>
        <v/>
      </c>
      <c r="L32" s="18">
        <f>IFERROR(L18*100/L31,"")</f>
        <v/>
      </c>
      <c r="M32" s="18">
        <f>IFERROR(M18*100/M31,"")</f>
        <v/>
      </c>
      <c r="N32" s="18">
        <f>IFERROR(N18*100/N31,"")</f>
        <v/>
      </c>
      <c r="O32" s="18">
        <f>IFERROR(O18*100/O31,"")</f>
        <v/>
      </c>
      <c r="P32" s="37">
        <f>SUM(L32:O32)</f>
        <v/>
      </c>
      <c r="Q32" s="18">
        <f>IFERROR(Q18*100/Q31,"")</f>
        <v/>
      </c>
      <c r="R32" s="18">
        <f>IFERROR(R18*100/R31,"")</f>
        <v/>
      </c>
      <c r="S32" s="18">
        <f>IFERROR(S18*100/S31,"")</f>
        <v/>
      </c>
      <c r="T32" s="18">
        <f>IFERROR(T18*100/T31,"")</f>
        <v/>
      </c>
      <c r="U32" s="37">
        <f>SUM(Q32:T32)</f>
        <v/>
      </c>
      <c r="V32" s="18">
        <f>IFERROR(V18*100/V31,"")</f>
        <v/>
      </c>
      <c r="W32" s="18">
        <f>IFERROR(W18*100/W31,"")</f>
        <v/>
      </c>
      <c r="X32" s="18">
        <f>IFERROR(X18*100/X31,"")</f>
        <v/>
      </c>
      <c r="Y32" s="18">
        <f>IFERROR(Y18*100/Y31,"")</f>
        <v/>
      </c>
      <c r="Z32" s="37">
        <f>SUM(V32:Y32)</f>
        <v/>
      </c>
      <c r="AA32" s="18">
        <f>IFERROR(AA18*100/AA31,"")</f>
        <v/>
      </c>
      <c r="AB32" s="19">
        <f>IFERROR(AB18*100/AB31,"")</f>
        <v/>
      </c>
      <c r="AC32" s="20">
        <f>IFERROR(AC18*100/AC31,"")</f>
        <v/>
      </c>
      <c r="AD32" s="20">
        <f>IFERROR(AD18*100/AD31,"")</f>
        <v/>
      </c>
      <c r="AE32" s="38">
        <f>SUM(AA32:AD32)</f>
        <v/>
      </c>
      <c r="AF32" s="20">
        <f>IFERROR(AF18*100/AF31,"")</f>
        <v/>
      </c>
      <c r="AG32" s="20">
        <f>IFERROR(AG18*100/AG31,"")</f>
        <v/>
      </c>
      <c r="AH32" s="20">
        <f>IFERROR(AH18*100/AH31,"")</f>
        <v/>
      </c>
      <c r="AI32" s="20">
        <f>IFERROR(AI18*100/AI31,"")</f>
        <v/>
      </c>
      <c r="AJ32" s="38">
        <f>SUM(AF32:AI32)</f>
        <v/>
      </c>
      <c r="AK32" s="20">
        <f>IFERROR(AK18*100/AK31,"")</f>
        <v/>
      </c>
      <c r="AL32" s="20">
        <f>IFERROR(AL18*100/AL31,"")</f>
        <v/>
      </c>
      <c r="AM32" s="20">
        <f>IFERROR(AM18*100/AM31,"")</f>
        <v/>
      </c>
      <c r="AN32" s="20">
        <f>IFERROR(AN18*100/AN31,"")</f>
        <v/>
      </c>
      <c r="AO32" s="38">
        <f>SUM(AK32:AN32)</f>
        <v/>
      </c>
    </row>
    <row r="33">
      <c r="A33" s="12" t="inlineStr">
        <is>
          <t>BPS</t>
        </is>
      </c>
      <c r="B33" t="inlineStr">
        <is>
          <t>주당</t>
        </is>
      </c>
      <c r="C33" t="inlineStr">
        <is>
          <t>원</t>
        </is>
      </c>
      <c r="D33" t="inlineStr">
        <is>
          <t>BPS</t>
        </is>
      </c>
      <c r="E33" s="18">
        <f>IFERROR(E24*100/E31,"")</f>
        <v/>
      </c>
      <c r="F33" s="37">
        <f>E33</f>
        <v/>
      </c>
      <c r="G33" s="18">
        <f>IFERROR(G24*100/G31,"")</f>
        <v/>
      </c>
      <c r="H33" s="18">
        <f>IFERROR(H24*100/H31,"")</f>
        <v/>
      </c>
      <c r="I33" s="18">
        <f>IFERROR(I24*100/I31,"")</f>
        <v/>
      </c>
      <c r="J33" s="18">
        <f>IFERROR(J24*100/J31,"")</f>
        <v/>
      </c>
      <c r="K33" s="37">
        <f>J33</f>
        <v/>
      </c>
      <c r="L33" s="18">
        <f>IFERROR(L24*100/L31,"")</f>
        <v/>
      </c>
      <c r="M33" s="18">
        <f>IFERROR(M24*100/M31,"")</f>
        <v/>
      </c>
      <c r="N33" s="18">
        <f>IFERROR(N24*100/N31,"")</f>
        <v/>
      </c>
      <c r="O33" s="18">
        <f>IFERROR(O24*100/O31,"")</f>
        <v/>
      </c>
      <c r="P33" s="37">
        <f>O33</f>
        <v/>
      </c>
      <c r="Q33" s="18">
        <f>IFERROR(Q24*100/Q31,"")</f>
        <v/>
      </c>
      <c r="R33" s="18">
        <f>IFERROR(R24*100/R31,"")</f>
        <v/>
      </c>
      <c r="S33" s="18">
        <f>IFERROR(S24*100/S31,"")</f>
        <v/>
      </c>
      <c r="T33" s="18">
        <f>IFERROR(T24*100/T31,"")</f>
        <v/>
      </c>
      <c r="U33" s="37">
        <f>T33</f>
        <v/>
      </c>
      <c r="V33" s="18">
        <f>IFERROR(V24*100/V31,"")</f>
        <v/>
      </c>
      <c r="W33" s="18">
        <f>IFERROR(W24*100/W31,"")</f>
        <v/>
      </c>
      <c r="X33" s="18">
        <f>IFERROR(X24*100/X31,"")</f>
        <v/>
      </c>
      <c r="Y33" s="18">
        <f>IFERROR(Y24*100/Y31,"")</f>
        <v/>
      </c>
      <c r="Z33" s="37">
        <f>Y33</f>
        <v/>
      </c>
      <c r="AA33" s="18">
        <f>IFERROR(AA24*100/AA31,"")</f>
        <v/>
      </c>
      <c r="AB33" s="19">
        <f>IFERROR(AB24*100/AB31,"")</f>
        <v/>
      </c>
      <c r="AC33" s="20">
        <f>IFERROR(AC24*100/AC31,"")</f>
        <v/>
      </c>
      <c r="AD33" s="20">
        <f>IFERROR(AD24*100/AD31,"")</f>
        <v/>
      </c>
      <c r="AE33" s="38">
        <f>AD33</f>
        <v/>
      </c>
      <c r="AF33" s="20">
        <f>IFERROR(AF24*100/AF31,"")</f>
        <v/>
      </c>
      <c r="AG33" s="20">
        <f>IFERROR(AG24*100/AG31,"")</f>
        <v/>
      </c>
      <c r="AH33" s="20">
        <f>IFERROR(AH24*100/AH31,"")</f>
        <v/>
      </c>
      <c r="AI33" s="20">
        <f>IFERROR(AI24*100/AI31,"")</f>
        <v/>
      </c>
      <c r="AJ33" s="38">
        <f>AI33</f>
        <v/>
      </c>
      <c r="AK33" s="20">
        <f>IFERROR(AK24*100/AK31,"")</f>
        <v/>
      </c>
      <c r="AL33" s="20">
        <f>IFERROR(AL24*100/AL31,"")</f>
        <v/>
      </c>
      <c r="AM33" s="20">
        <f>IFERROR(AM24*100/AM31,"")</f>
        <v/>
      </c>
      <c r="AN33" s="20">
        <f>IFERROR(AN24*100/AN31,"")</f>
        <v/>
      </c>
      <c r="AO33" s="38">
        <f>AN33</f>
        <v/>
      </c>
    </row>
    <row r="34">
      <c r="A34" s="12" t="inlineStr">
        <is>
          <t>DPS</t>
        </is>
      </c>
      <c r="B34" t="inlineStr">
        <is>
          <t>주당</t>
        </is>
      </c>
      <c r="C34" t="inlineStr">
        <is>
          <t>원</t>
        </is>
      </c>
      <c r="D34" t="inlineStr">
        <is>
          <t>DPS(보통주)</t>
        </is>
      </c>
      <c r="E34" s="18" t="n">
        <v>100</v>
      </c>
      <c r="F34" s="37" t="n">
        <v>100</v>
      </c>
      <c r="G34" s="18" t="n"/>
      <c r="H34" s="18" t="n"/>
      <c r="I34" s="18" t="n"/>
      <c r="J34" s="18" t="n">
        <v>100</v>
      </c>
      <c r="K34" s="37">
        <f>SUM(G34:J34)</f>
        <v/>
      </c>
      <c r="L34" s="18" t="n"/>
      <c r="M34" s="18" t="n"/>
      <c r="N34" s="18" t="n"/>
      <c r="O34" s="18" t="n">
        <v>300</v>
      </c>
      <c r="P34" s="37">
        <f>SUM(L34:O34)</f>
        <v/>
      </c>
      <c r="Q34" s="18" t="n"/>
      <c r="R34" s="18" t="n"/>
      <c r="S34" s="18" t="n"/>
      <c r="T34" s="18" t="n">
        <v>300</v>
      </c>
      <c r="U34" s="37">
        <f>SUM(Q34:T34)</f>
        <v/>
      </c>
      <c r="V34" s="18" t="n"/>
      <c r="W34" s="18" t="n"/>
      <c r="X34" s="18" t="n"/>
      <c r="Y34" s="18" t="n">
        <v>620</v>
      </c>
      <c r="Z34" s="37">
        <f>SUM(V34:Y34)</f>
        <v/>
      </c>
      <c r="AA34" s="18" t="n"/>
      <c r="AB34" s="19" t="n"/>
      <c r="AC34" s="20" t="n"/>
      <c r="AD34" s="20">
        <f>변수!AD39</f>
        <v/>
      </c>
      <c r="AE34" s="38">
        <f>SUM(AA34:AD34)</f>
        <v/>
      </c>
      <c r="AF34" s="20" t="n"/>
      <c r="AG34" s="20" t="n"/>
      <c r="AH34" s="20" t="n"/>
      <c r="AI34" s="20">
        <f>변수!AI39</f>
        <v/>
      </c>
      <c r="AJ34" s="38">
        <f>SUM(AF34:AI34)</f>
        <v/>
      </c>
      <c r="AK34" s="20" t="n"/>
      <c r="AL34" s="20" t="n"/>
      <c r="AM34" s="20" t="n"/>
      <c r="AN34" s="20">
        <f>변수!AN39</f>
        <v/>
      </c>
      <c r="AO34" s="38">
        <f>SUM(AK34:AN34)</f>
        <v/>
      </c>
    </row>
    <row r="35">
      <c r="A35" s="12" t="inlineStr">
        <is>
          <t>PER</t>
        </is>
      </c>
      <c r="B35" t="inlineStr">
        <is>
          <t>주당</t>
        </is>
      </c>
      <c r="C35" t="inlineStr">
        <is>
          <t>배</t>
        </is>
      </c>
      <c r="D35" t="inlineStr">
        <is>
          <t>PER</t>
        </is>
      </c>
      <c r="E35" s="13" t="n"/>
      <c r="F35" s="14">
        <f>E35</f>
        <v/>
      </c>
      <c r="G35" s="13" t="n"/>
      <c r="H35" s="13" t="n"/>
      <c r="I35" s="13">
        <f>IFERROR(변수!I18/(E32+G32+H32+I32),"")</f>
        <v/>
      </c>
      <c r="J35" s="13">
        <f>IFERROR(변수!J18/(G32+H32+I32+J32),"")</f>
        <v/>
      </c>
      <c r="K35" s="14">
        <f>J35</f>
        <v/>
      </c>
      <c r="L35" s="13">
        <f>IFERROR(변수!L18/(H32+I32+J32+L32),"")</f>
        <v/>
      </c>
      <c r="M35" s="13">
        <f>IFERROR(변수!M18/(I32+J32+L32+M32),"")</f>
        <v/>
      </c>
      <c r="N35" s="13">
        <f>IFERROR(변수!N18/(J32+L32+M32+N32),"")</f>
        <v/>
      </c>
      <c r="O35" s="13">
        <f>IFERROR(변수!O18/(L32+M32+N32+O32),"")</f>
        <v/>
      </c>
      <c r="P35" s="14">
        <f>O35</f>
        <v/>
      </c>
      <c r="Q35" s="13">
        <f>IFERROR(변수!Q18/(M32+N32+O32+Q32),"")</f>
        <v/>
      </c>
      <c r="R35" s="13">
        <f>IFERROR(변수!R18/(N32+O32+Q32+R32),"")</f>
        <v/>
      </c>
      <c r="S35" s="13">
        <f>IFERROR(변수!S18/(O32+Q32+R32+S32),"")</f>
        <v/>
      </c>
      <c r="T35" s="13">
        <f>IFERROR(변수!T18/(Q32+R32+S32+T32),"")</f>
        <v/>
      </c>
      <c r="U35" s="14">
        <f>T35</f>
        <v/>
      </c>
      <c r="V35" s="13">
        <f>IFERROR(변수!V18/(R32+S32+T32+V32),"")</f>
        <v/>
      </c>
      <c r="W35" s="13">
        <f>IFERROR(변수!W18/(S32+T32+V32+W32),"")</f>
        <v/>
      </c>
      <c r="X35" s="13">
        <f>IFERROR(변수!X18/(T32+V32+W32+X32),"")</f>
        <v/>
      </c>
      <c r="Y35" s="13">
        <f>IFERROR(변수!Y18/(V32+W32+X32+Y32),"")</f>
        <v/>
      </c>
      <c r="Z35" s="14">
        <f>Y35</f>
        <v/>
      </c>
      <c r="AA35" s="13">
        <f>IFERROR(변수!AA18/(W32+X32+Y32+AA32),"")</f>
        <v/>
      </c>
      <c r="AB35" s="15">
        <f>IFERROR(변수!AB18/(X32+Y32+AA32+AB32),"")</f>
        <v/>
      </c>
      <c r="AC35" s="39">
        <f>IFERROR(변수!$D$42/(Y32+AA32+AB32+AC32),"")</f>
        <v/>
      </c>
      <c r="AD35" s="39">
        <f>IFERROR(변수!$D$42/(AA32+AB32+AC32+AD32),"")</f>
        <v/>
      </c>
      <c r="AE35" s="40">
        <f>AD35</f>
        <v/>
      </c>
      <c r="AF35" s="39">
        <f>IFERROR(변수!$D$42/(AB32+AC32+AD32+AF32),"")</f>
        <v/>
      </c>
      <c r="AG35" s="39">
        <f>IFERROR(변수!$D$42/(AC32+AD32+AF32+AG32),"")</f>
        <v/>
      </c>
      <c r="AH35" s="39">
        <f>IFERROR(변수!$D$42/(AD32+AF32+AG32+AH32),"")</f>
        <v/>
      </c>
      <c r="AI35" s="39">
        <f>IFERROR(변수!$D$42/(AF32+AG32+AH32+AI32),"")</f>
        <v/>
      </c>
      <c r="AJ35" s="40">
        <f>AI35</f>
        <v/>
      </c>
      <c r="AK35" s="39">
        <f>IFERROR(변수!$D$42/(AG32+AH32+AI32+AK32),"")</f>
        <v/>
      </c>
      <c r="AL35" s="39">
        <f>IFERROR(변수!$D$42/(AH32+AI32+AK32+AL32),"")</f>
        <v/>
      </c>
      <c r="AM35" s="39">
        <f>IFERROR(변수!$D$42/(AI32+AK32+AL32+AM32),"")</f>
        <v/>
      </c>
      <c r="AN35" s="39">
        <f>IFERROR(변수!$D$42/(AK32+AL32+AM32+AN32),"")</f>
        <v/>
      </c>
      <c r="AO35" s="40">
        <f>AN35</f>
        <v/>
      </c>
    </row>
    <row r="36">
      <c r="A36" s="12" t="inlineStr">
        <is>
          <t>PBR</t>
        </is>
      </c>
      <c r="B36" t="inlineStr">
        <is>
          <t>주당</t>
        </is>
      </c>
      <c r="C36" t="inlineStr">
        <is>
          <t>배</t>
        </is>
      </c>
      <c r="D36" t="inlineStr">
        <is>
          <t>PBR</t>
        </is>
      </c>
      <c r="E36" s="13">
        <f>IFERROR(변수!E18/E33,"")</f>
        <v/>
      </c>
      <c r="F36" s="14">
        <f>E36</f>
        <v/>
      </c>
      <c r="G36" s="13">
        <f>IFERROR(변수!G18/G33,"")</f>
        <v/>
      </c>
      <c r="H36" s="13">
        <f>IFERROR(변수!H18/H33,"")</f>
        <v/>
      </c>
      <c r="I36" s="13">
        <f>IFERROR(변수!I18/I33,"")</f>
        <v/>
      </c>
      <c r="J36" s="13">
        <f>IFERROR(변수!J18/J33,"")</f>
        <v/>
      </c>
      <c r="K36" s="14">
        <f>J36</f>
        <v/>
      </c>
      <c r="L36" s="13">
        <f>IFERROR(변수!L18/L33,"")</f>
        <v/>
      </c>
      <c r="M36" s="13">
        <f>IFERROR(변수!M18/M33,"")</f>
        <v/>
      </c>
      <c r="N36" s="13">
        <f>IFERROR(변수!N18/N33,"")</f>
        <v/>
      </c>
      <c r="O36" s="13">
        <f>IFERROR(변수!O18/O33,"")</f>
        <v/>
      </c>
      <c r="P36" s="14">
        <f>O36</f>
        <v/>
      </c>
      <c r="Q36" s="13">
        <f>IFERROR(변수!Q18/Q33,"")</f>
        <v/>
      </c>
      <c r="R36" s="13">
        <f>IFERROR(변수!R18/R33,"")</f>
        <v/>
      </c>
      <c r="S36" s="13">
        <f>IFERROR(변수!S18/S33,"")</f>
        <v/>
      </c>
      <c r="T36" s="13">
        <f>IFERROR(변수!T18/T33,"")</f>
        <v/>
      </c>
      <c r="U36" s="14">
        <f>T36</f>
        <v/>
      </c>
      <c r="V36" s="13">
        <f>IFERROR(변수!V18/V33,"")</f>
        <v/>
      </c>
      <c r="W36" s="13">
        <f>IFERROR(변수!W18/W33,"")</f>
        <v/>
      </c>
      <c r="X36" s="13">
        <f>IFERROR(변수!X18/X33,"")</f>
        <v/>
      </c>
      <c r="Y36" s="13">
        <f>IFERROR(변수!Y18/Y33,"")</f>
        <v/>
      </c>
      <c r="Z36" s="14">
        <f>Y36</f>
        <v/>
      </c>
      <c r="AA36" s="13">
        <f>IFERROR(변수!AA18/AA33,"")</f>
        <v/>
      </c>
      <c r="AB36" s="15">
        <f>IFERROR(변수!AB18/AB33,"")</f>
        <v/>
      </c>
      <c r="AC36" s="39">
        <f>IFERROR(변수!$D$42/AC33,"")</f>
        <v/>
      </c>
      <c r="AD36" s="39">
        <f>IFERROR(변수!$D$42/AD33,"")</f>
        <v/>
      </c>
      <c r="AE36" s="40">
        <f>AD36</f>
        <v/>
      </c>
      <c r="AF36" s="39">
        <f>IFERROR(변수!$D$42/AF33,"")</f>
        <v/>
      </c>
      <c r="AG36" s="39">
        <f>IFERROR(변수!$D$42/AG33,"")</f>
        <v/>
      </c>
      <c r="AH36" s="39">
        <f>IFERROR(변수!$D$42/AH33,"")</f>
        <v/>
      </c>
      <c r="AI36" s="39">
        <f>IFERROR(변수!$D$42/AI33,"")</f>
        <v/>
      </c>
      <c r="AJ36" s="40">
        <f>AI36</f>
        <v/>
      </c>
      <c r="AK36" s="39">
        <f>IFERROR(변수!$D$42/AK33,"")</f>
        <v/>
      </c>
      <c r="AL36" s="39">
        <f>IFERROR(변수!$D$42/AL33,"")</f>
        <v/>
      </c>
      <c r="AM36" s="39">
        <f>IFERROR(변수!$D$42/AM33,"")</f>
        <v/>
      </c>
      <c r="AN36" s="39">
        <f>IFERROR(변수!$D$42/AN33,"")</f>
        <v/>
      </c>
      <c r="AO36" s="40">
        <f>AN36</f>
        <v/>
      </c>
    </row>
    <row r="37">
      <c r="A37" s="12" t="inlineStr">
        <is>
          <t>매출전사</t>
        </is>
      </c>
      <c r="B37" t="inlineStr">
        <is>
          <t>사업부</t>
        </is>
      </c>
      <c r="C37" t="inlineStr">
        <is>
          <t>억원</t>
        </is>
      </c>
      <c r="D37" t="inlineStr">
        <is>
          <t>매출 전사(부문 미분리)</t>
        </is>
      </c>
      <c r="E37" s="18" t="n">
        <v>163.77</v>
      </c>
      <c r="F37" s="37" t="n"/>
      <c r="G37" s="18" t="n">
        <v>159.4</v>
      </c>
      <c r="H37" s="18" t="n">
        <v>269.14</v>
      </c>
      <c r="I37" s="18" t="n">
        <v>275.46</v>
      </c>
      <c r="J37" s="18" t="n">
        <v>282.36</v>
      </c>
      <c r="K37" s="37">
        <f>SUM(G37:J37)</f>
        <v/>
      </c>
      <c r="L37" s="18" t="n">
        <v>221.39</v>
      </c>
      <c r="M37" s="18" t="n">
        <v>203.41</v>
      </c>
      <c r="N37" s="18" t="n">
        <v>173</v>
      </c>
      <c r="O37" s="18" t="n">
        <v>191.64</v>
      </c>
      <c r="P37" s="37">
        <f>SUM(L37:O37)</f>
        <v/>
      </c>
      <c r="Q37" s="18" t="n">
        <v>231.01</v>
      </c>
      <c r="R37" s="18" t="n">
        <v>255.85</v>
      </c>
      <c r="S37" s="18" t="n">
        <v>232.8</v>
      </c>
      <c r="T37" s="18" t="n">
        <v>322.7</v>
      </c>
      <c r="U37" s="37">
        <f>SUM(Q37:T37)</f>
        <v/>
      </c>
      <c r="V37" s="18" t="n">
        <v>265.56</v>
      </c>
      <c r="W37" s="18" t="n">
        <v>356.62</v>
      </c>
      <c r="X37" s="18" t="n">
        <v>316.68</v>
      </c>
      <c r="Y37" s="18" t="n">
        <v>395.91</v>
      </c>
      <c r="Z37" s="37">
        <f>SUM(V37:Y37)</f>
        <v/>
      </c>
      <c r="AA37" s="18" t="n">
        <v>393.57</v>
      </c>
      <c r="AB37" s="19" t="n">
        <v>428.36</v>
      </c>
      <c r="AC37" s="20">
        <f>IFERROR(AC5,"")</f>
        <v/>
      </c>
      <c r="AD37" s="20">
        <f>IFERROR(AD5,"")</f>
        <v/>
      </c>
      <c r="AE37" s="38">
        <f>SUM(AA37:AD37)</f>
        <v/>
      </c>
      <c r="AF37" s="20">
        <f>IFERROR(AF5,"")</f>
        <v/>
      </c>
      <c r="AG37" s="20">
        <f>IFERROR(AG5,"")</f>
        <v/>
      </c>
      <c r="AH37" s="20">
        <f>IFERROR(AH5,"")</f>
        <v/>
      </c>
      <c r="AI37" s="20">
        <f>IFERROR(AI5,"")</f>
        <v/>
      </c>
      <c r="AJ37" s="38">
        <f>SUM(AF37:AI37)</f>
        <v/>
      </c>
      <c r="AK37" s="20">
        <f>IFERROR(AK5,"")</f>
        <v/>
      </c>
      <c r="AL37" s="20">
        <f>IFERROR(AL5,"")</f>
        <v/>
      </c>
      <c r="AM37" s="20">
        <f>IFERROR(AM5,"")</f>
        <v/>
      </c>
      <c r="AN37" s="20">
        <f>IFERROR(AN5,"")</f>
        <v/>
      </c>
      <c r="AO37" s="38">
        <f>SUM(AK37:AN37)</f>
        <v/>
      </c>
    </row>
    <row r="38">
      <c r="A38" s="12" t="inlineStr">
        <is>
          <t>OP전사</t>
        </is>
      </c>
      <c r="B38" t="inlineStr">
        <is>
          <t>사업부</t>
        </is>
      </c>
      <c r="C38" t="inlineStr">
        <is>
          <t>억원</t>
        </is>
      </c>
      <c r="D38" t="inlineStr">
        <is>
          <t>OP 전사(부문 미분리)</t>
        </is>
      </c>
      <c r="E38" s="18" t="n">
        <v>-8.26</v>
      </c>
      <c r="F38" s="37" t="n"/>
      <c r="G38" s="18" t="n">
        <v>9.49</v>
      </c>
      <c r="H38" s="18" t="n">
        <v>26.85</v>
      </c>
      <c r="I38" s="18" t="n">
        <v>50.72</v>
      </c>
      <c r="J38" s="18" t="n">
        <v>1.1</v>
      </c>
      <c r="K38" s="37">
        <f>SUM(G38:J38)</f>
        <v/>
      </c>
      <c r="L38" s="18" t="n">
        <v>9.94</v>
      </c>
      <c r="M38" s="18" t="n">
        <v>12.79</v>
      </c>
      <c r="N38" s="18" t="n">
        <v>15.21</v>
      </c>
      <c r="O38" s="18" t="n">
        <v>15.71</v>
      </c>
      <c r="P38" s="37">
        <f>SUM(L38:O38)</f>
        <v/>
      </c>
      <c r="Q38" s="18" t="n">
        <v>39.13</v>
      </c>
      <c r="R38" s="18" t="n">
        <v>39.65</v>
      </c>
      <c r="S38" s="18" t="n">
        <v>31.9</v>
      </c>
      <c r="T38" s="18" t="n">
        <v>48.95</v>
      </c>
      <c r="U38" s="37">
        <f>SUM(Q38:T38)</f>
        <v/>
      </c>
      <c r="V38" s="18" t="n">
        <v>51.29</v>
      </c>
      <c r="W38" s="18" t="n">
        <v>61.61</v>
      </c>
      <c r="X38" s="18" t="n">
        <v>54.41</v>
      </c>
      <c r="Y38" s="18" t="n">
        <v>55.42</v>
      </c>
      <c r="Z38" s="37">
        <f>SUM(V38:Y38)</f>
        <v/>
      </c>
      <c r="AA38" s="18" t="n">
        <v>55.18</v>
      </c>
      <c r="AB38" s="19" t="n">
        <v>91.94</v>
      </c>
      <c r="AC38" s="20">
        <f>IFERROR(AC9,"")</f>
        <v/>
      </c>
      <c r="AD38" s="20">
        <f>IFERROR(AD9,"")</f>
        <v/>
      </c>
      <c r="AE38" s="38">
        <f>SUM(AA38:AD38)</f>
        <v/>
      </c>
      <c r="AF38" s="20">
        <f>IFERROR(AF9,"")</f>
        <v/>
      </c>
      <c r="AG38" s="20">
        <f>IFERROR(AG9,"")</f>
        <v/>
      </c>
      <c r="AH38" s="20">
        <f>IFERROR(AH9,"")</f>
        <v/>
      </c>
      <c r="AI38" s="20">
        <f>IFERROR(AI9,"")</f>
        <v/>
      </c>
      <c r="AJ38" s="38">
        <f>SUM(AF38:AI38)</f>
        <v/>
      </c>
      <c r="AK38" s="20">
        <f>IFERROR(AK9,"")</f>
        <v/>
      </c>
      <c r="AL38" s="20">
        <f>IFERROR(AL9,"")</f>
        <v/>
      </c>
      <c r="AM38" s="20">
        <f>IFERROR(AM9,"")</f>
        <v/>
      </c>
      <c r="AN38" s="20">
        <f>IFERROR(AN9,"")</f>
        <v/>
      </c>
      <c r="AO38" s="38">
        <f>SUM(AK38:AN38)</f>
        <v/>
      </c>
    </row>
    <row r="39">
      <c r="B39" s="2" t="inlineStr">
        <is>
          <t>비율(참고)</t>
        </is>
      </c>
      <c r="F39" s="9" t="n"/>
      <c r="K39" s="9" t="n"/>
      <c r="P39" s="9" t="n"/>
      <c r="U39" s="9" t="n"/>
      <c r="Z39" s="9" t="n"/>
      <c r="AB39" s="5" t="n"/>
      <c r="AC39" s="10" t="n"/>
      <c r="AD39" s="10" t="n"/>
      <c r="AE39" s="11" t="n"/>
      <c r="AF39" s="10" t="n"/>
      <c r="AG39" s="10" t="n"/>
      <c r="AH39" s="10" t="n"/>
      <c r="AI39" s="10" t="n"/>
      <c r="AJ39" s="11" t="n"/>
      <c r="AK39" s="10" t="n"/>
      <c r="AL39" s="10" t="n"/>
      <c r="AM39" s="10" t="n"/>
      <c r="AN39" s="10" t="n"/>
      <c r="AO39" s="11" t="n"/>
    </row>
    <row r="40">
      <c r="A40" s="12" t="inlineStr">
        <is>
          <t>NPM</t>
        </is>
      </c>
      <c r="C40" t="inlineStr">
        <is>
          <t>%</t>
        </is>
      </c>
      <c r="D40" t="inlineStr">
        <is>
          <t>지배주주순이익 / 매출액</t>
        </is>
      </c>
      <c r="E40" s="21">
        <f>IFERROR(E18/E5,"")</f>
        <v/>
      </c>
      <c r="F40" s="22">
        <f>IFERROR(F18/F5,"")</f>
        <v/>
      </c>
      <c r="G40" s="21">
        <f>IFERROR(G18/G5,"")</f>
        <v/>
      </c>
      <c r="H40" s="21">
        <f>IFERROR(H18/H5,"")</f>
        <v/>
      </c>
      <c r="I40" s="21">
        <f>IFERROR(I18/I5,"")</f>
        <v/>
      </c>
      <c r="J40" s="21">
        <f>IFERROR(J18/J5,"")</f>
        <v/>
      </c>
      <c r="K40" s="22">
        <f>IFERROR(K18/K5,"")</f>
        <v/>
      </c>
      <c r="L40" s="21">
        <f>IFERROR(L18/L5,"")</f>
        <v/>
      </c>
      <c r="M40" s="21">
        <f>IFERROR(M18/M5,"")</f>
        <v/>
      </c>
      <c r="N40" s="21">
        <f>IFERROR(N18/N5,"")</f>
        <v/>
      </c>
      <c r="O40" s="21">
        <f>IFERROR(O18/O5,"")</f>
        <v/>
      </c>
      <c r="P40" s="22">
        <f>IFERROR(P18/P5,"")</f>
        <v/>
      </c>
      <c r="Q40" s="21">
        <f>IFERROR(Q18/Q5,"")</f>
        <v/>
      </c>
      <c r="R40" s="21">
        <f>IFERROR(R18/R5,"")</f>
        <v/>
      </c>
      <c r="S40" s="21">
        <f>IFERROR(S18/S5,"")</f>
        <v/>
      </c>
      <c r="T40" s="21">
        <f>IFERROR(T18/T5,"")</f>
        <v/>
      </c>
      <c r="U40" s="22">
        <f>IFERROR(U18/U5,"")</f>
        <v/>
      </c>
      <c r="V40" s="21">
        <f>IFERROR(V18/V5,"")</f>
        <v/>
      </c>
      <c r="W40" s="21">
        <f>IFERROR(W18/W5,"")</f>
        <v/>
      </c>
      <c r="X40" s="21">
        <f>IFERROR(X18/X5,"")</f>
        <v/>
      </c>
      <c r="Y40" s="21">
        <f>IFERROR(Y18/Y5,"")</f>
        <v/>
      </c>
      <c r="Z40" s="22">
        <f>IFERROR(Z18/Z5,"")</f>
        <v/>
      </c>
      <c r="AA40" s="21">
        <f>IFERROR(AA18/AA5,"")</f>
        <v/>
      </c>
      <c r="AB40" s="23">
        <f>IFERROR(AB18/AB5,"")</f>
        <v/>
      </c>
      <c r="AC40" s="32">
        <f>IFERROR(AC18/AC5,"")</f>
        <v/>
      </c>
      <c r="AD40" s="32">
        <f>IFERROR(AD18/AD5,"")</f>
        <v/>
      </c>
      <c r="AE40" s="25">
        <f>IFERROR(AE18/AE5,"")</f>
        <v/>
      </c>
      <c r="AF40" s="32">
        <f>IFERROR(AF18/AF5,"")</f>
        <v/>
      </c>
      <c r="AG40" s="32">
        <f>IFERROR(AG18/AG5,"")</f>
        <v/>
      </c>
      <c r="AH40" s="32">
        <f>IFERROR(AH18/AH5,"")</f>
        <v/>
      </c>
      <c r="AI40" s="32">
        <f>IFERROR(AI18/AI5,"")</f>
        <v/>
      </c>
      <c r="AJ40" s="25">
        <f>IFERROR(AJ18/AJ5,"")</f>
        <v/>
      </c>
      <c r="AK40" s="32">
        <f>IFERROR(AK18/AK5,"")</f>
        <v/>
      </c>
      <c r="AL40" s="32">
        <f>IFERROR(AL18/AL5,"")</f>
        <v/>
      </c>
      <c r="AM40" s="32">
        <f>IFERROR(AM18/AM5,"")</f>
        <v/>
      </c>
      <c r="AN40" s="32">
        <f>IFERROR(AN18/AN5,"")</f>
        <v/>
      </c>
      <c r="AO40" s="25">
        <f>IFERROR(AO18/AO5,"")</f>
        <v/>
      </c>
    </row>
    <row r="41">
      <c r="A41" s="12" t="inlineStr">
        <is>
          <t>매출원가율</t>
        </is>
      </c>
      <c r="C41" t="inlineStr">
        <is>
          <t>%</t>
        </is>
      </c>
      <c r="D41" t="inlineStr">
        <is>
          <t>매출원가 / 매출액</t>
        </is>
      </c>
      <c r="E41" s="21">
        <f>IFERROR(E6/E5,"")</f>
        <v/>
      </c>
      <c r="F41" s="22">
        <f>IFERROR(F6/F5,"")</f>
        <v/>
      </c>
      <c r="G41" s="21">
        <f>IFERROR(G6/G5,"")</f>
        <v/>
      </c>
      <c r="H41" s="21">
        <f>IFERROR(H6/H5,"")</f>
        <v/>
      </c>
      <c r="I41" s="21">
        <f>IFERROR(I6/I5,"")</f>
        <v/>
      </c>
      <c r="J41" s="21">
        <f>IFERROR(J6/J5,"")</f>
        <v/>
      </c>
      <c r="K41" s="22">
        <f>IFERROR(K6/K5,"")</f>
        <v/>
      </c>
      <c r="L41" s="21">
        <f>IFERROR(L6/L5,"")</f>
        <v/>
      </c>
      <c r="M41" s="21">
        <f>IFERROR(M6/M5,"")</f>
        <v/>
      </c>
      <c r="N41" s="21">
        <f>IFERROR(N6/N5,"")</f>
        <v/>
      </c>
      <c r="O41" s="21">
        <f>IFERROR(O6/O5,"")</f>
        <v/>
      </c>
      <c r="P41" s="22">
        <f>IFERROR(P6/P5,"")</f>
        <v/>
      </c>
      <c r="Q41" s="21">
        <f>IFERROR(Q6/Q5,"")</f>
        <v/>
      </c>
      <c r="R41" s="21">
        <f>IFERROR(R6/R5,"")</f>
        <v/>
      </c>
      <c r="S41" s="21">
        <f>IFERROR(S6/S5,"")</f>
        <v/>
      </c>
      <c r="T41" s="21">
        <f>IFERROR(T6/T5,"")</f>
        <v/>
      </c>
      <c r="U41" s="22">
        <f>IFERROR(U6/U5,"")</f>
        <v/>
      </c>
      <c r="V41" s="21">
        <f>IFERROR(V6/V5,"")</f>
        <v/>
      </c>
      <c r="W41" s="21">
        <f>IFERROR(W6/W5,"")</f>
        <v/>
      </c>
      <c r="X41" s="21">
        <f>IFERROR(X6/X5,"")</f>
        <v/>
      </c>
      <c r="Y41" s="21">
        <f>IFERROR(Y6/Y5,"")</f>
        <v/>
      </c>
      <c r="Z41" s="22">
        <f>IFERROR(Z6/Z5,"")</f>
        <v/>
      </c>
      <c r="AA41" s="21">
        <f>IFERROR(AA6/AA5,"")</f>
        <v/>
      </c>
      <c r="AB41" s="23">
        <f>IFERROR(AB6/AB5,"")</f>
        <v/>
      </c>
      <c r="AC41" s="32">
        <f>IFERROR(AC6/AC5,"")</f>
        <v/>
      </c>
      <c r="AD41" s="32">
        <f>IFERROR(AD6/AD5,"")</f>
        <v/>
      </c>
      <c r="AE41" s="25">
        <f>IFERROR(AE6/AE5,"")</f>
        <v/>
      </c>
      <c r="AF41" s="32">
        <f>IFERROR(AF6/AF5,"")</f>
        <v/>
      </c>
      <c r="AG41" s="32">
        <f>IFERROR(AG6/AG5,"")</f>
        <v/>
      </c>
      <c r="AH41" s="32">
        <f>IFERROR(AH6/AH5,"")</f>
        <v/>
      </c>
      <c r="AI41" s="32">
        <f>IFERROR(AI6/AI5,"")</f>
        <v/>
      </c>
      <c r="AJ41" s="25">
        <f>IFERROR(AJ6/AJ5,"")</f>
        <v/>
      </c>
      <c r="AK41" s="32">
        <f>IFERROR(AK6/AK5,"")</f>
        <v/>
      </c>
      <c r="AL41" s="32">
        <f>IFERROR(AL6/AL5,"")</f>
        <v/>
      </c>
      <c r="AM41" s="32">
        <f>IFERROR(AM6/AM5,"")</f>
        <v/>
      </c>
      <c r="AN41" s="32">
        <f>IFERROR(AN6/AN5,"")</f>
        <v/>
      </c>
      <c r="AO41" s="25">
        <f>IFERROR(AO6/AO5,"")</f>
        <v/>
      </c>
    </row>
    <row r="42">
      <c r="A42" s="12" t="inlineStr">
        <is>
          <t>판관비율</t>
        </is>
      </c>
      <c r="C42" t="inlineStr">
        <is>
          <t>%</t>
        </is>
      </c>
      <c r="D42" t="inlineStr">
        <is>
          <t>판관비 / 매출액</t>
        </is>
      </c>
      <c r="E42" s="21">
        <f>IFERROR(E8/E5,"")</f>
        <v/>
      </c>
      <c r="F42" s="22">
        <f>IFERROR(F8/F5,"")</f>
        <v/>
      </c>
      <c r="G42" s="21">
        <f>IFERROR(G8/G5,"")</f>
        <v/>
      </c>
      <c r="H42" s="21">
        <f>IFERROR(H8/H5,"")</f>
        <v/>
      </c>
      <c r="I42" s="21">
        <f>IFERROR(I8/I5,"")</f>
        <v/>
      </c>
      <c r="J42" s="21">
        <f>IFERROR(J8/J5,"")</f>
        <v/>
      </c>
      <c r="K42" s="22">
        <f>IFERROR(K8/K5,"")</f>
        <v/>
      </c>
      <c r="L42" s="21">
        <f>IFERROR(L8/L5,"")</f>
        <v/>
      </c>
      <c r="M42" s="21">
        <f>IFERROR(M8/M5,"")</f>
        <v/>
      </c>
      <c r="N42" s="21">
        <f>IFERROR(N8/N5,"")</f>
        <v/>
      </c>
      <c r="O42" s="21">
        <f>IFERROR(O8/O5,"")</f>
        <v/>
      </c>
      <c r="P42" s="22">
        <f>IFERROR(P8/P5,"")</f>
        <v/>
      </c>
      <c r="Q42" s="21">
        <f>IFERROR(Q8/Q5,"")</f>
        <v/>
      </c>
      <c r="R42" s="21">
        <f>IFERROR(R8/R5,"")</f>
        <v/>
      </c>
      <c r="S42" s="21">
        <f>IFERROR(S8/S5,"")</f>
        <v/>
      </c>
      <c r="T42" s="21">
        <f>IFERROR(T8/T5,"")</f>
        <v/>
      </c>
      <c r="U42" s="22">
        <f>IFERROR(U8/U5,"")</f>
        <v/>
      </c>
      <c r="V42" s="21">
        <f>IFERROR(V8/V5,"")</f>
        <v/>
      </c>
      <c r="W42" s="21">
        <f>IFERROR(W8/W5,"")</f>
        <v/>
      </c>
      <c r="X42" s="21">
        <f>IFERROR(X8/X5,"")</f>
        <v/>
      </c>
      <c r="Y42" s="21">
        <f>IFERROR(Y8/Y5,"")</f>
        <v/>
      </c>
      <c r="Z42" s="22">
        <f>IFERROR(Z8/Z5,"")</f>
        <v/>
      </c>
      <c r="AA42" s="21">
        <f>IFERROR(AA8/AA5,"")</f>
        <v/>
      </c>
      <c r="AB42" s="23">
        <f>IFERROR(AB8/AB5,"")</f>
        <v/>
      </c>
      <c r="AC42" s="32">
        <f>IFERROR(AC8/AC5,"")</f>
        <v/>
      </c>
      <c r="AD42" s="32">
        <f>IFERROR(AD8/AD5,"")</f>
        <v/>
      </c>
      <c r="AE42" s="25">
        <f>IFERROR(AE8/AE5,"")</f>
        <v/>
      </c>
      <c r="AF42" s="32">
        <f>IFERROR(AF8/AF5,"")</f>
        <v/>
      </c>
      <c r="AG42" s="32">
        <f>IFERROR(AG8/AG5,"")</f>
        <v/>
      </c>
      <c r="AH42" s="32">
        <f>IFERROR(AH8/AH5,"")</f>
        <v/>
      </c>
      <c r="AI42" s="32">
        <f>IFERROR(AI8/AI5,"")</f>
        <v/>
      </c>
      <c r="AJ42" s="25">
        <f>IFERROR(AJ8/AJ5,"")</f>
        <v/>
      </c>
      <c r="AK42" s="32">
        <f>IFERROR(AK8/AK5,"")</f>
        <v/>
      </c>
      <c r="AL42" s="32">
        <f>IFERROR(AL8/AL5,"")</f>
        <v/>
      </c>
      <c r="AM42" s="32">
        <f>IFERROR(AM8/AM5,"")</f>
        <v/>
      </c>
      <c r="AN42" s="32">
        <f>IFERROR(AN8/AN5,"")</f>
        <v/>
      </c>
      <c r="AO42" s="25">
        <f>IFERROR(AO8/AO5,"")</f>
        <v/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G42"/>
  <sheetViews>
    <sheetView workbookViewId="0">
      <pane xSplit="4" ySplit="4" topLeftCell="E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9" customWidth="1" min="2" max="2"/>
    <col width="26" customWidth="1" min="3" max="3"/>
    <col width="30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</cols>
  <sheetData>
    <row r="1">
      <c r="C1" s="2" t="inlineStr">
        <is>
          <t>이름: 분기H — subQ 를 이름으로 VLOOKUP(억원)</t>
        </is>
      </c>
      <c r="E1" s="3" t="inlineStr">
        <is>
          <t>4Q21</t>
        </is>
      </c>
      <c r="F1" s="3" t="inlineStr">
        <is>
          <t>1Q22</t>
        </is>
      </c>
      <c r="G1" s="3" t="inlineStr">
        <is>
          <t>2Q22</t>
        </is>
      </c>
      <c r="H1" s="3" t="inlineStr">
        <is>
          <t>3Q22</t>
        </is>
      </c>
      <c r="I1" s="3" t="inlineStr">
        <is>
          <t>4Q22</t>
        </is>
      </c>
      <c r="J1" s="3" t="inlineStr">
        <is>
          <t>1Q23</t>
        </is>
      </c>
      <c r="K1" s="3" t="inlineStr">
        <is>
          <t>2Q23</t>
        </is>
      </c>
      <c r="L1" s="3" t="inlineStr">
        <is>
          <t>3Q23</t>
        </is>
      </c>
      <c r="M1" s="3" t="inlineStr">
        <is>
          <t>4Q23</t>
        </is>
      </c>
      <c r="N1" s="3" t="inlineStr">
        <is>
          <t>1Q24</t>
        </is>
      </c>
      <c r="O1" s="3" t="inlineStr">
        <is>
          <t>2Q24</t>
        </is>
      </c>
      <c r="P1" s="3" t="inlineStr">
        <is>
          <t>3Q24</t>
        </is>
      </c>
      <c r="Q1" s="3" t="inlineStr">
        <is>
          <t>4Q24</t>
        </is>
      </c>
      <c r="R1" s="3" t="inlineStr">
        <is>
          <t>1Q25</t>
        </is>
      </c>
      <c r="S1" s="3" t="inlineStr">
        <is>
          <t>2Q25</t>
        </is>
      </c>
      <c r="T1" s="3" t="inlineStr">
        <is>
          <t>3Q25</t>
        </is>
      </c>
      <c r="U1" s="3" t="inlineStr">
        <is>
          <t>4Q25</t>
        </is>
      </c>
      <c r="V1" s="3" t="inlineStr">
        <is>
          <t>1Q26</t>
        </is>
      </c>
      <c r="W1" s="41" t="inlineStr">
        <is>
          <t>2Q26</t>
        </is>
      </c>
      <c r="X1" s="3" t="inlineStr">
        <is>
          <t>3Q26</t>
        </is>
      </c>
      <c r="Y1" s="3" t="inlineStr">
        <is>
          <t>4Q26</t>
        </is>
      </c>
      <c r="Z1" s="3" t="inlineStr">
        <is>
          <t>1Q27</t>
        </is>
      </c>
      <c r="AA1" s="3" t="inlineStr">
        <is>
          <t>2Q27</t>
        </is>
      </c>
      <c r="AB1" s="3" t="inlineStr">
        <is>
          <t>3Q27</t>
        </is>
      </c>
      <c r="AC1" s="3" t="inlineStr">
        <is>
          <t>4Q27</t>
        </is>
      </c>
      <c r="AD1" s="3" t="inlineStr">
        <is>
          <t>1Q28</t>
        </is>
      </c>
      <c r="AE1" s="3" t="inlineStr">
        <is>
          <t>2Q28</t>
        </is>
      </c>
      <c r="AF1" s="3" t="inlineStr">
        <is>
          <t>3Q28</t>
        </is>
      </c>
      <c r="AG1" s="3" t="inlineStr">
        <is>
          <t>4Q28</t>
        </is>
      </c>
    </row>
    <row r="2">
      <c r="C2" t="inlineStr">
        <is>
          <t>종가:</t>
        </is>
      </c>
      <c r="D2" s="18">
        <f>변수!D42</f>
        <v/>
      </c>
      <c r="W2" s="42" t="n"/>
    </row>
    <row r="3">
      <c r="C3" t="inlineStr">
        <is>
          <t>기준일:</t>
        </is>
      </c>
      <c r="D3" t="inlineStr">
        <is>
          <t>20261013</t>
        </is>
      </c>
      <c r="E3" s="2" t="n">
        <v>1</v>
      </c>
      <c r="F3" s="2" t="n">
        <v>2</v>
      </c>
      <c r="G3" s="2" t="n">
        <v>3</v>
      </c>
      <c r="H3" s="2" t="n">
        <v>4</v>
      </c>
      <c r="I3" s="2" t="n">
        <v>5</v>
      </c>
      <c r="J3" s="2" t="n">
        <v>6</v>
      </c>
      <c r="K3" s="2" t="n">
        <v>7</v>
      </c>
      <c r="L3" s="2" t="n">
        <v>8</v>
      </c>
      <c r="M3" s="2" t="n">
        <v>9</v>
      </c>
      <c r="N3" s="2" t="n">
        <v>10</v>
      </c>
      <c r="O3" s="2" t="n">
        <v>11</v>
      </c>
      <c r="P3" s="2" t="n">
        <v>12</v>
      </c>
      <c r="Q3" s="2" t="n">
        <v>13</v>
      </c>
      <c r="R3" s="2" t="n">
        <v>14</v>
      </c>
      <c r="S3" s="2" t="n">
        <v>15</v>
      </c>
      <c r="T3" s="2" t="n">
        <v>16</v>
      </c>
      <c r="U3" s="2" t="n">
        <v>17</v>
      </c>
      <c r="V3" s="2" t="n">
        <v>18</v>
      </c>
      <c r="W3" s="43" t="n">
        <v>19</v>
      </c>
      <c r="X3" s="2" t="n">
        <v>20</v>
      </c>
      <c r="Y3" s="2" t="n">
        <v>21</v>
      </c>
      <c r="Z3" s="2" t="n">
        <v>22</v>
      </c>
      <c r="AA3" s="2" t="n">
        <v>23</v>
      </c>
      <c r="AB3" s="2" t="n">
        <v>24</v>
      </c>
      <c r="AC3" s="2" t="n">
        <v>25</v>
      </c>
      <c r="AD3" s="2" t="n">
        <v>26</v>
      </c>
      <c r="AE3" s="2" t="n">
        <v>27</v>
      </c>
      <c r="AF3" s="2" t="n">
        <v>28</v>
      </c>
      <c r="AG3" s="2" t="n">
        <v>29</v>
      </c>
    </row>
    <row r="4">
      <c r="E4" s="7" t="inlineStr">
        <is>
          <t>2021.12</t>
        </is>
      </c>
      <c r="F4" s="7" t="inlineStr">
        <is>
          <t>2022.03</t>
        </is>
      </c>
      <c r="G4" s="7" t="inlineStr">
        <is>
          <t>2022.06</t>
        </is>
      </c>
      <c r="H4" s="7" t="inlineStr">
        <is>
          <t>2022.09</t>
        </is>
      </c>
      <c r="I4" s="7" t="inlineStr">
        <is>
          <t>2022.12</t>
        </is>
      </c>
      <c r="J4" s="7" t="inlineStr">
        <is>
          <t>2023.03</t>
        </is>
      </c>
      <c r="K4" s="7" t="inlineStr">
        <is>
          <t>2023.06</t>
        </is>
      </c>
      <c r="L4" s="7" t="inlineStr">
        <is>
          <t>2023.09</t>
        </is>
      </c>
      <c r="M4" s="7" t="inlineStr">
        <is>
          <t>2023.12</t>
        </is>
      </c>
      <c r="N4" s="7" t="inlineStr">
        <is>
          <t>2024.03</t>
        </is>
      </c>
      <c r="O4" s="7" t="inlineStr">
        <is>
          <t>2024.06</t>
        </is>
      </c>
      <c r="P4" s="7" t="inlineStr">
        <is>
          <t>2024.09</t>
        </is>
      </c>
      <c r="Q4" s="7" t="inlineStr">
        <is>
          <t>2024.12</t>
        </is>
      </c>
      <c r="R4" s="7" t="inlineStr">
        <is>
          <t>2025.03</t>
        </is>
      </c>
      <c r="S4" s="7" t="inlineStr">
        <is>
          <t>2025.06</t>
        </is>
      </c>
      <c r="T4" s="7" t="inlineStr">
        <is>
          <t>2025.09</t>
        </is>
      </c>
      <c r="U4" s="7" t="inlineStr">
        <is>
          <t>2025.12</t>
        </is>
      </c>
      <c r="V4" s="7" t="inlineStr">
        <is>
          <t>2026.03</t>
        </is>
      </c>
      <c r="W4" s="44" t="inlineStr">
        <is>
          <t>2026.06</t>
        </is>
      </c>
      <c r="X4" s="7" t="inlineStr">
        <is>
          <t>2026.09</t>
        </is>
      </c>
      <c r="Y4" s="7" t="inlineStr">
        <is>
          <t>2026.12</t>
        </is>
      </c>
      <c r="Z4" s="7" t="inlineStr">
        <is>
          <t>2027.03</t>
        </is>
      </c>
      <c r="AA4" s="7" t="inlineStr">
        <is>
          <t>2027.06</t>
        </is>
      </c>
      <c r="AB4" s="7" t="inlineStr">
        <is>
          <t>2027.09</t>
        </is>
      </c>
      <c r="AC4" s="7" t="inlineStr">
        <is>
          <t>2027.12</t>
        </is>
      </c>
      <c r="AD4" s="7" t="inlineStr">
        <is>
          <t>2028.03</t>
        </is>
      </c>
      <c r="AE4" s="7" t="inlineStr">
        <is>
          <t>2028.06</t>
        </is>
      </c>
      <c r="AF4" s="7" t="inlineStr">
        <is>
          <t>2028.09</t>
        </is>
      </c>
      <c r="AG4" s="7" t="inlineStr">
        <is>
          <t>2028.12</t>
        </is>
      </c>
    </row>
    <row r="5">
      <c r="A5" s="12" t="inlineStr">
        <is>
          <t>매출액</t>
        </is>
      </c>
      <c r="D5" t="inlineStr">
        <is>
          <t>매출액</t>
        </is>
      </c>
      <c r="E5" s="18">
        <f>IFERROR(VLOOKUP($A5,subQ,MATCH(E$1,SUBQH,0),0),"")</f>
        <v/>
      </c>
      <c r="F5" s="18">
        <f>IFERROR(VLOOKUP($A5,subQ,MATCH(F$1,SUBQH,0),0),"")</f>
        <v/>
      </c>
      <c r="G5" s="18">
        <f>IFERROR(VLOOKUP($A5,subQ,MATCH(G$1,SUBQH,0),0),"")</f>
        <v/>
      </c>
      <c r="H5" s="18">
        <f>IFERROR(VLOOKUP($A5,subQ,MATCH(H$1,SUBQH,0),0),"")</f>
        <v/>
      </c>
      <c r="I5" s="18">
        <f>IFERROR(VLOOKUP($A5,subQ,MATCH(I$1,SUBQH,0),0),"")</f>
        <v/>
      </c>
      <c r="J5" s="18">
        <f>IFERROR(VLOOKUP($A5,subQ,MATCH(J$1,SUBQH,0),0),"")</f>
        <v/>
      </c>
      <c r="K5" s="18">
        <f>IFERROR(VLOOKUP($A5,subQ,MATCH(K$1,SUBQH,0),0),"")</f>
        <v/>
      </c>
      <c r="L5" s="18">
        <f>IFERROR(VLOOKUP($A5,subQ,MATCH(L$1,SUBQH,0),0),"")</f>
        <v/>
      </c>
      <c r="M5" s="18">
        <f>IFERROR(VLOOKUP($A5,subQ,MATCH(M$1,SUBQH,0),0),"")</f>
        <v/>
      </c>
      <c r="N5" s="18">
        <f>IFERROR(VLOOKUP($A5,subQ,MATCH(N$1,SUBQH,0),0),"")</f>
        <v/>
      </c>
      <c r="O5" s="18">
        <f>IFERROR(VLOOKUP($A5,subQ,MATCH(O$1,SUBQH,0),0),"")</f>
        <v/>
      </c>
      <c r="P5" s="18">
        <f>IFERROR(VLOOKUP($A5,subQ,MATCH(P$1,SUBQH,0),0),"")</f>
        <v/>
      </c>
      <c r="Q5" s="18">
        <f>IFERROR(VLOOKUP($A5,subQ,MATCH(Q$1,SUBQH,0),0),"")</f>
        <v/>
      </c>
      <c r="R5" s="18">
        <f>IFERROR(VLOOKUP($A5,subQ,MATCH(R$1,SUBQH,0),0),"")</f>
        <v/>
      </c>
      <c r="S5" s="18">
        <f>IFERROR(VLOOKUP($A5,subQ,MATCH(S$1,SUBQH,0),0),"")</f>
        <v/>
      </c>
      <c r="T5" s="18">
        <f>IFERROR(VLOOKUP($A5,subQ,MATCH(T$1,SUBQH,0),0),"")</f>
        <v/>
      </c>
      <c r="U5" s="18">
        <f>IFERROR(VLOOKUP($A5,subQ,MATCH(U$1,SUBQH,0),0),"")</f>
        <v/>
      </c>
      <c r="V5" s="18">
        <f>IFERROR(VLOOKUP($A5,subQ,MATCH(V$1,SUBQH,0),0),"")</f>
        <v/>
      </c>
      <c r="W5" s="45">
        <f>IFERROR(VLOOKUP($A5,subQ,MATCH(W$1,SUBQH,0),0),"")</f>
        <v/>
      </c>
      <c r="X5" s="20">
        <f>IFERROR(VLOOKUP($A5,subQ,MATCH(X$1,SUBQH,0),0),"")</f>
        <v/>
      </c>
      <c r="Y5" s="20">
        <f>IFERROR(VLOOKUP($A5,subQ,MATCH(Y$1,SUBQH,0),0),"")</f>
        <v/>
      </c>
      <c r="Z5" s="20">
        <f>IFERROR(VLOOKUP($A5,subQ,MATCH(Z$1,SUBQH,0),0),"")</f>
        <v/>
      </c>
      <c r="AA5" s="20">
        <f>IFERROR(VLOOKUP($A5,subQ,MATCH(AA$1,SUBQH,0),0),"")</f>
        <v/>
      </c>
      <c r="AB5" s="20">
        <f>IFERROR(VLOOKUP($A5,subQ,MATCH(AB$1,SUBQH,0),0),"")</f>
        <v/>
      </c>
      <c r="AC5" s="20">
        <f>IFERROR(VLOOKUP($A5,subQ,MATCH(AC$1,SUBQH,0),0),"")</f>
        <v/>
      </c>
      <c r="AD5" s="20">
        <f>IFERROR(VLOOKUP($A5,subQ,MATCH(AD$1,SUBQH,0),0),"")</f>
        <v/>
      </c>
      <c r="AE5" s="20">
        <f>IFERROR(VLOOKUP($A5,subQ,MATCH(AE$1,SUBQH,0),0),"")</f>
        <v/>
      </c>
      <c r="AF5" s="20">
        <f>IFERROR(VLOOKUP($A5,subQ,MATCH(AF$1,SUBQH,0),0),"")</f>
        <v/>
      </c>
      <c r="AG5" s="20">
        <f>IFERROR(VLOOKUP($A5,subQ,MATCH(AG$1,SUBQH,0),0),"")</f>
        <v/>
      </c>
    </row>
    <row r="6">
      <c r="A6" s="12" t="inlineStr">
        <is>
          <t>매출원가</t>
        </is>
      </c>
      <c r="D6" t="inlineStr">
        <is>
          <t>매출원가</t>
        </is>
      </c>
      <c r="E6" s="18">
        <f>IFERROR(VLOOKUP($A6,subQ,MATCH(E$1,SUBQH,0),0),"")</f>
        <v/>
      </c>
      <c r="F6" s="18">
        <f>IFERROR(VLOOKUP($A6,subQ,MATCH(F$1,SUBQH,0),0),"")</f>
        <v/>
      </c>
      <c r="G6" s="18">
        <f>IFERROR(VLOOKUP($A6,subQ,MATCH(G$1,SUBQH,0),0),"")</f>
        <v/>
      </c>
      <c r="H6" s="18">
        <f>IFERROR(VLOOKUP($A6,subQ,MATCH(H$1,SUBQH,0),0),"")</f>
        <v/>
      </c>
      <c r="I6" s="18">
        <f>IFERROR(VLOOKUP($A6,subQ,MATCH(I$1,SUBQH,0),0),"")</f>
        <v/>
      </c>
      <c r="J6" s="18">
        <f>IFERROR(VLOOKUP($A6,subQ,MATCH(J$1,SUBQH,0),0),"")</f>
        <v/>
      </c>
      <c r="K6" s="18">
        <f>IFERROR(VLOOKUP($A6,subQ,MATCH(K$1,SUBQH,0),0),"")</f>
        <v/>
      </c>
      <c r="L6" s="18">
        <f>IFERROR(VLOOKUP($A6,subQ,MATCH(L$1,SUBQH,0),0),"")</f>
        <v/>
      </c>
      <c r="M6" s="18">
        <f>IFERROR(VLOOKUP($A6,subQ,MATCH(M$1,SUBQH,0),0),"")</f>
        <v/>
      </c>
      <c r="N6" s="18">
        <f>IFERROR(VLOOKUP($A6,subQ,MATCH(N$1,SUBQH,0),0),"")</f>
        <v/>
      </c>
      <c r="O6" s="18">
        <f>IFERROR(VLOOKUP($A6,subQ,MATCH(O$1,SUBQH,0),0),"")</f>
        <v/>
      </c>
      <c r="P6" s="18">
        <f>IFERROR(VLOOKUP($A6,subQ,MATCH(P$1,SUBQH,0),0),"")</f>
        <v/>
      </c>
      <c r="Q6" s="18">
        <f>IFERROR(VLOOKUP($A6,subQ,MATCH(Q$1,SUBQH,0),0),"")</f>
        <v/>
      </c>
      <c r="R6" s="18">
        <f>IFERROR(VLOOKUP($A6,subQ,MATCH(R$1,SUBQH,0),0),"")</f>
        <v/>
      </c>
      <c r="S6" s="18">
        <f>IFERROR(VLOOKUP($A6,subQ,MATCH(S$1,SUBQH,0),0),"")</f>
        <v/>
      </c>
      <c r="T6" s="18">
        <f>IFERROR(VLOOKUP($A6,subQ,MATCH(T$1,SUBQH,0),0),"")</f>
        <v/>
      </c>
      <c r="U6" s="18">
        <f>IFERROR(VLOOKUP($A6,subQ,MATCH(U$1,SUBQH,0),0),"")</f>
        <v/>
      </c>
      <c r="V6" s="18">
        <f>IFERROR(VLOOKUP($A6,subQ,MATCH(V$1,SUBQH,0),0),"")</f>
        <v/>
      </c>
      <c r="W6" s="45">
        <f>IFERROR(VLOOKUP($A6,subQ,MATCH(W$1,SUBQH,0),0),"")</f>
        <v/>
      </c>
      <c r="X6" s="20">
        <f>IFERROR(VLOOKUP($A6,subQ,MATCH(X$1,SUBQH,0),0),"")</f>
        <v/>
      </c>
      <c r="Y6" s="20">
        <f>IFERROR(VLOOKUP($A6,subQ,MATCH(Y$1,SUBQH,0),0),"")</f>
        <v/>
      </c>
      <c r="Z6" s="20">
        <f>IFERROR(VLOOKUP($A6,subQ,MATCH(Z$1,SUBQH,0),0),"")</f>
        <v/>
      </c>
      <c r="AA6" s="20">
        <f>IFERROR(VLOOKUP($A6,subQ,MATCH(AA$1,SUBQH,0),0),"")</f>
        <v/>
      </c>
      <c r="AB6" s="20">
        <f>IFERROR(VLOOKUP($A6,subQ,MATCH(AB$1,SUBQH,0),0),"")</f>
        <v/>
      </c>
      <c r="AC6" s="20">
        <f>IFERROR(VLOOKUP($A6,subQ,MATCH(AC$1,SUBQH,0),0),"")</f>
        <v/>
      </c>
      <c r="AD6" s="20">
        <f>IFERROR(VLOOKUP($A6,subQ,MATCH(AD$1,SUBQH,0),0),"")</f>
        <v/>
      </c>
      <c r="AE6" s="20">
        <f>IFERROR(VLOOKUP($A6,subQ,MATCH(AE$1,SUBQH,0),0),"")</f>
        <v/>
      </c>
      <c r="AF6" s="20">
        <f>IFERROR(VLOOKUP($A6,subQ,MATCH(AF$1,SUBQH,0),0),"")</f>
        <v/>
      </c>
      <c r="AG6" s="20">
        <f>IFERROR(VLOOKUP($A6,subQ,MATCH(AG$1,SUBQH,0),0),"")</f>
        <v/>
      </c>
    </row>
    <row r="7">
      <c r="A7" s="12" t="inlineStr">
        <is>
          <t>매출총이익</t>
        </is>
      </c>
      <c r="D7" t="inlineStr">
        <is>
          <t>매출총이익</t>
        </is>
      </c>
      <c r="E7" s="18">
        <f>IFERROR(VLOOKUP($A7,subQ,MATCH(E$1,SUBQH,0),0),"")</f>
        <v/>
      </c>
      <c r="F7" s="18">
        <f>IFERROR(VLOOKUP($A7,subQ,MATCH(F$1,SUBQH,0),0),"")</f>
        <v/>
      </c>
      <c r="G7" s="18">
        <f>IFERROR(VLOOKUP($A7,subQ,MATCH(G$1,SUBQH,0),0),"")</f>
        <v/>
      </c>
      <c r="H7" s="18">
        <f>IFERROR(VLOOKUP($A7,subQ,MATCH(H$1,SUBQH,0),0),"")</f>
        <v/>
      </c>
      <c r="I7" s="18">
        <f>IFERROR(VLOOKUP($A7,subQ,MATCH(I$1,SUBQH,0),0),"")</f>
        <v/>
      </c>
      <c r="J7" s="18">
        <f>IFERROR(VLOOKUP($A7,subQ,MATCH(J$1,SUBQH,0),0),"")</f>
        <v/>
      </c>
      <c r="K7" s="18">
        <f>IFERROR(VLOOKUP($A7,subQ,MATCH(K$1,SUBQH,0),0),"")</f>
        <v/>
      </c>
      <c r="L7" s="18">
        <f>IFERROR(VLOOKUP($A7,subQ,MATCH(L$1,SUBQH,0),0),"")</f>
        <v/>
      </c>
      <c r="M7" s="18">
        <f>IFERROR(VLOOKUP($A7,subQ,MATCH(M$1,SUBQH,0),0),"")</f>
        <v/>
      </c>
      <c r="N7" s="18">
        <f>IFERROR(VLOOKUP($A7,subQ,MATCH(N$1,SUBQH,0),0),"")</f>
        <v/>
      </c>
      <c r="O7" s="18">
        <f>IFERROR(VLOOKUP($A7,subQ,MATCH(O$1,SUBQH,0),0),"")</f>
        <v/>
      </c>
      <c r="P7" s="18">
        <f>IFERROR(VLOOKUP($A7,subQ,MATCH(P$1,SUBQH,0),0),"")</f>
        <v/>
      </c>
      <c r="Q7" s="18">
        <f>IFERROR(VLOOKUP($A7,subQ,MATCH(Q$1,SUBQH,0),0),"")</f>
        <v/>
      </c>
      <c r="R7" s="18">
        <f>IFERROR(VLOOKUP($A7,subQ,MATCH(R$1,SUBQH,0),0),"")</f>
        <v/>
      </c>
      <c r="S7" s="18">
        <f>IFERROR(VLOOKUP($A7,subQ,MATCH(S$1,SUBQH,0),0),"")</f>
        <v/>
      </c>
      <c r="T7" s="18">
        <f>IFERROR(VLOOKUP($A7,subQ,MATCH(T$1,SUBQH,0),0),"")</f>
        <v/>
      </c>
      <c r="U7" s="18">
        <f>IFERROR(VLOOKUP($A7,subQ,MATCH(U$1,SUBQH,0),0),"")</f>
        <v/>
      </c>
      <c r="V7" s="18">
        <f>IFERROR(VLOOKUP($A7,subQ,MATCH(V$1,SUBQH,0),0),"")</f>
        <v/>
      </c>
      <c r="W7" s="45">
        <f>IFERROR(VLOOKUP($A7,subQ,MATCH(W$1,SUBQH,0),0),"")</f>
        <v/>
      </c>
      <c r="X7" s="20">
        <f>IFERROR(VLOOKUP($A7,subQ,MATCH(X$1,SUBQH,0),0),"")</f>
        <v/>
      </c>
      <c r="Y7" s="20">
        <f>IFERROR(VLOOKUP($A7,subQ,MATCH(Y$1,SUBQH,0),0),"")</f>
        <v/>
      </c>
      <c r="Z7" s="20">
        <f>IFERROR(VLOOKUP($A7,subQ,MATCH(Z$1,SUBQH,0),0),"")</f>
        <v/>
      </c>
      <c r="AA7" s="20">
        <f>IFERROR(VLOOKUP($A7,subQ,MATCH(AA$1,SUBQH,0),0),"")</f>
        <v/>
      </c>
      <c r="AB7" s="20">
        <f>IFERROR(VLOOKUP($A7,subQ,MATCH(AB$1,SUBQH,0),0),"")</f>
        <v/>
      </c>
      <c r="AC7" s="20">
        <f>IFERROR(VLOOKUP($A7,subQ,MATCH(AC$1,SUBQH,0),0),"")</f>
        <v/>
      </c>
      <c r="AD7" s="20">
        <f>IFERROR(VLOOKUP($A7,subQ,MATCH(AD$1,SUBQH,0),0),"")</f>
        <v/>
      </c>
      <c r="AE7" s="20">
        <f>IFERROR(VLOOKUP($A7,subQ,MATCH(AE$1,SUBQH,0),0),"")</f>
        <v/>
      </c>
      <c r="AF7" s="20">
        <f>IFERROR(VLOOKUP($A7,subQ,MATCH(AF$1,SUBQH,0),0),"")</f>
        <v/>
      </c>
      <c r="AG7" s="20">
        <f>IFERROR(VLOOKUP($A7,subQ,MATCH(AG$1,SUBQH,0),0),"")</f>
        <v/>
      </c>
    </row>
    <row r="8">
      <c r="A8" s="12" t="inlineStr">
        <is>
          <t>판관비</t>
        </is>
      </c>
      <c r="D8" t="inlineStr">
        <is>
          <t>판매비와관리비</t>
        </is>
      </c>
      <c r="E8" s="18">
        <f>IFERROR(VLOOKUP($A8,subQ,MATCH(E$1,SUBQH,0),0),"")</f>
        <v/>
      </c>
      <c r="F8" s="18">
        <f>IFERROR(VLOOKUP($A8,subQ,MATCH(F$1,SUBQH,0),0),"")</f>
        <v/>
      </c>
      <c r="G8" s="18">
        <f>IFERROR(VLOOKUP($A8,subQ,MATCH(G$1,SUBQH,0),0),"")</f>
        <v/>
      </c>
      <c r="H8" s="18">
        <f>IFERROR(VLOOKUP($A8,subQ,MATCH(H$1,SUBQH,0),0),"")</f>
        <v/>
      </c>
      <c r="I8" s="18">
        <f>IFERROR(VLOOKUP($A8,subQ,MATCH(I$1,SUBQH,0),0),"")</f>
        <v/>
      </c>
      <c r="J8" s="18">
        <f>IFERROR(VLOOKUP($A8,subQ,MATCH(J$1,SUBQH,0),0),"")</f>
        <v/>
      </c>
      <c r="K8" s="18">
        <f>IFERROR(VLOOKUP($A8,subQ,MATCH(K$1,SUBQH,0),0),"")</f>
        <v/>
      </c>
      <c r="L8" s="18">
        <f>IFERROR(VLOOKUP($A8,subQ,MATCH(L$1,SUBQH,0),0),"")</f>
        <v/>
      </c>
      <c r="M8" s="18">
        <f>IFERROR(VLOOKUP($A8,subQ,MATCH(M$1,SUBQH,0),0),"")</f>
        <v/>
      </c>
      <c r="N8" s="18">
        <f>IFERROR(VLOOKUP($A8,subQ,MATCH(N$1,SUBQH,0),0),"")</f>
        <v/>
      </c>
      <c r="O8" s="18">
        <f>IFERROR(VLOOKUP($A8,subQ,MATCH(O$1,SUBQH,0),0),"")</f>
        <v/>
      </c>
      <c r="P8" s="18">
        <f>IFERROR(VLOOKUP($A8,subQ,MATCH(P$1,SUBQH,0),0),"")</f>
        <v/>
      </c>
      <c r="Q8" s="18">
        <f>IFERROR(VLOOKUP($A8,subQ,MATCH(Q$1,SUBQH,0),0),"")</f>
        <v/>
      </c>
      <c r="R8" s="18">
        <f>IFERROR(VLOOKUP($A8,subQ,MATCH(R$1,SUBQH,0),0),"")</f>
        <v/>
      </c>
      <c r="S8" s="18">
        <f>IFERROR(VLOOKUP($A8,subQ,MATCH(S$1,SUBQH,0),0),"")</f>
        <v/>
      </c>
      <c r="T8" s="18">
        <f>IFERROR(VLOOKUP($A8,subQ,MATCH(T$1,SUBQH,0),0),"")</f>
        <v/>
      </c>
      <c r="U8" s="18">
        <f>IFERROR(VLOOKUP($A8,subQ,MATCH(U$1,SUBQH,0),0),"")</f>
        <v/>
      </c>
      <c r="V8" s="18">
        <f>IFERROR(VLOOKUP($A8,subQ,MATCH(V$1,SUBQH,0),0),"")</f>
        <v/>
      </c>
      <c r="W8" s="45">
        <f>IFERROR(VLOOKUP($A8,subQ,MATCH(W$1,SUBQH,0),0),"")</f>
        <v/>
      </c>
      <c r="X8" s="20">
        <f>IFERROR(VLOOKUP($A8,subQ,MATCH(X$1,SUBQH,0),0),"")</f>
        <v/>
      </c>
      <c r="Y8" s="20">
        <f>IFERROR(VLOOKUP($A8,subQ,MATCH(Y$1,SUBQH,0),0),"")</f>
        <v/>
      </c>
      <c r="Z8" s="20">
        <f>IFERROR(VLOOKUP($A8,subQ,MATCH(Z$1,SUBQH,0),0),"")</f>
        <v/>
      </c>
      <c r="AA8" s="20">
        <f>IFERROR(VLOOKUP($A8,subQ,MATCH(AA$1,SUBQH,0),0),"")</f>
        <v/>
      </c>
      <c r="AB8" s="20">
        <f>IFERROR(VLOOKUP($A8,subQ,MATCH(AB$1,SUBQH,0),0),"")</f>
        <v/>
      </c>
      <c r="AC8" s="20">
        <f>IFERROR(VLOOKUP($A8,subQ,MATCH(AC$1,SUBQH,0),0),"")</f>
        <v/>
      </c>
      <c r="AD8" s="20">
        <f>IFERROR(VLOOKUP($A8,subQ,MATCH(AD$1,SUBQH,0),0),"")</f>
        <v/>
      </c>
      <c r="AE8" s="20">
        <f>IFERROR(VLOOKUP($A8,subQ,MATCH(AE$1,SUBQH,0),0),"")</f>
        <v/>
      </c>
      <c r="AF8" s="20">
        <f>IFERROR(VLOOKUP($A8,subQ,MATCH(AF$1,SUBQH,0),0),"")</f>
        <v/>
      </c>
      <c r="AG8" s="20">
        <f>IFERROR(VLOOKUP($A8,subQ,MATCH(AG$1,SUBQH,0),0),"")</f>
        <v/>
      </c>
    </row>
    <row r="9">
      <c r="A9" s="12" t="inlineStr">
        <is>
          <t>영업이익</t>
        </is>
      </c>
      <c r="D9" t="inlineStr">
        <is>
          <t>영업이익</t>
        </is>
      </c>
      <c r="E9" s="18">
        <f>IFERROR(VLOOKUP($A9,subQ,MATCH(E$1,SUBQH,0),0),"")</f>
        <v/>
      </c>
      <c r="F9" s="18">
        <f>IFERROR(VLOOKUP($A9,subQ,MATCH(F$1,SUBQH,0),0),"")</f>
        <v/>
      </c>
      <c r="G9" s="18">
        <f>IFERROR(VLOOKUP($A9,subQ,MATCH(G$1,SUBQH,0),0),"")</f>
        <v/>
      </c>
      <c r="H9" s="18">
        <f>IFERROR(VLOOKUP($A9,subQ,MATCH(H$1,SUBQH,0),0),"")</f>
        <v/>
      </c>
      <c r="I9" s="18">
        <f>IFERROR(VLOOKUP($A9,subQ,MATCH(I$1,SUBQH,0),0),"")</f>
        <v/>
      </c>
      <c r="J9" s="18">
        <f>IFERROR(VLOOKUP($A9,subQ,MATCH(J$1,SUBQH,0),0),"")</f>
        <v/>
      </c>
      <c r="K9" s="18">
        <f>IFERROR(VLOOKUP($A9,subQ,MATCH(K$1,SUBQH,0),0),"")</f>
        <v/>
      </c>
      <c r="L9" s="18">
        <f>IFERROR(VLOOKUP($A9,subQ,MATCH(L$1,SUBQH,0),0),"")</f>
        <v/>
      </c>
      <c r="M9" s="18">
        <f>IFERROR(VLOOKUP($A9,subQ,MATCH(M$1,SUBQH,0),0),"")</f>
        <v/>
      </c>
      <c r="N9" s="18">
        <f>IFERROR(VLOOKUP($A9,subQ,MATCH(N$1,SUBQH,0),0),"")</f>
        <v/>
      </c>
      <c r="O9" s="18">
        <f>IFERROR(VLOOKUP($A9,subQ,MATCH(O$1,SUBQH,0),0),"")</f>
        <v/>
      </c>
      <c r="P9" s="18">
        <f>IFERROR(VLOOKUP($A9,subQ,MATCH(P$1,SUBQH,0),0),"")</f>
        <v/>
      </c>
      <c r="Q9" s="18">
        <f>IFERROR(VLOOKUP($A9,subQ,MATCH(Q$1,SUBQH,0),0),"")</f>
        <v/>
      </c>
      <c r="R9" s="18">
        <f>IFERROR(VLOOKUP($A9,subQ,MATCH(R$1,SUBQH,0),0),"")</f>
        <v/>
      </c>
      <c r="S9" s="18">
        <f>IFERROR(VLOOKUP($A9,subQ,MATCH(S$1,SUBQH,0),0),"")</f>
        <v/>
      </c>
      <c r="T9" s="18">
        <f>IFERROR(VLOOKUP($A9,subQ,MATCH(T$1,SUBQH,0),0),"")</f>
        <v/>
      </c>
      <c r="U9" s="18">
        <f>IFERROR(VLOOKUP($A9,subQ,MATCH(U$1,SUBQH,0),0),"")</f>
        <v/>
      </c>
      <c r="V9" s="18">
        <f>IFERROR(VLOOKUP($A9,subQ,MATCH(V$1,SUBQH,0),0),"")</f>
        <v/>
      </c>
      <c r="W9" s="45">
        <f>IFERROR(VLOOKUP($A9,subQ,MATCH(W$1,SUBQH,0),0),"")</f>
        <v/>
      </c>
      <c r="X9" s="20">
        <f>IFERROR(VLOOKUP($A9,subQ,MATCH(X$1,SUBQH,0),0),"")</f>
        <v/>
      </c>
      <c r="Y9" s="20">
        <f>IFERROR(VLOOKUP($A9,subQ,MATCH(Y$1,SUBQH,0),0),"")</f>
        <v/>
      </c>
      <c r="Z9" s="20">
        <f>IFERROR(VLOOKUP($A9,subQ,MATCH(Z$1,SUBQH,0),0),"")</f>
        <v/>
      </c>
      <c r="AA9" s="20">
        <f>IFERROR(VLOOKUP($A9,subQ,MATCH(AA$1,SUBQH,0),0),"")</f>
        <v/>
      </c>
      <c r="AB9" s="20">
        <f>IFERROR(VLOOKUP($A9,subQ,MATCH(AB$1,SUBQH,0),0),"")</f>
        <v/>
      </c>
      <c r="AC9" s="20">
        <f>IFERROR(VLOOKUP($A9,subQ,MATCH(AC$1,SUBQH,0),0),"")</f>
        <v/>
      </c>
      <c r="AD9" s="20">
        <f>IFERROR(VLOOKUP($A9,subQ,MATCH(AD$1,SUBQH,0),0),"")</f>
        <v/>
      </c>
      <c r="AE9" s="20">
        <f>IFERROR(VLOOKUP($A9,subQ,MATCH(AE$1,SUBQH,0),0),"")</f>
        <v/>
      </c>
      <c r="AF9" s="20">
        <f>IFERROR(VLOOKUP($A9,subQ,MATCH(AF$1,SUBQH,0),0),"")</f>
        <v/>
      </c>
      <c r="AG9" s="20">
        <f>IFERROR(VLOOKUP($A9,subQ,MATCH(AG$1,SUBQH,0),0),"")</f>
        <v/>
      </c>
    </row>
    <row r="10">
      <c r="A10" s="12" t="inlineStr">
        <is>
          <t>OPM</t>
        </is>
      </c>
      <c r="D10" t="inlineStr">
        <is>
          <t>영업이익률</t>
        </is>
      </c>
      <c r="E10" s="21">
        <f>IFERROR(VLOOKUP($A10,subQ,MATCH(E$1,SUBQH,0),0),"")</f>
        <v/>
      </c>
      <c r="F10" s="21">
        <f>IFERROR(VLOOKUP($A10,subQ,MATCH(F$1,SUBQH,0),0),"")</f>
        <v/>
      </c>
      <c r="G10" s="21">
        <f>IFERROR(VLOOKUP($A10,subQ,MATCH(G$1,SUBQH,0),0),"")</f>
        <v/>
      </c>
      <c r="H10" s="21">
        <f>IFERROR(VLOOKUP($A10,subQ,MATCH(H$1,SUBQH,0),0),"")</f>
        <v/>
      </c>
      <c r="I10" s="21">
        <f>IFERROR(VLOOKUP($A10,subQ,MATCH(I$1,SUBQH,0),0),"")</f>
        <v/>
      </c>
      <c r="J10" s="21">
        <f>IFERROR(VLOOKUP($A10,subQ,MATCH(J$1,SUBQH,0),0),"")</f>
        <v/>
      </c>
      <c r="K10" s="21">
        <f>IFERROR(VLOOKUP($A10,subQ,MATCH(K$1,SUBQH,0),0),"")</f>
        <v/>
      </c>
      <c r="L10" s="21">
        <f>IFERROR(VLOOKUP($A10,subQ,MATCH(L$1,SUBQH,0),0),"")</f>
        <v/>
      </c>
      <c r="M10" s="21">
        <f>IFERROR(VLOOKUP($A10,subQ,MATCH(M$1,SUBQH,0),0),"")</f>
        <v/>
      </c>
      <c r="N10" s="21">
        <f>IFERROR(VLOOKUP($A10,subQ,MATCH(N$1,SUBQH,0),0),"")</f>
        <v/>
      </c>
      <c r="O10" s="21">
        <f>IFERROR(VLOOKUP($A10,subQ,MATCH(O$1,SUBQH,0),0),"")</f>
        <v/>
      </c>
      <c r="P10" s="21">
        <f>IFERROR(VLOOKUP($A10,subQ,MATCH(P$1,SUBQH,0),0),"")</f>
        <v/>
      </c>
      <c r="Q10" s="21">
        <f>IFERROR(VLOOKUP($A10,subQ,MATCH(Q$1,SUBQH,0),0),"")</f>
        <v/>
      </c>
      <c r="R10" s="21">
        <f>IFERROR(VLOOKUP($A10,subQ,MATCH(R$1,SUBQH,0),0),"")</f>
        <v/>
      </c>
      <c r="S10" s="21">
        <f>IFERROR(VLOOKUP($A10,subQ,MATCH(S$1,SUBQH,0),0),"")</f>
        <v/>
      </c>
      <c r="T10" s="21">
        <f>IFERROR(VLOOKUP($A10,subQ,MATCH(T$1,SUBQH,0),0),"")</f>
        <v/>
      </c>
      <c r="U10" s="21">
        <f>IFERROR(VLOOKUP($A10,subQ,MATCH(U$1,SUBQH,0),0),"")</f>
        <v/>
      </c>
      <c r="V10" s="21">
        <f>IFERROR(VLOOKUP($A10,subQ,MATCH(V$1,SUBQH,0),0),"")</f>
        <v/>
      </c>
      <c r="W10" s="46">
        <f>IFERROR(VLOOKUP($A10,subQ,MATCH(W$1,SUBQH,0),0),"")</f>
        <v/>
      </c>
      <c r="X10" s="32">
        <f>IFERROR(VLOOKUP($A10,subQ,MATCH(X$1,SUBQH,0),0),"")</f>
        <v/>
      </c>
      <c r="Y10" s="32">
        <f>IFERROR(VLOOKUP($A10,subQ,MATCH(Y$1,SUBQH,0),0),"")</f>
        <v/>
      </c>
      <c r="Z10" s="32">
        <f>IFERROR(VLOOKUP($A10,subQ,MATCH(Z$1,SUBQH,0),0),"")</f>
        <v/>
      </c>
      <c r="AA10" s="32">
        <f>IFERROR(VLOOKUP($A10,subQ,MATCH(AA$1,SUBQH,0),0),"")</f>
        <v/>
      </c>
      <c r="AB10" s="32">
        <f>IFERROR(VLOOKUP($A10,subQ,MATCH(AB$1,SUBQH,0),0),"")</f>
        <v/>
      </c>
      <c r="AC10" s="32">
        <f>IFERROR(VLOOKUP($A10,subQ,MATCH(AC$1,SUBQH,0),0),"")</f>
        <v/>
      </c>
      <c r="AD10" s="32">
        <f>IFERROR(VLOOKUP($A10,subQ,MATCH(AD$1,SUBQH,0),0),"")</f>
        <v/>
      </c>
      <c r="AE10" s="32">
        <f>IFERROR(VLOOKUP($A10,subQ,MATCH(AE$1,SUBQH,0),0),"")</f>
        <v/>
      </c>
      <c r="AF10" s="32">
        <f>IFERROR(VLOOKUP($A10,subQ,MATCH(AF$1,SUBQH,0),0),"")</f>
        <v/>
      </c>
      <c r="AG10" s="32">
        <f>IFERROR(VLOOKUP($A10,subQ,MATCH(AG$1,SUBQH,0),0),"")</f>
        <v/>
      </c>
    </row>
    <row r="11">
      <c r="A11" s="12" t="inlineStr">
        <is>
          <t>금융손익</t>
        </is>
      </c>
      <c r="D11" t="inlineStr">
        <is>
          <t>금융손익(이자·환 포함)</t>
        </is>
      </c>
      <c r="E11" s="18">
        <f>IFERROR(VLOOKUP($A11,subQ,MATCH(E$1,SUBQH,0),0),"")</f>
        <v/>
      </c>
      <c r="F11" s="18">
        <f>IFERROR(VLOOKUP($A11,subQ,MATCH(F$1,SUBQH,0),0),"")</f>
        <v/>
      </c>
      <c r="G11" s="18">
        <f>IFERROR(VLOOKUP($A11,subQ,MATCH(G$1,SUBQH,0),0),"")</f>
        <v/>
      </c>
      <c r="H11" s="18">
        <f>IFERROR(VLOOKUP($A11,subQ,MATCH(H$1,SUBQH,0),0),"")</f>
        <v/>
      </c>
      <c r="I11" s="18">
        <f>IFERROR(VLOOKUP($A11,subQ,MATCH(I$1,SUBQH,0),0),"")</f>
        <v/>
      </c>
      <c r="J11" s="18">
        <f>IFERROR(VLOOKUP($A11,subQ,MATCH(J$1,SUBQH,0),0),"")</f>
        <v/>
      </c>
      <c r="K11" s="18">
        <f>IFERROR(VLOOKUP($A11,subQ,MATCH(K$1,SUBQH,0),0),"")</f>
        <v/>
      </c>
      <c r="L11" s="18">
        <f>IFERROR(VLOOKUP($A11,subQ,MATCH(L$1,SUBQH,0),0),"")</f>
        <v/>
      </c>
      <c r="M11" s="18">
        <f>IFERROR(VLOOKUP($A11,subQ,MATCH(M$1,SUBQH,0),0),"")</f>
        <v/>
      </c>
      <c r="N11" s="18">
        <f>IFERROR(VLOOKUP($A11,subQ,MATCH(N$1,SUBQH,0),0),"")</f>
        <v/>
      </c>
      <c r="O11" s="18">
        <f>IFERROR(VLOOKUP($A11,subQ,MATCH(O$1,SUBQH,0),0),"")</f>
        <v/>
      </c>
      <c r="P11" s="18">
        <f>IFERROR(VLOOKUP($A11,subQ,MATCH(P$1,SUBQH,0),0),"")</f>
        <v/>
      </c>
      <c r="Q11" s="18">
        <f>IFERROR(VLOOKUP($A11,subQ,MATCH(Q$1,SUBQH,0),0),"")</f>
        <v/>
      </c>
      <c r="R11" s="18">
        <f>IFERROR(VLOOKUP($A11,subQ,MATCH(R$1,SUBQH,0),0),"")</f>
        <v/>
      </c>
      <c r="S11" s="18">
        <f>IFERROR(VLOOKUP($A11,subQ,MATCH(S$1,SUBQH,0),0),"")</f>
        <v/>
      </c>
      <c r="T11" s="18">
        <f>IFERROR(VLOOKUP($A11,subQ,MATCH(T$1,SUBQH,0),0),"")</f>
        <v/>
      </c>
      <c r="U11" s="18">
        <f>IFERROR(VLOOKUP($A11,subQ,MATCH(U$1,SUBQH,0),0),"")</f>
        <v/>
      </c>
      <c r="V11" s="18">
        <f>IFERROR(VLOOKUP($A11,subQ,MATCH(V$1,SUBQH,0),0),"")</f>
        <v/>
      </c>
      <c r="W11" s="45">
        <f>IFERROR(VLOOKUP($A11,subQ,MATCH(W$1,SUBQH,0),0),"")</f>
        <v/>
      </c>
      <c r="X11" s="20">
        <f>IFERROR(VLOOKUP($A11,subQ,MATCH(X$1,SUBQH,0),0),"")</f>
        <v/>
      </c>
      <c r="Y11" s="20">
        <f>IFERROR(VLOOKUP($A11,subQ,MATCH(Y$1,SUBQH,0),0),"")</f>
        <v/>
      </c>
      <c r="Z11" s="20">
        <f>IFERROR(VLOOKUP($A11,subQ,MATCH(Z$1,SUBQH,0),0),"")</f>
        <v/>
      </c>
      <c r="AA11" s="20">
        <f>IFERROR(VLOOKUP($A11,subQ,MATCH(AA$1,SUBQH,0),0),"")</f>
        <v/>
      </c>
      <c r="AB11" s="20">
        <f>IFERROR(VLOOKUP($A11,subQ,MATCH(AB$1,SUBQH,0),0),"")</f>
        <v/>
      </c>
      <c r="AC11" s="20">
        <f>IFERROR(VLOOKUP($A11,subQ,MATCH(AC$1,SUBQH,0),0),"")</f>
        <v/>
      </c>
      <c r="AD11" s="20">
        <f>IFERROR(VLOOKUP($A11,subQ,MATCH(AD$1,SUBQH,0),0),"")</f>
        <v/>
      </c>
      <c r="AE11" s="20">
        <f>IFERROR(VLOOKUP($A11,subQ,MATCH(AE$1,SUBQH,0),0),"")</f>
        <v/>
      </c>
      <c r="AF11" s="20">
        <f>IFERROR(VLOOKUP($A11,subQ,MATCH(AF$1,SUBQH,0),0),"")</f>
        <v/>
      </c>
      <c r="AG11" s="20">
        <f>IFERROR(VLOOKUP($A11,subQ,MATCH(AG$1,SUBQH,0),0),"")</f>
        <v/>
      </c>
    </row>
    <row r="12">
      <c r="A12" s="12" t="inlineStr">
        <is>
          <t>이자손익</t>
        </is>
      </c>
      <c r="D12" t="inlineStr">
        <is>
          <t>이자손익(이자수익 − 이자비용)</t>
        </is>
      </c>
      <c r="E12" s="18">
        <f>IFERROR(VLOOKUP($A12,subQ,MATCH(E$1,SUBQH,0),0),"")</f>
        <v/>
      </c>
      <c r="F12" s="18">
        <f>IFERROR(VLOOKUP($A12,subQ,MATCH(F$1,SUBQH,0),0),"")</f>
        <v/>
      </c>
      <c r="G12" s="18">
        <f>IFERROR(VLOOKUP($A12,subQ,MATCH(G$1,SUBQH,0),0),"")</f>
        <v/>
      </c>
      <c r="H12" s="18">
        <f>IFERROR(VLOOKUP($A12,subQ,MATCH(H$1,SUBQH,0),0),"")</f>
        <v/>
      </c>
      <c r="I12" s="18">
        <f>IFERROR(VLOOKUP($A12,subQ,MATCH(I$1,SUBQH,0),0),"")</f>
        <v/>
      </c>
      <c r="J12" s="18">
        <f>IFERROR(VLOOKUP($A12,subQ,MATCH(J$1,SUBQH,0),0),"")</f>
        <v/>
      </c>
      <c r="K12" s="18">
        <f>IFERROR(VLOOKUP($A12,subQ,MATCH(K$1,SUBQH,0),0),"")</f>
        <v/>
      </c>
      <c r="L12" s="18">
        <f>IFERROR(VLOOKUP($A12,subQ,MATCH(L$1,SUBQH,0),0),"")</f>
        <v/>
      </c>
      <c r="M12" s="18">
        <f>IFERROR(VLOOKUP($A12,subQ,MATCH(M$1,SUBQH,0),0),"")</f>
        <v/>
      </c>
      <c r="N12" s="18">
        <f>IFERROR(VLOOKUP($A12,subQ,MATCH(N$1,SUBQH,0),0),"")</f>
        <v/>
      </c>
      <c r="O12" s="18">
        <f>IFERROR(VLOOKUP($A12,subQ,MATCH(O$1,SUBQH,0),0),"")</f>
        <v/>
      </c>
      <c r="P12" s="18">
        <f>IFERROR(VLOOKUP($A12,subQ,MATCH(P$1,SUBQH,0),0),"")</f>
        <v/>
      </c>
      <c r="Q12" s="18">
        <f>IFERROR(VLOOKUP($A12,subQ,MATCH(Q$1,SUBQH,0),0),"")</f>
        <v/>
      </c>
      <c r="R12" s="18">
        <f>IFERROR(VLOOKUP($A12,subQ,MATCH(R$1,SUBQH,0),0),"")</f>
        <v/>
      </c>
      <c r="S12" s="18">
        <f>IFERROR(VLOOKUP($A12,subQ,MATCH(S$1,SUBQH,0),0),"")</f>
        <v/>
      </c>
      <c r="T12" s="18">
        <f>IFERROR(VLOOKUP($A12,subQ,MATCH(T$1,SUBQH,0),0),"")</f>
        <v/>
      </c>
      <c r="U12" s="18">
        <f>IFERROR(VLOOKUP($A12,subQ,MATCH(U$1,SUBQH,0),0),"")</f>
        <v/>
      </c>
      <c r="V12" s="18">
        <f>IFERROR(VLOOKUP($A12,subQ,MATCH(V$1,SUBQH,0),0),"")</f>
        <v/>
      </c>
      <c r="W12" s="45">
        <f>IFERROR(VLOOKUP($A12,subQ,MATCH(W$1,SUBQH,0),0),"")</f>
        <v/>
      </c>
      <c r="X12" s="20">
        <f>IFERROR(VLOOKUP($A12,subQ,MATCH(X$1,SUBQH,0),0),"")</f>
        <v/>
      </c>
      <c r="Y12" s="20">
        <f>IFERROR(VLOOKUP($A12,subQ,MATCH(Y$1,SUBQH,0),0),"")</f>
        <v/>
      </c>
      <c r="Z12" s="20">
        <f>IFERROR(VLOOKUP($A12,subQ,MATCH(Z$1,SUBQH,0),0),"")</f>
        <v/>
      </c>
      <c r="AA12" s="20">
        <f>IFERROR(VLOOKUP($A12,subQ,MATCH(AA$1,SUBQH,0),0),"")</f>
        <v/>
      </c>
      <c r="AB12" s="20">
        <f>IFERROR(VLOOKUP($A12,subQ,MATCH(AB$1,SUBQH,0),0),"")</f>
        <v/>
      </c>
      <c r="AC12" s="20">
        <f>IFERROR(VLOOKUP($A12,subQ,MATCH(AC$1,SUBQH,0),0),"")</f>
        <v/>
      </c>
      <c r="AD12" s="20">
        <f>IFERROR(VLOOKUP($A12,subQ,MATCH(AD$1,SUBQH,0),0),"")</f>
        <v/>
      </c>
      <c r="AE12" s="20">
        <f>IFERROR(VLOOKUP($A12,subQ,MATCH(AE$1,SUBQH,0),0),"")</f>
        <v/>
      </c>
      <c r="AF12" s="20">
        <f>IFERROR(VLOOKUP($A12,subQ,MATCH(AF$1,SUBQH,0),0),"")</f>
        <v/>
      </c>
      <c r="AG12" s="20">
        <f>IFERROR(VLOOKUP($A12,subQ,MATCH(AG$1,SUBQH,0),0),"")</f>
        <v/>
      </c>
    </row>
    <row r="13">
      <c r="A13" s="12" t="inlineStr">
        <is>
          <t>기타영업외손익</t>
        </is>
      </c>
      <c r="D13" t="inlineStr">
        <is>
          <t>기타영업외손익</t>
        </is>
      </c>
      <c r="E13" s="18">
        <f>IFERROR(VLOOKUP($A13,subQ,MATCH(E$1,SUBQH,0),0),"")</f>
        <v/>
      </c>
      <c r="F13" s="18">
        <f>IFERROR(VLOOKUP($A13,subQ,MATCH(F$1,SUBQH,0),0),"")</f>
        <v/>
      </c>
      <c r="G13" s="18">
        <f>IFERROR(VLOOKUP($A13,subQ,MATCH(G$1,SUBQH,0),0),"")</f>
        <v/>
      </c>
      <c r="H13" s="18">
        <f>IFERROR(VLOOKUP($A13,subQ,MATCH(H$1,SUBQH,0),0),"")</f>
        <v/>
      </c>
      <c r="I13" s="18">
        <f>IFERROR(VLOOKUP($A13,subQ,MATCH(I$1,SUBQH,0),0),"")</f>
        <v/>
      </c>
      <c r="J13" s="18">
        <f>IFERROR(VLOOKUP($A13,subQ,MATCH(J$1,SUBQH,0),0),"")</f>
        <v/>
      </c>
      <c r="K13" s="18">
        <f>IFERROR(VLOOKUP($A13,subQ,MATCH(K$1,SUBQH,0),0),"")</f>
        <v/>
      </c>
      <c r="L13" s="18">
        <f>IFERROR(VLOOKUP($A13,subQ,MATCH(L$1,SUBQH,0),0),"")</f>
        <v/>
      </c>
      <c r="M13" s="18">
        <f>IFERROR(VLOOKUP($A13,subQ,MATCH(M$1,SUBQH,0),0),"")</f>
        <v/>
      </c>
      <c r="N13" s="18">
        <f>IFERROR(VLOOKUP($A13,subQ,MATCH(N$1,SUBQH,0),0),"")</f>
        <v/>
      </c>
      <c r="O13" s="18">
        <f>IFERROR(VLOOKUP($A13,subQ,MATCH(O$1,SUBQH,0),0),"")</f>
        <v/>
      </c>
      <c r="P13" s="18">
        <f>IFERROR(VLOOKUP($A13,subQ,MATCH(P$1,SUBQH,0),0),"")</f>
        <v/>
      </c>
      <c r="Q13" s="18">
        <f>IFERROR(VLOOKUP($A13,subQ,MATCH(Q$1,SUBQH,0),0),"")</f>
        <v/>
      </c>
      <c r="R13" s="18">
        <f>IFERROR(VLOOKUP($A13,subQ,MATCH(R$1,SUBQH,0),0),"")</f>
        <v/>
      </c>
      <c r="S13" s="18">
        <f>IFERROR(VLOOKUP($A13,subQ,MATCH(S$1,SUBQH,0),0),"")</f>
        <v/>
      </c>
      <c r="T13" s="18">
        <f>IFERROR(VLOOKUP($A13,subQ,MATCH(T$1,SUBQH,0),0),"")</f>
        <v/>
      </c>
      <c r="U13" s="18">
        <f>IFERROR(VLOOKUP($A13,subQ,MATCH(U$1,SUBQH,0),0),"")</f>
        <v/>
      </c>
      <c r="V13" s="18">
        <f>IFERROR(VLOOKUP($A13,subQ,MATCH(V$1,SUBQH,0),0),"")</f>
        <v/>
      </c>
      <c r="W13" s="45">
        <f>IFERROR(VLOOKUP($A13,subQ,MATCH(W$1,SUBQH,0),0),"")</f>
        <v/>
      </c>
      <c r="X13" s="20">
        <f>IFERROR(VLOOKUP($A13,subQ,MATCH(X$1,SUBQH,0),0),"")</f>
        <v/>
      </c>
      <c r="Y13" s="20">
        <f>IFERROR(VLOOKUP($A13,subQ,MATCH(Y$1,SUBQH,0),0),"")</f>
        <v/>
      </c>
      <c r="Z13" s="20">
        <f>IFERROR(VLOOKUP($A13,subQ,MATCH(Z$1,SUBQH,0),0),"")</f>
        <v/>
      </c>
      <c r="AA13" s="20">
        <f>IFERROR(VLOOKUP($A13,subQ,MATCH(AA$1,SUBQH,0),0),"")</f>
        <v/>
      </c>
      <c r="AB13" s="20">
        <f>IFERROR(VLOOKUP($A13,subQ,MATCH(AB$1,SUBQH,0),0),"")</f>
        <v/>
      </c>
      <c r="AC13" s="20">
        <f>IFERROR(VLOOKUP($A13,subQ,MATCH(AC$1,SUBQH,0),0),"")</f>
        <v/>
      </c>
      <c r="AD13" s="20">
        <f>IFERROR(VLOOKUP($A13,subQ,MATCH(AD$1,SUBQH,0),0),"")</f>
        <v/>
      </c>
      <c r="AE13" s="20">
        <f>IFERROR(VLOOKUP($A13,subQ,MATCH(AE$1,SUBQH,0),0),"")</f>
        <v/>
      </c>
      <c r="AF13" s="20">
        <f>IFERROR(VLOOKUP($A13,subQ,MATCH(AF$1,SUBQH,0),0),"")</f>
        <v/>
      </c>
      <c r="AG13" s="20">
        <f>IFERROR(VLOOKUP($A13,subQ,MATCH(AG$1,SUBQH,0),0),"")</f>
        <v/>
      </c>
    </row>
    <row r="14">
      <c r="A14" s="12" t="inlineStr">
        <is>
          <t>지분법손익</t>
        </is>
      </c>
      <c r="D14" t="inlineStr">
        <is>
          <t>지분법손익</t>
        </is>
      </c>
      <c r="E14" s="18">
        <f>IFERROR(VLOOKUP($A14,subQ,MATCH(E$1,SUBQH,0),0),"")</f>
        <v/>
      </c>
      <c r="F14" s="18">
        <f>IFERROR(VLOOKUP($A14,subQ,MATCH(F$1,SUBQH,0),0),"")</f>
        <v/>
      </c>
      <c r="G14" s="18">
        <f>IFERROR(VLOOKUP($A14,subQ,MATCH(G$1,SUBQH,0),0),"")</f>
        <v/>
      </c>
      <c r="H14" s="18">
        <f>IFERROR(VLOOKUP($A14,subQ,MATCH(H$1,SUBQH,0),0),"")</f>
        <v/>
      </c>
      <c r="I14" s="18">
        <f>IFERROR(VLOOKUP($A14,subQ,MATCH(I$1,SUBQH,0),0),"")</f>
        <v/>
      </c>
      <c r="J14" s="18">
        <f>IFERROR(VLOOKUP($A14,subQ,MATCH(J$1,SUBQH,0),0),"")</f>
        <v/>
      </c>
      <c r="K14" s="18">
        <f>IFERROR(VLOOKUP($A14,subQ,MATCH(K$1,SUBQH,0),0),"")</f>
        <v/>
      </c>
      <c r="L14" s="18">
        <f>IFERROR(VLOOKUP($A14,subQ,MATCH(L$1,SUBQH,0),0),"")</f>
        <v/>
      </c>
      <c r="M14" s="18">
        <f>IFERROR(VLOOKUP($A14,subQ,MATCH(M$1,SUBQH,0),0),"")</f>
        <v/>
      </c>
      <c r="N14" s="18">
        <f>IFERROR(VLOOKUP($A14,subQ,MATCH(N$1,SUBQH,0),0),"")</f>
        <v/>
      </c>
      <c r="O14" s="18">
        <f>IFERROR(VLOOKUP($A14,subQ,MATCH(O$1,SUBQH,0),0),"")</f>
        <v/>
      </c>
      <c r="P14" s="18">
        <f>IFERROR(VLOOKUP($A14,subQ,MATCH(P$1,SUBQH,0),0),"")</f>
        <v/>
      </c>
      <c r="Q14" s="18">
        <f>IFERROR(VLOOKUP($A14,subQ,MATCH(Q$1,SUBQH,0),0),"")</f>
        <v/>
      </c>
      <c r="R14" s="18">
        <f>IFERROR(VLOOKUP($A14,subQ,MATCH(R$1,SUBQH,0),0),"")</f>
        <v/>
      </c>
      <c r="S14" s="18">
        <f>IFERROR(VLOOKUP($A14,subQ,MATCH(S$1,SUBQH,0),0),"")</f>
        <v/>
      </c>
      <c r="T14" s="18">
        <f>IFERROR(VLOOKUP($A14,subQ,MATCH(T$1,SUBQH,0),0),"")</f>
        <v/>
      </c>
      <c r="U14" s="18">
        <f>IFERROR(VLOOKUP($A14,subQ,MATCH(U$1,SUBQH,0),0),"")</f>
        <v/>
      </c>
      <c r="V14" s="18">
        <f>IFERROR(VLOOKUP($A14,subQ,MATCH(V$1,SUBQH,0),0),"")</f>
        <v/>
      </c>
      <c r="W14" s="45">
        <f>IFERROR(VLOOKUP($A14,subQ,MATCH(W$1,SUBQH,0),0),"")</f>
        <v/>
      </c>
      <c r="X14" s="20">
        <f>IFERROR(VLOOKUP($A14,subQ,MATCH(X$1,SUBQH,0),0),"")</f>
        <v/>
      </c>
      <c r="Y14" s="20">
        <f>IFERROR(VLOOKUP($A14,subQ,MATCH(Y$1,SUBQH,0),0),"")</f>
        <v/>
      </c>
      <c r="Z14" s="20">
        <f>IFERROR(VLOOKUP($A14,subQ,MATCH(Z$1,SUBQH,0),0),"")</f>
        <v/>
      </c>
      <c r="AA14" s="20">
        <f>IFERROR(VLOOKUP($A14,subQ,MATCH(AA$1,SUBQH,0),0),"")</f>
        <v/>
      </c>
      <c r="AB14" s="20">
        <f>IFERROR(VLOOKUP($A14,subQ,MATCH(AB$1,SUBQH,0),0),"")</f>
        <v/>
      </c>
      <c r="AC14" s="20">
        <f>IFERROR(VLOOKUP($A14,subQ,MATCH(AC$1,SUBQH,0),0),"")</f>
        <v/>
      </c>
      <c r="AD14" s="20">
        <f>IFERROR(VLOOKUP($A14,subQ,MATCH(AD$1,SUBQH,0),0),"")</f>
        <v/>
      </c>
      <c r="AE14" s="20">
        <f>IFERROR(VLOOKUP($A14,subQ,MATCH(AE$1,SUBQH,0),0),"")</f>
        <v/>
      </c>
      <c r="AF14" s="20">
        <f>IFERROR(VLOOKUP($A14,subQ,MATCH(AF$1,SUBQH,0),0),"")</f>
        <v/>
      </c>
      <c r="AG14" s="20">
        <f>IFERROR(VLOOKUP($A14,subQ,MATCH(AG$1,SUBQH,0),0),"")</f>
        <v/>
      </c>
    </row>
    <row r="15">
      <c r="A15" s="12" t="inlineStr">
        <is>
          <t>세전이익</t>
        </is>
      </c>
      <c r="D15" t="inlineStr">
        <is>
          <t>법인세비용차감전이익</t>
        </is>
      </c>
      <c r="E15" s="18">
        <f>IFERROR(VLOOKUP($A15,subQ,MATCH(E$1,SUBQH,0),0),"")</f>
        <v/>
      </c>
      <c r="F15" s="18">
        <f>IFERROR(VLOOKUP($A15,subQ,MATCH(F$1,SUBQH,0),0),"")</f>
        <v/>
      </c>
      <c r="G15" s="18">
        <f>IFERROR(VLOOKUP($A15,subQ,MATCH(G$1,SUBQH,0),0),"")</f>
        <v/>
      </c>
      <c r="H15" s="18">
        <f>IFERROR(VLOOKUP($A15,subQ,MATCH(H$1,SUBQH,0),0),"")</f>
        <v/>
      </c>
      <c r="I15" s="18">
        <f>IFERROR(VLOOKUP($A15,subQ,MATCH(I$1,SUBQH,0),0),"")</f>
        <v/>
      </c>
      <c r="J15" s="18">
        <f>IFERROR(VLOOKUP($A15,subQ,MATCH(J$1,SUBQH,0),0),"")</f>
        <v/>
      </c>
      <c r="K15" s="18">
        <f>IFERROR(VLOOKUP($A15,subQ,MATCH(K$1,SUBQH,0),0),"")</f>
        <v/>
      </c>
      <c r="L15" s="18">
        <f>IFERROR(VLOOKUP($A15,subQ,MATCH(L$1,SUBQH,0),0),"")</f>
        <v/>
      </c>
      <c r="M15" s="18">
        <f>IFERROR(VLOOKUP($A15,subQ,MATCH(M$1,SUBQH,0),0),"")</f>
        <v/>
      </c>
      <c r="N15" s="18">
        <f>IFERROR(VLOOKUP($A15,subQ,MATCH(N$1,SUBQH,0),0),"")</f>
        <v/>
      </c>
      <c r="O15" s="18">
        <f>IFERROR(VLOOKUP($A15,subQ,MATCH(O$1,SUBQH,0),0),"")</f>
        <v/>
      </c>
      <c r="P15" s="18">
        <f>IFERROR(VLOOKUP($A15,subQ,MATCH(P$1,SUBQH,0),0),"")</f>
        <v/>
      </c>
      <c r="Q15" s="18">
        <f>IFERROR(VLOOKUP($A15,subQ,MATCH(Q$1,SUBQH,0),0),"")</f>
        <v/>
      </c>
      <c r="R15" s="18">
        <f>IFERROR(VLOOKUP($A15,subQ,MATCH(R$1,SUBQH,0),0),"")</f>
        <v/>
      </c>
      <c r="S15" s="18">
        <f>IFERROR(VLOOKUP($A15,subQ,MATCH(S$1,SUBQH,0),0),"")</f>
        <v/>
      </c>
      <c r="T15" s="18">
        <f>IFERROR(VLOOKUP($A15,subQ,MATCH(T$1,SUBQH,0),0),"")</f>
        <v/>
      </c>
      <c r="U15" s="18">
        <f>IFERROR(VLOOKUP($A15,subQ,MATCH(U$1,SUBQH,0),0),"")</f>
        <v/>
      </c>
      <c r="V15" s="18">
        <f>IFERROR(VLOOKUP($A15,subQ,MATCH(V$1,SUBQH,0),0),"")</f>
        <v/>
      </c>
      <c r="W15" s="45">
        <f>IFERROR(VLOOKUP($A15,subQ,MATCH(W$1,SUBQH,0),0),"")</f>
        <v/>
      </c>
      <c r="X15" s="20">
        <f>IFERROR(VLOOKUP($A15,subQ,MATCH(X$1,SUBQH,0),0),"")</f>
        <v/>
      </c>
      <c r="Y15" s="20">
        <f>IFERROR(VLOOKUP($A15,subQ,MATCH(Y$1,SUBQH,0),0),"")</f>
        <v/>
      </c>
      <c r="Z15" s="20">
        <f>IFERROR(VLOOKUP($A15,subQ,MATCH(Z$1,SUBQH,0),0),"")</f>
        <v/>
      </c>
      <c r="AA15" s="20">
        <f>IFERROR(VLOOKUP($A15,subQ,MATCH(AA$1,SUBQH,0),0),"")</f>
        <v/>
      </c>
      <c r="AB15" s="20">
        <f>IFERROR(VLOOKUP($A15,subQ,MATCH(AB$1,SUBQH,0),0),"")</f>
        <v/>
      </c>
      <c r="AC15" s="20">
        <f>IFERROR(VLOOKUP($A15,subQ,MATCH(AC$1,SUBQH,0),0),"")</f>
        <v/>
      </c>
      <c r="AD15" s="20">
        <f>IFERROR(VLOOKUP($A15,subQ,MATCH(AD$1,SUBQH,0),0),"")</f>
        <v/>
      </c>
      <c r="AE15" s="20">
        <f>IFERROR(VLOOKUP($A15,subQ,MATCH(AE$1,SUBQH,0),0),"")</f>
        <v/>
      </c>
      <c r="AF15" s="20">
        <f>IFERROR(VLOOKUP($A15,subQ,MATCH(AF$1,SUBQH,0),0),"")</f>
        <v/>
      </c>
      <c r="AG15" s="20">
        <f>IFERROR(VLOOKUP($A15,subQ,MATCH(AG$1,SUBQH,0),0),"")</f>
        <v/>
      </c>
    </row>
    <row r="16">
      <c r="A16" s="12" t="inlineStr">
        <is>
          <t>법인세비용</t>
        </is>
      </c>
      <c r="D16" t="inlineStr">
        <is>
          <t>법인세비용</t>
        </is>
      </c>
      <c r="E16" s="18">
        <f>IFERROR(VLOOKUP($A16,subQ,MATCH(E$1,SUBQH,0),0),"")</f>
        <v/>
      </c>
      <c r="F16" s="18">
        <f>IFERROR(VLOOKUP($A16,subQ,MATCH(F$1,SUBQH,0),0),"")</f>
        <v/>
      </c>
      <c r="G16" s="18">
        <f>IFERROR(VLOOKUP($A16,subQ,MATCH(G$1,SUBQH,0),0),"")</f>
        <v/>
      </c>
      <c r="H16" s="18">
        <f>IFERROR(VLOOKUP($A16,subQ,MATCH(H$1,SUBQH,0),0),"")</f>
        <v/>
      </c>
      <c r="I16" s="18">
        <f>IFERROR(VLOOKUP($A16,subQ,MATCH(I$1,SUBQH,0),0),"")</f>
        <v/>
      </c>
      <c r="J16" s="18">
        <f>IFERROR(VLOOKUP($A16,subQ,MATCH(J$1,SUBQH,0),0),"")</f>
        <v/>
      </c>
      <c r="K16" s="18">
        <f>IFERROR(VLOOKUP($A16,subQ,MATCH(K$1,SUBQH,0),0),"")</f>
        <v/>
      </c>
      <c r="L16" s="18">
        <f>IFERROR(VLOOKUP($A16,subQ,MATCH(L$1,SUBQH,0),0),"")</f>
        <v/>
      </c>
      <c r="M16" s="18">
        <f>IFERROR(VLOOKUP($A16,subQ,MATCH(M$1,SUBQH,0),0),"")</f>
        <v/>
      </c>
      <c r="N16" s="18">
        <f>IFERROR(VLOOKUP($A16,subQ,MATCH(N$1,SUBQH,0),0),"")</f>
        <v/>
      </c>
      <c r="O16" s="18">
        <f>IFERROR(VLOOKUP($A16,subQ,MATCH(O$1,SUBQH,0),0),"")</f>
        <v/>
      </c>
      <c r="P16" s="18">
        <f>IFERROR(VLOOKUP($A16,subQ,MATCH(P$1,SUBQH,0),0),"")</f>
        <v/>
      </c>
      <c r="Q16" s="18">
        <f>IFERROR(VLOOKUP($A16,subQ,MATCH(Q$1,SUBQH,0),0),"")</f>
        <v/>
      </c>
      <c r="R16" s="18">
        <f>IFERROR(VLOOKUP($A16,subQ,MATCH(R$1,SUBQH,0),0),"")</f>
        <v/>
      </c>
      <c r="S16" s="18">
        <f>IFERROR(VLOOKUP($A16,subQ,MATCH(S$1,SUBQH,0),0),"")</f>
        <v/>
      </c>
      <c r="T16" s="18">
        <f>IFERROR(VLOOKUP($A16,subQ,MATCH(T$1,SUBQH,0),0),"")</f>
        <v/>
      </c>
      <c r="U16" s="18">
        <f>IFERROR(VLOOKUP($A16,subQ,MATCH(U$1,SUBQH,0),0),"")</f>
        <v/>
      </c>
      <c r="V16" s="18">
        <f>IFERROR(VLOOKUP($A16,subQ,MATCH(V$1,SUBQH,0),0),"")</f>
        <v/>
      </c>
      <c r="W16" s="45">
        <f>IFERROR(VLOOKUP($A16,subQ,MATCH(W$1,SUBQH,0),0),"")</f>
        <v/>
      </c>
      <c r="X16" s="20">
        <f>IFERROR(VLOOKUP($A16,subQ,MATCH(X$1,SUBQH,0),0),"")</f>
        <v/>
      </c>
      <c r="Y16" s="20">
        <f>IFERROR(VLOOKUP($A16,subQ,MATCH(Y$1,SUBQH,0),0),"")</f>
        <v/>
      </c>
      <c r="Z16" s="20">
        <f>IFERROR(VLOOKUP($A16,subQ,MATCH(Z$1,SUBQH,0),0),"")</f>
        <v/>
      </c>
      <c r="AA16" s="20">
        <f>IFERROR(VLOOKUP($A16,subQ,MATCH(AA$1,SUBQH,0),0),"")</f>
        <v/>
      </c>
      <c r="AB16" s="20">
        <f>IFERROR(VLOOKUP($A16,subQ,MATCH(AB$1,SUBQH,0),0),"")</f>
        <v/>
      </c>
      <c r="AC16" s="20">
        <f>IFERROR(VLOOKUP($A16,subQ,MATCH(AC$1,SUBQH,0),0),"")</f>
        <v/>
      </c>
      <c r="AD16" s="20">
        <f>IFERROR(VLOOKUP($A16,subQ,MATCH(AD$1,SUBQH,0),0),"")</f>
        <v/>
      </c>
      <c r="AE16" s="20">
        <f>IFERROR(VLOOKUP($A16,subQ,MATCH(AE$1,SUBQH,0),0),"")</f>
        <v/>
      </c>
      <c r="AF16" s="20">
        <f>IFERROR(VLOOKUP($A16,subQ,MATCH(AF$1,SUBQH,0),0),"")</f>
        <v/>
      </c>
      <c r="AG16" s="20">
        <f>IFERROR(VLOOKUP($A16,subQ,MATCH(AG$1,SUBQH,0),0),"")</f>
        <v/>
      </c>
    </row>
    <row r="17">
      <c r="A17" s="12" t="inlineStr">
        <is>
          <t>당기순이익</t>
        </is>
      </c>
      <c r="D17" t="inlineStr">
        <is>
          <t>당기순이익</t>
        </is>
      </c>
      <c r="E17" s="18">
        <f>IFERROR(VLOOKUP($A17,subQ,MATCH(E$1,SUBQH,0),0),"")</f>
        <v/>
      </c>
      <c r="F17" s="18">
        <f>IFERROR(VLOOKUP($A17,subQ,MATCH(F$1,SUBQH,0),0),"")</f>
        <v/>
      </c>
      <c r="G17" s="18">
        <f>IFERROR(VLOOKUP($A17,subQ,MATCH(G$1,SUBQH,0),0),"")</f>
        <v/>
      </c>
      <c r="H17" s="18">
        <f>IFERROR(VLOOKUP($A17,subQ,MATCH(H$1,SUBQH,0),0),"")</f>
        <v/>
      </c>
      <c r="I17" s="18">
        <f>IFERROR(VLOOKUP($A17,subQ,MATCH(I$1,SUBQH,0),0),"")</f>
        <v/>
      </c>
      <c r="J17" s="18">
        <f>IFERROR(VLOOKUP($A17,subQ,MATCH(J$1,SUBQH,0),0),"")</f>
        <v/>
      </c>
      <c r="K17" s="18">
        <f>IFERROR(VLOOKUP($A17,subQ,MATCH(K$1,SUBQH,0),0),"")</f>
        <v/>
      </c>
      <c r="L17" s="18">
        <f>IFERROR(VLOOKUP($A17,subQ,MATCH(L$1,SUBQH,0),0),"")</f>
        <v/>
      </c>
      <c r="M17" s="18">
        <f>IFERROR(VLOOKUP($A17,subQ,MATCH(M$1,SUBQH,0),0),"")</f>
        <v/>
      </c>
      <c r="N17" s="18">
        <f>IFERROR(VLOOKUP($A17,subQ,MATCH(N$1,SUBQH,0),0),"")</f>
        <v/>
      </c>
      <c r="O17" s="18">
        <f>IFERROR(VLOOKUP($A17,subQ,MATCH(O$1,SUBQH,0),0),"")</f>
        <v/>
      </c>
      <c r="P17" s="18">
        <f>IFERROR(VLOOKUP($A17,subQ,MATCH(P$1,SUBQH,0),0),"")</f>
        <v/>
      </c>
      <c r="Q17" s="18">
        <f>IFERROR(VLOOKUP($A17,subQ,MATCH(Q$1,SUBQH,0),0),"")</f>
        <v/>
      </c>
      <c r="R17" s="18">
        <f>IFERROR(VLOOKUP($A17,subQ,MATCH(R$1,SUBQH,0),0),"")</f>
        <v/>
      </c>
      <c r="S17" s="18">
        <f>IFERROR(VLOOKUP($A17,subQ,MATCH(S$1,SUBQH,0),0),"")</f>
        <v/>
      </c>
      <c r="T17" s="18">
        <f>IFERROR(VLOOKUP($A17,subQ,MATCH(T$1,SUBQH,0),0),"")</f>
        <v/>
      </c>
      <c r="U17" s="18">
        <f>IFERROR(VLOOKUP($A17,subQ,MATCH(U$1,SUBQH,0),0),"")</f>
        <v/>
      </c>
      <c r="V17" s="18">
        <f>IFERROR(VLOOKUP($A17,subQ,MATCH(V$1,SUBQH,0),0),"")</f>
        <v/>
      </c>
      <c r="W17" s="45">
        <f>IFERROR(VLOOKUP($A17,subQ,MATCH(W$1,SUBQH,0),0),"")</f>
        <v/>
      </c>
      <c r="X17" s="20">
        <f>IFERROR(VLOOKUP($A17,subQ,MATCH(X$1,SUBQH,0),0),"")</f>
        <v/>
      </c>
      <c r="Y17" s="20">
        <f>IFERROR(VLOOKUP($A17,subQ,MATCH(Y$1,SUBQH,0),0),"")</f>
        <v/>
      </c>
      <c r="Z17" s="20">
        <f>IFERROR(VLOOKUP($A17,subQ,MATCH(Z$1,SUBQH,0),0),"")</f>
        <v/>
      </c>
      <c r="AA17" s="20">
        <f>IFERROR(VLOOKUP($A17,subQ,MATCH(AA$1,SUBQH,0),0),"")</f>
        <v/>
      </c>
      <c r="AB17" s="20">
        <f>IFERROR(VLOOKUP($A17,subQ,MATCH(AB$1,SUBQH,0),0),"")</f>
        <v/>
      </c>
      <c r="AC17" s="20">
        <f>IFERROR(VLOOKUP($A17,subQ,MATCH(AC$1,SUBQH,0),0),"")</f>
        <v/>
      </c>
      <c r="AD17" s="20">
        <f>IFERROR(VLOOKUP($A17,subQ,MATCH(AD$1,SUBQH,0),0),"")</f>
        <v/>
      </c>
      <c r="AE17" s="20">
        <f>IFERROR(VLOOKUP($A17,subQ,MATCH(AE$1,SUBQH,0),0),"")</f>
        <v/>
      </c>
      <c r="AF17" s="20">
        <f>IFERROR(VLOOKUP($A17,subQ,MATCH(AF$1,SUBQH,0),0),"")</f>
        <v/>
      </c>
      <c r="AG17" s="20">
        <f>IFERROR(VLOOKUP($A17,subQ,MATCH(AG$1,SUBQH,0),0),"")</f>
        <v/>
      </c>
    </row>
    <row r="18">
      <c r="A18" s="12" t="inlineStr">
        <is>
          <t>지배주주순이익</t>
        </is>
      </c>
      <c r="D18" t="inlineStr">
        <is>
          <t>지배주주순이익</t>
        </is>
      </c>
      <c r="E18" s="18">
        <f>IFERROR(VLOOKUP($A18,subQ,MATCH(E$1,SUBQH,0),0),"")</f>
        <v/>
      </c>
      <c r="F18" s="18">
        <f>IFERROR(VLOOKUP($A18,subQ,MATCH(F$1,SUBQH,0),0),"")</f>
        <v/>
      </c>
      <c r="G18" s="18">
        <f>IFERROR(VLOOKUP($A18,subQ,MATCH(G$1,SUBQH,0),0),"")</f>
        <v/>
      </c>
      <c r="H18" s="18">
        <f>IFERROR(VLOOKUP($A18,subQ,MATCH(H$1,SUBQH,0),0),"")</f>
        <v/>
      </c>
      <c r="I18" s="18">
        <f>IFERROR(VLOOKUP($A18,subQ,MATCH(I$1,SUBQH,0),0),"")</f>
        <v/>
      </c>
      <c r="J18" s="18">
        <f>IFERROR(VLOOKUP($A18,subQ,MATCH(J$1,SUBQH,0),0),"")</f>
        <v/>
      </c>
      <c r="K18" s="18">
        <f>IFERROR(VLOOKUP($A18,subQ,MATCH(K$1,SUBQH,0),0),"")</f>
        <v/>
      </c>
      <c r="L18" s="18">
        <f>IFERROR(VLOOKUP($A18,subQ,MATCH(L$1,SUBQH,0),0),"")</f>
        <v/>
      </c>
      <c r="M18" s="18">
        <f>IFERROR(VLOOKUP($A18,subQ,MATCH(M$1,SUBQH,0),0),"")</f>
        <v/>
      </c>
      <c r="N18" s="18">
        <f>IFERROR(VLOOKUP($A18,subQ,MATCH(N$1,SUBQH,0),0),"")</f>
        <v/>
      </c>
      <c r="O18" s="18">
        <f>IFERROR(VLOOKUP($A18,subQ,MATCH(O$1,SUBQH,0),0),"")</f>
        <v/>
      </c>
      <c r="P18" s="18">
        <f>IFERROR(VLOOKUP($A18,subQ,MATCH(P$1,SUBQH,0),0),"")</f>
        <v/>
      </c>
      <c r="Q18" s="18">
        <f>IFERROR(VLOOKUP($A18,subQ,MATCH(Q$1,SUBQH,0),0),"")</f>
        <v/>
      </c>
      <c r="R18" s="18">
        <f>IFERROR(VLOOKUP($A18,subQ,MATCH(R$1,SUBQH,0),0),"")</f>
        <v/>
      </c>
      <c r="S18" s="18">
        <f>IFERROR(VLOOKUP($A18,subQ,MATCH(S$1,SUBQH,0),0),"")</f>
        <v/>
      </c>
      <c r="T18" s="18">
        <f>IFERROR(VLOOKUP($A18,subQ,MATCH(T$1,SUBQH,0),0),"")</f>
        <v/>
      </c>
      <c r="U18" s="18">
        <f>IFERROR(VLOOKUP($A18,subQ,MATCH(U$1,SUBQH,0),0),"")</f>
        <v/>
      </c>
      <c r="V18" s="18">
        <f>IFERROR(VLOOKUP($A18,subQ,MATCH(V$1,SUBQH,0),0),"")</f>
        <v/>
      </c>
      <c r="W18" s="45">
        <f>IFERROR(VLOOKUP($A18,subQ,MATCH(W$1,SUBQH,0),0),"")</f>
        <v/>
      </c>
      <c r="X18" s="20">
        <f>IFERROR(VLOOKUP($A18,subQ,MATCH(X$1,SUBQH,0),0),"")</f>
        <v/>
      </c>
      <c r="Y18" s="20">
        <f>IFERROR(VLOOKUP($A18,subQ,MATCH(Y$1,SUBQH,0),0),"")</f>
        <v/>
      </c>
      <c r="Z18" s="20">
        <f>IFERROR(VLOOKUP($A18,subQ,MATCH(Z$1,SUBQH,0),0),"")</f>
        <v/>
      </c>
      <c r="AA18" s="20">
        <f>IFERROR(VLOOKUP($A18,subQ,MATCH(AA$1,SUBQH,0),0),"")</f>
        <v/>
      </c>
      <c r="AB18" s="20">
        <f>IFERROR(VLOOKUP($A18,subQ,MATCH(AB$1,SUBQH,0),0),"")</f>
        <v/>
      </c>
      <c r="AC18" s="20">
        <f>IFERROR(VLOOKUP($A18,subQ,MATCH(AC$1,SUBQH,0),0),"")</f>
        <v/>
      </c>
      <c r="AD18" s="20">
        <f>IFERROR(VLOOKUP($A18,subQ,MATCH(AD$1,SUBQH,0),0),"")</f>
        <v/>
      </c>
      <c r="AE18" s="20">
        <f>IFERROR(VLOOKUP($A18,subQ,MATCH(AE$1,SUBQH,0),0),"")</f>
        <v/>
      </c>
      <c r="AF18" s="20">
        <f>IFERROR(VLOOKUP($A18,subQ,MATCH(AF$1,SUBQH,0),0),"")</f>
        <v/>
      </c>
      <c r="AG18" s="20">
        <f>IFERROR(VLOOKUP($A18,subQ,MATCH(AG$1,SUBQH,0),0),"")</f>
        <v/>
      </c>
    </row>
    <row r="19">
      <c r="A19" s="12" t="inlineStr">
        <is>
          <t>감가상각비</t>
        </is>
      </c>
      <c r="D19" t="inlineStr">
        <is>
          <t>감가상각비</t>
        </is>
      </c>
      <c r="E19" s="18">
        <f>IFERROR(VLOOKUP($A19,subQ,MATCH(E$1,SUBQH,0),0),"")</f>
        <v/>
      </c>
      <c r="F19" s="18">
        <f>IFERROR(VLOOKUP($A19,subQ,MATCH(F$1,SUBQH,0),0),"")</f>
        <v/>
      </c>
      <c r="G19" s="18">
        <f>IFERROR(VLOOKUP($A19,subQ,MATCH(G$1,SUBQH,0),0),"")</f>
        <v/>
      </c>
      <c r="H19" s="18">
        <f>IFERROR(VLOOKUP($A19,subQ,MATCH(H$1,SUBQH,0),0),"")</f>
        <v/>
      </c>
      <c r="I19" s="18">
        <f>IFERROR(VLOOKUP($A19,subQ,MATCH(I$1,SUBQH,0),0),"")</f>
        <v/>
      </c>
      <c r="J19" s="18">
        <f>IFERROR(VLOOKUP($A19,subQ,MATCH(J$1,SUBQH,0),0),"")</f>
        <v/>
      </c>
      <c r="K19" s="18">
        <f>IFERROR(VLOOKUP($A19,subQ,MATCH(K$1,SUBQH,0),0),"")</f>
        <v/>
      </c>
      <c r="L19" s="18">
        <f>IFERROR(VLOOKUP($A19,subQ,MATCH(L$1,SUBQH,0),0),"")</f>
        <v/>
      </c>
      <c r="M19" s="18">
        <f>IFERROR(VLOOKUP($A19,subQ,MATCH(M$1,SUBQH,0),0),"")</f>
        <v/>
      </c>
      <c r="N19" s="18">
        <f>IFERROR(VLOOKUP($A19,subQ,MATCH(N$1,SUBQH,0),0),"")</f>
        <v/>
      </c>
      <c r="O19" s="18">
        <f>IFERROR(VLOOKUP($A19,subQ,MATCH(O$1,SUBQH,0),0),"")</f>
        <v/>
      </c>
      <c r="P19" s="18">
        <f>IFERROR(VLOOKUP($A19,subQ,MATCH(P$1,SUBQH,0),0),"")</f>
        <v/>
      </c>
      <c r="Q19" s="18">
        <f>IFERROR(VLOOKUP($A19,subQ,MATCH(Q$1,SUBQH,0),0),"")</f>
        <v/>
      </c>
      <c r="R19" s="18">
        <f>IFERROR(VLOOKUP($A19,subQ,MATCH(R$1,SUBQH,0),0),"")</f>
        <v/>
      </c>
      <c r="S19" s="18">
        <f>IFERROR(VLOOKUP($A19,subQ,MATCH(S$1,SUBQH,0),0),"")</f>
        <v/>
      </c>
      <c r="T19" s="18">
        <f>IFERROR(VLOOKUP($A19,subQ,MATCH(T$1,SUBQH,0),0),"")</f>
        <v/>
      </c>
      <c r="U19" s="18">
        <f>IFERROR(VLOOKUP($A19,subQ,MATCH(U$1,SUBQH,0),0),"")</f>
        <v/>
      </c>
      <c r="V19" s="18">
        <f>IFERROR(VLOOKUP($A19,subQ,MATCH(V$1,SUBQH,0),0),"")</f>
        <v/>
      </c>
      <c r="W19" s="45">
        <f>IFERROR(VLOOKUP($A19,subQ,MATCH(W$1,SUBQH,0),0),"")</f>
        <v/>
      </c>
      <c r="X19" s="20">
        <f>IFERROR(VLOOKUP($A19,subQ,MATCH(X$1,SUBQH,0),0),"")</f>
        <v/>
      </c>
      <c r="Y19" s="20">
        <f>IFERROR(VLOOKUP($A19,subQ,MATCH(Y$1,SUBQH,0),0),"")</f>
        <v/>
      </c>
      <c r="Z19" s="20">
        <f>IFERROR(VLOOKUP($A19,subQ,MATCH(Z$1,SUBQH,0),0),"")</f>
        <v/>
      </c>
      <c r="AA19" s="20">
        <f>IFERROR(VLOOKUP($A19,subQ,MATCH(AA$1,SUBQH,0),0),"")</f>
        <v/>
      </c>
      <c r="AB19" s="20">
        <f>IFERROR(VLOOKUP($A19,subQ,MATCH(AB$1,SUBQH,0),0),"")</f>
        <v/>
      </c>
      <c r="AC19" s="20">
        <f>IFERROR(VLOOKUP($A19,subQ,MATCH(AC$1,SUBQH,0),0),"")</f>
        <v/>
      </c>
      <c r="AD19" s="20">
        <f>IFERROR(VLOOKUP($A19,subQ,MATCH(AD$1,SUBQH,0),0),"")</f>
        <v/>
      </c>
      <c r="AE19" s="20">
        <f>IFERROR(VLOOKUP($A19,subQ,MATCH(AE$1,SUBQH,0),0),"")</f>
        <v/>
      </c>
      <c r="AF19" s="20">
        <f>IFERROR(VLOOKUP($A19,subQ,MATCH(AF$1,SUBQH,0),0),"")</f>
        <v/>
      </c>
      <c r="AG19" s="20">
        <f>IFERROR(VLOOKUP($A19,subQ,MATCH(AG$1,SUBQH,0),0),"")</f>
        <v/>
      </c>
    </row>
    <row r="20">
      <c r="A20" s="12" t="inlineStr">
        <is>
          <t>EBITDA</t>
        </is>
      </c>
      <c r="D20" t="inlineStr">
        <is>
          <t>EBITDA</t>
        </is>
      </c>
      <c r="E20" s="18">
        <f>IFERROR(VLOOKUP($A20,subQ,MATCH(E$1,SUBQH,0),0),"")</f>
        <v/>
      </c>
      <c r="F20" s="18">
        <f>IFERROR(VLOOKUP($A20,subQ,MATCH(F$1,SUBQH,0),0),"")</f>
        <v/>
      </c>
      <c r="G20" s="18">
        <f>IFERROR(VLOOKUP($A20,subQ,MATCH(G$1,SUBQH,0),0),"")</f>
        <v/>
      </c>
      <c r="H20" s="18">
        <f>IFERROR(VLOOKUP($A20,subQ,MATCH(H$1,SUBQH,0),0),"")</f>
        <v/>
      </c>
      <c r="I20" s="18">
        <f>IFERROR(VLOOKUP($A20,subQ,MATCH(I$1,SUBQH,0),0),"")</f>
        <v/>
      </c>
      <c r="J20" s="18">
        <f>IFERROR(VLOOKUP($A20,subQ,MATCH(J$1,SUBQH,0),0),"")</f>
        <v/>
      </c>
      <c r="K20" s="18">
        <f>IFERROR(VLOOKUP($A20,subQ,MATCH(K$1,SUBQH,0),0),"")</f>
        <v/>
      </c>
      <c r="L20" s="18">
        <f>IFERROR(VLOOKUP($A20,subQ,MATCH(L$1,SUBQH,0),0),"")</f>
        <v/>
      </c>
      <c r="M20" s="18">
        <f>IFERROR(VLOOKUP($A20,subQ,MATCH(M$1,SUBQH,0),0),"")</f>
        <v/>
      </c>
      <c r="N20" s="18">
        <f>IFERROR(VLOOKUP($A20,subQ,MATCH(N$1,SUBQH,0),0),"")</f>
        <v/>
      </c>
      <c r="O20" s="18">
        <f>IFERROR(VLOOKUP($A20,subQ,MATCH(O$1,SUBQH,0),0),"")</f>
        <v/>
      </c>
      <c r="P20" s="18">
        <f>IFERROR(VLOOKUP($A20,subQ,MATCH(P$1,SUBQH,0),0),"")</f>
        <v/>
      </c>
      <c r="Q20" s="18">
        <f>IFERROR(VLOOKUP($A20,subQ,MATCH(Q$1,SUBQH,0),0),"")</f>
        <v/>
      </c>
      <c r="R20" s="18">
        <f>IFERROR(VLOOKUP($A20,subQ,MATCH(R$1,SUBQH,0),0),"")</f>
        <v/>
      </c>
      <c r="S20" s="18">
        <f>IFERROR(VLOOKUP($A20,subQ,MATCH(S$1,SUBQH,0),0),"")</f>
        <v/>
      </c>
      <c r="T20" s="18">
        <f>IFERROR(VLOOKUP($A20,subQ,MATCH(T$1,SUBQH,0),0),"")</f>
        <v/>
      </c>
      <c r="U20" s="18">
        <f>IFERROR(VLOOKUP($A20,subQ,MATCH(U$1,SUBQH,0),0),"")</f>
        <v/>
      </c>
      <c r="V20" s="18">
        <f>IFERROR(VLOOKUP($A20,subQ,MATCH(V$1,SUBQH,0),0),"")</f>
        <v/>
      </c>
      <c r="W20" s="45">
        <f>IFERROR(VLOOKUP($A20,subQ,MATCH(W$1,SUBQH,0),0),"")</f>
        <v/>
      </c>
      <c r="X20" s="20">
        <f>IFERROR(VLOOKUP($A20,subQ,MATCH(X$1,SUBQH,0),0),"")</f>
        <v/>
      </c>
      <c r="Y20" s="20">
        <f>IFERROR(VLOOKUP($A20,subQ,MATCH(Y$1,SUBQH,0),0),"")</f>
        <v/>
      </c>
      <c r="Z20" s="20">
        <f>IFERROR(VLOOKUP($A20,subQ,MATCH(Z$1,SUBQH,0),0),"")</f>
        <v/>
      </c>
      <c r="AA20" s="20">
        <f>IFERROR(VLOOKUP($A20,subQ,MATCH(AA$1,SUBQH,0),0),"")</f>
        <v/>
      </c>
      <c r="AB20" s="20">
        <f>IFERROR(VLOOKUP($A20,subQ,MATCH(AB$1,SUBQH,0),0),"")</f>
        <v/>
      </c>
      <c r="AC20" s="20">
        <f>IFERROR(VLOOKUP($A20,subQ,MATCH(AC$1,SUBQH,0),0),"")</f>
        <v/>
      </c>
      <c r="AD20" s="20">
        <f>IFERROR(VLOOKUP($A20,subQ,MATCH(AD$1,SUBQH,0),0),"")</f>
        <v/>
      </c>
      <c r="AE20" s="20">
        <f>IFERROR(VLOOKUP($A20,subQ,MATCH(AE$1,SUBQH,0),0),"")</f>
        <v/>
      </c>
      <c r="AF20" s="20">
        <f>IFERROR(VLOOKUP($A20,subQ,MATCH(AF$1,SUBQH,0),0),"")</f>
        <v/>
      </c>
      <c r="AG20" s="20">
        <f>IFERROR(VLOOKUP($A20,subQ,MATCH(AG$1,SUBQH,0),0),"")</f>
        <v/>
      </c>
    </row>
    <row r="21">
      <c r="A21" s="12" t="inlineStr">
        <is>
          <t>자산총계</t>
        </is>
      </c>
      <c r="D21" t="inlineStr">
        <is>
          <t>자산총계</t>
        </is>
      </c>
      <c r="E21" s="18">
        <f>IFERROR(VLOOKUP($A21,subQ,MATCH(E$1,SUBQH,0),0),"")</f>
        <v/>
      </c>
      <c r="F21" s="18">
        <f>IFERROR(VLOOKUP($A21,subQ,MATCH(F$1,SUBQH,0),0),"")</f>
        <v/>
      </c>
      <c r="G21" s="18">
        <f>IFERROR(VLOOKUP($A21,subQ,MATCH(G$1,SUBQH,0),0),"")</f>
        <v/>
      </c>
      <c r="H21" s="18">
        <f>IFERROR(VLOOKUP($A21,subQ,MATCH(H$1,SUBQH,0),0),"")</f>
        <v/>
      </c>
      <c r="I21" s="18">
        <f>IFERROR(VLOOKUP($A21,subQ,MATCH(I$1,SUBQH,0),0),"")</f>
        <v/>
      </c>
      <c r="J21" s="18">
        <f>IFERROR(VLOOKUP($A21,subQ,MATCH(J$1,SUBQH,0),0),"")</f>
        <v/>
      </c>
      <c r="K21" s="18">
        <f>IFERROR(VLOOKUP($A21,subQ,MATCH(K$1,SUBQH,0),0),"")</f>
        <v/>
      </c>
      <c r="L21" s="18">
        <f>IFERROR(VLOOKUP($A21,subQ,MATCH(L$1,SUBQH,0),0),"")</f>
        <v/>
      </c>
      <c r="M21" s="18">
        <f>IFERROR(VLOOKUP($A21,subQ,MATCH(M$1,SUBQH,0),0),"")</f>
        <v/>
      </c>
      <c r="N21" s="18">
        <f>IFERROR(VLOOKUP($A21,subQ,MATCH(N$1,SUBQH,0),0),"")</f>
        <v/>
      </c>
      <c r="O21" s="18">
        <f>IFERROR(VLOOKUP($A21,subQ,MATCH(O$1,SUBQH,0),0),"")</f>
        <v/>
      </c>
      <c r="P21" s="18">
        <f>IFERROR(VLOOKUP($A21,subQ,MATCH(P$1,SUBQH,0),0),"")</f>
        <v/>
      </c>
      <c r="Q21" s="18">
        <f>IFERROR(VLOOKUP($A21,subQ,MATCH(Q$1,SUBQH,0),0),"")</f>
        <v/>
      </c>
      <c r="R21" s="18">
        <f>IFERROR(VLOOKUP($A21,subQ,MATCH(R$1,SUBQH,0),0),"")</f>
        <v/>
      </c>
      <c r="S21" s="18">
        <f>IFERROR(VLOOKUP($A21,subQ,MATCH(S$1,SUBQH,0),0),"")</f>
        <v/>
      </c>
      <c r="T21" s="18">
        <f>IFERROR(VLOOKUP($A21,subQ,MATCH(T$1,SUBQH,0),0),"")</f>
        <v/>
      </c>
      <c r="U21" s="18">
        <f>IFERROR(VLOOKUP($A21,subQ,MATCH(U$1,SUBQH,0),0),"")</f>
        <v/>
      </c>
      <c r="V21" s="18">
        <f>IFERROR(VLOOKUP($A21,subQ,MATCH(V$1,SUBQH,0),0),"")</f>
        <v/>
      </c>
      <c r="W21" s="45">
        <f>IFERROR(VLOOKUP($A21,subQ,MATCH(W$1,SUBQH,0),0),"")</f>
        <v/>
      </c>
      <c r="X21" s="20">
        <f>IFERROR(VLOOKUP($A21,subQ,MATCH(X$1,SUBQH,0),0),"")</f>
        <v/>
      </c>
      <c r="Y21" s="20">
        <f>IFERROR(VLOOKUP($A21,subQ,MATCH(Y$1,SUBQH,0),0),"")</f>
        <v/>
      </c>
      <c r="Z21" s="20">
        <f>IFERROR(VLOOKUP($A21,subQ,MATCH(Z$1,SUBQH,0),0),"")</f>
        <v/>
      </c>
      <c r="AA21" s="20">
        <f>IFERROR(VLOOKUP($A21,subQ,MATCH(AA$1,SUBQH,0),0),"")</f>
        <v/>
      </c>
      <c r="AB21" s="20">
        <f>IFERROR(VLOOKUP($A21,subQ,MATCH(AB$1,SUBQH,0),0),"")</f>
        <v/>
      </c>
      <c r="AC21" s="20">
        <f>IFERROR(VLOOKUP($A21,subQ,MATCH(AC$1,SUBQH,0),0),"")</f>
        <v/>
      </c>
      <c r="AD21" s="20">
        <f>IFERROR(VLOOKUP($A21,subQ,MATCH(AD$1,SUBQH,0),0),"")</f>
        <v/>
      </c>
      <c r="AE21" s="20">
        <f>IFERROR(VLOOKUP($A21,subQ,MATCH(AE$1,SUBQH,0),0),"")</f>
        <v/>
      </c>
      <c r="AF21" s="20">
        <f>IFERROR(VLOOKUP($A21,subQ,MATCH(AF$1,SUBQH,0),0),"")</f>
        <v/>
      </c>
      <c r="AG21" s="20">
        <f>IFERROR(VLOOKUP($A21,subQ,MATCH(AG$1,SUBQH,0),0),"")</f>
        <v/>
      </c>
    </row>
    <row r="22">
      <c r="A22" s="12" t="inlineStr">
        <is>
          <t>부채총계</t>
        </is>
      </c>
      <c r="D22" t="inlineStr">
        <is>
          <t>부채총계</t>
        </is>
      </c>
      <c r="E22" s="18">
        <f>IFERROR(VLOOKUP($A22,subQ,MATCH(E$1,SUBQH,0),0),"")</f>
        <v/>
      </c>
      <c r="F22" s="18">
        <f>IFERROR(VLOOKUP($A22,subQ,MATCH(F$1,SUBQH,0),0),"")</f>
        <v/>
      </c>
      <c r="G22" s="18">
        <f>IFERROR(VLOOKUP($A22,subQ,MATCH(G$1,SUBQH,0),0),"")</f>
        <v/>
      </c>
      <c r="H22" s="18">
        <f>IFERROR(VLOOKUP($A22,subQ,MATCH(H$1,SUBQH,0),0),"")</f>
        <v/>
      </c>
      <c r="I22" s="18">
        <f>IFERROR(VLOOKUP($A22,subQ,MATCH(I$1,SUBQH,0),0),"")</f>
        <v/>
      </c>
      <c r="J22" s="18">
        <f>IFERROR(VLOOKUP($A22,subQ,MATCH(J$1,SUBQH,0),0),"")</f>
        <v/>
      </c>
      <c r="K22" s="18">
        <f>IFERROR(VLOOKUP($A22,subQ,MATCH(K$1,SUBQH,0),0),"")</f>
        <v/>
      </c>
      <c r="L22" s="18">
        <f>IFERROR(VLOOKUP($A22,subQ,MATCH(L$1,SUBQH,0),0),"")</f>
        <v/>
      </c>
      <c r="M22" s="18">
        <f>IFERROR(VLOOKUP($A22,subQ,MATCH(M$1,SUBQH,0),0),"")</f>
        <v/>
      </c>
      <c r="N22" s="18">
        <f>IFERROR(VLOOKUP($A22,subQ,MATCH(N$1,SUBQH,0),0),"")</f>
        <v/>
      </c>
      <c r="O22" s="18">
        <f>IFERROR(VLOOKUP($A22,subQ,MATCH(O$1,SUBQH,0),0),"")</f>
        <v/>
      </c>
      <c r="P22" s="18">
        <f>IFERROR(VLOOKUP($A22,subQ,MATCH(P$1,SUBQH,0),0),"")</f>
        <v/>
      </c>
      <c r="Q22" s="18">
        <f>IFERROR(VLOOKUP($A22,subQ,MATCH(Q$1,SUBQH,0),0),"")</f>
        <v/>
      </c>
      <c r="R22" s="18">
        <f>IFERROR(VLOOKUP($A22,subQ,MATCH(R$1,SUBQH,0),0),"")</f>
        <v/>
      </c>
      <c r="S22" s="18">
        <f>IFERROR(VLOOKUP($A22,subQ,MATCH(S$1,SUBQH,0),0),"")</f>
        <v/>
      </c>
      <c r="T22" s="18">
        <f>IFERROR(VLOOKUP($A22,subQ,MATCH(T$1,SUBQH,0),0),"")</f>
        <v/>
      </c>
      <c r="U22" s="18">
        <f>IFERROR(VLOOKUP($A22,subQ,MATCH(U$1,SUBQH,0),0),"")</f>
        <v/>
      </c>
      <c r="V22" s="18">
        <f>IFERROR(VLOOKUP($A22,subQ,MATCH(V$1,SUBQH,0),0),"")</f>
        <v/>
      </c>
      <c r="W22" s="45">
        <f>IFERROR(VLOOKUP($A22,subQ,MATCH(W$1,SUBQH,0),0),"")</f>
        <v/>
      </c>
      <c r="X22" s="20">
        <f>IFERROR(VLOOKUP($A22,subQ,MATCH(X$1,SUBQH,0),0),"")</f>
        <v/>
      </c>
      <c r="Y22" s="20">
        <f>IFERROR(VLOOKUP($A22,subQ,MATCH(Y$1,SUBQH,0),0),"")</f>
        <v/>
      </c>
      <c r="Z22" s="20">
        <f>IFERROR(VLOOKUP($A22,subQ,MATCH(Z$1,SUBQH,0),0),"")</f>
        <v/>
      </c>
      <c r="AA22" s="20">
        <f>IFERROR(VLOOKUP($A22,subQ,MATCH(AA$1,SUBQH,0),0),"")</f>
        <v/>
      </c>
      <c r="AB22" s="20">
        <f>IFERROR(VLOOKUP($A22,subQ,MATCH(AB$1,SUBQH,0),0),"")</f>
        <v/>
      </c>
      <c r="AC22" s="20">
        <f>IFERROR(VLOOKUP($A22,subQ,MATCH(AC$1,SUBQH,0),0),"")</f>
        <v/>
      </c>
      <c r="AD22" s="20">
        <f>IFERROR(VLOOKUP($A22,subQ,MATCH(AD$1,SUBQH,0),0),"")</f>
        <v/>
      </c>
      <c r="AE22" s="20">
        <f>IFERROR(VLOOKUP($A22,subQ,MATCH(AE$1,SUBQH,0),0),"")</f>
        <v/>
      </c>
      <c r="AF22" s="20">
        <f>IFERROR(VLOOKUP($A22,subQ,MATCH(AF$1,SUBQH,0),0),"")</f>
        <v/>
      </c>
      <c r="AG22" s="20">
        <f>IFERROR(VLOOKUP($A22,subQ,MATCH(AG$1,SUBQH,0),0),"")</f>
        <v/>
      </c>
    </row>
    <row r="23">
      <c r="A23" s="12" t="inlineStr">
        <is>
          <t>자본총계</t>
        </is>
      </c>
      <c r="D23" t="inlineStr">
        <is>
          <t>자본총계</t>
        </is>
      </c>
      <c r="E23" s="18">
        <f>IFERROR(VLOOKUP($A23,subQ,MATCH(E$1,SUBQH,0),0),"")</f>
        <v/>
      </c>
      <c r="F23" s="18">
        <f>IFERROR(VLOOKUP($A23,subQ,MATCH(F$1,SUBQH,0),0),"")</f>
        <v/>
      </c>
      <c r="G23" s="18">
        <f>IFERROR(VLOOKUP($A23,subQ,MATCH(G$1,SUBQH,0),0),"")</f>
        <v/>
      </c>
      <c r="H23" s="18">
        <f>IFERROR(VLOOKUP($A23,subQ,MATCH(H$1,SUBQH,0),0),"")</f>
        <v/>
      </c>
      <c r="I23" s="18">
        <f>IFERROR(VLOOKUP($A23,subQ,MATCH(I$1,SUBQH,0),0),"")</f>
        <v/>
      </c>
      <c r="J23" s="18">
        <f>IFERROR(VLOOKUP($A23,subQ,MATCH(J$1,SUBQH,0),0),"")</f>
        <v/>
      </c>
      <c r="K23" s="18">
        <f>IFERROR(VLOOKUP($A23,subQ,MATCH(K$1,SUBQH,0),0),"")</f>
        <v/>
      </c>
      <c r="L23" s="18">
        <f>IFERROR(VLOOKUP($A23,subQ,MATCH(L$1,SUBQH,0),0),"")</f>
        <v/>
      </c>
      <c r="M23" s="18">
        <f>IFERROR(VLOOKUP($A23,subQ,MATCH(M$1,SUBQH,0),0),"")</f>
        <v/>
      </c>
      <c r="N23" s="18">
        <f>IFERROR(VLOOKUP($A23,subQ,MATCH(N$1,SUBQH,0),0),"")</f>
        <v/>
      </c>
      <c r="O23" s="18">
        <f>IFERROR(VLOOKUP($A23,subQ,MATCH(O$1,SUBQH,0),0),"")</f>
        <v/>
      </c>
      <c r="P23" s="18">
        <f>IFERROR(VLOOKUP($A23,subQ,MATCH(P$1,SUBQH,0),0),"")</f>
        <v/>
      </c>
      <c r="Q23" s="18">
        <f>IFERROR(VLOOKUP($A23,subQ,MATCH(Q$1,SUBQH,0),0),"")</f>
        <v/>
      </c>
      <c r="R23" s="18">
        <f>IFERROR(VLOOKUP($A23,subQ,MATCH(R$1,SUBQH,0),0),"")</f>
        <v/>
      </c>
      <c r="S23" s="18">
        <f>IFERROR(VLOOKUP($A23,subQ,MATCH(S$1,SUBQH,0),0),"")</f>
        <v/>
      </c>
      <c r="T23" s="18">
        <f>IFERROR(VLOOKUP($A23,subQ,MATCH(T$1,SUBQH,0),0),"")</f>
        <v/>
      </c>
      <c r="U23" s="18">
        <f>IFERROR(VLOOKUP($A23,subQ,MATCH(U$1,SUBQH,0),0),"")</f>
        <v/>
      </c>
      <c r="V23" s="18">
        <f>IFERROR(VLOOKUP($A23,subQ,MATCH(V$1,SUBQH,0),0),"")</f>
        <v/>
      </c>
      <c r="W23" s="45">
        <f>IFERROR(VLOOKUP($A23,subQ,MATCH(W$1,SUBQH,0),0),"")</f>
        <v/>
      </c>
      <c r="X23" s="20">
        <f>IFERROR(VLOOKUP($A23,subQ,MATCH(X$1,SUBQH,0),0),"")</f>
        <v/>
      </c>
      <c r="Y23" s="20">
        <f>IFERROR(VLOOKUP($A23,subQ,MATCH(Y$1,SUBQH,0),0),"")</f>
        <v/>
      </c>
      <c r="Z23" s="20">
        <f>IFERROR(VLOOKUP($A23,subQ,MATCH(Z$1,SUBQH,0),0),"")</f>
        <v/>
      </c>
      <c r="AA23" s="20">
        <f>IFERROR(VLOOKUP($A23,subQ,MATCH(AA$1,SUBQH,0),0),"")</f>
        <v/>
      </c>
      <c r="AB23" s="20">
        <f>IFERROR(VLOOKUP($A23,subQ,MATCH(AB$1,SUBQH,0),0),"")</f>
        <v/>
      </c>
      <c r="AC23" s="20">
        <f>IFERROR(VLOOKUP($A23,subQ,MATCH(AC$1,SUBQH,0),0),"")</f>
        <v/>
      </c>
      <c r="AD23" s="20">
        <f>IFERROR(VLOOKUP($A23,subQ,MATCH(AD$1,SUBQH,0),0),"")</f>
        <v/>
      </c>
      <c r="AE23" s="20">
        <f>IFERROR(VLOOKUP($A23,subQ,MATCH(AE$1,SUBQH,0),0),"")</f>
        <v/>
      </c>
      <c r="AF23" s="20">
        <f>IFERROR(VLOOKUP($A23,subQ,MATCH(AF$1,SUBQH,0),0),"")</f>
        <v/>
      </c>
      <c r="AG23" s="20">
        <f>IFERROR(VLOOKUP($A23,subQ,MATCH(AG$1,SUBQH,0),0),"")</f>
        <v/>
      </c>
    </row>
    <row r="24">
      <c r="A24" s="12" t="inlineStr">
        <is>
          <t>지배주주지분</t>
        </is>
      </c>
      <c r="D24" t="inlineStr">
        <is>
          <t>지배주주지분</t>
        </is>
      </c>
      <c r="E24" s="18">
        <f>IFERROR(VLOOKUP($A24,subQ,MATCH(E$1,SUBQH,0),0),"")</f>
        <v/>
      </c>
      <c r="F24" s="18">
        <f>IFERROR(VLOOKUP($A24,subQ,MATCH(F$1,SUBQH,0),0),"")</f>
        <v/>
      </c>
      <c r="G24" s="18">
        <f>IFERROR(VLOOKUP($A24,subQ,MATCH(G$1,SUBQH,0),0),"")</f>
        <v/>
      </c>
      <c r="H24" s="18">
        <f>IFERROR(VLOOKUP($A24,subQ,MATCH(H$1,SUBQH,0),0),"")</f>
        <v/>
      </c>
      <c r="I24" s="18">
        <f>IFERROR(VLOOKUP($A24,subQ,MATCH(I$1,SUBQH,0),0),"")</f>
        <v/>
      </c>
      <c r="J24" s="18">
        <f>IFERROR(VLOOKUP($A24,subQ,MATCH(J$1,SUBQH,0),0),"")</f>
        <v/>
      </c>
      <c r="K24" s="18">
        <f>IFERROR(VLOOKUP($A24,subQ,MATCH(K$1,SUBQH,0),0),"")</f>
        <v/>
      </c>
      <c r="L24" s="18">
        <f>IFERROR(VLOOKUP($A24,subQ,MATCH(L$1,SUBQH,0),0),"")</f>
        <v/>
      </c>
      <c r="M24" s="18">
        <f>IFERROR(VLOOKUP($A24,subQ,MATCH(M$1,SUBQH,0),0),"")</f>
        <v/>
      </c>
      <c r="N24" s="18">
        <f>IFERROR(VLOOKUP($A24,subQ,MATCH(N$1,SUBQH,0),0),"")</f>
        <v/>
      </c>
      <c r="O24" s="18">
        <f>IFERROR(VLOOKUP($A24,subQ,MATCH(O$1,SUBQH,0),0),"")</f>
        <v/>
      </c>
      <c r="P24" s="18">
        <f>IFERROR(VLOOKUP($A24,subQ,MATCH(P$1,SUBQH,0),0),"")</f>
        <v/>
      </c>
      <c r="Q24" s="18">
        <f>IFERROR(VLOOKUP($A24,subQ,MATCH(Q$1,SUBQH,0),0),"")</f>
        <v/>
      </c>
      <c r="R24" s="18">
        <f>IFERROR(VLOOKUP($A24,subQ,MATCH(R$1,SUBQH,0),0),"")</f>
        <v/>
      </c>
      <c r="S24" s="18">
        <f>IFERROR(VLOOKUP($A24,subQ,MATCH(S$1,SUBQH,0),0),"")</f>
        <v/>
      </c>
      <c r="T24" s="18">
        <f>IFERROR(VLOOKUP($A24,subQ,MATCH(T$1,SUBQH,0),0),"")</f>
        <v/>
      </c>
      <c r="U24" s="18">
        <f>IFERROR(VLOOKUP($A24,subQ,MATCH(U$1,SUBQH,0),0),"")</f>
        <v/>
      </c>
      <c r="V24" s="18">
        <f>IFERROR(VLOOKUP($A24,subQ,MATCH(V$1,SUBQH,0),0),"")</f>
        <v/>
      </c>
      <c r="W24" s="45">
        <f>IFERROR(VLOOKUP($A24,subQ,MATCH(W$1,SUBQH,0),0),"")</f>
        <v/>
      </c>
      <c r="X24" s="20">
        <f>IFERROR(VLOOKUP($A24,subQ,MATCH(X$1,SUBQH,0),0),"")</f>
        <v/>
      </c>
      <c r="Y24" s="20">
        <f>IFERROR(VLOOKUP($A24,subQ,MATCH(Y$1,SUBQH,0),0),"")</f>
        <v/>
      </c>
      <c r="Z24" s="20">
        <f>IFERROR(VLOOKUP($A24,subQ,MATCH(Z$1,SUBQH,0),0),"")</f>
        <v/>
      </c>
      <c r="AA24" s="20">
        <f>IFERROR(VLOOKUP($A24,subQ,MATCH(AA$1,SUBQH,0),0),"")</f>
        <v/>
      </c>
      <c r="AB24" s="20">
        <f>IFERROR(VLOOKUP($A24,subQ,MATCH(AB$1,SUBQH,0),0),"")</f>
        <v/>
      </c>
      <c r="AC24" s="20">
        <f>IFERROR(VLOOKUP($A24,subQ,MATCH(AC$1,SUBQH,0),0),"")</f>
        <v/>
      </c>
      <c r="AD24" s="20">
        <f>IFERROR(VLOOKUP($A24,subQ,MATCH(AD$1,SUBQH,0),0),"")</f>
        <v/>
      </c>
      <c r="AE24" s="20">
        <f>IFERROR(VLOOKUP($A24,subQ,MATCH(AE$1,SUBQH,0),0),"")</f>
        <v/>
      </c>
      <c r="AF24" s="20">
        <f>IFERROR(VLOOKUP($A24,subQ,MATCH(AF$1,SUBQH,0),0),"")</f>
        <v/>
      </c>
      <c r="AG24" s="20">
        <f>IFERROR(VLOOKUP($A24,subQ,MATCH(AG$1,SUBQH,0),0),"")</f>
        <v/>
      </c>
    </row>
    <row r="25">
      <c r="A25" s="12" t="inlineStr">
        <is>
          <t>총차입금</t>
        </is>
      </c>
      <c r="D25" t="inlineStr">
        <is>
          <t>총차입금</t>
        </is>
      </c>
      <c r="E25" s="18">
        <f>IFERROR(VLOOKUP($A25,subQ,MATCH(E$1,SUBQH,0),0),"")</f>
        <v/>
      </c>
      <c r="F25" s="18">
        <f>IFERROR(VLOOKUP($A25,subQ,MATCH(F$1,SUBQH,0),0),"")</f>
        <v/>
      </c>
      <c r="G25" s="18">
        <f>IFERROR(VLOOKUP($A25,subQ,MATCH(G$1,SUBQH,0),0),"")</f>
        <v/>
      </c>
      <c r="H25" s="18">
        <f>IFERROR(VLOOKUP($A25,subQ,MATCH(H$1,SUBQH,0),0),"")</f>
        <v/>
      </c>
      <c r="I25" s="18">
        <f>IFERROR(VLOOKUP($A25,subQ,MATCH(I$1,SUBQH,0),0),"")</f>
        <v/>
      </c>
      <c r="J25" s="18">
        <f>IFERROR(VLOOKUP($A25,subQ,MATCH(J$1,SUBQH,0),0),"")</f>
        <v/>
      </c>
      <c r="K25" s="18">
        <f>IFERROR(VLOOKUP($A25,subQ,MATCH(K$1,SUBQH,0),0),"")</f>
        <v/>
      </c>
      <c r="L25" s="18">
        <f>IFERROR(VLOOKUP($A25,subQ,MATCH(L$1,SUBQH,0),0),"")</f>
        <v/>
      </c>
      <c r="M25" s="18">
        <f>IFERROR(VLOOKUP($A25,subQ,MATCH(M$1,SUBQH,0),0),"")</f>
        <v/>
      </c>
      <c r="N25" s="18">
        <f>IFERROR(VLOOKUP($A25,subQ,MATCH(N$1,SUBQH,0),0),"")</f>
        <v/>
      </c>
      <c r="O25" s="18">
        <f>IFERROR(VLOOKUP($A25,subQ,MATCH(O$1,SUBQH,0),0),"")</f>
        <v/>
      </c>
      <c r="P25" s="18">
        <f>IFERROR(VLOOKUP($A25,subQ,MATCH(P$1,SUBQH,0),0),"")</f>
        <v/>
      </c>
      <c r="Q25" s="18">
        <f>IFERROR(VLOOKUP($A25,subQ,MATCH(Q$1,SUBQH,0),0),"")</f>
        <v/>
      </c>
      <c r="R25" s="18">
        <f>IFERROR(VLOOKUP($A25,subQ,MATCH(R$1,SUBQH,0),0),"")</f>
        <v/>
      </c>
      <c r="S25" s="18">
        <f>IFERROR(VLOOKUP($A25,subQ,MATCH(S$1,SUBQH,0),0),"")</f>
        <v/>
      </c>
      <c r="T25" s="18">
        <f>IFERROR(VLOOKUP($A25,subQ,MATCH(T$1,SUBQH,0),0),"")</f>
        <v/>
      </c>
      <c r="U25" s="18">
        <f>IFERROR(VLOOKUP($A25,subQ,MATCH(U$1,SUBQH,0),0),"")</f>
        <v/>
      </c>
      <c r="V25" s="18">
        <f>IFERROR(VLOOKUP($A25,subQ,MATCH(V$1,SUBQH,0),0),"")</f>
        <v/>
      </c>
      <c r="W25" s="45">
        <f>IFERROR(VLOOKUP($A25,subQ,MATCH(W$1,SUBQH,0),0),"")</f>
        <v/>
      </c>
      <c r="X25" s="20">
        <f>IFERROR(VLOOKUP($A25,subQ,MATCH(X$1,SUBQH,0),0),"")</f>
        <v/>
      </c>
      <c r="Y25" s="20">
        <f>IFERROR(VLOOKUP($A25,subQ,MATCH(Y$1,SUBQH,0),0),"")</f>
        <v/>
      </c>
      <c r="Z25" s="20">
        <f>IFERROR(VLOOKUP($A25,subQ,MATCH(Z$1,SUBQH,0),0),"")</f>
        <v/>
      </c>
      <c r="AA25" s="20">
        <f>IFERROR(VLOOKUP($A25,subQ,MATCH(AA$1,SUBQH,0),0),"")</f>
        <v/>
      </c>
      <c r="AB25" s="20">
        <f>IFERROR(VLOOKUP($A25,subQ,MATCH(AB$1,SUBQH,0),0),"")</f>
        <v/>
      </c>
      <c r="AC25" s="20">
        <f>IFERROR(VLOOKUP($A25,subQ,MATCH(AC$1,SUBQH,0),0),"")</f>
        <v/>
      </c>
      <c r="AD25" s="20">
        <f>IFERROR(VLOOKUP($A25,subQ,MATCH(AD$1,SUBQH,0),0),"")</f>
        <v/>
      </c>
      <c r="AE25" s="20">
        <f>IFERROR(VLOOKUP($A25,subQ,MATCH(AE$1,SUBQH,0),0),"")</f>
        <v/>
      </c>
      <c r="AF25" s="20">
        <f>IFERROR(VLOOKUP($A25,subQ,MATCH(AF$1,SUBQH,0),0),"")</f>
        <v/>
      </c>
      <c r="AG25" s="20">
        <f>IFERROR(VLOOKUP($A25,subQ,MATCH(AG$1,SUBQH,0),0),"")</f>
        <v/>
      </c>
    </row>
    <row r="26">
      <c r="A26" s="12" t="inlineStr">
        <is>
          <t>순차입금</t>
        </is>
      </c>
      <c r="D26" t="inlineStr">
        <is>
          <t>순차입금</t>
        </is>
      </c>
      <c r="E26" s="18">
        <f>IFERROR(VLOOKUP($A26,subQ,MATCH(E$1,SUBQH,0),0),"")</f>
        <v/>
      </c>
      <c r="F26" s="18">
        <f>IFERROR(VLOOKUP($A26,subQ,MATCH(F$1,SUBQH,0),0),"")</f>
        <v/>
      </c>
      <c r="G26" s="18">
        <f>IFERROR(VLOOKUP($A26,subQ,MATCH(G$1,SUBQH,0),0),"")</f>
        <v/>
      </c>
      <c r="H26" s="18">
        <f>IFERROR(VLOOKUP($A26,subQ,MATCH(H$1,SUBQH,0),0),"")</f>
        <v/>
      </c>
      <c r="I26" s="18">
        <f>IFERROR(VLOOKUP($A26,subQ,MATCH(I$1,SUBQH,0),0),"")</f>
        <v/>
      </c>
      <c r="J26" s="18">
        <f>IFERROR(VLOOKUP($A26,subQ,MATCH(J$1,SUBQH,0),0),"")</f>
        <v/>
      </c>
      <c r="K26" s="18">
        <f>IFERROR(VLOOKUP($A26,subQ,MATCH(K$1,SUBQH,0),0),"")</f>
        <v/>
      </c>
      <c r="L26" s="18">
        <f>IFERROR(VLOOKUP($A26,subQ,MATCH(L$1,SUBQH,0),0),"")</f>
        <v/>
      </c>
      <c r="M26" s="18">
        <f>IFERROR(VLOOKUP($A26,subQ,MATCH(M$1,SUBQH,0),0),"")</f>
        <v/>
      </c>
      <c r="N26" s="18">
        <f>IFERROR(VLOOKUP($A26,subQ,MATCH(N$1,SUBQH,0),0),"")</f>
        <v/>
      </c>
      <c r="O26" s="18">
        <f>IFERROR(VLOOKUP($A26,subQ,MATCH(O$1,SUBQH,0),0),"")</f>
        <v/>
      </c>
      <c r="P26" s="18">
        <f>IFERROR(VLOOKUP($A26,subQ,MATCH(P$1,SUBQH,0),0),"")</f>
        <v/>
      </c>
      <c r="Q26" s="18">
        <f>IFERROR(VLOOKUP($A26,subQ,MATCH(Q$1,SUBQH,0),0),"")</f>
        <v/>
      </c>
      <c r="R26" s="18">
        <f>IFERROR(VLOOKUP($A26,subQ,MATCH(R$1,SUBQH,0),0),"")</f>
        <v/>
      </c>
      <c r="S26" s="18">
        <f>IFERROR(VLOOKUP($A26,subQ,MATCH(S$1,SUBQH,0),0),"")</f>
        <v/>
      </c>
      <c r="T26" s="18">
        <f>IFERROR(VLOOKUP($A26,subQ,MATCH(T$1,SUBQH,0),0),"")</f>
        <v/>
      </c>
      <c r="U26" s="18">
        <f>IFERROR(VLOOKUP($A26,subQ,MATCH(U$1,SUBQH,0),0),"")</f>
        <v/>
      </c>
      <c r="V26" s="18">
        <f>IFERROR(VLOOKUP($A26,subQ,MATCH(V$1,SUBQH,0),0),"")</f>
        <v/>
      </c>
      <c r="W26" s="45">
        <f>IFERROR(VLOOKUP($A26,subQ,MATCH(W$1,SUBQH,0),0),"")</f>
        <v/>
      </c>
      <c r="X26" s="20">
        <f>IFERROR(VLOOKUP($A26,subQ,MATCH(X$1,SUBQH,0),0),"")</f>
        <v/>
      </c>
      <c r="Y26" s="20">
        <f>IFERROR(VLOOKUP($A26,subQ,MATCH(Y$1,SUBQH,0),0),"")</f>
        <v/>
      </c>
      <c r="Z26" s="20">
        <f>IFERROR(VLOOKUP($A26,subQ,MATCH(Z$1,SUBQH,0),0),"")</f>
        <v/>
      </c>
      <c r="AA26" s="20">
        <f>IFERROR(VLOOKUP($A26,subQ,MATCH(AA$1,SUBQH,0),0),"")</f>
        <v/>
      </c>
      <c r="AB26" s="20">
        <f>IFERROR(VLOOKUP($A26,subQ,MATCH(AB$1,SUBQH,0),0),"")</f>
        <v/>
      </c>
      <c r="AC26" s="20">
        <f>IFERROR(VLOOKUP($A26,subQ,MATCH(AC$1,SUBQH,0),0),"")</f>
        <v/>
      </c>
      <c r="AD26" s="20">
        <f>IFERROR(VLOOKUP($A26,subQ,MATCH(AD$1,SUBQH,0),0),"")</f>
        <v/>
      </c>
      <c r="AE26" s="20">
        <f>IFERROR(VLOOKUP($A26,subQ,MATCH(AE$1,SUBQH,0),0),"")</f>
        <v/>
      </c>
      <c r="AF26" s="20">
        <f>IFERROR(VLOOKUP($A26,subQ,MATCH(AF$1,SUBQH,0),0),"")</f>
        <v/>
      </c>
      <c r="AG26" s="20">
        <f>IFERROR(VLOOKUP($A26,subQ,MATCH(AG$1,SUBQH,0),0),"")</f>
        <v/>
      </c>
    </row>
    <row r="27">
      <c r="A27" s="12" t="inlineStr">
        <is>
          <t>이자발생자산</t>
        </is>
      </c>
      <c r="D27" t="inlineStr">
        <is>
          <t>이자발생자산</t>
        </is>
      </c>
      <c r="E27" s="18">
        <f>IFERROR(VLOOKUP($A27,subQ,MATCH(E$1,SUBQH,0),0),"")</f>
        <v/>
      </c>
      <c r="F27" s="18">
        <f>IFERROR(VLOOKUP($A27,subQ,MATCH(F$1,SUBQH,0),0),"")</f>
        <v/>
      </c>
      <c r="G27" s="18">
        <f>IFERROR(VLOOKUP($A27,subQ,MATCH(G$1,SUBQH,0),0),"")</f>
        <v/>
      </c>
      <c r="H27" s="18">
        <f>IFERROR(VLOOKUP($A27,subQ,MATCH(H$1,SUBQH,0),0),"")</f>
        <v/>
      </c>
      <c r="I27" s="18">
        <f>IFERROR(VLOOKUP($A27,subQ,MATCH(I$1,SUBQH,0),0),"")</f>
        <v/>
      </c>
      <c r="J27" s="18">
        <f>IFERROR(VLOOKUP($A27,subQ,MATCH(J$1,SUBQH,0),0),"")</f>
        <v/>
      </c>
      <c r="K27" s="18">
        <f>IFERROR(VLOOKUP($A27,subQ,MATCH(K$1,SUBQH,0),0),"")</f>
        <v/>
      </c>
      <c r="L27" s="18">
        <f>IFERROR(VLOOKUP($A27,subQ,MATCH(L$1,SUBQH,0),0),"")</f>
        <v/>
      </c>
      <c r="M27" s="18">
        <f>IFERROR(VLOOKUP($A27,subQ,MATCH(M$1,SUBQH,0),0),"")</f>
        <v/>
      </c>
      <c r="N27" s="18">
        <f>IFERROR(VLOOKUP($A27,subQ,MATCH(N$1,SUBQH,0),0),"")</f>
        <v/>
      </c>
      <c r="O27" s="18">
        <f>IFERROR(VLOOKUP($A27,subQ,MATCH(O$1,SUBQH,0),0),"")</f>
        <v/>
      </c>
      <c r="P27" s="18">
        <f>IFERROR(VLOOKUP($A27,subQ,MATCH(P$1,SUBQH,0),0),"")</f>
        <v/>
      </c>
      <c r="Q27" s="18">
        <f>IFERROR(VLOOKUP($A27,subQ,MATCH(Q$1,SUBQH,0),0),"")</f>
        <v/>
      </c>
      <c r="R27" s="18">
        <f>IFERROR(VLOOKUP($A27,subQ,MATCH(R$1,SUBQH,0),0),"")</f>
        <v/>
      </c>
      <c r="S27" s="18">
        <f>IFERROR(VLOOKUP($A27,subQ,MATCH(S$1,SUBQH,0),0),"")</f>
        <v/>
      </c>
      <c r="T27" s="18">
        <f>IFERROR(VLOOKUP($A27,subQ,MATCH(T$1,SUBQH,0),0),"")</f>
        <v/>
      </c>
      <c r="U27" s="18">
        <f>IFERROR(VLOOKUP($A27,subQ,MATCH(U$1,SUBQH,0),0),"")</f>
        <v/>
      </c>
      <c r="V27" s="18">
        <f>IFERROR(VLOOKUP($A27,subQ,MATCH(V$1,SUBQH,0),0),"")</f>
        <v/>
      </c>
      <c r="W27" s="45">
        <f>IFERROR(VLOOKUP($A27,subQ,MATCH(W$1,SUBQH,0),0),"")</f>
        <v/>
      </c>
      <c r="X27" s="20">
        <f>IFERROR(VLOOKUP($A27,subQ,MATCH(X$1,SUBQH,0),0),"")</f>
        <v/>
      </c>
      <c r="Y27" s="20">
        <f>IFERROR(VLOOKUP($A27,subQ,MATCH(Y$1,SUBQH,0),0),"")</f>
        <v/>
      </c>
      <c r="Z27" s="20">
        <f>IFERROR(VLOOKUP($A27,subQ,MATCH(Z$1,SUBQH,0),0),"")</f>
        <v/>
      </c>
      <c r="AA27" s="20">
        <f>IFERROR(VLOOKUP($A27,subQ,MATCH(AA$1,SUBQH,0),0),"")</f>
        <v/>
      </c>
      <c r="AB27" s="20">
        <f>IFERROR(VLOOKUP($A27,subQ,MATCH(AB$1,SUBQH,0),0),"")</f>
        <v/>
      </c>
      <c r="AC27" s="20">
        <f>IFERROR(VLOOKUP($A27,subQ,MATCH(AC$1,SUBQH,0),0),"")</f>
        <v/>
      </c>
      <c r="AD27" s="20">
        <f>IFERROR(VLOOKUP($A27,subQ,MATCH(AD$1,SUBQH,0),0),"")</f>
        <v/>
      </c>
      <c r="AE27" s="20">
        <f>IFERROR(VLOOKUP($A27,subQ,MATCH(AE$1,SUBQH,0),0),"")</f>
        <v/>
      </c>
      <c r="AF27" s="20">
        <f>IFERROR(VLOOKUP($A27,subQ,MATCH(AF$1,SUBQH,0),0),"")</f>
        <v/>
      </c>
      <c r="AG27" s="20">
        <f>IFERROR(VLOOKUP($A27,subQ,MATCH(AG$1,SUBQH,0),0),"")</f>
        <v/>
      </c>
    </row>
    <row r="28">
      <c r="A28" s="12" t="inlineStr">
        <is>
          <t>현금및현금성자산</t>
        </is>
      </c>
      <c r="D28" t="inlineStr">
        <is>
          <t>현금및현금성자산</t>
        </is>
      </c>
      <c r="E28" s="18">
        <f>IFERROR(VLOOKUP($A28,subQ,MATCH(E$1,SUBQH,0),0),"")</f>
        <v/>
      </c>
      <c r="F28" s="18">
        <f>IFERROR(VLOOKUP($A28,subQ,MATCH(F$1,SUBQH,0),0),"")</f>
        <v/>
      </c>
      <c r="G28" s="18">
        <f>IFERROR(VLOOKUP($A28,subQ,MATCH(G$1,SUBQH,0),0),"")</f>
        <v/>
      </c>
      <c r="H28" s="18">
        <f>IFERROR(VLOOKUP($A28,subQ,MATCH(H$1,SUBQH,0),0),"")</f>
        <v/>
      </c>
      <c r="I28" s="18">
        <f>IFERROR(VLOOKUP($A28,subQ,MATCH(I$1,SUBQH,0),0),"")</f>
        <v/>
      </c>
      <c r="J28" s="18">
        <f>IFERROR(VLOOKUP($A28,subQ,MATCH(J$1,SUBQH,0),0),"")</f>
        <v/>
      </c>
      <c r="K28" s="18">
        <f>IFERROR(VLOOKUP($A28,subQ,MATCH(K$1,SUBQH,0),0),"")</f>
        <v/>
      </c>
      <c r="L28" s="18">
        <f>IFERROR(VLOOKUP($A28,subQ,MATCH(L$1,SUBQH,0),0),"")</f>
        <v/>
      </c>
      <c r="M28" s="18">
        <f>IFERROR(VLOOKUP($A28,subQ,MATCH(M$1,SUBQH,0),0),"")</f>
        <v/>
      </c>
      <c r="N28" s="18">
        <f>IFERROR(VLOOKUP($A28,subQ,MATCH(N$1,SUBQH,0),0),"")</f>
        <v/>
      </c>
      <c r="O28" s="18">
        <f>IFERROR(VLOOKUP($A28,subQ,MATCH(O$1,SUBQH,0),0),"")</f>
        <v/>
      </c>
      <c r="P28" s="18">
        <f>IFERROR(VLOOKUP($A28,subQ,MATCH(P$1,SUBQH,0),0),"")</f>
        <v/>
      </c>
      <c r="Q28" s="18">
        <f>IFERROR(VLOOKUP($A28,subQ,MATCH(Q$1,SUBQH,0),0),"")</f>
        <v/>
      </c>
      <c r="R28" s="18">
        <f>IFERROR(VLOOKUP($A28,subQ,MATCH(R$1,SUBQH,0),0),"")</f>
        <v/>
      </c>
      <c r="S28" s="18">
        <f>IFERROR(VLOOKUP($A28,subQ,MATCH(S$1,SUBQH,0),0),"")</f>
        <v/>
      </c>
      <c r="T28" s="18">
        <f>IFERROR(VLOOKUP($A28,subQ,MATCH(T$1,SUBQH,0),0),"")</f>
        <v/>
      </c>
      <c r="U28" s="18">
        <f>IFERROR(VLOOKUP($A28,subQ,MATCH(U$1,SUBQH,0),0),"")</f>
        <v/>
      </c>
      <c r="V28" s="18">
        <f>IFERROR(VLOOKUP($A28,subQ,MATCH(V$1,SUBQH,0),0),"")</f>
        <v/>
      </c>
      <c r="W28" s="45">
        <f>IFERROR(VLOOKUP($A28,subQ,MATCH(W$1,SUBQH,0),0),"")</f>
        <v/>
      </c>
      <c r="X28" s="20">
        <f>IFERROR(VLOOKUP($A28,subQ,MATCH(X$1,SUBQH,0),0),"")</f>
        <v/>
      </c>
      <c r="Y28" s="20">
        <f>IFERROR(VLOOKUP($A28,subQ,MATCH(Y$1,SUBQH,0),0),"")</f>
        <v/>
      </c>
      <c r="Z28" s="20">
        <f>IFERROR(VLOOKUP($A28,subQ,MATCH(Z$1,SUBQH,0),0),"")</f>
        <v/>
      </c>
      <c r="AA28" s="20">
        <f>IFERROR(VLOOKUP($A28,subQ,MATCH(AA$1,SUBQH,0),0),"")</f>
        <v/>
      </c>
      <c r="AB28" s="20">
        <f>IFERROR(VLOOKUP($A28,subQ,MATCH(AB$1,SUBQH,0),0),"")</f>
        <v/>
      </c>
      <c r="AC28" s="20">
        <f>IFERROR(VLOOKUP($A28,subQ,MATCH(AC$1,SUBQH,0),0),"")</f>
        <v/>
      </c>
      <c r="AD28" s="20">
        <f>IFERROR(VLOOKUP($A28,subQ,MATCH(AD$1,SUBQH,0),0),"")</f>
        <v/>
      </c>
      <c r="AE28" s="20">
        <f>IFERROR(VLOOKUP($A28,subQ,MATCH(AE$1,SUBQH,0),0),"")</f>
        <v/>
      </c>
      <c r="AF28" s="20">
        <f>IFERROR(VLOOKUP($A28,subQ,MATCH(AF$1,SUBQH,0),0),"")</f>
        <v/>
      </c>
      <c r="AG28" s="20">
        <f>IFERROR(VLOOKUP($A28,subQ,MATCH(AG$1,SUBQH,0),0),"")</f>
        <v/>
      </c>
    </row>
    <row r="29">
      <c r="A29" s="12" t="inlineStr">
        <is>
          <t>CAPEX</t>
        </is>
      </c>
      <c r="D29" t="inlineStr">
        <is>
          <t>CAPEX</t>
        </is>
      </c>
      <c r="E29" s="18">
        <f>IFERROR(VLOOKUP($A29,subQ,MATCH(E$1,SUBQH,0),0),"")</f>
        <v/>
      </c>
      <c r="F29" s="18">
        <f>IFERROR(VLOOKUP($A29,subQ,MATCH(F$1,SUBQH,0),0),"")</f>
        <v/>
      </c>
      <c r="G29" s="18">
        <f>IFERROR(VLOOKUP($A29,subQ,MATCH(G$1,SUBQH,0),0),"")</f>
        <v/>
      </c>
      <c r="H29" s="18">
        <f>IFERROR(VLOOKUP($A29,subQ,MATCH(H$1,SUBQH,0),0),"")</f>
        <v/>
      </c>
      <c r="I29" s="18">
        <f>IFERROR(VLOOKUP($A29,subQ,MATCH(I$1,SUBQH,0),0),"")</f>
        <v/>
      </c>
      <c r="J29" s="18">
        <f>IFERROR(VLOOKUP($A29,subQ,MATCH(J$1,SUBQH,0),0),"")</f>
        <v/>
      </c>
      <c r="K29" s="18">
        <f>IFERROR(VLOOKUP($A29,subQ,MATCH(K$1,SUBQH,0),0),"")</f>
        <v/>
      </c>
      <c r="L29" s="18">
        <f>IFERROR(VLOOKUP($A29,subQ,MATCH(L$1,SUBQH,0),0),"")</f>
        <v/>
      </c>
      <c r="M29" s="18">
        <f>IFERROR(VLOOKUP($A29,subQ,MATCH(M$1,SUBQH,0),0),"")</f>
        <v/>
      </c>
      <c r="N29" s="18">
        <f>IFERROR(VLOOKUP($A29,subQ,MATCH(N$1,SUBQH,0),0),"")</f>
        <v/>
      </c>
      <c r="O29" s="18">
        <f>IFERROR(VLOOKUP($A29,subQ,MATCH(O$1,SUBQH,0),0),"")</f>
        <v/>
      </c>
      <c r="P29" s="18">
        <f>IFERROR(VLOOKUP($A29,subQ,MATCH(P$1,SUBQH,0),0),"")</f>
        <v/>
      </c>
      <c r="Q29" s="18">
        <f>IFERROR(VLOOKUP($A29,subQ,MATCH(Q$1,SUBQH,0),0),"")</f>
        <v/>
      </c>
      <c r="R29" s="18">
        <f>IFERROR(VLOOKUP($A29,subQ,MATCH(R$1,SUBQH,0),0),"")</f>
        <v/>
      </c>
      <c r="S29" s="18">
        <f>IFERROR(VLOOKUP($A29,subQ,MATCH(S$1,SUBQH,0),0),"")</f>
        <v/>
      </c>
      <c r="T29" s="18">
        <f>IFERROR(VLOOKUP($A29,subQ,MATCH(T$1,SUBQH,0),0),"")</f>
        <v/>
      </c>
      <c r="U29" s="18">
        <f>IFERROR(VLOOKUP($A29,subQ,MATCH(U$1,SUBQH,0),0),"")</f>
        <v/>
      </c>
      <c r="V29" s="18">
        <f>IFERROR(VLOOKUP($A29,subQ,MATCH(V$1,SUBQH,0),0),"")</f>
        <v/>
      </c>
      <c r="W29" s="45">
        <f>IFERROR(VLOOKUP($A29,subQ,MATCH(W$1,SUBQH,0),0),"")</f>
        <v/>
      </c>
      <c r="X29" s="20">
        <f>IFERROR(VLOOKUP($A29,subQ,MATCH(X$1,SUBQH,0),0),"")</f>
        <v/>
      </c>
      <c r="Y29" s="20">
        <f>IFERROR(VLOOKUP($A29,subQ,MATCH(Y$1,SUBQH,0),0),"")</f>
        <v/>
      </c>
      <c r="Z29" s="20">
        <f>IFERROR(VLOOKUP($A29,subQ,MATCH(Z$1,SUBQH,0),0),"")</f>
        <v/>
      </c>
      <c r="AA29" s="20">
        <f>IFERROR(VLOOKUP($A29,subQ,MATCH(AA$1,SUBQH,0),0),"")</f>
        <v/>
      </c>
      <c r="AB29" s="20">
        <f>IFERROR(VLOOKUP($A29,subQ,MATCH(AB$1,SUBQH,0),0),"")</f>
        <v/>
      </c>
      <c r="AC29" s="20">
        <f>IFERROR(VLOOKUP($A29,subQ,MATCH(AC$1,SUBQH,0),0),"")</f>
        <v/>
      </c>
      <c r="AD29" s="20">
        <f>IFERROR(VLOOKUP($A29,subQ,MATCH(AD$1,SUBQH,0),0),"")</f>
        <v/>
      </c>
      <c r="AE29" s="20">
        <f>IFERROR(VLOOKUP($A29,subQ,MATCH(AE$1,SUBQH,0),0),"")</f>
        <v/>
      </c>
      <c r="AF29" s="20">
        <f>IFERROR(VLOOKUP($A29,subQ,MATCH(AF$1,SUBQH,0),0),"")</f>
        <v/>
      </c>
      <c r="AG29" s="20">
        <f>IFERROR(VLOOKUP($A29,subQ,MATCH(AG$1,SUBQH,0),0),"")</f>
        <v/>
      </c>
    </row>
    <row r="30">
      <c r="A30" s="12" t="inlineStr">
        <is>
          <t>영업활동현금흐름</t>
        </is>
      </c>
      <c r="D30" t="inlineStr">
        <is>
          <t>영업활동현금흐름</t>
        </is>
      </c>
      <c r="E30" s="18">
        <f>IFERROR(VLOOKUP($A30,subQ,MATCH(E$1,SUBQH,0),0),"")</f>
        <v/>
      </c>
      <c r="F30" s="18">
        <f>IFERROR(VLOOKUP($A30,subQ,MATCH(F$1,SUBQH,0),0),"")</f>
        <v/>
      </c>
      <c r="G30" s="18">
        <f>IFERROR(VLOOKUP($A30,subQ,MATCH(G$1,SUBQH,0),0),"")</f>
        <v/>
      </c>
      <c r="H30" s="18">
        <f>IFERROR(VLOOKUP($A30,subQ,MATCH(H$1,SUBQH,0),0),"")</f>
        <v/>
      </c>
      <c r="I30" s="18">
        <f>IFERROR(VLOOKUP($A30,subQ,MATCH(I$1,SUBQH,0),0),"")</f>
        <v/>
      </c>
      <c r="J30" s="18">
        <f>IFERROR(VLOOKUP($A30,subQ,MATCH(J$1,SUBQH,0),0),"")</f>
        <v/>
      </c>
      <c r="K30" s="18">
        <f>IFERROR(VLOOKUP($A30,subQ,MATCH(K$1,SUBQH,0),0),"")</f>
        <v/>
      </c>
      <c r="L30" s="18">
        <f>IFERROR(VLOOKUP($A30,subQ,MATCH(L$1,SUBQH,0),0),"")</f>
        <v/>
      </c>
      <c r="M30" s="18">
        <f>IFERROR(VLOOKUP($A30,subQ,MATCH(M$1,SUBQH,0),0),"")</f>
        <v/>
      </c>
      <c r="N30" s="18">
        <f>IFERROR(VLOOKUP($A30,subQ,MATCH(N$1,SUBQH,0),0),"")</f>
        <v/>
      </c>
      <c r="O30" s="18">
        <f>IFERROR(VLOOKUP($A30,subQ,MATCH(O$1,SUBQH,0),0),"")</f>
        <v/>
      </c>
      <c r="P30" s="18">
        <f>IFERROR(VLOOKUP($A30,subQ,MATCH(P$1,SUBQH,0),0),"")</f>
        <v/>
      </c>
      <c r="Q30" s="18">
        <f>IFERROR(VLOOKUP($A30,subQ,MATCH(Q$1,SUBQH,0),0),"")</f>
        <v/>
      </c>
      <c r="R30" s="18">
        <f>IFERROR(VLOOKUP($A30,subQ,MATCH(R$1,SUBQH,0),0),"")</f>
        <v/>
      </c>
      <c r="S30" s="18">
        <f>IFERROR(VLOOKUP($A30,subQ,MATCH(S$1,SUBQH,0),0),"")</f>
        <v/>
      </c>
      <c r="T30" s="18">
        <f>IFERROR(VLOOKUP($A30,subQ,MATCH(T$1,SUBQH,0),0),"")</f>
        <v/>
      </c>
      <c r="U30" s="18">
        <f>IFERROR(VLOOKUP($A30,subQ,MATCH(U$1,SUBQH,0),0),"")</f>
        <v/>
      </c>
      <c r="V30" s="18">
        <f>IFERROR(VLOOKUP($A30,subQ,MATCH(V$1,SUBQH,0),0),"")</f>
        <v/>
      </c>
      <c r="W30" s="45">
        <f>IFERROR(VLOOKUP($A30,subQ,MATCH(W$1,SUBQH,0),0),"")</f>
        <v/>
      </c>
      <c r="X30" s="20">
        <f>IFERROR(VLOOKUP($A30,subQ,MATCH(X$1,SUBQH,0),0),"")</f>
        <v/>
      </c>
      <c r="Y30" s="20">
        <f>IFERROR(VLOOKUP($A30,subQ,MATCH(Y$1,SUBQH,0),0),"")</f>
        <v/>
      </c>
      <c r="Z30" s="20">
        <f>IFERROR(VLOOKUP($A30,subQ,MATCH(Z$1,SUBQH,0),0),"")</f>
        <v/>
      </c>
      <c r="AA30" s="20">
        <f>IFERROR(VLOOKUP($A30,subQ,MATCH(AA$1,SUBQH,0),0),"")</f>
        <v/>
      </c>
      <c r="AB30" s="20">
        <f>IFERROR(VLOOKUP($A30,subQ,MATCH(AB$1,SUBQH,0),0),"")</f>
        <v/>
      </c>
      <c r="AC30" s="20">
        <f>IFERROR(VLOOKUP($A30,subQ,MATCH(AC$1,SUBQH,0),0),"")</f>
        <v/>
      </c>
      <c r="AD30" s="20">
        <f>IFERROR(VLOOKUP($A30,subQ,MATCH(AD$1,SUBQH,0),0),"")</f>
        <v/>
      </c>
      <c r="AE30" s="20">
        <f>IFERROR(VLOOKUP($A30,subQ,MATCH(AE$1,SUBQH,0),0),"")</f>
        <v/>
      </c>
      <c r="AF30" s="20">
        <f>IFERROR(VLOOKUP($A30,subQ,MATCH(AF$1,SUBQH,0),0),"")</f>
        <v/>
      </c>
      <c r="AG30" s="20">
        <f>IFERROR(VLOOKUP($A30,subQ,MATCH(AG$1,SUBQH,0),0),"")</f>
        <v/>
      </c>
    </row>
    <row r="31">
      <c r="A31" s="12" t="inlineStr">
        <is>
          <t>주식수</t>
        </is>
      </c>
      <c r="D31" t="inlineStr">
        <is>
          <t>유통주식수</t>
        </is>
      </c>
      <c r="E31" s="27">
        <f>IFERROR(VLOOKUP($A31,subQ,MATCH(E$1,SUBQH,0),0),"")</f>
        <v/>
      </c>
      <c r="F31" s="27">
        <f>IFERROR(VLOOKUP($A31,subQ,MATCH(F$1,SUBQH,0),0),"")</f>
        <v/>
      </c>
      <c r="G31" s="27">
        <f>IFERROR(VLOOKUP($A31,subQ,MATCH(G$1,SUBQH,0),0),"")</f>
        <v/>
      </c>
      <c r="H31" s="27">
        <f>IFERROR(VLOOKUP($A31,subQ,MATCH(H$1,SUBQH,0),0),"")</f>
        <v/>
      </c>
      <c r="I31" s="27">
        <f>IFERROR(VLOOKUP($A31,subQ,MATCH(I$1,SUBQH,0),0),"")</f>
        <v/>
      </c>
      <c r="J31" s="27">
        <f>IFERROR(VLOOKUP($A31,subQ,MATCH(J$1,SUBQH,0),0),"")</f>
        <v/>
      </c>
      <c r="K31" s="27">
        <f>IFERROR(VLOOKUP($A31,subQ,MATCH(K$1,SUBQH,0),0),"")</f>
        <v/>
      </c>
      <c r="L31" s="27">
        <f>IFERROR(VLOOKUP($A31,subQ,MATCH(L$1,SUBQH,0),0),"")</f>
        <v/>
      </c>
      <c r="M31" s="27">
        <f>IFERROR(VLOOKUP($A31,subQ,MATCH(M$1,SUBQH,0),0),"")</f>
        <v/>
      </c>
      <c r="N31" s="27">
        <f>IFERROR(VLOOKUP($A31,subQ,MATCH(N$1,SUBQH,0),0),"")</f>
        <v/>
      </c>
      <c r="O31" s="27">
        <f>IFERROR(VLOOKUP($A31,subQ,MATCH(O$1,SUBQH,0),0),"")</f>
        <v/>
      </c>
      <c r="P31" s="27">
        <f>IFERROR(VLOOKUP($A31,subQ,MATCH(P$1,SUBQH,0),0),"")</f>
        <v/>
      </c>
      <c r="Q31" s="27">
        <f>IFERROR(VLOOKUP($A31,subQ,MATCH(Q$1,SUBQH,0),0),"")</f>
        <v/>
      </c>
      <c r="R31" s="27">
        <f>IFERROR(VLOOKUP($A31,subQ,MATCH(R$1,SUBQH,0),0),"")</f>
        <v/>
      </c>
      <c r="S31" s="27">
        <f>IFERROR(VLOOKUP($A31,subQ,MATCH(S$1,SUBQH,0),0),"")</f>
        <v/>
      </c>
      <c r="T31" s="27">
        <f>IFERROR(VLOOKUP($A31,subQ,MATCH(T$1,SUBQH,0),0),"")</f>
        <v/>
      </c>
      <c r="U31" s="27">
        <f>IFERROR(VLOOKUP($A31,subQ,MATCH(U$1,SUBQH,0),0),"")</f>
        <v/>
      </c>
      <c r="V31" s="27">
        <f>IFERROR(VLOOKUP($A31,subQ,MATCH(V$1,SUBQH,0),0),"")</f>
        <v/>
      </c>
      <c r="W31" s="47">
        <f>IFERROR(VLOOKUP($A31,subQ,MATCH(W$1,SUBQH,0),0),"")</f>
        <v/>
      </c>
      <c r="X31" s="33">
        <f>IFERROR(VLOOKUP($A31,subQ,MATCH(X$1,SUBQH,0),0),"")</f>
        <v/>
      </c>
      <c r="Y31" s="33">
        <f>IFERROR(VLOOKUP($A31,subQ,MATCH(Y$1,SUBQH,0),0),"")</f>
        <v/>
      </c>
      <c r="Z31" s="33">
        <f>IFERROR(VLOOKUP($A31,subQ,MATCH(Z$1,SUBQH,0),0),"")</f>
        <v/>
      </c>
      <c r="AA31" s="33">
        <f>IFERROR(VLOOKUP($A31,subQ,MATCH(AA$1,SUBQH,0),0),"")</f>
        <v/>
      </c>
      <c r="AB31" s="33">
        <f>IFERROR(VLOOKUP($A31,subQ,MATCH(AB$1,SUBQH,0),0),"")</f>
        <v/>
      </c>
      <c r="AC31" s="33">
        <f>IFERROR(VLOOKUP($A31,subQ,MATCH(AC$1,SUBQH,0),0),"")</f>
        <v/>
      </c>
      <c r="AD31" s="33">
        <f>IFERROR(VLOOKUP($A31,subQ,MATCH(AD$1,SUBQH,0),0),"")</f>
        <v/>
      </c>
      <c r="AE31" s="33">
        <f>IFERROR(VLOOKUP($A31,subQ,MATCH(AE$1,SUBQH,0),0),"")</f>
        <v/>
      </c>
      <c r="AF31" s="33">
        <f>IFERROR(VLOOKUP($A31,subQ,MATCH(AF$1,SUBQH,0),0),"")</f>
        <v/>
      </c>
      <c r="AG31" s="33">
        <f>IFERROR(VLOOKUP($A31,subQ,MATCH(AG$1,SUBQH,0),0),"")</f>
        <v/>
      </c>
    </row>
    <row r="32">
      <c r="A32" s="12" t="inlineStr">
        <is>
          <t>EPS</t>
        </is>
      </c>
      <c r="D32" t="inlineStr">
        <is>
          <t>EPS</t>
        </is>
      </c>
      <c r="E32" s="18">
        <f>IFERROR(VLOOKUP($A32,subQ,MATCH(E$1,SUBQH,0),0),"")</f>
        <v/>
      </c>
      <c r="F32" s="18">
        <f>IFERROR(VLOOKUP($A32,subQ,MATCH(F$1,SUBQH,0),0),"")</f>
        <v/>
      </c>
      <c r="G32" s="18">
        <f>IFERROR(VLOOKUP($A32,subQ,MATCH(G$1,SUBQH,0),0),"")</f>
        <v/>
      </c>
      <c r="H32" s="18">
        <f>IFERROR(VLOOKUP($A32,subQ,MATCH(H$1,SUBQH,0),0),"")</f>
        <v/>
      </c>
      <c r="I32" s="18">
        <f>IFERROR(VLOOKUP($A32,subQ,MATCH(I$1,SUBQH,0),0),"")</f>
        <v/>
      </c>
      <c r="J32" s="18">
        <f>IFERROR(VLOOKUP($A32,subQ,MATCH(J$1,SUBQH,0),0),"")</f>
        <v/>
      </c>
      <c r="K32" s="18">
        <f>IFERROR(VLOOKUP($A32,subQ,MATCH(K$1,SUBQH,0),0),"")</f>
        <v/>
      </c>
      <c r="L32" s="18">
        <f>IFERROR(VLOOKUP($A32,subQ,MATCH(L$1,SUBQH,0),0),"")</f>
        <v/>
      </c>
      <c r="M32" s="18">
        <f>IFERROR(VLOOKUP($A32,subQ,MATCH(M$1,SUBQH,0),0),"")</f>
        <v/>
      </c>
      <c r="N32" s="18">
        <f>IFERROR(VLOOKUP($A32,subQ,MATCH(N$1,SUBQH,0),0),"")</f>
        <v/>
      </c>
      <c r="O32" s="18">
        <f>IFERROR(VLOOKUP($A32,subQ,MATCH(O$1,SUBQH,0),0),"")</f>
        <v/>
      </c>
      <c r="P32" s="18">
        <f>IFERROR(VLOOKUP($A32,subQ,MATCH(P$1,SUBQH,0),0),"")</f>
        <v/>
      </c>
      <c r="Q32" s="18">
        <f>IFERROR(VLOOKUP($A32,subQ,MATCH(Q$1,SUBQH,0),0),"")</f>
        <v/>
      </c>
      <c r="R32" s="18">
        <f>IFERROR(VLOOKUP($A32,subQ,MATCH(R$1,SUBQH,0),0),"")</f>
        <v/>
      </c>
      <c r="S32" s="18">
        <f>IFERROR(VLOOKUP($A32,subQ,MATCH(S$1,SUBQH,0),0),"")</f>
        <v/>
      </c>
      <c r="T32" s="18">
        <f>IFERROR(VLOOKUP($A32,subQ,MATCH(T$1,SUBQH,0),0),"")</f>
        <v/>
      </c>
      <c r="U32" s="18">
        <f>IFERROR(VLOOKUP($A32,subQ,MATCH(U$1,SUBQH,0),0),"")</f>
        <v/>
      </c>
      <c r="V32" s="18">
        <f>IFERROR(VLOOKUP($A32,subQ,MATCH(V$1,SUBQH,0),0),"")</f>
        <v/>
      </c>
      <c r="W32" s="45">
        <f>IFERROR(VLOOKUP($A32,subQ,MATCH(W$1,SUBQH,0),0),"")</f>
        <v/>
      </c>
      <c r="X32" s="20">
        <f>IFERROR(VLOOKUP($A32,subQ,MATCH(X$1,SUBQH,0),0),"")</f>
        <v/>
      </c>
      <c r="Y32" s="20">
        <f>IFERROR(VLOOKUP($A32,subQ,MATCH(Y$1,SUBQH,0),0),"")</f>
        <v/>
      </c>
      <c r="Z32" s="20">
        <f>IFERROR(VLOOKUP($A32,subQ,MATCH(Z$1,SUBQH,0),0),"")</f>
        <v/>
      </c>
      <c r="AA32" s="20">
        <f>IFERROR(VLOOKUP($A32,subQ,MATCH(AA$1,SUBQH,0),0),"")</f>
        <v/>
      </c>
      <c r="AB32" s="20">
        <f>IFERROR(VLOOKUP($A32,subQ,MATCH(AB$1,SUBQH,0),0),"")</f>
        <v/>
      </c>
      <c r="AC32" s="20">
        <f>IFERROR(VLOOKUP($A32,subQ,MATCH(AC$1,SUBQH,0),0),"")</f>
        <v/>
      </c>
      <c r="AD32" s="20">
        <f>IFERROR(VLOOKUP($A32,subQ,MATCH(AD$1,SUBQH,0),0),"")</f>
        <v/>
      </c>
      <c r="AE32" s="20">
        <f>IFERROR(VLOOKUP($A32,subQ,MATCH(AE$1,SUBQH,0),0),"")</f>
        <v/>
      </c>
      <c r="AF32" s="20">
        <f>IFERROR(VLOOKUP($A32,subQ,MATCH(AF$1,SUBQH,0),0),"")</f>
        <v/>
      </c>
      <c r="AG32" s="20">
        <f>IFERROR(VLOOKUP($A32,subQ,MATCH(AG$1,SUBQH,0),0),"")</f>
        <v/>
      </c>
    </row>
    <row r="33">
      <c r="A33" s="12" t="inlineStr">
        <is>
          <t>BPS</t>
        </is>
      </c>
      <c r="D33" t="inlineStr">
        <is>
          <t>BPS</t>
        </is>
      </c>
      <c r="E33" s="18">
        <f>IFERROR(VLOOKUP($A33,subQ,MATCH(E$1,SUBQH,0),0),"")</f>
        <v/>
      </c>
      <c r="F33" s="18">
        <f>IFERROR(VLOOKUP($A33,subQ,MATCH(F$1,SUBQH,0),0),"")</f>
        <v/>
      </c>
      <c r="G33" s="18">
        <f>IFERROR(VLOOKUP($A33,subQ,MATCH(G$1,SUBQH,0),0),"")</f>
        <v/>
      </c>
      <c r="H33" s="18">
        <f>IFERROR(VLOOKUP($A33,subQ,MATCH(H$1,SUBQH,0),0),"")</f>
        <v/>
      </c>
      <c r="I33" s="18">
        <f>IFERROR(VLOOKUP($A33,subQ,MATCH(I$1,SUBQH,0),0),"")</f>
        <v/>
      </c>
      <c r="J33" s="18">
        <f>IFERROR(VLOOKUP($A33,subQ,MATCH(J$1,SUBQH,0),0),"")</f>
        <v/>
      </c>
      <c r="K33" s="18">
        <f>IFERROR(VLOOKUP($A33,subQ,MATCH(K$1,SUBQH,0),0),"")</f>
        <v/>
      </c>
      <c r="L33" s="18">
        <f>IFERROR(VLOOKUP($A33,subQ,MATCH(L$1,SUBQH,0),0),"")</f>
        <v/>
      </c>
      <c r="M33" s="18">
        <f>IFERROR(VLOOKUP($A33,subQ,MATCH(M$1,SUBQH,0),0),"")</f>
        <v/>
      </c>
      <c r="N33" s="18">
        <f>IFERROR(VLOOKUP($A33,subQ,MATCH(N$1,SUBQH,0),0),"")</f>
        <v/>
      </c>
      <c r="O33" s="18">
        <f>IFERROR(VLOOKUP($A33,subQ,MATCH(O$1,SUBQH,0),0),"")</f>
        <v/>
      </c>
      <c r="P33" s="18">
        <f>IFERROR(VLOOKUP($A33,subQ,MATCH(P$1,SUBQH,0),0),"")</f>
        <v/>
      </c>
      <c r="Q33" s="18">
        <f>IFERROR(VLOOKUP($A33,subQ,MATCH(Q$1,SUBQH,0),0),"")</f>
        <v/>
      </c>
      <c r="R33" s="18">
        <f>IFERROR(VLOOKUP($A33,subQ,MATCH(R$1,SUBQH,0),0),"")</f>
        <v/>
      </c>
      <c r="S33" s="18">
        <f>IFERROR(VLOOKUP($A33,subQ,MATCH(S$1,SUBQH,0),0),"")</f>
        <v/>
      </c>
      <c r="T33" s="18">
        <f>IFERROR(VLOOKUP($A33,subQ,MATCH(T$1,SUBQH,0),0),"")</f>
        <v/>
      </c>
      <c r="U33" s="18">
        <f>IFERROR(VLOOKUP($A33,subQ,MATCH(U$1,SUBQH,0),0),"")</f>
        <v/>
      </c>
      <c r="V33" s="18">
        <f>IFERROR(VLOOKUP($A33,subQ,MATCH(V$1,SUBQH,0),0),"")</f>
        <v/>
      </c>
      <c r="W33" s="45">
        <f>IFERROR(VLOOKUP($A33,subQ,MATCH(W$1,SUBQH,0),0),"")</f>
        <v/>
      </c>
      <c r="X33" s="20">
        <f>IFERROR(VLOOKUP($A33,subQ,MATCH(X$1,SUBQH,0),0),"")</f>
        <v/>
      </c>
      <c r="Y33" s="20">
        <f>IFERROR(VLOOKUP($A33,subQ,MATCH(Y$1,SUBQH,0),0),"")</f>
        <v/>
      </c>
      <c r="Z33" s="20">
        <f>IFERROR(VLOOKUP($A33,subQ,MATCH(Z$1,SUBQH,0),0),"")</f>
        <v/>
      </c>
      <c r="AA33" s="20">
        <f>IFERROR(VLOOKUP($A33,subQ,MATCH(AA$1,SUBQH,0),0),"")</f>
        <v/>
      </c>
      <c r="AB33" s="20">
        <f>IFERROR(VLOOKUP($A33,subQ,MATCH(AB$1,SUBQH,0),0),"")</f>
        <v/>
      </c>
      <c r="AC33" s="20">
        <f>IFERROR(VLOOKUP($A33,subQ,MATCH(AC$1,SUBQH,0),0),"")</f>
        <v/>
      </c>
      <c r="AD33" s="20">
        <f>IFERROR(VLOOKUP($A33,subQ,MATCH(AD$1,SUBQH,0),0),"")</f>
        <v/>
      </c>
      <c r="AE33" s="20">
        <f>IFERROR(VLOOKUP($A33,subQ,MATCH(AE$1,SUBQH,0),0),"")</f>
        <v/>
      </c>
      <c r="AF33" s="20">
        <f>IFERROR(VLOOKUP($A33,subQ,MATCH(AF$1,SUBQH,0),0),"")</f>
        <v/>
      </c>
      <c r="AG33" s="20">
        <f>IFERROR(VLOOKUP($A33,subQ,MATCH(AG$1,SUBQH,0),0),"")</f>
        <v/>
      </c>
    </row>
    <row r="34">
      <c r="A34" s="12" t="inlineStr">
        <is>
          <t>DPS</t>
        </is>
      </c>
      <c r="D34" t="inlineStr">
        <is>
          <t>DPS(보통주)</t>
        </is>
      </c>
      <c r="E34" s="18">
        <f>IFERROR(VLOOKUP($A34,subQ,MATCH(E$1,SUBQH,0),0),"")</f>
        <v/>
      </c>
      <c r="F34" s="18">
        <f>IFERROR(VLOOKUP($A34,subQ,MATCH(F$1,SUBQH,0),0),"")</f>
        <v/>
      </c>
      <c r="G34" s="18">
        <f>IFERROR(VLOOKUP($A34,subQ,MATCH(G$1,SUBQH,0),0),"")</f>
        <v/>
      </c>
      <c r="H34" s="18">
        <f>IFERROR(VLOOKUP($A34,subQ,MATCH(H$1,SUBQH,0),0),"")</f>
        <v/>
      </c>
      <c r="I34" s="18">
        <f>IFERROR(VLOOKUP($A34,subQ,MATCH(I$1,SUBQH,0),0),"")</f>
        <v/>
      </c>
      <c r="J34" s="18">
        <f>IFERROR(VLOOKUP($A34,subQ,MATCH(J$1,SUBQH,0),0),"")</f>
        <v/>
      </c>
      <c r="K34" s="18">
        <f>IFERROR(VLOOKUP($A34,subQ,MATCH(K$1,SUBQH,0),0),"")</f>
        <v/>
      </c>
      <c r="L34" s="18">
        <f>IFERROR(VLOOKUP($A34,subQ,MATCH(L$1,SUBQH,0),0),"")</f>
        <v/>
      </c>
      <c r="M34" s="18">
        <f>IFERROR(VLOOKUP($A34,subQ,MATCH(M$1,SUBQH,0),0),"")</f>
        <v/>
      </c>
      <c r="N34" s="18">
        <f>IFERROR(VLOOKUP($A34,subQ,MATCH(N$1,SUBQH,0),0),"")</f>
        <v/>
      </c>
      <c r="O34" s="18">
        <f>IFERROR(VLOOKUP($A34,subQ,MATCH(O$1,SUBQH,0),0),"")</f>
        <v/>
      </c>
      <c r="P34" s="18">
        <f>IFERROR(VLOOKUP($A34,subQ,MATCH(P$1,SUBQH,0),0),"")</f>
        <v/>
      </c>
      <c r="Q34" s="18">
        <f>IFERROR(VLOOKUP($A34,subQ,MATCH(Q$1,SUBQH,0),0),"")</f>
        <v/>
      </c>
      <c r="R34" s="18">
        <f>IFERROR(VLOOKUP($A34,subQ,MATCH(R$1,SUBQH,0),0),"")</f>
        <v/>
      </c>
      <c r="S34" s="18">
        <f>IFERROR(VLOOKUP($A34,subQ,MATCH(S$1,SUBQH,0),0),"")</f>
        <v/>
      </c>
      <c r="T34" s="18">
        <f>IFERROR(VLOOKUP($A34,subQ,MATCH(T$1,SUBQH,0),0),"")</f>
        <v/>
      </c>
      <c r="U34" s="18">
        <f>IFERROR(VLOOKUP($A34,subQ,MATCH(U$1,SUBQH,0),0),"")</f>
        <v/>
      </c>
      <c r="V34" s="18">
        <f>IFERROR(VLOOKUP($A34,subQ,MATCH(V$1,SUBQH,0),0),"")</f>
        <v/>
      </c>
      <c r="W34" s="45">
        <f>IFERROR(VLOOKUP($A34,subQ,MATCH(W$1,SUBQH,0),0),"")</f>
        <v/>
      </c>
      <c r="X34" s="20">
        <f>IFERROR(VLOOKUP($A34,subQ,MATCH(X$1,SUBQH,0),0),"")</f>
        <v/>
      </c>
      <c r="Y34" s="20">
        <f>IFERROR(VLOOKUP($A34,subQ,MATCH(Y$1,SUBQH,0),0),"")</f>
        <v/>
      </c>
      <c r="Z34" s="20">
        <f>IFERROR(VLOOKUP($A34,subQ,MATCH(Z$1,SUBQH,0),0),"")</f>
        <v/>
      </c>
      <c r="AA34" s="20">
        <f>IFERROR(VLOOKUP($A34,subQ,MATCH(AA$1,SUBQH,0),0),"")</f>
        <v/>
      </c>
      <c r="AB34" s="20">
        <f>IFERROR(VLOOKUP($A34,subQ,MATCH(AB$1,SUBQH,0),0),"")</f>
        <v/>
      </c>
      <c r="AC34" s="20">
        <f>IFERROR(VLOOKUP($A34,subQ,MATCH(AC$1,SUBQH,0),0),"")</f>
        <v/>
      </c>
      <c r="AD34" s="20">
        <f>IFERROR(VLOOKUP($A34,subQ,MATCH(AD$1,SUBQH,0),0),"")</f>
        <v/>
      </c>
      <c r="AE34" s="20">
        <f>IFERROR(VLOOKUP($A34,subQ,MATCH(AE$1,SUBQH,0),0),"")</f>
        <v/>
      </c>
      <c r="AF34" s="20">
        <f>IFERROR(VLOOKUP($A34,subQ,MATCH(AF$1,SUBQH,0),0),"")</f>
        <v/>
      </c>
      <c r="AG34" s="20">
        <f>IFERROR(VLOOKUP($A34,subQ,MATCH(AG$1,SUBQH,0),0),"")</f>
        <v/>
      </c>
    </row>
    <row r="35">
      <c r="A35" s="12" t="inlineStr">
        <is>
          <t>PER</t>
        </is>
      </c>
      <c r="D35" t="inlineStr">
        <is>
          <t>PER</t>
        </is>
      </c>
      <c r="E35" s="13">
        <f>IFERROR(VLOOKUP($A35,subQ,MATCH(E$1,SUBQH,0),0),"")</f>
        <v/>
      </c>
      <c r="F35" s="13">
        <f>IFERROR(VLOOKUP($A35,subQ,MATCH(F$1,SUBQH,0),0),"")</f>
        <v/>
      </c>
      <c r="G35" s="13">
        <f>IFERROR(VLOOKUP($A35,subQ,MATCH(G$1,SUBQH,0),0),"")</f>
        <v/>
      </c>
      <c r="H35" s="13">
        <f>IFERROR(VLOOKUP($A35,subQ,MATCH(H$1,SUBQH,0),0),"")</f>
        <v/>
      </c>
      <c r="I35" s="13">
        <f>IFERROR(VLOOKUP($A35,subQ,MATCH(I$1,SUBQH,0),0),"")</f>
        <v/>
      </c>
      <c r="J35" s="13">
        <f>IFERROR(VLOOKUP($A35,subQ,MATCH(J$1,SUBQH,0),0),"")</f>
        <v/>
      </c>
      <c r="K35" s="13">
        <f>IFERROR(VLOOKUP($A35,subQ,MATCH(K$1,SUBQH,0),0),"")</f>
        <v/>
      </c>
      <c r="L35" s="13">
        <f>IFERROR(VLOOKUP($A35,subQ,MATCH(L$1,SUBQH,0),0),"")</f>
        <v/>
      </c>
      <c r="M35" s="13">
        <f>IFERROR(VLOOKUP($A35,subQ,MATCH(M$1,SUBQH,0),0),"")</f>
        <v/>
      </c>
      <c r="N35" s="13">
        <f>IFERROR(VLOOKUP($A35,subQ,MATCH(N$1,SUBQH,0),0),"")</f>
        <v/>
      </c>
      <c r="O35" s="13">
        <f>IFERROR(VLOOKUP($A35,subQ,MATCH(O$1,SUBQH,0),0),"")</f>
        <v/>
      </c>
      <c r="P35" s="13">
        <f>IFERROR(VLOOKUP($A35,subQ,MATCH(P$1,SUBQH,0),0),"")</f>
        <v/>
      </c>
      <c r="Q35" s="13">
        <f>IFERROR(VLOOKUP($A35,subQ,MATCH(Q$1,SUBQH,0),0),"")</f>
        <v/>
      </c>
      <c r="R35" s="13">
        <f>IFERROR(VLOOKUP($A35,subQ,MATCH(R$1,SUBQH,0),0),"")</f>
        <v/>
      </c>
      <c r="S35" s="13">
        <f>IFERROR(VLOOKUP($A35,subQ,MATCH(S$1,SUBQH,0),0),"")</f>
        <v/>
      </c>
      <c r="T35" s="13">
        <f>IFERROR(VLOOKUP($A35,subQ,MATCH(T$1,SUBQH,0),0),"")</f>
        <v/>
      </c>
      <c r="U35" s="13">
        <f>IFERROR(VLOOKUP($A35,subQ,MATCH(U$1,SUBQH,0),0),"")</f>
        <v/>
      </c>
      <c r="V35" s="13">
        <f>IFERROR(VLOOKUP($A35,subQ,MATCH(V$1,SUBQH,0),0),"")</f>
        <v/>
      </c>
      <c r="W35" s="48">
        <f>IFERROR(VLOOKUP($A35,subQ,MATCH(W$1,SUBQH,0),0),"")</f>
        <v/>
      </c>
      <c r="X35" s="39">
        <f>IFERROR(VLOOKUP($A35,subQ,MATCH(X$1,SUBQH,0),0),"")</f>
        <v/>
      </c>
      <c r="Y35" s="39">
        <f>IFERROR(VLOOKUP($A35,subQ,MATCH(Y$1,SUBQH,0),0),"")</f>
        <v/>
      </c>
      <c r="Z35" s="39">
        <f>IFERROR(VLOOKUP($A35,subQ,MATCH(Z$1,SUBQH,0),0),"")</f>
        <v/>
      </c>
      <c r="AA35" s="39">
        <f>IFERROR(VLOOKUP($A35,subQ,MATCH(AA$1,SUBQH,0),0),"")</f>
        <v/>
      </c>
      <c r="AB35" s="39">
        <f>IFERROR(VLOOKUP($A35,subQ,MATCH(AB$1,SUBQH,0),0),"")</f>
        <v/>
      </c>
      <c r="AC35" s="39">
        <f>IFERROR(VLOOKUP($A35,subQ,MATCH(AC$1,SUBQH,0),0),"")</f>
        <v/>
      </c>
      <c r="AD35" s="39">
        <f>IFERROR(VLOOKUP($A35,subQ,MATCH(AD$1,SUBQH,0),0),"")</f>
        <v/>
      </c>
      <c r="AE35" s="39">
        <f>IFERROR(VLOOKUP($A35,subQ,MATCH(AE$1,SUBQH,0),0),"")</f>
        <v/>
      </c>
      <c r="AF35" s="39">
        <f>IFERROR(VLOOKUP($A35,subQ,MATCH(AF$1,SUBQH,0),0),"")</f>
        <v/>
      </c>
      <c r="AG35" s="39">
        <f>IFERROR(VLOOKUP($A35,subQ,MATCH(AG$1,SUBQH,0),0),"")</f>
        <v/>
      </c>
    </row>
    <row r="36">
      <c r="A36" s="12" t="inlineStr">
        <is>
          <t>PBR</t>
        </is>
      </c>
      <c r="D36" t="inlineStr">
        <is>
          <t>PBR</t>
        </is>
      </c>
      <c r="E36" s="13">
        <f>IFERROR(VLOOKUP($A36,subQ,MATCH(E$1,SUBQH,0),0),"")</f>
        <v/>
      </c>
      <c r="F36" s="13">
        <f>IFERROR(VLOOKUP($A36,subQ,MATCH(F$1,SUBQH,0),0),"")</f>
        <v/>
      </c>
      <c r="G36" s="13">
        <f>IFERROR(VLOOKUP($A36,subQ,MATCH(G$1,SUBQH,0),0),"")</f>
        <v/>
      </c>
      <c r="H36" s="13">
        <f>IFERROR(VLOOKUP($A36,subQ,MATCH(H$1,SUBQH,0),0),"")</f>
        <v/>
      </c>
      <c r="I36" s="13">
        <f>IFERROR(VLOOKUP($A36,subQ,MATCH(I$1,SUBQH,0),0),"")</f>
        <v/>
      </c>
      <c r="J36" s="13">
        <f>IFERROR(VLOOKUP($A36,subQ,MATCH(J$1,SUBQH,0),0),"")</f>
        <v/>
      </c>
      <c r="K36" s="13">
        <f>IFERROR(VLOOKUP($A36,subQ,MATCH(K$1,SUBQH,0),0),"")</f>
        <v/>
      </c>
      <c r="L36" s="13">
        <f>IFERROR(VLOOKUP($A36,subQ,MATCH(L$1,SUBQH,0),0),"")</f>
        <v/>
      </c>
      <c r="M36" s="13">
        <f>IFERROR(VLOOKUP($A36,subQ,MATCH(M$1,SUBQH,0),0),"")</f>
        <v/>
      </c>
      <c r="N36" s="13">
        <f>IFERROR(VLOOKUP($A36,subQ,MATCH(N$1,SUBQH,0),0),"")</f>
        <v/>
      </c>
      <c r="O36" s="13">
        <f>IFERROR(VLOOKUP($A36,subQ,MATCH(O$1,SUBQH,0),0),"")</f>
        <v/>
      </c>
      <c r="P36" s="13">
        <f>IFERROR(VLOOKUP($A36,subQ,MATCH(P$1,SUBQH,0),0),"")</f>
        <v/>
      </c>
      <c r="Q36" s="13">
        <f>IFERROR(VLOOKUP($A36,subQ,MATCH(Q$1,SUBQH,0),0),"")</f>
        <v/>
      </c>
      <c r="R36" s="13">
        <f>IFERROR(VLOOKUP($A36,subQ,MATCH(R$1,SUBQH,0),0),"")</f>
        <v/>
      </c>
      <c r="S36" s="13">
        <f>IFERROR(VLOOKUP($A36,subQ,MATCH(S$1,SUBQH,0),0),"")</f>
        <v/>
      </c>
      <c r="T36" s="13">
        <f>IFERROR(VLOOKUP($A36,subQ,MATCH(T$1,SUBQH,0),0),"")</f>
        <v/>
      </c>
      <c r="U36" s="13">
        <f>IFERROR(VLOOKUP($A36,subQ,MATCH(U$1,SUBQH,0),0),"")</f>
        <v/>
      </c>
      <c r="V36" s="13">
        <f>IFERROR(VLOOKUP($A36,subQ,MATCH(V$1,SUBQH,0),0),"")</f>
        <v/>
      </c>
      <c r="W36" s="48">
        <f>IFERROR(VLOOKUP($A36,subQ,MATCH(W$1,SUBQH,0),0),"")</f>
        <v/>
      </c>
      <c r="X36" s="39">
        <f>IFERROR(VLOOKUP($A36,subQ,MATCH(X$1,SUBQH,0),0),"")</f>
        <v/>
      </c>
      <c r="Y36" s="39">
        <f>IFERROR(VLOOKUP($A36,subQ,MATCH(Y$1,SUBQH,0),0),"")</f>
        <v/>
      </c>
      <c r="Z36" s="39">
        <f>IFERROR(VLOOKUP($A36,subQ,MATCH(Z$1,SUBQH,0),0),"")</f>
        <v/>
      </c>
      <c r="AA36" s="39">
        <f>IFERROR(VLOOKUP($A36,subQ,MATCH(AA$1,SUBQH,0),0),"")</f>
        <v/>
      </c>
      <c r="AB36" s="39">
        <f>IFERROR(VLOOKUP($A36,subQ,MATCH(AB$1,SUBQH,0),0),"")</f>
        <v/>
      </c>
      <c r="AC36" s="39">
        <f>IFERROR(VLOOKUP($A36,subQ,MATCH(AC$1,SUBQH,0),0),"")</f>
        <v/>
      </c>
      <c r="AD36" s="39">
        <f>IFERROR(VLOOKUP($A36,subQ,MATCH(AD$1,SUBQH,0),0),"")</f>
        <v/>
      </c>
      <c r="AE36" s="39">
        <f>IFERROR(VLOOKUP($A36,subQ,MATCH(AE$1,SUBQH,0),0),"")</f>
        <v/>
      </c>
      <c r="AF36" s="39">
        <f>IFERROR(VLOOKUP($A36,subQ,MATCH(AF$1,SUBQH,0),0),"")</f>
        <v/>
      </c>
      <c r="AG36" s="39">
        <f>IFERROR(VLOOKUP($A36,subQ,MATCH(AG$1,SUBQH,0),0),"")</f>
        <v/>
      </c>
    </row>
    <row r="37">
      <c r="A37" s="12" t="inlineStr">
        <is>
          <t>매출전사</t>
        </is>
      </c>
      <c r="D37" t="inlineStr">
        <is>
          <t>매출 전사(부문 미분리)</t>
        </is>
      </c>
      <c r="E37" s="18">
        <f>IFERROR(VLOOKUP($A37,subQ,MATCH(E$1,SUBQH,0),0),"")</f>
        <v/>
      </c>
      <c r="F37" s="18">
        <f>IFERROR(VLOOKUP($A37,subQ,MATCH(F$1,SUBQH,0),0),"")</f>
        <v/>
      </c>
      <c r="G37" s="18">
        <f>IFERROR(VLOOKUP($A37,subQ,MATCH(G$1,SUBQH,0),0),"")</f>
        <v/>
      </c>
      <c r="H37" s="18">
        <f>IFERROR(VLOOKUP($A37,subQ,MATCH(H$1,SUBQH,0),0),"")</f>
        <v/>
      </c>
      <c r="I37" s="18">
        <f>IFERROR(VLOOKUP($A37,subQ,MATCH(I$1,SUBQH,0),0),"")</f>
        <v/>
      </c>
      <c r="J37" s="18">
        <f>IFERROR(VLOOKUP($A37,subQ,MATCH(J$1,SUBQH,0),0),"")</f>
        <v/>
      </c>
      <c r="K37" s="18">
        <f>IFERROR(VLOOKUP($A37,subQ,MATCH(K$1,SUBQH,0),0),"")</f>
        <v/>
      </c>
      <c r="L37" s="18">
        <f>IFERROR(VLOOKUP($A37,subQ,MATCH(L$1,SUBQH,0),0),"")</f>
        <v/>
      </c>
      <c r="M37" s="18">
        <f>IFERROR(VLOOKUP($A37,subQ,MATCH(M$1,SUBQH,0),0),"")</f>
        <v/>
      </c>
      <c r="N37" s="18">
        <f>IFERROR(VLOOKUP($A37,subQ,MATCH(N$1,SUBQH,0),0),"")</f>
        <v/>
      </c>
      <c r="O37" s="18">
        <f>IFERROR(VLOOKUP($A37,subQ,MATCH(O$1,SUBQH,0),0),"")</f>
        <v/>
      </c>
      <c r="P37" s="18">
        <f>IFERROR(VLOOKUP($A37,subQ,MATCH(P$1,SUBQH,0),0),"")</f>
        <v/>
      </c>
      <c r="Q37" s="18">
        <f>IFERROR(VLOOKUP($A37,subQ,MATCH(Q$1,SUBQH,0),0),"")</f>
        <v/>
      </c>
      <c r="R37" s="18">
        <f>IFERROR(VLOOKUP($A37,subQ,MATCH(R$1,SUBQH,0),0),"")</f>
        <v/>
      </c>
      <c r="S37" s="18">
        <f>IFERROR(VLOOKUP($A37,subQ,MATCH(S$1,SUBQH,0),0),"")</f>
        <v/>
      </c>
      <c r="T37" s="18">
        <f>IFERROR(VLOOKUP($A37,subQ,MATCH(T$1,SUBQH,0),0),"")</f>
        <v/>
      </c>
      <c r="U37" s="18">
        <f>IFERROR(VLOOKUP($A37,subQ,MATCH(U$1,SUBQH,0),0),"")</f>
        <v/>
      </c>
      <c r="V37" s="18">
        <f>IFERROR(VLOOKUP($A37,subQ,MATCH(V$1,SUBQH,0),0),"")</f>
        <v/>
      </c>
      <c r="W37" s="45">
        <f>IFERROR(VLOOKUP($A37,subQ,MATCH(W$1,SUBQH,0),0),"")</f>
        <v/>
      </c>
      <c r="X37" s="20">
        <f>IFERROR(VLOOKUP($A37,subQ,MATCH(X$1,SUBQH,0),0),"")</f>
        <v/>
      </c>
      <c r="Y37" s="20">
        <f>IFERROR(VLOOKUP($A37,subQ,MATCH(Y$1,SUBQH,0),0),"")</f>
        <v/>
      </c>
      <c r="Z37" s="20">
        <f>IFERROR(VLOOKUP($A37,subQ,MATCH(Z$1,SUBQH,0),0),"")</f>
        <v/>
      </c>
      <c r="AA37" s="20">
        <f>IFERROR(VLOOKUP($A37,subQ,MATCH(AA$1,SUBQH,0),0),"")</f>
        <v/>
      </c>
      <c r="AB37" s="20">
        <f>IFERROR(VLOOKUP($A37,subQ,MATCH(AB$1,SUBQH,0),0),"")</f>
        <v/>
      </c>
      <c r="AC37" s="20">
        <f>IFERROR(VLOOKUP($A37,subQ,MATCH(AC$1,SUBQH,0),0),"")</f>
        <v/>
      </c>
      <c r="AD37" s="20">
        <f>IFERROR(VLOOKUP($A37,subQ,MATCH(AD$1,SUBQH,0),0),"")</f>
        <v/>
      </c>
      <c r="AE37" s="20">
        <f>IFERROR(VLOOKUP($A37,subQ,MATCH(AE$1,SUBQH,0),0),"")</f>
        <v/>
      </c>
      <c r="AF37" s="20">
        <f>IFERROR(VLOOKUP($A37,subQ,MATCH(AF$1,SUBQH,0),0),"")</f>
        <v/>
      </c>
      <c r="AG37" s="20">
        <f>IFERROR(VLOOKUP($A37,subQ,MATCH(AG$1,SUBQH,0),0),"")</f>
        <v/>
      </c>
    </row>
    <row r="38">
      <c r="A38" s="12" t="inlineStr">
        <is>
          <t>OP전사</t>
        </is>
      </c>
      <c r="D38" t="inlineStr">
        <is>
          <t>OP 전사(부문 미분리)</t>
        </is>
      </c>
      <c r="E38" s="18">
        <f>IFERROR(VLOOKUP($A38,subQ,MATCH(E$1,SUBQH,0),0),"")</f>
        <v/>
      </c>
      <c r="F38" s="18">
        <f>IFERROR(VLOOKUP($A38,subQ,MATCH(F$1,SUBQH,0),0),"")</f>
        <v/>
      </c>
      <c r="G38" s="18">
        <f>IFERROR(VLOOKUP($A38,subQ,MATCH(G$1,SUBQH,0),0),"")</f>
        <v/>
      </c>
      <c r="H38" s="18">
        <f>IFERROR(VLOOKUP($A38,subQ,MATCH(H$1,SUBQH,0),0),"")</f>
        <v/>
      </c>
      <c r="I38" s="18">
        <f>IFERROR(VLOOKUP($A38,subQ,MATCH(I$1,SUBQH,0),0),"")</f>
        <v/>
      </c>
      <c r="J38" s="18">
        <f>IFERROR(VLOOKUP($A38,subQ,MATCH(J$1,SUBQH,0),0),"")</f>
        <v/>
      </c>
      <c r="K38" s="18">
        <f>IFERROR(VLOOKUP($A38,subQ,MATCH(K$1,SUBQH,0),0),"")</f>
        <v/>
      </c>
      <c r="L38" s="18">
        <f>IFERROR(VLOOKUP($A38,subQ,MATCH(L$1,SUBQH,0),0),"")</f>
        <v/>
      </c>
      <c r="M38" s="18">
        <f>IFERROR(VLOOKUP($A38,subQ,MATCH(M$1,SUBQH,0),0),"")</f>
        <v/>
      </c>
      <c r="N38" s="18">
        <f>IFERROR(VLOOKUP($A38,subQ,MATCH(N$1,SUBQH,0),0),"")</f>
        <v/>
      </c>
      <c r="O38" s="18">
        <f>IFERROR(VLOOKUP($A38,subQ,MATCH(O$1,SUBQH,0),0),"")</f>
        <v/>
      </c>
      <c r="P38" s="18">
        <f>IFERROR(VLOOKUP($A38,subQ,MATCH(P$1,SUBQH,0),0),"")</f>
        <v/>
      </c>
      <c r="Q38" s="18">
        <f>IFERROR(VLOOKUP($A38,subQ,MATCH(Q$1,SUBQH,0),0),"")</f>
        <v/>
      </c>
      <c r="R38" s="18">
        <f>IFERROR(VLOOKUP($A38,subQ,MATCH(R$1,SUBQH,0),0),"")</f>
        <v/>
      </c>
      <c r="S38" s="18">
        <f>IFERROR(VLOOKUP($A38,subQ,MATCH(S$1,SUBQH,0),0),"")</f>
        <v/>
      </c>
      <c r="T38" s="18">
        <f>IFERROR(VLOOKUP($A38,subQ,MATCH(T$1,SUBQH,0),0),"")</f>
        <v/>
      </c>
      <c r="U38" s="18">
        <f>IFERROR(VLOOKUP($A38,subQ,MATCH(U$1,SUBQH,0),0),"")</f>
        <v/>
      </c>
      <c r="V38" s="18">
        <f>IFERROR(VLOOKUP($A38,subQ,MATCH(V$1,SUBQH,0),0),"")</f>
        <v/>
      </c>
      <c r="W38" s="45">
        <f>IFERROR(VLOOKUP($A38,subQ,MATCH(W$1,SUBQH,0),0),"")</f>
        <v/>
      </c>
      <c r="X38" s="20">
        <f>IFERROR(VLOOKUP($A38,subQ,MATCH(X$1,SUBQH,0),0),"")</f>
        <v/>
      </c>
      <c r="Y38" s="20">
        <f>IFERROR(VLOOKUP($A38,subQ,MATCH(Y$1,SUBQH,0),0),"")</f>
        <v/>
      </c>
      <c r="Z38" s="20">
        <f>IFERROR(VLOOKUP($A38,subQ,MATCH(Z$1,SUBQH,0),0),"")</f>
        <v/>
      </c>
      <c r="AA38" s="20">
        <f>IFERROR(VLOOKUP($A38,subQ,MATCH(AA$1,SUBQH,0),0),"")</f>
        <v/>
      </c>
      <c r="AB38" s="20">
        <f>IFERROR(VLOOKUP($A38,subQ,MATCH(AB$1,SUBQH,0),0),"")</f>
        <v/>
      </c>
      <c r="AC38" s="20">
        <f>IFERROR(VLOOKUP($A38,subQ,MATCH(AC$1,SUBQH,0),0),"")</f>
        <v/>
      </c>
      <c r="AD38" s="20">
        <f>IFERROR(VLOOKUP($A38,subQ,MATCH(AD$1,SUBQH,0),0),"")</f>
        <v/>
      </c>
      <c r="AE38" s="20">
        <f>IFERROR(VLOOKUP($A38,subQ,MATCH(AE$1,SUBQH,0),0),"")</f>
        <v/>
      </c>
      <c r="AF38" s="20">
        <f>IFERROR(VLOOKUP($A38,subQ,MATCH(AF$1,SUBQH,0),0),"")</f>
        <v/>
      </c>
      <c r="AG38" s="20">
        <f>IFERROR(VLOOKUP($A38,subQ,MATCH(AG$1,SUBQH,0),0),"")</f>
        <v/>
      </c>
    </row>
    <row r="39">
      <c r="A39" s="12" t="inlineStr">
        <is>
          <t>NPM</t>
        </is>
      </c>
      <c r="D39" t="inlineStr">
        <is>
          <t>NPM</t>
        </is>
      </c>
      <c r="E39" s="21">
        <f>IFERROR(VLOOKUP($A39,subQ,MATCH(E$1,SUBQH,0),0),"")</f>
        <v/>
      </c>
      <c r="F39" s="21">
        <f>IFERROR(VLOOKUP($A39,subQ,MATCH(F$1,SUBQH,0),0),"")</f>
        <v/>
      </c>
      <c r="G39" s="21">
        <f>IFERROR(VLOOKUP($A39,subQ,MATCH(G$1,SUBQH,0),0),"")</f>
        <v/>
      </c>
      <c r="H39" s="21">
        <f>IFERROR(VLOOKUP($A39,subQ,MATCH(H$1,SUBQH,0),0),"")</f>
        <v/>
      </c>
      <c r="I39" s="21">
        <f>IFERROR(VLOOKUP($A39,subQ,MATCH(I$1,SUBQH,0),0),"")</f>
        <v/>
      </c>
      <c r="J39" s="21">
        <f>IFERROR(VLOOKUP($A39,subQ,MATCH(J$1,SUBQH,0),0),"")</f>
        <v/>
      </c>
      <c r="K39" s="21">
        <f>IFERROR(VLOOKUP($A39,subQ,MATCH(K$1,SUBQH,0),0),"")</f>
        <v/>
      </c>
      <c r="L39" s="21">
        <f>IFERROR(VLOOKUP($A39,subQ,MATCH(L$1,SUBQH,0),0),"")</f>
        <v/>
      </c>
      <c r="M39" s="21">
        <f>IFERROR(VLOOKUP($A39,subQ,MATCH(M$1,SUBQH,0),0),"")</f>
        <v/>
      </c>
      <c r="N39" s="21">
        <f>IFERROR(VLOOKUP($A39,subQ,MATCH(N$1,SUBQH,0),0),"")</f>
        <v/>
      </c>
      <c r="O39" s="21">
        <f>IFERROR(VLOOKUP($A39,subQ,MATCH(O$1,SUBQH,0),0),"")</f>
        <v/>
      </c>
      <c r="P39" s="21">
        <f>IFERROR(VLOOKUP($A39,subQ,MATCH(P$1,SUBQH,0),0),"")</f>
        <v/>
      </c>
      <c r="Q39" s="21">
        <f>IFERROR(VLOOKUP($A39,subQ,MATCH(Q$1,SUBQH,0),0),"")</f>
        <v/>
      </c>
      <c r="R39" s="21">
        <f>IFERROR(VLOOKUP($A39,subQ,MATCH(R$1,SUBQH,0),0),"")</f>
        <v/>
      </c>
      <c r="S39" s="21">
        <f>IFERROR(VLOOKUP($A39,subQ,MATCH(S$1,SUBQH,0),0),"")</f>
        <v/>
      </c>
      <c r="T39" s="21">
        <f>IFERROR(VLOOKUP($A39,subQ,MATCH(T$1,SUBQH,0),0),"")</f>
        <v/>
      </c>
      <c r="U39" s="21">
        <f>IFERROR(VLOOKUP($A39,subQ,MATCH(U$1,SUBQH,0),0),"")</f>
        <v/>
      </c>
      <c r="V39" s="21">
        <f>IFERROR(VLOOKUP($A39,subQ,MATCH(V$1,SUBQH,0),0),"")</f>
        <v/>
      </c>
      <c r="W39" s="46">
        <f>IFERROR(VLOOKUP($A39,subQ,MATCH(W$1,SUBQH,0),0),"")</f>
        <v/>
      </c>
      <c r="X39" s="32">
        <f>IFERROR(VLOOKUP($A39,subQ,MATCH(X$1,SUBQH,0),0),"")</f>
        <v/>
      </c>
      <c r="Y39" s="32">
        <f>IFERROR(VLOOKUP($A39,subQ,MATCH(Y$1,SUBQH,0),0),"")</f>
        <v/>
      </c>
      <c r="Z39" s="32">
        <f>IFERROR(VLOOKUP($A39,subQ,MATCH(Z$1,SUBQH,0),0),"")</f>
        <v/>
      </c>
      <c r="AA39" s="32">
        <f>IFERROR(VLOOKUP($A39,subQ,MATCH(AA$1,SUBQH,0),0),"")</f>
        <v/>
      </c>
      <c r="AB39" s="32">
        <f>IFERROR(VLOOKUP($A39,subQ,MATCH(AB$1,SUBQH,0),0),"")</f>
        <v/>
      </c>
      <c r="AC39" s="32">
        <f>IFERROR(VLOOKUP($A39,subQ,MATCH(AC$1,SUBQH,0),0),"")</f>
        <v/>
      </c>
      <c r="AD39" s="32">
        <f>IFERROR(VLOOKUP($A39,subQ,MATCH(AD$1,SUBQH,0),0),"")</f>
        <v/>
      </c>
      <c r="AE39" s="32">
        <f>IFERROR(VLOOKUP($A39,subQ,MATCH(AE$1,SUBQH,0),0),"")</f>
        <v/>
      </c>
      <c r="AF39" s="32">
        <f>IFERROR(VLOOKUP($A39,subQ,MATCH(AF$1,SUBQH,0),0),"")</f>
        <v/>
      </c>
      <c r="AG39" s="32">
        <f>IFERROR(VLOOKUP($A39,subQ,MATCH(AG$1,SUBQH,0),0),"")</f>
        <v/>
      </c>
    </row>
    <row r="40">
      <c r="A40" s="12" t="inlineStr">
        <is>
          <t>매출액 YoY</t>
        </is>
      </c>
      <c r="D40" t="inlineStr">
        <is>
          <t>매출액 YoY</t>
        </is>
      </c>
      <c r="I40" s="21">
        <f>IFERROR(I5/E5-1,"")</f>
        <v/>
      </c>
      <c r="J40" s="21">
        <f>IFERROR(J5/F5-1,"")</f>
        <v/>
      </c>
      <c r="K40" s="21">
        <f>IFERROR(K5/G5-1,"")</f>
        <v/>
      </c>
      <c r="L40" s="21">
        <f>IFERROR(L5/H5-1,"")</f>
        <v/>
      </c>
      <c r="M40" s="21">
        <f>IFERROR(M5/I5-1,"")</f>
        <v/>
      </c>
      <c r="N40" s="21">
        <f>IFERROR(N5/J5-1,"")</f>
        <v/>
      </c>
      <c r="O40" s="21">
        <f>IFERROR(O5/K5-1,"")</f>
        <v/>
      </c>
      <c r="P40" s="21">
        <f>IFERROR(P5/L5-1,"")</f>
        <v/>
      </c>
      <c r="Q40" s="21">
        <f>IFERROR(Q5/M5-1,"")</f>
        <v/>
      </c>
      <c r="R40" s="21">
        <f>IFERROR(R5/N5-1,"")</f>
        <v/>
      </c>
      <c r="S40" s="21">
        <f>IFERROR(S5/O5-1,"")</f>
        <v/>
      </c>
      <c r="T40" s="21">
        <f>IFERROR(T5/P5-1,"")</f>
        <v/>
      </c>
      <c r="U40" s="21">
        <f>IFERROR(U5/Q5-1,"")</f>
        <v/>
      </c>
      <c r="V40" s="21">
        <f>IFERROR(V5/R5-1,"")</f>
        <v/>
      </c>
      <c r="W40" s="46">
        <f>IFERROR(W5/S5-1,"")</f>
        <v/>
      </c>
      <c r="X40" s="32">
        <f>IFERROR(X5/T5-1,"")</f>
        <v/>
      </c>
      <c r="Y40" s="32">
        <f>IFERROR(Y5/U5-1,"")</f>
        <v/>
      </c>
      <c r="Z40" s="32">
        <f>IFERROR(Z5/V5-1,"")</f>
        <v/>
      </c>
      <c r="AA40" s="32">
        <f>IFERROR(AA5/W5-1,"")</f>
        <v/>
      </c>
      <c r="AB40" s="32">
        <f>IFERROR(AB5/X5-1,"")</f>
        <v/>
      </c>
      <c r="AC40" s="32">
        <f>IFERROR(AC5/Y5-1,"")</f>
        <v/>
      </c>
      <c r="AD40" s="32">
        <f>IFERROR(AD5/Z5-1,"")</f>
        <v/>
      </c>
      <c r="AE40" s="32">
        <f>IFERROR(AE5/AA5-1,"")</f>
        <v/>
      </c>
      <c r="AF40" s="32">
        <f>IFERROR(AF5/AB5-1,"")</f>
        <v/>
      </c>
      <c r="AG40" s="32">
        <f>IFERROR(AG5/AC5-1,"")</f>
        <v/>
      </c>
    </row>
    <row r="41">
      <c r="A41" s="12" t="inlineStr">
        <is>
          <t>영업이익 YoY</t>
        </is>
      </c>
      <c r="D41" t="inlineStr">
        <is>
          <t>영업이익 YoY</t>
        </is>
      </c>
      <c r="I41" s="21">
        <f>IFERROR(I9/E9-1,"")</f>
        <v/>
      </c>
      <c r="J41" s="21">
        <f>IFERROR(J9/F9-1,"")</f>
        <v/>
      </c>
      <c r="K41" s="21">
        <f>IFERROR(K9/G9-1,"")</f>
        <v/>
      </c>
      <c r="L41" s="21">
        <f>IFERROR(L9/H9-1,"")</f>
        <v/>
      </c>
      <c r="M41" s="21">
        <f>IFERROR(M9/I9-1,"")</f>
        <v/>
      </c>
      <c r="N41" s="21">
        <f>IFERROR(N9/J9-1,"")</f>
        <v/>
      </c>
      <c r="O41" s="21">
        <f>IFERROR(O9/K9-1,"")</f>
        <v/>
      </c>
      <c r="P41" s="21">
        <f>IFERROR(P9/L9-1,"")</f>
        <v/>
      </c>
      <c r="Q41" s="21">
        <f>IFERROR(Q9/M9-1,"")</f>
        <v/>
      </c>
      <c r="R41" s="21">
        <f>IFERROR(R9/N9-1,"")</f>
        <v/>
      </c>
      <c r="S41" s="21">
        <f>IFERROR(S9/O9-1,"")</f>
        <v/>
      </c>
      <c r="T41" s="21">
        <f>IFERROR(T9/P9-1,"")</f>
        <v/>
      </c>
      <c r="U41" s="21">
        <f>IFERROR(U9/Q9-1,"")</f>
        <v/>
      </c>
      <c r="V41" s="21">
        <f>IFERROR(V9/R9-1,"")</f>
        <v/>
      </c>
      <c r="W41" s="46">
        <f>IFERROR(W9/S9-1,"")</f>
        <v/>
      </c>
      <c r="X41" s="32">
        <f>IFERROR(X9/T9-1,"")</f>
        <v/>
      </c>
      <c r="Y41" s="32">
        <f>IFERROR(Y9/U9-1,"")</f>
        <v/>
      </c>
      <c r="Z41" s="32">
        <f>IFERROR(Z9/V9-1,"")</f>
        <v/>
      </c>
      <c r="AA41" s="32">
        <f>IFERROR(AA9/W9-1,"")</f>
        <v/>
      </c>
      <c r="AB41" s="32">
        <f>IFERROR(AB9/X9-1,"")</f>
        <v/>
      </c>
      <c r="AC41" s="32">
        <f>IFERROR(AC9/Y9-1,"")</f>
        <v/>
      </c>
      <c r="AD41" s="32">
        <f>IFERROR(AD9/Z9-1,"")</f>
        <v/>
      </c>
      <c r="AE41" s="32">
        <f>IFERROR(AE9/AA9-1,"")</f>
        <v/>
      </c>
      <c r="AF41" s="32">
        <f>IFERROR(AF9/AB9-1,"")</f>
        <v/>
      </c>
      <c r="AG41" s="32">
        <f>IFERROR(AG9/AC9-1,"")</f>
        <v/>
      </c>
    </row>
    <row r="42">
      <c r="A42" s="12" t="inlineStr">
        <is>
          <t>지배주주순이익 YoY</t>
        </is>
      </c>
      <c r="D42" t="inlineStr">
        <is>
          <t>지배주주순이익 YoY</t>
        </is>
      </c>
      <c r="I42" s="21">
        <f>IFERROR(I18/E18-1,"")</f>
        <v/>
      </c>
      <c r="J42" s="21">
        <f>IFERROR(J18/F18-1,"")</f>
        <v/>
      </c>
      <c r="K42" s="21">
        <f>IFERROR(K18/G18-1,"")</f>
        <v/>
      </c>
      <c r="L42" s="21">
        <f>IFERROR(L18/H18-1,"")</f>
        <v/>
      </c>
      <c r="M42" s="21">
        <f>IFERROR(M18/I18-1,"")</f>
        <v/>
      </c>
      <c r="N42" s="21">
        <f>IFERROR(N18/J18-1,"")</f>
        <v/>
      </c>
      <c r="O42" s="21">
        <f>IFERROR(O18/K18-1,"")</f>
        <v/>
      </c>
      <c r="P42" s="21">
        <f>IFERROR(P18/L18-1,"")</f>
        <v/>
      </c>
      <c r="Q42" s="21">
        <f>IFERROR(Q18/M18-1,"")</f>
        <v/>
      </c>
      <c r="R42" s="21">
        <f>IFERROR(R18/N18-1,"")</f>
        <v/>
      </c>
      <c r="S42" s="21">
        <f>IFERROR(S18/O18-1,"")</f>
        <v/>
      </c>
      <c r="T42" s="21">
        <f>IFERROR(T18/P18-1,"")</f>
        <v/>
      </c>
      <c r="U42" s="21">
        <f>IFERROR(U18/Q18-1,"")</f>
        <v/>
      </c>
      <c r="V42" s="21">
        <f>IFERROR(V18/R18-1,"")</f>
        <v/>
      </c>
      <c r="W42" s="46">
        <f>IFERROR(W18/S18-1,"")</f>
        <v/>
      </c>
      <c r="X42" s="32">
        <f>IFERROR(X18/T18-1,"")</f>
        <v/>
      </c>
      <c r="Y42" s="32">
        <f>IFERROR(Y18/U18-1,"")</f>
        <v/>
      </c>
      <c r="Z42" s="32">
        <f>IFERROR(Z18/V18-1,"")</f>
        <v/>
      </c>
      <c r="AA42" s="32">
        <f>IFERROR(AA18/W18-1,"")</f>
        <v/>
      </c>
      <c r="AB42" s="32">
        <f>IFERROR(AB18/X18-1,"")</f>
        <v/>
      </c>
      <c r="AC42" s="32">
        <f>IFERROR(AC18/Y18-1,"")</f>
        <v/>
      </c>
      <c r="AD42" s="32">
        <f>IFERROR(AD18/Z18-1,"")</f>
        <v/>
      </c>
      <c r="AE42" s="32">
        <f>IFERROR(AE18/AA18-1,"")</f>
        <v/>
      </c>
      <c r="AF42" s="32">
        <f>IFERROR(AF18/AB18-1,"")</f>
        <v/>
      </c>
      <c r="AG42" s="32">
        <f>IFERROR(AG18/AC18-1,"")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42"/>
  <sheetViews>
    <sheetView workbookViewId="0">
      <pane xSplit="4" ySplit="4" topLeftCell="E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9" customWidth="1" min="2" max="2"/>
    <col width="26" customWidth="1" min="3" max="3"/>
    <col width="30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</cols>
  <sheetData>
    <row r="1">
      <c r="C1" s="2" t="inlineStr">
        <is>
          <t>이름: 연간예상H — subQ 를 이름으로 VLOOKUP(억원)</t>
        </is>
      </c>
      <c r="E1" s="3" t="n">
        <v>2021</v>
      </c>
      <c r="F1" s="3" t="n">
        <v>2022</v>
      </c>
      <c r="G1" s="3" t="n">
        <v>2023</v>
      </c>
      <c r="H1" s="3" t="n">
        <v>2024</v>
      </c>
      <c r="I1" s="41" t="n">
        <v>2025</v>
      </c>
      <c r="J1" s="3" t="n">
        <v>2026</v>
      </c>
      <c r="K1" s="3" t="n">
        <v>2027</v>
      </c>
      <c r="L1" s="3" t="n">
        <v>2028</v>
      </c>
    </row>
    <row r="2">
      <c r="C2" t="inlineStr">
        <is>
          <t>종가:</t>
        </is>
      </c>
      <c r="D2" s="18">
        <f>변수!D42</f>
        <v/>
      </c>
      <c r="I2" s="42" t="n"/>
    </row>
    <row r="3">
      <c r="C3" t="inlineStr">
        <is>
          <t>기준일:</t>
        </is>
      </c>
      <c r="D3" t="inlineStr">
        <is>
          <t>20261013</t>
        </is>
      </c>
      <c r="E3" s="2" t="n">
        <v>1</v>
      </c>
      <c r="F3" s="2" t="n">
        <v>2</v>
      </c>
      <c r="G3" s="2" t="n">
        <v>3</v>
      </c>
      <c r="H3" s="2" t="n">
        <v>4</v>
      </c>
      <c r="I3" s="43" t="n">
        <v>5</v>
      </c>
      <c r="J3" s="2" t="n">
        <v>6</v>
      </c>
      <c r="K3" s="2" t="n">
        <v>7</v>
      </c>
      <c r="L3" s="2" t="n">
        <v>8</v>
      </c>
    </row>
    <row r="4">
      <c r="E4" s="7" t="inlineStr">
        <is>
          <t>2021.12A</t>
        </is>
      </c>
      <c r="F4" s="7" t="inlineStr">
        <is>
          <t>2022.12A</t>
        </is>
      </c>
      <c r="G4" s="7" t="inlineStr">
        <is>
          <t>2023.12A</t>
        </is>
      </c>
      <c r="H4" s="7" t="inlineStr">
        <is>
          <t>2024.12A</t>
        </is>
      </c>
      <c r="I4" s="44" t="inlineStr">
        <is>
          <t>2025.12A</t>
        </is>
      </c>
      <c r="J4" s="7" t="inlineStr">
        <is>
          <t>2026.12A</t>
        </is>
      </c>
      <c r="K4" s="7" t="inlineStr">
        <is>
          <t>2027.12A</t>
        </is>
      </c>
      <c r="L4" s="7" t="inlineStr">
        <is>
          <t>2028.12A</t>
        </is>
      </c>
    </row>
    <row r="5">
      <c r="A5" s="12" t="inlineStr">
        <is>
          <t>매출액</t>
        </is>
      </c>
      <c r="D5" t="inlineStr">
        <is>
          <t>매출액</t>
        </is>
      </c>
      <c r="E5" s="18">
        <f>IFERROR(VLOOKUP($A5,subQ,MATCH(E$1,SUBQH,0),0),"")</f>
        <v/>
      </c>
      <c r="F5" s="18">
        <f>IFERROR(VLOOKUP($A5,subQ,MATCH(F$1,SUBQH,0),0),"")</f>
        <v/>
      </c>
      <c r="G5" s="18">
        <f>IFERROR(VLOOKUP($A5,subQ,MATCH(G$1,SUBQH,0),0),"")</f>
        <v/>
      </c>
      <c r="H5" s="18">
        <f>IFERROR(VLOOKUP($A5,subQ,MATCH(H$1,SUBQH,0),0),"")</f>
        <v/>
      </c>
      <c r="I5" s="45">
        <f>IFERROR(VLOOKUP($A5,subQ,MATCH(I$1,SUBQH,0),0),"")</f>
        <v/>
      </c>
      <c r="J5" s="20">
        <f>IFERROR(VLOOKUP($A5,subQ,MATCH(J$1,SUBQH,0),0),"")</f>
        <v/>
      </c>
      <c r="K5" s="20">
        <f>IFERROR(VLOOKUP($A5,subQ,MATCH(K$1,SUBQH,0),0),"")</f>
        <v/>
      </c>
      <c r="L5" s="20">
        <f>IFERROR(VLOOKUP($A5,subQ,MATCH(L$1,SUBQH,0),0),"")</f>
        <v/>
      </c>
    </row>
    <row r="6">
      <c r="A6" s="12" t="inlineStr">
        <is>
          <t>매출원가</t>
        </is>
      </c>
      <c r="D6" t="inlineStr">
        <is>
          <t>매출원가</t>
        </is>
      </c>
      <c r="E6" s="18">
        <f>IFERROR(VLOOKUP($A6,subQ,MATCH(E$1,SUBQH,0),0),"")</f>
        <v/>
      </c>
      <c r="F6" s="18">
        <f>IFERROR(VLOOKUP($A6,subQ,MATCH(F$1,SUBQH,0),0),"")</f>
        <v/>
      </c>
      <c r="G6" s="18">
        <f>IFERROR(VLOOKUP($A6,subQ,MATCH(G$1,SUBQH,0),0),"")</f>
        <v/>
      </c>
      <c r="H6" s="18">
        <f>IFERROR(VLOOKUP($A6,subQ,MATCH(H$1,SUBQH,0),0),"")</f>
        <v/>
      </c>
      <c r="I6" s="45">
        <f>IFERROR(VLOOKUP($A6,subQ,MATCH(I$1,SUBQH,0),0),"")</f>
        <v/>
      </c>
      <c r="J6" s="20">
        <f>IFERROR(VLOOKUP($A6,subQ,MATCH(J$1,SUBQH,0),0),"")</f>
        <v/>
      </c>
      <c r="K6" s="20">
        <f>IFERROR(VLOOKUP($A6,subQ,MATCH(K$1,SUBQH,0),0),"")</f>
        <v/>
      </c>
      <c r="L6" s="20">
        <f>IFERROR(VLOOKUP($A6,subQ,MATCH(L$1,SUBQH,0),0),"")</f>
        <v/>
      </c>
    </row>
    <row r="7">
      <c r="A7" s="12" t="inlineStr">
        <is>
          <t>매출총이익</t>
        </is>
      </c>
      <c r="D7" t="inlineStr">
        <is>
          <t>매출총이익</t>
        </is>
      </c>
      <c r="E7" s="18">
        <f>IFERROR(VLOOKUP($A7,subQ,MATCH(E$1,SUBQH,0),0),"")</f>
        <v/>
      </c>
      <c r="F7" s="18">
        <f>IFERROR(VLOOKUP($A7,subQ,MATCH(F$1,SUBQH,0),0),"")</f>
        <v/>
      </c>
      <c r="G7" s="18">
        <f>IFERROR(VLOOKUP($A7,subQ,MATCH(G$1,SUBQH,0),0),"")</f>
        <v/>
      </c>
      <c r="H7" s="18">
        <f>IFERROR(VLOOKUP($A7,subQ,MATCH(H$1,SUBQH,0),0),"")</f>
        <v/>
      </c>
      <c r="I7" s="45">
        <f>IFERROR(VLOOKUP($A7,subQ,MATCH(I$1,SUBQH,0),0),"")</f>
        <v/>
      </c>
      <c r="J7" s="20">
        <f>IFERROR(VLOOKUP($A7,subQ,MATCH(J$1,SUBQH,0),0),"")</f>
        <v/>
      </c>
      <c r="K7" s="20">
        <f>IFERROR(VLOOKUP($A7,subQ,MATCH(K$1,SUBQH,0),0),"")</f>
        <v/>
      </c>
      <c r="L7" s="20">
        <f>IFERROR(VLOOKUP($A7,subQ,MATCH(L$1,SUBQH,0),0),"")</f>
        <v/>
      </c>
    </row>
    <row r="8">
      <c r="A8" s="12" t="inlineStr">
        <is>
          <t>판관비</t>
        </is>
      </c>
      <c r="D8" t="inlineStr">
        <is>
          <t>판매비와관리비</t>
        </is>
      </c>
      <c r="E8" s="18">
        <f>IFERROR(VLOOKUP($A8,subQ,MATCH(E$1,SUBQH,0),0),"")</f>
        <v/>
      </c>
      <c r="F8" s="18">
        <f>IFERROR(VLOOKUP($A8,subQ,MATCH(F$1,SUBQH,0),0),"")</f>
        <v/>
      </c>
      <c r="G8" s="18">
        <f>IFERROR(VLOOKUP($A8,subQ,MATCH(G$1,SUBQH,0),0),"")</f>
        <v/>
      </c>
      <c r="H8" s="18">
        <f>IFERROR(VLOOKUP($A8,subQ,MATCH(H$1,SUBQH,0),0),"")</f>
        <v/>
      </c>
      <c r="I8" s="45">
        <f>IFERROR(VLOOKUP($A8,subQ,MATCH(I$1,SUBQH,0),0),"")</f>
        <v/>
      </c>
      <c r="J8" s="20">
        <f>IFERROR(VLOOKUP($A8,subQ,MATCH(J$1,SUBQH,0),0),"")</f>
        <v/>
      </c>
      <c r="K8" s="20">
        <f>IFERROR(VLOOKUP($A8,subQ,MATCH(K$1,SUBQH,0),0),"")</f>
        <v/>
      </c>
      <c r="L8" s="20">
        <f>IFERROR(VLOOKUP($A8,subQ,MATCH(L$1,SUBQH,0),0),"")</f>
        <v/>
      </c>
    </row>
    <row r="9">
      <c r="A9" s="12" t="inlineStr">
        <is>
          <t>영업이익</t>
        </is>
      </c>
      <c r="D9" t="inlineStr">
        <is>
          <t>영업이익</t>
        </is>
      </c>
      <c r="E9" s="18">
        <f>IFERROR(VLOOKUP($A9,subQ,MATCH(E$1,SUBQH,0),0),"")</f>
        <v/>
      </c>
      <c r="F9" s="18">
        <f>IFERROR(VLOOKUP($A9,subQ,MATCH(F$1,SUBQH,0),0),"")</f>
        <v/>
      </c>
      <c r="G9" s="18">
        <f>IFERROR(VLOOKUP($A9,subQ,MATCH(G$1,SUBQH,0),0),"")</f>
        <v/>
      </c>
      <c r="H9" s="18">
        <f>IFERROR(VLOOKUP($A9,subQ,MATCH(H$1,SUBQH,0),0),"")</f>
        <v/>
      </c>
      <c r="I9" s="45">
        <f>IFERROR(VLOOKUP($A9,subQ,MATCH(I$1,SUBQH,0),0),"")</f>
        <v/>
      </c>
      <c r="J9" s="20">
        <f>IFERROR(VLOOKUP($A9,subQ,MATCH(J$1,SUBQH,0),0),"")</f>
        <v/>
      </c>
      <c r="K9" s="20">
        <f>IFERROR(VLOOKUP($A9,subQ,MATCH(K$1,SUBQH,0),0),"")</f>
        <v/>
      </c>
      <c r="L9" s="20">
        <f>IFERROR(VLOOKUP($A9,subQ,MATCH(L$1,SUBQH,0),0),"")</f>
        <v/>
      </c>
    </row>
    <row r="10">
      <c r="A10" s="12" t="inlineStr">
        <is>
          <t>OPM</t>
        </is>
      </c>
      <c r="D10" t="inlineStr">
        <is>
          <t>영업이익률</t>
        </is>
      </c>
      <c r="E10" s="21">
        <f>IFERROR(VLOOKUP($A10,subQ,MATCH(E$1,SUBQH,0),0),"")</f>
        <v/>
      </c>
      <c r="F10" s="21">
        <f>IFERROR(VLOOKUP($A10,subQ,MATCH(F$1,SUBQH,0),0),"")</f>
        <v/>
      </c>
      <c r="G10" s="21">
        <f>IFERROR(VLOOKUP($A10,subQ,MATCH(G$1,SUBQH,0),0),"")</f>
        <v/>
      </c>
      <c r="H10" s="21">
        <f>IFERROR(VLOOKUP($A10,subQ,MATCH(H$1,SUBQH,0),0),"")</f>
        <v/>
      </c>
      <c r="I10" s="46">
        <f>IFERROR(VLOOKUP($A10,subQ,MATCH(I$1,SUBQH,0),0),"")</f>
        <v/>
      </c>
      <c r="J10" s="32">
        <f>IFERROR(VLOOKUP($A10,subQ,MATCH(J$1,SUBQH,0),0),"")</f>
        <v/>
      </c>
      <c r="K10" s="32">
        <f>IFERROR(VLOOKUP($A10,subQ,MATCH(K$1,SUBQH,0),0),"")</f>
        <v/>
      </c>
      <c r="L10" s="32">
        <f>IFERROR(VLOOKUP($A10,subQ,MATCH(L$1,SUBQH,0),0),"")</f>
        <v/>
      </c>
    </row>
    <row r="11">
      <c r="A11" s="12" t="inlineStr">
        <is>
          <t>금융손익</t>
        </is>
      </c>
      <c r="D11" t="inlineStr">
        <is>
          <t>금융손익(이자·환 포함)</t>
        </is>
      </c>
      <c r="E11" s="18">
        <f>IFERROR(VLOOKUP($A11,subQ,MATCH(E$1,SUBQH,0),0),"")</f>
        <v/>
      </c>
      <c r="F11" s="18">
        <f>IFERROR(VLOOKUP($A11,subQ,MATCH(F$1,SUBQH,0),0),"")</f>
        <v/>
      </c>
      <c r="G11" s="18">
        <f>IFERROR(VLOOKUP($A11,subQ,MATCH(G$1,SUBQH,0),0),"")</f>
        <v/>
      </c>
      <c r="H11" s="18">
        <f>IFERROR(VLOOKUP($A11,subQ,MATCH(H$1,SUBQH,0),0),"")</f>
        <v/>
      </c>
      <c r="I11" s="45">
        <f>IFERROR(VLOOKUP($A11,subQ,MATCH(I$1,SUBQH,0),0),"")</f>
        <v/>
      </c>
      <c r="J11" s="20">
        <f>IFERROR(VLOOKUP($A11,subQ,MATCH(J$1,SUBQH,0),0),"")</f>
        <v/>
      </c>
      <c r="K11" s="20">
        <f>IFERROR(VLOOKUP($A11,subQ,MATCH(K$1,SUBQH,0),0),"")</f>
        <v/>
      </c>
      <c r="L11" s="20">
        <f>IFERROR(VLOOKUP($A11,subQ,MATCH(L$1,SUBQH,0),0),"")</f>
        <v/>
      </c>
    </row>
    <row r="12">
      <c r="A12" s="12" t="inlineStr">
        <is>
          <t>이자손익</t>
        </is>
      </c>
      <c r="D12" t="inlineStr">
        <is>
          <t>이자손익(이자수익 − 이자비용)</t>
        </is>
      </c>
      <c r="E12" s="18">
        <f>IFERROR(VLOOKUP($A12,subQ,MATCH(E$1,SUBQH,0),0),"")</f>
        <v/>
      </c>
      <c r="F12" s="18">
        <f>IFERROR(VLOOKUP($A12,subQ,MATCH(F$1,SUBQH,0),0),"")</f>
        <v/>
      </c>
      <c r="G12" s="18">
        <f>IFERROR(VLOOKUP($A12,subQ,MATCH(G$1,SUBQH,0),0),"")</f>
        <v/>
      </c>
      <c r="H12" s="18">
        <f>IFERROR(VLOOKUP($A12,subQ,MATCH(H$1,SUBQH,0),0),"")</f>
        <v/>
      </c>
      <c r="I12" s="45">
        <f>IFERROR(VLOOKUP($A12,subQ,MATCH(I$1,SUBQH,0),0),"")</f>
        <v/>
      </c>
      <c r="J12" s="20">
        <f>IFERROR(VLOOKUP($A12,subQ,MATCH(J$1,SUBQH,0),0),"")</f>
        <v/>
      </c>
      <c r="K12" s="20">
        <f>IFERROR(VLOOKUP($A12,subQ,MATCH(K$1,SUBQH,0),0),"")</f>
        <v/>
      </c>
      <c r="L12" s="20">
        <f>IFERROR(VLOOKUP($A12,subQ,MATCH(L$1,SUBQH,0),0),"")</f>
        <v/>
      </c>
    </row>
    <row r="13">
      <c r="A13" s="12" t="inlineStr">
        <is>
          <t>기타영업외손익</t>
        </is>
      </c>
      <c r="D13" t="inlineStr">
        <is>
          <t>기타영업외손익</t>
        </is>
      </c>
      <c r="E13" s="18">
        <f>IFERROR(VLOOKUP($A13,subQ,MATCH(E$1,SUBQH,0),0),"")</f>
        <v/>
      </c>
      <c r="F13" s="18">
        <f>IFERROR(VLOOKUP($A13,subQ,MATCH(F$1,SUBQH,0),0),"")</f>
        <v/>
      </c>
      <c r="G13" s="18">
        <f>IFERROR(VLOOKUP($A13,subQ,MATCH(G$1,SUBQH,0),0),"")</f>
        <v/>
      </c>
      <c r="H13" s="18">
        <f>IFERROR(VLOOKUP($A13,subQ,MATCH(H$1,SUBQH,0),0),"")</f>
        <v/>
      </c>
      <c r="I13" s="45">
        <f>IFERROR(VLOOKUP($A13,subQ,MATCH(I$1,SUBQH,0),0),"")</f>
        <v/>
      </c>
      <c r="J13" s="20">
        <f>IFERROR(VLOOKUP($A13,subQ,MATCH(J$1,SUBQH,0),0),"")</f>
        <v/>
      </c>
      <c r="K13" s="20">
        <f>IFERROR(VLOOKUP($A13,subQ,MATCH(K$1,SUBQH,0),0),"")</f>
        <v/>
      </c>
      <c r="L13" s="20">
        <f>IFERROR(VLOOKUP($A13,subQ,MATCH(L$1,SUBQH,0),0),"")</f>
        <v/>
      </c>
    </row>
    <row r="14">
      <c r="A14" s="12" t="inlineStr">
        <is>
          <t>지분법손익</t>
        </is>
      </c>
      <c r="D14" t="inlineStr">
        <is>
          <t>지분법손익</t>
        </is>
      </c>
      <c r="E14" s="18">
        <f>IFERROR(VLOOKUP($A14,subQ,MATCH(E$1,SUBQH,0),0),"")</f>
        <v/>
      </c>
      <c r="F14" s="18">
        <f>IFERROR(VLOOKUP($A14,subQ,MATCH(F$1,SUBQH,0),0),"")</f>
        <v/>
      </c>
      <c r="G14" s="18">
        <f>IFERROR(VLOOKUP($A14,subQ,MATCH(G$1,SUBQH,0),0),"")</f>
        <v/>
      </c>
      <c r="H14" s="18">
        <f>IFERROR(VLOOKUP($A14,subQ,MATCH(H$1,SUBQH,0),0),"")</f>
        <v/>
      </c>
      <c r="I14" s="45">
        <f>IFERROR(VLOOKUP($A14,subQ,MATCH(I$1,SUBQH,0),0),"")</f>
        <v/>
      </c>
      <c r="J14" s="20">
        <f>IFERROR(VLOOKUP($A14,subQ,MATCH(J$1,SUBQH,0),0),"")</f>
        <v/>
      </c>
      <c r="K14" s="20">
        <f>IFERROR(VLOOKUP($A14,subQ,MATCH(K$1,SUBQH,0),0),"")</f>
        <v/>
      </c>
      <c r="L14" s="20">
        <f>IFERROR(VLOOKUP($A14,subQ,MATCH(L$1,SUBQH,0),0),"")</f>
        <v/>
      </c>
    </row>
    <row r="15">
      <c r="A15" s="12" t="inlineStr">
        <is>
          <t>세전이익</t>
        </is>
      </c>
      <c r="D15" t="inlineStr">
        <is>
          <t>법인세비용차감전이익</t>
        </is>
      </c>
      <c r="E15" s="18">
        <f>IFERROR(VLOOKUP($A15,subQ,MATCH(E$1,SUBQH,0),0),"")</f>
        <v/>
      </c>
      <c r="F15" s="18">
        <f>IFERROR(VLOOKUP($A15,subQ,MATCH(F$1,SUBQH,0),0),"")</f>
        <v/>
      </c>
      <c r="G15" s="18">
        <f>IFERROR(VLOOKUP($A15,subQ,MATCH(G$1,SUBQH,0),0),"")</f>
        <v/>
      </c>
      <c r="H15" s="18">
        <f>IFERROR(VLOOKUP($A15,subQ,MATCH(H$1,SUBQH,0),0),"")</f>
        <v/>
      </c>
      <c r="I15" s="45">
        <f>IFERROR(VLOOKUP($A15,subQ,MATCH(I$1,SUBQH,0),0),"")</f>
        <v/>
      </c>
      <c r="J15" s="20">
        <f>IFERROR(VLOOKUP($A15,subQ,MATCH(J$1,SUBQH,0),0),"")</f>
        <v/>
      </c>
      <c r="K15" s="20">
        <f>IFERROR(VLOOKUP($A15,subQ,MATCH(K$1,SUBQH,0),0),"")</f>
        <v/>
      </c>
      <c r="L15" s="20">
        <f>IFERROR(VLOOKUP($A15,subQ,MATCH(L$1,SUBQH,0),0),"")</f>
        <v/>
      </c>
    </row>
    <row r="16">
      <c r="A16" s="12" t="inlineStr">
        <is>
          <t>법인세비용</t>
        </is>
      </c>
      <c r="D16" t="inlineStr">
        <is>
          <t>법인세비용</t>
        </is>
      </c>
      <c r="E16" s="18">
        <f>IFERROR(VLOOKUP($A16,subQ,MATCH(E$1,SUBQH,0),0),"")</f>
        <v/>
      </c>
      <c r="F16" s="18">
        <f>IFERROR(VLOOKUP($A16,subQ,MATCH(F$1,SUBQH,0),0),"")</f>
        <v/>
      </c>
      <c r="G16" s="18">
        <f>IFERROR(VLOOKUP($A16,subQ,MATCH(G$1,SUBQH,0),0),"")</f>
        <v/>
      </c>
      <c r="H16" s="18">
        <f>IFERROR(VLOOKUP($A16,subQ,MATCH(H$1,SUBQH,0),0),"")</f>
        <v/>
      </c>
      <c r="I16" s="45">
        <f>IFERROR(VLOOKUP($A16,subQ,MATCH(I$1,SUBQH,0),0),"")</f>
        <v/>
      </c>
      <c r="J16" s="20">
        <f>IFERROR(VLOOKUP($A16,subQ,MATCH(J$1,SUBQH,0),0),"")</f>
        <v/>
      </c>
      <c r="K16" s="20">
        <f>IFERROR(VLOOKUP($A16,subQ,MATCH(K$1,SUBQH,0),0),"")</f>
        <v/>
      </c>
      <c r="L16" s="20">
        <f>IFERROR(VLOOKUP($A16,subQ,MATCH(L$1,SUBQH,0),0),"")</f>
        <v/>
      </c>
    </row>
    <row r="17">
      <c r="A17" s="12" t="inlineStr">
        <is>
          <t>당기순이익</t>
        </is>
      </c>
      <c r="D17" t="inlineStr">
        <is>
          <t>당기순이익</t>
        </is>
      </c>
      <c r="E17" s="18">
        <f>IFERROR(VLOOKUP($A17,subQ,MATCH(E$1,SUBQH,0),0),"")</f>
        <v/>
      </c>
      <c r="F17" s="18">
        <f>IFERROR(VLOOKUP($A17,subQ,MATCH(F$1,SUBQH,0),0),"")</f>
        <v/>
      </c>
      <c r="G17" s="18">
        <f>IFERROR(VLOOKUP($A17,subQ,MATCH(G$1,SUBQH,0),0),"")</f>
        <v/>
      </c>
      <c r="H17" s="18">
        <f>IFERROR(VLOOKUP($A17,subQ,MATCH(H$1,SUBQH,0),0),"")</f>
        <v/>
      </c>
      <c r="I17" s="45">
        <f>IFERROR(VLOOKUP($A17,subQ,MATCH(I$1,SUBQH,0),0),"")</f>
        <v/>
      </c>
      <c r="J17" s="20">
        <f>IFERROR(VLOOKUP($A17,subQ,MATCH(J$1,SUBQH,0),0),"")</f>
        <v/>
      </c>
      <c r="K17" s="20">
        <f>IFERROR(VLOOKUP($A17,subQ,MATCH(K$1,SUBQH,0),0),"")</f>
        <v/>
      </c>
      <c r="L17" s="20">
        <f>IFERROR(VLOOKUP($A17,subQ,MATCH(L$1,SUBQH,0),0),"")</f>
        <v/>
      </c>
    </row>
    <row r="18">
      <c r="A18" s="12" t="inlineStr">
        <is>
          <t>지배주주순이익</t>
        </is>
      </c>
      <c r="D18" t="inlineStr">
        <is>
          <t>지배주주순이익</t>
        </is>
      </c>
      <c r="E18" s="18">
        <f>IFERROR(VLOOKUP($A18,subQ,MATCH(E$1,SUBQH,0),0),"")</f>
        <v/>
      </c>
      <c r="F18" s="18">
        <f>IFERROR(VLOOKUP($A18,subQ,MATCH(F$1,SUBQH,0),0),"")</f>
        <v/>
      </c>
      <c r="G18" s="18">
        <f>IFERROR(VLOOKUP($A18,subQ,MATCH(G$1,SUBQH,0),0),"")</f>
        <v/>
      </c>
      <c r="H18" s="18">
        <f>IFERROR(VLOOKUP($A18,subQ,MATCH(H$1,SUBQH,0),0),"")</f>
        <v/>
      </c>
      <c r="I18" s="45">
        <f>IFERROR(VLOOKUP($A18,subQ,MATCH(I$1,SUBQH,0),0),"")</f>
        <v/>
      </c>
      <c r="J18" s="20">
        <f>IFERROR(VLOOKUP($A18,subQ,MATCH(J$1,SUBQH,0),0),"")</f>
        <v/>
      </c>
      <c r="K18" s="20">
        <f>IFERROR(VLOOKUP($A18,subQ,MATCH(K$1,SUBQH,0),0),"")</f>
        <v/>
      </c>
      <c r="L18" s="20">
        <f>IFERROR(VLOOKUP($A18,subQ,MATCH(L$1,SUBQH,0),0),"")</f>
        <v/>
      </c>
    </row>
    <row r="19">
      <c r="A19" s="12" t="inlineStr">
        <is>
          <t>감가상각비</t>
        </is>
      </c>
      <c r="D19" t="inlineStr">
        <is>
          <t>감가상각비</t>
        </is>
      </c>
      <c r="E19" s="18">
        <f>IFERROR(VLOOKUP($A19,subQ,MATCH(E$1,SUBQH,0),0),"")</f>
        <v/>
      </c>
      <c r="F19" s="18">
        <f>IFERROR(VLOOKUP($A19,subQ,MATCH(F$1,SUBQH,0),0),"")</f>
        <v/>
      </c>
      <c r="G19" s="18">
        <f>IFERROR(VLOOKUP($A19,subQ,MATCH(G$1,SUBQH,0),0),"")</f>
        <v/>
      </c>
      <c r="H19" s="18">
        <f>IFERROR(VLOOKUP($A19,subQ,MATCH(H$1,SUBQH,0),0),"")</f>
        <v/>
      </c>
      <c r="I19" s="45">
        <f>IFERROR(VLOOKUP($A19,subQ,MATCH(I$1,SUBQH,0),0),"")</f>
        <v/>
      </c>
      <c r="J19" s="20">
        <f>IFERROR(VLOOKUP($A19,subQ,MATCH(J$1,SUBQH,0),0),"")</f>
        <v/>
      </c>
      <c r="K19" s="20">
        <f>IFERROR(VLOOKUP($A19,subQ,MATCH(K$1,SUBQH,0),0),"")</f>
        <v/>
      </c>
      <c r="L19" s="20">
        <f>IFERROR(VLOOKUP($A19,subQ,MATCH(L$1,SUBQH,0),0),"")</f>
        <v/>
      </c>
    </row>
    <row r="20">
      <c r="A20" s="12" t="inlineStr">
        <is>
          <t>EBITDA</t>
        </is>
      </c>
      <c r="D20" t="inlineStr">
        <is>
          <t>EBITDA</t>
        </is>
      </c>
      <c r="E20" s="18">
        <f>IFERROR(VLOOKUP($A20,subQ,MATCH(E$1,SUBQH,0),0),"")</f>
        <v/>
      </c>
      <c r="F20" s="18">
        <f>IFERROR(VLOOKUP($A20,subQ,MATCH(F$1,SUBQH,0),0),"")</f>
        <v/>
      </c>
      <c r="G20" s="18">
        <f>IFERROR(VLOOKUP($A20,subQ,MATCH(G$1,SUBQH,0),0),"")</f>
        <v/>
      </c>
      <c r="H20" s="18">
        <f>IFERROR(VLOOKUP($A20,subQ,MATCH(H$1,SUBQH,0),0),"")</f>
        <v/>
      </c>
      <c r="I20" s="45">
        <f>IFERROR(VLOOKUP($A20,subQ,MATCH(I$1,SUBQH,0),0),"")</f>
        <v/>
      </c>
      <c r="J20" s="20">
        <f>IFERROR(VLOOKUP($A20,subQ,MATCH(J$1,SUBQH,0),0),"")</f>
        <v/>
      </c>
      <c r="K20" s="20">
        <f>IFERROR(VLOOKUP($A20,subQ,MATCH(K$1,SUBQH,0),0),"")</f>
        <v/>
      </c>
      <c r="L20" s="20">
        <f>IFERROR(VLOOKUP($A20,subQ,MATCH(L$1,SUBQH,0),0),"")</f>
        <v/>
      </c>
    </row>
    <row r="21">
      <c r="A21" s="12" t="inlineStr">
        <is>
          <t>자산총계</t>
        </is>
      </c>
      <c r="D21" t="inlineStr">
        <is>
          <t>자산총계</t>
        </is>
      </c>
      <c r="E21" s="18">
        <f>IFERROR(VLOOKUP($A21,subQ,MATCH(E$1,SUBQH,0),0),"")</f>
        <v/>
      </c>
      <c r="F21" s="18">
        <f>IFERROR(VLOOKUP($A21,subQ,MATCH(F$1,SUBQH,0),0),"")</f>
        <v/>
      </c>
      <c r="G21" s="18">
        <f>IFERROR(VLOOKUP($A21,subQ,MATCH(G$1,SUBQH,0),0),"")</f>
        <v/>
      </c>
      <c r="H21" s="18">
        <f>IFERROR(VLOOKUP($A21,subQ,MATCH(H$1,SUBQH,0),0),"")</f>
        <v/>
      </c>
      <c r="I21" s="45">
        <f>IFERROR(VLOOKUP($A21,subQ,MATCH(I$1,SUBQH,0),0),"")</f>
        <v/>
      </c>
      <c r="J21" s="20">
        <f>IFERROR(VLOOKUP($A21,subQ,MATCH(J$1,SUBQH,0),0),"")</f>
        <v/>
      </c>
      <c r="K21" s="20">
        <f>IFERROR(VLOOKUP($A21,subQ,MATCH(K$1,SUBQH,0),0),"")</f>
        <v/>
      </c>
      <c r="L21" s="20">
        <f>IFERROR(VLOOKUP($A21,subQ,MATCH(L$1,SUBQH,0),0),"")</f>
        <v/>
      </c>
    </row>
    <row r="22">
      <c r="A22" s="12" t="inlineStr">
        <is>
          <t>부채총계</t>
        </is>
      </c>
      <c r="D22" t="inlineStr">
        <is>
          <t>부채총계</t>
        </is>
      </c>
      <c r="E22" s="18">
        <f>IFERROR(VLOOKUP($A22,subQ,MATCH(E$1,SUBQH,0),0),"")</f>
        <v/>
      </c>
      <c r="F22" s="18">
        <f>IFERROR(VLOOKUP($A22,subQ,MATCH(F$1,SUBQH,0),0),"")</f>
        <v/>
      </c>
      <c r="G22" s="18">
        <f>IFERROR(VLOOKUP($A22,subQ,MATCH(G$1,SUBQH,0),0),"")</f>
        <v/>
      </c>
      <c r="H22" s="18">
        <f>IFERROR(VLOOKUP($A22,subQ,MATCH(H$1,SUBQH,0),0),"")</f>
        <v/>
      </c>
      <c r="I22" s="45">
        <f>IFERROR(VLOOKUP($A22,subQ,MATCH(I$1,SUBQH,0),0),"")</f>
        <v/>
      </c>
      <c r="J22" s="20">
        <f>IFERROR(VLOOKUP($A22,subQ,MATCH(J$1,SUBQH,0),0),"")</f>
        <v/>
      </c>
      <c r="K22" s="20">
        <f>IFERROR(VLOOKUP($A22,subQ,MATCH(K$1,SUBQH,0),0),"")</f>
        <v/>
      </c>
      <c r="L22" s="20">
        <f>IFERROR(VLOOKUP($A22,subQ,MATCH(L$1,SUBQH,0),0),"")</f>
        <v/>
      </c>
    </row>
    <row r="23">
      <c r="A23" s="12" t="inlineStr">
        <is>
          <t>자본총계</t>
        </is>
      </c>
      <c r="D23" t="inlineStr">
        <is>
          <t>자본총계</t>
        </is>
      </c>
      <c r="E23" s="18">
        <f>IFERROR(VLOOKUP($A23,subQ,MATCH(E$1,SUBQH,0),0),"")</f>
        <v/>
      </c>
      <c r="F23" s="18">
        <f>IFERROR(VLOOKUP($A23,subQ,MATCH(F$1,SUBQH,0),0),"")</f>
        <v/>
      </c>
      <c r="G23" s="18">
        <f>IFERROR(VLOOKUP($A23,subQ,MATCH(G$1,SUBQH,0),0),"")</f>
        <v/>
      </c>
      <c r="H23" s="18">
        <f>IFERROR(VLOOKUP($A23,subQ,MATCH(H$1,SUBQH,0),0),"")</f>
        <v/>
      </c>
      <c r="I23" s="45">
        <f>IFERROR(VLOOKUP($A23,subQ,MATCH(I$1,SUBQH,0),0),"")</f>
        <v/>
      </c>
      <c r="J23" s="20">
        <f>IFERROR(VLOOKUP($A23,subQ,MATCH(J$1,SUBQH,0),0),"")</f>
        <v/>
      </c>
      <c r="K23" s="20">
        <f>IFERROR(VLOOKUP($A23,subQ,MATCH(K$1,SUBQH,0),0),"")</f>
        <v/>
      </c>
      <c r="L23" s="20">
        <f>IFERROR(VLOOKUP($A23,subQ,MATCH(L$1,SUBQH,0),0),"")</f>
        <v/>
      </c>
    </row>
    <row r="24">
      <c r="A24" s="12" t="inlineStr">
        <is>
          <t>지배주주지분</t>
        </is>
      </c>
      <c r="D24" t="inlineStr">
        <is>
          <t>지배주주지분</t>
        </is>
      </c>
      <c r="E24" s="18">
        <f>IFERROR(VLOOKUP($A24,subQ,MATCH(E$1,SUBQH,0),0),"")</f>
        <v/>
      </c>
      <c r="F24" s="18">
        <f>IFERROR(VLOOKUP($A24,subQ,MATCH(F$1,SUBQH,0),0),"")</f>
        <v/>
      </c>
      <c r="G24" s="18">
        <f>IFERROR(VLOOKUP($A24,subQ,MATCH(G$1,SUBQH,0),0),"")</f>
        <v/>
      </c>
      <c r="H24" s="18">
        <f>IFERROR(VLOOKUP($A24,subQ,MATCH(H$1,SUBQH,0),0),"")</f>
        <v/>
      </c>
      <c r="I24" s="45">
        <f>IFERROR(VLOOKUP($A24,subQ,MATCH(I$1,SUBQH,0),0),"")</f>
        <v/>
      </c>
      <c r="J24" s="20">
        <f>IFERROR(VLOOKUP($A24,subQ,MATCH(J$1,SUBQH,0),0),"")</f>
        <v/>
      </c>
      <c r="K24" s="20">
        <f>IFERROR(VLOOKUP($A24,subQ,MATCH(K$1,SUBQH,0),0),"")</f>
        <v/>
      </c>
      <c r="L24" s="20">
        <f>IFERROR(VLOOKUP($A24,subQ,MATCH(L$1,SUBQH,0),0),"")</f>
        <v/>
      </c>
    </row>
    <row r="25">
      <c r="A25" s="12" t="inlineStr">
        <is>
          <t>총차입금</t>
        </is>
      </c>
      <c r="D25" t="inlineStr">
        <is>
          <t>총차입금</t>
        </is>
      </c>
      <c r="E25" s="18">
        <f>IFERROR(VLOOKUP($A25,subQ,MATCH(E$1,SUBQH,0),0),"")</f>
        <v/>
      </c>
      <c r="F25" s="18">
        <f>IFERROR(VLOOKUP($A25,subQ,MATCH(F$1,SUBQH,0),0),"")</f>
        <v/>
      </c>
      <c r="G25" s="18">
        <f>IFERROR(VLOOKUP($A25,subQ,MATCH(G$1,SUBQH,0),0),"")</f>
        <v/>
      </c>
      <c r="H25" s="18">
        <f>IFERROR(VLOOKUP($A25,subQ,MATCH(H$1,SUBQH,0),0),"")</f>
        <v/>
      </c>
      <c r="I25" s="45">
        <f>IFERROR(VLOOKUP($A25,subQ,MATCH(I$1,SUBQH,0),0),"")</f>
        <v/>
      </c>
      <c r="J25" s="20">
        <f>IFERROR(VLOOKUP($A25,subQ,MATCH(J$1,SUBQH,0),0),"")</f>
        <v/>
      </c>
      <c r="K25" s="20">
        <f>IFERROR(VLOOKUP($A25,subQ,MATCH(K$1,SUBQH,0),0),"")</f>
        <v/>
      </c>
      <c r="L25" s="20">
        <f>IFERROR(VLOOKUP($A25,subQ,MATCH(L$1,SUBQH,0),0),"")</f>
        <v/>
      </c>
    </row>
    <row r="26">
      <c r="A26" s="12" t="inlineStr">
        <is>
          <t>순차입금</t>
        </is>
      </c>
      <c r="D26" t="inlineStr">
        <is>
          <t>순차입금</t>
        </is>
      </c>
      <c r="E26" s="18">
        <f>IFERROR(VLOOKUP($A26,subQ,MATCH(E$1,SUBQH,0),0),"")</f>
        <v/>
      </c>
      <c r="F26" s="18">
        <f>IFERROR(VLOOKUP($A26,subQ,MATCH(F$1,SUBQH,0),0),"")</f>
        <v/>
      </c>
      <c r="G26" s="18">
        <f>IFERROR(VLOOKUP($A26,subQ,MATCH(G$1,SUBQH,0),0),"")</f>
        <v/>
      </c>
      <c r="H26" s="18">
        <f>IFERROR(VLOOKUP($A26,subQ,MATCH(H$1,SUBQH,0),0),"")</f>
        <v/>
      </c>
      <c r="I26" s="45">
        <f>IFERROR(VLOOKUP($A26,subQ,MATCH(I$1,SUBQH,0),0),"")</f>
        <v/>
      </c>
      <c r="J26" s="20">
        <f>IFERROR(VLOOKUP($A26,subQ,MATCH(J$1,SUBQH,0),0),"")</f>
        <v/>
      </c>
      <c r="K26" s="20">
        <f>IFERROR(VLOOKUP($A26,subQ,MATCH(K$1,SUBQH,0),0),"")</f>
        <v/>
      </c>
      <c r="L26" s="20">
        <f>IFERROR(VLOOKUP($A26,subQ,MATCH(L$1,SUBQH,0),0),"")</f>
        <v/>
      </c>
    </row>
    <row r="27">
      <c r="A27" s="12" t="inlineStr">
        <is>
          <t>이자발생자산</t>
        </is>
      </c>
      <c r="D27" t="inlineStr">
        <is>
          <t>이자발생자산</t>
        </is>
      </c>
      <c r="E27" s="18">
        <f>IFERROR(VLOOKUP($A27,subQ,MATCH(E$1,SUBQH,0),0),"")</f>
        <v/>
      </c>
      <c r="F27" s="18">
        <f>IFERROR(VLOOKUP($A27,subQ,MATCH(F$1,SUBQH,0),0),"")</f>
        <v/>
      </c>
      <c r="G27" s="18">
        <f>IFERROR(VLOOKUP($A27,subQ,MATCH(G$1,SUBQH,0),0),"")</f>
        <v/>
      </c>
      <c r="H27" s="18">
        <f>IFERROR(VLOOKUP($A27,subQ,MATCH(H$1,SUBQH,0),0),"")</f>
        <v/>
      </c>
      <c r="I27" s="45">
        <f>IFERROR(VLOOKUP($A27,subQ,MATCH(I$1,SUBQH,0),0),"")</f>
        <v/>
      </c>
      <c r="J27" s="20">
        <f>IFERROR(VLOOKUP($A27,subQ,MATCH(J$1,SUBQH,0),0),"")</f>
        <v/>
      </c>
      <c r="K27" s="20">
        <f>IFERROR(VLOOKUP($A27,subQ,MATCH(K$1,SUBQH,0),0),"")</f>
        <v/>
      </c>
      <c r="L27" s="20">
        <f>IFERROR(VLOOKUP($A27,subQ,MATCH(L$1,SUBQH,0),0),"")</f>
        <v/>
      </c>
    </row>
    <row r="28">
      <c r="A28" s="12" t="inlineStr">
        <is>
          <t>현금및현금성자산</t>
        </is>
      </c>
      <c r="D28" t="inlineStr">
        <is>
          <t>현금및현금성자산</t>
        </is>
      </c>
      <c r="E28" s="18">
        <f>IFERROR(VLOOKUP($A28,subQ,MATCH(E$1,SUBQH,0),0),"")</f>
        <v/>
      </c>
      <c r="F28" s="18">
        <f>IFERROR(VLOOKUP($A28,subQ,MATCH(F$1,SUBQH,0),0),"")</f>
        <v/>
      </c>
      <c r="G28" s="18">
        <f>IFERROR(VLOOKUP($A28,subQ,MATCH(G$1,SUBQH,0),0),"")</f>
        <v/>
      </c>
      <c r="H28" s="18">
        <f>IFERROR(VLOOKUP($A28,subQ,MATCH(H$1,SUBQH,0),0),"")</f>
        <v/>
      </c>
      <c r="I28" s="45">
        <f>IFERROR(VLOOKUP($A28,subQ,MATCH(I$1,SUBQH,0),0),"")</f>
        <v/>
      </c>
      <c r="J28" s="20">
        <f>IFERROR(VLOOKUP($A28,subQ,MATCH(J$1,SUBQH,0),0),"")</f>
        <v/>
      </c>
      <c r="K28" s="20">
        <f>IFERROR(VLOOKUP($A28,subQ,MATCH(K$1,SUBQH,0),0),"")</f>
        <v/>
      </c>
      <c r="L28" s="20">
        <f>IFERROR(VLOOKUP($A28,subQ,MATCH(L$1,SUBQH,0),0),"")</f>
        <v/>
      </c>
    </row>
    <row r="29">
      <c r="A29" s="12" t="inlineStr">
        <is>
          <t>CAPEX</t>
        </is>
      </c>
      <c r="D29" t="inlineStr">
        <is>
          <t>CAPEX</t>
        </is>
      </c>
      <c r="E29" s="18">
        <f>IFERROR(VLOOKUP($A29,subQ,MATCH(E$1,SUBQH,0),0),"")</f>
        <v/>
      </c>
      <c r="F29" s="18">
        <f>IFERROR(VLOOKUP($A29,subQ,MATCH(F$1,SUBQH,0),0),"")</f>
        <v/>
      </c>
      <c r="G29" s="18">
        <f>IFERROR(VLOOKUP($A29,subQ,MATCH(G$1,SUBQH,0),0),"")</f>
        <v/>
      </c>
      <c r="H29" s="18">
        <f>IFERROR(VLOOKUP($A29,subQ,MATCH(H$1,SUBQH,0),0),"")</f>
        <v/>
      </c>
      <c r="I29" s="45">
        <f>IFERROR(VLOOKUP($A29,subQ,MATCH(I$1,SUBQH,0),0),"")</f>
        <v/>
      </c>
      <c r="J29" s="20">
        <f>IFERROR(VLOOKUP($A29,subQ,MATCH(J$1,SUBQH,0),0),"")</f>
        <v/>
      </c>
      <c r="K29" s="20">
        <f>IFERROR(VLOOKUP($A29,subQ,MATCH(K$1,SUBQH,0),0),"")</f>
        <v/>
      </c>
      <c r="L29" s="20">
        <f>IFERROR(VLOOKUP($A29,subQ,MATCH(L$1,SUBQH,0),0),"")</f>
        <v/>
      </c>
    </row>
    <row r="30">
      <c r="A30" s="12" t="inlineStr">
        <is>
          <t>영업활동현금흐름</t>
        </is>
      </c>
      <c r="D30" t="inlineStr">
        <is>
          <t>영업활동현금흐름</t>
        </is>
      </c>
      <c r="E30" s="18">
        <f>IFERROR(VLOOKUP($A30,subQ,MATCH(E$1,SUBQH,0),0),"")</f>
        <v/>
      </c>
      <c r="F30" s="18">
        <f>IFERROR(VLOOKUP($A30,subQ,MATCH(F$1,SUBQH,0),0),"")</f>
        <v/>
      </c>
      <c r="G30" s="18">
        <f>IFERROR(VLOOKUP($A30,subQ,MATCH(G$1,SUBQH,0),0),"")</f>
        <v/>
      </c>
      <c r="H30" s="18">
        <f>IFERROR(VLOOKUP($A30,subQ,MATCH(H$1,SUBQH,0),0),"")</f>
        <v/>
      </c>
      <c r="I30" s="45">
        <f>IFERROR(VLOOKUP($A30,subQ,MATCH(I$1,SUBQH,0),0),"")</f>
        <v/>
      </c>
      <c r="J30" s="20">
        <f>IFERROR(VLOOKUP($A30,subQ,MATCH(J$1,SUBQH,0),0),"")</f>
        <v/>
      </c>
      <c r="K30" s="20">
        <f>IFERROR(VLOOKUP($A30,subQ,MATCH(K$1,SUBQH,0),0),"")</f>
        <v/>
      </c>
      <c r="L30" s="20">
        <f>IFERROR(VLOOKUP($A30,subQ,MATCH(L$1,SUBQH,0),0),"")</f>
        <v/>
      </c>
    </row>
    <row r="31">
      <c r="A31" s="12" t="inlineStr">
        <is>
          <t>주식수</t>
        </is>
      </c>
      <c r="D31" t="inlineStr">
        <is>
          <t>유통주식수</t>
        </is>
      </c>
      <c r="E31" s="27">
        <f>IFERROR(VLOOKUP($A31,subQ,MATCH(E$1,SUBQH,0),0),"")</f>
        <v/>
      </c>
      <c r="F31" s="27">
        <f>IFERROR(VLOOKUP($A31,subQ,MATCH(F$1,SUBQH,0),0),"")</f>
        <v/>
      </c>
      <c r="G31" s="27">
        <f>IFERROR(VLOOKUP($A31,subQ,MATCH(G$1,SUBQH,0),0),"")</f>
        <v/>
      </c>
      <c r="H31" s="27">
        <f>IFERROR(VLOOKUP($A31,subQ,MATCH(H$1,SUBQH,0),0),"")</f>
        <v/>
      </c>
      <c r="I31" s="47">
        <f>IFERROR(VLOOKUP($A31,subQ,MATCH(I$1,SUBQH,0),0),"")</f>
        <v/>
      </c>
      <c r="J31" s="33">
        <f>IFERROR(VLOOKUP($A31,subQ,MATCH(J$1,SUBQH,0),0),"")</f>
        <v/>
      </c>
      <c r="K31" s="33">
        <f>IFERROR(VLOOKUP($A31,subQ,MATCH(K$1,SUBQH,0),0),"")</f>
        <v/>
      </c>
      <c r="L31" s="33">
        <f>IFERROR(VLOOKUP($A31,subQ,MATCH(L$1,SUBQH,0),0),"")</f>
        <v/>
      </c>
    </row>
    <row r="32">
      <c r="A32" s="12" t="inlineStr">
        <is>
          <t>EPS</t>
        </is>
      </c>
      <c r="D32" t="inlineStr">
        <is>
          <t>EPS</t>
        </is>
      </c>
      <c r="E32" s="18">
        <f>IFERROR(VLOOKUP($A32,subQ,MATCH(E$1,SUBQH,0),0),"")</f>
        <v/>
      </c>
      <c r="F32" s="18">
        <f>IFERROR(VLOOKUP($A32,subQ,MATCH(F$1,SUBQH,0),0),"")</f>
        <v/>
      </c>
      <c r="G32" s="18">
        <f>IFERROR(VLOOKUP($A32,subQ,MATCH(G$1,SUBQH,0),0),"")</f>
        <v/>
      </c>
      <c r="H32" s="18">
        <f>IFERROR(VLOOKUP($A32,subQ,MATCH(H$1,SUBQH,0),0),"")</f>
        <v/>
      </c>
      <c r="I32" s="45">
        <f>IFERROR(VLOOKUP($A32,subQ,MATCH(I$1,SUBQH,0),0),"")</f>
        <v/>
      </c>
      <c r="J32" s="20">
        <f>IFERROR(VLOOKUP($A32,subQ,MATCH(J$1,SUBQH,0),0),"")</f>
        <v/>
      </c>
      <c r="K32" s="20">
        <f>IFERROR(VLOOKUP($A32,subQ,MATCH(K$1,SUBQH,0),0),"")</f>
        <v/>
      </c>
      <c r="L32" s="20">
        <f>IFERROR(VLOOKUP($A32,subQ,MATCH(L$1,SUBQH,0),0),"")</f>
        <v/>
      </c>
    </row>
    <row r="33">
      <c r="A33" s="12" t="inlineStr">
        <is>
          <t>BPS</t>
        </is>
      </c>
      <c r="D33" t="inlineStr">
        <is>
          <t>BPS</t>
        </is>
      </c>
      <c r="E33" s="18">
        <f>IFERROR(VLOOKUP($A33,subQ,MATCH(E$1,SUBQH,0),0),"")</f>
        <v/>
      </c>
      <c r="F33" s="18">
        <f>IFERROR(VLOOKUP($A33,subQ,MATCH(F$1,SUBQH,0),0),"")</f>
        <v/>
      </c>
      <c r="G33" s="18">
        <f>IFERROR(VLOOKUP($A33,subQ,MATCH(G$1,SUBQH,0),0),"")</f>
        <v/>
      </c>
      <c r="H33" s="18">
        <f>IFERROR(VLOOKUP($A33,subQ,MATCH(H$1,SUBQH,0),0),"")</f>
        <v/>
      </c>
      <c r="I33" s="45">
        <f>IFERROR(VLOOKUP($A33,subQ,MATCH(I$1,SUBQH,0),0),"")</f>
        <v/>
      </c>
      <c r="J33" s="20">
        <f>IFERROR(VLOOKUP($A33,subQ,MATCH(J$1,SUBQH,0),0),"")</f>
        <v/>
      </c>
      <c r="K33" s="20">
        <f>IFERROR(VLOOKUP($A33,subQ,MATCH(K$1,SUBQH,0),0),"")</f>
        <v/>
      </c>
      <c r="L33" s="20">
        <f>IFERROR(VLOOKUP($A33,subQ,MATCH(L$1,SUBQH,0),0),"")</f>
        <v/>
      </c>
    </row>
    <row r="34">
      <c r="A34" s="12" t="inlineStr">
        <is>
          <t>DPS</t>
        </is>
      </c>
      <c r="D34" t="inlineStr">
        <is>
          <t>DPS(보통주)</t>
        </is>
      </c>
      <c r="E34" s="18">
        <f>IFERROR(VLOOKUP($A34,subQ,MATCH(E$1,SUBQH,0),0),"")</f>
        <v/>
      </c>
      <c r="F34" s="18">
        <f>IFERROR(VLOOKUP($A34,subQ,MATCH(F$1,SUBQH,0),0),"")</f>
        <v/>
      </c>
      <c r="G34" s="18">
        <f>IFERROR(VLOOKUP($A34,subQ,MATCH(G$1,SUBQH,0),0),"")</f>
        <v/>
      </c>
      <c r="H34" s="18">
        <f>IFERROR(VLOOKUP($A34,subQ,MATCH(H$1,SUBQH,0),0),"")</f>
        <v/>
      </c>
      <c r="I34" s="45">
        <f>IFERROR(VLOOKUP($A34,subQ,MATCH(I$1,SUBQH,0),0),"")</f>
        <v/>
      </c>
      <c r="J34" s="20">
        <f>IFERROR(VLOOKUP($A34,subQ,MATCH(J$1,SUBQH,0),0),"")</f>
        <v/>
      </c>
      <c r="K34" s="20">
        <f>IFERROR(VLOOKUP($A34,subQ,MATCH(K$1,SUBQH,0),0),"")</f>
        <v/>
      </c>
      <c r="L34" s="20">
        <f>IFERROR(VLOOKUP($A34,subQ,MATCH(L$1,SUBQH,0),0),"")</f>
        <v/>
      </c>
    </row>
    <row r="35">
      <c r="A35" s="12" t="inlineStr">
        <is>
          <t>PER</t>
        </is>
      </c>
      <c r="D35" t="inlineStr">
        <is>
          <t>PER</t>
        </is>
      </c>
      <c r="E35" s="13">
        <f>IFERROR(VLOOKUP($A35,subQ,MATCH(E$1,SUBQH,0),0),"")</f>
        <v/>
      </c>
      <c r="F35" s="13">
        <f>IFERROR(VLOOKUP($A35,subQ,MATCH(F$1,SUBQH,0),0),"")</f>
        <v/>
      </c>
      <c r="G35" s="13">
        <f>IFERROR(VLOOKUP($A35,subQ,MATCH(G$1,SUBQH,0),0),"")</f>
        <v/>
      </c>
      <c r="H35" s="13">
        <f>IFERROR(VLOOKUP($A35,subQ,MATCH(H$1,SUBQH,0),0),"")</f>
        <v/>
      </c>
      <c r="I35" s="48">
        <f>IFERROR(VLOOKUP($A35,subQ,MATCH(I$1,SUBQH,0),0),"")</f>
        <v/>
      </c>
      <c r="J35" s="39">
        <f>IFERROR(VLOOKUP($A35,subQ,MATCH(J$1,SUBQH,0),0),"")</f>
        <v/>
      </c>
      <c r="K35" s="39">
        <f>IFERROR(VLOOKUP($A35,subQ,MATCH(K$1,SUBQH,0),0),"")</f>
        <v/>
      </c>
      <c r="L35" s="39">
        <f>IFERROR(VLOOKUP($A35,subQ,MATCH(L$1,SUBQH,0),0),"")</f>
        <v/>
      </c>
    </row>
    <row r="36">
      <c r="A36" s="12" t="inlineStr">
        <is>
          <t>PBR</t>
        </is>
      </c>
      <c r="D36" t="inlineStr">
        <is>
          <t>PBR</t>
        </is>
      </c>
      <c r="E36" s="13">
        <f>IFERROR(VLOOKUP($A36,subQ,MATCH(E$1,SUBQH,0),0),"")</f>
        <v/>
      </c>
      <c r="F36" s="13">
        <f>IFERROR(VLOOKUP($A36,subQ,MATCH(F$1,SUBQH,0),0),"")</f>
        <v/>
      </c>
      <c r="G36" s="13">
        <f>IFERROR(VLOOKUP($A36,subQ,MATCH(G$1,SUBQH,0),0),"")</f>
        <v/>
      </c>
      <c r="H36" s="13">
        <f>IFERROR(VLOOKUP($A36,subQ,MATCH(H$1,SUBQH,0),0),"")</f>
        <v/>
      </c>
      <c r="I36" s="48">
        <f>IFERROR(VLOOKUP($A36,subQ,MATCH(I$1,SUBQH,0),0),"")</f>
        <v/>
      </c>
      <c r="J36" s="39">
        <f>IFERROR(VLOOKUP($A36,subQ,MATCH(J$1,SUBQH,0),0),"")</f>
        <v/>
      </c>
      <c r="K36" s="39">
        <f>IFERROR(VLOOKUP($A36,subQ,MATCH(K$1,SUBQH,0),0),"")</f>
        <v/>
      </c>
      <c r="L36" s="39">
        <f>IFERROR(VLOOKUP($A36,subQ,MATCH(L$1,SUBQH,0),0),"")</f>
        <v/>
      </c>
    </row>
    <row r="37">
      <c r="A37" s="12" t="inlineStr">
        <is>
          <t>매출전사</t>
        </is>
      </c>
      <c r="D37" t="inlineStr">
        <is>
          <t>매출 전사(부문 미분리)</t>
        </is>
      </c>
      <c r="E37" s="18">
        <f>IFERROR(VLOOKUP($A37,subQ,MATCH(E$1,SUBQH,0),0),"")</f>
        <v/>
      </c>
      <c r="F37" s="18">
        <f>IFERROR(VLOOKUP($A37,subQ,MATCH(F$1,SUBQH,0),0),"")</f>
        <v/>
      </c>
      <c r="G37" s="18">
        <f>IFERROR(VLOOKUP($A37,subQ,MATCH(G$1,SUBQH,0),0),"")</f>
        <v/>
      </c>
      <c r="H37" s="18">
        <f>IFERROR(VLOOKUP($A37,subQ,MATCH(H$1,SUBQH,0),0),"")</f>
        <v/>
      </c>
      <c r="I37" s="45">
        <f>IFERROR(VLOOKUP($A37,subQ,MATCH(I$1,SUBQH,0),0),"")</f>
        <v/>
      </c>
      <c r="J37" s="20">
        <f>IFERROR(VLOOKUP($A37,subQ,MATCH(J$1,SUBQH,0),0),"")</f>
        <v/>
      </c>
      <c r="K37" s="20">
        <f>IFERROR(VLOOKUP($A37,subQ,MATCH(K$1,SUBQH,0),0),"")</f>
        <v/>
      </c>
      <c r="L37" s="20">
        <f>IFERROR(VLOOKUP($A37,subQ,MATCH(L$1,SUBQH,0),0),"")</f>
        <v/>
      </c>
    </row>
    <row r="38">
      <c r="A38" s="12" t="inlineStr">
        <is>
          <t>OP전사</t>
        </is>
      </c>
      <c r="D38" t="inlineStr">
        <is>
          <t>OP 전사(부문 미분리)</t>
        </is>
      </c>
      <c r="E38" s="18">
        <f>IFERROR(VLOOKUP($A38,subQ,MATCH(E$1,SUBQH,0),0),"")</f>
        <v/>
      </c>
      <c r="F38" s="18">
        <f>IFERROR(VLOOKUP($A38,subQ,MATCH(F$1,SUBQH,0),0),"")</f>
        <v/>
      </c>
      <c r="G38" s="18">
        <f>IFERROR(VLOOKUP($A38,subQ,MATCH(G$1,SUBQH,0),0),"")</f>
        <v/>
      </c>
      <c r="H38" s="18">
        <f>IFERROR(VLOOKUP($A38,subQ,MATCH(H$1,SUBQH,0),0),"")</f>
        <v/>
      </c>
      <c r="I38" s="45">
        <f>IFERROR(VLOOKUP($A38,subQ,MATCH(I$1,SUBQH,0),0),"")</f>
        <v/>
      </c>
      <c r="J38" s="20">
        <f>IFERROR(VLOOKUP($A38,subQ,MATCH(J$1,SUBQH,0),0),"")</f>
        <v/>
      </c>
      <c r="K38" s="20">
        <f>IFERROR(VLOOKUP($A38,subQ,MATCH(K$1,SUBQH,0),0),"")</f>
        <v/>
      </c>
      <c r="L38" s="20">
        <f>IFERROR(VLOOKUP($A38,subQ,MATCH(L$1,SUBQH,0),0),"")</f>
        <v/>
      </c>
    </row>
    <row r="39">
      <c r="A39" s="12" t="inlineStr">
        <is>
          <t>NPM</t>
        </is>
      </c>
      <c r="D39" t="inlineStr">
        <is>
          <t>NPM</t>
        </is>
      </c>
      <c r="E39" s="21">
        <f>IFERROR(VLOOKUP($A39,subQ,MATCH(E$1,SUBQH,0),0),"")</f>
        <v/>
      </c>
      <c r="F39" s="21">
        <f>IFERROR(VLOOKUP($A39,subQ,MATCH(F$1,SUBQH,0),0),"")</f>
        <v/>
      </c>
      <c r="G39" s="21">
        <f>IFERROR(VLOOKUP($A39,subQ,MATCH(G$1,SUBQH,0),0),"")</f>
        <v/>
      </c>
      <c r="H39" s="21">
        <f>IFERROR(VLOOKUP($A39,subQ,MATCH(H$1,SUBQH,0),0),"")</f>
        <v/>
      </c>
      <c r="I39" s="46">
        <f>IFERROR(VLOOKUP($A39,subQ,MATCH(I$1,SUBQH,0),0),"")</f>
        <v/>
      </c>
      <c r="J39" s="32">
        <f>IFERROR(VLOOKUP($A39,subQ,MATCH(J$1,SUBQH,0),0),"")</f>
        <v/>
      </c>
      <c r="K39" s="32">
        <f>IFERROR(VLOOKUP($A39,subQ,MATCH(K$1,SUBQH,0),0),"")</f>
        <v/>
      </c>
      <c r="L39" s="32">
        <f>IFERROR(VLOOKUP($A39,subQ,MATCH(L$1,SUBQH,0),0),"")</f>
        <v/>
      </c>
    </row>
    <row r="40">
      <c r="A40" s="12" t="inlineStr">
        <is>
          <t>매출액 YoY</t>
        </is>
      </c>
      <c r="D40" t="inlineStr">
        <is>
          <t>매출액 YoY</t>
        </is>
      </c>
      <c r="F40" s="21">
        <f>IFERROR(F5/E5-1,"")</f>
        <v/>
      </c>
      <c r="G40" s="21">
        <f>IFERROR(G5/F5-1,"")</f>
        <v/>
      </c>
      <c r="H40" s="21">
        <f>IFERROR(H5/G5-1,"")</f>
        <v/>
      </c>
      <c r="I40" s="46">
        <f>IFERROR(I5/H5-1,"")</f>
        <v/>
      </c>
      <c r="J40" s="32">
        <f>IFERROR(J5/I5-1,"")</f>
        <v/>
      </c>
      <c r="K40" s="32">
        <f>IFERROR(K5/J5-1,"")</f>
        <v/>
      </c>
      <c r="L40" s="32">
        <f>IFERROR(L5/K5-1,"")</f>
        <v/>
      </c>
    </row>
    <row r="41">
      <c r="A41" s="12" t="inlineStr">
        <is>
          <t>영업이익 YoY</t>
        </is>
      </c>
      <c r="D41" t="inlineStr">
        <is>
          <t>영업이익 YoY</t>
        </is>
      </c>
      <c r="F41" s="21">
        <f>IFERROR(F9/E9-1,"")</f>
        <v/>
      </c>
      <c r="G41" s="21">
        <f>IFERROR(G9/F9-1,"")</f>
        <v/>
      </c>
      <c r="H41" s="21">
        <f>IFERROR(H9/G9-1,"")</f>
        <v/>
      </c>
      <c r="I41" s="46">
        <f>IFERROR(I9/H9-1,"")</f>
        <v/>
      </c>
      <c r="J41" s="32">
        <f>IFERROR(J9/I9-1,"")</f>
        <v/>
      </c>
      <c r="K41" s="32">
        <f>IFERROR(K9/J9-1,"")</f>
        <v/>
      </c>
      <c r="L41" s="32">
        <f>IFERROR(L9/K9-1,"")</f>
        <v/>
      </c>
    </row>
    <row r="42">
      <c r="A42" s="12" t="inlineStr">
        <is>
          <t>지배주주순이익 YoY</t>
        </is>
      </c>
      <c r="D42" t="inlineStr">
        <is>
          <t>지배주주순이익 YoY</t>
        </is>
      </c>
      <c r="F42" s="21">
        <f>IFERROR(F18/E18-1,"")</f>
        <v/>
      </c>
      <c r="G42" s="21">
        <f>IFERROR(G18/F18-1,"")</f>
        <v/>
      </c>
      <c r="H42" s="21">
        <f>IFERROR(H18/G18-1,"")</f>
        <v/>
      </c>
      <c r="I42" s="46">
        <f>IFERROR(I18/H18-1,"")</f>
        <v/>
      </c>
      <c r="J42" s="32">
        <f>IFERROR(J18/I18-1,"")</f>
        <v/>
      </c>
      <c r="K42" s="32">
        <f>IFERROR(K18/J18-1,"")</f>
        <v/>
      </c>
      <c r="L42" s="32">
        <f>IFERROR(L18/K18-1,"")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1:G37"/>
  <sheetViews>
    <sheetView workbookViewId="0">
      <selection activeCell="A1" sqref="A1"/>
    </sheetView>
  </sheetViews>
  <sheetFormatPr baseColWidth="8" defaultRowHeight="15"/>
  <cols>
    <col width="34" customWidth="1" min="3" max="3"/>
  </cols>
  <sheetData>
    <row r="1">
      <c r="B1" s="1" t="inlineStr">
        <is>
          <t>종가</t>
        </is>
      </c>
      <c r="C1" s="18">
        <f>변수!D42</f>
        <v/>
      </c>
    </row>
    <row r="2">
      <c r="B2" s="1" t="inlineStr">
        <is>
          <t>기준일</t>
        </is>
      </c>
      <c r="C2">
        <f>변수!D43</f>
        <v/>
      </c>
    </row>
    <row r="3">
      <c r="B3" s="2" t="inlineStr">
        <is>
          <t>모델 산출값 — 목표주가·추천 아님. 밴드·COE 는 변수 시트 3절의 가정</t>
        </is>
      </c>
    </row>
    <row r="5">
      <c r="C5" s="1" t="inlineStr">
        <is>
          <t>FY</t>
        </is>
      </c>
      <c r="D5" s="49" t="n">
        <v>2025</v>
      </c>
      <c r="E5" s="49" t="n">
        <v>2026</v>
      </c>
      <c r="F5" s="49" t="n">
        <v>2027</v>
      </c>
      <c r="G5" s="49" t="n">
        <v>2028</v>
      </c>
    </row>
    <row r="6">
      <c r="D6" s="2" t="inlineStr">
        <is>
          <t>A</t>
        </is>
      </c>
      <c r="E6" s="2" t="inlineStr">
        <is>
          <t>E</t>
        </is>
      </c>
      <c r="F6" s="2" t="inlineStr">
        <is>
          <t>E</t>
        </is>
      </c>
      <c r="G6" s="2" t="inlineStr">
        <is>
          <t>E</t>
        </is>
      </c>
    </row>
    <row r="7">
      <c r="C7" t="inlineStr">
        <is>
          <t>EPS(원)</t>
        </is>
      </c>
      <c r="D7" s="18">
        <f>IFERROR(VLOOKUP("EPS",subQ,MATCH(D$5,SUBQH,0),0),"")</f>
        <v/>
      </c>
      <c r="E7" s="18">
        <f>IFERROR(VLOOKUP("EPS",subQ,MATCH(E$5,SUBQH,0),0),"")</f>
        <v/>
      </c>
      <c r="F7" s="18">
        <f>IFERROR(VLOOKUP("EPS",subQ,MATCH(F$5,SUBQH,0),0),"")</f>
        <v/>
      </c>
      <c r="G7" s="18">
        <f>IFERROR(VLOOKUP("EPS",subQ,MATCH(G$5,SUBQH,0),0),"")</f>
        <v/>
      </c>
    </row>
    <row r="8">
      <c r="C8" t="inlineStr">
        <is>
          <t>BPS(원)</t>
        </is>
      </c>
      <c r="D8" s="18">
        <f>IFERROR(VLOOKUP("BPS",subQ,MATCH(D$5,SUBQH,0),0),"")</f>
        <v/>
      </c>
      <c r="E8" s="18">
        <f>IFERROR(VLOOKUP("BPS",subQ,MATCH(E$5,SUBQH,0),0),"")</f>
        <v/>
      </c>
      <c r="F8" s="18">
        <f>IFERROR(VLOOKUP("BPS",subQ,MATCH(F$5,SUBQH,0),0),"")</f>
        <v/>
      </c>
      <c r="G8" s="18">
        <f>IFERROR(VLOOKUP("BPS",subQ,MATCH(G$5,SUBQH,0),0),"")</f>
        <v/>
      </c>
    </row>
    <row r="9">
      <c r="C9" t="inlineStr">
        <is>
          <t>지배주주순이익(억원)</t>
        </is>
      </c>
      <c r="D9" s="18">
        <f>IFERROR(VLOOKUP("지배주주순이익",subQ,MATCH(D$5,SUBQH,0),0),"")</f>
        <v/>
      </c>
      <c r="E9" s="18">
        <f>IFERROR(VLOOKUP("지배주주순이익",subQ,MATCH(E$5,SUBQH,0),0),"")</f>
        <v/>
      </c>
      <c r="F9" s="18">
        <f>IFERROR(VLOOKUP("지배주주순이익",subQ,MATCH(F$5,SUBQH,0),0),"")</f>
        <v/>
      </c>
      <c r="G9" s="18">
        <f>IFERROR(VLOOKUP("지배주주순이익",subQ,MATCH(G$5,SUBQH,0),0),"")</f>
        <v/>
      </c>
    </row>
    <row r="10">
      <c r="C10" t="inlineStr">
        <is>
          <t>영업이익(억원)</t>
        </is>
      </c>
      <c r="D10" s="18">
        <f>IFERROR(VLOOKUP("영업이익",subQ,MATCH(D$5,SUBQH,0),0),"")</f>
        <v/>
      </c>
      <c r="E10" s="18">
        <f>IFERROR(VLOOKUP("영업이익",subQ,MATCH(E$5,SUBQH,0),0),"")</f>
        <v/>
      </c>
      <c r="F10" s="18">
        <f>IFERROR(VLOOKUP("영업이익",subQ,MATCH(F$5,SUBQH,0),0),"")</f>
        <v/>
      </c>
      <c r="G10" s="18">
        <f>IFERROR(VLOOKUP("영업이익",subQ,MATCH(G$5,SUBQH,0),0),"")</f>
        <v/>
      </c>
    </row>
    <row r="11">
      <c r="C11" t="inlineStr">
        <is>
          <t>ROE(EPS/기초BPS)</t>
        </is>
      </c>
      <c r="E11" s="21">
        <f>IFERROR(E7/D8,"")</f>
        <v/>
      </c>
      <c r="F11" s="21">
        <f>IFERROR(F7/E8,"")</f>
        <v/>
      </c>
      <c r="G11" s="21">
        <f>IFERROR(G7/F8,"")</f>
        <v/>
      </c>
    </row>
    <row r="13">
      <c r="B13" s="1" t="inlineStr">
        <is>
          <t>PER</t>
        </is>
      </c>
    </row>
    <row r="14">
      <c r="C14" t="inlineStr">
        <is>
          <t>12M fwd EPS</t>
        </is>
      </c>
      <c r="D14" s="18">
        <f>IFERROR(E7*변수!D48+F7*(1-변수!D48),"")</f>
        <v/>
      </c>
    </row>
    <row r="15">
      <c r="C15" t="inlineStr">
        <is>
          <t>적정가치 @PER_lo</t>
        </is>
      </c>
      <c r="D15" s="27">
        <f>변수!D45</f>
        <v/>
      </c>
      <c r="E15" s="18">
        <f>IFERROR(ROUND($D$14*D15,-2),"")</f>
        <v/>
      </c>
      <c r="F15" s="21">
        <f>IFERROR(E15/$C$1-1,"")</f>
        <v/>
      </c>
      <c r="G15" s="2" t="inlineStr">
        <is>
          <t>배 · 원 · 종가 대비</t>
        </is>
      </c>
    </row>
    <row r="16">
      <c r="C16" t="inlineStr">
        <is>
          <t>적정가치 @PER_mid</t>
        </is>
      </c>
      <c r="D16" s="27">
        <f>변수!D46</f>
        <v/>
      </c>
      <c r="E16" s="18">
        <f>IFERROR(ROUND($D$14*D16,-2),"")</f>
        <v/>
      </c>
      <c r="F16" s="21">
        <f>IFERROR(E16/$C$1-1,"")</f>
        <v/>
      </c>
      <c r="G16" s="2" t="inlineStr">
        <is>
          <t>배 · 원 · 종가 대비</t>
        </is>
      </c>
    </row>
    <row r="17">
      <c r="C17" t="inlineStr">
        <is>
          <t>적정가치 @PER_hi</t>
        </is>
      </c>
      <c r="D17" s="27">
        <f>변수!D47</f>
        <v/>
      </c>
      <c r="E17" s="18">
        <f>IFERROR(ROUND($D$14*D17,-2),"")</f>
        <v/>
      </c>
      <c r="F17" s="21">
        <f>IFERROR(E17/$C$1-1,"")</f>
        <v/>
      </c>
      <c r="G17" s="2" t="inlineStr">
        <is>
          <t>배 · 원 · 종가 대비</t>
        </is>
      </c>
    </row>
    <row r="18">
      <c r="C18" t="inlineStr">
        <is>
          <t>현재 PER(종가/12M fwd EPS)</t>
        </is>
      </c>
      <c r="D18" s="27">
        <f>IFERROR($C$1/$D$14,"")</f>
        <v/>
      </c>
    </row>
    <row r="20">
      <c r="B20" s="1" t="inlineStr">
        <is>
          <t>PBR</t>
        </is>
      </c>
    </row>
    <row r="21">
      <c r="C21" t="inlineStr">
        <is>
          <t>최근 BPS(마지막 실적 분기)</t>
        </is>
      </c>
      <c r="D21" s="18">
        <f>IFERROR(VLOOKUP("BPS",subQ,MATCH("2Q26",SUBQH,0),0),"")</f>
        <v/>
      </c>
    </row>
    <row r="22">
      <c r="C22" t="inlineStr">
        <is>
          <t>ROE fwd(12M fwd EPS / BPS)</t>
        </is>
      </c>
      <c r="D22" s="21">
        <f>IFERROR($D$14/$D$21,"")</f>
        <v/>
      </c>
    </row>
    <row r="23">
      <c r="C23" t="inlineStr">
        <is>
          <t>COE</t>
        </is>
      </c>
      <c r="D23" s="21">
        <f>변수!D44</f>
        <v/>
      </c>
    </row>
    <row r="24">
      <c r="C24" t="inlineStr">
        <is>
          <t>적정 PBR = ROE/COE</t>
        </is>
      </c>
      <c r="D24" s="13">
        <f>IFERROR(D22/D23,"")</f>
        <v/>
      </c>
    </row>
    <row r="25">
      <c r="C25" t="inlineStr">
        <is>
          <t>적정가치(PBR) = BPS × 적정PBR</t>
        </is>
      </c>
      <c r="D25" s="18">
        <f>IFERROR(ROUND(D21*D24,-2),"")</f>
        <v/>
      </c>
      <c r="E25" s="21">
        <f>IFERROR(D25/$C$1-1,"")</f>
        <v/>
      </c>
    </row>
    <row r="26">
      <c r="C26" t="inlineStr">
        <is>
          <t>현재 PBR(종가/BPS)</t>
        </is>
      </c>
      <c r="D26" s="13">
        <f>IFERROR($C$1/D21,"")</f>
        <v/>
      </c>
    </row>
    <row r="28">
      <c r="B28" s="2" t="inlineStr">
        <is>
          <t>모델 json valuation(참고)</t>
        </is>
      </c>
    </row>
    <row r="29">
      <c r="C29" s="2" t="inlineStr">
        <is>
          <t>eps_fwd12m</t>
        </is>
      </c>
      <c r="D29" t="n">
        <v>1363.6</v>
      </c>
    </row>
    <row r="30">
      <c r="C30" s="2" t="inlineStr">
        <is>
          <t>bps_latest</t>
        </is>
      </c>
      <c r="D30" t="n">
        <v>11918.2</v>
      </c>
    </row>
    <row r="31">
      <c r="C31" s="2" t="inlineStr">
        <is>
          <t>per_now</t>
        </is>
      </c>
      <c r="D31" t="n">
        <v>11.98</v>
      </c>
    </row>
    <row r="32">
      <c r="C32" s="2" t="inlineStr">
        <is>
          <t>pbr_now</t>
        </is>
      </c>
      <c r="D32" t="n">
        <v>1.37</v>
      </c>
    </row>
    <row r="33">
      <c r="C33" s="2" t="inlineStr">
        <is>
          <t>roe_fwd</t>
        </is>
      </c>
      <c r="D33" t="n">
        <v>0.1144</v>
      </c>
    </row>
    <row r="34">
      <c r="C34" s="2" t="inlineStr">
        <is>
          <t>fair_pbr</t>
        </is>
      </c>
      <c r="D34" t="n">
        <v>1.27</v>
      </c>
    </row>
    <row r="35">
      <c r="C35" s="2" t="inlineStr">
        <is>
          <t>fair_value_pbr</t>
        </is>
      </c>
      <c r="D35" t="n">
        <v>15100</v>
      </c>
    </row>
    <row r="36">
      <c r="C36" s="2" t="inlineStr">
        <is>
          <t>ev_ebitda</t>
        </is>
      </c>
      <c r="D36" t="n">
        <v>10.48</v>
      </c>
    </row>
    <row r="37">
      <c r="C37" s="2" t="inlineStr">
        <is>
          <t>note</t>
        </is>
      </c>
      <c r="D37" t="inlineStr">
        <is>
          <t>모델 산출값 — 목표주가·추천 아님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G19"/>
  <sheetViews>
    <sheetView workbookViewId="0">
      <pane xSplit="4" ySplit="4" topLeftCell="E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9" customWidth="1" min="2" max="2"/>
    <col width="26" customWidth="1" min="3" max="3"/>
    <col width="30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</cols>
  <sheetData>
    <row r="1">
      <c r="C1" s="2" t="inlineStr">
        <is>
          <t>이름: 외화QH — 환율 QoQ · 외화 순노출 × Δ기말환율</t>
        </is>
      </c>
      <c r="E1" s="3" t="inlineStr">
        <is>
          <t>4Q21</t>
        </is>
      </c>
      <c r="F1" s="3" t="inlineStr">
        <is>
          <t>1Q22</t>
        </is>
      </c>
      <c r="G1" s="3" t="inlineStr">
        <is>
          <t>2Q22</t>
        </is>
      </c>
      <c r="H1" s="3" t="inlineStr">
        <is>
          <t>3Q22</t>
        </is>
      </c>
      <c r="I1" s="3" t="inlineStr">
        <is>
          <t>4Q22</t>
        </is>
      </c>
      <c r="J1" s="3" t="inlineStr">
        <is>
          <t>1Q23</t>
        </is>
      </c>
      <c r="K1" s="3" t="inlineStr">
        <is>
          <t>2Q23</t>
        </is>
      </c>
      <c r="L1" s="3" t="inlineStr">
        <is>
          <t>3Q23</t>
        </is>
      </c>
      <c r="M1" s="3" t="inlineStr">
        <is>
          <t>4Q23</t>
        </is>
      </c>
      <c r="N1" s="3" t="inlineStr">
        <is>
          <t>1Q24</t>
        </is>
      </c>
      <c r="O1" s="3" t="inlineStr">
        <is>
          <t>2Q24</t>
        </is>
      </c>
      <c r="P1" s="3" t="inlineStr">
        <is>
          <t>3Q24</t>
        </is>
      </c>
      <c r="Q1" s="3" t="inlineStr">
        <is>
          <t>4Q24</t>
        </is>
      </c>
      <c r="R1" s="3" t="inlineStr">
        <is>
          <t>1Q25</t>
        </is>
      </c>
      <c r="S1" s="3" t="inlineStr">
        <is>
          <t>2Q25</t>
        </is>
      </c>
      <c r="T1" s="3" t="inlineStr">
        <is>
          <t>3Q25</t>
        </is>
      </c>
      <c r="U1" s="3" t="inlineStr">
        <is>
          <t>4Q25</t>
        </is>
      </c>
      <c r="V1" s="3" t="inlineStr">
        <is>
          <t>1Q26</t>
        </is>
      </c>
      <c r="W1" s="3" t="inlineStr">
        <is>
          <t>2Q26</t>
        </is>
      </c>
      <c r="X1" s="3" t="inlineStr">
        <is>
          <t>3Q26</t>
        </is>
      </c>
      <c r="Y1" s="3" t="inlineStr">
        <is>
          <t>4Q26</t>
        </is>
      </c>
      <c r="Z1" s="3" t="inlineStr">
        <is>
          <t>1Q27</t>
        </is>
      </c>
      <c r="AA1" s="3" t="inlineStr">
        <is>
          <t>2Q27</t>
        </is>
      </c>
      <c r="AB1" s="3" t="inlineStr">
        <is>
          <t>3Q27</t>
        </is>
      </c>
      <c r="AC1" s="3" t="inlineStr">
        <is>
          <t>4Q27</t>
        </is>
      </c>
      <c r="AD1" s="3" t="inlineStr">
        <is>
          <t>1Q28</t>
        </is>
      </c>
      <c r="AE1" s="3" t="inlineStr">
        <is>
          <t>2Q28</t>
        </is>
      </c>
      <c r="AF1" s="3" t="inlineStr">
        <is>
          <t>3Q28</t>
        </is>
      </c>
      <c r="AG1" s="3" t="inlineStr">
        <is>
          <t>4Q28</t>
        </is>
      </c>
    </row>
    <row r="3">
      <c r="E3" s="2" t="n">
        <v>1</v>
      </c>
      <c r="F3" s="2" t="n">
        <v>2</v>
      </c>
      <c r="G3" s="2" t="n">
        <v>3</v>
      </c>
      <c r="H3" s="2" t="n">
        <v>4</v>
      </c>
      <c r="I3" s="2" t="n">
        <v>5</v>
      </c>
      <c r="J3" s="2" t="n">
        <v>6</v>
      </c>
      <c r="K3" s="2" t="n">
        <v>7</v>
      </c>
      <c r="L3" s="2" t="n">
        <v>8</v>
      </c>
      <c r="M3" s="2" t="n">
        <v>9</v>
      </c>
      <c r="N3" s="2" t="n">
        <v>10</v>
      </c>
      <c r="O3" s="2" t="n">
        <v>11</v>
      </c>
      <c r="P3" s="2" t="n">
        <v>12</v>
      </c>
      <c r="Q3" s="2" t="n">
        <v>13</v>
      </c>
      <c r="R3" s="2" t="n">
        <v>14</v>
      </c>
      <c r="S3" s="2" t="n">
        <v>15</v>
      </c>
      <c r="T3" s="2" t="n">
        <v>16</v>
      </c>
      <c r="U3" s="2" t="n">
        <v>17</v>
      </c>
      <c r="V3" s="2" t="n">
        <v>18</v>
      </c>
      <c r="W3" s="2" t="n">
        <v>19</v>
      </c>
      <c r="X3" s="2" t="n">
        <v>20</v>
      </c>
      <c r="Y3" s="2" t="n">
        <v>21</v>
      </c>
      <c r="Z3" s="2" t="n">
        <v>22</v>
      </c>
      <c r="AA3" s="2" t="n">
        <v>23</v>
      </c>
      <c r="AB3" s="2" t="n">
        <v>24</v>
      </c>
      <c r="AC3" s="2" t="n">
        <v>25</v>
      </c>
      <c r="AD3" s="2" t="n">
        <v>26</v>
      </c>
      <c r="AE3" s="2" t="n">
        <v>27</v>
      </c>
      <c r="AF3" s="2" t="n">
        <v>28</v>
      </c>
      <c r="AG3" s="2" t="n">
        <v>29</v>
      </c>
    </row>
    <row r="4">
      <c r="E4" s="7" t="inlineStr">
        <is>
          <t>2021.12</t>
        </is>
      </c>
      <c r="F4" s="7" t="inlineStr">
        <is>
          <t>2022.03</t>
        </is>
      </c>
      <c r="G4" s="7" t="inlineStr">
        <is>
          <t>2022.06</t>
        </is>
      </c>
      <c r="H4" s="7" t="inlineStr">
        <is>
          <t>2022.09</t>
        </is>
      </c>
      <c r="I4" s="7" t="inlineStr">
        <is>
          <t>2022.12</t>
        </is>
      </c>
      <c r="J4" s="7" t="inlineStr">
        <is>
          <t>2023.03</t>
        </is>
      </c>
      <c r="K4" s="7" t="inlineStr">
        <is>
          <t>2023.06</t>
        </is>
      </c>
      <c r="L4" s="7" t="inlineStr">
        <is>
          <t>2023.09</t>
        </is>
      </c>
      <c r="M4" s="7" t="inlineStr">
        <is>
          <t>2023.12</t>
        </is>
      </c>
      <c r="N4" s="7" t="inlineStr">
        <is>
          <t>2024.03</t>
        </is>
      </c>
      <c r="O4" s="7" t="inlineStr">
        <is>
          <t>2024.06</t>
        </is>
      </c>
      <c r="P4" s="7" t="inlineStr">
        <is>
          <t>2024.09</t>
        </is>
      </c>
      <c r="Q4" s="7" t="inlineStr">
        <is>
          <t>2024.12</t>
        </is>
      </c>
      <c r="R4" s="7" t="inlineStr">
        <is>
          <t>2025.03</t>
        </is>
      </c>
      <c r="S4" s="7" t="inlineStr">
        <is>
          <t>2025.06</t>
        </is>
      </c>
      <c r="T4" s="7" t="inlineStr">
        <is>
          <t>2025.09</t>
        </is>
      </c>
      <c r="U4" s="7" t="inlineStr">
        <is>
          <t>2025.12</t>
        </is>
      </c>
      <c r="V4" s="7" t="inlineStr">
        <is>
          <t>2026.03</t>
        </is>
      </c>
      <c r="W4" s="7" t="inlineStr">
        <is>
          <t>2026.06</t>
        </is>
      </c>
      <c r="X4" s="7" t="inlineStr">
        <is>
          <t>2026.09</t>
        </is>
      </c>
      <c r="Y4" s="7" t="inlineStr">
        <is>
          <t>2026.12</t>
        </is>
      </c>
      <c r="Z4" s="7" t="inlineStr">
        <is>
          <t>2027.03</t>
        </is>
      </c>
      <c r="AA4" s="7" t="inlineStr">
        <is>
          <t>2027.06</t>
        </is>
      </c>
      <c r="AB4" s="7" t="inlineStr">
        <is>
          <t>2027.09</t>
        </is>
      </c>
      <c r="AC4" s="7" t="inlineStr">
        <is>
          <t>2027.12</t>
        </is>
      </c>
      <c r="AD4" s="7" t="inlineStr">
        <is>
          <t>2028.03</t>
        </is>
      </c>
      <c r="AE4" s="7" t="inlineStr">
        <is>
          <t>2028.06</t>
        </is>
      </c>
      <c r="AF4" s="7" t="inlineStr">
        <is>
          <t>2028.09</t>
        </is>
      </c>
      <c r="AG4" s="7" t="inlineStr">
        <is>
          <t>2028.12</t>
        </is>
      </c>
    </row>
    <row r="5">
      <c r="D5" t="inlineStr">
        <is>
          <t xml:space="preserve"> 원/달러(평균)</t>
        </is>
      </c>
      <c r="E5" s="13">
        <f>IFERROR(VLOOKUP($D5,환율,MATCH(E$1,변수H,0),0),"")</f>
        <v/>
      </c>
      <c r="F5" s="13">
        <f>IFERROR(VLOOKUP($D5,환율,MATCH(F$1,변수H,0),0),"")</f>
        <v/>
      </c>
      <c r="G5" s="13">
        <f>IFERROR(VLOOKUP($D5,환율,MATCH(G$1,변수H,0),0),"")</f>
        <v/>
      </c>
      <c r="H5" s="13">
        <f>IFERROR(VLOOKUP($D5,환율,MATCH(H$1,변수H,0),0),"")</f>
        <v/>
      </c>
      <c r="I5" s="13">
        <f>IFERROR(VLOOKUP($D5,환율,MATCH(I$1,변수H,0),0),"")</f>
        <v/>
      </c>
      <c r="J5" s="13">
        <f>IFERROR(VLOOKUP($D5,환율,MATCH(J$1,변수H,0),0),"")</f>
        <v/>
      </c>
      <c r="K5" s="13">
        <f>IFERROR(VLOOKUP($D5,환율,MATCH(K$1,변수H,0),0),"")</f>
        <v/>
      </c>
      <c r="L5" s="13">
        <f>IFERROR(VLOOKUP($D5,환율,MATCH(L$1,변수H,0),0),"")</f>
        <v/>
      </c>
      <c r="M5" s="13">
        <f>IFERROR(VLOOKUP($D5,환율,MATCH(M$1,변수H,0),0),"")</f>
        <v/>
      </c>
      <c r="N5" s="13">
        <f>IFERROR(VLOOKUP($D5,환율,MATCH(N$1,변수H,0),0),"")</f>
        <v/>
      </c>
      <c r="O5" s="13">
        <f>IFERROR(VLOOKUP($D5,환율,MATCH(O$1,변수H,0),0),"")</f>
        <v/>
      </c>
      <c r="P5" s="13">
        <f>IFERROR(VLOOKUP($D5,환율,MATCH(P$1,변수H,0),0),"")</f>
        <v/>
      </c>
      <c r="Q5" s="13">
        <f>IFERROR(VLOOKUP($D5,환율,MATCH(Q$1,변수H,0),0),"")</f>
        <v/>
      </c>
      <c r="R5" s="13">
        <f>IFERROR(VLOOKUP($D5,환율,MATCH(R$1,변수H,0),0),"")</f>
        <v/>
      </c>
      <c r="S5" s="13">
        <f>IFERROR(VLOOKUP($D5,환율,MATCH(S$1,변수H,0),0),"")</f>
        <v/>
      </c>
      <c r="T5" s="13">
        <f>IFERROR(VLOOKUP($D5,환율,MATCH(T$1,변수H,0),0),"")</f>
        <v/>
      </c>
      <c r="U5" s="13">
        <f>IFERROR(VLOOKUP($D5,환율,MATCH(U$1,변수H,0),0),"")</f>
        <v/>
      </c>
      <c r="V5" s="13">
        <f>IFERROR(VLOOKUP($D5,환율,MATCH(V$1,변수H,0),0),"")</f>
        <v/>
      </c>
      <c r="W5" s="13">
        <f>IFERROR(VLOOKUP($D5,환율,MATCH(W$1,변수H,0),0),"")</f>
        <v/>
      </c>
      <c r="X5" s="39">
        <f>IFERROR(VLOOKUP($D5,환율,MATCH(X$1,변수H,0),0),"")</f>
        <v/>
      </c>
      <c r="Y5" s="39">
        <f>IFERROR(VLOOKUP($D5,환율,MATCH(Y$1,변수H,0),0),"")</f>
        <v/>
      </c>
      <c r="Z5" s="39">
        <f>IFERROR(VLOOKUP($D5,환율,MATCH(Z$1,변수H,0),0),"")</f>
        <v/>
      </c>
      <c r="AA5" s="39">
        <f>IFERROR(VLOOKUP($D5,환율,MATCH(AA$1,변수H,0),0),"")</f>
        <v/>
      </c>
      <c r="AB5" s="39">
        <f>IFERROR(VLOOKUP($D5,환율,MATCH(AB$1,변수H,0),0),"")</f>
        <v/>
      </c>
      <c r="AC5" s="39">
        <f>IFERROR(VLOOKUP($D5,환율,MATCH(AC$1,변수H,0),0),"")</f>
        <v/>
      </c>
      <c r="AD5" s="39">
        <f>IFERROR(VLOOKUP($D5,환율,MATCH(AD$1,변수H,0),0),"")</f>
        <v/>
      </c>
      <c r="AE5" s="39">
        <f>IFERROR(VLOOKUP($D5,환율,MATCH(AE$1,변수H,0),0),"")</f>
        <v/>
      </c>
      <c r="AF5" s="39">
        <f>IFERROR(VLOOKUP($D5,환율,MATCH(AF$1,변수H,0),0),"")</f>
        <v/>
      </c>
      <c r="AG5" s="39">
        <f>IFERROR(VLOOKUP($D5,환율,MATCH(AG$1,변수H,0),0),"")</f>
        <v/>
      </c>
    </row>
    <row r="6">
      <c r="A6" s="12" t="inlineStr">
        <is>
          <t>원/달러(평균) QoQ</t>
        </is>
      </c>
      <c r="F6" s="21">
        <f>IFERROR(F5/E5-1,"")</f>
        <v/>
      </c>
      <c r="G6" s="21">
        <f>IFERROR(G5/F5-1,"")</f>
        <v/>
      </c>
      <c r="H6" s="21">
        <f>IFERROR(H5/G5-1,"")</f>
        <v/>
      </c>
      <c r="I6" s="21">
        <f>IFERROR(I5/H5-1,"")</f>
        <v/>
      </c>
      <c r="J6" s="21">
        <f>IFERROR(J5/I5-1,"")</f>
        <v/>
      </c>
      <c r="K6" s="21">
        <f>IFERROR(K5/J5-1,"")</f>
        <v/>
      </c>
      <c r="L6" s="21">
        <f>IFERROR(L5/K5-1,"")</f>
        <v/>
      </c>
      <c r="M6" s="21">
        <f>IFERROR(M5/L5-1,"")</f>
        <v/>
      </c>
      <c r="N6" s="21">
        <f>IFERROR(N5/M5-1,"")</f>
        <v/>
      </c>
      <c r="O6" s="21">
        <f>IFERROR(O5/N5-1,"")</f>
        <v/>
      </c>
      <c r="P6" s="21">
        <f>IFERROR(P5/O5-1,"")</f>
        <v/>
      </c>
      <c r="Q6" s="21">
        <f>IFERROR(Q5/P5-1,"")</f>
        <v/>
      </c>
      <c r="R6" s="21">
        <f>IFERROR(R5/Q5-1,"")</f>
        <v/>
      </c>
      <c r="S6" s="21">
        <f>IFERROR(S5/R5-1,"")</f>
        <v/>
      </c>
      <c r="T6" s="21">
        <f>IFERROR(T5/S5-1,"")</f>
        <v/>
      </c>
      <c r="U6" s="21">
        <f>IFERROR(U5/T5-1,"")</f>
        <v/>
      </c>
      <c r="V6" s="21">
        <f>IFERROR(V5/U5-1,"")</f>
        <v/>
      </c>
      <c r="W6" s="21">
        <f>IFERROR(W5/V5-1,"")</f>
        <v/>
      </c>
      <c r="X6" s="32">
        <f>IFERROR(X5/W5-1,"")</f>
        <v/>
      </c>
      <c r="Y6" s="32">
        <f>IFERROR(Y5/X5-1,"")</f>
        <v/>
      </c>
      <c r="Z6" s="32">
        <f>IFERROR(Z5/Y5-1,"")</f>
        <v/>
      </c>
      <c r="AA6" s="32">
        <f>IFERROR(AA5/Z5-1,"")</f>
        <v/>
      </c>
      <c r="AB6" s="32">
        <f>IFERROR(AB5/AA5-1,"")</f>
        <v/>
      </c>
      <c r="AC6" s="32">
        <f>IFERROR(AC5/AB5-1,"")</f>
        <v/>
      </c>
      <c r="AD6" s="32">
        <f>IFERROR(AD5/AC5-1,"")</f>
        <v/>
      </c>
      <c r="AE6" s="32">
        <f>IFERROR(AE5/AD5-1,"")</f>
        <v/>
      </c>
      <c r="AF6" s="32">
        <f>IFERROR(AF5/AE5-1,"")</f>
        <v/>
      </c>
      <c r="AG6" s="32">
        <f>IFERROR(AG5/AF5-1,"")</f>
        <v/>
      </c>
    </row>
    <row r="7">
      <c r="D7" t="inlineStr">
        <is>
          <t xml:space="preserve"> 원/달러(기말)</t>
        </is>
      </c>
      <c r="E7" s="13">
        <f>IFERROR(VLOOKUP($D7,환율,MATCH(E$1,변수H,0),0),"")</f>
        <v/>
      </c>
      <c r="F7" s="13">
        <f>IFERROR(VLOOKUP($D7,환율,MATCH(F$1,변수H,0),0),"")</f>
        <v/>
      </c>
      <c r="G7" s="13">
        <f>IFERROR(VLOOKUP($D7,환율,MATCH(G$1,변수H,0),0),"")</f>
        <v/>
      </c>
      <c r="H7" s="13">
        <f>IFERROR(VLOOKUP($D7,환율,MATCH(H$1,변수H,0),0),"")</f>
        <v/>
      </c>
      <c r="I7" s="13">
        <f>IFERROR(VLOOKUP($D7,환율,MATCH(I$1,변수H,0),0),"")</f>
        <v/>
      </c>
      <c r="J7" s="13">
        <f>IFERROR(VLOOKUP($D7,환율,MATCH(J$1,변수H,0),0),"")</f>
        <v/>
      </c>
      <c r="K7" s="13">
        <f>IFERROR(VLOOKUP($D7,환율,MATCH(K$1,변수H,0),0),"")</f>
        <v/>
      </c>
      <c r="L7" s="13">
        <f>IFERROR(VLOOKUP($D7,환율,MATCH(L$1,변수H,0),0),"")</f>
        <v/>
      </c>
      <c r="M7" s="13">
        <f>IFERROR(VLOOKUP($D7,환율,MATCH(M$1,변수H,0),0),"")</f>
        <v/>
      </c>
      <c r="N7" s="13">
        <f>IFERROR(VLOOKUP($D7,환율,MATCH(N$1,변수H,0),0),"")</f>
        <v/>
      </c>
      <c r="O7" s="13">
        <f>IFERROR(VLOOKUP($D7,환율,MATCH(O$1,변수H,0),0),"")</f>
        <v/>
      </c>
      <c r="P7" s="13">
        <f>IFERROR(VLOOKUP($D7,환율,MATCH(P$1,변수H,0),0),"")</f>
        <v/>
      </c>
      <c r="Q7" s="13">
        <f>IFERROR(VLOOKUP($D7,환율,MATCH(Q$1,변수H,0),0),"")</f>
        <v/>
      </c>
      <c r="R7" s="13">
        <f>IFERROR(VLOOKUP($D7,환율,MATCH(R$1,변수H,0),0),"")</f>
        <v/>
      </c>
      <c r="S7" s="13">
        <f>IFERROR(VLOOKUP($D7,환율,MATCH(S$1,변수H,0),0),"")</f>
        <v/>
      </c>
      <c r="T7" s="13">
        <f>IFERROR(VLOOKUP($D7,환율,MATCH(T$1,변수H,0),0),"")</f>
        <v/>
      </c>
      <c r="U7" s="13">
        <f>IFERROR(VLOOKUP($D7,환율,MATCH(U$1,변수H,0),0),"")</f>
        <v/>
      </c>
      <c r="V7" s="13">
        <f>IFERROR(VLOOKUP($D7,환율,MATCH(V$1,변수H,0),0),"")</f>
        <v/>
      </c>
      <c r="W7" s="13">
        <f>IFERROR(VLOOKUP($D7,환율,MATCH(W$1,변수H,0),0),"")</f>
        <v/>
      </c>
      <c r="X7" s="39">
        <f>IFERROR(VLOOKUP($D7,환율,MATCH(X$1,변수H,0),0),"")</f>
        <v/>
      </c>
      <c r="Y7" s="39">
        <f>IFERROR(VLOOKUP($D7,환율,MATCH(Y$1,변수H,0),0),"")</f>
        <v/>
      </c>
      <c r="Z7" s="39">
        <f>IFERROR(VLOOKUP($D7,환율,MATCH(Z$1,변수H,0),0),"")</f>
        <v/>
      </c>
      <c r="AA7" s="39">
        <f>IFERROR(VLOOKUP($D7,환율,MATCH(AA$1,변수H,0),0),"")</f>
        <v/>
      </c>
      <c r="AB7" s="39">
        <f>IFERROR(VLOOKUP($D7,환율,MATCH(AB$1,변수H,0),0),"")</f>
        <v/>
      </c>
      <c r="AC7" s="39">
        <f>IFERROR(VLOOKUP($D7,환율,MATCH(AC$1,변수H,0),0),"")</f>
        <v/>
      </c>
      <c r="AD7" s="39">
        <f>IFERROR(VLOOKUP($D7,환율,MATCH(AD$1,변수H,0),0),"")</f>
        <v/>
      </c>
      <c r="AE7" s="39">
        <f>IFERROR(VLOOKUP($D7,환율,MATCH(AE$1,변수H,0),0),"")</f>
        <v/>
      </c>
      <c r="AF7" s="39">
        <f>IFERROR(VLOOKUP($D7,환율,MATCH(AF$1,변수H,0),0),"")</f>
        <v/>
      </c>
      <c r="AG7" s="39">
        <f>IFERROR(VLOOKUP($D7,환율,MATCH(AG$1,변수H,0),0),"")</f>
        <v/>
      </c>
    </row>
    <row r="8">
      <c r="A8" s="12" t="inlineStr">
        <is>
          <t>원/달러(기말) QoQ</t>
        </is>
      </c>
      <c r="F8" s="21">
        <f>IFERROR(F7/E7-1,"")</f>
        <v/>
      </c>
      <c r="G8" s="21">
        <f>IFERROR(G7/F7-1,"")</f>
        <v/>
      </c>
      <c r="H8" s="21">
        <f>IFERROR(H7/G7-1,"")</f>
        <v/>
      </c>
      <c r="I8" s="21">
        <f>IFERROR(I7/H7-1,"")</f>
        <v/>
      </c>
      <c r="J8" s="21">
        <f>IFERROR(J7/I7-1,"")</f>
        <v/>
      </c>
      <c r="K8" s="21">
        <f>IFERROR(K7/J7-1,"")</f>
        <v/>
      </c>
      <c r="L8" s="21">
        <f>IFERROR(L7/K7-1,"")</f>
        <v/>
      </c>
      <c r="M8" s="21">
        <f>IFERROR(M7/L7-1,"")</f>
        <v/>
      </c>
      <c r="N8" s="21">
        <f>IFERROR(N7/M7-1,"")</f>
        <v/>
      </c>
      <c r="O8" s="21">
        <f>IFERROR(O7/N7-1,"")</f>
        <v/>
      </c>
      <c r="P8" s="21">
        <f>IFERROR(P7/O7-1,"")</f>
        <v/>
      </c>
      <c r="Q8" s="21">
        <f>IFERROR(Q7/P7-1,"")</f>
        <v/>
      </c>
      <c r="R8" s="21">
        <f>IFERROR(R7/Q7-1,"")</f>
        <v/>
      </c>
      <c r="S8" s="21">
        <f>IFERROR(S7/R7-1,"")</f>
        <v/>
      </c>
      <c r="T8" s="21">
        <f>IFERROR(T7/S7-1,"")</f>
        <v/>
      </c>
      <c r="U8" s="21">
        <f>IFERROR(U7/T7-1,"")</f>
        <v/>
      </c>
      <c r="V8" s="21">
        <f>IFERROR(V7/U7-1,"")</f>
        <v/>
      </c>
      <c r="W8" s="21">
        <f>IFERROR(W7/V7-1,"")</f>
        <v/>
      </c>
      <c r="X8" s="32">
        <f>IFERROR(X7/W7-1,"")</f>
        <v/>
      </c>
      <c r="Y8" s="32">
        <f>IFERROR(Y7/X7-1,"")</f>
        <v/>
      </c>
      <c r="Z8" s="32">
        <f>IFERROR(Z7/Y7-1,"")</f>
        <v/>
      </c>
      <c r="AA8" s="32">
        <f>IFERROR(AA7/Z7-1,"")</f>
        <v/>
      </c>
      <c r="AB8" s="32">
        <f>IFERROR(AB7/AA7-1,"")</f>
        <v/>
      </c>
      <c r="AC8" s="32">
        <f>IFERROR(AC7/AB7-1,"")</f>
        <v/>
      </c>
      <c r="AD8" s="32">
        <f>IFERROR(AD7/AC7-1,"")</f>
        <v/>
      </c>
      <c r="AE8" s="32">
        <f>IFERROR(AE7/AD7-1,"")</f>
        <v/>
      </c>
      <c r="AF8" s="32">
        <f>IFERROR(AF7/AE7-1,"")</f>
        <v/>
      </c>
      <c r="AG8" s="32">
        <f>IFERROR(AG7/AF7-1,"")</f>
        <v/>
      </c>
    </row>
    <row r="9">
      <c r="D9" t="inlineStr">
        <is>
          <t xml:space="preserve"> W/Euro(평균)</t>
        </is>
      </c>
      <c r="E9" s="13">
        <f>IFERROR(VLOOKUP($D9,환율,MATCH(E$1,변수H,0),0),"")</f>
        <v/>
      </c>
      <c r="F9" s="13">
        <f>IFERROR(VLOOKUP($D9,환율,MATCH(F$1,변수H,0),0),"")</f>
        <v/>
      </c>
      <c r="G9" s="13">
        <f>IFERROR(VLOOKUP($D9,환율,MATCH(G$1,변수H,0),0),"")</f>
        <v/>
      </c>
      <c r="H9" s="13">
        <f>IFERROR(VLOOKUP($D9,환율,MATCH(H$1,변수H,0),0),"")</f>
        <v/>
      </c>
      <c r="I9" s="13">
        <f>IFERROR(VLOOKUP($D9,환율,MATCH(I$1,변수H,0),0),"")</f>
        <v/>
      </c>
      <c r="J9" s="13">
        <f>IFERROR(VLOOKUP($D9,환율,MATCH(J$1,변수H,0),0),"")</f>
        <v/>
      </c>
      <c r="K9" s="13">
        <f>IFERROR(VLOOKUP($D9,환율,MATCH(K$1,변수H,0),0),"")</f>
        <v/>
      </c>
      <c r="L9" s="13">
        <f>IFERROR(VLOOKUP($D9,환율,MATCH(L$1,변수H,0),0),"")</f>
        <v/>
      </c>
      <c r="M9" s="13">
        <f>IFERROR(VLOOKUP($D9,환율,MATCH(M$1,변수H,0),0),"")</f>
        <v/>
      </c>
      <c r="N9" s="13">
        <f>IFERROR(VLOOKUP($D9,환율,MATCH(N$1,변수H,0),0),"")</f>
        <v/>
      </c>
      <c r="O9" s="13">
        <f>IFERROR(VLOOKUP($D9,환율,MATCH(O$1,변수H,0),0),"")</f>
        <v/>
      </c>
      <c r="P9" s="13">
        <f>IFERROR(VLOOKUP($D9,환율,MATCH(P$1,변수H,0),0),"")</f>
        <v/>
      </c>
      <c r="Q9" s="13">
        <f>IFERROR(VLOOKUP($D9,환율,MATCH(Q$1,변수H,0),0),"")</f>
        <v/>
      </c>
      <c r="R9" s="13">
        <f>IFERROR(VLOOKUP($D9,환율,MATCH(R$1,변수H,0),0),"")</f>
        <v/>
      </c>
      <c r="S9" s="13">
        <f>IFERROR(VLOOKUP($D9,환율,MATCH(S$1,변수H,0),0),"")</f>
        <v/>
      </c>
      <c r="T9" s="13">
        <f>IFERROR(VLOOKUP($D9,환율,MATCH(T$1,변수H,0),0),"")</f>
        <v/>
      </c>
      <c r="U9" s="13">
        <f>IFERROR(VLOOKUP($D9,환율,MATCH(U$1,변수H,0),0),"")</f>
        <v/>
      </c>
      <c r="V9" s="13">
        <f>IFERROR(VLOOKUP($D9,환율,MATCH(V$1,변수H,0),0),"")</f>
        <v/>
      </c>
      <c r="W9" s="13">
        <f>IFERROR(VLOOKUP($D9,환율,MATCH(W$1,변수H,0),0),"")</f>
        <v/>
      </c>
      <c r="X9" s="39">
        <f>IFERROR(VLOOKUP($D9,환율,MATCH(X$1,변수H,0),0),"")</f>
        <v/>
      </c>
      <c r="Y9" s="39">
        <f>IFERROR(VLOOKUP($D9,환율,MATCH(Y$1,변수H,0),0),"")</f>
        <v/>
      </c>
      <c r="Z9" s="39">
        <f>IFERROR(VLOOKUP($D9,환율,MATCH(Z$1,변수H,0),0),"")</f>
        <v/>
      </c>
      <c r="AA9" s="39">
        <f>IFERROR(VLOOKUP($D9,환율,MATCH(AA$1,변수H,0),0),"")</f>
        <v/>
      </c>
      <c r="AB9" s="39">
        <f>IFERROR(VLOOKUP($D9,환율,MATCH(AB$1,변수H,0),0),"")</f>
        <v/>
      </c>
      <c r="AC9" s="39">
        <f>IFERROR(VLOOKUP($D9,환율,MATCH(AC$1,변수H,0),0),"")</f>
        <v/>
      </c>
      <c r="AD9" s="39">
        <f>IFERROR(VLOOKUP($D9,환율,MATCH(AD$1,변수H,0),0),"")</f>
        <v/>
      </c>
      <c r="AE9" s="39">
        <f>IFERROR(VLOOKUP($D9,환율,MATCH(AE$1,변수H,0),0),"")</f>
        <v/>
      </c>
      <c r="AF9" s="39">
        <f>IFERROR(VLOOKUP($D9,환율,MATCH(AF$1,변수H,0),0),"")</f>
        <v/>
      </c>
      <c r="AG9" s="39">
        <f>IFERROR(VLOOKUP($D9,환율,MATCH(AG$1,변수H,0),0),"")</f>
        <v/>
      </c>
    </row>
    <row r="10">
      <c r="A10" s="12" t="inlineStr">
        <is>
          <t>W/Euro(평균) QoQ</t>
        </is>
      </c>
      <c r="F10" s="21">
        <f>IFERROR(F9/E9-1,"")</f>
        <v/>
      </c>
      <c r="G10" s="21">
        <f>IFERROR(G9/F9-1,"")</f>
        <v/>
      </c>
      <c r="H10" s="21">
        <f>IFERROR(H9/G9-1,"")</f>
        <v/>
      </c>
      <c r="I10" s="21">
        <f>IFERROR(I9/H9-1,"")</f>
        <v/>
      </c>
      <c r="J10" s="21">
        <f>IFERROR(J9/I9-1,"")</f>
        <v/>
      </c>
      <c r="K10" s="21">
        <f>IFERROR(K9/J9-1,"")</f>
        <v/>
      </c>
      <c r="L10" s="21">
        <f>IFERROR(L9/K9-1,"")</f>
        <v/>
      </c>
      <c r="M10" s="21">
        <f>IFERROR(M9/L9-1,"")</f>
        <v/>
      </c>
      <c r="N10" s="21">
        <f>IFERROR(N9/M9-1,"")</f>
        <v/>
      </c>
      <c r="O10" s="21">
        <f>IFERROR(O9/N9-1,"")</f>
        <v/>
      </c>
      <c r="P10" s="21">
        <f>IFERROR(P9/O9-1,"")</f>
        <v/>
      </c>
      <c r="Q10" s="21">
        <f>IFERROR(Q9/P9-1,"")</f>
        <v/>
      </c>
      <c r="R10" s="21">
        <f>IFERROR(R9/Q9-1,"")</f>
        <v/>
      </c>
      <c r="S10" s="21">
        <f>IFERROR(S9/R9-1,"")</f>
        <v/>
      </c>
      <c r="T10" s="21">
        <f>IFERROR(T9/S9-1,"")</f>
        <v/>
      </c>
      <c r="U10" s="21">
        <f>IFERROR(U9/T9-1,"")</f>
        <v/>
      </c>
      <c r="V10" s="21">
        <f>IFERROR(V9/U9-1,"")</f>
        <v/>
      </c>
      <c r="W10" s="21">
        <f>IFERROR(W9/V9-1,"")</f>
        <v/>
      </c>
      <c r="X10" s="32">
        <f>IFERROR(X9/W9-1,"")</f>
        <v/>
      </c>
      <c r="Y10" s="32">
        <f>IFERROR(Y9/X9-1,"")</f>
        <v/>
      </c>
      <c r="Z10" s="32">
        <f>IFERROR(Z9/Y9-1,"")</f>
        <v/>
      </c>
      <c r="AA10" s="32">
        <f>IFERROR(AA9/Z9-1,"")</f>
        <v/>
      </c>
      <c r="AB10" s="32">
        <f>IFERROR(AB9/AA9-1,"")</f>
        <v/>
      </c>
      <c r="AC10" s="32">
        <f>IFERROR(AC9/AB9-1,"")</f>
        <v/>
      </c>
      <c r="AD10" s="32">
        <f>IFERROR(AD9/AC9-1,"")</f>
        <v/>
      </c>
      <c r="AE10" s="32">
        <f>IFERROR(AE9/AD9-1,"")</f>
        <v/>
      </c>
      <c r="AF10" s="32">
        <f>IFERROR(AF9/AE9-1,"")</f>
        <v/>
      </c>
      <c r="AG10" s="32">
        <f>IFERROR(AG9/AF9-1,"")</f>
        <v/>
      </c>
    </row>
    <row r="11">
      <c r="D11" t="inlineStr">
        <is>
          <t xml:space="preserve"> W/Euro(기말)</t>
        </is>
      </c>
      <c r="E11" s="13">
        <f>IFERROR(VLOOKUP($D11,환율,MATCH(E$1,변수H,0),0),"")</f>
        <v/>
      </c>
      <c r="F11" s="13">
        <f>IFERROR(VLOOKUP($D11,환율,MATCH(F$1,변수H,0),0),"")</f>
        <v/>
      </c>
      <c r="G11" s="13">
        <f>IFERROR(VLOOKUP($D11,환율,MATCH(G$1,변수H,0),0),"")</f>
        <v/>
      </c>
      <c r="H11" s="13">
        <f>IFERROR(VLOOKUP($D11,환율,MATCH(H$1,변수H,0),0),"")</f>
        <v/>
      </c>
      <c r="I11" s="13">
        <f>IFERROR(VLOOKUP($D11,환율,MATCH(I$1,변수H,0),0),"")</f>
        <v/>
      </c>
      <c r="J11" s="13">
        <f>IFERROR(VLOOKUP($D11,환율,MATCH(J$1,변수H,0),0),"")</f>
        <v/>
      </c>
      <c r="K11" s="13">
        <f>IFERROR(VLOOKUP($D11,환율,MATCH(K$1,변수H,0),0),"")</f>
        <v/>
      </c>
      <c r="L11" s="13">
        <f>IFERROR(VLOOKUP($D11,환율,MATCH(L$1,변수H,0),0),"")</f>
        <v/>
      </c>
      <c r="M11" s="13">
        <f>IFERROR(VLOOKUP($D11,환율,MATCH(M$1,변수H,0),0),"")</f>
        <v/>
      </c>
      <c r="N11" s="13">
        <f>IFERROR(VLOOKUP($D11,환율,MATCH(N$1,변수H,0),0),"")</f>
        <v/>
      </c>
      <c r="O11" s="13">
        <f>IFERROR(VLOOKUP($D11,환율,MATCH(O$1,변수H,0),0),"")</f>
        <v/>
      </c>
      <c r="P11" s="13">
        <f>IFERROR(VLOOKUP($D11,환율,MATCH(P$1,변수H,0),0),"")</f>
        <v/>
      </c>
      <c r="Q11" s="13">
        <f>IFERROR(VLOOKUP($D11,환율,MATCH(Q$1,변수H,0),0),"")</f>
        <v/>
      </c>
      <c r="R11" s="13">
        <f>IFERROR(VLOOKUP($D11,환율,MATCH(R$1,변수H,0),0),"")</f>
        <v/>
      </c>
      <c r="S11" s="13">
        <f>IFERROR(VLOOKUP($D11,환율,MATCH(S$1,변수H,0),0),"")</f>
        <v/>
      </c>
      <c r="T11" s="13">
        <f>IFERROR(VLOOKUP($D11,환율,MATCH(T$1,변수H,0),0),"")</f>
        <v/>
      </c>
      <c r="U11" s="13">
        <f>IFERROR(VLOOKUP($D11,환율,MATCH(U$1,변수H,0),0),"")</f>
        <v/>
      </c>
      <c r="V11" s="13">
        <f>IFERROR(VLOOKUP($D11,환율,MATCH(V$1,변수H,0),0),"")</f>
        <v/>
      </c>
      <c r="W11" s="13">
        <f>IFERROR(VLOOKUP($D11,환율,MATCH(W$1,변수H,0),0),"")</f>
        <v/>
      </c>
      <c r="X11" s="39">
        <f>IFERROR(VLOOKUP($D11,환율,MATCH(X$1,변수H,0),0),"")</f>
        <v/>
      </c>
      <c r="Y11" s="39">
        <f>IFERROR(VLOOKUP($D11,환율,MATCH(Y$1,변수H,0),0),"")</f>
        <v/>
      </c>
      <c r="Z11" s="39">
        <f>IFERROR(VLOOKUP($D11,환율,MATCH(Z$1,변수H,0),0),"")</f>
        <v/>
      </c>
      <c r="AA11" s="39">
        <f>IFERROR(VLOOKUP($D11,환율,MATCH(AA$1,변수H,0),0),"")</f>
        <v/>
      </c>
      <c r="AB11" s="39">
        <f>IFERROR(VLOOKUP($D11,환율,MATCH(AB$1,변수H,0),0),"")</f>
        <v/>
      </c>
      <c r="AC11" s="39">
        <f>IFERROR(VLOOKUP($D11,환율,MATCH(AC$1,변수H,0),0),"")</f>
        <v/>
      </c>
      <c r="AD11" s="39">
        <f>IFERROR(VLOOKUP($D11,환율,MATCH(AD$1,변수H,0),0),"")</f>
        <v/>
      </c>
      <c r="AE11" s="39">
        <f>IFERROR(VLOOKUP($D11,환율,MATCH(AE$1,변수H,0),0),"")</f>
        <v/>
      </c>
      <c r="AF11" s="39">
        <f>IFERROR(VLOOKUP($D11,환율,MATCH(AF$1,변수H,0),0),"")</f>
        <v/>
      </c>
      <c r="AG11" s="39">
        <f>IFERROR(VLOOKUP($D11,환율,MATCH(AG$1,변수H,0),0),"")</f>
        <v/>
      </c>
    </row>
    <row r="12">
      <c r="A12" s="12" t="inlineStr">
        <is>
          <t>W/Euro(기말) QoQ</t>
        </is>
      </c>
      <c r="F12" s="21">
        <f>IFERROR(F11/E11-1,"")</f>
        <v/>
      </c>
      <c r="G12" s="21">
        <f>IFERROR(G11/F11-1,"")</f>
        <v/>
      </c>
      <c r="H12" s="21">
        <f>IFERROR(H11/G11-1,"")</f>
        <v/>
      </c>
      <c r="I12" s="21">
        <f>IFERROR(I11/H11-1,"")</f>
        <v/>
      </c>
      <c r="J12" s="21">
        <f>IFERROR(J11/I11-1,"")</f>
        <v/>
      </c>
      <c r="K12" s="21">
        <f>IFERROR(K11/J11-1,"")</f>
        <v/>
      </c>
      <c r="L12" s="21">
        <f>IFERROR(L11/K11-1,"")</f>
        <v/>
      </c>
      <c r="M12" s="21">
        <f>IFERROR(M11/L11-1,"")</f>
        <v/>
      </c>
      <c r="N12" s="21">
        <f>IFERROR(N11/M11-1,"")</f>
        <v/>
      </c>
      <c r="O12" s="21">
        <f>IFERROR(O11/N11-1,"")</f>
        <v/>
      </c>
      <c r="P12" s="21">
        <f>IFERROR(P11/O11-1,"")</f>
        <v/>
      </c>
      <c r="Q12" s="21">
        <f>IFERROR(Q11/P11-1,"")</f>
        <v/>
      </c>
      <c r="R12" s="21">
        <f>IFERROR(R11/Q11-1,"")</f>
        <v/>
      </c>
      <c r="S12" s="21">
        <f>IFERROR(S11/R11-1,"")</f>
        <v/>
      </c>
      <c r="T12" s="21">
        <f>IFERROR(T11/S11-1,"")</f>
        <v/>
      </c>
      <c r="U12" s="21">
        <f>IFERROR(U11/T11-1,"")</f>
        <v/>
      </c>
      <c r="V12" s="21">
        <f>IFERROR(V11/U11-1,"")</f>
        <v/>
      </c>
      <c r="W12" s="21">
        <f>IFERROR(W11/V11-1,"")</f>
        <v/>
      </c>
      <c r="X12" s="32">
        <f>IFERROR(X11/W11-1,"")</f>
        <v/>
      </c>
      <c r="Y12" s="32">
        <f>IFERROR(Y11/X11-1,"")</f>
        <v/>
      </c>
      <c r="Z12" s="32">
        <f>IFERROR(Z11/Y11-1,"")</f>
        <v/>
      </c>
      <c r="AA12" s="32">
        <f>IFERROR(AA11/Z11-1,"")</f>
        <v/>
      </c>
      <c r="AB12" s="32">
        <f>IFERROR(AB11/AA11-1,"")</f>
        <v/>
      </c>
      <c r="AC12" s="32">
        <f>IFERROR(AC11/AB11-1,"")</f>
        <v/>
      </c>
      <c r="AD12" s="32">
        <f>IFERROR(AD11/AC11-1,"")</f>
        <v/>
      </c>
      <c r="AE12" s="32">
        <f>IFERROR(AE11/AD11-1,"")</f>
        <v/>
      </c>
      <c r="AF12" s="32">
        <f>IFERROR(AF11/AE11-1,"")</f>
        <v/>
      </c>
      <c r="AG12" s="32">
        <f>IFERROR(AG11/AF11-1,"")</f>
        <v/>
      </c>
    </row>
    <row r="13">
      <c r="D13" t="inlineStr">
        <is>
          <t xml:space="preserve"> 원/100Y(기말)</t>
        </is>
      </c>
      <c r="E13" s="13">
        <f>IFERROR(VLOOKUP($D13,환율,MATCH(E$1,변수H,0),0),"")</f>
        <v/>
      </c>
      <c r="F13" s="13">
        <f>IFERROR(VLOOKUP($D13,환율,MATCH(F$1,변수H,0),0),"")</f>
        <v/>
      </c>
      <c r="G13" s="13">
        <f>IFERROR(VLOOKUP($D13,환율,MATCH(G$1,변수H,0),0),"")</f>
        <v/>
      </c>
      <c r="H13" s="13">
        <f>IFERROR(VLOOKUP($D13,환율,MATCH(H$1,변수H,0),0),"")</f>
        <v/>
      </c>
      <c r="I13" s="13">
        <f>IFERROR(VLOOKUP($D13,환율,MATCH(I$1,변수H,0),0),"")</f>
        <v/>
      </c>
      <c r="J13" s="13">
        <f>IFERROR(VLOOKUP($D13,환율,MATCH(J$1,변수H,0),0),"")</f>
        <v/>
      </c>
      <c r="K13" s="13">
        <f>IFERROR(VLOOKUP($D13,환율,MATCH(K$1,변수H,0),0),"")</f>
        <v/>
      </c>
      <c r="L13" s="13">
        <f>IFERROR(VLOOKUP($D13,환율,MATCH(L$1,변수H,0),0),"")</f>
        <v/>
      </c>
      <c r="M13" s="13">
        <f>IFERROR(VLOOKUP($D13,환율,MATCH(M$1,변수H,0),0),"")</f>
        <v/>
      </c>
      <c r="N13" s="13">
        <f>IFERROR(VLOOKUP($D13,환율,MATCH(N$1,변수H,0),0),"")</f>
        <v/>
      </c>
      <c r="O13" s="13">
        <f>IFERROR(VLOOKUP($D13,환율,MATCH(O$1,변수H,0),0),"")</f>
        <v/>
      </c>
      <c r="P13" s="13">
        <f>IFERROR(VLOOKUP($D13,환율,MATCH(P$1,변수H,0),0),"")</f>
        <v/>
      </c>
      <c r="Q13" s="13">
        <f>IFERROR(VLOOKUP($D13,환율,MATCH(Q$1,변수H,0),0),"")</f>
        <v/>
      </c>
      <c r="R13" s="13">
        <f>IFERROR(VLOOKUP($D13,환율,MATCH(R$1,변수H,0),0),"")</f>
        <v/>
      </c>
      <c r="S13" s="13">
        <f>IFERROR(VLOOKUP($D13,환율,MATCH(S$1,변수H,0),0),"")</f>
        <v/>
      </c>
      <c r="T13" s="13">
        <f>IFERROR(VLOOKUP($D13,환율,MATCH(T$1,변수H,0),0),"")</f>
        <v/>
      </c>
      <c r="U13" s="13">
        <f>IFERROR(VLOOKUP($D13,환율,MATCH(U$1,변수H,0),0),"")</f>
        <v/>
      </c>
      <c r="V13" s="13">
        <f>IFERROR(VLOOKUP($D13,환율,MATCH(V$1,변수H,0),0),"")</f>
        <v/>
      </c>
      <c r="W13" s="13">
        <f>IFERROR(VLOOKUP($D13,환율,MATCH(W$1,변수H,0),0),"")</f>
        <v/>
      </c>
      <c r="X13" s="39">
        <f>IFERROR(VLOOKUP($D13,환율,MATCH(X$1,변수H,0),0),"")</f>
        <v/>
      </c>
      <c r="Y13" s="39">
        <f>IFERROR(VLOOKUP($D13,환율,MATCH(Y$1,변수H,0),0),"")</f>
        <v/>
      </c>
      <c r="Z13" s="39">
        <f>IFERROR(VLOOKUP($D13,환율,MATCH(Z$1,변수H,0),0),"")</f>
        <v/>
      </c>
      <c r="AA13" s="39">
        <f>IFERROR(VLOOKUP($D13,환율,MATCH(AA$1,변수H,0),0),"")</f>
        <v/>
      </c>
      <c r="AB13" s="39">
        <f>IFERROR(VLOOKUP($D13,환율,MATCH(AB$1,변수H,0),0),"")</f>
        <v/>
      </c>
      <c r="AC13" s="39">
        <f>IFERROR(VLOOKUP($D13,환율,MATCH(AC$1,변수H,0),0),"")</f>
        <v/>
      </c>
      <c r="AD13" s="39">
        <f>IFERROR(VLOOKUP($D13,환율,MATCH(AD$1,변수H,0),0),"")</f>
        <v/>
      </c>
      <c r="AE13" s="39">
        <f>IFERROR(VLOOKUP($D13,환율,MATCH(AE$1,변수H,0),0),"")</f>
        <v/>
      </c>
      <c r="AF13" s="39">
        <f>IFERROR(VLOOKUP($D13,환율,MATCH(AF$1,변수H,0),0),"")</f>
        <v/>
      </c>
      <c r="AG13" s="39">
        <f>IFERROR(VLOOKUP($D13,환율,MATCH(AG$1,변수H,0),0),"")</f>
        <v/>
      </c>
    </row>
    <row r="14">
      <c r="A14" s="12" t="inlineStr">
        <is>
          <t>원/100Y(기말) QoQ</t>
        </is>
      </c>
      <c r="F14" s="21">
        <f>IFERROR(F13/E13-1,"")</f>
        <v/>
      </c>
      <c r="G14" s="21">
        <f>IFERROR(G13/F13-1,"")</f>
        <v/>
      </c>
      <c r="H14" s="21">
        <f>IFERROR(H13/G13-1,"")</f>
        <v/>
      </c>
      <c r="I14" s="21">
        <f>IFERROR(I13/H13-1,"")</f>
        <v/>
      </c>
      <c r="J14" s="21">
        <f>IFERROR(J13/I13-1,"")</f>
        <v/>
      </c>
      <c r="K14" s="21">
        <f>IFERROR(K13/J13-1,"")</f>
        <v/>
      </c>
      <c r="L14" s="21">
        <f>IFERROR(L13/K13-1,"")</f>
        <v/>
      </c>
      <c r="M14" s="21">
        <f>IFERROR(M13/L13-1,"")</f>
        <v/>
      </c>
      <c r="N14" s="21">
        <f>IFERROR(N13/M13-1,"")</f>
        <v/>
      </c>
      <c r="O14" s="21">
        <f>IFERROR(O13/N13-1,"")</f>
        <v/>
      </c>
      <c r="P14" s="21">
        <f>IFERROR(P13/O13-1,"")</f>
        <v/>
      </c>
      <c r="Q14" s="21">
        <f>IFERROR(Q13/P13-1,"")</f>
        <v/>
      </c>
      <c r="R14" s="21">
        <f>IFERROR(R13/Q13-1,"")</f>
        <v/>
      </c>
      <c r="S14" s="21">
        <f>IFERROR(S13/R13-1,"")</f>
        <v/>
      </c>
      <c r="T14" s="21">
        <f>IFERROR(T13/S13-1,"")</f>
        <v/>
      </c>
      <c r="U14" s="21">
        <f>IFERROR(U13/T13-1,"")</f>
        <v/>
      </c>
      <c r="V14" s="21">
        <f>IFERROR(V13/U13-1,"")</f>
        <v/>
      </c>
      <c r="W14" s="21">
        <f>IFERROR(W13/V13-1,"")</f>
        <v/>
      </c>
      <c r="X14" s="32">
        <f>IFERROR(X13/W13-1,"")</f>
        <v/>
      </c>
      <c r="Y14" s="32">
        <f>IFERROR(Y13/X13-1,"")</f>
        <v/>
      </c>
      <c r="Z14" s="32">
        <f>IFERROR(Z13/Y13-1,"")</f>
        <v/>
      </c>
      <c r="AA14" s="32">
        <f>IFERROR(AA13/Z13-1,"")</f>
        <v/>
      </c>
      <c r="AB14" s="32">
        <f>IFERROR(AB13/AA13-1,"")</f>
        <v/>
      </c>
      <c r="AC14" s="32">
        <f>IFERROR(AC13/AB13-1,"")</f>
        <v/>
      </c>
      <c r="AD14" s="32">
        <f>IFERROR(AD13/AC13-1,"")</f>
        <v/>
      </c>
      <c r="AE14" s="32">
        <f>IFERROR(AE13/AD13-1,"")</f>
        <v/>
      </c>
      <c r="AF14" s="32">
        <f>IFERROR(AF13/AE13-1,"")</f>
        <v/>
      </c>
      <c r="AG14" s="32">
        <f>IFERROR(AG13/AF13-1,"")</f>
        <v/>
      </c>
    </row>
    <row r="15">
      <c r="X15" s="10" t="n"/>
      <c r="Y15" s="10" t="n"/>
      <c r="Z15" s="10" t="n"/>
      <c r="AA15" s="10" t="n"/>
      <c r="AB15" s="10" t="n"/>
      <c r="AC15" s="10" t="n"/>
      <c r="AD15" s="10" t="n"/>
      <c r="AE15" s="10" t="n"/>
      <c r="AF15" s="10" t="n"/>
      <c r="AG15" s="10" t="n"/>
    </row>
    <row r="16">
      <c r="A16" s="12" t="inlineStr">
        <is>
          <t>외화순노출</t>
        </is>
      </c>
      <c r="C16" t="inlineStr">
        <is>
          <t>외화 순노출(백만$)</t>
        </is>
      </c>
      <c r="D16" s="27">
        <f>변수!D55</f>
        <v/>
      </c>
      <c r="E16" s="2" t="inlineStr">
        <is>
          <t>외화 순노출 × Δ기말환율 (외화 시트 방식)</t>
        </is>
      </c>
      <c r="X16" s="10" t="n"/>
      <c r="Y16" s="10" t="n"/>
      <c r="Z16" s="10" t="n"/>
      <c r="AA16" s="10" t="n"/>
      <c r="AB16" s="10" t="n"/>
      <c r="AC16" s="10" t="n"/>
      <c r="AD16" s="10" t="n"/>
      <c r="AE16" s="10" t="n"/>
      <c r="AF16" s="10" t="n"/>
      <c r="AG16" s="10" t="n"/>
    </row>
    <row r="17">
      <c r="A17" s="12" t="inlineStr">
        <is>
          <t>환관련손익추정</t>
        </is>
      </c>
      <c r="C17" t="inlineStr">
        <is>
          <t>환관련손익 추정(억원) = 순노출 × Δ원/달러(기말) / 100</t>
        </is>
      </c>
      <c r="F17" s="18">
        <f>IFERROR($D$16*(F7-E7)/100,"")</f>
        <v/>
      </c>
      <c r="G17" s="18">
        <f>IFERROR($D$16*(G7-F7)/100,"")</f>
        <v/>
      </c>
      <c r="H17" s="18">
        <f>IFERROR($D$16*(H7-G7)/100,"")</f>
        <v/>
      </c>
      <c r="I17" s="18">
        <f>IFERROR($D$16*(I7-H7)/100,"")</f>
        <v/>
      </c>
      <c r="J17" s="18">
        <f>IFERROR($D$16*(J7-I7)/100,"")</f>
        <v/>
      </c>
      <c r="K17" s="18">
        <f>IFERROR($D$16*(K7-J7)/100,"")</f>
        <v/>
      </c>
      <c r="L17" s="18">
        <f>IFERROR($D$16*(L7-K7)/100,"")</f>
        <v/>
      </c>
      <c r="M17" s="18">
        <f>IFERROR($D$16*(M7-L7)/100,"")</f>
        <v/>
      </c>
      <c r="N17" s="18">
        <f>IFERROR($D$16*(N7-M7)/100,"")</f>
        <v/>
      </c>
      <c r="O17" s="18">
        <f>IFERROR($D$16*(O7-N7)/100,"")</f>
        <v/>
      </c>
      <c r="P17" s="18">
        <f>IFERROR($D$16*(P7-O7)/100,"")</f>
        <v/>
      </c>
      <c r="Q17" s="18">
        <f>IFERROR($D$16*(Q7-P7)/100,"")</f>
        <v/>
      </c>
      <c r="R17" s="18">
        <f>IFERROR($D$16*(R7-Q7)/100,"")</f>
        <v/>
      </c>
      <c r="S17" s="18">
        <f>IFERROR($D$16*(S7-R7)/100,"")</f>
        <v/>
      </c>
      <c r="T17" s="18">
        <f>IFERROR($D$16*(T7-S7)/100,"")</f>
        <v/>
      </c>
      <c r="U17" s="18">
        <f>IFERROR($D$16*(U7-T7)/100,"")</f>
        <v/>
      </c>
      <c r="V17" s="18">
        <f>IFERROR($D$16*(V7-U7)/100,"")</f>
        <v/>
      </c>
      <c r="W17" s="18">
        <f>IFERROR($D$16*(W7-V7)/100,"")</f>
        <v/>
      </c>
      <c r="X17" s="20">
        <f>IFERROR($D$16*(X7-W7)/100,"")</f>
        <v/>
      </c>
      <c r="Y17" s="20">
        <f>IFERROR($D$16*(Y7-X7)/100,"")</f>
        <v/>
      </c>
      <c r="Z17" s="20">
        <f>IFERROR($D$16*(Z7-Y7)/100,"")</f>
        <v/>
      </c>
      <c r="AA17" s="20">
        <f>IFERROR($D$16*(AA7-Z7)/100,"")</f>
        <v/>
      </c>
      <c r="AB17" s="20">
        <f>IFERROR($D$16*(AB7-AA7)/100,"")</f>
        <v/>
      </c>
      <c r="AC17" s="20">
        <f>IFERROR($D$16*(AC7-AB7)/100,"")</f>
        <v/>
      </c>
      <c r="AD17" s="20">
        <f>IFERROR($D$16*(AD7-AC7)/100,"")</f>
        <v/>
      </c>
      <c r="AE17" s="20">
        <f>IFERROR($D$16*(AE7-AD7)/100,"")</f>
        <v/>
      </c>
      <c r="AF17" s="20">
        <f>IFERROR($D$16*(AF7-AE7)/100,"")</f>
        <v/>
      </c>
      <c r="AG17" s="20">
        <f>IFERROR($D$16*(AG7-AF7)/100,"")</f>
        <v/>
      </c>
    </row>
    <row r="18">
      <c r="A18" s="12" t="inlineStr">
        <is>
          <t>fx_pnl.by_q</t>
        </is>
      </c>
      <c r="C18" t="inlineStr">
        <is>
          <t>모델 fx_pnl.by_q(억원, 참고)</t>
        </is>
      </c>
      <c r="X18" s="10" t="n"/>
      <c r="Y18" s="10" t="n"/>
      <c r="Z18" s="10" t="n"/>
      <c r="AA18" s="10" t="n"/>
      <c r="AB18" s="10" t="n"/>
      <c r="AC18" s="10" t="n"/>
      <c r="AD18" s="10" t="n"/>
      <c r="AE18" s="10" t="n"/>
      <c r="AF18" s="10" t="n"/>
      <c r="AG18" s="10" t="n"/>
    </row>
    <row r="19">
      <c r="C19" s="2" t="inlineStr">
        <is>
          <t>외화 순노출 미공시(face) → 0 + 표기</t>
        </is>
      </c>
      <c r="X19" s="10" t="n"/>
      <c r="Y19" s="10" t="n"/>
      <c r="Z19" s="10" t="n"/>
      <c r="AA19" s="10" t="n"/>
      <c r="AB19" s="10" t="n"/>
      <c r="AC19" s="10" t="n"/>
      <c r="AD19" s="10" t="n"/>
      <c r="AE19" s="10" t="n"/>
      <c r="AF19" s="10" t="n"/>
      <c r="AG19" s="10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kship_model_xlsx</dc:creator>
  <dcterms:created xsi:type="dcterms:W3CDTF">2026-10-13T00:00:00Z</dcterms:created>
  <dcterms:modified xsi:type="dcterms:W3CDTF">2026-10-13T00:00:00Z</dcterms:modified>
</cp:coreProperties>
</file>