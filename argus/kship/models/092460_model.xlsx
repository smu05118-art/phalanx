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(1+30.3%) — g=최근 4분기 합 YoY 30.3% 클립(−30~+50%), 연차별 절반 감쇠(가정)</t>
      </text>
    </comment>
    <comment ref="AD21" authorId="0" shapeId="0">
      <text>
        <t>모델값 역산(implied): v / 전년동기 − 1
전년동기 × (1+30.3%) — g=최근 4분기 합 YoY 30.3% 클립(−30~+50%), 연차별 절반 감쇠(가정)</t>
      </text>
    </comment>
    <comment ref="AF21" authorId="0" shapeId="0">
      <text>
        <t>모델값 역산(implied): v / 전년동기 − 1
전년동기 × (1+30.3%) — g=최근 4분기 합 YoY 30.3% 클립(−30~+50%), 연차별 절반 감쇠(가정)</t>
      </text>
    </comment>
    <comment ref="AG21" authorId="0" shapeId="0">
      <text>
        <t>모델값 역산(implied): v / 전년동기 − 1
전년동기 × (1+30.3%) — g=최근 4분기 합 YoY 30.3% 클립(−30~+50%), 연차별 절반 감쇠(가정)</t>
      </text>
    </comment>
    <comment ref="AH21" authorId="0" shapeId="0">
      <text>
        <t>모델값 역산(implied): v / 전년동기 − 1
전년동기 × (1+15.2%) — g=최근 4분기 합 YoY 30.3% 클립(−30~+50%), 연차별 절반 감쇠(가정)</t>
      </text>
    </comment>
    <comment ref="AI21" authorId="0" shapeId="0">
      <text>
        <t>모델값 역산(implied): v / 전년동기 − 1
전년동기 × (1+15.2%) — g=최근 4분기 합 YoY 30.3% 클립(−30~+50%), 연차별 절반 감쇠(가정)</t>
      </text>
    </comment>
    <comment ref="AK21" authorId="0" shapeId="0">
      <text>
        <t>모델값 역산(implied): v / 전년동기 − 1
전년동기 × (1+15.2%) — g=최근 4분기 합 YoY 30.3% 클립(−30~+50%), 연차별 절반 감쇠(가정)</t>
      </text>
    </comment>
    <comment ref="AL21" authorId="0" shapeId="0">
      <text>
        <t>모델값 역산(implied): v / 전년동기 − 1
전년동기 × (1+15.2%) — g=최근 4분기 합 YoY 30.3% 클립(−30~+50%), 연차별 절반 감쇠(가정)</t>
      </text>
    </comment>
    <comment ref="AM21" authorId="0" shapeId="0">
      <text>
        <t>모델값 역산(implied): v / 전년동기 − 1
전년동기 × (1+7.6%) — g=최근 4분기 합 YoY 30.3% 클립(−30~+50%), 연차별 절반 감쇠(가정)</t>
      </text>
    </comment>
    <comment ref="AN21" authorId="0" shapeId="0">
      <text>
        <t>모델값 역산(implied): v / 전년동기 − 1
전년동기 × (1+7.6%) — g=최근 4분기 합 YoY 30.3% 클립(−30~+50%), 연차별 절반 감쇠(가정)</t>
      </text>
    </comment>
    <comment ref="AC22" authorId="0" shapeId="0">
      <text>
        <t>모델값 역산(implied): v / 매출액
매출액 × 판관비율 16.04%(최근 4분기 중위)</t>
      </text>
    </comment>
    <comment ref="AD22" authorId="0" shapeId="0">
      <text>
        <t>모델값 역산(implied): v / 매출액
매출액 × 판관비율 16.04%(최근 4분기 중위)</t>
      </text>
    </comment>
    <comment ref="AF22" authorId="0" shapeId="0">
      <text>
        <t>모델값 역산(implied): v / 매출액
매출액 × 판관비율 16.04%(최근 4분기 중위)</t>
      </text>
    </comment>
    <comment ref="AG22" authorId="0" shapeId="0">
      <text>
        <t>모델값 역산(implied): v / 매출액
매출액 × 판관비율 16.04%(최근 4분기 중위)</t>
      </text>
    </comment>
    <comment ref="AH22" authorId="0" shapeId="0">
      <text>
        <t>모델값 역산(implied): v / 매출액
매출액 × 판관비율 16.04%(최근 4분기 중위)</t>
      </text>
    </comment>
    <comment ref="AI22" authorId="0" shapeId="0">
      <text>
        <t>모델값 역산(implied): v / 매출액
매출액 × 판관비율 16.04%(최근 4분기 중위)</t>
      </text>
    </comment>
    <comment ref="AK22" authorId="0" shapeId="0">
      <text>
        <t>모델값 역산(implied): v / 매출액
매출액 × 판관비율 16.04%(최근 4분기 중위)</t>
      </text>
    </comment>
    <comment ref="AL22" authorId="0" shapeId="0">
      <text>
        <t>모델값 역산(implied): v / 매출액
매출액 × 판관비율 16.04%(최근 4분기 중위)</t>
      </text>
    </comment>
    <comment ref="AM22" authorId="0" shapeId="0">
      <text>
        <t>모델값 역산(implied): v / 매출액
매출액 × 판관비율 16.04%(최근 4분기 중위)</t>
      </text>
    </comment>
    <comment ref="AN22" authorId="0" shapeId="0">
      <text>
        <t>모델값 역산(implied): v / 매출액
매출액 × 판관비율 16.04%(최근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v / 전년동기 − 1
최근 8분기 OPM 중위 16.2% 유지(클립 −20~40%)</t>
      </text>
    </comment>
    <comment ref="AD24" authorId="0" shapeId="0">
      <text>
        <t>모델값 역산(implied): v / 전년동기 − 1
최근 8분기 OPM 중위 16.2% 유지(클립 −20~40%)</t>
      </text>
    </comment>
    <comment ref="AF24" authorId="0" shapeId="0">
      <text>
        <t>모델값 역산(implied): v / 전년동기 − 1
최근 8분기 OPM 중위 16.2% 유지(클립 −20~40%)</t>
      </text>
    </comment>
    <comment ref="AG24" authorId="0" shapeId="0">
      <text>
        <t>모델값 역산(implied): v / 전년동기 − 1
최근 8분기 OPM 중위 16.2% 유지(클립 −20~40%)</t>
      </text>
    </comment>
    <comment ref="AH24" authorId="0" shapeId="0">
      <text>
        <t>모델값 역산(implied): v / 전년동기 − 1
최근 8분기 OPM 중위 16.2% 유지(클립 −20~40%)</t>
      </text>
    </comment>
    <comment ref="AI24" authorId="0" shapeId="0">
      <text>
        <t>모델값 역산(implied): v / 전년동기 − 1
최근 8분기 OPM 중위 16.2% 유지(클립 −20~40%)</t>
      </text>
    </comment>
    <comment ref="AK24" authorId="0" shapeId="0">
      <text>
        <t>모델값 역산(implied): v / 전년동기 − 1
최근 8분기 OPM 중위 16.2% 유지(클립 −20~40%)</t>
      </text>
    </comment>
    <comment ref="AL24" authorId="0" shapeId="0">
      <text>
        <t>모델값 역산(implied): v / 전년동기 − 1
최근 8분기 OPM 중위 16.2% 유지(클립 −20~40%)</t>
      </text>
    </comment>
    <comment ref="AM24" authorId="0" shapeId="0">
      <text>
        <t>모델값 역산(implied): v / 전년동기 − 1
최근 8분기 OPM 중위 16.2% 유지(클립 −20~40%)</t>
      </text>
    </comment>
    <comment ref="AN24" authorId="0" shapeId="0">
      <text>
        <t>모델값 역산(implied): v / 전년동기 − 1
최근 8분기 OPM 중위 16.2% 유지(클립 −20~40%)</t>
      </text>
    </comment>
    <comment ref="AC25" authorId="0" shapeId="0">
      <text>
        <t>모델값 역산(implied): 모델 v 그대로
이자손익 = 이자발생자산 279억 × 5.31% − 총차입금 571억 × 2.20% (연율, CF 실측) ÷ 4; 환·평가손익 0 가정</t>
      </text>
    </comment>
    <comment ref="AD25" authorId="0" shapeId="0">
      <text>
        <t>모델값 역산(implied): 모델 v 그대로
이자손익 = 이자발생자산 337억 × 5.31% − 총차입금 571억 × 2.20% (연율, CF 실측) ÷ 4; 환·평가손익 0 가정</t>
      </text>
    </comment>
    <comment ref="AF25" authorId="0" shapeId="0">
      <text>
        <t>모델값 역산(implied): 모델 v 그대로
이자손익 = 이자발생자산 409억 × 5.31% − 총차입금 571억 × 2.20% (연율, CF 실측) ÷ 4; 환·평가손익 0 가정</t>
      </text>
    </comment>
    <comment ref="AG25" authorId="0" shapeId="0">
      <text>
        <t>모델값 역산(implied): 모델 v 그대로
이자손익 = 이자발생자산 481억 × 5.31% − 총차입금 571억 × 2.20% (연율, CF 실측) ÷ 4; 환·평가손익 0 가정</t>
      </text>
    </comment>
    <comment ref="AH25" authorId="0" shapeId="0">
      <text>
        <t>모델값 역산(implied): 모델 v 그대로
이자손익 = 이자발생자산 455억 × 5.31% − 총차입금 571억 × 2.20% (연율, CF 실측) ÷ 4; 환·평가손익 0 가정</t>
      </text>
    </comment>
    <comment ref="AI25" authorId="0" shapeId="0">
      <text>
        <t>모델값 역산(implied): 모델 v 그대로
이자손익 = 이자발생자산 523억 × 5.31% − 총차입금 571억 × 2.20% (연율, CF 실측) ÷ 4; 환·평가손익 0 가정</t>
      </text>
    </comment>
    <comment ref="AK25" authorId="0" shapeId="0">
      <text>
        <t>모델값 역산(implied): 모델 v 그대로
이자손익 = 이자발생자산 607억 × 5.31% − 총차입금 571억 × 2.20% (연율, CF 실측) ÷ 4; 환·평가손익 0 가정</t>
      </text>
    </comment>
    <comment ref="AL25" authorId="0" shapeId="0">
      <text>
        <t>모델값 역산(implied): 모델 v 그대로
이자손익 = 이자발생자산 693억 × 5.31% − 총차입금 571억 × 2.20% (연율, CF 실측) ÷ 4; 환·평가손익 0 가정</t>
      </text>
    </comment>
    <comment ref="AM25" authorId="0" shapeId="0">
      <text>
        <t>모델값 역산(implied): 모델 v 그대로
이자손익 = 이자발생자산 681억 × 5.31% − 총차입금 571억 × 2.20% (연율, CF 실측) ÷ 4; 환·평가손익 0 가정</t>
      </text>
    </comment>
    <comment ref="AN25" authorId="0" shapeId="0">
      <text>
        <t>모델값 역산(implied): 모델 v 그대로
이자손익 = 이자발생자산 756억 × 5.31% − 총차입금 571억 × 2.20%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14.7%(최근 12분기 유효세율 14.7% → 5~27% 클립)</t>
      </text>
    </comment>
    <comment ref="AD28" authorId="0" shapeId="0">
      <text>
        <t>모델값 역산(implied): v / 세전이익
max(세전, 0) × 세율 14.7%(최근 12분기 유효세율 14.7% → 5~27% 클립)</t>
      </text>
    </comment>
    <comment ref="AF28" authorId="0" shapeId="0">
      <text>
        <t>모델값 역산(implied): v / 세전이익
max(세전, 0) × 세율 14.7%(최근 12분기 유효세율 14.7% → 5~27% 클립)</t>
      </text>
    </comment>
    <comment ref="AG28" authorId="0" shapeId="0">
      <text>
        <t>모델값 역산(implied): v / 세전이익
max(세전, 0) × 세율 14.7%(최근 12분기 유효세율 14.7% → 5~27% 클립)</t>
      </text>
    </comment>
    <comment ref="AH28" authorId="0" shapeId="0">
      <text>
        <t>모델값 역산(implied): v / 세전이익
max(세전, 0) × 세율 14.7%(최근 12분기 유효세율 14.7% → 5~27% 클립)</t>
      </text>
    </comment>
    <comment ref="AI28" authorId="0" shapeId="0">
      <text>
        <t>모델값 역산(implied): v / 세전이익
max(세전, 0) × 세율 14.7%(최근 12분기 유효세율 14.7% → 5~27% 클립)</t>
      </text>
    </comment>
    <comment ref="AK28" authorId="0" shapeId="0">
      <text>
        <t>모델값 역산(implied): v / 세전이익
max(세전, 0) × 세율 14.7%(최근 12분기 유효세율 14.7% → 5~27% 클립)</t>
      </text>
    </comment>
    <comment ref="AL28" authorId="0" shapeId="0">
      <text>
        <t>모델값 역산(implied): v / 세전이익
max(세전, 0) × 세율 14.7%(최근 12분기 유효세율 14.7% → 5~27% 클립)</t>
      </text>
    </comment>
    <comment ref="AM28" authorId="0" shapeId="0">
      <text>
        <t>모델값 역산(implied): v / 세전이익
max(세전, 0) × 세율 14.7%(최근 12분기 유효세율 14.7% → 5~27% 클립)</t>
      </text>
    </comment>
    <comment ref="AN28" authorId="0" shapeId="0">
      <text>
        <t>모델값 역산(implied): v / 세전이익
max(세전, 0) × 세율 14.7%(최근 12분기 유효세율 14.7%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전년동기 − 1
최근 4분기 감가상각비 중위 유지</t>
      </text>
    </comment>
    <comment ref="AI30" authorId="0" shapeId="0">
      <text>
        <t>모델값 역산(implied): v / 전년동기 − 1
최근 4분기 감가상각비 중위 유지</t>
      </text>
    </comment>
    <comment ref="AK30" authorId="0" shapeId="0">
      <text>
        <t>모델값 역산(implied): v / 전년동기 − 1
최근 4분기 감가상각비 중위 유지</t>
      </text>
    </comment>
    <comment ref="AL30" authorId="0" shapeId="0">
      <text>
        <t>모델값 역산(implied): v / 전년동기 − 1
최근 4분기 감가상각비 중위 유지</t>
      </text>
    </comment>
    <comment ref="AM30" authorId="0" shapeId="0">
      <text>
        <t>모델값 역산(implied): v / 전년동기 − 1
최근 4분기 감가상각비 중위 유지</t>
      </text>
    </comment>
    <comment ref="AN30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영업이익 + 감가상각비</t>
      </text>
    </comment>
    <comment ref="AI31" authorId="0" shapeId="0">
      <text>
        <t>모델값 역산(implied): v / 전년동기 − 1
영업이익 + 감가상각비</t>
      </text>
    </comment>
    <comment ref="AK31" authorId="0" shapeId="0">
      <text>
        <t>모델값 역산(implied): v / 전년동기 − 1
영업이익 + 감가상각비</t>
      </text>
    </comment>
    <comment ref="AL31" authorId="0" shapeId="0">
      <text>
        <t>모델값 역산(implied): v / 전년동기 − 1
영업이익 + 감가상각비</t>
      </text>
    </comment>
    <comment ref="AM31" authorId="0" shapeId="0">
      <text>
        <t>모델값 역산(implied): v / 전년동기 − 1
영업이익 + 감가상각비</t>
      </text>
    </comment>
    <comment ref="AN31" authorId="0" shapeId="0">
      <text>
        <t>모델값 역산(implied): v / 전년동기 − 1
영업이익 + 감가상각비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(순이익 − 배당): 순이익 = 순현금 증가 가정(CAPEX≈감가, 운전자본 불변)</t>
      </text>
    </comment>
    <comment ref="AD36" authorId="0" shapeId="0">
      <text>
        <t>모델값 역산(implied): v / 전분기 − 1
전분기 − (순이익 − 배당): 순이익 = 순현금 증가 가정(CAPEX≈감가, 운전자본 불변)</t>
      </text>
    </comment>
    <comment ref="AF36" authorId="0" shapeId="0">
      <text>
        <t>모델값 역산(implied): v / 전분기 − 1
전분기 − (순이익 − 배당): 순이익 = 순현금 증가 가정(CAPEX≈감가, 운전자본 불변)</t>
      </text>
    </comment>
    <comment ref="AG36" authorId="0" shapeId="0">
      <text>
        <t>모델값 역산(implied): v / 전분기 − 1
전분기 − (순이익 − 배당): 순이익 = 순현금 증가 가정(CAPEX≈감가, 운전자본 불변)</t>
      </text>
    </comment>
    <comment ref="AH36" authorId="0" shapeId="0">
      <text>
        <t>모델값 역산(implied): v / 전분기 − 1
전분기 − (순이익 − 배당): 순이익 = 순현금 증가 가정(CAPEX≈감가, 운전자본 불변)</t>
      </text>
    </comment>
    <comment ref="AI36" authorId="0" shapeId="0">
      <text>
        <t>모델값 역산(implied): v / 전분기 − 1
전분기 − (순이익 − 배당): 순이익 = 순현금 증가 가정(CAPEX≈감가, 운전자본 불변)</t>
      </text>
    </comment>
    <comment ref="AK36" authorId="0" shapeId="0">
      <text>
        <t>모델값 역산(implied): v / 전분기 − 1
전분기 − (순이익 − 배당): 순이익 = 순현금 증가 가정(CAPEX≈감가, 운전자본 불변)</t>
      </text>
    </comment>
    <comment ref="AL36" authorId="0" shapeId="0">
      <text>
        <t>모델값 역산(implied): v / 전분기 − 1
전분기 − (순이익 − 배당): 순이익 = 순현금 증가 가정(CAPEX≈감가, 운전자본 불변)</t>
      </text>
    </comment>
    <comment ref="AM36" authorId="0" shapeId="0">
      <text>
        <t>모델값 역산(implied): v / 전분기 − 1
전분기 − (순이익 − 배당): 순이익 = 순현금 증가 가정(CAPEX≈감가, 운전자본 불변)</t>
      </text>
    </comment>
    <comment ref="AN36" authorId="0" shapeId="0">
      <text>
        <t>모델값 역산(implied): v / 전분기 − 1
전분기 − (순이익 − 배당): 순이익 = 순현금 증가 가정(CAPEX≈감가, 운전자본 불변)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G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AL37" authorId="0" shapeId="0">
      <text>
        <t>모델값 역산(implied): v / 전분기 − 1
전분기 + (순이익 − 배당) — 순차입금 롤과 같은 가정</t>
      </text>
    </comment>
    <comment ref="AM37" authorId="0" shapeId="0">
      <text>
        <t>모델값 역산(implied): v / 전분기 − 1
전분기 + (순이익 − 배당) — 순차입금 롤과 같은 가정</t>
      </text>
    </comment>
    <comment ref="AN37" authorId="0" shapeId="0">
      <text>
        <t>모델값 역산(implied): v / 전분기 − 1
전분기 + (순이익 − 배당) — 순차입금 롤과 같은 가정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직전 결산 DPS 620원 유지</t>
      </text>
    </comment>
    <comment ref="AI42" authorId="0" shapeId="0">
      <text>
        <t>모델값 역산(implied): v / 전년동기 − 1
직전 결산 DPS 620원 유지</t>
      </text>
    </comment>
    <comment ref="AN42" authorId="0" shapeId="0">
      <text>
        <t>모델값 역산(implied): v / 전년동기 − 1
직전 결산 DPS 620원 유지</t>
      </text>
    </comment>
    <comment ref="AC43" authorId="0" shapeId="0">
      <text>
        <t>모델값 역산(implied): v / 전년동기 − 1
현재 종가 ÷ TTM EPS(추정 포함)</t>
      </text>
    </comment>
    <comment ref="AD43" authorId="0" shapeId="0">
      <text>
        <t>모델값 역산(implied): v / 전년동기 − 1
현재 종가 ÷ TTM EPS(추정 포함)</t>
      </text>
    </comment>
    <comment ref="AF43" authorId="0" shapeId="0">
      <text>
        <t>모델값 역산(implied): v / 전년동기 − 1
현재 종가 ÷ TTM EPS(추정 포함)</t>
      </text>
    </comment>
    <comment ref="AG43" authorId="0" shapeId="0">
      <text>
        <t>모델값 역산(implied): v / 전년동기 − 1
현재 종가 ÷ TTM EPS(추정 포함)</t>
      </text>
    </comment>
    <comment ref="AH43" authorId="0" shapeId="0">
      <text>
        <t>모델값 역산(implied): v / 전년동기 − 1
현재 종가 ÷ TTM EPS(추정 포함)</t>
      </text>
    </comment>
    <comment ref="AI43" authorId="0" shapeId="0">
      <text>
        <t>모델값 역산(implied): v / 전년동기 − 1
현재 종가 ÷ TTM EPS(추정 포함)</t>
      </text>
    </comment>
    <comment ref="AK43" authorId="0" shapeId="0">
      <text>
        <t>모델값 역산(implied): v / 전년동기 − 1
현재 종가 ÷ TTM EPS(추정 포함)</t>
      </text>
    </comment>
    <comment ref="AL43" authorId="0" shapeId="0">
      <text>
        <t>모델값 역산(implied): v / 전년동기 − 1
현재 종가 ÷ TTM EPS(추정 포함)</t>
      </text>
    </comment>
    <comment ref="AM43" authorId="0" shapeId="0">
      <text>
        <t>모델값 역산(implied): v / 전년동기 − 1
현재 종가 ÷ TTM EPS(추정 포함)</t>
      </text>
    </comment>
    <comment ref="AN43" authorId="0" shapeId="0">
      <text>
        <t>모델값 역산(implied): v / 전년동기 − 1
현재 종가 ÷ TTM EPS(추정 포함)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= 매출액 추정(부문 미분리)</t>
      </text>
    </comment>
    <comment ref="AD45" authorId="0" shapeId="0">
      <text>
        <t>모델값 역산(implied): v / 매출액
= 매출액 추정(부문 미분리)</t>
      </text>
    </comment>
    <comment ref="AF45" authorId="0" shapeId="0">
      <text>
        <t>모델값 역산(implied): v / 매출액
= 매출액 추정(부문 미분리)</t>
      </text>
    </comment>
    <comment ref="AG45" authorId="0" shapeId="0">
      <text>
        <t>모델값 역산(implied): v / 매출액
= 매출액 추정(부문 미분리)</t>
      </text>
    </comment>
    <comment ref="AH45" authorId="0" shapeId="0">
      <text>
        <t>모델값 역산(implied): v / 매출액
= 매출액 추정(부문 미분리)</t>
      </text>
    </comment>
    <comment ref="AI45" authorId="0" shapeId="0">
      <text>
        <t>모델값 역산(implied): v / 매출액
= 매출액 추정(부문 미분리)</t>
      </text>
    </comment>
    <comment ref="AK45" authorId="0" shapeId="0">
      <text>
        <t>모델값 역산(implied): v / 매출액
= 매출액 추정(부문 미분리)</t>
      </text>
    </comment>
    <comment ref="AL45" authorId="0" shapeId="0">
      <text>
        <t>모델값 역산(implied): v / 매출액
= 매출액 추정(부문 미분리)</t>
      </text>
    </comment>
    <comment ref="AM45" authorId="0" shapeId="0">
      <text>
        <t>모델값 역산(implied): v / 매출액
= 매출액 추정(부문 미분리)</t>
      </text>
    </comment>
    <comment ref="AN45" authorId="0" shapeId="0">
      <text>
        <t>모델값 역산(implied): v / 매출액
= 매출액 추정(부문 미분리)</t>
      </text>
    </comment>
    <comment ref="AC46" authorId="0" shapeId="0">
      <text>
        <t>모델값 역산(implied): v / 매출전사
= 매출액 × OPM(부문 미분리)</t>
      </text>
    </comment>
    <comment ref="AD46" authorId="0" shapeId="0">
      <text>
        <t>모델값 역산(implied): v / 매출전사
= 매출액 × OPM(부문 미분리)</t>
      </text>
    </comment>
    <comment ref="AF46" authorId="0" shapeId="0">
      <text>
        <t>모델값 역산(implied): v / 매출전사
= 매출액 × OPM(부문 미분리)</t>
      </text>
    </comment>
    <comment ref="AG46" authorId="0" shapeId="0">
      <text>
        <t>모델값 역산(implied): v / 매출전사
= 매출액 × OPM(부문 미분리)</t>
      </text>
    </comment>
    <comment ref="AH46" authorId="0" shapeId="0">
      <text>
        <t>모델값 역산(implied): v / 매출전사
= 매출액 × OPM(부문 미분리)</t>
      </text>
    </comment>
    <comment ref="AI46" authorId="0" shapeId="0">
      <text>
        <t>모델값 역산(implied): v / 매출전사
= 매출액 × OPM(부문 미분리)</t>
      </text>
    </comment>
    <comment ref="AK46" authorId="0" shapeId="0">
      <text>
        <t>모델값 역산(implied): v / 매출전사
= 매출액 × OPM(부문 미분리)</t>
      </text>
    </comment>
    <comment ref="AL46" authorId="0" shapeId="0">
      <text>
        <t>모델값 역산(implied): v / 매출전사
= 매출액 × OPM(부문 미분리)</t>
      </text>
    </comment>
    <comment ref="AM46" authorId="0" shapeId="0">
      <text>
        <t>모델값 역산(implied): v / 매출전사
= 매출액 × OPM(부문 미분리)</t>
      </text>
    </comment>
    <comment ref="AN4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(1+30.3%) — g=최근 4분기 합 YoY 30.3% 클립(−30~+50%), 연차별 절반 감쇠(가정)
[yoy]</t>
      </text>
    </comment>
    <comment ref="AD5" authorId="0" shapeId="0">
      <text>
        <t>추정: 전년동기 × (1+30.3%) — g=최근 4분기 합 YoY 30.3% 클립(−30~+50%), 연차별 절반 감쇠(가정)
[yoy]</t>
      </text>
    </comment>
    <comment ref="AF5" authorId="0" shapeId="0">
      <text>
        <t>추정: 전년동기 × (1+30.3%) — g=최근 4분기 합 YoY 30.3% 클립(−30~+50%), 연차별 절반 감쇠(가정)
[yoy]</t>
      </text>
    </comment>
    <comment ref="AG5" authorId="0" shapeId="0">
      <text>
        <t>추정: 전년동기 × (1+30.3%) — g=최근 4분기 합 YoY 30.3% 클립(−30~+50%), 연차별 절반 감쇠(가정)
[yoy]</t>
      </text>
    </comment>
    <comment ref="AH5" authorId="0" shapeId="0">
      <text>
        <t>추정: 전년동기 × (1+15.2%) — g=최근 4분기 합 YoY 30.3% 클립(−30~+50%), 연차별 절반 감쇠(가정)
[yoy]</t>
      </text>
    </comment>
    <comment ref="AI5" authorId="0" shapeId="0">
      <text>
        <t>추정: 전년동기 × (1+15.2%) — g=최근 4분기 합 YoY 30.3% 클립(−30~+50%), 연차별 절반 감쇠(가정)
[yoy]</t>
      </text>
    </comment>
    <comment ref="AK5" authorId="0" shapeId="0">
      <text>
        <t>추정: 전년동기 × (1+15.2%) — g=최근 4분기 합 YoY 30.3% 클립(−30~+50%), 연차별 절반 감쇠(가정)
[yoy]</t>
      </text>
    </comment>
    <comment ref="AL5" authorId="0" shapeId="0">
      <text>
        <t>추정: 전년동기 × (1+15.2%) — g=최근 4분기 합 YoY 30.3% 클립(−30~+50%), 연차별 절반 감쇠(가정)
[yoy]</t>
      </text>
    </comment>
    <comment ref="AM5" authorId="0" shapeId="0">
      <text>
        <t>추정: 전년동기 × (1+7.6%) — g=최근 4분기 합 YoY 30.3% 클립(−30~+50%), 연차별 절반 감쇠(가정)
[yoy]</t>
      </text>
    </comment>
    <comment ref="AN5" authorId="0" shapeId="0">
      <text>
        <t>추정: 전년동기 × (1+7.6%) — g=최근 4분기 합 YoY 30.3%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16.2% 유지(클립 −20~40%)
[yoy]</t>
      </text>
    </comment>
    <comment ref="AD10" authorId="0" shapeId="0">
      <text>
        <t>추정: 최근 8분기 OPM 중위 16.2% 유지(클립 −20~40%)
[yoy]</t>
      </text>
    </comment>
    <comment ref="AF10" authorId="0" shapeId="0">
      <text>
        <t>추정: 최근 8분기 OPM 중위 16.2% 유지(클립 −20~40%)
[yoy]</t>
      </text>
    </comment>
    <comment ref="AG10" authorId="0" shapeId="0">
      <text>
        <t>추정: 최근 8분기 OPM 중위 16.2% 유지(클립 −20~40%)
[yoy]</t>
      </text>
    </comment>
    <comment ref="AH10" authorId="0" shapeId="0">
      <text>
        <t>추정: 최근 8분기 OPM 중위 16.2% 유지(클립 −20~40%)
[yoy]</t>
      </text>
    </comment>
    <comment ref="AI10" authorId="0" shapeId="0">
      <text>
        <t>추정: 최근 8분기 OPM 중위 16.2% 유지(클립 −20~40%)
[yoy]</t>
      </text>
    </comment>
    <comment ref="AK10" authorId="0" shapeId="0">
      <text>
        <t>추정: 최근 8분기 OPM 중위 16.2% 유지(클립 −20~40%)
[yoy]</t>
      </text>
    </comment>
    <comment ref="AL10" authorId="0" shapeId="0">
      <text>
        <t>추정: 최근 8분기 OPM 중위 16.2% 유지(클립 −20~40%)
[yoy]</t>
      </text>
    </comment>
    <comment ref="AM10" authorId="0" shapeId="0">
      <text>
        <t>추정: 최근 8분기 OPM 중위 16.2% 유지(클립 −20~40%)
[yoy]</t>
      </text>
    </comment>
    <comment ref="AN10" authorId="0" shapeId="0">
      <text>
        <t>추정: 최근 8분기 OPM 중위 16.2% 유지(클립 −20~40%)
[yoy]</t>
      </text>
    </comment>
    <comment ref="AC11" authorId="0" shapeId="0">
      <text>
        <t>추정: 이자손익 = 이자발생자산 279억 × 5.31% − 총차입금 571억 × 2.20% (연율, CF 실측) ÷ 4; 환·평가손익 0 가정
[abs]</t>
      </text>
    </comment>
    <comment ref="AD11" authorId="0" shapeId="0">
      <text>
        <t>추정: 이자손익 = 이자발생자산 337억 × 5.31% − 총차입금 571억 × 2.20% (연율, CF 실측) ÷ 4; 환·평가손익 0 가정
[abs]</t>
      </text>
    </comment>
    <comment ref="AF11" authorId="0" shapeId="0">
      <text>
        <t>추정: 이자손익 = 이자발생자산 409억 × 5.31% − 총차입금 571억 × 2.20% (연율, CF 실측) ÷ 4; 환·평가손익 0 가정
[abs]</t>
      </text>
    </comment>
    <comment ref="AG11" authorId="0" shapeId="0">
      <text>
        <t>추정: 이자손익 = 이자발생자산 481억 × 5.31% − 총차입금 571억 × 2.20% (연율, CF 실측) ÷ 4; 환·평가손익 0 가정
[abs]</t>
      </text>
    </comment>
    <comment ref="AH11" authorId="0" shapeId="0">
      <text>
        <t>추정: 이자손익 = 이자발생자산 455억 × 5.31% − 총차입금 571억 × 2.20% (연율, CF 실측) ÷ 4; 환·평가손익 0 가정
[abs]</t>
      </text>
    </comment>
    <comment ref="AI11" authorId="0" shapeId="0">
      <text>
        <t>추정: 이자손익 = 이자발생자산 523억 × 5.31% − 총차입금 571억 × 2.20% (연율, CF 실측) ÷ 4; 환·평가손익 0 가정
[abs]</t>
      </text>
    </comment>
    <comment ref="AK11" authorId="0" shapeId="0">
      <text>
        <t>추정: 이자손익 = 이자발생자산 607억 × 5.31% − 총차입금 571억 × 2.20% (연율, CF 실측) ÷ 4; 환·평가손익 0 가정
[abs]</t>
      </text>
    </comment>
    <comment ref="AL11" authorId="0" shapeId="0">
      <text>
        <t>추정: 이자손익 = 이자발생자산 693억 × 5.31% − 총차입금 571억 × 2.20% (연율, CF 실측) ÷ 4; 환·평가손익 0 가정
[abs]</t>
      </text>
    </comment>
    <comment ref="AM11" authorId="0" shapeId="0">
      <text>
        <t>추정: 이자손익 = 이자발생자산 681억 × 5.31% − 총차입금 571억 × 2.20% (연율, CF 실측) ÷ 4; 환·평가손익 0 가정
[abs]</t>
      </text>
    </comment>
    <comment ref="AN11" authorId="0" shapeId="0">
      <text>
        <t>추정: 이자손익 = 이자발생자산 756억 × 5.31% − 총차입금 571억 × 2.20%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14.7%(최근 12분기 유효세율 14.7% → 5~27% 클립)
[ratio]</t>
      </text>
    </comment>
    <comment ref="AD15" authorId="0" shapeId="0">
      <text>
        <t>추정: max(세전, 0) × 세율 14.7%(최근 12분기 유효세율 14.7% → 5~27% 클립)
[ratio]</t>
      </text>
    </comment>
    <comment ref="AF15" authorId="0" shapeId="0">
      <text>
        <t>추정: max(세전, 0) × 세율 14.7%(최근 12분기 유효세율 14.7% → 5~27% 클립)
[ratio]</t>
      </text>
    </comment>
    <comment ref="AG15" authorId="0" shapeId="0">
      <text>
        <t>추정: max(세전, 0) × 세율 14.7%(최근 12분기 유효세율 14.7% → 5~27% 클립)
[ratio]</t>
      </text>
    </comment>
    <comment ref="AH15" authorId="0" shapeId="0">
      <text>
        <t>추정: max(세전, 0) × 세율 14.7%(최근 12분기 유효세율 14.7% → 5~27% 클립)
[ratio]</t>
      </text>
    </comment>
    <comment ref="AI15" authorId="0" shapeId="0">
      <text>
        <t>추정: max(세전, 0) × 세율 14.7%(최근 12분기 유효세율 14.7% → 5~27% 클립)
[ratio]</t>
      </text>
    </comment>
    <comment ref="AK15" authorId="0" shapeId="0">
      <text>
        <t>추정: max(세전, 0) × 세율 14.7%(최근 12분기 유효세율 14.7% → 5~27% 클립)
[ratio]</t>
      </text>
    </comment>
    <comment ref="AL15" authorId="0" shapeId="0">
      <text>
        <t>추정: max(세전, 0) × 세율 14.7%(최근 12분기 유효세율 14.7% → 5~27% 클립)
[ratio]</t>
      </text>
    </comment>
    <comment ref="AM15" authorId="0" shapeId="0">
      <text>
        <t>추정: max(세전, 0) × 세율 14.7%(최근 12분기 유효세율 14.7% → 5~27% 클립)
[ratio]</t>
      </text>
    </comment>
    <comment ref="AN15" authorId="0" shapeId="0">
      <text>
        <t>추정: max(세전, 0) × 세율 14.7%(최근 12분기 유효세율 14.7%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추정(가정 셀 참조 불가 — 기준값 없음, 모델값 직접): 최근 4분기 감가상각비 중위 유지</t>
      </text>
    </comment>
    <comment ref="AD18" authorId="0" shapeId="0">
      <text>
        <t>추정(가정 셀 참조 불가 — 기준값 없음, 모델값 직접): 최근 4분기 감가상각비 중위 유지</t>
      </text>
    </comment>
    <comment ref="AF18" authorId="0" shapeId="0">
      <text>
        <t>추정(가정 셀 참조 불가 — 기준값 없음, 모델값 직접): 최근 4분기 감가상각비 중위 유지</t>
      </text>
    </comment>
    <comment ref="AG18" authorId="0" shapeId="0">
      <text>
        <t>추정(가정 셀 참조 불가 — 기준값 없음, 모델값 직접): 최근 4분기 감가상각비 중위 유지</t>
      </text>
    </comment>
    <comment ref="AH18" authorId="0" shapeId="0">
      <text>
        <t>추정: 최근 4분기 감가상각비 중위 유지
[yoy]</t>
      </text>
    </comment>
    <comment ref="AI18" authorId="0" shapeId="0">
      <text>
        <t>추정: 최근 4분기 감가상각비 중위 유지
[yoy]</t>
      </text>
    </comment>
    <comment ref="AK18" authorId="0" shapeId="0">
      <text>
        <t>추정: 최근 4분기 감가상각비 중위 유지
[yoy]</t>
      </text>
    </comment>
    <comment ref="AL18" authorId="0" shapeId="0">
      <text>
        <t>추정: 최근 4분기 감가상각비 중위 유지
[yoy]</t>
      </text>
    </comment>
    <comment ref="AM18" authorId="0" shapeId="0">
      <text>
        <t>추정: 최근 4분기 감가상각비 중위 유지
[yoy]</t>
      </text>
    </comment>
    <comment ref="AN18" authorId="0" shapeId="0">
      <text>
        <t>추정: 최근 4분기 감가상각비 중위 유지
[yoy]</t>
      </text>
    </comment>
    <comment ref="E19" authorId="0" shapeId="0">
      <text>
        <t>실측(계정 매핑 없음 — 모델값 직접) — 영업이익 + 감가상각비(CF)</t>
      </text>
    </comment>
    <comment ref="G19" authorId="0" shapeId="0">
      <text>
        <t>실측(계정 매핑 없음 — 모델값 직접) — 영업이익 + 감가상각비(CF)</t>
      </text>
    </comment>
    <comment ref="H19" authorId="0" shapeId="0">
      <text>
        <t>실측(계정 매핑 없음 — 모델값 직접) — 영업이익 + 감가상각비(CF)</t>
      </text>
    </comment>
    <comment ref="I19" authorId="0" shapeId="0">
      <text>
        <t>실측(계정 매핑 없음 — 모델값 직접) — 영업이익 + 감가상각비(CF)</t>
      </text>
    </comment>
    <comment ref="J19" authorId="0" shapeId="0">
      <text>
        <t>실측(계정 매핑 없음 — 모델값 직접) — 영업이익 + 감가상각비(CF)</t>
      </text>
    </comment>
    <comment ref="L19" authorId="0" shapeId="0">
      <text>
        <t>실측(계정 매핑 없음 — 모델값 직접) — 영업이익 + 감가상각비(CF)</t>
      </text>
    </comment>
    <comment ref="M19" authorId="0" shapeId="0">
      <text>
        <t>실측(계정 매핑 없음 — 모델값 직접) — 영업이익 + 감가상각비(CF)</t>
      </text>
    </comment>
    <comment ref="AC19" authorId="0" shapeId="0">
      <text>
        <t>추정(가정 셀 참조 불가 — 기준값 없음, 모델값 직접): 영업이익 + 감가상각비</t>
      </text>
    </comment>
    <comment ref="AD19" authorId="0" shapeId="0">
      <text>
        <t>추정(가정 셀 참조 불가 — 기준값 없음, 모델값 직접): 영업이익 + 감가상각비</t>
      </text>
    </comment>
    <comment ref="AF19" authorId="0" shapeId="0">
      <text>
        <t>추정(가정 셀 참조 불가 — 기준값 없음, 모델값 직접): 영업이익 + 감가상각비</t>
      </text>
    </comment>
    <comment ref="AG19" authorId="0" shapeId="0">
      <text>
        <t>추정(가정 셀 참조 불가 — 기준값 없음, 모델값 직접): 영업이익 + 감가상각비</t>
      </text>
    </comment>
    <comment ref="AH19" authorId="0" shapeId="0">
      <text>
        <t>추정: 영업이익 + 감가상각비
[yoy]</t>
      </text>
    </comment>
    <comment ref="AI19" authorId="0" shapeId="0">
      <text>
        <t>추정: 영업이익 + 감가상각비
[yoy]</t>
      </text>
    </comment>
    <comment ref="AK19" authorId="0" shapeId="0">
      <text>
        <t>추정: 영업이익 + 감가상각비
[yoy]</t>
      </text>
    </comment>
    <comment ref="AL19" authorId="0" shapeId="0">
      <text>
        <t>추정: 영업이익 + 감가상각비
[yoy]</t>
      </text>
    </comment>
    <comment ref="AM19" authorId="0" shapeId="0">
      <text>
        <t>추정: 영업이익 + 감가상각비
[yoy]</t>
      </text>
    </comment>
    <comment ref="AN19" authorId="0" shapeId="0">
      <text>
        <t>추정: 영업이익 + 감가상각비
[yoy]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(순이익 − 배당): 순이익 = 순현금 증가 가정(CAPEX≈감가, 운전자본 불변)
[qoq]</t>
      </text>
    </comment>
    <comment ref="AD25" authorId="0" shapeId="0">
      <text>
        <t>추정: 전분기 − (순이익 − 배당): 순이익 = 순현금 증가 가정(CAPEX≈감가, 운전자본 불변)
[qoq]</t>
      </text>
    </comment>
    <comment ref="AF25" authorId="0" shapeId="0">
      <text>
        <t>추정: 전분기 − (순이익 − 배당): 순이익 = 순현금 증가 가정(CAPEX≈감가, 운전자본 불변)
[qoq]</t>
      </text>
    </comment>
    <comment ref="AG25" authorId="0" shapeId="0">
      <text>
        <t>추정: 전분기 − (순이익 − 배당): 순이익 = 순현금 증가 가정(CAPEX≈감가, 운전자본 불변)
[qoq]</t>
      </text>
    </comment>
    <comment ref="AH25" authorId="0" shapeId="0">
      <text>
        <t>추정: 전분기 − (순이익 − 배당): 순이익 = 순현금 증가 가정(CAPEX≈감가, 운전자본 불변)
[qoq]</t>
      </text>
    </comment>
    <comment ref="AI25" authorId="0" shapeId="0">
      <text>
        <t>추정: 전분기 − (순이익 − 배당): 순이익 = 순현금 증가 가정(CAPEX≈감가, 운전자본 불변)
[qoq]</t>
      </text>
    </comment>
    <comment ref="AK25" authorId="0" shapeId="0">
      <text>
        <t>추정: 전분기 − (순이익 − 배당): 순이익 = 순현금 증가 가정(CAPEX≈감가, 운전자본 불변)
[qoq]</t>
      </text>
    </comment>
    <comment ref="AL25" authorId="0" shapeId="0">
      <text>
        <t>추정: 전분기 − (순이익 − 배당): 순이익 = 순현금 증가 가정(CAPEX≈감가, 운전자본 불변)
[qoq]</t>
      </text>
    </comment>
    <comment ref="AM25" authorId="0" shapeId="0">
      <text>
        <t>추정: 전분기 − (순이익 − 배당): 순이익 = 순현금 증가 가정(CAPEX≈감가, 운전자본 불변)
[qoq]</t>
      </text>
    </comment>
    <comment ref="AN25" authorId="0" shapeId="0">
      <text>
        <t>추정: 전분기 − (순이익 − 배당): 순이익 = 순현금 증가 가정(CAPEX≈감가, 운전자본 불변)
[qoq]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G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AL26" authorId="0" shapeId="0">
      <text>
        <t>추정: 전분기 + (순이익 − 배당) — 순차입금 롤과 같은 가정
[qoq]</t>
      </text>
    </comment>
    <comment ref="AM26" authorId="0" shapeId="0">
      <text>
        <t>추정: 전분기 + (순이익 − 배당) — 순차입금 롤과 같은 가정
[qoq]</t>
      </text>
    </comment>
    <comment ref="AN26" authorId="0" shapeId="0">
      <text>
        <t>추정: 전분기 + (순이익 − 배당) — 순차입금 롤과 같은 가정
[qoq]</t>
      </text>
    </comment>
    <comment ref="E29" authorId="0" shapeId="0">
      <text>
        <t>실측(계정 매핑 없음 — 모델값 직접) — fin.cons.cf.영업활동으로인한현금흐름</t>
      </text>
    </comment>
    <comment ref="G29" authorId="0" shapeId="0">
      <text>
        <t>실측(계정 매핑 없음 — 모델값 직접) — fin.cons.cf.영업활동으로인한현금흐름</t>
      </text>
    </comment>
    <comment ref="H29" authorId="0" shapeId="0">
      <text>
        <t>실측(계정 매핑 없음 — 모델값 직접) — fin.cons.cf.영업활동으로인한현금흐름</t>
      </text>
    </comment>
    <comment ref="I29" authorId="0" shapeId="0">
      <text>
        <t>실측(계정 매핑 없음 — 모델값 직접) — fin.cons.cf.영업활동으로인한현금흐름</t>
      </text>
    </comment>
    <comment ref="J29" authorId="0" shapeId="0">
      <text>
        <t>실측(계정 매핑 없음 — 모델값 직접) — fin.cons.cf.영업활동으로인한현금흐름</t>
      </text>
    </comment>
    <comment ref="L29" authorId="0" shapeId="0">
      <text>
        <t>실측(계정 매핑 없음 — 모델값 직접) — fin.cons.cf.영업활동으로인한현금흐름</t>
      </text>
    </comment>
    <comment ref="M29" authorId="0" shapeId="0">
      <text>
        <t>실측(계정 매핑 없음 — 모델값 직접) — fin.cons.cf.영업활동으로인한현금흐름</t>
      </text>
    </comment>
    <comment ref="N29" authorId="0" shapeId="0">
      <text>
        <t>실측(계정 매핑 없음 — 모델값 직접) — fin.cons.cf.영업활동으로인한현금흐름</t>
      </text>
    </comment>
    <comment ref="O29" authorId="0" shapeId="0">
      <text>
        <t>실측(계정 매핑 없음 — 모델값 직접) — fin.cons.cf.영업활동으로인한현금흐름</t>
      </text>
    </comment>
    <comment ref="Q29" authorId="0" shapeId="0">
      <text>
        <t>실측(계정 매핑 없음 — 모델값 직접) — fin.cons.cf.영업활동으로인한현금흐름</t>
      </text>
    </comment>
    <comment ref="R29" authorId="0" shapeId="0">
      <text>
        <t>실측(계정 매핑 없음 — 모델값 직접) — fin.cons.cf.영업활동으로인한현금흐름</t>
      </text>
    </comment>
    <comment ref="S29" authorId="0" shapeId="0">
      <text>
        <t>실측(계정 매핑 없음 — 모델값 직접) — fin.cons.cf.영업활동으로인한현금흐름</t>
      </text>
    </comment>
    <comment ref="T29" authorId="0" shapeId="0">
      <text>
        <t>실측(계정 매핑 없음 — 모델값 직접) — fin.cons.cf.영업활동으로인한현금흐름</t>
      </text>
    </comment>
    <comment ref="V29" authorId="0" shapeId="0">
      <text>
        <t>실측(계정 매핑 없음 — 모델값 직접) — fin.cons.cf.영업활동으로인한현금흐름</t>
      </text>
    </comment>
    <comment ref="W29" authorId="0" shapeId="0">
      <text>
        <t>실측(계정 매핑 없음 — 모델값 직접) — fin.cons.cf.영업활동으로인한현금흐름</t>
      </text>
    </comment>
    <comment ref="X29" authorId="0" shapeId="0">
      <text>
        <t>실측(계정 매핑 없음 — 모델값 직접) — fin.cons.cf.영업활동으로인한현금흐름</t>
      </text>
    </comment>
    <comment ref="Y29" authorId="0" shapeId="0">
      <text>
        <t>실측(계정 매핑 없음 — 모델값 직접) — fin.cons.cf.영업활동으로인한현금흐름</t>
      </text>
    </comment>
    <comment ref="AA29" authorId="0" shapeId="0">
      <text>
        <t>실측(계정 매핑 없음 — 모델값 직접) — fin.cons.cf.영업활동으로인한현금흐름</t>
      </text>
    </comment>
    <comment ref="AB29" authorId="0" shapeId="0">
      <text>
        <t>실측(계정 매핑 없음 — 모델값 직접) — fin.cons.cf.영업활동으로인한현금흐름</t>
      </text>
    </comment>
    <comment ref="E30" authorId="0" shapeId="0">
      <text>
        <t>실측(계정 매핑 없음 — 모델값 직접) — fin.shares.common_outstanding</t>
      </text>
    </comment>
    <comment ref="G30" authorId="0" shapeId="0">
      <text>
        <t>실측(계정 매핑 없음 — 모델값 직접) — fin.shares.common_outstanding</t>
      </text>
    </comment>
    <comment ref="H30" authorId="0" shapeId="0">
      <text>
        <t>실측(계정 매핑 없음 — 모델값 직접) — fin.shares.common_outstanding</t>
      </text>
    </comment>
    <comment ref="I30" authorId="0" shapeId="0">
      <text>
        <t>실측(계정 매핑 없음 — 모델값 직접) — fin.shares.common_outstanding</t>
      </text>
    </comment>
    <comment ref="J30" authorId="0" shapeId="0">
      <text>
        <t>실측(계정 매핑 없음 — 모델값 직접) — fin.shares.common_outstanding</t>
      </text>
    </comment>
    <comment ref="L30" authorId="0" shapeId="0">
      <text>
        <t>실측(계정 매핑 없음 — 모델값 직접) — fin.shares.common_outstanding</t>
      </text>
    </comment>
    <comment ref="M30" authorId="0" shapeId="0">
      <text>
        <t>실측(계정 매핑 없음 — 모델값 직접) — fin.shares.common_outstanding</t>
      </text>
    </comment>
    <comment ref="N30" authorId="0" shapeId="0">
      <text>
        <t>실측(계정 매핑 없음 — 모델값 직접) — fin.shares.common_outstanding</t>
      </text>
    </comment>
    <comment ref="O30" authorId="0" shapeId="0">
      <text>
        <t>실측(계정 매핑 없음 — 모델값 직접) — fin.shares.common_outstanding</t>
      </text>
    </comment>
    <comment ref="Q30" authorId="0" shapeId="0">
      <text>
        <t>실측(계정 매핑 없음 — 모델값 직접) — fin.shares.common_outstanding</t>
      </text>
    </comment>
    <comment ref="R30" authorId="0" shapeId="0">
      <text>
        <t>실측(계정 매핑 없음 — 모델값 직접) — fin.shares.common_outstanding</t>
      </text>
    </comment>
    <comment ref="S30" authorId="0" shapeId="0">
      <text>
        <t>실측(계정 매핑 없음 — 모델값 직접) — fin.shares.common_outstanding</t>
      </text>
    </comment>
    <comment ref="T30" authorId="0" shapeId="0">
      <text>
        <t>실측(계정 매핑 없음 — 모델값 직접) — fin.shares.common_outstanding</t>
      </text>
    </comment>
    <comment ref="V30" authorId="0" shapeId="0">
      <text>
        <t>실측(계정 매핑 없음 — 모델값 직접) — fin.shares.common_outstanding</t>
      </text>
    </comment>
    <comment ref="W30" authorId="0" shapeId="0">
      <text>
        <t>실측(계정 매핑 없음 — 모델값 직접) — fin.shares.common_outstanding</t>
      </text>
    </comment>
    <comment ref="X30" authorId="0" shapeId="0">
      <text>
        <t>실측(계정 매핑 없음 — 모델값 직접) — fin.shares.common_outstanding</t>
      </text>
    </comment>
    <comment ref="Y30" authorId="0" shapeId="0">
      <text>
        <t>실측(계정 매핑 없음 — 모델값 직접) — fin.shares.common_outstanding</t>
      </text>
    </comment>
    <comment ref="AA30" authorId="0" shapeId="0">
      <text>
        <t>실측(계정 매핑 없음 — 모델값 직접) — fin.shares.common_outstanding</t>
      </text>
    </comment>
    <comment ref="AB30" authorId="0" shapeId="0">
      <text>
        <t>실측(계정 매핑 없음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 — 모델값 직접) — fin.dividend.dps_common(연간, Q4 에 표기)</t>
      </text>
    </comment>
    <comment ref="O33" authorId="0" shapeId="0">
      <text>
        <t>실측(계정 매핑 없음 — 모델값 직접) — fin.dividend.dps_common(연간, Q4 에 표기)</t>
      </text>
    </comment>
    <comment ref="T33" authorId="0" shapeId="0">
      <text>
        <t>실측(계정 매핑 없음 — 모델값 직접) — fin.dividend.dps_common(연간, Q4 에 표기)</t>
      </text>
    </comment>
    <comment ref="Y33" authorId="0" shapeId="0">
      <text>
        <t>실측(계정 매핑 없음 — 모델값 직접) — fin.dividend.dps_common(연간, Q4 에 표기)</t>
      </text>
    </comment>
    <comment ref="AD33" authorId="0" shapeId="0">
      <text>
        <t>추정: 직전 결산 DPS 620원 유지
[yoy]</t>
      </text>
    </comment>
    <comment ref="AI33" authorId="0" shapeId="0">
      <text>
        <t>추정: 직전 결산 DPS 620원 유지
[yoy]</t>
      </text>
    </comment>
    <comment ref="AN33" authorId="0" shapeId="0">
      <text>
        <t>추정: 직전 결산 DPS 620원 유지
[yoy]</t>
      </text>
    </comment>
    <comment ref="I34" authorId="0" shapeId="0">
      <text>
        <t>실측(계정 매핑 없음 — 모델값 직접) — 토스 일봉 분기 평균 ÷ TTM EPS</t>
      </text>
    </comment>
    <comment ref="J34" authorId="0" shapeId="0">
      <text>
        <t>실측(계정 매핑 없음 — 모델값 직접) — 토스 일봉 분기 평균 ÷ TTM EPS</t>
      </text>
    </comment>
    <comment ref="L34" authorId="0" shapeId="0">
      <text>
        <t>실측(계정 매핑 없음 — 모델값 직접) — 토스 일봉 분기 평균 ÷ TTM EPS</t>
      </text>
    </comment>
    <comment ref="M34" authorId="0" shapeId="0">
      <text>
        <t>실측(계정 매핑 없음 — 모델값 직접) — 토스 일봉 분기 평균 ÷ TTM EPS</t>
      </text>
    </comment>
    <comment ref="N34" authorId="0" shapeId="0">
      <text>
        <t>실측(계정 매핑 없음 — 모델값 직접) — 토스 일봉 분기 평균 ÷ TTM EPS</t>
      </text>
    </comment>
    <comment ref="O34" authorId="0" shapeId="0">
      <text>
        <t>실측(계정 매핑 없음 — 모델값 직접) — 토스 일봉 분기 평균 ÷ TTM EPS</t>
      </text>
    </comment>
    <comment ref="Q34" authorId="0" shapeId="0">
      <text>
        <t>실측(계정 매핑 없음 — 모델값 직접) — 토스 일봉 분기 평균 ÷ TTM EPS</t>
      </text>
    </comment>
    <comment ref="R34" authorId="0" shapeId="0">
      <text>
        <t>실측(계정 매핑 없음 — 모델값 직접) — 토스 일봉 분기 평균 ÷ TTM EPS</t>
      </text>
    </comment>
    <comment ref="S34" authorId="0" shapeId="0">
      <text>
        <t>실측(계정 매핑 없음 — 모델값 직접) — 토스 일봉 분기 평균 ÷ TTM EPS</t>
      </text>
    </comment>
    <comment ref="T34" authorId="0" shapeId="0">
      <text>
        <t>실측(계정 매핑 없음 — 모델값 직접) — 토스 일봉 분기 평균 ÷ TTM EPS</t>
      </text>
    </comment>
    <comment ref="V34" authorId="0" shapeId="0">
      <text>
        <t>실측(계정 매핑 없음 — 모델값 직접) — 토스 일봉 분기 평균 ÷ TTM EPS</t>
      </text>
    </comment>
    <comment ref="W34" authorId="0" shapeId="0">
      <text>
        <t>실측(계정 매핑 없음 — 모델값 직접) — 토스 일봉 분기 평균 ÷ TTM EPS</t>
      </text>
    </comment>
    <comment ref="X34" authorId="0" shapeId="0">
      <text>
        <t>실측(계정 매핑 없음 — 모델값 직접) — 토스 일봉 분기 평균 ÷ TTM EPS</t>
      </text>
    </comment>
    <comment ref="Y34" authorId="0" shapeId="0">
      <text>
        <t>실측(계정 매핑 없음 — 모델값 직접) — 토스 일봉 분기 평균 ÷ TTM EPS</t>
      </text>
    </comment>
    <comment ref="AA34" authorId="0" shapeId="0">
      <text>
        <t>실측(계정 매핑 없음 — 모델값 직접) — 토스 일봉 분기 평균 ÷ TTM EPS</t>
      </text>
    </comment>
    <comment ref="AB34" authorId="0" shapeId="0">
      <text>
        <t>실측(계정 매핑 없음 — 모델값 직접) — 토스 일봉 분기 평균 ÷ TTM EPS</t>
      </text>
    </comment>
    <comment ref="AC34" authorId="0" shapeId="0">
      <text>
        <t>추정: 현재 종가 ÷ TTM EPS(추정 포함)
[yoy]</t>
      </text>
    </comment>
    <comment ref="AD34" authorId="0" shapeId="0">
      <text>
        <t>추정: 현재 종가 ÷ TTM EPS(추정 포함)
[yoy]</t>
      </text>
    </comment>
    <comment ref="AF34" authorId="0" shapeId="0">
      <text>
        <t>추정: 현재 종가 ÷ TTM EPS(추정 포함)
[yoy]</t>
      </text>
    </comment>
    <comment ref="AG34" authorId="0" shapeId="0">
      <text>
        <t>추정: 현재 종가 ÷ TTM EPS(추정 포함)
[yoy]</t>
      </text>
    </comment>
    <comment ref="AH34" authorId="0" shapeId="0">
      <text>
        <t>추정: 현재 종가 ÷ TTM EPS(추정 포함)
[yoy]</t>
      </text>
    </comment>
    <comment ref="AI34" authorId="0" shapeId="0">
      <text>
        <t>추정: 현재 종가 ÷ TTM EPS(추정 포함)
[yoy]</t>
      </text>
    </comment>
    <comment ref="AK34" authorId="0" shapeId="0">
      <text>
        <t>추정: 현재 종가 ÷ TTM EPS(추정 포함)
[yoy]</t>
      </text>
    </comment>
    <comment ref="AL34" authorId="0" shapeId="0">
      <text>
        <t>추정: 현재 종가 ÷ TTM EPS(추정 포함)
[yoy]</t>
      </text>
    </comment>
    <comment ref="AM34" authorId="0" shapeId="0">
      <text>
        <t>추정: 현재 종가 ÷ TTM EPS(추정 포함)
[yoy]</t>
      </text>
    </comment>
    <comment ref="AN34" authorId="0" shapeId="0">
      <text>
        <t>추정: 현재 종가 ÷ TTM EPS(추정 포함)
[yoy]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E36" authorId="0" shapeId="0">
      <text>
        <t>실측(계정 매핑 없음 — 모델값 직접) — = 매출액(부문 미분리)</t>
      </text>
    </comment>
    <comment ref="G36" authorId="0" shapeId="0">
      <text>
        <t>실측(계정 매핑 없음 — 모델값 직접) — = 매출액(부문 미분리)</t>
      </text>
    </comment>
    <comment ref="H36" authorId="0" shapeId="0">
      <text>
        <t>실측(계정 매핑 없음 — 모델값 직접) — = 매출액(부문 미분리)</t>
      </text>
    </comment>
    <comment ref="I36" authorId="0" shapeId="0">
      <text>
        <t>실측(계정 매핑 없음 — 모델값 직접) — = 매출액(부문 미분리)</t>
      </text>
    </comment>
    <comment ref="J36" authorId="0" shapeId="0">
      <text>
        <t>실측(계정 매핑 없음 — 모델값 직접) — = 매출액(부문 미분리)</t>
      </text>
    </comment>
    <comment ref="L36" authorId="0" shapeId="0">
      <text>
        <t>실측(계정 매핑 없음 — 모델값 직접) — = 매출액(부문 미분리)</t>
      </text>
    </comment>
    <comment ref="M36" authorId="0" shapeId="0">
      <text>
        <t>실측(계정 매핑 없음 — 모델값 직접) — = 매출액(부문 미분리)</t>
      </text>
    </comment>
    <comment ref="N36" authorId="0" shapeId="0">
      <text>
        <t>실측(계정 매핑 없음 — 모델값 직접) — = 매출액(부문 미분리)</t>
      </text>
    </comment>
    <comment ref="O36" authorId="0" shapeId="0">
      <text>
        <t>실측(계정 매핑 없음 — 모델값 직접) — = 매출액(부문 미분리)</t>
      </text>
    </comment>
    <comment ref="Q36" authorId="0" shapeId="0">
      <text>
        <t>실측(계정 매핑 없음 — 모델값 직접) — = 매출액(부문 미분리)</t>
      </text>
    </comment>
    <comment ref="R36" authorId="0" shapeId="0">
      <text>
        <t>실측(계정 매핑 없음 — 모델값 직접) — = 매출액(부문 미분리)</t>
      </text>
    </comment>
    <comment ref="S36" authorId="0" shapeId="0">
      <text>
        <t>실측(계정 매핑 없음 — 모델값 직접) — = 매출액(부문 미분리)</t>
      </text>
    </comment>
    <comment ref="T36" authorId="0" shapeId="0">
      <text>
        <t>실측(계정 매핑 없음 — 모델값 직접) — = 매출액(부문 미분리)</t>
      </text>
    </comment>
    <comment ref="V36" authorId="0" shapeId="0">
      <text>
        <t>실측(계정 매핑 없음 — 모델값 직접) — = 매출액(부문 미분리)</t>
      </text>
    </comment>
    <comment ref="W36" authorId="0" shapeId="0">
      <text>
        <t>실측(계정 매핑 없음 — 모델값 직접) — = 매출액(부문 미분리)</t>
      </text>
    </comment>
    <comment ref="X36" authorId="0" shapeId="0">
      <text>
        <t>실측(계정 매핑 없음 — 모델값 직접) — = 매출액(부문 미분리)</t>
      </text>
    </comment>
    <comment ref="Y36" authorId="0" shapeId="0">
      <text>
        <t>실측(계정 매핑 없음 — 모델값 직접) — = 매출액(부문 미분리)</t>
      </text>
    </comment>
    <comment ref="AA36" authorId="0" shapeId="0">
      <text>
        <t>실측(계정 매핑 없음 — 모델값 직접) — = 매출액(부문 미분리)</t>
      </text>
    </comment>
    <comment ref="AB36" authorId="0" shapeId="0">
      <text>
        <t>실측(계정 매핑 없음 — 모델값 직접) — = 매출액(부문 미분리)</t>
      </text>
    </comment>
    <comment ref="AC36" authorId="0" shapeId="0">
      <text>
        <t>추정: = 매출액 추정(부문 미분리)
[ratio]</t>
      </text>
    </comment>
    <comment ref="AD36" authorId="0" shapeId="0">
      <text>
        <t>추정: = 매출액 추정(부문 미분리)
[ratio]</t>
      </text>
    </comment>
    <comment ref="AF36" authorId="0" shapeId="0">
      <text>
        <t>추정: = 매출액 추정(부문 미분리)
[ratio]</t>
      </text>
    </comment>
    <comment ref="AG36" authorId="0" shapeId="0">
      <text>
        <t>추정: = 매출액 추정(부문 미분리)
[ratio]</t>
      </text>
    </comment>
    <comment ref="AH36" authorId="0" shapeId="0">
      <text>
        <t>추정: = 매출액 추정(부문 미분리)
[ratio]</t>
      </text>
    </comment>
    <comment ref="AI36" authorId="0" shapeId="0">
      <text>
        <t>추정: = 매출액 추정(부문 미분리)
[ratio]</t>
      </text>
    </comment>
    <comment ref="AK36" authorId="0" shapeId="0">
      <text>
        <t>추정: = 매출액 추정(부문 미분리)
[ratio]</t>
      </text>
    </comment>
    <comment ref="AL36" authorId="0" shapeId="0">
      <text>
        <t>추정: = 매출액 추정(부문 미분리)
[ratio]</t>
      </text>
    </comment>
    <comment ref="AM36" authorId="0" shapeId="0">
      <text>
        <t>추정: = 매출액 추정(부문 미분리)
[ratio]</t>
      </text>
    </comment>
    <comment ref="AN36" authorId="0" shapeId="0">
      <text>
        <t>추정: = 매출액 추정(부문 미분리)
[ratio]</t>
      </text>
    </comment>
    <comment ref="E37" authorId="0" shapeId="0">
      <text>
        <t>실측(계정 매핑 없음 — 모델값 직접) — = 영업이익(부문 미분리)</t>
      </text>
    </comment>
    <comment ref="G37" authorId="0" shapeId="0">
      <text>
        <t>실측(계정 매핑 없음 — 모델값 직접) — = 영업이익(부문 미분리)</t>
      </text>
    </comment>
    <comment ref="H37" authorId="0" shapeId="0">
      <text>
        <t>실측(계정 매핑 없음 — 모델값 직접) — = 영업이익(부문 미분리)</t>
      </text>
    </comment>
    <comment ref="I37" authorId="0" shapeId="0">
      <text>
        <t>실측(계정 매핑 없음 — 모델값 직접) — = 영업이익(부문 미분리)</t>
      </text>
    </comment>
    <comment ref="J37" authorId="0" shapeId="0">
      <text>
        <t>실측(계정 매핑 없음 — 모델값 직접) — = 영업이익(부문 미분리)</t>
      </text>
    </comment>
    <comment ref="L37" authorId="0" shapeId="0">
      <text>
        <t>실측(계정 매핑 없음 — 모델값 직접) — = 영업이익(부문 미분리)</t>
      </text>
    </comment>
    <comment ref="M37" authorId="0" shapeId="0">
      <text>
        <t>실측(계정 매핑 없음 — 모델값 직접) — = 영업이익(부문 미분리)</t>
      </text>
    </comment>
    <comment ref="N37" authorId="0" shapeId="0">
      <text>
        <t>실측(계정 매핑 없음 — 모델값 직접) — = 영업이익(부문 미분리)</t>
      </text>
    </comment>
    <comment ref="O37" authorId="0" shapeId="0">
      <text>
        <t>실측(계정 매핑 없음 — 모델값 직접) — = 영업이익(부문 미분리)</t>
      </text>
    </comment>
    <comment ref="Q37" authorId="0" shapeId="0">
      <text>
        <t>실측(계정 매핑 없음 — 모델값 직접) — = 영업이익(부문 미분리)</t>
      </text>
    </comment>
    <comment ref="R37" authorId="0" shapeId="0">
      <text>
        <t>실측(계정 매핑 없음 — 모델값 직접) — = 영업이익(부문 미분리)</t>
      </text>
    </comment>
    <comment ref="S37" authorId="0" shapeId="0">
      <text>
        <t>실측(계정 매핑 없음 — 모델값 직접) — = 영업이익(부문 미분리)</t>
      </text>
    </comment>
    <comment ref="T37" authorId="0" shapeId="0">
      <text>
        <t>실측(계정 매핑 없음 — 모델값 직접) — = 영업이익(부문 미분리)</t>
      </text>
    </comment>
    <comment ref="V37" authorId="0" shapeId="0">
      <text>
        <t>실측(계정 매핑 없음 — 모델값 직접) — = 영업이익(부문 미분리)</t>
      </text>
    </comment>
    <comment ref="W37" authorId="0" shapeId="0">
      <text>
        <t>실측(계정 매핑 없음 — 모델값 직접) — = 영업이익(부문 미분리)</t>
      </text>
    </comment>
    <comment ref="X37" authorId="0" shapeId="0">
      <text>
        <t>실측(계정 매핑 없음 — 모델값 직접) — = 영업이익(부문 미분리)</t>
      </text>
    </comment>
    <comment ref="Y37" authorId="0" shapeId="0">
      <text>
        <t>실측(계정 매핑 없음 — 모델값 직접) — = 영업이익(부문 미분리)</t>
      </text>
    </comment>
    <comment ref="AA37" authorId="0" shapeId="0">
      <text>
        <t>실측(계정 매핑 없음 — 모델값 직접) — = 영업이익(부문 미분리)</t>
      </text>
    </comment>
    <comment ref="AB37" authorId="0" shapeId="0">
      <text>
        <t>실측(계정 매핑 없음 — 모델값 직접) — = 영업이익(부문 미분리)</t>
      </text>
    </comment>
    <comment ref="AC37" authorId="0" shapeId="0">
      <text>
        <t>추정: = 매출액 × OPM(부문 미분리)
[ratio]</t>
      </text>
    </comment>
    <comment ref="AD37" authorId="0" shapeId="0">
      <text>
        <t>추정: = 매출액 × OPM(부문 미분리)
[ratio]</t>
      </text>
    </comment>
    <comment ref="AF37" authorId="0" shapeId="0">
      <text>
        <t>추정: = 매출액 × OPM(부문 미분리)
[ratio]</t>
      </text>
    </comment>
    <comment ref="AG37" authorId="0" shapeId="0">
      <text>
        <t>추정: = 매출액 × OPM(부문 미분리)
[ratio]</t>
      </text>
    </comment>
    <comment ref="AH37" authorId="0" shapeId="0">
      <text>
        <t>추정: = 매출액 × OPM(부문 미분리)
[ratio]</t>
      </text>
    </comment>
    <comment ref="AI37" authorId="0" shapeId="0">
      <text>
        <t>추정: = 매출액 × OPM(부문 미분리)
[ratio]</t>
      </text>
    </comment>
    <comment ref="AK37" authorId="0" shapeId="0">
      <text>
        <t>추정: = 매출액 × OPM(부문 미분리)
[ratio]</t>
      </text>
    </comment>
    <comment ref="AL37" authorId="0" shapeId="0">
      <text>
        <t>추정: = 매출액 × OPM(부문 미분리)
[ratio]</t>
      </text>
    </comment>
    <comment ref="AM37" authorId="0" shapeId="0">
      <text>
        <t>추정: = 매출액 × OPM(부문 미분리)
[ratio]</t>
      </text>
    </comment>
    <comment ref="AN37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assets/models/092460.json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9.6, "op_wape_pct": 13.8,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321.98, "rev_act": 316.68, "op_pred": 49.37, "op_act": 54.41}, {"q": "2025Q4", "rev_pred": 446.31, "rev_act": 395.91, "op_pred": 68.43, "op_act": 55.42}, {"q": "2026Q1", "rev_pred": 367.28, "rev_act": 393.57, "op_pred": 56.32, "op_act": 55.18}, {"q": "2026Q2", "rev_pred": 493.23, "rev_act": 428.36, "op_pred": 75.63,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14390</v>
      </c>
      <c r="AB15" s="19" t="n">
        <v>15050</v>
      </c>
      <c r="AC15" s="20" t="n">
        <v>16830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19500</v>
      </c>
      <c r="AB16" s="19" t="n">
        <v>22300</v>
      </c>
      <c r="AC16" s="20" t="n">
        <v>19040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13100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15961.9</v>
      </c>
      <c r="AB18" s="19" t="n">
        <v>18209.7</v>
      </c>
      <c r="AC18" s="20" t="n">
        <v>16607.7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0.303</v>
      </c>
      <c r="AD21" s="24" t="n">
        <v>0.303008</v>
      </c>
      <c r="AE21" s="25" t="n"/>
      <c r="AF21" s="24" t="n">
        <v>0.303006</v>
      </c>
      <c r="AG21" s="24" t="n">
        <v>0.30301</v>
      </c>
      <c r="AH21" s="24" t="n">
        <v>0.151516</v>
      </c>
      <c r="AI21" s="24" t="n">
        <v>0.151508</v>
      </c>
      <c r="AJ21" s="25" t="n"/>
      <c r="AK21" s="24" t="n">
        <v>0.151496</v>
      </c>
      <c r="AL21" s="24" t="n">
        <v>0.151498</v>
      </c>
      <c r="AM21" s="24" t="n">
        <v>0.07574500000000001</v>
      </c>
      <c r="AN21" s="24" t="n">
        <v>0.075752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0.160434</v>
      </c>
      <c r="AD22" s="24" t="n">
        <v>0.160425</v>
      </c>
      <c r="AE22" s="25">
        <f>IFERROR(subQ!AE8/subQ!AE5,"")</f>
        <v/>
      </c>
      <c r="AF22" s="24" t="n">
        <v>0.160427</v>
      </c>
      <c r="AG22" s="24" t="n">
        <v>0.16042</v>
      </c>
      <c r="AH22" s="24" t="n">
        <v>0.160413</v>
      </c>
      <c r="AI22" s="24" t="n">
        <v>0.160427</v>
      </c>
      <c r="AJ22" s="25">
        <f>IFERROR(subQ!AJ8/subQ!AJ5,"")</f>
        <v/>
      </c>
      <c r="AK22" s="24" t="n">
        <v>0.160421</v>
      </c>
      <c r="AL22" s="24" t="n">
        <v>0.160428</v>
      </c>
      <c r="AM22" s="24" t="n">
        <v>0.160426</v>
      </c>
      <c r="AN22" s="24" t="n">
        <v>0.160428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0.161743</v>
      </c>
      <c r="AD23" s="24" t="n">
        <v>0.161743</v>
      </c>
      <c r="AE23" s="25">
        <f>IFERROR(subQ!AE9/subQ!AE5,"")</f>
        <v/>
      </c>
      <c r="AF23" s="24" t="n">
        <v>0.161753</v>
      </c>
      <c r="AG23" s="24" t="n">
        <v>0.161746</v>
      </c>
      <c r="AH23" s="24" t="n">
        <v>0.161759</v>
      </c>
      <c r="AI23" s="24" t="n">
        <v>0.161757</v>
      </c>
      <c r="AJ23" s="25">
        <f>IFERROR(subQ!AJ9/subQ!AJ5,"")</f>
        <v/>
      </c>
      <c r="AK23" s="24" t="n">
        <v>0.161758</v>
      </c>
      <c r="AL23" s="24" t="n">
        <v>0.16175</v>
      </c>
      <c r="AM23" s="24" t="n">
        <v>0.161756</v>
      </c>
      <c r="AN23" s="24" t="n">
        <v>0.161743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-0.058207</v>
      </c>
      <c r="AD24" s="24" t="n">
        <v>0.155714</v>
      </c>
      <c r="AE24" s="25" t="n"/>
      <c r="AF24" s="24" t="n">
        <v>0.154066</v>
      </c>
      <c r="AG24" s="24" t="n">
        <v>-0.246039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0.57</v>
      </c>
      <c r="AD25" s="29" t="n">
        <v>1.33</v>
      </c>
      <c r="AE25" s="30">
        <f>subQ!AE11</f>
        <v/>
      </c>
      <c r="AF25" s="29" t="n">
        <v>2.29</v>
      </c>
      <c r="AG25" s="29" t="n">
        <v>3.26</v>
      </c>
      <c r="AH25" s="29" t="n">
        <v>2.9</v>
      </c>
      <c r="AI25" s="29" t="n">
        <v>3.8</v>
      </c>
      <c r="AJ25" s="30">
        <f>subQ!AJ11</f>
        <v/>
      </c>
      <c r="AK25" s="29" t="n">
        <v>4.93</v>
      </c>
      <c r="AL25" s="29" t="n">
        <v>6.07</v>
      </c>
      <c r="AM25" s="29" t="n">
        <v>5.9</v>
      </c>
      <c r="AN25" s="29" t="n">
        <v>6.91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-0.21</v>
      </c>
      <c r="AD27" s="29" t="n">
        <v>-0.21</v>
      </c>
      <c r="AE27" s="30">
        <f>subQ!AE13</f>
        <v/>
      </c>
      <c r="AF27" s="29" t="n">
        <v>-0.21</v>
      </c>
      <c r="AG27" s="29" t="n">
        <v>-0.21</v>
      </c>
      <c r="AH27" s="29" t="n">
        <v>-0.21</v>
      </c>
      <c r="AI27" s="29" t="n">
        <v>-0.21</v>
      </c>
      <c r="AJ27" s="30">
        <f>subQ!AJ13</f>
        <v/>
      </c>
      <c r="AK27" s="29" t="n">
        <v>-0.21</v>
      </c>
      <c r="AL27" s="29" t="n">
        <v>-0.21</v>
      </c>
      <c r="AM27" s="29" t="n">
        <v>-0.21</v>
      </c>
      <c r="AN27" s="29" t="n">
        <v>-0.21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0.14737</v>
      </c>
      <c r="AD28" s="24" t="n">
        <v>0.147452</v>
      </c>
      <c r="AE28" s="25">
        <f>IFERROR(subQ!AE15/subQ!AE14,"")</f>
        <v/>
      </c>
      <c r="AF28" s="24" t="n">
        <v>0.147477</v>
      </c>
      <c r="AG28" s="24" t="n">
        <v>0.147434</v>
      </c>
      <c r="AH28" s="24" t="n">
        <v>0.147454</v>
      </c>
      <c r="AI28" s="24" t="n">
        <v>0.147472</v>
      </c>
      <c r="AJ28" s="25">
        <f>IFERROR(subQ!AJ15/subQ!AJ14,"")</f>
        <v/>
      </c>
      <c r="AK28" s="24" t="n">
        <v>0.147446</v>
      </c>
      <c r="AL28" s="24" t="n">
        <v>0.147423</v>
      </c>
      <c r="AM28" s="24" t="n">
        <v>0.147448</v>
      </c>
      <c r="AN28" s="24" t="n">
        <v>0.147465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drv:감가상각비</t>
        </is>
      </c>
      <c r="B30" s="2" t="inlineStr">
        <is>
          <t>yoy</t>
        </is>
      </c>
      <c r="C30" t="inlineStr">
        <is>
          <t>감가상각비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drv:EBITDA</t>
        </is>
      </c>
      <c r="B31" s="2" t="inlineStr">
        <is>
          <t>yoy</t>
        </is>
      </c>
      <c r="C31" t="inlineStr">
        <is>
          <t>EBITDA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0.141221</v>
      </c>
      <c r="AI31" s="24" t="n">
        <v>0.143165</v>
      </c>
      <c r="AJ31" s="25" t="n"/>
      <c r="AK31" s="24" t="n">
        <v>0.143183</v>
      </c>
      <c r="AL31" s="24" t="n">
        <v>0.143803</v>
      </c>
      <c r="AM31" s="24" t="n">
        <v>0.07123599999999999</v>
      </c>
      <c r="AN31" s="24" t="n">
        <v>0.072129</v>
      </c>
      <c r="AO31" s="25" t="n"/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-3e-06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-0.0016</v>
      </c>
      <c r="AD33" s="29" t="n">
        <v>0</v>
      </c>
      <c r="AE33" s="30" t="n"/>
      <c r="AF33" s="29" t="n">
        <v>0</v>
      </c>
      <c r="AG33" s="29" t="n">
        <v>106.08</v>
      </c>
      <c r="AH33" s="29" t="n">
        <v>0</v>
      </c>
      <c r="AI33" s="29" t="n">
        <v>-0</v>
      </c>
      <c r="AJ33" s="30" t="n"/>
      <c r="AK33" s="29" t="n">
        <v>0</v>
      </c>
      <c r="AL33" s="29" t="n">
        <v>106.08</v>
      </c>
      <c r="AM33" s="29" t="n">
        <v>0</v>
      </c>
      <c r="AN33" s="29" t="n">
        <v>0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IFERROR(subQ!E23+subQ!G17-subQ!G23,"")</f>
        <v/>
      </c>
      <c r="H34" s="26">
        <f>IFERROR(subQ!G23+subQ!H17-subQ!H23,"")</f>
        <v/>
      </c>
      <c r="I34" s="26">
        <f>IFERROR(subQ!H23+subQ!I17-subQ!I23,"")</f>
        <v/>
      </c>
      <c r="J34" s="26">
        <f>IFERROR(subQ!I23+subQ!J17-subQ!J23,"")</f>
        <v/>
      </c>
      <c r="K34" s="27" t="n"/>
      <c r="L34" s="26">
        <f>IFERROR(subQ!J23+subQ!L17-subQ!L23,"")</f>
        <v/>
      </c>
      <c r="M34" s="26">
        <f>IFERROR(subQ!L23+subQ!M17-subQ!M23,"")</f>
        <v/>
      </c>
      <c r="N34" s="26">
        <f>IFERROR(subQ!M23+subQ!N17-subQ!N23,"")</f>
        <v/>
      </c>
      <c r="O34" s="26">
        <f>IFERROR(subQ!N23+subQ!O17-subQ!O23,"")</f>
        <v/>
      </c>
      <c r="P34" s="27" t="n"/>
      <c r="Q34" s="26">
        <f>IFERROR(subQ!O23+subQ!Q17-subQ!Q23,"")</f>
        <v/>
      </c>
      <c r="R34" s="26">
        <f>IFERROR(subQ!Q23+subQ!R17-subQ!R23,"")</f>
        <v/>
      </c>
      <c r="S34" s="26">
        <f>IFERROR(subQ!R23+subQ!S17-subQ!S23,"")</f>
        <v/>
      </c>
      <c r="T34" s="26">
        <f>IFERROR(subQ!S23+subQ!T17-subQ!T23,"")</f>
        <v/>
      </c>
      <c r="U34" s="27" t="n"/>
      <c r="V34" s="26">
        <f>IFERROR(subQ!T23+subQ!V17-subQ!V23,"")</f>
        <v/>
      </c>
      <c r="W34" s="26">
        <f>IFERROR(subQ!V23+subQ!W17-subQ!W23,"")</f>
        <v/>
      </c>
      <c r="X34" s="26">
        <f>IFERROR(subQ!W23+subQ!X17-subQ!X23,"")</f>
        <v/>
      </c>
      <c r="Y34" s="26">
        <f>IFERROR(subQ!X23+subQ!Y17-subQ!Y23,"")</f>
        <v/>
      </c>
      <c r="Z34" s="27" t="n"/>
      <c r="AA34" s="26">
        <f>IFERROR(subQ!Y23+subQ!AA17-subQ!AA23,"")</f>
        <v/>
      </c>
      <c r="AB34" s="28">
        <f>IFERROR(subQ!AA23+subQ!AB17-subQ!AB23,"")</f>
        <v/>
      </c>
      <c r="AC34" s="29" t="n">
        <v>-0.0016</v>
      </c>
      <c r="AD34" s="29" t="n">
        <v>0</v>
      </c>
      <c r="AE34" s="30" t="n"/>
      <c r="AF34" s="29" t="n">
        <v>0</v>
      </c>
      <c r="AG34" s="29" t="n">
        <v>106.08</v>
      </c>
      <c r="AH34" s="29" t="n">
        <v>0</v>
      </c>
      <c r="AI34" s="29" t="n">
        <v>-0</v>
      </c>
      <c r="AJ34" s="30" t="n"/>
      <c r="AK34" s="29" t="n">
        <v>0</v>
      </c>
      <c r="AL34" s="29" t="n">
        <v>106.08</v>
      </c>
      <c r="AM34" s="29" t="n">
        <v>0</v>
      </c>
      <c r="AN34" s="29" t="n">
        <v>0</v>
      </c>
      <c r="AO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8e-06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-0.186463</v>
      </c>
      <c r="AD36" s="24" t="n">
        <v>-0.288816</v>
      </c>
      <c r="AE36" s="25" t="n"/>
      <c r="AF36" s="24" t="n">
        <v>-0.408359</v>
      </c>
      <c r="AG36" s="24" t="n">
        <v>0.25238</v>
      </c>
      <c r="AH36" s="24" t="n">
        <v>-0.515621</v>
      </c>
      <c r="AI36" s="24" t="n">
        <v>-1.333647</v>
      </c>
      <c r="AJ36" s="25" t="n"/>
      <c r="AK36" s="24" t="n">
        <v>4.020226</v>
      </c>
      <c r="AL36" s="24" t="n">
        <v>-0.116649</v>
      </c>
      <c r="AM36" s="24" t="n">
        <v>0.799109</v>
      </c>
      <c r="AN36" s="24" t="n">
        <v>0.553237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0.204808</v>
      </c>
      <c r="AD37" s="24" t="n">
        <v>0.214207</v>
      </c>
      <c r="AE37" s="25" t="n"/>
      <c r="AF37" s="24" t="n">
        <v>0.177396</v>
      </c>
      <c r="AG37" s="24" t="n">
        <v>-0.055093</v>
      </c>
      <c r="AH37" s="24" t="n">
        <v>0.149182</v>
      </c>
      <c r="AI37" s="24" t="n">
        <v>0.162638</v>
      </c>
      <c r="AJ37" s="25" t="n"/>
      <c r="AK37" s="24" t="n">
        <v>0.140694</v>
      </c>
      <c r="AL37" s="24" t="n">
        <v>-0.017966</v>
      </c>
      <c r="AM37" s="24" t="n">
        <v>0.110711</v>
      </c>
      <c r="AN37" s="24" t="n">
        <v>0.124152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yoy</t>
        </is>
      </c>
      <c r="C42" t="inlineStr">
        <is>
          <t>DPS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0</v>
      </c>
      <c r="AE42" s="25" t="n"/>
      <c r="AF42" s="31" t="n"/>
      <c r="AG42" s="31" t="n"/>
      <c r="AH42" s="31" t="n"/>
      <c r="AI42" s="24" t="n">
        <v>0</v>
      </c>
      <c r="AJ42" s="25" t="n"/>
      <c r="AK42" s="31" t="n"/>
      <c r="AL42" s="31" t="n"/>
      <c r="AM42" s="31" t="n"/>
      <c r="AN42" s="24" t="n">
        <v>0</v>
      </c>
      <c r="AO42" s="25" t="n"/>
    </row>
    <row r="43">
      <c r="A43" s="12" t="inlineStr">
        <is>
          <t>drv:PER</t>
        </is>
      </c>
      <c r="B43" s="2" t="inlineStr">
        <is>
          <t>yoy</t>
        </is>
      </c>
      <c r="C43" t="inlineStr">
        <is>
          <t>PER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0.214683</v>
      </c>
      <c r="AD43" s="24" t="n">
        <v>-0.07162300000000001</v>
      </c>
      <c r="AE43" s="25" t="n"/>
      <c r="AF43" s="24" t="n">
        <v>-0.027158</v>
      </c>
      <c r="AG43" s="24" t="n">
        <v>-0.073703</v>
      </c>
      <c r="AH43" s="24" t="n">
        <v>-0.101648</v>
      </c>
      <c r="AI43" s="24" t="n">
        <v>-0.083008</v>
      </c>
      <c r="AJ43" s="25" t="n"/>
      <c r="AK43" s="24" t="n">
        <v>-0.101695</v>
      </c>
      <c r="AL43" s="24" t="n">
        <v>-0.152259</v>
      </c>
      <c r="AM43" s="24" t="n">
        <v>-0.139653</v>
      </c>
      <c r="AN43" s="24" t="n">
        <v>-0.124601</v>
      </c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0.245455</v>
      </c>
      <c r="AD44" s="24" t="n">
        <v>-0.07692300000000001</v>
      </c>
      <c r="AE44" s="25" t="n"/>
      <c r="AF44" s="24" t="n">
        <v>-0.085714</v>
      </c>
      <c r="AG44" s="24" t="n">
        <v>-0.156863</v>
      </c>
      <c r="AH44" s="24" t="n">
        <v>-0.087591</v>
      </c>
      <c r="AI44" s="24" t="n">
        <v>-0.083333</v>
      </c>
      <c r="AJ44" s="25" t="n"/>
      <c r="AK44" s="24" t="n">
        <v>-0.085938</v>
      </c>
      <c r="AL44" s="24" t="n">
        <v>-0.09302299999999999</v>
      </c>
      <c r="AM44" s="24" t="n">
        <v>-0.08799999999999999</v>
      </c>
      <c r="AN44" s="24" t="n">
        <v>-0.090909</v>
      </c>
      <c r="AO44" s="25" t="n"/>
    </row>
    <row r="45">
      <c r="A45" s="12" t="inlineStr">
        <is>
          <t>drv:매출전사</t>
        </is>
      </c>
      <c r="B45" s="2" t="inlineStr">
        <is>
          <t>ratio</t>
        </is>
      </c>
      <c r="C45" t="inlineStr">
        <is>
          <t>매출전사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1</v>
      </c>
      <c r="AD45" s="24" t="n">
        <v>1</v>
      </c>
      <c r="AE45" s="25">
        <f>IFERROR(subQ!AE36/subQ!AE5,"")</f>
        <v/>
      </c>
      <c r="AF45" s="24" t="n">
        <v>1</v>
      </c>
      <c r="AG45" s="24" t="n">
        <v>1</v>
      </c>
      <c r="AH45" s="24" t="n">
        <v>1</v>
      </c>
      <c r="AI45" s="24" t="n">
        <v>1</v>
      </c>
      <c r="AJ45" s="25">
        <f>IFERROR(subQ!AJ36/subQ!AJ5,"")</f>
        <v/>
      </c>
      <c r="AK45" s="24" t="n">
        <v>1</v>
      </c>
      <c r="AL45" s="24" t="n">
        <v>1</v>
      </c>
      <c r="AM45" s="24" t="n">
        <v>1</v>
      </c>
      <c r="AN45" s="24" t="n">
        <v>1</v>
      </c>
      <c r="AO45" s="25">
        <f>IFERROR(subQ!AO36/subQ!AO5,"")</f>
        <v/>
      </c>
    </row>
    <row r="46">
      <c r="A46" s="12" t="inlineStr">
        <is>
          <t>drv:OP전사</t>
        </is>
      </c>
      <c r="B46" s="2" t="inlineStr">
        <is>
          <t>ratio</t>
        </is>
      </c>
      <c r="C46" t="inlineStr">
        <is>
          <t>OP전사 마진(/매출전사)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0.161743</v>
      </c>
      <c r="AD46" s="24" t="n">
        <v>0.161743</v>
      </c>
      <c r="AE46" s="25">
        <f>IFERROR(subQ!AE37/subQ!AE36,"")</f>
        <v/>
      </c>
      <c r="AF46" s="24" t="n">
        <v>0.161753</v>
      </c>
      <c r="AG46" s="24" t="n">
        <v>0.161746</v>
      </c>
      <c r="AH46" s="24" t="n">
        <v>0.161759</v>
      </c>
      <c r="AI46" s="24" t="n">
        <v>0.161757</v>
      </c>
      <c r="AJ46" s="25">
        <f>IFERROR(subQ!AJ37/subQ!AJ36,"")</f>
        <v/>
      </c>
      <c r="AK46" s="24" t="n">
        <v>0.161758</v>
      </c>
      <c r="AL46" s="24" t="n">
        <v>0.16175</v>
      </c>
      <c r="AM46" s="24" t="n">
        <v>0.161756</v>
      </c>
      <c r="AN46" s="24" t="n">
        <v>0.161743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16740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8.5</v>
      </c>
      <c r="E52" s="2" t="inlineStr">
        <is>
          <t>PER 밴드 하단(배) — hist_quarterly(분기 평균가 ÷ TTM EPS, 16분기, 25/50/75 백분위)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9.300000000000001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11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0.1474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0.1604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0.4162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4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4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4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4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4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4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4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4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4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4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4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4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4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4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4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4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4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4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4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4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4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4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4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4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4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4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4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4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4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4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4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4" t="n">
        <v>0</v>
      </c>
      <c r="P11" s="9" t="n"/>
      <c r="U11" s="9" t="n"/>
      <c r="Y11" s="18" t="n">
        <v>77.23</v>
      </c>
      <c r="Z11" s="34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4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4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4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4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4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4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4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4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4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4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4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4" t="n">
        <v>1.2</v>
      </c>
      <c r="L14" s="18" t="n">
        <v>1.2</v>
      </c>
      <c r="P14" s="9" t="n"/>
      <c r="U14" s="9" t="n"/>
      <c r="Y14" s="18" t="n">
        <v>20797.37</v>
      </c>
      <c r="Z14" s="34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4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4" t="n">
        <v>1.2</v>
      </c>
      <c r="L15" s="18" t="n">
        <v>1.2</v>
      </c>
      <c r="P15" s="9" t="n"/>
      <c r="U15" s="9" t="n"/>
      <c r="Y15" s="18" t="n">
        <v>20797.37</v>
      </c>
      <c r="Z15" s="34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4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4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4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4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4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4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4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4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4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4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4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4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4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4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4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4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4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4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4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4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4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4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4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4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4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4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4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4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4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4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4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4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4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4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4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4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4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4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4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4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4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4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4" t="n">
        <v>373.93</v>
      </c>
      <c r="R24" s="18" t="n">
        <v>489.97</v>
      </c>
      <c r="U24" s="9" t="n"/>
      <c r="Y24" s="18" t="n">
        <v>778.09</v>
      </c>
      <c r="Z24" s="34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4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4" t="n">
        <v>9033.23</v>
      </c>
      <c r="L25" s="18" t="n">
        <v>16033.23</v>
      </c>
      <c r="M25" s="18" t="n">
        <v>14840</v>
      </c>
      <c r="P25" s="9" t="n"/>
      <c r="U25" s="9" t="n"/>
      <c r="Y25" s="18" t="n">
        <v>6770.83</v>
      </c>
      <c r="Z25" s="34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4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4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4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4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4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116.9</v>
      </c>
      <c r="F27" s="34" t="n">
        <v>116.9</v>
      </c>
      <c r="G27" s="18" t="n">
        <v>115.02</v>
      </c>
      <c r="H27" s="18" t="n">
        <v>120.15</v>
      </c>
      <c r="I27" s="18" t="n">
        <v>128.81</v>
      </c>
      <c r="J27" s="18" t="n">
        <v>121.27</v>
      </c>
      <c r="K27" s="34" t="n">
        <v>121.27</v>
      </c>
      <c r="L27" s="18" t="n">
        <v>121.91</v>
      </c>
      <c r="M27" s="18" t="n">
        <v>93.03</v>
      </c>
      <c r="N27" s="18" t="n">
        <v>69.91</v>
      </c>
      <c r="O27" s="18" t="n">
        <v>48.45</v>
      </c>
      <c r="P27" s="34" t="n">
        <v>48.45</v>
      </c>
      <c r="Q27" s="18" t="n">
        <v>30.65</v>
      </c>
      <c r="R27" s="18" t="n">
        <v>24.93</v>
      </c>
      <c r="S27" s="18" t="n">
        <v>27.19</v>
      </c>
      <c r="T27" s="18" t="n">
        <v>21.35</v>
      </c>
      <c r="U27" s="34" t="n">
        <v>21.35</v>
      </c>
      <c r="V27" s="18" t="n">
        <v>15.47</v>
      </c>
      <c r="W27" s="18" t="n">
        <v>11.49</v>
      </c>
      <c r="X27" s="18" t="n">
        <v>9.48</v>
      </c>
      <c r="Y27" s="18" t="n">
        <v>7.45</v>
      </c>
      <c r="Z27" s="34" t="n">
        <v>7.45</v>
      </c>
      <c r="AA27" s="18" t="n">
        <v>5.41</v>
      </c>
      <c r="AB27" s="19" t="n">
        <v>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291.42</v>
      </c>
      <c r="F28" s="34" t="n">
        <v>291.42</v>
      </c>
      <c r="G28" s="18" t="n">
        <v>261.36</v>
      </c>
      <c r="H28" s="18" t="n">
        <v>260.87</v>
      </c>
      <c r="I28" s="18" t="n">
        <v>258.78</v>
      </c>
      <c r="J28" s="18" t="n">
        <v>200.68</v>
      </c>
      <c r="K28" s="34" t="n">
        <v>200.68</v>
      </c>
      <c r="L28" s="18" t="n">
        <v>167.29</v>
      </c>
      <c r="M28" s="18" t="n">
        <v>129.45</v>
      </c>
      <c r="N28" s="18" t="n">
        <v>99.2</v>
      </c>
      <c r="O28" s="18" t="n">
        <v>70.31999999999999</v>
      </c>
      <c r="P28" s="34" t="n">
        <v>70.31999999999999</v>
      </c>
      <c r="Q28" s="18" t="n">
        <v>45.26</v>
      </c>
      <c r="R28" s="18" t="n">
        <v>36.24</v>
      </c>
      <c r="S28" s="18" t="n">
        <v>41.35</v>
      </c>
      <c r="T28" s="18" t="n">
        <v>32.12</v>
      </c>
      <c r="U28" s="34" t="n">
        <v>32.12</v>
      </c>
      <c r="V28" s="18" t="n">
        <v>22.84</v>
      </c>
      <c r="W28" s="18" t="n">
        <v>17.5</v>
      </c>
      <c r="X28" s="18" t="n">
        <v>14.14</v>
      </c>
      <c r="Y28" s="18" t="n">
        <v>10.76</v>
      </c>
      <c r="Z28" s="34" t="n">
        <v>10.76</v>
      </c>
      <c r="AA28" s="18" t="n">
        <v>7.35</v>
      </c>
      <c r="AB28" s="19" t="n">
        <v>6.01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116.9</v>
      </c>
      <c r="F29" s="34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4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4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4" t="n">
        <v>21.35</v>
      </c>
      <c r="V29" s="18" t="n">
        <v>15.47</v>
      </c>
      <c r="W29" s="18" t="n">
        <v>11.49</v>
      </c>
      <c r="X29" s="18" t="n">
        <v>9.48</v>
      </c>
      <c r="Y29" s="18" t="n">
        <v>94.66</v>
      </c>
      <c r="Z29" s="34" t="n">
        <v>94.66</v>
      </c>
      <c r="AA29" s="18" t="n">
        <v>427.2</v>
      </c>
      <c r="AB29" s="19" t="n">
        <v>1186.8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2219.48</v>
      </c>
      <c r="F30" s="34" t="n">
        <v>2219.48</v>
      </c>
      <c r="G30" s="18" t="n">
        <v>4650.21</v>
      </c>
      <c r="H30" s="18" t="n">
        <v>6127.52</v>
      </c>
      <c r="I30" s="18" t="n">
        <v>6745.35</v>
      </c>
      <c r="J30" s="18" t="n">
        <v>5941.44</v>
      </c>
      <c r="K30" s="34" t="n">
        <v>5941.44</v>
      </c>
      <c r="L30" s="18" t="n">
        <v>6758.68</v>
      </c>
      <c r="M30" s="18" t="n">
        <v>7695.16</v>
      </c>
      <c r="N30" s="18" t="n">
        <v>7703.24</v>
      </c>
      <c r="O30" s="18" t="n">
        <v>7907.82</v>
      </c>
      <c r="P30" s="34" t="n">
        <v>7907.82</v>
      </c>
      <c r="Q30" s="18" t="n">
        <v>13948.41</v>
      </c>
      <c r="R30" s="18" t="n">
        <v>12721.02</v>
      </c>
      <c r="S30" s="18" t="n">
        <v>13192.53</v>
      </c>
      <c r="T30" s="18" t="n">
        <v>11920.63</v>
      </c>
      <c r="U30" s="34" t="n">
        <v>11920.63</v>
      </c>
      <c r="V30" s="18" t="n">
        <v>14342.4</v>
      </c>
      <c r="W30" s="18" t="n">
        <v>12089</v>
      </c>
      <c r="X30" s="18" t="n">
        <v>12725.88</v>
      </c>
      <c r="Y30" s="18" t="n">
        <v>15994.97</v>
      </c>
      <c r="Z30" s="34" t="n">
        <v>15994.97</v>
      </c>
      <c r="AA30" s="18" t="n">
        <v>15174.74</v>
      </c>
      <c r="AB30" s="19" t="n">
        <v>15560.94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42119.03</v>
      </c>
      <c r="F31" s="34" t="n">
        <v>42119.03</v>
      </c>
      <c r="G31" s="18" t="n">
        <v>36088.36</v>
      </c>
      <c r="H31" s="18" t="n">
        <v>35369.35</v>
      </c>
      <c r="I31" s="18" t="n">
        <v>34340.85</v>
      </c>
      <c r="J31" s="18" t="n">
        <v>33211.29</v>
      </c>
      <c r="K31" s="34" t="n">
        <v>33211.29</v>
      </c>
      <c r="L31" s="18" t="n">
        <v>20186.31</v>
      </c>
      <c r="M31" s="18" t="n">
        <v>10981.38</v>
      </c>
      <c r="N31" s="18" t="n">
        <v>10243.57</v>
      </c>
      <c r="O31" s="18" t="n">
        <v>9525.120000000001</v>
      </c>
      <c r="P31" s="34" t="n">
        <v>9525.120000000001</v>
      </c>
      <c r="Q31" s="18" t="n">
        <v>8907.530000000001</v>
      </c>
      <c r="R31" s="18" t="n">
        <v>8874.01</v>
      </c>
      <c r="S31" s="18" t="n">
        <v>8146.39</v>
      </c>
      <c r="T31" s="18" t="n">
        <v>6926.41</v>
      </c>
      <c r="U31" s="34" t="n">
        <v>6926.41</v>
      </c>
      <c r="V31" s="18" t="n">
        <v>721.28</v>
      </c>
      <c r="W31" s="18" t="n">
        <v>2122.63</v>
      </c>
      <c r="X31" s="18" t="n">
        <v>2633.58</v>
      </c>
      <c r="Y31" s="18" t="n">
        <v>1559.94</v>
      </c>
      <c r="Z31" s="34" t="n">
        <v>1559.94</v>
      </c>
      <c r="AA31" s="18" t="n">
        <v>57799.02</v>
      </c>
      <c r="AB31" s="19" t="n">
        <v>47976.78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200.3</v>
      </c>
      <c r="F32" s="34" t="n">
        <v>200.3</v>
      </c>
      <c r="G32" s="18" t="n">
        <v>206.13</v>
      </c>
      <c r="H32" s="18" t="n">
        <v>501.04</v>
      </c>
      <c r="I32" s="18" t="n">
        <v>491.6</v>
      </c>
      <c r="J32" s="18" t="n">
        <v>420.91</v>
      </c>
      <c r="K32" s="34" t="n">
        <v>420.91</v>
      </c>
      <c r="L32" s="18" t="n">
        <v>423.22</v>
      </c>
      <c r="M32" s="18" t="n">
        <v>499.98</v>
      </c>
      <c r="N32" s="18" t="n">
        <v>500.95</v>
      </c>
      <c r="O32" s="18" t="n">
        <v>499.92</v>
      </c>
      <c r="P32" s="34" t="n">
        <v>499.92</v>
      </c>
      <c r="Q32" s="18" t="n">
        <v>599.59</v>
      </c>
      <c r="R32" s="18" t="n">
        <v>630.99</v>
      </c>
      <c r="S32" s="18" t="n">
        <v>630.49</v>
      </c>
      <c r="T32" s="18" t="n">
        <v>438.58</v>
      </c>
      <c r="U32" s="34" t="n">
        <v>438.58</v>
      </c>
      <c r="V32" s="18" t="n">
        <v>438.7</v>
      </c>
      <c r="W32" s="18" t="n">
        <v>434.95</v>
      </c>
      <c r="X32" s="18" t="n">
        <v>447.25</v>
      </c>
      <c r="Y32" s="18" t="n">
        <v>449.63</v>
      </c>
      <c r="Z32" s="34" t="n">
        <v>449.63</v>
      </c>
      <c r="AA32" s="18" t="n">
        <v>453.81</v>
      </c>
      <c r="AB32" s="19" t="n">
        <v>456.29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41744.2</v>
      </c>
      <c r="F33" s="34" t="n">
        <v>41744.2</v>
      </c>
      <c r="G33" s="18" t="n">
        <v>35735.89</v>
      </c>
      <c r="H33" s="18" t="n">
        <v>34727.59</v>
      </c>
      <c r="I33" s="18" t="n">
        <v>33719.28</v>
      </c>
      <c r="J33" s="18" t="n">
        <v>32710.97</v>
      </c>
      <c r="K33" s="34" t="n">
        <v>32710.97</v>
      </c>
      <c r="L33" s="18" t="n">
        <v>19702.66</v>
      </c>
      <c r="M33" s="18" t="n">
        <v>10423.33</v>
      </c>
      <c r="N33" s="18" t="n">
        <v>9713.33</v>
      </c>
      <c r="O33" s="18" t="n">
        <v>9003.33</v>
      </c>
      <c r="P33" s="34" t="n">
        <v>9003.33</v>
      </c>
      <c r="Q33" s="18" t="n">
        <v>8293.33</v>
      </c>
      <c r="R33" s="18" t="n">
        <v>7583.33</v>
      </c>
      <c r="U33" s="9" t="n"/>
      <c r="Y33" s="18" t="n">
        <v>702.5</v>
      </c>
      <c r="Z33" s="34" t="n">
        <v>702.5</v>
      </c>
      <c r="AA33" s="18" t="n">
        <v>56333.33</v>
      </c>
      <c r="AB33" s="19" t="n">
        <v>46333.33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174.52</v>
      </c>
      <c r="F34" s="34" t="n">
        <v>174.52</v>
      </c>
      <c r="G34" s="18" t="n">
        <v>146.34</v>
      </c>
      <c r="H34" s="18" t="n">
        <v>140.72</v>
      </c>
      <c r="I34" s="18" t="n">
        <v>129.97</v>
      </c>
      <c r="J34" s="18" t="n">
        <v>79.41</v>
      </c>
      <c r="K34" s="34" t="n">
        <v>79.41</v>
      </c>
      <c r="L34" s="18" t="n">
        <v>45.38</v>
      </c>
      <c r="M34" s="18" t="n">
        <v>36.42</v>
      </c>
      <c r="N34" s="18" t="n">
        <v>29.29</v>
      </c>
      <c r="O34" s="18" t="n">
        <v>21.87</v>
      </c>
      <c r="P34" s="34" t="n">
        <v>21.87</v>
      </c>
      <c r="Q34" s="18" t="n">
        <v>14.61</v>
      </c>
      <c r="R34" s="18" t="n">
        <v>11.31</v>
      </c>
      <c r="S34" s="18" t="n">
        <v>14.16</v>
      </c>
      <c r="T34" s="18" t="n">
        <v>10.77</v>
      </c>
      <c r="U34" s="34" t="n">
        <v>10.77</v>
      </c>
      <c r="V34" s="18" t="n">
        <v>7.37</v>
      </c>
      <c r="W34" s="18" t="n">
        <v>6.01</v>
      </c>
      <c r="X34" s="18" t="n">
        <v>4.66</v>
      </c>
      <c r="Y34" s="18" t="n">
        <v>3.31</v>
      </c>
      <c r="Z34" s="34" t="n">
        <v>3.31</v>
      </c>
      <c r="AA34" s="18" t="n">
        <v>1.94</v>
      </c>
      <c r="AB34" s="19" t="n">
        <v>0.57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174.52</v>
      </c>
      <c r="F35" s="34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4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4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4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4" t="n">
        <v>3.31</v>
      </c>
      <c r="AA35" s="18" t="n">
        <v>1.94</v>
      </c>
      <c r="AB35" s="19" t="n">
        <v>84.72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84926.00999999999</v>
      </c>
      <c r="F36" s="34" t="n">
        <v>84926.00999999999</v>
      </c>
      <c r="G36" s="18" t="n">
        <v>91807.14</v>
      </c>
      <c r="H36" s="18" t="n">
        <v>92098.23</v>
      </c>
      <c r="I36" s="18" t="n">
        <v>86766.03</v>
      </c>
      <c r="J36" s="18" t="n">
        <v>81687.59</v>
      </c>
      <c r="K36" s="34" t="n">
        <v>81687.59</v>
      </c>
      <c r="L36" s="18" t="n">
        <v>77565.57000000001</v>
      </c>
      <c r="M36" s="18" t="n">
        <v>61269.99</v>
      </c>
      <c r="N36" s="18" t="n">
        <v>59636.47</v>
      </c>
      <c r="O36" s="18" t="n">
        <v>59319.01</v>
      </c>
      <c r="P36" s="34" t="n">
        <v>59319.01</v>
      </c>
      <c r="Q36" s="18" t="n">
        <v>58944.95</v>
      </c>
      <c r="R36" s="18" t="n">
        <v>50856.73</v>
      </c>
      <c r="S36" s="18" t="n">
        <v>37305.52</v>
      </c>
      <c r="T36" s="18" t="n">
        <v>36564.29</v>
      </c>
      <c r="U36" s="34" t="n">
        <v>36564.29</v>
      </c>
      <c r="V36" s="18" t="n">
        <v>44284.55</v>
      </c>
      <c r="W36" s="18" t="n">
        <v>35936.23</v>
      </c>
      <c r="X36" s="18" t="n">
        <v>37289.09</v>
      </c>
      <c r="Y36" s="18" t="n">
        <v>43044.61</v>
      </c>
      <c r="Z36" s="34" t="n">
        <v>43044.61</v>
      </c>
      <c r="AA36" s="18" t="n">
        <v>105896.4</v>
      </c>
      <c r="AB36" s="19" t="n">
        <v>94680.33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93715.35000000001</v>
      </c>
      <c r="F37" s="34" t="n">
        <v>93715.35000000001</v>
      </c>
      <c r="G37" s="18" t="n">
        <v>94585.89</v>
      </c>
      <c r="H37" s="18" t="n">
        <v>97175.86</v>
      </c>
      <c r="I37" s="18" t="n">
        <v>99024.77</v>
      </c>
      <c r="J37" s="18" t="n">
        <v>97380.44</v>
      </c>
      <c r="K37" s="34" t="n">
        <v>97380.44</v>
      </c>
      <c r="L37" s="18" t="n">
        <v>96364.77</v>
      </c>
      <c r="M37" s="18" t="n">
        <v>164832.58</v>
      </c>
      <c r="N37" s="18" t="n">
        <v>164684.56</v>
      </c>
      <c r="O37" s="18" t="n">
        <v>162256.35</v>
      </c>
      <c r="P37" s="34" t="n">
        <v>162256.35</v>
      </c>
      <c r="Q37" s="18" t="n">
        <v>161771.13</v>
      </c>
      <c r="R37" s="18" t="n">
        <v>165512.85</v>
      </c>
      <c r="S37" s="18" t="n">
        <v>168042.35</v>
      </c>
      <c r="T37" s="18" t="n">
        <v>171717.86</v>
      </c>
      <c r="U37" s="34" t="n">
        <v>171717.86</v>
      </c>
      <c r="V37" s="18" t="n">
        <v>174480.35</v>
      </c>
      <c r="W37" s="18" t="n">
        <v>184848.21</v>
      </c>
      <c r="X37" s="18" t="n">
        <v>192952.22</v>
      </c>
      <c r="Y37" s="18" t="n">
        <v>198690.92</v>
      </c>
      <c r="Z37" s="34" t="n">
        <v>198690.92</v>
      </c>
      <c r="AA37" s="18" t="n">
        <v>195256.86</v>
      </c>
      <c r="AB37" s="19" t="n">
        <v>203915.84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4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4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4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4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4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4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4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4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4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4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579.83</v>
      </c>
      <c r="F40" s="34" t="n">
        <v>579.83</v>
      </c>
      <c r="G40" s="18" t="n">
        <v>1115.05</v>
      </c>
      <c r="H40" s="18" t="n">
        <v>850.9299999999999</v>
      </c>
      <c r="I40" s="18" t="n">
        <v>1147.59</v>
      </c>
      <c r="J40" s="18" t="n">
        <v>358.69</v>
      </c>
      <c r="K40" s="34" t="n">
        <v>358.69</v>
      </c>
      <c r="L40" s="18" t="n">
        <v>692.23</v>
      </c>
      <c r="M40" s="18" t="n">
        <v>341.82</v>
      </c>
      <c r="N40" s="18" t="n">
        <v>481.36</v>
      </c>
      <c r="O40" s="18" t="n">
        <v>326.84</v>
      </c>
      <c r="P40" s="34" t="n">
        <v>326.84</v>
      </c>
      <c r="Q40" s="18" t="n">
        <v>475.31</v>
      </c>
      <c r="R40" s="18" t="n">
        <v>619.55</v>
      </c>
      <c r="S40" s="18" t="n">
        <v>567.49</v>
      </c>
      <c r="T40" s="18" t="n">
        <v>971.5599999999999</v>
      </c>
      <c r="U40" s="34" t="n">
        <v>971.5599999999999</v>
      </c>
      <c r="V40" s="18" t="n">
        <v>986.9400000000001</v>
      </c>
      <c r="W40" s="18" t="n">
        <v>556.77</v>
      </c>
      <c r="X40" s="18" t="n">
        <v>831.3099999999999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62875.88</v>
      </c>
      <c r="F41" s="34" t="n">
        <v>62875.88</v>
      </c>
      <c r="G41" s="18" t="n">
        <v>63211.19</v>
      </c>
      <c r="H41" s="18" t="n">
        <v>66158.55</v>
      </c>
      <c r="I41" s="18" t="n">
        <v>69573.33</v>
      </c>
      <c r="J41" s="18" t="n">
        <v>69305.21000000001</v>
      </c>
      <c r="K41" s="34" t="n">
        <v>69305.21000000001</v>
      </c>
      <c r="L41" s="18" t="n">
        <v>78267.94</v>
      </c>
      <c r="M41" s="18" t="n">
        <v>144165.25</v>
      </c>
      <c r="N41" s="18" t="n">
        <v>143891.45</v>
      </c>
      <c r="O41" s="18" t="n">
        <v>146582.75</v>
      </c>
      <c r="P41" s="34" t="n">
        <v>146582.75</v>
      </c>
      <c r="Q41" s="18" t="n">
        <v>145949.06</v>
      </c>
      <c r="R41" s="18" t="n">
        <v>149546.53</v>
      </c>
      <c r="S41" s="18" t="n">
        <v>152128.1</v>
      </c>
      <c r="T41" s="18" t="n">
        <v>155399.54</v>
      </c>
      <c r="U41" s="34" t="n">
        <v>155399.54</v>
      </c>
      <c r="V41" s="18" t="n">
        <v>156173.14</v>
      </c>
      <c r="W41" s="18" t="n">
        <v>162687.65</v>
      </c>
      <c r="X41" s="18" t="n">
        <v>170517.12</v>
      </c>
      <c r="Y41" s="18" t="n">
        <v>175985.82</v>
      </c>
      <c r="Z41" s="34" t="n">
        <v>175985.82</v>
      </c>
      <c r="AA41" s="18" t="n">
        <v>172057.69</v>
      </c>
      <c r="AB41" s="19" t="n">
        <v>180421.5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비지배주주지분</t>
        </is>
      </c>
      <c r="E42" s="18" t="n">
        <v>-89.12</v>
      </c>
      <c r="F42" s="34" t="n">
        <v>-89.12</v>
      </c>
      <c r="G42" s="18" t="n">
        <v>-116.1</v>
      </c>
      <c r="H42" s="18" t="n">
        <v>-149.57</v>
      </c>
      <c r="I42" s="18" t="n">
        <v>-162.87</v>
      </c>
      <c r="J42" s="18" t="n">
        <v>-212.43</v>
      </c>
      <c r="K42" s="34" t="n">
        <v>-212.43</v>
      </c>
      <c r="L42" s="18" t="n">
        <v>-264.87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93626.23</v>
      </c>
      <c r="F43" s="34" t="n">
        <v>93626.23</v>
      </c>
      <c r="G43" s="18" t="n">
        <v>94469.78</v>
      </c>
      <c r="H43" s="18" t="n">
        <v>97026.3</v>
      </c>
      <c r="I43" s="18" t="n">
        <v>98861.89999999999</v>
      </c>
      <c r="J43" s="18" t="n">
        <v>97168</v>
      </c>
      <c r="K43" s="34" t="n">
        <v>97168</v>
      </c>
      <c r="L43" s="18" t="n">
        <v>96099.89999999999</v>
      </c>
      <c r="M43" s="18" t="n">
        <v>164832.58</v>
      </c>
      <c r="N43" s="18" t="n">
        <v>164684.56</v>
      </c>
      <c r="O43" s="18" t="n">
        <v>162256.35</v>
      </c>
      <c r="P43" s="34" t="n">
        <v>162256.35</v>
      </c>
      <c r="Q43" s="18" t="n">
        <v>161771.13</v>
      </c>
      <c r="R43" s="18" t="n">
        <v>165512.85</v>
      </c>
      <c r="S43" s="18" t="n">
        <v>168042.35</v>
      </c>
      <c r="T43" s="18" t="n">
        <v>171717.86</v>
      </c>
      <c r="U43" s="34" t="n">
        <v>171717.86</v>
      </c>
      <c r="V43" s="18" t="n">
        <v>174480.35</v>
      </c>
      <c r="W43" s="18" t="n">
        <v>184848.21</v>
      </c>
      <c r="X43" s="18" t="n">
        <v>192952.22</v>
      </c>
      <c r="Y43" s="18" t="n">
        <v>198690.92</v>
      </c>
      <c r="Z43" s="34" t="n">
        <v>198690.92</v>
      </c>
      <c r="AA43" s="18" t="n">
        <v>195256.86</v>
      </c>
      <c r="AB43" s="19" t="n">
        <v>203915.84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178552.25</v>
      </c>
      <c r="F44" s="34" t="n">
        <v>178552.25</v>
      </c>
      <c r="G44" s="18" t="n">
        <v>186276.92</v>
      </c>
      <c r="H44" s="18" t="n">
        <v>189124.53</v>
      </c>
      <c r="I44" s="18" t="n">
        <v>185627.93</v>
      </c>
      <c r="J44" s="18" t="n">
        <v>178855.6</v>
      </c>
      <c r="K44" s="34" t="n">
        <v>178855.6</v>
      </c>
      <c r="L44" s="18" t="n">
        <v>173665.48</v>
      </c>
      <c r="M44" s="18" t="n">
        <v>226102.57</v>
      </c>
      <c r="N44" s="18" t="n">
        <v>224321.03</v>
      </c>
      <c r="O44" s="18" t="n">
        <v>221575.36</v>
      </c>
      <c r="P44" s="34" t="n">
        <v>221575.36</v>
      </c>
      <c r="Q44" s="18" t="n">
        <v>220716.08</v>
      </c>
      <c r="R44" s="18" t="n">
        <v>216369.58</v>
      </c>
      <c r="S44" s="18" t="n">
        <v>205347.87</v>
      </c>
      <c r="T44" s="18" t="n">
        <v>208282.15</v>
      </c>
      <c r="U44" s="34" t="n">
        <v>208282.15</v>
      </c>
      <c r="V44" s="18" t="n">
        <v>218764.9</v>
      </c>
      <c r="W44" s="18" t="n">
        <v>220784.45</v>
      </c>
      <c r="X44" s="18" t="n">
        <v>230241.31</v>
      </c>
      <c r="Y44" s="18" t="n">
        <v>241735.53</v>
      </c>
      <c r="Z44" s="34" t="n">
        <v>241735.53</v>
      </c>
      <c r="AA44" s="18" t="n">
        <v>301153.25</v>
      </c>
      <c r="AB44" s="19" t="n">
        <v>298596.17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74872.95</v>
      </c>
      <c r="F45" s="34" t="n">
        <v>74872.95</v>
      </c>
      <c r="G45" s="18" t="n">
        <v>74085.42</v>
      </c>
      <c r="H45" s="18" t="n">
        <v>74201.69</v>
      </c>
      <c r="I45" s="18" t="n">
        <v>68622.85000000001</v>
      </c>
      <c r="J45" s="18" t="n">
        <v>64168.97</v>
      </c>
      <c r="K45" s="34" t="n">
        <v>64168.97</v>
      </c>
      <c r="L45" s="18" t="n">
        <v>55763.42</v>
      </c>
      <c r="M45" s="18" t="n">
        <v>25571.61</v>
      </c>
      <c r="N45" s="18" t="n">
        <v>10704.8</v>
      </c>
      <c r="O45" s="18" t="n">
        <v>9377.26</v>
      </c>
      <c r="P45" s="34" t="n">
        <v>9377.26</v>
      </c>
      <c r="Q45" s="18" t="n">
        <v>8293.33</v>
      </c>
      <c r="R45" s="18" t="n">
        <v>8073.3</v>
      </c>
      <c r="U45" s="9" t="n"/>
      <c r="Y45" s="18" t="n">
        <v>8251.42</v>
      </c>
      <c r="Z45" s="34" t="n">
        <v>8251.42</v>
      </c>
      <c r="AA45" s="18" t="n">
        <v>60790.85</v>
      </c>
      <c r="AB45" s="19" t="n">
        <v>57101.55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60920.87</v>
      </c>
      <c r="F46" s="34" t="n">
        <v>60920.87</v>
      </c>
      <c r="G46" s="18" t="n">
        <v>61310.99</v>
      </c>
      <c r="H46" s="18" t="n">
        <v>60500.2</v>
      </c>
      <c r="I46" s="18" t="n">
        <v>54754.47</v>
      </c>
      <c r="J46" s="18" t="n">
        <v>46399.06</v>
      </c>
      <c r="K46" s="34" t="n">
        <v>46399.06</v>
      </c>
      <c r="L46" s="18" t="n">
        <v>42485.59</v>
      </c>
      <c r="M46" s="18" t="n">
        <v>-1760.66</v>
      </c>
      <c r="N46" s="18" t="n">
        <v>-27869.68</v>
      </c>
      <c r="O46" s="18" t="n">
        <v>-21797.11</v>
      </c>
      <c r="P46" s="34" t="n">
        <v>-21797.11</v>
      </c>
      <c r="Q46" s="18" t="n">
        <v>-3367.05</v>
      </c>
      <c r="R46" s="18" t="n">
        <v>-5407.15</v>
      </c>
      <c r="U46" s="9" t="n"/>
      <c r="Y46" s="18" t="n">
        <v>-48585.63</v>
      </c>
      <c r="Z46" s="34" t="n">
        <v>-48585.63</v>
      </c>
      <c r="AA46" s="18" t="n">
        <v>33366.78</v>
      </c>
      <c r="AB46" s="19" t="n">
        <v>30685.75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14629.24</v>
      </c>
      <c r="F47" s="34" t="n">
        <v>14629.24</v>
      </c>
      <c r="G47" s="18" t="n">
        <v>13417.72</v>
      </c>
      <c r="H47" s="18" t="n">
        <v>14522.59</v>
      </c>
      <c r="I47" s="18" t="n">
        <v>14765.71</v>
      </c>
      <c r="J47" s="18" t="n">
        <v>17771.11</v>
      </c>
      <c r="K47" s="34" t="n">
        <v>17771.11</v>
      </c>
      <c r="L47" s="18" t="n">
        <v>13279.03</v>
      </c>
      <c r="M47" s="18" t="n">
        <v>27332.27</v>
      </c>
      <c r="N47" s="18" t="n">
        <v>38574.48</v>
      </c>
      <c r="O47" s="18" t="n">
        <v>31174.37</v>
      </c>
      <c r="P47" s="34" t="n">
        <v>31174.37</v>
      </c>
      <c r="Q47" s="18" t="n">
        <v>11660.38</v>
      </c>
      <c r="R47" s="18" t="n">
        <v>13480.45</v>
      </c>
      <c r="S47" s="18" t="n">
        <v>8986.33</v>
      </c>
      <c r="T47" s="18" t="n">
        <v>15725.01</v>
      </c>
      <c r="U47" s="34" t="n">
        <v>15725.01</v>
      </c>
      <c r="V47" s="18" t="n">
        <v>16945.96</v>
      </c>
      <c r="W47" s="18" t="n">
        <v>25708.45</v>
      </c>
      <c r="X47" s="18" t="n">
        <v>21024</v>
      </c>
      <c r="Y47" s="18" t="n">
        <v>77634.42</v>
      </c>
      <c r="Z47" s="34" t="n">
        <v>77634.42</v>
      </c>
      <c r="AA47" s="18" t="n">
        <v>30137.62</v>
      </c>
      <c r="AB47" s="19" t="n">
        <v>27937.24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4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4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4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4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991.47</v>
      </c>
      <c r="O49" s="18" t="n">
        <v>373.93</v>
      </c>
      <c r="P49" s="34" t="n">
        <v>373.93</v>
      </c>
      <c r="R49" s="18" t="n">
        <v>489.97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F50" s="9" t="n"/>
      <c r="K50" s="9" t="n"/>
      <c r="P50" s="9" t="n"/>
      <c r="R50" s="18" t="n">
        <v>648.37</v>
      </c>
      <c r="S50" s="18" t="n">
        <v>628.41</v>
      </c>
      <c r="T50" s="18" t="n">
        <v>313.72</v>
      </c>
      <c r="U50" s="34" t="n">
        <v>313.72</v>
      </c>
      <c r="V50" s="18" t="n">
        <v>275.21</v>
      </c>
      <c r="W50" s="18" t="n">
        <v>871.67</v>
      </c>
      <c r="X50" s="18" t="n">
        <v>871.67</v>
      </c>
      <c r="Y50" s="18" t="n">
        <v>404.51</v>
      </c>
      <c r="Z50" s="34" t="n">
        <v>404.51</v>
      </c>
      <c r="AA50" s="18" t="n">
        <v>1009.93</v>
      </c>
      <c r="AB50" s="19" t="n">
        <v>1102.43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U51" s="9" t="n"/>
      <c r="Y51" s="18" t="n">
        <v>12005.61</v>
      </c>
      <c r="Z51" s="34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사용권자산</t>
        </is>
      </c>
      <c r="F52" s="9" t="n"/>
      <c r="K52" s="9" t="n"/>
      <c r="P52" s="9" t="n"/>
      <c r="U52" s="9" t="n"/>
      <c r="Y52" s="18" t="n">
        <v>1407.07</v>
      </c>
      <c r="Z52" s="34" t="n">
        <v>1407.07</v>
      </c>
      <c r="AA52" s="18" t="n">
        <v>1487.93</v>
      </c>
      <c r="AB52" s="19" t="n">
        <v>1531.34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기타비유동자산</t>
        </is>
      </c>
      <c r="F53" s="9" t="n"/>
      <c r="K53" s="9" t="n"/>
      <c r="P53" s="9" t="n"/>
      <c r="U53" s="9" t="n"/>
      <c r="Y53" s="18" t="n">
        <v>1407.07</v>
      </c>
      <c r="Z53" s="34" t="n">
        <v>1407.07</v>
      </c>
      <c r="AA53" s="18" t="n">
        <v>1487.93</v>
      </c>
      <c r="AB53" s="19" t="n">
        <v>1531.34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P54" s="9" t="n"/>
      <c r="U54" s="9" t="n"/>
      <c r="Y54" s="18" t="n">
        <v>87.20999999999999</v>
      </c>
      <c r="Z54" s="34" t="n">
        <v>87.20999999999999</v>
      </c>
      <c r="AA54" s="18" t="n">
        <v>421.79</v>
      </c>
      <c r="AB54" s="19" t="n">
        <v>1181.36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1101.31</v>
      </c>
      <c r="Z55" s="34" t="n">
        <v>1101.31</v>
      </c>
      <c r="AA55" s="18" t="n">
        <v>1595.37</v>
      </c>
      <c r="AB55" s="19" t="n">
        <v>1890.55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P56" s="9" t="n"/>
      <c r="U56" s="9" t="n"/>
      <c r="Z56" s="9" t="n"/>
      <c r="AB56" s="19" t="n">
        <v>84.15000000000001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4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4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4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4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4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4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4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4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4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4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4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4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4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4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4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4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4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4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4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4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4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4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4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4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4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4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4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4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4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4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4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4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4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4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4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4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4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4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4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4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4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4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4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4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4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4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4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4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4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4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4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4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4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4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4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4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4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4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4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4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4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4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4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4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4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4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4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4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4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4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4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4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4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4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4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4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4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4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4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4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4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4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4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4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4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4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4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4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4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4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4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4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4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4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4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4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4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4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4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4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4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4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4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4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4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4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4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4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4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4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4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4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4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4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4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4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4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4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4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4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4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4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4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4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4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4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4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4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4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4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4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4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4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4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4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4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4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4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4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4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4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4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4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4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4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4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4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4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4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4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4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4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4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4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4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4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4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4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4" t="n">
        <v>675.96</v>
      </c>
      <c r="G14" s="18" t="n">
        <v>642.09</v>
      </c>
      <c r="H14" s="18" t="n">
        <v>819.9</v>
      </c>
      <c r="I14" s="18" t="n">
        <v>896.13</v>
      </c>
      <c r="K14" s="9" t="n"/>
      <c r="P14" s="9" t="n"/>
      <c r="U14" s="9" t="n"/>
      <c r="Y14" s="18" t="n">
        <v>20797.37</v>
      </c>
      <c r="Z14" s="34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4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4" t="n">
        <v>6205.02</v>
      </c>
      <c r="L15" s="18" t="n">
        <v>6205.02</v>
      </c>
      <c r="M15" s="18" t="n">
        <v>6205.02</v>
      </c>
      <c r="N15" s="18" t="n">
        <v>6205.02</v>
      </c>
      <c r="O15" s="18" t="n">
        <v>4313.44</v>
      </c>
      <c r="P15" s="34" t="n">
        <v>4313.44</v>
      </c>
      <c r="Q15" s="18" t="n">
        <v>4313.44</v>
      </c>
      <c r="R15" s="18" t="n">
        <v>4313.44</v>
      </c>
      <c r="S15" s="18" t="n">
        <v>4313.44</v>
      </c>
      <c r="T15" s="18" t="n">
        <v>4313.44</v>
      </c>
      <c r="U15" s="34" t="n">
        <v>4313.44</v>
      </c>
      <c r="V15" s="18" t="n">
        <v>4313.44</v>
      </c>
      <c r="W15" s="18" t="n">
        <v>4313.44</v>
      </c>
      <c r="X15" s="18" t="n">
        <v>4313.44</v>
      </c>
      <c r="Y15" s="18" t="n">
        <v>25110.81</v>
      </c>
      <c r="Z15" s="34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4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4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4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4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4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4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4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4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4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4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4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4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4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4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4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4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4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4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4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4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4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4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4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4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4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4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4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4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4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4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4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4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4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4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4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4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4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4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4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4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4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4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4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4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4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4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4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4" t="n">
        <v>373.93</v>
      </c>
      <c r="R25" s="18" t="n">
        <v>489.97</v>
      </c>
      <c r="U25" s="9" t="n"/>
      <c r="Y25" s="18" t="n">
        <v>778.09</v>
      </c>
      <c r="Z25" s="34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4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4" t="n">
        <v>8999.99</v>
      </c>
      <c r="L26" s="18" t="n">
        <v>15999.99</v>
      </c>
      <c r="M26" s="18" t="n">
        <v>14840</v>
      </c>
      <c r="P26" s="9" t="n"/>
      <c r="U26" s="9" t="n"/>
      <c r="Y26" s="18" t="n">
        <v>6770.83</v>
      </c>
      <c r="Z26" s="34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101.82</v>
      </c>
      <c r="F27" s="34" t="n">
        <v>101.82</v>
      </c>
      <c r="G27" s="18" t="n">
        <v>99.81999999999999</v>
      </c>
      <c r="H27" s="18" t="n">
        <v>97.81999999999999</v>
      </c>
      <c r="I27" s="18" t="n">
        <v>106.32</v>
      </c>
      <c r="J27" s="18" t="n">
        <v>113.86</v>
      </c>
      <c r="K27" s="34" t="n">
        <v>113.86</v>
      </c>
      <c r="L27" s="18" t="n">
        <v>114.44</v>
      </c>
      <c r="M27" s="18" t="n">
        <v>93.03</v>
      </c>
      <c r="N27" s="18" t="n">
        <v>69.91</v>
      </c>
      <c r="O27" s="18" t="n">
        <v>48.45</v>
      </c>
      <c r="P27" s="34" t="n">
        <v>48.45</v>
      </c>
      <c r="Q27" s="18" t="n">
        <v>30.65</v>
      </c>
      <c r="R27" s="18" t="n">
        <v>24.93</v>
      </c>
      <c r="S27" s="18" t="n">
        <v>27.19</v>
      </c>
      <c r="T27" s="18" t="n">
        <v>21.35</v>
      </c>
      <c r="U27" s="34" t="n">
        <v>21.35</v>
      </c>
      <c r="V27" s="18" t="n">
        <v>15.47</v>
      </c>
      <c r="W27" s="18" t="n">
        <v>11.49</v>
      </c>
      <c r="X27" s="18" t="n">
        <v>9.48</v>
      </c>
      <c r="Y27" s="18" t="n">
        <v>7.45</v>
      </c>
      <c r="Z27" s="34" t="n">
        <v>7.45</v>
      </c>
      <c r="AA27" s="18" t="n">
        <v>5.41</v>
      </c>
      <c r="AB27" s="19" t="n">
        <v>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257.97</v>
      </c>
      <c r="F28" s="34" t="n">
        <v>257.97</v>
      </c>
      <c r="G28" s="18" t="n">
        <v>231.63</v>
      </c>
      <c r="H28" s="18" t="n">
        <v>205.12</v>
      </c>
      <c r="I28" s="18" t="n">
        <v>208.71</v>
      </c>
      <c r="J28" s="18" t="n">
        <v>191.38</v>
      </c>
      <c r="K28" s="34" t="n">
        <v>191.38</v>
      </c>
      <c r="L28" s="18" t="n">
        <v>159.82</v>
      </c>
      <c r="M28" s="18" t="n">
        <v>129.45</v>
      </c>
      <c r="N28" s="18" t="n">
        <v>99.2</v>
      </c>
      <c r="O28" s="18" t="n">
        <v>70.31999999999999</v>
      </c>
      <c r="P28" s="34" t="n">
        <v>70.31999999999999</v>
      </c>
      <c r="Q28" s="18" t="n">
        <v>45.26</v>
      </c>
      <c r="R28" s="18" t="n">
        <v>36.24</v>
      </c>
      <c r="S28" s="18" t="n">
        <v>41.35</v>
      </c>
      <c r="T28" s="18" t="n">
        <v>32.12</v>
      </c>
      <c r="U28" s="34" t="n">
        <v>32.12</v>
      </c>
      <c r="V28" s="18" t="n">
        <v>22.84</v>
      </c>
      <c r="W28" s="18" t="n">
        <v>17.5</v>
      </c>
      <c r="X28" s="18" t="n">
        <v>14.14</v>
      </c>
      <c r="Y28" s="18" t="n">
        <v>10.76</v>
      </c>
      <c r="Z28" s="34" t="n">
        <v>10.76</v>
      </c>
      <c r="AA28" s="18" t="n">
        <v>7.35</v>
      </c>
      <c r="AB28" s="19" t="n">
        <v>6.01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101.82</v>
      </c>
      <c r="F29" s="34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4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4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4" t="n">
        <v>21.35</v>
      </c>
      <c r="V29" s="18" t="n">
        <v>15.47</v>
      </c>
      <c r="W29" s="18" t="n">
        <v>11.49</v>
      </c>
      <c r="X29" s="18" t="n">
        <v>9.48</v>
      </c>
      <c r="Y29" s="18" t="n">
        <v>94.66</v>
      </c>
      <c r="Z29" s="34" t="n">
        <v>94.66</v>
      </c>
      <c r="AA29" s="18" t="n">
        <v>427.2</v>
      </c>
      <c r="AB29" s="19" t="n">
        <v>1186.8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1859.14</v>
      </c>
      <c r="F30" s="34" t="n">
        <v>1859.14</v>
      </c>
      <c r="G30" s="18" t="n">
        <v>4434.55</v>
      </c>
      <c r="H30" s="18" t="n">
        <v>5890.13</v>
      </c>
      <c r="I30" s="18" t="n">
        <v>6331.24</v>
      </c>
      <c r="J30" s="18" t="n">
        <v>5763.94</v>
      </c>
      <c r="K30" s="34" t="n">
        <v>5763.94</v>
      </c>
      <c r="L30" s="18" t="n">
        <v>6376.49</v>
      </c>
      <c r="M30" s="18" t="n">
        <v>7429.75</v>
      </c>
      <c r="N30" s="18" t="n">
        <v>7400.42</v>
      </c>
      <c r="O30" s="18" t="n">
        <v>7743.53</v>
      </c>
      <c r="P30" s="34" t="n">
        <v>7743.53</v>
      </c>
      <c r="Q30" s="18" t="n">
        <v>13663.03</v>
      </c>
      <c r="R30" s="18" t="n">
        <v>12554.51</v>
      </c>
      <c r="S30" s="18" t="n">
        <v>12914.64</v>
      </c>
      <c r="T30" s="18" t="n">
        <v>11739.13</v>
      </c>
      <c r="U30" s="34" t="n">
        <v>11739.13</v>
      </c>
      <c r="V30" s="18" t="n">
        <v>14056.52</v>
      </c>
      <c r="W30" s="18" t="n">
        <v>11926.02</v>
      </c>
      <c r="X30" s="18" t="n">
        <v>12452.94</v>
      </c>
      <c r="Y30" s="18" t="n">
        <v>15835.93</v>
      </c>
      <c r="Z30" s="34" t="n">
        <v>15835.93</v>
      </c>
      <c r="AA30" s="18" t="n">
        <v>14844.39</v>
      </c>
      <c r="AB30" s="19" t="n">
        <v>14920.63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41939.27</v>
      </c>
      <c r="F31" s="34" t="n">
        <v>41939.27</v>
      </c>
      <c r="G31" s="18" t="n">
        <v>35914.93</v>
      </c>
      <c r="H31" s="18" t="n">
        <v>35130.43</v>
      </c>
      <c r="I31" s="18" t="n">
        <v>34125.52</v>
      </c>
      <c r="J31" s="18" t="n">
        <v>33110.65</v>
      </c>
      <c r="K31" s="34" t="n">
        <v>33110.65</v>
      </c>
      <c r="L31" s="18" t="n">
        <v>20093.56</v>
      </c>
      <c r="M31" s="18" t="n">
        <v>10927.06</v>
      </c>
      <c r="N31" s="18" t="n">
        <v>10188.29</v>
      </c>
      <c r="O31" s="18" t="n">
        <v>9470.870000000001</v>
      </c>
      <c r="P31" s="34" t="n">
        <v>9470.870000000001</v>
      </c>
      <c r="Q31" s="18" t="n">
        <v>8851.809999999999</v>
      </c>
      <c r="R31" s="18" t="n">
        <v>8816.879999999999</v>
      </c>
      <c r="S31" s="18" t="n">
        <v>8089.77</v>
      </c>
      <c r="T31" s="18" t="n">
        <v>6866.03</v>
      </c>
      <c r="U31" s="34" t="n">
        <v>6866.03</v>
      </c>
      <c r="V31" s="18" t="n">
        <v>660.78</v>
      </c>
      <c r="W31" s="18" t="n">
        <v>2065.88</v>
      </c>
      <c r="X31" s="18" t="n">
        <v>2574.53</v>
      </c>
      <c r="Y31" s="18" t="n">
        <v>1498.51</v>
      </c>
      <c r="Z31" s="34" t="n">
        <v>1498.51</v>
      </c>
      <c r="AA31" s="18" t="n">
        <v>57733.41</v>
      </c>
      <c r="AB31" s="19" t="n">
        <v>47908.69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116.48</v>
      </c>
      <c r="F32" s="34" t="n">
        <v>116.48</v>
      </c>
      <c r="G32" s="18" t="n">
        <v>116.48</v>
      </c>
      <c r="H32" s="18" t="n">
        <v>356.48</v>
      </c>
      <c r="I32" s="18" t="n">
        <v>356.48</v>
      </c>
      <c r="J32" s="18" t="n">
        <v>366.48</v>
      </c>
      <c r="K32" s="34" t="n">
        <v>366.48</v>
      </c>
      <c r="L32" s="18" t="n">
        <v>366.48</v>
      </c>
      <c r="M32" s="18" t="n">
        <v>445.66</v>
      </c>
      <c r="N32" s="18" t="n">
        <v>445.66</v>
      </c>
      <c r="O32" s="18" t="n">
        <v>445.66</v>
      </c>
      <c r="P32" s="34" t="n">
        <v>445.66</v>
      </c>
      <c r="Q32" s="18" t="n">
        <v>543.86</v>
      </c>
      <c r="R32" s="18" t="n">
        <v>573.86</v>
      </c>
      <c r="S32" s="18" t="n">
        <v>573.86</v>
      </c>
      <c r="T32" s="18" t="n">
        <v>378.2</v>
      </c>
      <c r="U32" s="34" t="n">
        <v>378.2</v>
      </c>
      <c r="V32" s="18" t="n">
        <v>378.2</v>
      </c>
      <c r="W32" s="18" t="n">
        <v>378.2</v>
      </c>
      <c r="X32" s="18" t="n">
        <v>388.2</v>
      </c>
      <c r="Y32" s="18" t="n">
        <v>388.2</v>
      </c>
      <c r="Z32" s="34" t="n">
        <v>388.2</v>
      </c>
      <c r="AA32" s="18" t="n">
        <v>388.2</v>
      </c>
      <c r="AB32" s="19" t="n">
        <v>388.2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41666.64</v>
      </c>
      <c r="F33" s="34" t="n">
        <v>41666.64</v>
      </c>
      <c r="G33" s="18" t="n">
        <v>35666.64</v>
      </c>
      <c r="H33" s="18" t="n">
        <v>34666.65</v>
      </c>
      <c r="I33" s="18" t="n">
        <v>33666.65</v>
      </c>
      <c r="J33" s="18" t="n">
        <v>32666.65</v>
      </c>
      <c r="K33" s="34" t="n">
        <v>32666.65</v>
      </c>
      <c r="L33" s="18" t="n">
        <v>19666.65</v>
      </c>
      <c r="M33" s="18" t="n">
        <v>10423.33</v>
      </c>
      <c r="N33" s="18" t="n">
        <v>9713.33</v>
      </c>
      <c r="O33" s="18" t="n">
        <v>9003.33</v>
      </c>
      <c r="P33" s="34" t="n">
        <v>9003.33</v>
      </c>
      <c r="Q33" s="18" t="n">
        <v>8293.33</v>
      </c>
      <c r="R33" s="18" t="n">
        <v>7583.33</v>
      </c>
      <c r="U33" s="9" t="n"/>
      <c r="Y33" s="18" t="n">
        <v>702.5</v>
      </c>
      <c r="Z33" s="34" t="n">
        <v>702.5</v>
      </c>
      <c r="AA33" s="18" t="n">
        <v>56333.33</v>
      </c>
      <c r="AB33" s="19" t="n">
        <v>46333.33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156.15</v>
      </c>
      <c r="F34" s="34" t="n">
        <v>156.15</v>
      </c>
      <c r="G34" s="18" t="n">
        <v>131.81</v>
      </c>
      <c r="H34" s="18" t="n">
        <v>107.3</v>
      </c>
      <c r="I34" s="18" t="n">
        <v>102.39</v>
      </c>
      <c r="J34" s="18" t="n">
        <v>77.52</v>
      </c>
      <c r="K34" s="34" t="n">
        <v>77.52</v>
      </c>
      <c r="L34" s="18" t="n">
        <v>45.38</v>
      </c>
      <c r="M34" s="18" t="n">
        <v>36.42</v>
      </c>
      <c r="N34" s="18" t="n">
        <v>29.29</v>
      </c>
      <c r="O34" s="18" t="n">
        <v>21.87</v>
      </c>
      <c r="P34" s="34" t="n">
        <v>21.87</v>
      </c>
      <c r="Q34" s="18" t="n">
        <v>14.61</v>
      </c>
      <c r="R34" s="18" t="n">
        <v>11.31</v>
      </c>
      <c r="S34" s="18" t="n">
        <v>14.16</v>
      </c>
      <c r="T34" s="18" t="n">
        <v>10.77</v>
      </c>
      <c r="U34" s="34" t="n">
        <v>10.77</v>
      </c>
      <c r="V34" s="18" t="n">
        <v>7.37</v>
      </c>
      <c r="W34" s="18" t="n">
        <v>6.01</v>
      </c>
      <c r="X34" s="18" t="n">
        <v>4.66</v>
      </c>
      <c r="Y34" s="18" t="n">
        <v>3.31</v>
      </c>
      <c r="Z34" s="34" t="n">
        <v>3.31</v>
      </c>
      <c r="AA34" s="18" t="n">
        <v>1.94</v>
      </c>
      <c r="AB34" s="19" t="n">
        <v>0.57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156.15</v>
      </c>
      <c r="F35" s="34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4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4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4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4" t="n">
        <v>3.31</v>
      </c>
      <c r="AA35" s="18" t="n">
        <v>1.94</v>
      </c>
      <c r="AB35" s="19" t="n">
        <v>84.72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83523.87</v>
      </c>
      <c r="F36" s="34" t="n">
        <v>83523.87</v>
      </c>
      <c r="G36" s="18" t="n">
        <v>90492.38</v>
      </c>
      <c r="H36" s="18" t="n">
        <v>90765.7</v>
      </c>
      <c r="I36" s="18" t="n">
        <v>85033.75999999999</v>
      </c>
      <c r="J36" s="18" t="n">
        <v>80007.81</v>
      </c>
      <c r="K36" s="34" t="n">
        <v>80007.81</v>
      </c>
      <c r="L36" s="18" t="n">
        <v>75444.03</v>
      </c>
      <c r="M36" s="18" t="n">
        <v>60657.48</v>
      </c>
      <c r="N36" s="18" t="n">
        <v>58844.29</v>
      </c>
      <c r="O36" s="18" t="n">
        <v>58718.92</v>
      </c>
      <c r="P36" s="34" t="n">
        <v>58718.92</v>
      </c>
      <c r="Q36" s="18" t="n">
        <v>58264.92</v>
      </c>
      <c r="R36" s="18" t="n">
        <v>50274.12</v>
      </c>
      <c r="S36" s="18" t="n">
        <v>36274.42</v>
      </c>
      <c r="T36" s="18" t="n">
        <v>35689.6</v>
      </c>
      <c r="U36" s="34" t="n">
        <v>35689.6</v>
      </c>
      <c r="V36" s="18" t="n">
        <v>43606.64</v>
      </c>
      <c r="W36" s="18" t="n">
        <v>34523.61</v>
      </c>
      <c r="X36" s="18" t="n">
        <v>35658.23</v>
      </c>
      <c r="Y36" s="18" t="n">
        <v>40601.45</v>
      </c>
      <c r="Z36" s="34" t="n">
        <v>40601.45</v>
      </c>
      <c r="AA36" s="18" t="n">
        <v>105371.97</v>
      </c>
      <c r="AB36" s="19" t="n">
        <v>91423.85000000001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8808.73</v>
      </c>
      <c r="F37" s="34" t="n">
        <v>8808.73</v>
      </c>
      <c r="G37" s="18" t="n">
        <v>8808.73</v>
      </c>
      <c r="H37" s="18" t="n">
        <v>8808.73</v>
      </c>
      <c r="I37" s="18" t="n">
        <v>8808.73</v>
      </c>
      <c r="J37" s="18" t="n">
        <v>8808.73</v>
      </c>
      <c r="K37" s="34" t="n">
        <v>8808.73</v>
      </c>
      <c r="L37" s="18" t="n">
        <v>8808.73</v>
      </c>
      <c r="M37" s="18" t="n">
        <v>8808.73</v>
      </c>
      <c r="N37" s="18" t="n">
        <v>8808.73</v>
      </c>
      <c r="O37" s="18" t="n">
        <v>8808.73</v>
      </c>
      <c r="P37" s="34" t="n">
        <v>8808.73</v>
      </c>
      <c r="Q37" s="18" t="n">
        <v>8808.73</v>
      </c>
      <c r="R37" s="18" t="n">
        <v>8808.73</v>
      </c>
      <c r="S37" s="18" t="n">
        <v>8808.73</v>
      </c>
      <c r="T37" s="18" t="n">
        <v>8808.73</v>
      </c>
      <c r="U37" s="34" t="n">
        <v>8808.73</v>
      </c>
      <c r="V37" s="18" t="n">
        <v>8808.73</v>
      </c>
      <c r="W37" s="18" t="n">
        <v>8808.73</v>
      </c>
      <c r="X37" s="18" t="n">
        <v>8808.73</v>
      </c>
      <c r="Y37" s="18" t="n">
        <v>8808.73</v>
      </c>
      <c r="Z37" s="34" t="n">
        <v>8808.73</v>
      </c>
      <c r="AA37" s="18" t="n">
        <v>8808.73</v>
      </c>
      <c r="AB37" s="19" t="n">
        <v>8808.73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21450.9</v>
      </c>
      <c r="F38" s="34" t="n">
        <v>21450.9</v>
      </c>
      <c r="G38" s="18" t="n">
        <v>21450.9</v>
      </c>
      <c r="H38" s="18" t="n">
        <v>21357.65</v>
      </c>
      <c r="I38" s="18" t="n">
        <v>19495.13</v>
      </c>
      <c r="J38" s="18" t="n">
        <v>18907.81</v>
      </c>
      <c r="K38" s="34" t="n">
        <v>18907.81</v>
      </c>
      <c r="L38" s="18" t="n">
        <v>8595.870000000001</v>
      </c>
      <c r="M38" s="18" t="n">
        <v>11516.78</v>
      </c>
      <c r="N38" s="18" t="n">
        <v>11503.01</v>
      </c>
      <c r="O38" s="18" t="n">
        <v>6538.03</v>
      </c>
      <c r="P38" s="34" t="n">
        <v>6538.03</v>
      </c>
      <c r="Q38" s="18" t="n">
        <v>6538.03</v>
      </c>
      <c r="R38" s="18" t="n">
        <v>6538.03</v>
      </c>
      <c r="S38" s="18" t="n">
        <v>6538.03</v>
      </c>
      <c r="T38" s="18" t="n">
        <v>6538.03</v>
      </c>
      <c r="U38" s="34" t="n">
        <v>6538.03</v>
      </c>
      <c r="V38" s="18" t="n">
        <v>8511.540000000001</v>
      </c>
      <c r="W38" s="18" t="n">
        <v>12795.06</v>
      </c>
      <c r="X38" s="18" t="n">
        <v>12795.06</v>
      </c>
      <c r="Y38" s="18" t="n">
        <v>12795.06</v>
      </c>
      <c r="Z38" s="34" t="n">
        <v>12795.06</v>
      </c>
      <c r="AA38" s="18" t="n">
        <v>12795.06</v>
      </c>
      <c r="AB38" s="19" t="n">
        <v>12795.06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59930</v>
      </c>
      <c r="F39" s="34" t="n">
        <v>59930</v>
      </c>
      <c r="G39" s="18" t="n">
        <v>60230.69</v>
      </c>
      <c r="H39" s="18" t="n">
        <v>63840.09</v>
      </c>
      <c r="I39" s="18" t="n">
        <v>66795.37</v>
      </c>
      <c r="J39" s="18" t="n">
        <v>68413.75999999999</v>
      </c>
      <c r="K39" s="34" t="n">
        <v>68413.75999999999</v>
      </c>
      <c r="L39" s="18" t="n">
        <v>77532.07000000001</v>
      </c>
      <c r="M39" s="18" t="n">
        <v>142958.8</v>
      </c>
      <c r="N39" s="18" t="n">
        <v>142481.67</v>
      </c>
      <c r="O39" s="18" t="n">
        <v>145862.2</v>
      </c>
      <c r="P39" s="34" t="n">
        <v>145862.2</v>
      </c>
      <c r="Q39" s="18" t="n">
        <v>145174.22</v>
      </c>
      <c r="R39" s="18" t="n">
        <v>148637.68</v>
      </c>
      <c r="S39" s="18" t="n">
        <v>151064.41</v>
      </c>
      <c r="T39" s="18" t="n">
        <v>154259.65</v>
      </c>
      <c r="U39" s="34" t="n">
        <v>154259.65</v>
      </c>
      <c r="V39" s="18" t="n">
        <v>154758.92</v>
      </c>
      <c r="W39" s="18" t="n">
        <v>161437.36</v>
      </c>
      <c r="X39" s="18" t="n">
        <v>169325.59</v>
      </c>
      <c r="Y39" s="18" t="n">
        <v>175072.43</v>
      </c>
      <c r="Z39" s="34" t="n">
        <v>175072.43</v>
      </c>
      <c r="AA39" s="18" t="n">
        <v>170279.96</v>
      </c>
      <c r="AB39" s="19" t="n">
        <v>178616.29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90189.64</v>
      </c>
      <c r="F40" s="34" t="n">
        <v>90189.64</v>
      </c>
      <c r="G40" s="18" t="n">
        <v>90490.32000000001</v>
      </c>
      <c r="H40" s="18" t="n">
        <v>94006.48</v>
      </c>
      <c r="I40" s="18" t="n">
        <v>95099.23</v>
      </c>
      <c r="J40" s="18" t="n">
        <v>96130.3</v>
      </c>
      <c r="K40" s="34" t="n">
        <v>96130.3</v>
      </c>
      <c r="L40" s="18" t="n">
        <v>94936.67</v>
      </c>
      <c r="M40" s="18" t="n">
        <v>163284.32</v>
      </c>
      <c r="N40" s="18" t="n">
        <v>162793.42</v>
      </c>
      <c r="O40" s="18" t="n">
        <v>161208.96</v>
      </c>
      <c r="P40" s="34" t="n">
        <v>161208.96</v>
      </c>
      <c r="Q40" s="18" t="n">
        <v>160520.98</v>
      </c>
      <c r="R40" s="18" t="n">
        <v>163984.44</v>
      </c>
      <c r="S40" s="18" t="n">
        <v>166411.17</v>
      </c>
      <c r="T40" s="18" t="n">
        <v>169606.41</v>
      </c>
      <c r="U40" s="34" t="n">
        <v>169606.41</v>
      </c>
      <c r="V40" s="18" t="n">
        <v>172079.19</v>
      </c>
      <c r="W40" s="18" t="n">
        <v>183041.15</v>
      </c>
      <c r="X40" s="18" t="n">
        <v>190929.38</v>
      </c>
      <c r="Y40" s="18" t="n">
        <v>196676.22</v>
      </c>
      <c r="Z40" s="34" t="n">
        <v>196676.22</v>
      </c>
      <c r="AA40" s="18" t="n">
        <v>191883.75</v>
      </c>
      <c r="AB40" s="19" t="n">
        <v>200220.08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173713.51</v>
      </c>
      <c r="F41" s="34" t="n">
        <v>173713.51</v>
      </c>
      <c r="G41" s="18" t="n">
        <v>180982.7</v>
      </c>
      <c r="H41" s="18" t="n">
        <v>184772.17</v>
      </c>
      <c r="I41" s="18" t="n">
        <v>180132.99</v>
      </c>
      <c r="J41" s="18" t="n">
        <v>176138.12</v>
      </c>
      <c r="K41" s="34" t="n">
        <v>176138.12</v>
      </c>
      <c r="L41" s="18" t="n">
        <v>170380.71</v>
      </c>
      <c r="M41" s="18" t="n">
        <v>223941.79</v>
      </c>
      <c r="N41" s="18" t="n">
        <v>221637.71</v>
      </c>
      <c r="O41" s="18" t="n">
        <v>219927.88</v>
      </c>
      <c r="P41" s="34" t="n">
        <v>219927.88</v>
      </c>
      <c r="Q41" s="18" t="n">
        <v>218785.9</v>
      </c>
      <c r="R41" s="18" t="n">
        <v>214258.56</v>
      </c>
      <c r="S41" s="18" t="n">
        <v>202685.59</v>
      </c>
      <c r="T41" s="18" t="n">
        <v>205296.01</v>
      </c>
      <c r="U41" s="34" t="n">
        <v>205296.01</v>
      </c>
      <c r="V41" s="18" t="n">
        <v>215685.83</v>
      </c>
      <c r="W41" s="18" t="n">
        <v>217564.76</v>
      </c>
      <c r="X41" s="18" t="n">
        <v>226587.61</v>
      </c>
      <c r="Y41" s="18" t="n">
        <v>237277.67</v>
      </c>
      <c r="Z41" s="34" t="n">
        <v>237277.67</v>
      </c>
      <c r="AA41" s="18" t="n">
        <v>297255.72</v>
      </c>
      <c r="AB41" s="19" t="n">
        <v>291643.93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90189.64</v>
      </c>
      <c r="F42" s="34" t="n">
        <v>90189.64</v>
      </c>
      <c r="G42" s="18" t="n">
        <v>90490.32000000001</v>
      </c>
      <c r="H42" s="18" t="n">
        <v>94006.48</v>
      </c>
      <c r="I42" s="18" t="n">
        <v>95099.23</v>
      </c>
      <c r="J42" s="18" t="n">
        <v>96130.3</v>
      </c>
      <c r="K42" s="34" t="n">
        <v>96130.3</v>
      </c>
      <c r="L42" s="18" t="n">
        <v>94936.67</v>
      </c>
      <c r="M42" s="18" t="n">
        <v>163284.32</v>
      </c>
      <c r="N42" s="18" t="n">
        <v>162793.42</v>
      </c>
      <c r="O42" s="18" t="n">
        <v>161208.96</v>
      </c>
      <c r="P42" s="34" t="n">
        <v>161208.96</v>
      </c>
      <c r="Q42" s="18" t="n">
        <v>160520.98</v>
      </c>
      <c r="R42" s="18" t="n">
        <v>163984.44</v>
      </c>
      <c r="S42" s="18" t="n">
        <v>166411.17</v>
      </c>
      <c r="T42" s="18" t="n">
        <v>169606.41</v>
      </c>
      <c r="U42" s="34" t="n">
        <v>169606.41</v>
      </c>
      <c r="V42" s="18" t="n">
        <v>172079.19</v>
      </c>
      <c r="W42" s="18" t="n">
        <v>183041.15</v>
      </c>
      <c r="X42" s="18" t="n">
        <v>190929.38</v>
      </c>
      <c r="Y42" s="18" t="n">
        <v>196676.22</v>
      </c>
      <c r="Z42" s="34" t="n">
        <v>196676.22</v>
      </c>
      <c r="AA42" s="18" t="n">
        <v>191883.75</v>
      </c>
      <c r="AB42" s="19" t="n">
        <v>200220.08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74472.95</v>
      </c>
      <c r="F43" s="34" t="n">
        <v>74472.95</v>
      </c>
      <c r="G43" s="18" t="n">
        <v>73585.42</v>
      </c>
      <c r="H43" s="18" t="n">
        <v>73607.50999999999</v>
      </c>
      <c r="I43" s="18" t="n">
        <v>67936.98</v>
      </c>
      <c r="J43" s="18" t="n">
        <v>63191.41</v>
      </c>
      <c r="K43" s="34" t="n">
        <v>63191.41</v>
      </c>
      <c r="L43" s="18" t="n">
        <v>54594.17</v>
      </c>
      <c r="M43" s="18" t="n">
        <v>25571.61</v>
      </c>
      <c r="N43" s="18" t="n">
        <v>10704.8</v>
      </c>
      <c r="O43" s="18" t="n">
        <v>9377.26</v>
      </c>
      <c r="P43" s="34" t="n">
        <v>9377.26</v>
      </c>
      <c r="Q43" s="18" t="n">
        <v>8293.33</v>
      </c>
      <c r="R43" s="18" t="n">
        <v>8073.3</v>
      </c>
      <c r="U43" s="9" t="n"/>
      <c r="Y43" s="18" t="n">
        <v>8251.42</v>
      </c>
      <c r="Z43" s="34" t="n">
        <v>8251.42</v>
      </c>
      <c r="AA43" s="18" t="n">
        <v>60790.85</v>
      </c>
      <c r="AB43" s="19" t="n">
        <v>57101.55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64020.54</v>
      </c>
      <c r="F44" s="34" t="n">
        <v>64020.54</v>
      </c>
      <c r="G44" s="18" t="n">
        <v>64484.3</v>
      </c>
      <c r="H44" s="18" t="n">
        <v>63935.71</v>
      </c>
      <c r="I44" s="18" t="n">
        <v>58709.4</v>
      </c>
      <c r="J44" s="18" t="n">
        <v>48698.55</v>
      </c>
      <c r="K44" s="34" t="n">
        <v>48698.55</v>
      </c>
      <c r="L44" s="18" t="n">
        <v>44806.34</v>
      </c>
      <c r="M44" s="18" t="n">
        <v>1647.2</v>
      </c>
      <c r="N44" s="18" t="n">
        <v>-24057.22</v>
      </c>
      <c r="O44" s="18" t="n">
        <v>-20913.46</v>
      </c>
      <c r="P44" s="34" t="n">
        <v>-20913.46</v>
      </c>
      <c r="Q44" s="18" t="n">
        <v>-2157.23</v>
      </c>
      <c r="R44" s="18" t="n">
        <v>-4455.05</v>
      </c>
      <c r="U44" s="9" t="n"/>
      <c r="Y44" s="18" t="n">
        <v>-45683.6</v>
      </c>
      <c r="Z44" s="34" t="n">
        <v>-45683.6</v>
      </c>
      <c r="AA44" s="18" t="n">
        <v>35479.06</v>
      </c>
      <c r="AB44" s="19" t="n">
        <v>33869.05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11128.37</v>
      </c>
      <c r="F45" s="34" t="n">
        <v>11128.37</v>
      </c>
      <c r="G45" s="18" t="n">
        <v>9743.209999999999</v>
      </c>
      <c r="H45" s="18" t="n">
        <v>10491.7</v>
      </c>
      <c r="I45" s="18" t="n">
        <v>10123.71</v>
      </c>
      <c r="J45" s="18" t="n">
        <v>14492.86</v>
      </c>
      <c r="K45" s="34" t="n">
        <v>14492.86</v>
      </c>
      <c r="L45" s="18" t="n">
        <v>9787.83</v>
      </c>
      <c r="M45" s="18" t="n">
        <v>23924.41</v>
      </c>
      <c r="N45" s="18" t="n">
        <v>34762.02</v>
      </c>
      <c r="O45" s="18" t="n">
        <v>30290.72</v>
      </c>
      <c r="P45" s="34" t="n">
        <v>30290.72</v>
      </c>
      <c r="Q45" s="18" t="n">
        <v>10450.56</v>
      </c>
      <c r="R45" s="18" t="n">
        <v>12528.35</v>
      </c>
      <c r="S45" s="18" t="n">
        <v>7542.15</v>
      </c>
      <c r="T45" s="18" t="n">
        <v>13950.58</v>
      </c>
      <c r="U45" s="34" t="n">
        <v>13950.58</v>
      </c>
      <c r="V45" s="18" t="n">
        <v>14961.95</v>
      </c>
      <c r="W45" s="18" t="n">
        <v>24297.95</v>
      </c>
      <c r="X45" s="18" t="n">
        <v>19083.48</v>
      </c>
      <c r="Y45" s="18" t="n">
        <v>74732.39</v>
      </c>
      <c r="Z45" s="34" t="n">
        <v>74732.39</v>
      </c>
      <c r="AA45" s="18" t="n">
        <v>28025.34</v>
      </c>
      <c r="AB45" s="19" t="n">
        <v>24753.94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당기법인세부채(미지급법인세)</t>
        </is>
      </c>
      <c r="F46" s="9" t="n"/>
      <c r="G46" s="18" t="n">
        <v>241.81</v>
      </c>
      <c r="H46" s="18" t="n">
        <v>828.02</v>
      </c>
      <c r="I46" s="18" t="n">
        <v>1866.91</v>
      </c>
      <c r="J46" s="18" t="n">
        <v>2143.79</v>
      </c>
      <c r="K46" s="34" t="n">
        <v>2143.79</v>
      </c>
      <c r="L46" s="18" t="n">
        <v>2150.59</v>
      </c>
      <c r="M46" s="18" t="n">
        <v>20534.86</v>
      </c>
      <c r="N46" s="18" t="n">
        <v>19399.63</v>
      </c>
      <c r="O46" s="18" t="n">
        <v>19088.82</v>
      </c>
      <c r="P46" s="34" t="n">
        <v>19088.82</v>
      </c>
      <c r="Q46" s="18" t="n">
        <v>19808.45</v>
      </c>
      <c r="R46" s="18" t="n">
        <v>18947.43</v>
      </c>
      <c r="S46" s="18" t="n">
        <v>5613.17</v>
      </c>
      <c r="T46" s="18" t="n">
        <v>1782.31</v>
      </c>
      <c r="U46" s="34" t="n">
        <v>1782.31</v>
      </c>
      <c r="V46" s="18" t="n">
        <v>2308.29</v>
      </c>
      <c r="W46" s="18" t="n">
        <v>3037.57</v>
      </c>
      <c r="X46" s="18" t="n">
        <v>3053.19</v>
      </c>
      <c r="Y46" s="18" t="n">
        <v>4117.89</v>
      </c>
      <c r="Z46" s="34" t="n">
        <v>4117.89</v>
      </c>
      <c r="AA46" s="18" t="n">
        <v>3686.15</v>
      </c>
      <c r="AB46" s="19" t="n">
        <v>3933.76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단기충당부채</t>
        </is>
      </c>
      <c r="F47" s="9" t="n"/>
      <c r="H47" s="18" t="n">
        <v>665.11</v>
      </c>
      <c r="I47" s="18" t="n">
        <v>635.15</v>
      </c>
      <c r="J47" s="18" t="n">
        <v>875.13</v>
      </c>
      <c r="K47" s="34" t="n">
        <v>875.13</v>
      </c>
      <c r="L47" s="18" t="n">
        <v>846.23</v>
      </c>
      <c r="M47" s="18" t="n">
        <v>915.8</v>
      </c>
      <c r="N47" s="18" t="n">
        <v>741.14</v>
      </c>
      <c r="O47" s="18" t="n">
        <v>866.41</v>
      </c>
      <c r="P47" s="34" t="n">
        <v>866.41</v>
      </c>
      <c r="Q47" s="18" t="n">
        <v>911.08</v>
      </c>
      <c r="R47" s="18" t="n">
        <v>374.35</v>
      </c>
      <c r="S47" s="18" t="n">
        <v>363.83</v>
      </c>
      <c r="T47" s="18" t="n">
        <v>843.3099999999999</v>
      </c>
      <c r="U47" s="34" t="n">
        <v>843.3099999999999</v>
      </c>
      <c r="V47" s="18" t="n">
        <v>840.28</v>
      </c>
      <c r="W47" s="18" t="n">
        <v>516.92</v>
      </c>
      <c r="X47" s="18" t="n">
        <v>516.92</v>
      </c>
      <c r="Y47" s="18" t="n">
        <v>1132.11</v>
      </c>
      <c r="Z47" s="34" t="n">
        <v>1132.11</v>
      </c>
      <c r="AA47" s="18" t="n">
        <v>592.79</v>
      </c>
      <c r="AB47" s="19" t="n">
        <v>645.84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단기금융부채(face)</t>
        </is>
      </c>
      <c r="F48" s="9" t="n"/>
      <c r="K48" s="9" t="n"/>
      <c r="N48" s="18" t="n">
        <v>991.47</v>
      </c>
      <c r="O48" s="18" t="n">
        <v>373.93</v>
      </c>
      <c r="P48" s="34" t="n">
        <v>373.93</v>
      </c>
      <c r="R48" s="18" t="n">
        <v>489.97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F49" s="9" t="n"/>
      <c r="K49" s="9" t="n"/>
      <c r="P49" s="9" t="n"/>
      <c r="R49" s="18" t="n">
        <v>648.37</v>
      </c>
      <c r="S49" s="18" t="n">
        <v>628.41</v>
      </c>
      <c r="T49" s="18" t="n">
        <v>313.72</v>
      </c>
      <c r="U49" s="34" t="n">
        <v>313.72</v>
      </c>
      <c r="V49" s="18" t="n">
        <v>275.21</v>
      </c>
      <c r="W49" s="18" t="n">
        <v>871.67</v>
      </c>
      <c r="X49" s="18" t="n">
        <v>871.67</v>
      </c>
      <c r="Y49" s="18" t="n">
        <v>404.51</v>
      </c>
      <c r="Z49" s="34" t="n">
        <v>404.51</v>
      </c>
      <c r="AA49" s="18" t="n">
        <v>1009.93</v>
      </c>
      <c r="AB49" s="19" t="n">
        <v>1102.43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P50" s="9" t="n"/>
      <c r="U50" s="9" t="n"/>
      <c r="Y50" s="18" t="n">
        <v>12005.61</v>
      </c>
      <c r="Z50" s="34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10.25</v>
      </c>
      <c r="Z51" s="34" t="n">
        <v>10.25</v>
      </c>
      <c r="AA51" s="18" t="n">
        <v>6.91</v>
      </c>
      <c r="AB51" s="19" t="n">
        <v>5.61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10.25</v>
      </c>
      <c r="Z52" s="34" t="n">
        <v>10.25</v>
      </c>
      <c r="AA52" s="18" t="n">
        <v>6.91</v>
      </c>
      <c r="AB52" s="19" t="n">
        <v>5.61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Y53" s="18" t="n">
        <v>87.20999999999999</v>
      </c>
      <c r="Z53" s="34" t="n">
        <v>87.20999999999999</v>
      </c>
      <c r="AA53" s="18" t="n">
        <v>421.79</v>
      </c>
      <c r="AB53" s="19" t="n">
        <v>1181.36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K54" s="9" t="n"/>
      <c r="P54" s="9" t="n"/>
      <c r="U54" s="9" t="n"/>
      <c r="Z54" s="9" t="n"/>
      <c r="AB54" s="19" t="n">
        <v>84.15000000000001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15395.23</v>
      </c>
      <c r="F55" s="9" t="n"/>
      <c r="G55" s="18" t="n">
        <v>15073.85</v>
      </c>
      <c r="H55" s="18" t="n">
        <v>25281.15</v>
      </c>
      <c r="I55" s="18" t="n">
        <v>25927.99</v>
      </c>
      <c r="J55" s="18" t="n">
        <v>28017.68</v>
      </c>
      <c r="K55" s="34" t="n">
        <v>94300.67</v>
      </c>
      <c r="L55" s="18" t="n">
        <v>21554.51</v>
      </c>
      <c r="M55" s="18" t="n">
        <v>20076.61</v>
      </c>
      <c r="N55" s="18" t="n">
        <v>16917.7</v>
      </c>
      <c r="O55" s="18" t="n">
        <v>18798.32</v>
      </c>
      <c r="P55" s="34" t="n">
        <v>77347.14</v>
      </c>
      <c r="Q55" s="18" t="n">
        <v>22743.58</v>
      </c>
      <c r="R55" s="18" t="n">
        <v>25215.47</v>
      </c>
      <c r="S55" s="18" t="n">
        <v>22818.91</v>
      </c>
      <c r="T55" s="18" t="n">
        <v>31815.15</v>
      </c>
      <c r="U55" s="34" t="n">
        <v>102593.11</v>
      </c>
      <c r="V55" s="18" t="n">
        <v>26551.91</v>
      </c>
      <c r="W55" s="18" t="n">
        <v>34548.56</v>
      </c>
      <c r="X55" s="18" t="n">
        <v>31016.57</v>
      </c>
      <c r="Y55" s="18" t="n">
        <v>39519.79</v>
      </c>
      <c r="Z55" s="34" t="n">
        <v>131636.83</v>
      </c>
      <c r="AA55" s="18" t="n">
        <v>38816.33</v>
      </c>
      <c r="AB55" s="19" t="n">
        <v>42619.59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12066.35</v>
      </c>
      <c r="F56" s="9" t="n"/>
      <c r="G56" s="18" t="n">
        <v>10851.01</v>
      </c>
      <c r="H56" s="18" t="n">
        <v>17950.2</v>
      </c>
      <c r="I56" s="18" t="n">
        <v>17148.28</v>
      </c>
      <c r="J56" s="18" t="n">
        <v>21929.17</v>
      </c>
      <c r="K56" s="34" t="n">
        <v>67878.66</v>
      </c>
      <c r="L56" s="18" t="n">
        <v>15109.32</v>
      </c>
      <c r="M56" s="18" t="n">
        <v>12758.95</v>
      </c>
      <c r="N56" s="18" t="n">
        <v>10351.45</v>
      </c>
      <c r="O56" s="18" t="n">
        <v>13925.78</v>
      </c>
      <c r="P56" s="34" t="n">
        <v>52145.5</v>
      </c>
      <c r="Q56" s="18" t="n">
        <v>15610.4</v>
      </c>
      <c r="R56" s="18" t="n">
        <v>17871.44</v>
      </c>
      <c r="S56" s="18" t="n">
        <v>15086.99</v>
      </c>
      <c r="T56" s="18" t="n">
        <v>21396.2</v>
      </c>
      <c r="U56" s="34" t="n">
        <v>69965.03</v>
      </c>
      <c r="V56" s="18" t="n">
        <v>17967.77</v>
      </c>
      <c r="W56" s="18" t="n">
        <v>23392.41</v>
      </c>
      <c r="X56" s="18" t="n">
        <v>19947.2</v>
      </c>
      <c r="Y56" s="18" t="n">
        <v>26742.8</v>
      </c>
      <c r="Z56" s="34" t="n">
        <v>88050.17999999999</v>
      </c>
      <c r="AA56" s="18" t="n">
        <v>28180.06</v>
      </c>
      <c r="AB56" s="19" t="n">
        <v>26974.72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3328.88</v>
      </c>
      <c r="F57" s="9" t="n"/>
      <c r="G57" s="18" t="n">
        <v>4222.84</v>
      </c>
      <c r="H57" s="18" t="n">
        <v>7330.95</v>
      </c>
      <c r="I57" s="18" t="n">
        <v>8779.709999999999</v>
      </c>
      <c r="J57" s="18" t="n">
        <v>6088.5</v>
      </c>
      <c r="K57" s="34" t="n">
        <v>26422</v>
      </c>
      <c r="L57" s="18" t="n">
        <v>6445.19</v>
      </c>
      <c r="M57" s="18" t="n">
        <v>7317.66</v>
      </c>
      <c r="N57" s="18" t="n">
        <v>6566.25</v>
      </c>
      <c r="O57" s="18" t="n">
        <v>4872.54</v>
      </c>
      <c r="P57" s="34" t="n">
        <v>25201.64</v>
      </c>
      <c r="Q57" s="18" t="n">
        <v>7133.18</v>
      </c>
      <c r="R57" s="18" t="n">
        <v>7344.03</v>
      </c>
      <c r="S57" s="18" t="n">
        <v>7731.92</v>
      </c>
      <c r="T57" s="18" t="n">
        <v>10418.95</v>
      </c>
      <c r="U57" s="34" t="n">
        <v>32628.08</v>
      </c>
      <c r="V57" s="18" t="n">
        <v>8584.129999999999</v>
      </c>
      <c r="W57" s="18" t="n">
        <v>11156.14</v>
      </c>
      <c r="X57" s="18" t="n">
        <v>11069.37</v>
      </c>
      <c r="Y57" s="18" t="n">
        <v>12776.99</v>
      </c>
      <c r="Z57" s="34" t="n">
        <v>43586.63</v>
      </c>
      <c r="AA57" s="18" t="n">
        <v>10636.26</v>
      </c>
      <c r="AB57" s="19" t="n">
        <v>15644.87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4125.75</v>
      </c>
      <c r="F58" s="9" t="n"/>
      <c r="G58" s="18" t="n">
        <v>3325.82</v>
      </c>
      <c r="H58" s="18" t="n">
        <v>4974.17</v>
      </c>
      <c r="I58" s="18" t="n">
        <v>4096.42</v>
      </c>
      <c r="J58" s="18" t="n">
        <v>5796.43</v>
      </c>
      <c r="K58" s="34" t="n">
        <v>18192.84</v>
      </c>
      <c r="L58" s="18" t="n">
        <v>5267.93</v>
      </c>
      <c r="M58" s="18" t="n">
        <v>6039.98</v>
      </c>
      <c r="N58" s="18" t="n">
        <v>5250.36</v>
      </c>
      <c r="O58" s="18" t="n">
        <v>3467.18</v>
      </c>
      <c r="P58" s="34" t="n">
        <v>20025.45</v>
      </c>
      <c r="Q58" s="18" t="n">
        <v>3270.06</v>
      </c>
      <c r="R58" s="18" t="n">
        <v>3502.15</v>
      </c>
      <c r="S58" s="18" t="n">
        <v>4699.57</v>
      </c>
      <c r="T58" s="18" t="n">
        <v>5546.95</v>
      </c>
      <c r="U58" s="34" t="n">
        <v>17018.73</v>
      </c>
      <c r="V58" s="18" t="n">
        <v>3764.8</v>
      </c>
      <c r="W58" s="18" t="n">
        <v>4838.7</v>
      </c>
      <c r="X58" s="18" t="n">
        <v>5722.97</v>
      </c>
      <c r="Y58" s="18" t="n">
        <v>6889.69</v>
      </c>
      <c r="Z58" s="34" t="n">
        <v>21216.16</v>
      </c>
      <c r="AA58" s="18" t="n">
        <v>6001.66</v>
      </c>
      <c r="AB58" s="19" t="n">
        <v>6317.51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-796.88</v>
      </c>
      <c r="F59" s="9" t="n"/>
      <c r="G59" s="18" t="n">
        <v>897.01</v>
      </c>
      <c r="H59" s="18" t="n">
        <v>2356.78</v>
      </c>
      <c r="I59" s="18" t="n">
        <v>4683.29</v>
      </c>
      <c r="J59" s="18" t="n">
        <v>292.08</v>
      </c>
      <c r="K59" s="34" t="n">
        <v>8229.16</v>
      </c>
      <c r="L59" s="18" t="n">
        <v>1177.26</v>
      </c>
      <c r="M59" s="18" t="n">
        <v>1277.68</v>
      </c>
      <c r="N59" s="18" t="n">
        <v>1315.89</v>
      </c>
      <c r="O59" s="18" t="n">
        <v>1405.36</v>
      </c>
      <c r="P59" s="34" t="n">
        <v>5176.19</v>
      </c>
      <c r="Q59" s="18" t="n">
        <v>3863.12</v>
      </c>
      <c r="R59" s="18" t="n">
        <v>3841.88</v>
      </c>
      <c r="S59" s="18" t="n">
        <v>3032.35</v>
      </c>
      <c r="T59" s="18" t="n">
        <v>4872</v>
      </c>
      <c r="U59" s="34" t="n">
        <v>15609.35</v>
      </c>
      <c r="V59" s="18" t="n">
        <v>4819.33</v>
      </c>
      <c r="W59" s="18" t="n">
        <v>6317.44</v>
      </c>
      <c r="X59" s="18" t="n">
        <v>5346.4</v>
      </c>
      <c r="Y59" s="18" t="n">
        <v>5887.29</v>
      </c>
      <c r="Z59" s="34" t="n">
        <v>22370.46</v>
      </c>
      <c r="AA59" s="18" t="n">
        <v>4634.6</v>
      </c>
      <c r="AB59" s="19" t="n">
        <v>9327.360000000001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406.35</v>
      </c>
      <c r="F60" s="9" t="n"/>
      <c r="G60" s="18" t="n">
        <v>378.66</v>
      </c>
      <c r="H60" s="18" t="n">
        <v>389.69</v>
      </c>
      <c r="I60" s="18" t="n">
        <v>391.58</v>
      </c>
      <c r="J60" s="18" t="n">
        <v>448.1</v>
      </c>
      <c r="K60" s="34" t="n">
        <v>1608.03</v>
      </c>
      <c r="L60" s="18" t="n">
        <v>403.23</v>
      </c>
      <c r="M60" s="18" t="n">
        <v>400.91</v>
      </c>
      <c r="N60" s="18" t="n">
        <v>162.81</v>
      </c>
      <c r="O60" s="18" t="n">
        <v>162.5</v>
      </c>
      <c r="P60" s="34" t="n">
        <v>1129.45</v>
      </c>
      <c r="Q60" s="18" t="n">
        <v>110.3</v>
      </c>
      <c r="R60" s="18" t="n">
        <v>80.48999999999999</v>
      </c>
      <c r="S60" s="18" t="n">
        <v>77.56</v>
      </c>
      <c r="T60" s="18" t="n">
        <v>75.17</v>
      </c>
      <c r="U60" s="34" t="n">
        <v>343.52</v>
      </c>
      <c r="V60" s="18" t="n">
        <v>83.65000000000001</v>
      </c>
      <c r="W60" s="18" t="n">
        <v>2774.13</v>
      </c>
      <c r="X60" s="18" t="n">
        <v>61.73</v>
      </c>
      <c r="Y60" s="18" t="n">
        <v>56.94</v>
      </c>
      <c r="Z60" s="34" t="n">
        <v>2976.45</v>
      </c>
      <c r="AA60" s="18" t="n">
        <v>345.44</v>
      </c>
      <c r="AB60" s="19" t="n">
        <v>367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2935.25</v>
      </c>
      <c r="F61" s="9" t="n"/>
      <c r="G61" s="18" t="n">
        <v>2299.32</v>
      </c>
      <c r="H61" s="18" t="n">
        <v>3912.25</v>
      </c>
      <c r="I61" s="18" t="n">
        <v>2241.02</v>
      </c>
      <c r="J61" s="18" t="n">
        <v>1383.83</v>
      </c>
      <c r="K61" s="34" t="n">
        <v>9836.42</v>
      </c>
      <c r="L61" s="18" t="n">
        <v>1180.11</v>
      </c>
      <c r="M61" s="18" t="n">
        <v>87554.14999999999</v>
      </c>
      <c r="N61" s="18" t="n">
        <v>-258.51</v>
      </c>
      <c r="O61" s="18" t="n">
        <v>5009.56</v>
      </c>
      <c r="P61" s="34" t="n">
        <v>93485.31</v>
      </c>
      <c r="Q61" s="18" t="n">
        <v>2485.11</v>
      </c>
      <c r="R61" s="18" t="n">
        <v>661.24</v>
      </c>
      <c r="S61" s="18" t="n">
        <v>905.05</v>
      </c>
      <c r="T61" s="18" t="n">
        <v>2099.43</v>
      </c>
      <c r="U61" s="34" t="n">
        <v>6150.83</v>
      </c>
      <c r="V61" s="18" t="n">
        <v>1975.65</v>
      </c>
      <c r="W61" s="18" t="n">
        <v>1196.62</v>
      </c>
      <c r="X61" s="18" t="n">
        <v>4389.34</v>
      </c>
      <c r="Y61" s="18" t="n">
        <v>2566.11</v>
      </c>
      <c r="Z61" s="34" t="n">
        <v>10127.72</v>
      </c>
      <c r="AA61" s="18" t="n">
        <v>4667.76</v>
      </c>
      <c r="AB61" s="19" t="n">
        <v>3668.44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1337.96</v>
      </c>
      <c r="F62" s="9" t="n"/>
      <c r="G62" s="18" t="n">
        <v>749.1900000000001</v>
      </c>
      <c r="H62" s="18" t="n">
        <v>1881.9</v>
      </c>
      <c r="I62" s="18" t="n">
        <v>2951.52</v>
      </c>
      <c r="J62" s="18" t="n">
        <v>2656.06</v>
      </c>
      <c r="K62" s="34" t="n">
        <v>8238.67</v>
      </c>
      <c r="L62" s="18" t="n">
        <v>1069.04</v>
      </c>
      <c r="M62" s="18" t="n">
        <v>996.9299999999999</v>
      </c>
      <c r="N62" s="18" t="n">
        <v>2157.12</v>
      </c>
      <c r="O62" s="18" t="n">
        <v>4114.95</v>
      </c>
      <c r="P62" s="34" t="n">
        <v>8338.040000000001</v>
      </c>
      <c r="Q62" s="18" t="n">
        <v>1862.99</v>
      </c>
      <c r="R62" s="18" t="n">
        <v>1141.73</v>
      </c>
      <c r="S62" s="18" t="n">
        <v>1633.24</v>
      </c>
      <c r="T62" s="18" t="n">
        <v>4602.77</v>
      </c>
      <c r="U62" s="34" t="n">
        <v>9240.73</v>
      </c>
      <c r="V62" s="18" t="n">
        <v>358.66</v>
      </c>
      <c r="W62" s="18" t="n">
        <v>66.58</v>
      </c>
      <c r="X62" s="18" t="n">
        <v>208.45</v>
      </c>
      <c r="Y62" s="18" t="n">
        <v>3622.03</v>
      </c>
      <c r="Z62" s="34" t="n">
        <v>4255.72</v>
      </c>
      <c r="AA62" s="18" t="n">
        <v>1985.96</v>
      </c>
      <c r="AB62" s="19" t="n">
        <v>2258.27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1599.82</v>
      </c>
      <c r="F63" s="9" t="n"/>
      <c r="G63" s="18" t="n">
        <v>2242</v>
      </c>
      <c r="H63" s="18" t="n">
        <v>4327.9</v>
      </c>
      <c r="I63" s="18" t="n">
        <v>3620.19</v>
      </c>
      <c r="J63" s="18" t="n">
        <v>1369.31</v>
      </c>
      <c r="K63" s="34" t="n">
        <v>11559.4</v>
      </c>
      <c r="L63" s="18" t="n">
        <v>987.41</v>
      </c>
      <c r="M63" s="18" t="n">
        <v>87697.56</v>
      </c>
      <c r="N63" s="18" t="n">
        <v>-591.5</v>
      </c>
      <c r="O63" s="18" t="n">
        <v>3568.05</v>
      </c>
      <c r="P63" s="34" t="n">
        <v>91661.52</v>
      </c>
      <c r="Q63" s="18" t="n">
        <v>5129.59</v>
      </c>
      <c r="R63" s="18" t="n">
        <v>4232.86</v>
      </c>
      <c r="S63" s="18" t="n">
        <v>2842.77</v>
      </c>
      <c r="T63" s="18" t="n">
        <v>2948.82</v>
      </c>
      <c r="U63" s="34" t="n">
        <v>15154.04</v>
      </c>
      <c r="V63" s="18" t="n">
        <v>6678.75</v>
      </c>
      <c r="W63" s="18" t="n">
        <v>7519.92</v>
      </c>
      <c r="X63" s="18" t="n">
        <v>9936.76</v>
      </c>
      <c r="Y63" s="18" t="n">
        <v>6115.21</v>
      </c>
      <c r="Z63" s="34" t="n">
        <v>30250.64</v>
      </c>
      <c r="AA63" s="18" t="n">
        <v>7021.87</v>
      </c>
      <c r="AB63" s="19" t="n">
        <v>10471.56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215.3</v>
      </c>
      <c r="F64" s="9" t="n"/>
      <c r="G64" s="18" t="n">
        <v>179.57</v>
      </c>
      <c r="H64" s="18" t="n">
        <v>718.5</v>
      </c>
      <c r="I64" s="18" t="n">
        <v>664.91</v>
      </c>
      <c r="J64" s="18" t="n">
        <v>-249.08</v>
      </c>
      <c r="K64" s="34" t="n">
        <v>1313.9</v>
      </c>
      <c r="L64" s="18" t="n">
        <v>155.7</v>
      </c>
      <c r="M64" s="18" t="n">
        <v>19588.31</v>
      </c>
      <c r="N64" s="18" t="n">
        <v>-114.37</v>
      </c>
      <c r="O64" s="18" t="n">
        <v>187.52</v>
      </c>
      <c r="P64" s="34" t="n">
        <v>19817.16</v>
      </c>
      <c r="Q64" s="18" t="n">
        <v>914.47</v>
      </c>
      <c r="R64" s="18" t="n">
        <v>769.39</v>
      </c>
      <c r="S64" s="18" t="n">
        <v>416.04</v>
      </c>
      <c r="T64" s="18" t="n">
        <v>-246.41</v>
      </c>
      <c r="U64" s="34" t="n">
        <v>1853.49</v>
      </c>
      <c r="V64" s="18" t="n">
        <v>1276.38</v>
      </c>
      <c r="W64" s="18" t="n">
        <v>841.48</v>
      </c>
      <c r="X64" s="18" t="n">
        <v>2048.52</v>
      </c>
      <c r="Y64" s="18" t="n">
        <v>368.38</v>
      </c>
      <c r="Z64" s="34" t="n">
        <v>4534.76</v>
      </c>
      <c r="AA64" s="18" t="n">
        <v>1206.34</v>
      </c>
      <c r="AB64" s="19" t="n">
        <v>2135.24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1384.53</v>
      </c>
      <c r="F65" s="9" t="n"/>
      <c r="G65" s="18" t="n">
        <v>2062.43</v>
      </c>
      <c r="H65" s="18" t="n">
        <v>3609.4</v>
      </c>
      <c r="I65" s="18" t="n">
        <v>2955.28</v>
      </c>
      <c r="J65" s="18" t="n">
        <v>1618.39</v>
      </c>
      <c r="K65" s="34" t="n">
        <v>10245.5</v>
      </c>
      <c r="L65" s="18" t="n">
        <v>831.71</v>
      </c>
      <c r="M65" s="18" t="n">
        <v>68109.25999999999</v>
      </c>
      <c r="N65" s="18" t="n">
        <v>-477.13</v>
      </c>
      <c r="O65" s="18" t="n">
        <v>3380.53</v>
      </c>
      <c r="P65" s="34" t="n">
        <v>71844.37</v>
      </c>
      <c r="Q65" s="18" t="n">
        <v>4215.12</v>
      </c>
      <c r="R65" s="18" t="n">
        <v>3463.46</v>
      </c>
      <c r="S65" s="18" t="n">
        <v>2426.73</v>
      </c>
      <c r="T65" s="18" t="n">
        <v>3195.23</v>
      </c>
      <c r="U65" s="34" t="n">
        <v>13300.54</v>
      </c>
      <c r="V65" s="18" t="n">
        <v>5402.37</v>
      </c>
      <c r="W65" s="18" t="n">
        <v>6678.44</v>
      </c>
      <c r="X65" s="18" t="n">
        <v>7888.23</v>
      </c>
      <c r="Y65" s="18" t="n">
        <v>5746.83</v>
      </c>
      <c r="Z65" s="34" t="n">
        <v>25715.87</v>
      </c>
      <c r="AA65" s="18" t="n">
        <v>5815.53</v>
      </c>
      <c r="AB65" s="19" t="n">
        <v>8336.33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4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4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4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4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-406.35</v>
      </c>
      <c r="F67" s="9" t="n"/>
      <c r="G67" s="18" t="n">
        <v>-378.66</v>
      </c>
      <c r="H67" s="18" t="n">
        <v>-389.69</v>
      </c>
      <c r="I67" s="18" t="n">
        <v>-391.58</v>
      </c>
      <c r="J67" s="18" t="n">
        <v>2892.44</v>
      </c>
      <c r="K67" s="34" t="n">
        <v>1732.51</v>
      </c>
      <c r="L67" s="18" t="n">
        <v>-300.92</v>
      </c>
      <c r="M67" s="18" t="n">
        <v>-137.33</v>
      </c>
      <c r="N67" s="18" t="n">
        <v>508.25</v>
      </c>
      <c r="O67" s="18" t="n">
        <v>1268.09</v>
      </c>
      <c r="P67" s="34" t="n">
        <v>1338.09</v>
      </c>
      <c r="Q67" s="18" t="n">
        <v>644.35</v>
      </c>
      <c r="R67" s="18" t="n">
        <v>871.48</v>
      </c>
      <c r="S67" s="18" t="n">
        <v>538.62</v>
      </c>
      <c r="T67" s="18" t="n">
        <v>580.15</v>
      </c>
      <c r="U67" s="34" t="n">
        <v>2634.6</v>
      </c>
      <c r="V67" s="18" t="n">
        <v>242.44</v>
      </c>
      <c r="W67" s="18" t="n">
        <v>72.45</v>
      </c>
      <c r="X67" s="18" t="n">
        <v>409.47</v>
      </c>
      <c r="Y67" s="18" t="n">
        <v>1283.83</v>
      </c>
      <c r="Z67" s="34" t="n">
        <v>2008.19</v>
      </c>
      <c r="AA67" s="18" t="n">
        <v>-294.54</v>
      </c>
      <c r="AB67" s="19" t="n">
        <v>-265.97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1597.29</v>
      </c>
      <c r="F68" s="9" t="n"/>
      <c r="G68" s="18" t="n">
        <v>1550.13</v>
      </c>
      <c r="H68" s="18" t="n">
        <v>2030.35</v>
      </c>
      <c r="I68" s="18" t="n">
        <v>-710.5</v>
      </c>
      <c r="J68" s="18" t="n">
        <v>-1272.23</v>
      </c>
      <c r="K68" s="34" t="n">
        <v>1597.75</v>
      </c>
      <c r="L68" s="18" t="n">
        <v>111.07</v>
      </c>
      <c r="M68" s="18" t="n">
        <v>86557.22</v>
      </c>
      <c r="N68" s="18" t="n">
        <v>-2415.63</v>
      </c>
      <c r="O68" s="18" t="n">
        <v>894.61</v>
      </c>
      <c r="P68" s="34" t="n">
        <v>85147.27</v>
      </c>
      <c r="Q68" s="18" t="n">
        <v>622.12</v>
      </c>
      <c r="R68" s="18" t="n">
        <v>-480.49</v>
      </c>
      <c r="S68" s="18" t="n">
        <v>-728.1900000000001</v>
      </c>
      <c r="T68" s="18" t="n">
        <v>-2503.34</v>
      </c>
      <c r="U68" s="34" t="n">
        <v>-3089.9</v>
      </c>
      <c r="V68" s="18" t="n">
        <v>1616.99</v>
      </c>
      <c r="W68" s="18" t="n">
        <v>1130.04</v>
      </c>
      <c r="X68" s="18" t="n">
        <v>4180.89</v>
      </c>
      <c r="Y68" s="18" t="n">
        <v>-1055.92</v>
      </c>
      <c r="Z68" s="34" t="n">
        <v>5872</v>
      </c>
      <c r="AA68" s="18" t="n">
        <v>2681.8</v>
      </c>
      <c r="AB68" s="19" t="n">
        <v>1410.17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1384.53</v>
      </c>
      <c r="F69" s="9" t="n"/>
      <c r="G69" s="18" t="n">
        <v>2062.43</v>
      </c>
      <c r="H69" s="18" t="n">
        <v>3609.4</v>
      </c>
      <c r="I69" s="18" t="n">
        <v>2955.28</v>
      </c>
      <c r="J69" s="18" t="n">
        <v>1618.39</v>
      </c>
      <c r="K69" s="34" t="n">
        <v>10245.5</v>
      </c>
      <c r="L69" s="18" t="n">
        <v>831.71</v>
      </c>
      <c r="M69" s="18" t="n">
        <v>68109.25999999999</v>
      </c>
      <c r="N69" s="18" t="n">
        <v>-477.13</v>
      </c>
      <c r="O69" s="18" t="n">
        <v>3380.53</v>
      </c>
      <c r="P69" s="34" t="n">
        <v>71844.37</v>
      </c>
      <c r="Q69" s="18" t="n">
        <v>4215.12</v>
      </c>
      <c r="R69" s="18" t="n">
        <v>3463.46</v>
      </c>
      <c r="S69" s="18" t="n">
        <v>2426.73</v>
      </c>
      <c r="T69" s="18" t="n">
        <v>3195.23</v>
      </c>
      <c r="U69" s="34" t="n">
        <v>13300.54</v>
      </c>
      <c r="V69" s="18" t="n">
        <v>5402.37</v>
      </c>
      <c r="W69" s="18" t="n">
        <v>6678.44</v>
      </c>
      <c r="X69" s="18" t="n">
        <v>7888.23</v>
      </c>
      <c r="Y69" s="18" t="n">
        <v>5746.83</v>
      </c>
      <c r="Z69" s="34" t="n">
        <v>25715.87</v>
      </c>
      <c r="AA69" s="18" t="n">
        <v>5815.53</v>
      </c>
      <c r="AB69" s="19" t="n">
        <v>8336.33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4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4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4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4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F71" s="9" t="n"/>
      <c r="K71" s="9" t="n"/>
      <c r="L71" s="18" t="n">
        <v>102.31</v>
      </c>
      <c r="M71" s="18" t="n">
        <v>263.58</v>
      </c>
      <c r="N71" s="18" t="n">
        <v>671.0599999999999</v>
      </c>
      <c r="O71" s="18" t="n">
        <v>1430.59</v>
      </c>
      <c r="P71" s="34" t="n">
        <v>2467.54</v>
      </c>
      <c r="Q71" s="18" t="n">
        <v>754.65</v>
      </c>
      <c r="R71" s="18" t="n">
        <v>951.97</v>
      </c>
      <c r="S71" s="18" t="n">
        <v>616.1799999999999</v>
      </c>
      <c r="T71" s="18" t="n">
        <v>655.3200000000001</v>
      </c>
      <c r="U71" s="34" t="n">
        <v>2978.12</v>
      </c>
      <c r="V71" s="18" t="n">
        <v>326.09</v>
      </c>
      <c r="W71" s="18" t="n">
        <v>2846.58</v>
      </c>
      <c r="X71" s="18" t="n">
        <v>471.2</v>
      </c>
      <c r="Y71" s="18" t="n">
        <v>1340.77</v>
      </c>
      <c r="Z71" s="34" t="n">
        <v>4984.64</v>
      </c>
      <c r="AA71" s="18" t="n">
        <v>50.9</v>
      </c>
      <c r="AB71" s="19" t="n">
        <v>101.03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-1967.08</v>
      </c>
      <c r="F72" s="9" t="n"/>
      <c r="G72" s="18" t="n">
        <v>-4610.87</v>
      </c>
      <c r="H72" s="18" t="n">
        <v>-3931.02</v>
      </c>
      <c r="I72" s="18" t="n">
        <v>5165.3</v>
      </c>
      <c r="J72" s="18" t="n">
        <v>10811.74</v>
      </c>
      <c r="K72" s="34" t="n">
        <v>7435.15</v>
      </c>
      <c r="L72" s="18" t="n">
        <v>3003.68</v>
      </c>
      <c r="M72" s="18" t="n">
        <v>-2058.63</v>
      </c>
      <c r="N72" s="18" t="n">
        <v>-4026.49</v>
      </c>
      <c r="O72" s="18" t="n">
        <v>5987.26</v>
      </c>
      <c r="P72" s="34" t="n">
        <v>2905.82</v>
      </c>
      <c r="Q72" s="18" t="n">
        <v>-335.8</v>
      </c>
      <c r="R72" s="18" t="n">
        <v>11190.97</v>
      </c>
      <c r="S72" s="18" t="n">
        <v>-9131.209999999999</v>
      </c>
      <c r="T72" s="18" t="n">
        <v>-2767.72</v>
      </c>
      <c r="U72" s="34" t="n">
        <v>-1043.76</v>
      </c>
      <c r="V72" s="18" t="n">
        <v>2570.4</v>
      </c>
      <c r="W72" s="18" t="n">
        <v>3821.01</v>
      </c>
      <c r="X72" s="18" t="n">
        <v>5147.3</v>
      </c>
      <c r="Y72" s="18" t="n">
        <v>9166.959999999999</v>
      </c>
      <c r="Z72" s="34" t="n">
        <v>20705.67</v>
      </c>
      <c r="AA72" s="18" t="n">
        <v>-3485.32</v>
      </c>
      <c r="AB72" s="19" t="n">
        <v>6064.93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318.58</v>
      </c>
      <c r="F73" s="9" t="n"/>
      <c r="G73" s="18" t="n">
        <v>344.87</v>
      </c>
      <c r="H73" s="18" t="n">
        <v>362.5</v>
      </c>
      <c r="I73" s="18" t="n">
        <v>408.46</v>
      </c>
      <c r="J73" s="18" t="n">
        <v>440.95</v>
      </c>
      <c r="K73" s="34" t="n">
        <v>1556.78</v>
      </c>
      <c r="L73" s="18" t="n">
        <v>443.17</v>
      </c>
      <c r="M73" s="18" t="n">
        <v>446.35</v>
      </c>
      <c r="P73" s="9" t="n"/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19.23</v>
      </c>
      <c r="F74" s="9" t="n"/>
      <c r="G74" s="18" t="n">
        <v>17.73</v>
      </c>
      <c r="H74" s="18" t="n">
        <v>26.03</v>
      </c>
      <c r="I74" s="18" t="n">
        <v>39.19</v>
      </c>
      <c r="J74" s="18" t="n">
        <v>40.05</v>
      </c>
      <c r="K74" s="34" t="n">
        <v>123</v>
      </c>
      <c r="L74" s="18" t="n">
        <v>40.46</v>
      </c>
      <c r="M74" s="18" t="n">
        <v>40.46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1150.38</v>
      </c>
      <c r="F75" s="9" t="n"/>
      <c r="G75" s="18" t="n">
        <v>157.42</v>
      </c>
      <c r="H75" s="18" t="n">
        <v>234.44</v>
      </c>
      <c r="I75" s="18" t="n">
        <v>0.74</v>
      </c>
      <c r="J75" s="18" t="n">
        <v>2660.03</v>
      </c>
      <c r="K75" s="34" t="n">
        <v>3052.63</v>
      </c>
      <c r="L75" s="18" t="n">
        <v>40.95</v>
      </c>
      <c r="M75" s="18" t="n">
        <v>95.34999999999999</v>
      </c>
      <c r="N75" s="18" t="n">
        <v>370.66</v>
      </c>
      <c r="O75" s="18" t="n">
        <v>346.04</v>
      </c>
      <c r="P75" s="34" t="n">
        <v>853</v>
      </c>
      <c r="Q75" s="18" t="n">
        <v>157.41</v>
      </c>
      <c r="R75" s="18" t="n">
        <v>276.66</v>
      </c>
      <c r="S75" s="18" t="n">
        <v>300.04</v>
      </c>
      <c r="T75" s="18" t="n">
        <v>290.59</v>
      </c>
      <c r="U75" s="34" t="n">
        <v>1024.7</v>
      </c>
      <c r="V75" s="18" t="n">
        <v>75.84</v>
      </c>
      <c r="W75" s="18" t="n">
        <v>518.51</v>
      </c>
      <c r="X75" s="18" t="n">
        <v>74.84999999999999</v>
      </c>
      <c r="Y75" s="18" t="n">
        <v>231.78</v>
      </c>
      <c r="Z75" s="34" t="n">
        <v>900.98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-171.29</v>
      </c>
      <c r="F76" s="9" t="n"/>
      <c r="G76" s="18" t="n">
        <v>-119.53</v>
      </c>
      <c r="H76" s="18" t="n">
        <v>-119.36</v>
      </c>
      <c r="I76" s="18" t="n">
        <v>-6.5</v>
      </c>
      <c r="J76" s="18" t="n">
        <v>-6.16</v>
      </c>
      <c r="K76" s="34" t="n">
        <v>-251.55</v>
      </c>
      <c r="L76" s="18" t="n">
        <v>-14.59</v>
      </c>
      <c r="M76" s="18" t="n">
        <v>-1190.53</v>
      </c>
      <c r="N76" s="18" t="n">
        <v>-1265.09</v>
      </c>
      <c r="O76" s="18" t="n">
        <v>-553.96</v>
      </c>
      <c r="P76" s="34" t="n">
        <v>-3024.17</v>
      </c>
      <c r="Q76" s="18" t="n">
        <v>-87.88</v>
      </c>
      <c r="R76" s="18" t="n">
        <v>-1960</v>
      </c>
      <c r="S76" s="18" t="n">
        <v>-13881.33</v>
      </c>
      <c r="T76" s="18" t="n">
        <v>-4896.22</v>
      </c>
      <c r="U76" s="34" t="n">
        <v>-20825.43</v>
      </c>
      <c r="V76" s="18" t="n">
        <v>-765.22</v>
      </c>
      <c r="W76" s="18" t="n">
        <v>-540.11</v>
      </c>
      <c r="X76" s="18" t="n">
        <v>-910.89</v>
      </c>
      <c r="Y76" s="18" t="n">
        <v>-829.65</v>
      </c>
      <c r="Z76" s="34" t="n">
        <v>-3045.87</v>
      </c>
      <c r="AA76" s="18" t="n">
        <v>-1686.51</v>
      </c>
      <c r="AB76" s="19" t="n">
        <v>-2349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2508.47</v>
      </c>
      <c r="F77" s="9" t="n"/>
      <c r="G77" s="18" t="n">
        <v>4165.1</v>
      </c>
      <c r="H77" s="18" t="n">
        <v>6348.46</v>
      </c>
      <c r="I77" s="18" t="n">
        <v>2008.4</v>
      </c>
      <c r="J77" s="18" t="n">
        <v>-1103.19</v>
      </c>
      <c r="K77" s="34" t="n">
        <v>11418.77</v>
      </c>
      <c r="L77" s="18" t="n">
        <v>1356.66</v>
      </c>
      <c r="M77" s="18" t="n">
        <v>29357.28</v>
      </c>
      <c r="N77" s="18" t="n">
        <v>14949.46</v>
      </c>
      <c r="O77" s="18" t="n">
        <v>-7279.44</v>
      </c>
      <c r="P77" s="34" t="n">
        <v>38383.96</v>
      </c>
      <c r="Q77" s="18" t="n">
        <v>12017.31</v>
      </c>
      <c r="R77" s="18" t="n">
        <v>-3857.78</v>
      </c>
      <c r="S77" s="18" t="n">
        <v>5167.57</v>
      </c>
      <c r="T77" s="18" t="n">
        <v>6360.88</v>
      </c>
      <c r="U77" s="34" t="n">
        <v>19687.98</v>
      </c>
      <c r="V77" s="18" t="n">
        <v>-2349</v>
      </c>
      <c r="W77" s="18" t="n">
        <v>8060.86</v>
      </c>
      <c r="X77" s="18" t="n">
        <v>-9914.26</v>
      </c>
      <c r="Y77" s="18" t="n">
        <v>25891.97</v>
      </c>
      <c r="Z77" s="34" t="n">
        <v>21689.57</v>
      </c>
      <c r="AA77" s="18" t="n">
        <v>-74804.7</v>
      </c>
      <c r="AB77" s="19" t="n">
        <v>4826.48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6.27</v>
      </c>
      <c r="H78" s="18" t="n">
        <v>6.64</v>
      </c>
      <c r="I78" s="18" t="n">
        <v>0</v>
      </c>
      <c r="J78" s="18" t="n">
        <v>0</v>
      </c>
      <c r="K78" s="34" t="n">
        <v>12.91</v>
      </c>
      <c r="L78" s="18" t="n">
        <v>2.36</v>
      </c>
      <c r="M78" s="18" t="n">
        <v>87498.16</v>
      </c>
      <c r="N78" s="18" t="n">
        <v>83.70999999999999</v>
      </c>
      <c r="O78" s="18" t="n">
        <v>30</v>
      </c>
      <c r="P78" s="34" t="n">
        <v>87614.23</v>
      </c>
      <c r="U78" s="9" t="n"/>
      <c r="V78" s="18" t="n">
        <v>0.3</v>
      </c>
      <c r="W78" s="18" t="n">
        <v>16.64</v>
      </c>
      <c r="X78" s="18" t="n">
        <v>52.18</v>
      </c>
      <c r="Z78" s="9" t="n"/>
      <c r="AA78" s="18" t="n">
        <v>43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11396.33</v>
      </c>
      <c r="F79" s="9" t="n"/>
      <c r="G79" s="18" t="n">
        <v>722.5</v>
      </c>
      <c r="H79" s="18" t="n">
        <v>146.11</v>
      </c>
      <c r="I79" s="18" t="n">
        <v>868.12</v>
      </c>
      <c r="J79" s="18" t="n">
        <v>1312.33</v>
      </c>
      <c r="K79" s="34" t="n">
        <v>3049.06</v>
      </c>
      <c r="L79" s="18" t="n">
        <v>666.98</v>
      </c>
      <c r="M79" s="18" t="n">
        <v>61.03</v>
      </c>
      <c r="N79" s="18" t="n">
        <v>88.75</v>
      </c>
      <c r="O79" s="18" t="n">
        <v>675.5599999999999</v>
      </c>
      <c r="P79" s="34" t="n">
        <v>1492.32</v>
      </c>
      <c r="Q79" s="18" t="n">
        <v>577.89</v>
      </c>
      <c r="R79" s="18" t="n">
        <v>10065.51</v>
      </c>
      <c r="S79" s="18" t="n">
        <v>1065.85</v>
      </c>
      <c r="T79" s="18" t="n">
        <v>1400.52</v>
      </c>
      <c r="U79" s="34" t="n">
        <v>13109.77</v>
      </c>
      <c r="V79" s="18" t="n">
        <v>802.62</v>
      </c>
      <c r="W79" s="18" t="n">
        <v>240.44</v>
      </c>
      <c r="X79" s="18" t="n">
        <v>312.23</v>
      </c>
      <c r="Y79" s="18" t="n">
        <v>11583.06</v>
      </c>
      <c r="Z79" s="34" t="n">
        <v>12938.35</v>
      </c>
      <c r="AA79" s="18" t="n">
        <v>97913.94</v>
      </c>
      <c r="AB79" s="19" t="n">
        <v>1455.21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11400.5</v>
      </c>
      <c r="F80" s="9" t="n"/>
      <c r="G80" s="18" t="n">
        <v>777.45</v>
      </c>
      <c r="H80" s="18" t="n">
        <v>555.92</v>
      </c>
      <c r="I80" s="18" t="n">
        <v>912.35</v>
      </c>
      <c r="J80" s="18" t="n">
        <v>1306.58</v>
      </c>
      <c r="K80" s="34" t="n">
        <v>3552.3</v>
      </c>
      <c r="L80" s="18" t="n">
        <v>669.98</v>
      </c>
      <c r="M80" s="18" t="n">
        <v>66.38</v>
      </c>
      <c r="N80" s="18" t="n">
        <v>92.05</v>
      </c>
      <c r="O80" s="18" t="n">
        <v>699.5599999999999</v>
      </c>
      <c r="P80" s="34" t="n">
        <v>1527.97</v>
      </c>
      <c r="Q80" s="18" t="n">
        <v>608.39</v>
      </c>
      <c r="R80" s="18" t="n">
        <v>10148.88</v>
      </c>
      <c r="S80" s="18" t="n">
        <v>1068.55</v>
      </c>
      <c r="T80" s="18" t="n">
        <v>1433.41</v>
      </c>
      <c r="U80" s="34" t="n">
        <v>13259.23</v>
      </c>
      <c r="V80" s="18" t="n">
        <v>807.86</v>
      </c>
      <c r="W80" s="18" t="n">
        <v>342.55</v>
      </c>
      <c r="X80" s="18" t="n">
        <v>324.32</v>
      </c>
      <c r="Y80" s="18" t="n">
        <v>11772.24</v>
      </c>
      <c r="Z80" s="34" t="n">
        <v>13246.97</v>
      </c>
      <c r="AA80" s="18" t="n">
        <v>97939.13</v>
      </c>
      <c r="AB80" s="19" t="n">
        <v>1515.71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4.17</v>
      </c>
      <c r="F81" s="9" t="n"/>
      <c r="G81" s="18" t="n">
        <v>54.95</v>
      </c>
      <c r="H81" s="18" t="n">
        <v>409.81</v>
      </c>
      <c r="I81" s="18" t="n">
        <v>44.23</v>
      </c>
      <c r="K81" s="9" t="n"/>
      <c r="L81" s="18" t="n">
        <v>3</v>
      </c>
      <c r="M81" s="18" t="n">
        <v>5.35</v>
      </c>
      <c r="N81" s="18" t="n">
        <v>3.3</v>
      </c>
      <c r="O81" s="18" t="n">
        <v>24</v>
      </c>
      <c r="P81" s="34" t="n">
        <v>35.65</v>
      </c>
      <c r="Q81" s="18" t="n">
        <v>30.5</v>
      </c>
      <c r="R81" s="18" t="n">
        <v>83.37</v>
      </c>
      <c r="S81" s="18" t="n">
        <v>2.7</v>
      </c>
      <c r="T81" s="18" t="n">
        <v>32.89</v>
      </c>
      <c r="U81" s="34" t="n">
        <v>149.46</v>
      </c>
      <c r="V81" s="18" t="n">
        <v>5.24</v>
      </c>
      <c r="W81" s="18" t="n">
        <v>102.11</v>
      </c>
      <c r="X81" s="18" t="n">
        <v>12.09</v>
      </c>
      <c r="Y81" s="18" t="n">
        <v>189.18</v>
      </c>
      <c r="Z81" s="34" t="n">
        <v>308.62</v>
      </c>
      <c r="AA81" s="18" t="n">
        <v>25.19</v>
      </c>
      <c r="AB81" s="19" t="n">
        <v>60.5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-2638.79</v>
      </c>
      <c r="F82" s="9" t="n"/>
      <c r="G82" s="18" t="n">
        <v>-915.48</v>
      </c>
      <c r="H82" s="18" t="n">
        <v>-1860.87</v>
      </c>
      <c r="I82" s="18" t="n">
        <v>-7561.78</v>
      </c>
      <c r="J82" s="18" t="n">
        <v>-4677.7</v>
      </c>
      <c r="K82" s="34" t="n">
        <v>-15015.83</v>
      </c>
      <c r="L82" s="18" t="n">
        <v>-8763.91</v>
      </c>
      <c r="M82" s="18" t="n">
        <v>-31004.91</v>
      </c>
      <c r="N82" s="18" t="n">
        <v>-94.12</v>
      </c>
      <c r="O82" s="18" t="n">
        <v>-6694.71</v>
      </c>
      <c r="P82" s="34" t="n">
        <v>-46557.65</v>
      </c>
      <c r="Q82" s="18" t="n">
        <v>-12855.98</v>
      </c>
      <c r="R82" s="18" t="n">
        <v>-5265.87</v>
      </c>
      <c r="S82" s="18" t="n">
        <v>-992.41</v>
      </c>
      <c r="T82" s="18" t="n">
        <v>-398.18</v>
      </c>
      <c r="U82" s="34" t="n">
        <v>-19512.44</v>
      </c>
      <c r="V82" s="18" t="n">
        <v>1790.36</v>
      </c>
      <c r="W82" s="18" t="n">
        <v>-449.77</v>
      </c>
      <c r="X82" s="18" t="n">
        <v>-518.01</v>
      </c>
      <c r="Y82" s="18" t="n">
        <v>4.2</v>
      </c>
      <c r="Z82" s="34" t="n">
        <v>826.78</v>
      </c>
      <c r="AA82" s="18" t="n">
        <v>52524.33</v>
      </c>
      <c r="AB82" s="19" t="n">
        <v>-12904.96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13089.04</v>
      </c>
      <c r="F83" s="9" t="n"/>
      <c r="G83" s="18" t="n">
        <v>554.15</v>
      </c>
      <c r="H83" s="18" t="n">
        <v>9913.780000000001</v>
      </c>
      <c r="I83" s="18" t="n">
        <v>15029.47</v>
      </c>
      <c r="J83" s="18" t="n">
        <v>254.42</v>
      </c>
      <c r="K83" s="34" t="n">
        <v>25751.82</v>
      </c>
      <c r="L83" s="18" t="n">
        <v>9000</v>
      </c>
      <c r="M83" s="18" t="n">
        <v>0</v>
      </c>
      <c r="N83" s="18" t="n">
        <v>0</v>
      </c>
      <c r="O83" s="18" t="n">
        <v>0</v>
      </c>
      <c r="P83" s="34" t="n">
        <v>9000</v>
      </c>
      <c r="T83" s="18" t="n">
        <v>898.78</v>
      </c>
      <c r="U83" s="9" t="n"/>
      <c r="V83" s="18" t="n">
        <v>961.85</v>
      </c>
      <c r="W83" s="18" t="n">
        <v>784.39</v>
      </c>
      <c r="X83" s="18" t="n">
        <v>444.11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G84" s="18" t="n">
        <v>333.36</v>
      </c>
      <c r="K84" s="9" t="n"/>
      <c r="P84" s="9" t="n"/>
      <c r="U84" s="9" t="n"/>
      <c r="X84" s="18" t="n">
        <v>500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15700</v>
      </c>
      <c r="F86" s="9" t="n"/>
      <c r="I86" s="18" t="n">
        <v>19700</v>
      </c>
      <c r="J86" s="18" t="n">
        <v>4000</v>
      </c>
      <c r="K86" s="9" t="n"/>
      <c r="L86" s="18" t="n">
        <v>11597.24</v>
      </c>
      <c r="M86" s="18" t="n">
        <v>18619.24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27.95</v>
      </c>
      <c r="F87" s="9" t="n"/>
      <c r="G87" s="18" t="n">
        <v>27.96</v>
      </c>
      <c r="H87" s="18" t="n">
        <v>27.96</v>
      </c>
      <c r="I87" s="18" t="n">
        <v>28.72</v>
      </c>
      <c r="K87" s="9" t="n"/>
      <c r="L87" s="18" t="n">
        <v>32.74</v>
      </c>
      <c r="M87" s="18" t="n">
        <v>31.34</v>
      </c>
      <c r="N87" s="18" t="n">
        <v>31.02</v>
      </c>
      <c r="O87" s="18" t="n">
        <v>29.45</v>
      </c>
      <c r="P87" s="34" t="n">
        <v>124.55</v>
      </c>
      <c r="Q87" s="18" t="n">
        <v>25.26</v>
      </c>
      <c r="R87" s="18" t="n">
        <v>8.82</v>
      </c>
      <c r="U87" s="9" t="n"/>
      <c r="Z87" s="9" t="n"/>
      <c r="AA87" s="18" t="n">
        <v>3.41</v>
      </c>
      <c r="AB87" s="19" t="n">
        <v>1.33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-2097.39</v>
      </c>
      <c r="F88" s="9" t="n"/>
      <c r="G88" s="18" t="n">
        <v>-1361.24</v>
      </c>
      <c r="H88" s="18" t="n">
        <v>556.5599999999999</v>
      </c>
      <c r="I88" s="18" t="n">
        <v>-388.08</v>
      </c>
      <c r="J88" s="18" t="n">
        <v>5030.86</v>
      </c>
      <c r="K88" s="34" t="n">
        <v>3838.1</v>
      </c>
      <c r="L88" s="18" t="n">
        <v>-4403.57</v>
      </c>
      <c r="M88" s="18" t="n">
        <v>-3706.26</v>
      </c>
      <c r="N88" s="18" t="n">
        <v>10828.85</v>
      </c>
      <c r="O88" s="18" t="n">
        <v>-7986.89</v>
      </c>
      <c r="P88" s="34" t="n">
        <v>-5267.87</v>
      </c>
      <c r="Q88" s="18" t="n">
        <v>-1174.48</v>
      </c>
      <c r="R88" s="18" t="n">
        <v>2067.33</v>
      </c>
      <c r="S88" s="18" t="n">
        <v>-4956.05</v>
      </c>
      <c r="T88" s="18" t="n">
        <v>3194.98</v>
      </c>
      <c r="U88" s="34" t="n">
        <v>-868.22</v>
      </c>
      <c r="V88" s="18" t="n">
        <v>2011.76</v>
      </c>
      <c r="W88" s="18" t="n">
        <v>11432.1</v>
      </c>
      <c r="X88" s="18" t="n">
        <v>-5284.96</v>
      </c>
      <c r="Y88" s="18" t="n">
        <v>35063.13</v>
      </c>
      <c r="Z88" s="34" t="n">
        <v>43222.03</v>
      </c>
      <c r="AA88" s="18" t="n">
        <v>-25765.69</v>
      </c>
      <c r="AB88" s="19" t="n">
        <v>-2013.55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-2236.47</v>
      </c>
      <c r="F89" s="9" t="n"/>
      <c r="G89" s="18" t="n">
        <v>7661.12</v>
      </c>
      <c r="H89" s="18" t="n">
        <v>570.6799999999999</v>
      </c>
      <c r="I89" s="18" t="n">
        <v>-304.22</v>
      </c>
      <c r="J89" s="18" t="n">
        <v>4802.56</v>
      </c>
      <c r="K89" s="34" t="n">
        <v>12730.14</v>
      </c>
      <c r="L89" s="18" t="n">
        <v>8333.639999999999</v>
      </c>
      <c r="M89" s="18" t="n">
        <v>-3709.23</v>
      </c>
      <c r="N89" s="18" t="n">
        <v>10837.61</v>
      </c>
      <c r="O89" s="18" t="n">
        <v>-7992.84</v>
      </c>
      <c r="P89" s="34" t="n">
        <v>7469.18</v>
      </c>
      <c r="Q89" s="18" t="n">
        <v>6303.31</v>
      </c>
      <c r="R89" s="18" t="n">
        <v>2077.37</v>
      </c>
      <c r="S89" s="18" t="n">
        <v>-4986.63</v>
      </c>
      <c r="T89" s="18" t="n">
        <v>3258.04</v>
      </c>
      <c r="U89" s="34" t="n">
        <v>6652.09</v>
      </c>
      <c r="V89" s="18" t="n">
        <v>8682.08</v>
      </c>
      <c r="W89" s="18" t="n">
        <v>11365.87</v>
      </c>
      <c r="X89" s="18" t="n">
        <v>-5214.47</v>
      </c>
      <c r="Y89" s="18" t="n">
        <v>34851.54</v>
      </c>
      <c r="Z89" s="34" t="n">
        <v>49685.02</v>
      </c>
      <c r="AA89" s="18" t="n">
        <v>24011.79</v>
      </c>
      <c r="AB89" s="19" t="n">
        <v>-2079.29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I90" s="18" t="n">
        <v>1000</v>
      </c>
      <c r="J90" s="18" t="n">
        <v>1000</v>
      </c>
      <c r="K90" s="9" t="n"/>
      <c r="L90" s="18" t="n">
        <v>6000</v>
      </c>
      <c r="M90" s="18" t="n">
        <v>10403.31</v>
      </c>
      <c r="N90" s="18" t="n">
        <v>710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I91" s="18" t="n">
        <v>1862.53</v>
      </c>
      <c r="J91" s="18" t="n">
        <v>587.3099999999999</v>
      </c>
      <c r="K91" s="9" t="n"/>
      <c r="L91" s="18" t="n">
        <v>311.94</v>
      </c>
      <c r="M91" s="18" t="n">
        <v>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1013.28</v>
      </c>
      <c r="P92" s="9" t="n"/>
      <c r="Q92" s="18" t="n">
        <v>620.9299999999999</v>
      </c>
      <c r="R92" s="18" t="n">
        <v>714.29</v>
      </c>
      <c r="S92" s="18" t="n">
        <v>346.91</v>
      </c>
      <c r="T92" s="18" t="n">
        <v>419.69</v>
      </c>
      <c r="U92" s="34" t="n">
        <v>2101.82</v>
      </c>
      <c r="V92" s="18" t="n">
        <v>305.03</v>
      </c>
      <c r="W92" s="18" t="n">
        <v>263.38</v>
      </c>
      <c r="X92" s="18" t="n">
        <v>565.11</v>
      </c>
      <c r="Y92" s="18" t="n">
        <v>1388.87</v>
      </c>
      <c r="Z92" s="34" t="n">
        <v>2522.39</v>
      </c>
      <c r="AA92" s="18" t="n">
        <v>86.81</v>
      </c>
      <c r="AB92" s="19" t="n">
        <v>34.8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차입금의감소</t>
        </is>
      </c>
      <c r="F93" s="9" t="n"/>
      <c r="K93" s="9" t="n"/>
      <c r="P93" s="9" t="n"/>
      <c r="Q93" s="18" t="n">
        <v>13083.93</v>
      </c>
      <c r="R93" s="18" t="n">
        <v>710</v>
      </c>
      <c r="U93" s="9" t="n"/>
      <c r="V93" s="18" t="n">
        <v>1118.81</v>
      </c>
      <c r="W93" s="18" t="n">
        <v>1671.85</v>
      </c>
      <c r="X93" s="18" t="n">
        <v>1494.39</v>
      </c>
      <c r="Y93" s="18" t="n">
        <v>1154.11</v>
      </c>
      <c r="Z93" s="34" t="n">
        <v>5439.16</v>
      </c>
      <c r="AA93" s="18" t="n">
        <v>7830</v>
      </c>
      <c r="AB93" s="19" t="n">
        <v>5235.61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이자지급(CF)</t>
        </is>
      </c>
      <c r="F94" s="9" t="n"/>
      <c r="K94" s="9" t="n"/>
      <c r="P94" s="9" t="n"/>
      <c r="U94" s="9" t="n"/>
      <c r="Z94" s="9" t="n"/>
      <c r="AA94" s="18" t="n">
        <v>-272.93</v>
      </c>
      <c r="AB94" s="19" t="n">
        <v>-374.8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차입금의증가</t>
        </is>
      </c>
      <c r="F95" s="9" t="n"/>
      <c r="K95" s="9" t="n"/>
      <c r="P95" s="9" t="n"/>
      <c r="U95" s="9" t="n"/>
      <c r="Z95" s="9" t="n"/>
      <c r="AA95" s="18" t="n">
        <v>60369.43</v>
      </c>
      <c r="AB95" s="19" t="n">
        <v>1546.31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-0.0504</v>
      </c>
      <c r="F10" s="34" t="n"/>
      <c r="G10" s="18" t="n">
        <v>0.0595</v>
      </c>
      <c r="H10" s="18" t="n">
        <v>0.0998</v>
      </c>
      <c r="I10" s="18" t="n">
        <v>0.1841</v>
      </c>
      <c r="J10" s="18" t="n">
        <v>0.0039</v>
      </c>
      <c r="K10" s="34">
        <f>SUM(G10:J10)</f>
        <v/>
      </c>
      <c r="L10" s="18" t="n">
        <v>0.0449</v>
      </c>
      <c r="M10" s="18" t="n">
        <v>0.0629</v>
      </c>
      <c r="N10" s="18" t="n">
        <v>0.08790000000000001</v>
      </c>
      <c r="O10" s="18" t="n">
        <v>0.082</v>
      </c>
      <c r="P10" s="34">
        <f>SUM(L10:O10)</f>
        <v/>
      </c>
      <c r="Q10" s="18" t="n">
        <v>0.1694</v>
      </c>
      <c r="R10" s="18" t="n">
        <v>0.155</v>
      </c>
      <c r="S10" s="18" t="n">
        <v>0.137</v>
      </c>
      <c r="T10" s="18" t="n">
        <v>0.1517</v>
      </c>
      <c r="U10" s="34">
        <f>SUM(Q10:T10)</f>
        <v/>
      </c>
      <c r="V10" s="18" t="n">
        <v>0.1931</v>
      </c>
      <c r="W10" s="18" t="n">
        <v>0.1728</v>
      </c>
      <c r="X10" s="18" t="n">
        <v>0.1718</v>
      </c>
      <c r="Y10" s="18" t="n">
        <v>0.14</v>
      </c>
      <c r="Z10" s="34">
        <f>SUM(V10:Y10)</f>
        <v/>
      </c>
      <c r="AA10" s="18" t="n">
        <v>0.1402</v>
      </c>
      <c r="AB10" s="19" t="n">
        <v>0.2146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 t="n"/>
      <c r="I13" s="18" t="n"/>
      <c r="J13" s="18">
        <f>IFERROR(VLOOKUP($D13,BS연결,MATCH(J$1,BS연결H,0),0)/100,"")</f>
        <v/>
      </c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4.84</v>
      </c>
      <c r="AD18" s="20" t="n">
        <v>4.84</v>
      </c>
      <c r="AE18" s="35">
        <f>SUM(AA18:AD18)</f>
        <v/>
      </c>
      <c r="AF18" s="20" t="n">
        <v>4.84</v>
      </c>
      <c r="AG18" s="20" t="n">
        <v>4.84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-4.5</v>
      </c>
      <c r="F19" s="34" t="n"/>
      <c r="G19" s="18" t="n">
        <v>13.48</v>
      </c>
      <c r="H19" s="18" t="n">
        <v>30.98</v>
      </c>
      <c r="I19" s="18" t="n">
        <v>55.34</v>
      </c>
      <c r="J19" s="18" t="n">
        <v>6.22</v>
      </c>
      <c r="K19" s="34">
        <f>SUM(G19:J19)</f>
        <v/>
      </c>
      <c r="L19" s="18" t="n">
        <v>14.78</v>
      </c>
      <c r="M19" s="18" t="n">
        <v>17.64</v>
      </c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71.59</v>
      </c>
      <c r="AD19" s="20" t="n">
        <v>88.29000000000001</v>
      </c>
      <c r="AE19" s="35">
        <f>SUM(AA19:AD19)</f>
        <v/>
      </c>
      <c r="AF19" s="20" t="n">
        <v>87.79000000000001</v>
      </c>
      <c r="AG19" s="20" t="n">
        <v>95.13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IFERROR(AB23+AC17-변수!AC34,"")</f>
        <v/>
      </c>
      <c r="AD23" s="20">
        <f>IFERROR(AC23+AD17-변수!AD34,"")</f>
        <v/>
      </c>
      <c r="AE23" s="35">
        <f>AD23</f>
        <v/>
      </c>
      <c r="AF23" s="20">
        <f>IFERROR(AD23+AF17-변수!AF34,"")</f>
        <v/>
      </c>
      <c r="AG23" s="20">
        <f>IFERROR(AF23+AG17-변수!AG34,"")</f>
        <v/>
      </c>
      <c r="AH23" s="20">
        <f>IFERROR(AG23+AH17-변수!AH34,"")</f>
        <v/>
      </c>
      <c r="AI23" s="20">
        <f>IFERROR(AH23+AI17-변수!AI34,"")</f>
        <v/>
      </c>
      <c r="AJ23" s="35">
        <f>AI23</f>
        <v/>
      </c>
      <c r="AK23" s="20">
        <f>IFERROR(AI23+AK17-변수!AK34,"")</f>
        <v/>
      </c>
      <c r="AL23" s="20">
        <f>IFERROR(AK23+AL17-변수!AL34,"")</f>
        <v/>
      </c>
      <c r="AM23" s="20">
        <f>IFERROR(AL23+AM17-변수!AM34,"")</f>
        <v/>
      </c>
      <c r="AN23" s="20">
        <f>IFERROR(AM23+AN17-변수!AN34,"")</f>
        <v/>
      </c>
      <c r="AO23" s="35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 t="n"/>
      <c r="T24" s="18" t="n"/>
      <c r="U24" s="34">
        <f>T24</f>
        <v/>
      </c>
      <c r="V24" s="18" t="n"/>
      <c r="W24" s="18" t="n"/>
      <c r="X24" s="18" t="n"/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 t="n"/>
      <c r="T25" s="18" t="n"/>
      <c r="U25" s="34">
        <f>T25</f>
        <v/>
      </c>
      <c r="V25" s="18" t="n"/>
      <c r="W25" s="18" t="n"/>
      <c r="X25" s="18" t="n"/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4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영업활동현금흐름</t>
        </is>
      </c>
      <c r="E29" s="18" t="n">
        <v>-15.94</v>
      </c>
      <c r="F29" s="34" t="n"/>
      <c r="G29" s="18" t="n">
        <v>-47.26</v>
      </c>
      <c r="H29" s="18" t="n">
        <v>-35.51</v>
      </c>
      <c r="I29" s="18" t="n">
        <v>56.13</v>
      </c>
      <c r="J29" s="18" t="n">
        <v>104.38</v>
      </c>
      <c r="K29" s="34">
        <f>SUM(G29:J29)</f>
        <v/>
      </c>
      <c r="L29" s="18" t="n">
        <v>29.48</v>
      </c>
      <c r="M29" s="18" t="n">
        <v>-19.7</v>
      </c>
      <c r="N29" s="18" t="n">
        <v>-36.75</v>
      </c>
      <c r="O29" s="18" t="n">
        <v>58.93</v>
      </c>
      <c r="P29" s="34">
        <f>SUM(L29:O29)</f>
        <v/>
      </c>
      <c r="Q29" s="18" t="n">
        <v>-0.26</v>
      </c>
      <c r="R29" s="18" t="n">
        <v>109.5</v>
      </c>
      <c r="S29" s="18" t="n">
        <v>-86.15000000000001</v>
      </c>
      <c r="T29" s="18" t="n">
        <v>-24.96</v>
      </c>
      <c r="U29" s="34">
        <f>SUM(Q29:T29)</f>
        <v/>
      </c>
      <c r="V29" s="18" t="n">
        <v>32.76</v>
      </c>
      <c r="W29" s="18" t="n">
        <v>29.37</v>
      </c>
      <c r="X29" s="18" t="n">
        <v>57.67</v>
      </c>
      <c r="Y29" s="18" t="n">
        <v>100.72</v>
      </c>
      <c r="Z29" s="34">
        <f>SUM(V29:Y29)</f>
        <v/>
      </c>
      <c r="AA29" s="18" t="n">
        <v>-44.49</v>
      </c>
      <c r="AB29" s="19" t="n">
        <v>71.04000000000001</v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17.617</v>
      </c>
      <c r="F30" s="27">
        <f>E30</f>
        <v/>
      </c>
      <c r="G30" s="26" t="n">
        <v>17.617</v>
      </c>
      <c r="H30" s="26" t="n">
        <v>17.599</v>
      </c>
      <c r="I30" s="26" t="n">
        <v>17.254</v>
      </c>
      <c r="J30" s="26" t="n">
        <v>17.134</v>
      </c>
      <c r="K30" s="27">
        <f>J30</f>
        <v/>
      </c>
      <c r="L30" s="26" t="n">
        <v>17.077</v>
      </c>
      <c r="M30" s="26" t="n">
        <v>17.11</v>
      </c>
      <c r="N30" s="26" t="n">
        <v>17.11</v>
      </c>
      <c r="O30" s="26" t="n">
        <v>16.344</v>
      </c>
      <c r="P30" s="27">
        <f>O30</f>
        <v/>
      </c>
      <c r="Q30" s="26" t="n">
        <v>16.344</v>
      </c>
      <c r="R30" s="26" t="n">
        <v>16.344</v>
      </c>
      <c r="S30" s="26" t="n">
        <v>16.344</v>
      </c>
      <c r="T30" s="26" t="n">
        <v>16.344</v>
      </c>
      <c r="U30" s="27">
        <f>T30</f>
        <v/>
      </c>
      <c r="V30" s="26" t="n">
        <v>16.581</v>
      </c>
      <c r="W30" s="26" t="n">
        <v>17.11</v>
      </c>
      <c r="X30" s="26" t="n">
        <v>17.11</v>
      </c>
      <c r="Y30" s="26" t="n">
        <v>17.11</v>
      </c>
      <c r="Z30" s="27">
        <f>Y30</f>
        <v/>
      </c>
      <c r="AA30" s="26" t="n">
        <v>17.11</v>
      </c>
      <c r="AB30" s="28" t="n">
        <v>17.11</v>
      </c>
      <c r="AC30" s="36">
        <f>IFERROR(AB30*(1+변수!AC41),"")</f>
        <v/>
      </c>
      <c r="AD30" s="36">
        <f>IFERROR(AC30*(1+변수!AD41),"")</f>
        <v/>
      </c>
      <c r="AE30" s="30">
        <f>AD30</f>
        <v/>
      </c>
      <c r="AF30" s="36">
        <f>IFERROR(AD30*(1+변수!AF41),"")</f>
        <v/>
      </c>
      <c r="AG30" s="36">
        <f>IFERROR(AF30*(1+변수!AG41),"")</f>
        <v/>
      </c>
      <c r="AH30" s="36">
        <f>IFERROR(AG30*(1+변수!AH41),"")</f>
        <v/>
      </c>
      <c r="AI30" s="36">
        <f>IFERROR(AH30*(1+변수!AI41),"")</f>
        <v/>
      </c>
      <c r="AJ30" s="30">
        <f>AI30</f>
        <v/>
      </c>
      <c r="AK30" s="36">
        <f>IFERROR(AI30*(1+변수!AK41),"")</f>
        <v/>
      </c>
      <c r="AL30" s="36">
        <f>IFERROR(AK30*(1+변수!AL41),"")</f>
        <v/>
      </c>
      <c r="AM30" s="36">
        <f>IFERROR(AL30*(1+변수!AM41),"")</f>
        <v/>
      </c>
      <c r="AN30" s="36">
        <f>IFERROR(AM30*(1+변수!AN41),"")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IFERROR(E17*100/E30,"")</f>
        <v/>
      </c>
      <c r="F31" s="34" t="n"/>
      <c r="G31" s="18">
        <f>IFERROR(G17*100/G30,"")</f>
        <v/>
      </c>
      <c r="H31" s="18">
        <f>IFERROR(H17*100/H30,"")</f>
        <v/>
      </c>
      <c r="I31" s="18">
        <f>IFERROR(I17*100/I30,"")</f>
        <v/>
      </c>
      <c r="J31" s="18">
        <f>IFERROR(J17*100/J30,"")</f>
        <v/>
      </c>
      <c r="K31" s="34">
        <f>SUM(G31:J31)</f>
        <v/>
      </c>
      <c r="L31" s="18">
        <f>IFERROR(L17*100/L30,"")</f>
        <v/>
      </c>
      <c r="M31" s="18">
        <f>IFERROR(M17*100/M30,"")</f>
        <v/>
      </c>
      <c r="N31" s="18">
        <f>IFERROR(N17*100/N30,"")</f>
        <v/>
      </c>
      <c r="O31" s="18">
        <f>IFERROR(O17*100/O30,"")</f>
        <v/>
      </c>
      <c r="P31" s="34">
        <f>SUM(L31:O31)</f>
        <v/>
      </c>
      <c r="Q31" s="18">
        <f>IFERROR(Q17*100/Q30,"")</f>
        <v/>
      </c>
      <c r="R31" s="18">
        <f>IFERROR(R17*100/R30,"")</f>
        <v/>
      </c>
      <c r="S31" s="18">
        <f>IFERROR(S17*100/S30,"")</f>
        <v/>
      </c>
      <c r="T31" s="18">
        <f>IFERROR(T17*100/T30,"")</f>
        <v/>
      </c>
      <c r="U31" s="34">
        <f>SUM(Q31:T31)</f>
        <v/>
      </c>
      <c r="V31" s="18">
        <f>IFERROR(V17*100/V30,"")</f>
        <v/>
      </c>
      <c r="W31" s="18">
        <f>IFERROR(W17*100/W30,"")</f>
        <v/>
      </c>
      <c r="X31" s="18">
        <f>IFERROR(X17*100/X30,"")</f>
        <v/>
      </c>
      <c r="Y31" s="18">
        <f>IFERROR(Y17*100/Y30,"")</f>
        <v/>
      </c>
      <c r="Z31" s="34">
        <f>SUM(V31:Y31)</f>
        <v/>
      </c>
      <c r="AA31" s="18">
        <f>IFERROR(AA17*100/AA30,"")</f>
        <v/>
      </c>
      <c r="AB31" s="19">
        <f>IFERROR(AB17*100/AB30,"")</f>
        <v/>
      </c>
      <c r="AC31" s="20">
        <f>IFERROR(AC17*100/AC30,"")</f>
        <v/>
      </c>
      <c r="AD31" s="20">
        <f>IFERROR(AD17*100/AD30,"")</f>
        <v/>
      </c>
      <c r="AE31" s="35">
        <f>SUM(AA31:AD31)</f>
        <v/>
      </c>
      <c r="AF31" s="20">
        <f>IFERROR(AF17*100/AF30,"")</f>
        <v/>
      </c>
      <c r="AG31" s="20">
        <f>IFERROR(AG17*100/AG30,"")</f>
        <v/>
      </c>
      <c r="AH31" s="20">
        <f>IFERROR(AH17*100/AH30,"")</f>
        <v/>
      </c>
      <c r="AI31" s="20">
        <f>IFERROR(AI17*100/AI30,"")</f>
        <v/>
      </c>
      <c r="AJ31" s="35">
        <f>SUM(AF31:AI31)</f>
        <v/>
      </c>
      <c r="AK31" s="20">
        <f>IFERROR(AK17*100/AK30,"")</f>
        <v/>
      </c>
      <c r="AL31" s="20">
        <f>IFERROR(AL17*100/AL30,"")</f>
        <v/>
      </c>
      <c r="AM31" s="20">
        <f>IFERROR(AM17*100/AM30,"")</f>
        <v/>
      </c>
      <c r="AN31" s="20">
        <f>IFERROR(AN17*100/AN30,"")</f>
        <v/>
      </c>
      <c r="AO31" s="35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4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4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4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4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4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5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5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5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100</v>
      </c>
      <c r="F33" s="34" t="n">
        <v>100</v>
      </c>
      <c r="G33" s="18" t="n"/>
      <c r="H33" s="18" t="n"/>
      <c r="I33" s="18" t="n"/>
      <c r="J33" s="18" t="n">
        <v>100</v>
      </c>
      <c r="K33" s="34">
        <f>SUM(G33:J33)</f>
        <v/>
      </c>
      <c r="L33" s="18" t="n"/>
      <c r="M33" s="18" t="n"/>
      <c r="N33" s="18" t="n"/>
      <c r="O33" s="18" t="n">
        <v>300</v>
      </c>
      <c r="P33" s="34">
        <f>SUM(L33:O33)</f>
        <v/>
      </c>
      <c r="Q33" s="18" t="n"/>
      <c r="R33" s="18" t="n"/>
      <c r="S33" s="18" t="n"/>
      <c r="T33" s="18" t="n">
        <v>300</v>
      </c>
      <c r="U33" s="34">
        <f>SUM(Q33:T33)</f>
        <v/>
      </c>
      <c r="V33" s="18" t="n"/>
      <c r="W33" s="18" t="n"/>
      <c r="X33" s="18" t="n"/>
      <c r="Y33" s="18" t="n">
        <v>620</v>
      </c>
      <c r="Z33" s="34">
        <f>SUM(V33:Y33)</f>
        <v/>
      </c>
      <c r="AA33" s="18" t="n"/>
      <c r="AB33" s="19" t="n"/>
      <c r="AC33" s="20" t="n"/>
      <c r="AD33" s="20">
        <f>IFERROR(Y33*(1+변수!AD42),"")</f>
        <v/>
      </c>
      <c r="AE33" s="35">
        <f>SUM(AA33:AD33)</f>
        <v/>
      </c>
      <c r="AF33" s="20" t="n"/>
      <c r="AG33" s="20" t="n"/>
      <c r="AH33" s="20" t="n"/>
      <c r="AI33" s="20">
        <f>IFERROR(AD33*(1+변수!AI42),"")</f>
        <v/>
      </c>
      <c r="AJ33" s="35">
        <f>SUM(AF33:AI33)</f>
        <v/>
      </c>
      <c r="AK33" s="20" t="n"/>
      <c r="AL33" s="20" t="n"/>
      <c r="AM33" s="20" t="n"/>
      <c r="AN33" s="20">
        <f>IFERROR(AI33*(1+변수!AN42),"")</f>
        <v/>
      </c>
      <c r="AO33" s="35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8" t="n"/>
      <c r="F34" s="34" t="n"/>
      <c r="G34" s="18" t="n"/>
      <c r="H34" s="18" t="n"/>
      <c r="I34" s="18" t="n">
        <v>9.57</v>
      </c>
      <c r="J34" s="18" t="n">
        <v>11.5</v>
      </c>
      <c r="K34" s="34">
        <f>SUM(G34:J34)</f>
        <v/>
      </c>
      <c r="L34" s="18" t="n">
        <v>15.1</v>
      </c>
      <c r="M34" s="18" t="n">
        <v>1.59</v>
      </c>
      <c r="N34" s="18" t="n">
        <v>1.58</v>
      </c>
      <c r="O34" s="18" t="n">
        <v>1.53</v>
      </c>
      <c r="P34" s="34">
        <f>SUM(L34:O34)</f>
        <v/>
      </c>
      <c r="Q34" s="18" t="n">
        <v>1.36</v>
      </c>
      <c r="R34" s="18" t="n">
        <v>10.59</v>
      </c>
      <c r="S34" s="18" t="n">
        <v>8.699999999999999</v>
      </c>
      <c r="T34" s="18" t="n">
        <v>8.449999999999999</v>
      </c>
      <c r="U34" s="34">
        <f>SUM(Q34:T34)</f>
        <v/>
      </c>
      <c r="V34" s="18" t="n">
        <v>9.550000000000001</v>
      </c>
      <c r="W34" s="18" t="n">
        <v>8.49</v>
      </c>
      <c r="X34" s="18" t="n">
        <v>8.99</v>
      </c>
      <c r="Y34" s="18" t="n">
        <v>11.03</v>
      </c>
      <c r="Z34" s="34">
        <f>SUM(V34:Y34)</f>
        <v/>
      </c>
      <c r="AA34" s="18" t="n">
        <v>10.31</v>
      </c>
      <c r="AB34" s="19" t="n">
        <v>10.99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1.01</v>
      </c>
      <c r="F35" s="34" t="n">
        <v>0.95</v>
      </c>
      <c r="G35" s="18" t="n">
        <v>1.1</v>
      </c>
      <c r="H35" s="18" t="n">
        <v>1.02</v>
      </c>
      <c r="I35" s="18" t="n">
        <v>0.93</v>
      </c>
      <c r="J35" s="18" t="n">
        <v>0.93</v>
      </c>
      <c r="K35" s="34">
        <f>SUM(G35:J35)</f>
        <v/>
      </c>
      <c r="L35" s="18" t="n">
        <v>1.02</v>
      </c>
      <c r="M35" s="18" t="n">
        <v>0.7</v>
      </c>
      <c r="N35" s="18" t="n">
        <v>0.66</v>
      </c>
      <c r="O35" s="18" t="n">
        <v>0.65</v>
      </c>
      <c r="P35" s="34">
        <f>SUM(L35:O35)</f>
        <v/>
      </c>
      <c r="Q35" s="18" t="n">
        <v>0.61</v>
      </c>
      <c r="R35" s="18" t="n">
        <v>0.66</v>
      </c>
      <c r="S35" s="18" t="n">
        <v>0.68</v>
      </c>
      <c r="T35" s="18" t="n">
        <v>0.68</v>
      </c>
      <c r="U35" s="34">
        <f>SUM(Q35:T35)</f>
        <v/>
      </c>
      <c r="V35" s="18" t="n">
        <v>0.84</v>
      </c>
      <c r="W35" s="18" t="n">
        <v>0.85</v>
      </c>
      <c r="X35" s="18" t="n">
        <v>1.1</v>
      </c>
      <c r="Y35" s="18" t="n">
        <v>1.43</v>
      </c>
      <c r="Z35" s="34">
        <f>SUM(V35:Y35)</f>
        <v/>
      </c>
      <c r="AA35" s="18" t="n">
        <v>1.4</v>
      </c>
      <c r="AB35" s="19" t="n">
        <v>1.53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163.77</v>
      </c>
      <c r="F36" s="34" t="n"/>
      <c r="G36" s="18" t="n">
        <v>159.4</v>
      </c>
      <c r="H36" s="18" t="n">
        <v>269.14</v>
      </c>
      <c r="I36" s="18" t="n">
        <v>275.46</v>
      </c>
      <c r="J36" s="18" t="n">
        <v>282.36</v>
      </c>
      <c r="K36" s="34">
        <f>SUM(G36:J36)</f>
        <v/>
      </c>
      <c r="L36" s="18" t="n">
        <v>221.39</v>
      </c>
      <c r="M36" s="18" t="n">
        <v>203.41</v>
      </c>
      <c r="N36" s="18" t="n">
        <v>173</v>
      </c>
      <c r="O36" s="18" t="n">
        <v>191.64</v>
      </c>
      <c r="P36" s="34">
        <f>SUM(L36:O36)</f>
        <v/>
      </c>
      <c r="Q36" s="18" t="n">
        <v>231.01</v>
      </c>
      <c r="R36" s="18" t="n">
        <v>255.85</v>
      </c>
      <c r="S36" s="18" t="n">
        <v>232.8</v>
      </c>
      <c r="T36" s="18" t="n">
        <v>322.7</v>
      </c>
      <c r="U36" s="34">
        <f>SUM(Q36:T36)</f>
        <v/>
      </c>
      <c r="V36" s="18" t="n">
        <v>265.56</v>
      </c>
      <c r="W36" s="18" t="n">
        <v>356.62</v>
      </c>
      <c r="X36" s="18" t="n">
        <v>316.68</v>
      </c>
      <c r="Y36" s="18" t="n">
        <v>395.91</v>
      </c>
      <c r="Z36" s="34">
        <f>SUM(V36:Y36)</f>
        <v/>
      </c>
      <c r="AA36" s="18" t="n">
        <v>393.57</v>
      </c>
      <c r="AB36" s="19" t="n">
        <v>428.36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-8.26</v>
      </c>
      <c r="F37" s="34" t="n"/>
      <c r="G37" s="18" t="n">
        <v>9.49</v>
      </c>
      <c r="H37" s="18" t="n">
        <v>26.85</v>
      </c>
      <c r="I37" s="18" t="n">
        <v>50.72</v>
      </c>
      <c r="J37" s="18" t="n">
        <v>1.1</v>
      </c>
      <c r="K37" s="34">
        <f>SUM(G37:J37)</f>
        <v/>
      </c>
      <c r="L37" s="18" t="n">
        <v>9.94</v>
      </c>
      <c r="M37" s="18" t="n">
        <v>12.79</v>
      </c>
      <c r="N37" s="18" t="n">
        <v>15.21</v>
      </c>
      <c r="O37" s="18" t="n">
        <v>15.71</v>
      </c>
      <c r="P37" s="34">
        <f>SUM(L37:O37)</f>
        <v/>
      </c>
      <c r="Q37" s="18" t="n">
        <v>39.13</v>
      </c>
      <c r="R37" s="18" t="n">
        <v>39.65</v>
      </c>
      <c r="S37" s="18" t="n">
        <v>31.9</v>
      </c>
      <c r="T37" s="18" t="n">
        <v>48.95</v>
      </c>
      <c r="U37" s="34">
        <f>SUM(Q37:T37)</f>
        <v/>
      </c>
      <c r="V37" s="18" t="n">
        <v>51.29</v>
      </c>
      <c r="W37" s="18" t="n">
        <v>61.61</v>
      </c>
      <c r="X37" s="18" t="n">
        <v>54.41</v>
      </c>
      <c r="Y37" s="18" t="n">
        <v>55.42</v>
      </c>
      <c r="Z37" s="34">
        <f>SUM(V37:Y37)</f>
        <v/>
      </c>
      <c r="AA37" s="18" t="n">
        <v>55.18</v>
      </c>
      <c r="AB37" s="19" t="n">
        <v>91.94</v>
      </c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IFERROR(E17/E5,"")</f>
        <v/>
      </c>
      <c r="F40" s="22">
        <f>IFERROR(F17/F5,"")</f>
        <v/>
      </c>
      <c r="G40" s="21">
        <f>IFERROR(G17/G5,"")</f>
        <v/>
      </c>
      <c r="H40" s="21">
        <f>IFERROR(H17/H5,"")</f>
        <v/>
      </c>
      <c r="I40" s="21">
        <f>IFERROR(I17/I5,"")</f>
        <v/>
      </c>
      <c r="J40" s="21">
        <f>IFERROR(J17/J5,"")</f>
        <v/>
      </c>
      <c r="K40" s="22">
        <f>IFERROR(K17/K5,"")</f>
        <v/>
      </c>
      <c r="L40" s="21">
        <f>IFERROR(L17/L5,"")</f>
        <v/>
      </c>
      <c r="M40" s="21">
        <f>IFERROR(M17/M5,"")</f>
        <v/>
      </c>
      <c r="N40" s="21">
        <f>IFERROR(N17/N5,"")</f>
        <v/>
      </c>
      <c r="O40" s="21">
        <f>IFERROR(O17/O5,"")</f>
        <v/>
      </c>
      <c r="P40" s="22">
        <f>IFERROR(P17/P5,"")</f>
        <v/>
      </c>
      <c r="Q40" s="21">
        <f>IFERROR(Q17/Q5,"")</f>
        <v/>
      </c>
      <c r="R40" s="21">
        <f>IFERROR(R17/R5,"")</f>
        <v/>
      </c>
      <c r="S40" s="21">
        <f>IFERROR(S17/S5,"")</f>
        <v/>
      </c>
      <c r="T40" s="21">
        <f>IFERROR(T17/T5,"")</f>
        <v/>
      </c>
      <c r="U40" s="22">
        <f>IFERROR(U17/U5,"")</f>
        <v/>
      </c>
      <c r="V40" s="21">
        <f>IFERROR(V17/V5,"")</f>
        <v/>
      </c>
      <c r="W40" s="21">
        <f>IFERROR(W17/W5,"")</f>
        <v/>
      </c>
      <c r="X40" s="21">
        <f>IFERROR(X17/X5,"")</f>
        <v/>
      </c>
      <c r="Y40" s="21">
        <f>IFERROR(Y17/Y5,"")</f>
        <v/>
      </c>
      <c r="Z40" s="22">
        <f>IFERROR(Z17/Z5,"")</f>
        <v/>
      </c>
      <c r="AA40" s="21">
        <f>IFERROR(AA17/AA5,"")</f>
        <v/>
      </c>
      <c r="AB40" s="23">
        <f>IFERROR(AB17/AB5,"")</f>
        <v/>
      </c>
      <c r="AC40" s="31">
        <f>IFERROR(AC17/AC5,"")</f>
        <v/>
      </c>
      <c r="AD40" s="31">
        <f>IFERROR(AD17/AD5,"")</f>
        <v/>
      </c>
      <c r="AE40" s="25">
        <f>IFERROR(AE17/AE5,"")</f>
        <v/>
      </c>
      <c r="AF40" s="31">
        <f>IFERROR(AF17/AF5,"")</f>
        <v/>
      </c>
      <c r="AG40" s="31">
        <f>IFERROR(AG17/AG5,"")</f>
        <v/>
      </c>
      <c r="AH40" s="31">
        <f>IFERROR(AH17/AH5,"")</f>
        <v/>
      </c>
      <c r="AI40" s="31">
        <f>IFERROR(AI17/AI5,"")</f>
        <v/>
      </c>
      <c r="AJ40" s="25">
        <f>IFERROR(AJ17/AJ5,"")</f>
        <v/>
      </c>
      <c r="AK40" s="31">
        <f>IFERROR(AK17/AK5,"")</f>
        <v/>
      </c>
      <c r="AL40" s="31">
        <f>IFERROR(AL17/AL5,"")</f>
        <v/>
      </c>
      <c r="AM40" s="31">
        <f>IFERROR(AM17/AM5,"")</f>
        <v/>
      </c>
      <c r="AN40" s="31">
        <f>IFERROR(AN17/AN5,"")</f>
        <v/>
      </c>
      <c r="AO40" s="25">
        <f>IFERROR(AO17/AO5,"")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3">
        <f>IFERROR(VLOOKUP($A30,subQ,MATCH(W$1,SUBQH,0),0),"")</f>
        <v/>
      </c>
      <c r="X30" s="36">
        <f>IFERROR(VLOOKUP($A30,subQ,MATCH(X$1,SUBQH,0),0),"")</f>
        <v/>
      </c>
      <c r="Y30" s="36">
        <f>IFERROR(VLOOKUP($A30,subQ,MATCH(Y$1,SUBQH,0),0),"")</f>
        <v/>
      </c>
      <c r="Z30" s="36">
        <f>IFERROR(VLOOKUP($A30,subQ,MATCH(Z$1,SUBQH,0),0),"")</f>
        <v/>
      </c>
      <c r="AA30" s="36">
        <f>IFERROR(VLOOKUP($A30,subQ,MATCH(AA$1,SUBQH,0),0),"")</f>
        <v/>
      </c>
      <c r="AB30" s="36">
        <f>IFERROR(VLOOKUP($A30,subQ,MATCH(AB$1,SUBQH,0),0),"")</f>
        <v/>
      </c>
      <c r="AC30" s="36">
        <f>IFERROR(VLOOKUP($A30,subQ,MATCH(AC$1,SUBQH,0),0),"")</f>
        <v/>
      </c>
      <c r="AD30" s="36">
        <f>IFERROR(VLOOKUP($A30,subQ,MATCH(AD$1,SUBQH,0),0),"")</f>
        <v/>
      </c>
      <c r="AE30" s="36">
        <f>IFERROR(VLOOKUP($A30,subQ,MATCH(AE$1,SUBQH,0),0),"")</f>
        <v/>
      </c>
      <c r="AF30" s="36">
        <f>IFERROR(VLOOKUP($A30,subQ,MATCH(AF$1,SUBQH,0),0),"")</f>
        <v/>
      </c>
      <c r="AG30" s="36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IFERROR(I17/E17-1,"")</f>
        <v/>
      </c>
      <c r="J42" s="21">
        <f>IFERROR(J17/F17-1,"")</f>
        <v/>
      </c>
      <c r="K42" s="21">
        <f>IFERROR(K17/G17-1,"")</f>
        <v/>
      </c>
      <c r="L42" s="21">
        <f>IFERROR(L17/H17-1,"")</f>
        <v/>
      </c>
      <c r="M42" s="21">
        <f>IFERROR(M17/I17-1,"")</f>
        <v/>
      </c>
      <c r="N42" s="21">
        <f>IFERROR(N17/J17-1,"")</f>
        <v/>
      </c>
      <c r="O42" s="21">
        <f>IFERROR(O17/K17-1,"")</f>
        <v/>
      </c>
      <c r="P42" s="21">
        <f>IFERROR(P17/L17-1,"")</f>
        <v/>
      </c>
      <c r="Q42" s="21">
        <f>IFERROR(Q17/M17-1,"")</f>
        <v/>
      </c>
      <c r="R42" s="21">
        <f>IFERROR(R17/N17-1,"")</f>
        <v/>
      </c>
      <c r="S42" s="21">
        <f>IFERROR(S17/O17-1,"")</f>
        <v/>
      </c>
      <c r="T42" s="21">
        <f>IFERROR(T17/P17-1,"")</f>
        <v/>
      </c>
      <c r="U42" s="21">
        <f>IFERROR(U17/Q17-1,"")</f>
        <v/>
      </c>
      <c r="V42" s="21">
        <f>IFERROR(V17/R17-1,"")</f>
        <v/>
      </c>
      <c r="W42" s="42">
        <f>IFERROR(W17/S17-1,"")</f>
        <v/>
      </c>
      <c r="X42" s="31">
        <f>IFERROR(X17/T17-1,"")</f>
        <v/>
      </c>
      <c r="Y42" s="31">
        <f>IFERROR(Y17/U17-1,"")</f>
        <v/>
      </c>
      <c r="Z42" s="31">
        <f>IFERROR(Z17/V17-1,"")</f>
        <v/>
      </c>
      <c r="AA42" s="31">
        <f>IFERROR(AA17/W17-1,"")</f>
        <v/>
      </c>
      <c r="AB42" s="31">
        <f>IFERROR(AB17/X17-1,"")</f>
        <v/>
      </c>
      <c r="AC42" s="31">
        <f>IFERROR(AC17/Y17-1,"")</f>
        <v/>
      </c>
      <c r="AD42" s="31">
        <f>IFERROR(AD17/Z17-1,"")</f>
        <v/>
      </c>
      <c r="AE42" s="31">
        <f>IFERROR(AE17/AA17-1,"")</f>
        <v/>
      </c>
      <c r="AF42" s="31">
        <f>IFERROR(AF17/AB17-1,"")</f>
        <v/>
      </c>
      <c r="AG42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3">
        <f>IFERROR(VLOOKUP($A30,subQ,MATCH(I$1,SUBQH,0),0),"")</f>
        <v/>
      </c>
      <c r="J30" s="36">
        <f>IFERROR(VLOOKUP($A30,subQ,MATCH(J$1,SUBQH,0),0),"")</f>
        <v/>
      </c>
      <c r="K30" s="36">
        <f>IFERROR(VLOOKUP($A30,subQ,MATCH(K$1,SUBQH,0),0),"")</f>
        <v/>
      </c>
      <c r="L30" s="36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IFERROR(F17/E17-1,"")</f>
        <v/>
      </c>
      <c r="G42" s="21">
        <f>IFERROR(G17/F17-1,"")</f>
        <v/>
      </c>
      <c r="H42" s="21">
        <f>IFERROR(H17/G17-1,"")</f>
        <v/>
      </c>
      <c r="I42" s="42">
        <f>IFERROR(I17/H17-1,"")</f>
        <v/>
      </c>
      <c r="J42" s="31">
        <f>IFERROR(J17/I17-1,"")</f>
        <v/>
      </c>
      <c r="K42" s="31">
        <f>IFERROR(K17/J17-1,"")</f>
        <v/>
      </c>
      <c r="L42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1644.6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10.18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0.138</v>
      </c>
    </row>
    <row r="34">
      <c r="C34" s="2" t="inlineStr">
        <is>
          <t>fair_pbr</t>
        </is>
      </c>
      <c r="D34" t="n">
        <v>1.53</v>
      </c>
    </row>
    <row r="35">
      <c r="C35" s="2" t="inlineStr">
        <is>
          <t>fair_value_pbr</t>
        </is>
      </c>
      <c r="D35" t="n">
        <v>18200</v>
      </c>
    </row>
    <row r="36">
      <c r="C36" s="2" t="inlineStr">
        <is>
          <t>ev_ebitda</t>
        </is>
      </c>
      <c r="D36" t="n">
        <v>9.25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