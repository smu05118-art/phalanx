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253950억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263087억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271982억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283054억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298412억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316627억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336153억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355482억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372615억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253950억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263087억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271982억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283054억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298412억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316627억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336153억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355482억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372615억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3054억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3197억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3103억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3217억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3363억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3539억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3626억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7810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0.249918742</v>
      </c>
      <c r="AD21" s="24" t="n">
        <v>0.413320509</v>
      </c>
      <c r="AE21" s="25" t="n"/>
      <c r="AF21" s="24" t="n">
        <v>0.328998074</v>
      </c>
      <c r="AG21" s="24" t="n">
        <v>0.351675907</v>
      </c>
      <c r="AH21" s="24" t="n">
        <v>0.180328535</v>
      </c>
      <c r="AI21" s="24" t="n">
        <v>0.175074677</v>
      </c>
      <c r="AJ21" s="25" t="n"/>
      <c r="AK21" s="24" t="n">
        <v>0.203503989</v>
      </c>
      <c r="AL21" s="24" t="n">
        <v>0.23594004</v>
      </c>
      <c r="AM21" s="24" t="n">
        <v>0.255882801</v>
      </c>
      <c r="AN21" s="24" t="n">
        <v>0.248664152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0.070675644</v>
      </c>
      <c r="AD23" s="24" t="n">
        <v>0.07067437999999999</v>
      </c>
      <c r="AE23" s="25">
        <f>IFERROR(subQ!AE9/subQ!AE5,"")</f>
        <v/>
      </c>
      <c r="AF23" s="24" t="n">
        <v>0.070677144</v>
      </c>
      <c r="AG23" s="24" t="n">
        <v>0.070674088</v>
      </c>
      <c r="AH23" s="24" t="n">
        <v>0.070677217</v>
      </c>
      <c r="AI23" s="24" t="n">
        <v>0.07067421</v>
      </c>
      <c r="AJ23" s="25">
        <f>IFERROR(subQ!AJ9/subQ!AJ5,"")</f>
        <v/>
      </c>
      <c r="AK23" s="24" t="n">
        <v>0.070675239</v>
      </c>
      <c r="AL23" s="24" t="n">
        <v>0.070674529</v>
      </c>
      <c r="AM23" s="24" t="n">
        <v>0.07067507200000001</v>
      </c>
      <c r="AN23" s="24" t="n">
        <v>0.07067430199999999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0.000251988</v>
      </c>
      <c r="AD28" s="30" t="n">
        <v>-0.013685388</v>
      </c>
      <c r="AE28" s="31" t="n"/>
      <c r="AF28" s="30" t="n">
        <v>0.005889619</v>
      </c>
      <c r="AG28" s="30" t="n">
        <v>216.015262466</v>
      </c>
      <c r="AH28" s="30" t="n">
        <v>0.001416794</v>
      </c>
      <c r="AI28" s="30" t="n">
        <v>-0.009497070999999999</v>
      </c>
      <c r="AJ28" s="31" t="n"/>
      <c r="AK28" s="30" t="n">
        <v>-0.000557023</v>
      </c>
      <c r="AL28" s="30" t="n">
        <v>216.025156639</v>
      </c>
      <c r="AM28" s="30" t="n">
        <v>-0.003990989</v>
      </c>
      <c r="AN28" s="30" t="n">
        <v>-0.011209062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-0.0065839</v>
      </c>
      <c r="AD29" s="30" t="n">
        <v>-0.00089399</v>
      </c>
      <c r="AE29" s="31" t="n"/>
      <c r="AF29" s="30" t="n">
        <v>0.000597198</v>
      </c>
      <c r="AG29" s="30" t="n">
        <v>216.021725272</v>
      </c>
      <c r="AH29" s="30" t="n">
        <v>0.000889631</v>
      </c>
      <c r="AI29" s="30" t="n">
        <v>-0.006866004</v>
      </c>
      <c r="AJ29" s="31" t="n"/>
      <c r="AK29" s="30" t="n">
        <v>-0.00470493</v>
      </c>
      <c r="AL29" s="30" t="n">
        <v>216.022997825</v>
      </c>
      <c r="AM29" s="30" t="n">
        <v>-0.004250651</v>
      </c>
      <c r="AN29" s="30" t="n">
        <v>-0.002603698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-0.005418311</v>
      </c>
      <c r="AD31" s="24" t="n">
        <v>-0.007126435</v>
      </c>
      <c r="AE31" s="25" t="n"/>
      <c r="AF31" s="24" t="n">
        <v>-0.008429011</v>
      </c>
      <c r="AG31" s="24" t="n">
        <v>0.005545951</v>
      </c>
      <c r="AH31" s="24" t="n">
        <v>-0.006692501</v>
      </c>
      <c r="AI31" s="24" t="n">
        <v>-0.008708149</v>
      </c>
      <c r="AJ31" s="25" t="n"/>
      <c r="AK31" s="24" t="n">
        <v>-0.010558372</v>
      </c>
      <c r="AL31" s="24" t="n">
        <v>0.003643504</v>
      </c>
      <c r="AM31" s="24" t="n">
        <v>-0.008881192</v>
      </c>
      <c r="AN31" s="24" t="n">
        <v>-0.011424789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0.032824244</v>
      </c>
      <c r="AD32" s="24" t="n">
        <v>0.041569879</v>
      </c>
      <c r="AE32" s="25" t="n"/>
      <c r="AF32" s="24" t="n">
        <v>0.046876433</v>
      </c>
      <c r="AG32" s="24" t="n">
        <v>-0.029211374</v>
      </c>
      <c r="AH32" s="24" t="n">
        <v>0.036512509</v>
      </c>
      <c r="AI32" s="24" t="n">
        <v>0.045529016</v>
      </c>
      <c r="AJ32" s="25" t="n"/>
      <c r="AK32" s="24" t="n">
        <v>0.052338927</v>
      </c>
      <c r="AL32" s="24" t="n">
        <v>-0.016981719</v>
      </c>
      <c r="AM32" s="24" t="n">
        <v>0.042262144</v>
      </c>
      <c r="AN32" s="24" t="n">
        <v>0.051698414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7810</v>
      </c>
      <c r="E40" s="2" t="inlineStr">
        <is>
          <t>원 — 네이버 정규장 종가(aik 확정종가 대조 · aik 7,940원)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0.08413995117982098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0.1080929465324173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0.9267458884735115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0.0004466495896944415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0.00439442084280894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1443.9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5.41</v>
      </c>
    </row>
    <row r="32">
      <c r="C32" s="2" t="inlineStr">
        <is>
          <t>pbr_now</t>
        </is>
      </c>
      <c r="D32" t="n">
        <v>0.78</v>
      </c>
    </row>
    <row r="33">
      <c r="C33" s="2" t="inlineStr">
        <is>
          <t>roe_fwd</t>
        </is>
      </c>
      <c r="D33" t="n">
        <v>0.1445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