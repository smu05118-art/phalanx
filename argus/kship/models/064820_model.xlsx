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255852억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265700억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274541억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284424억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297400억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313630억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331909억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350749억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368148억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255852억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265700억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274541억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284424억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297400억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313630억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331909억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350749억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368148억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3200억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3108억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3222억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3200억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3108억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3222억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3367억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3542억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3624억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6560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6110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7146.9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0.42390415</v>
      </c>
      <c r="AE21" s="25" t="n"/>
      <c r="AF21" s="24" t="n">
        <v>0.342201206</v>
      </c>
      <c r="AG21" s="24" t="n">
        <v>0.36439524</v>
      </c>
      <c r="AH21" s="24" t="n">
        <v>0.183298587</v>
      </c>
      <c r="AI21" s="24" t="n">
        <v>0.162385838</v>
      </c>
      <c r="AJ21" s="25" t="n"/>
      <c r="AK21" s="24" t="n">
        <v>0.180391254</v>
      </c>
      <c r="AL21" s="24" t="n">
        <v>0.208958348</v>
      </c>
      <c r="AM21" s="24" t="n">
        <v>0.23318423</v>
      </c>
      <c r="AN21" s="24" t="n">
        <v>0.237892114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0.070676058</v>
      </c>
      <c r="AE23" s="25">
        <f>IFERROR(subQ!AE9/subQ!AE5,"")</f>
        <v/>
      </c>
      <c r="AF23" s="24" t="n">
        <v>0.07067659599999999</v>
      </c>
      <c r="AG23" s="24" t="n">
        <v>0.070674947</v>
      </c>
      <c r="AH23" s="24" t="n">
        <v>0.07067419699999999</v>
      </c>
      <c r="AI23" s="24" t="n">
        <v>0.070674178</v>
      </c>
      <c r="AJ23" s="25">
        <f>IFERROR(subQ!AJ9/subQ!AJ5,"")</f>
        <v/>
      </c>
      <c r="AK23" s="24" t="n">
        <v>0.07067429</v>
      </c>
      <c r="AL23" s="24" t="n">
        <v>0.070675102</v>
      </c>
      <c r="AM23" s="24" t="n">
        <v>0.070676525</v>
      </c>
      <c r="AN23" s="24" t="n">
        <v>0.070675159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-0.002350939</v>
      </c>
      <c r="AD28" s="30" t="n">
        <v>0.000920151</v>
      </c>
      <c r="AE28" s="31" t="n"/>
      <c r="AF28" s="30" t="n">
        <v>0.000406516</v>
      </c>
      <c r="AG28" s="30" t="n">
        <v>216.014936012</v>
      </c>
      <c r="AH28" s="30" t="n">
        <v>-0.004963669</v>
      </c>
      <c r="AI28" s="30" t="n">
        <v>0.003987087</v>
      </c>
      <c r="AJ28" s="31" t="n"/>
      <c r="AK28" s="30" t="n">
        <v>-0.00896097</v>
      </c>
      <c r="AL28" s="30" t="n">
        <v>216.019138015</v>
      </c>
      <c r="AM28" s="30" t="n">
        <v>0.009646411000000001</v>
      </c>
      <c r="AN28" s="30" t="n">
        <v>-0.002873965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-0.008813936</v>
      </c>
      <c r="AD29" s="30" t="n">
        <v>0.005442046</v>
      </c>
      <c r="AE29" s="31" t="n"/>
      <c r="AF29" s="30" t="n">
        <v>-0.003618904</v>
      </c>
      <c r="AG29" s="30" t="n">
        <v>216.02297083</v>
      </c>
      <c r="AH29" s="30" t="n">
        <v>-0.002847241</v>
      </c>
      <c r="AI29" s="30" t="n">
        <v>-0.003819756</v>
      </c>
      <c r="AJ29" s="31" t="n"/>
      <c r="AK29" s="30" t="n">
        <v>0.000123057</v>
      </c>
      <c r="AL29" s="30" t="n">
        <v>216.01657681</v>
      </c>
      <c r="AM29" s="30" t="n">
        <v>-0.000916934</v>
      </c>
      <c r="AN29" s="30" t="n">
        <v>0.004530503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-0.007187354</v>
      </c>
      <c r="AE31" s="25" t="n"/>
      <c r="AF31" s="24" t="n">
        <v>-0.008524477000000001</v>
      </c>
      <c r="AG31" s="24" t="n">
        <v>0.005467905</v>
      </c>
      <c r="AH31" s="24" t="n">
        <v>-0.006731988</v>
      </c>
      <c r="AI31" s="24" t="n">
        <v>-0.008676774</v>
      </c>
      <c r="AJ31" s="25" t="n"/>
      <c r="AK31" s="24" t="n">
        <v>-0.010451304</v>
      </c>
      <c r="AL31" s="24" t="n">
        <v>0.003776839</v>
      </c>
      <c r="AM31" s="24" t="n">
        <v>-0.008747853</v>
      </c>
      <c r="AN31" s="24" t="n">
        <v>-0.011272936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0.041924317</v>
      </c>
      <c r="AE32" s="25" t="n"/>
      <c r="AF32" s="24" t="n">
        <v>0.047380085</v>
      </c>
      <c r="AG32" s="24" t="n">
        <v>-0.028769131</v>
      </c>
      <c r="AH32" s="24" t="n">
        <v>0.03666864</v>
      </c>
      <c r="AI32" s="24" t="n">
        <v>0.045283113</v>
      </c>
      <c r="AJ32" s="25" t="n"/>
      <c r="AK32" s="24" t="n">
        <v>0.05172849</v>
      </c>
      <c r="AL32" s="24" t="n">
        <v>-0.017591019</v>
      </c>
      <c r="AM32" s="24" t="n">
        <v>0.041626428</v>
      </c>
      <c r="AN32" s="24" t="n">
        <v>0.051044256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6560</v>
      </c>
      <c r="E40" s="2" t="inlineStr">
        <is>
          <t>원 — 네이버 정규장 종가(aik 확정종가 대조 · aik 6,510원)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0.08412832115549114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0.1080919888391991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0.9267376285977056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0.0004470725480114462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0.004394539986208072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1456.7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4.5</v>
      </c>
    </row>
    <row r="32">
      <c r="C32" s="2" t="inlineStr">
        <is>
          <t>pbr_now</t>
        </is>
      </c>
      <c r="D32" t="n">
        <v>0.66</v>
      </c>
    </row>
    <row r="33">
      <c r="C33" s="2" t="inlineStr">
        <is>
          <t>roe_fwd</t>
        </is>
      </c>
      <c r="D33" t="n">
        <v>0.1458</v>
      </c>
    </row>
    <row r="34">
      <c r="C34" s="2" t="inlineStr">
        <is>
          <t>fair_pbr</t>
        </is>
      </c>
      <c r="D34" t="n">
        <v>1.62</v>
      </c>
    </row>
    <row r="35">
      <c r="C35" s="2" t="inlineStr">
        <is>
          <t>fair_value_pbr</t>
        </is>
      </c>
      <c r="D35" t="n">
        <v>16200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