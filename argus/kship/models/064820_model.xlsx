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240370억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254552억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261026억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262360억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261074억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258876억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256251억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253966억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250335억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245670억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모델값 역산(implied): v / 매출액
매출액 × 판관비율 10.81%(최근 4분기 중위)</t>
      </text>
    </comment>
    <comment ref="AD22" authorId="0" shapeId="0">
      <text>
        <t>모델값 역산(implied): v / 매출액
매출액 × 판관비율 10.81%(최근 4분기 중위)</t>
      </text>
    </comment>
    <comment ref="AF22" authorId="0" shapeId="0">
      <text>
        <t>모델값 역산(implied): v / 매출액
매출액 × 판관비율 10.81%(최근 4분기 중위)</t>
      </text>
    </comment>
    <comment ref="AG22" authorId="0" shapeId="0">
      <text>
        <t>모델값 역산(implied): v / 매출액
매출액 × 판관비율 10.81%(최근 4분기 중위)</t>
      </text>
    </comment>
    <comment ref="AH22" authorId="0" shapeId="0">
      <text>
        <t>모델값 역산(implied): v / 매출액
매출액 × 판관비율 10.81%(최근 4분기 중위)</t>
      </text>
    </comment>
    <comment ref="AI22" authorId="0" shapeId="0">
      <text>
        <t>모델값 역산(implied): v / 매출액
매출액 × 판관비율 10.81%(최근 4분기 중위)</t>
      </text>
    </comment>
    <comment ref="AK22" authorId="0" shapeId="0">
      <text>
        <t>모델값 역산(implied): v / 매출액
매출액 × 판관비율 10.81%(최근 4분기 중위)</t>
      </text>
    </comment>
    <comment ref="AL22" authorId="0" shapeId="0">
      <text>
        <t>모델값 역산(implied): v / 매출액
매출액 × 판관비율 10.81%(최근 4분기 중위)</t>
      </text>
    </comment>
    <comment ref="AM22" authorId="0" shapeId="0">
      <text>
        <t>모델값 역산(implied): v / 매출액
매출액 × 판관비율 10.81%(최근 4분기 중위)</t>
      </text>
    </comment>
    <comment ref="AN22" authorId="0" shapeId="0">
      <text>
        <t>모델값 역산(implied): v / 매출액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v / 전년동기 − 1
최근 8분기 OPM 중위 7.1% 유지</t>
      </text>
    </comment>
    <comment ref="AD24" authorId="0" shapeId="0">
      <text>
        <t>모델값 역산(implied): v / 전년동기 − 1
최근 8분기 OPM 중위 7.1% 유지</t>
      </text>
    </comment>
    <comment ref="AF24" authorId="0" shapeId="0">
      <text>
        <t>모델값 역산(implied): v / 전년동기 − 1
최근 8분기 OPM 중위 7.1% 유지</t>
      </text>
    </comment>
    <comment ref="AG24" authorId="0" shapeId="0">
      <text>
        <t>모델값 역산(implied): v / 전년동기 − 1
최근 8분기 OPM 중위 7.1% 유지</t>
      </text>
    </comment>
    <comment ref="AH24" authorId="0" shapeId="0">
      <text>
        <t>모델값 역산(implied): v / 전년동기 − 1
최근 8분기 OPM 중위 7.1% 유지</t>
      </text>
    </comment>
    <comment ref="AI24" authorId="0" shapeId="0">
      <text>
        <t>모델값 역산(implied): v / 전년동기 − 1
최근 8분기 OPM 중위 7.1% 유지</t>
      </text>
    </comment>
    <comment ref="AK24" authorId="0" shapeId="0">
      <text>
        <t>모델값 역산(implied): v / 전년동기 − 1
최근 8분기 OPM 중위 7.1% 유지</t>
      </text>
    </comment>
    <comment ref="AL24" authorId="0" shapeId="0">
      <text>
        <t>모델값 역산(implied): v / 전년동기 − 1
최근 8분기 OPM 중위 7.1% 유지</t>
      </text>
    </comment>
    <comment ref="AM24" authorId="0" shapeId="0">
      <text>
        <t>모델값 역산(implied): v / 전년동기 − 1
최근 8분기 OPM 중위 7.1% 유지</t>
      </text>
    </comment>
    <comment ref="AN24" authorId="0" shapeId="0">
      <text>
        <t>모델값 역산(implied): v / 전년동기 − 1
최근 8분기 OPM 중위 7.1% 유지</t>
      </text>
    </comment>
    <comment ref="AC25" authorId="0" shapeId="0">
      <text>
        <t>모델값 역산(implied): 모델 v 그대로
이자손익 = 이자발생자산 2839억 × 10.62% − 총차입금 0억 × 36.85% (연율, CF 실측) ÷ 4; 환·평가손익 0 가정</t>
      </text>
    </comment>
    <comment ref="AD25" authorId="0" shapeId="0">
      <text>
        <t>모델값 역산(implied): 모델 v 그대로
이자손익 = 이자발생자산 3019억 × 10.62% − 총차입금 0억 × 36.85% (연율, CF 실측) ÷ 4; 환·평가손익 0 가정</t>
      </text>
    </comment>
    <comment ref="AF25" authorId="0" shapeId="0">
      <text>
        <t>모델값 역산(implied): 모델 v 그대로
이자손익 = 이자발생자산 3233억 × 10.62% − 총차입금 0억 × 36.85% (연율, CF 실측) ÷ 4; 환·평가손익 0 가정</t>
      </text>
    </comment>
    <comment ref="AG25" authorId="0" shapeId="0">
      <text>
        <t>모델값 역산(implied): 모델 v 그대로
이자손익 = 이자발생자산 3472억 × 10.62% − 총차입금 0억 × 36.85% (연율, CF 실측) ÷ 4; 환·평가손익 0 가정</t>
      </text>
    </comment>
    <comment ref="AH25" authorId="0" shapeId="0">
      <text>
        <t>모델값 역산(implied): 모델 v 그대로
이자손익 = 이자발생자산 3476억 × 10.62% − 총차입금 0억 × 36.85% (연율, CF 실측) ÷ 4; 환·평가손익 0 가정</t>
      </text>
    </comment>
    <comment ref="AI25" authorId="0" shapeId="0">
      <text>
        <t>모델값 역산(implied): 모델 v 그대로
이자손익 = 이자발생자산 3682억 × 10.62% − 총차입금 0억 × 36.85% (연율, CF 실측) ÷ 4; 환·평가손익 0 가정</t>
      </text>
    </comment>
    <comment ref="AK25" authorId="0" shapeId="0">
      <text>
        <t>모델값 역산(implied): 모델 v 그대로
이자손익 = 이자발생자산 3915억 × 10.62% − 총차입금 0억 × 36.85% (연율, CF 실측) ÷ 4; 환·평가손익 0 가정</t>
      </text>
    </comment>
    <comment ref="AL25" authorId="0" shapeId="0">
      <text>
        <t>모델값 역산(implied): 모델 v 그대로
이자손익 = 이자발생자산 4167억 × 10.62% − 총차입금 0억 × 36.85% (연율, CF 실측) ÷ 4; 환·평가손익 0 가정</t>
      </text>
    </comment>
    <comment ref="AM25" authorId="0" shapeId="0">
      <text>
        <t>모델값 역산(implied): 모델 v 그대로
이자손익 = 이자발생자산 4184억 × 10.62% − 총차입금 0억 × 36.85% (연율, CF 실측) ÷ 4; 환·평가손익 0 가정</t>
      </text>
    </comment>
    <comment ref="AN25" authorId="0" shapeId="0">
      <text>
        <t>모델값 역산(implied): 모델 v 그대로
이자손익 = 이자발생자산 4402억 × 10.62% − 총차입금 0억 × 36.85%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8.4%(최근 12분기 유효세율 8.4% → 5~27% 클립)</t>
      </text>
    </comment>
    <comment ref="AD27" authorId="0" shapeId="0">
      <text>
        <t>모델값 역산(implied): v / 세전이익
max(세전, 0) × 세율 8.4%(최근 12분기 유효세율 8.4% → 5~27% 클립)</t>
      </text>
    </comment>
    <comment ref="AF27" authorId="0" shapeId="0">
      <text>
        <t>모델값 역산(implied): v / 세전이익
max(세전, 0) × 세율 8.4%(최근 12분기 유효세율 8.4% → 5~27% 클립)</t>
      </text>
    </comment>
    <comment ref="AG27" authorId="0" shapeId="0">
      <text>
        <t>모델값 역산(implied): v / 세전이익
max(세전, 0) × 세율 8.4%(최근 12분기 유효세율 8.4% → 5~27% 클립)</t>
      </text>
    </comment>
    <comment ref="AH27" authorId="0" shapeId="0">
      <text>
        <t>모델값 역산(implied): v / 세전이익
max(세전, 0) × 세율 8.4%(최근 12분기 유효세율 8.4% → 5~27% 클립)</t>
      </text>
    </comment>
    <comment ref="AI27" authorId="0" shapeId="0">
      <text>
        <t>모델값 역산(implied): v / 세전이익
max(세전, 0) × 세율 8.4%(최근 12분기 유효세율 8.4% → 5~27% 클립)</t>
      </text>
    </comment>
    <comment ref="AK27" authorId="0" shapeId="0">
      <text>
        <t>모델값 역산(implied): v / 세전이익
max(세전, 0) × 세율 8.4%(최근 12분기 유효세율 8.4% → 5~27% 클립)</t>
      </text>
    </comment>
    <comment ref="AL27" authorId="0" shapeId="0">
      <text>
        <t>모델값 역산(implied): v / 세전이익
max(세전, 0) × 세율 8.4%(최근 12분기 유효세율 8.4% → 5~27% 클립)</t>
      </text>
    </comment>
    <comment ref="AM27" authorId="0" shapeId="0">
      <text>
        <t>모델값 역산(implied): v / 세전이익
max(세전, 0) × 세율 8.4%(최근 12분기 유효세율 8.4% → 5~27% 클립)</t>
      </text>
    </comment>
    <comment ref="AN27" authorId="0" shapeId="0">
      <text>
        <t>모델값 역산(implied): v / 세전이익
max(세전, 0) × 세율 8.4%(최근 12분기 유효세율 8.4% → 5~27% 클립)</t>
      </text>
    </comment>
    <comment ref="AC28" authorId="0" shapeId="0">
      <text>
        <t>모델값 역산(implied): v / 당기순이익
당기순이익 × (1 − 비지배 비중 7.3%, 최근 8분기 실측)</t>
      </text>
    </comment>
    <comment ref="AD28" authorId="0" shapeId="0">
      <text>
        <t>모델값 역산(implied): v / 당기순이익
당기순이익 × (1 − 비지배 비중 7.3%, 최근 8분기 실측)</t>
      </text>
    </comment>
    <comment ref="AF28" authorId="0" shapeId="0">
      <text>
        <t>모델값 역산(implied): v / 당기순이익
당기순이익 × (1 − 비지배 비중 7.3%, 최근 8분기 실측)</t>
      </text>
    </comment>
    <comment ref="AG28" authorId="0" shapeId="0">
      <text>
        <t>모델값 역산(implied): v / 당기순이익
당기순이익 × (1 − 비지배 비중 7.3%, 최근 8분기 실측)</t>
      </text>
    </comment>
    <comment ref="AH28" authorId="0" shapeId="0">
      <text>
        <t>모델값 역산(implied): v / 당기순이익
당기순이익 × (1 − 비지배 비중 7.3%, 최근 8분기 실측)</t>
      </text>
    </comment>
    <comment ref="AI28" authorId="0" shapeId="0">
      <text>
        <t>모델값 역산(implied): v / 당기순이익
당기순이익 × (1 − 비지배 비중 7.3%, 최근 8분기 실측)</t>
      </text>
    </comment>
    <comment ref="AK28" authorId="0" shapeId="0">
      <text>
        <t>모델값 역산(implied): v / 당기순이익
당기순이익 × (1 − 비지배 비중 7.3%, 최근 8분기 실측)</t>
      </text>
    </comment>
    <comment ref="AL28" authorId="0" shapeId="0">
      <text>
        <t>모델값 역산(implied): v / 당기순이익
당기순이익 × (1 − 비지배 비중 7.3%, 최근 8분기 실측)</t>
      </text>
    </comment>
    <comment ref="AM28" authorId="0" shapeId="0">
      <text>
        <t>모델값 역산(implied): v / 당기순이익
당기순이익 × (1 − 비지배 비중 7.3%, 최근 8분기 실측)</t>
      </text>
    </comment>
    <comment ref="AN28" authorId="0" shapeId="0">
      <text>
        <t>모델값 역산(implied): v / 당기순이익
당기순이익 × (1 − 비지배 비중 7.3%,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700원 유지</t>
      </text>
    </comment>
    <comment ref="AI39" authorId="0" shapeId="0">
      <text>
        <t>모델값 역산(implied): v / 전년동기 − 1
직전 결산 DPS 700원 유지</t>
      </text>
    </comment>
    <comment ref="AN39" authorId="0" shapeId="0">
      <text>
        <t>모델값 역산(implied): v / 전년동기 − 1
직전 결산 DPS 700원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240370억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254552억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261026억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262360억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261074억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258876억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256251억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253966억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250335억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245670억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7.1% 유지
[yoy]</t>
      </text>
    </comment>
    <comment ref="AD10" authorId="0" shapeId="0">
      <text>
        <t>추정: 최근 8분기 OPM 중위 7.1% 유지
[yoy]</t>
      </text>
    </comment>
    <comment ref="AF10" authorId="0" shapeId="0">
      <text>
        <t>추정: 최근 8분기 OPM 중위 7.1% 유지
[yoy]</t>
      </text>
    </comment>
    <comment ref="AG10" authorId="0" shapeId="0">
      <text>
        <t>추정: 최근 8분기 OPM 중위 7.1% 유지
[yoy]</t>
      </text>
    </comment>
    <comment ref="AH10" authorId="0" shapeId="0">
      <text>
        <t>추정: 최근 8분기 OPM 중위 7.1% 유지
[yoy]</t>
      </text>
    </comment>
    <comment ref="AI10" authorId="0" shapeId="0">
      <text>
        <t>추정: 최근 8분기 OPM 중위 7.1% 유지
[yoy]</t>
      </text>
    </comment>
    <comment ref="AK10" authorId="0" shapeId="0">
      <text>
        <t>추정: 최근 8분기 OPM 중위 7.1% 유지
[yoy]</t>
      </text>
    </comment>
    <comment ref="AL10" authorId="0" shapeId="0">
      <text>
        <t>추정: 최근 8분기 OPM 중위 7.1% 유지
[yoy]</t>
      </text>
    </comment>
    <comment ref="AM10" authorId="0" shapeId="0">
      <text>
        <t>추정: 최근 8분기 OPM 중위 7.1% 유지
[yoy]</t>
      </text>
    </comment>
    <comment ref="AN10" authorId="0" shapeId="0">
      <text>
        <t>추정: 최근 8분기 OPM 중위 7.1% 유지
[yoy]</t>
      </text>
    </comment>
    <comment ref="AC11" authorId="0" shapeId="0">
      <text>
        <t>추정: 이자손익 = 이자발생자산 2839억 × 10.62% − 총차입금 0억 × 36.85% (연율, CF 실측) ÷ 4; 환·평가손익 0 가정
[abs]</t>
      </text>
    </comment>
    <comment ref="AD11" authorId="0" shapeId="0">
      <text>
        <t>추정: 이자손익 = 이자발생자산 3019억 × 10.62% − 총차입금 0억 × 36.85% (연율, CF 실측) ÷ 4; 환·평가손익 0 가정
[abs]</t>
      </text>
    </comment>
    <comment ref="AF11" authorId="0" shapeId="0">
      <text>
        <t>추정: 이자손익 = 이자발생자산 3233억 × 10.62% − 총차입금 0억 × 36.85% (연율, CF 실측) ÷ 4; 환·평가손익 0 가정
[abs]</t>
      </text>
    </comment>
    <comment ref="AG11" authorId="0" shapeId="0">
      <text>
        <t>추정: 이자손익 = 이자발생자산 3472억 × 10.62% − 총차입금 0억 × 36.85% (연율, CF 실측) ÷ 4; 환·평가손익 0 가정
[abs]</t>
      </text>
    </comment>
    <comment ref="AH11" authorId="0" shapeId="0">
      <text>
        <t>추정: 이자손익 = 이자발생자산 3476억 × 10.62% − 총차입금 0억 × 36.85% (연율, CF 실측) ÷ 4; 환·평가손익 0 가정
[abs]</t>
      </text>
    </comment>
    <comment ref="AI11" authorId="0" shapeId="0">
      <text>
        <t>추정: 이자손익 = 이자발생자산 3682억 × 10.62% − 총차입금 0억 × 36.85% (연율, CF 실측) ÷ 4; 환·평가손익 0 가정
[abs]</t>
      </text>
    </comment>
    <comment ref="AK11" authorId="0" shapeId="0">
      <text>
        <t>추정: 이자손익 = 이자발생자산 3915억 × 10.62% − 총차입금 0억 × 36.85% (연율, CF 실측) ÷ 4; 환·평가손익 0 가정
[abs]</t>
      </text>
    </comment>
    <comment ref="AL11" authorId="0" shapeId="0">
      <text>
        <t>추정: 이자손익 = 이자발생자산 4167억 × 10.62% − 총차입금 0억 × 36.85% (연율, CF 실측) ÷ 4; 환·평가손익 0 가정
[abs]</t>
      </text>
    </comment>
    <comment ref="AM11" authorId="0" shapeId="0">
      <text>
        <t>추정: 이자손익 = 이자발생자산 4184억 × 10.62% − 총차입금 0억 × 36.85% (연율, CF 실측) ÷ 4; 환·평가손익 0 가정
[abs]</t>
      </text>
    </comment>
    <comment ref="AN11" authorId="0" shapeId="0">
      <text>
        <t>추정: 이자손익 = 이자발생자산 4402억 × 10.62% − 총차입금 0억 × 36.85%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8.4%(최근 12분기 유효세율 8.4% → 5~27% 클립)
[ratio]</t>
      </text>
    </comment>
    <comment ref="AD14" authorId="0" shapeId="0">
      <text>
        <t>추정: max(세전, 0) × 세율 8.4%(최근 12분기 유효세율 8.4% → 5~27% 클립)
[ratio]</t>
      </text>
    </comment>
    <comment ref="AF14" authorId="0" shapeId="0">
      <text>
        <t>추정: max(세전, 0) × 세율 8.4%(최근 12분기 유효세율 8.4% → 5~27% 클립)
[ratio]</t>
      </text>
    </comment>
    <comment ref="AG14" authorId="0" shapeId="0">
      <text>
        <t>추정: max(세전, 0) × 세율 8.4%(최근 12분기 유효세율 8.4% → 5~27% 클립)
[ratio]</t>
      </text>
    </comment>
    <comment ref="AH14" authorId="0" shapeId="0">
      <text>
        <t>추정: max(세전, 0) × 세율 8.4%(최근 12분기 유효세율 8.4% → 5~27% 클립)
[ratio]</t>
      </text>
    </comment>
    <comment ref="AI14" authorId="0" shapeId="0">
      <text>
        <t>추정: max(세전, 0) × 세율 8.4%(최근 12분기 유효세율 8.4% → 5~27% 클립)
[ratio]</t>
      </text>
    </comment>
    <comment ref="AK14" authorId="0" shapeId="0">
      <text>
        <t>추정: max(세전, 0) × 세율 8.4%(최근 12분기 유효세율 8.4% → 5~27% 클립)
[ratio]</t>
      </text>
    </comment>
    <comment ref="AL14" authorId="0" shapeId="0">
      <text>
        <t>추정: max(세전, 0) × 세율 8.4%(최근 12분기 유효세율 8.4% → 5~27% 클립)
[ratio]</t>
      </text>
    </comment>
    <comment ref="AM14" authorId="0" shapeId="0">
      <text>
        <t>추정: max(세전, 0) × 세율 8.4%(최근 12분기 유효세율 8.4% → 5~27% 클립)
[ratio]</t>
      </text>
    </comment>
    <comment ref="AN14" authorId="0" shapeId="0">
      <text>
        <t>추정: max(세전, 0) × 세율 8.4%(최근 12분기 유효세율 8.4%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7.3%, 최근 8분기 실측)
[ratio]</t>
      </text>
    </comment>
    <comment ref="AD16" authorId="0" shapeId="0">
      <text>
        <t>추정: 당기순이익 × (1 − 비지배 비중 7.3%, 최근 8분기 실측)
[ratio]</t>
      </text>
    </comment>
    <comment ref="AF16" authorId="0" shapeId="0">
      <text>
        <t>추정: 당기순이익 × (1 − 비지배 비중 7.3%, 최근 8분기 실측)
[ratio]</t>
      </text>
    </comment>
    <comment ref="AG16" authorId="0" shapeId="0">
      <text>
        <t>추정: 당기순이익 × (1 − 비지배 비중 7.3%, 최근 8분기 실측)
[ratio]</t>
      </text>
    </comment>
    <comment ref="AH16" authorId="0" shapeId="0">
      <text>
        <t>추정: 당기순이익 × (1 − 비지배 비중 7.3%, 최근 8분기 실측)
[ratio]</t>
      </text>
    </comment>
    <comment ref="AI16" authorId="0" shapeId="0">
      <text>
        <t>추정: 당기순이익 × (1 − 비지배 비중 7.3%, 최근 8분기 실측)
[ratio]</t>
      </text>
    </comment>
    <comment ref="AK16" authorId="0" shapeId="0">
      <text>
        <t>추정: 당기순이익 × (1 − 비지배 비중 7.3%, 최근 8분기 실측)
[ratio]</t>
      </text>
    </comment>
    <comment ref="AL16" authorId="0" shapeId="0">
      <text>
        <t>추정: 당기순이익 × (1 − 비지배 비중 7.3%, 최근 8분기 실측)
[ratio]</t>
      </text>
    </comment>
    <comment ref="AM16" authorId="0" shapeId="0">
      <text>
        <t>추정: 당기순이익 × (1 − 비지배 비중 7.3%, 최근 8분기 실측)
[ratio]</t>
      </text>
    </comment>
    <comment ref="AN16" authorId="0" shapeId="0">
      <text>
        <t>추정: 당기순이익 × (1 − 비지배 비중 7.3%,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700원 유지
[yoy]</t>
      </text>
    </comment>
    <comment ref="AI30" authorId="0" shapeId="0">
      <text>
        <t>추정: 직전 결산 DPS 700원 유지
[yoy]</t>
      </text>
    </comment>
    <comment ref="AN30" authorId="0" shapeId="0">
      <text>
        <t>추정: 직전 결산 DPS 700원 유지
[yoy]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assets/models/064820.json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11.9, "op_wape_pct": 94.5,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9900</v>
      </c>
      <c r="AB15" s="19" t="n">
        <v>8890</v>
      </c>
      <c r="AC15" s="20" t="n">
        <v>7690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14350</v>
      </c>
      <c r="AB16" s="19" t="n">
        <v>18260</v>
      </c>
      <c r="AC16" s="20" t="n">
        <v>10420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11125.9</v>
      </c>
      <c r="AB18" s="19" t="n">
        <v>11937.5</v>
      </c>
      <c r="AC18" s="20" t="n">
        <v>8204.5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0.252843</v>
      </c>
      <c r="AD21" s="24" t="n">
        <v>0.416668</v>
      </c>
      <c r="AE21" s="25" t="n"/>
      <c r="AF21" s="24" t="n">
        <v>0.318587</v>
      </c>
      <c r="AG21" s="24" t="n">
        <v>0.303859</v>
      </c>
      <c r="AH21" s="24" t="n">
        <v>0.086129</v>
      </c>
      <c r="AI21" s="24" t="n">
        <v>0.016987</v>
      </c>
      <c r="AJ21" s="25" t="n"/>
      <c r="AK21" s="24" t="n">
        <v>-0.018293</v>
      </c>
      <c r="AL21" s="24" t="n">
        <v>-0.031993</v>
      </c>
      <c r="AM21" s="24" t="n">
        <v>-0.041129</v>
      </c>
      <c r="AN21" s="24" t="n">
        <v>-0.051014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0.108094</v>
      </c>
      <c r="AD22" s="24" t="n">
        <v>0.108092</v>
      </c>
      <c r="AE22" s="25">
        <f>IFERROR(subQ!AE8/subQ!AE5,"")</f>
        <v/>
      </c>
      <c r="AF22" s="24" t="n">
        <v>0.108091</v>
      </c>
      <c r="AG22" s="24" t="n">
        <v>0.108092</v>
      </c>
      <c r="AH22" s="24" t="n">
        <v>0.10809</v>
      </c>
      <c r="AI22" s="24" t="n">
        <v>0.108093</v>
      </c>
      <c r="AJ22" s="25">
        <f>IFERROR(subQ!AJ8/subQ!AJ5,"")</f>
        <v/>
      </c>
      <c r="AK22" s="24" t="n">
        <v>0.108093</v>
      </c>
      <c r="AL22" s="24" t="n">
        <v>0.108094</v>
      </c>
      <c r="AM22" s="24" t="n">
        <v>0.108095</v>
      </c>
      <c r="AN22" s="24" t="n">
        <v>0.108091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0.070673</v>
      </c>
      <c r="AD23" s="24" t="n">
        <v>0.070678</v>
      </c>
      <c r="AE23" s="25">
        <f>IFERROR(subQ!AE9/subQ!AE5,"")</f>
        <v/>
      </c>
      <c r="AF23" s="24" t="n">
        <v>0.070678</v>
      </c>
      <c r="AG23" s="24" t="n">
        <v>0.070676</v>
      </c>
      <c r="AH23" s="24" t="n">
        <v>0.070678</v>
      </c>
      <c r="AI23" s="24" t="n">
        <v>0.070675</v>
      </c>
      <c r="AJ23" s="25">
        <f>IFERROR(subQ!AJ9/subQ!AJ5,"")</f>
        <v/>
      </c>
      <c r="AK23" s="24" t="n">
        <v>0.070677</v>
      </c>
      <c r="AL23" s="24" t="n">
        <v>0.070676</v>
      </c>
      <c r="AM23" s="24" t="n">
        <v>0.070673</v>
      </c>
      <c r="AN23" s="24" t="n">
        <v>0.070675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-0.373782</v>
      </c>
      <c r="AD24" s="24" t="n">
        <v>-3.302932</v>
      </c>
      <c r="AE24" s="25" t="n"/>
      <c r="AF24" s="24" t="n">
        <v>-0.529294</v>
      </c>
      <c r="AG24" s="24" t="n">
        <v>3.086705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75.34999999999999</v>
      </c>
      <c r="AD25" s="29" t="n">
        <v>80.15000000000001</v>
      </c>
      <c r="AE25" s="30">
        <f>subQ!AE11</f>
        <v/>
      </c>
      <c r="AF25" s="29" t="n">
        <v>85.81999999999999</v>
      </c>
      <c r="AG25" s="29" t="n">
        <v>92.16</v>
      </c>
      <c r="AH25" s="29" t="n">
        <v>92.28</v>
      </c>
      <c r="AI25" s="29" t="n">
        <v>97.73999999999999</v>
      </c>
      <c r="AJ25" s="30">
        <f>subQ!AJ11</f>
        <v/>
      </c>
      <c r="AK25" s="29" t="n">
        <v>103.91</v>
      </c>
      <c r="AL25" s="29" t="n">
        <v>110.61</v>
      </c>
      <c r="AM25" s="29" t="n">
        <v>111.06</v>
      </c>
      <c r="AN25" s="29" t="n">
        <v>116.85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0.084148</v>
      </c>
      <c r="AD27" s="24" t="n">
        <v>0.084122</v>
      </c>
      <c r="AE27" s="25">
        <f>IFERROR(subQ!AE14/subQ!AE13,"")</f>
        <v/>
      </c>
      <c r="AF27" s="24" t="n">
        <v>0.084148</v>
      </c>
      <c r="AG27" s="24" t="n">
        <v>0.08412</v>
      </c>
      <c r="AH27" s="24" t="n">
        <v>0.084152</v>
      </c>
      <c r="AI27" s="24" t="n">
        <v>0.084121</v>
      </c>
      <c r="AJ27" s="25">
        <f>IFERROR(subQ!AJ14/subQ!AJ13,"")</f>
        <v/>
      </c>
      <c r="AK27" s="24" t="n">
        <v>0.084138</v>
      </c>
      <c r="AL27" s="24" t="n">
        <v>0.084149</v>
      </c>
      <c r="AM27" s="24" t="n">
        <v>0.08414199999999999</v>
      </c>
      <c r="AN27" s="24" t="n">
        <v>0.084132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0.926762</v>
      </c>
      <c r="AD28" s="24" t="n">
        <v>0.926708</v>
      </c>
      <c r="AE28" s="25">
        <f>IFERROR(subQ!AE16/subQ!AE15,"")</f>
        <v/>
      </c>
      <c r="AF28" s="24" t="n">
        <v>0.926756</v>
      </c>
      <c r="AG28" s="24" t="n">
        <v>0.926714</v>
      </c>
      <c r="AH28" s="24" t="n">
        <v>0.926719</v>
      </c>
      <c r="AI28" s="24" t="n">
        <v>0.9267339999999999</v>
      </c>
      <c r="AJ28" s="25">
        <f>IFERROR(subQ!AJ16/subQ!AJ15,"")</f>
        <v/>
      </c>
      <c r="AK28" s="24" t="n">
        <v>0.926752</v>
      </c>
      <c r="AL28" s="24" t="n">
        <v>0.926713</v>
      </c>
      <c r="AM28" s="24" t="n">
        <v>0.926741</v>
      </c>
      <c r="AN28" s="24" t="n">
        <v>0.926767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-0.0018</v>
      </c>
      <c r="AD30" s="29" t="n">
        <v>0</v>
      </c>
      <c r="AE30" s="30" t="n"/>
      <c r="AF30" s="29" t="n">
        <v>0</v>
      </c>
      <c r="AG30" s="29" t="n">
        <v>216.02</v>
      </c>
      <c r="AH30" s="29" t="n">
        <v>0</v>
      </c>
      <c r="AI30" s="29" t="n">
        <v>0</v>
      </c>
      <c r="AJ30" s="30" t="n"/>
      <c r="AK30" s="29" t="n">
        <v>0</v>
      </c>
      <c r="AL30" s="29" t="n">
        <v>216.02</v>
      </c>
      <c r="AM30" s="29" t="n">
        <v>0.01</v>
      </c>
      <c r="AN30" s="29" t="n">
        <v>-0.01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-0.0034</v>
      </c>
      <c r="AD31" s="29" t="n">
        <v>0</v>
      </c>
      <c r="AE31" s="30" t="n"/>
      <c r="AF31" s="29" t="n">
        <v>0</v>
      </c>
      <c r="AG31" s="29" t="n">
        <v>216.02</v>
      </c>
      <c r="AH31" s="29" t="n">
        <v>0</v>
      </c>
      <c r="AI31" s="29" t="n">
        <v>-0.01</v>
      </c>
      <c r="AJ31" s="30" t="n"/>
      <c r="AK31" s="29" t="n">
        <v>0.01</v>
      </c>
      <c r="AL31" s="29" t="n">
        <v>216.01</v>
      </c>
      <c r="AM31" s="29" t="n">
        <v>-0</v>
      </c>
      <c r="AN31" s="29" t="n">
        <v>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0.063689</v>
      </c>
      <c r="AD34" s="24" t="n">
        <v>0.070857</v>
      </c>
      <c r="AE34" s="25" t="n"/>
      <c r="AF34" s="24" t="n">
        <v>0.073855</v>
      </c>
      <c r="AG34" s="24" t="n">
        <v>0.001253</v>
      </c>
      <c r="AH34" s="24" t="n">
        <v>0.059234</v>
      </c>
      <c r="AI34" s="24" t="n">
        <v>0.063124</v>
      </c>
      <c r="AJ34" s="25" t="n"/>
      <c r="AK34" s="24" t="n">
        <v>0.064482</v>
      </c>
      <c r="AL34" s="24" t="n">
        <v>0.004053</v>
      </c>
      <c r="AM34" s="24" t="n">
        <v>0.052134</v>
      </c>
      <c r="AN34" s="24" t="n">
        <v>0.055123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-0.68242</v>
      </c>
      <c r="AD40" s="24" t="n">
        <v>-0.323052</v>
      </c>
      <c r="AE40" s="25" t="n"/>
      <c r="AF40" s="24" t="n">
        <v>-0.080092</v>
      </c>
      <c r="AG40" s="24" t="n">
        <v>-0.496575</v>
      </c>
      <c r="AH40" s="24" t="n">
        <v>-0.151786</v>
      </c>
      <c r="AI40" s="24" t="n">
        <v>-0.330935</v>
      </c>
      <c r="AJ40" s="25" t="n"/>
      <c r="AK40" s="24" t="n">
        <v>-0.31592</v>
      </c>
      <c r="AL40" s="24" t="n">
        <v>-0.07823099999999999</v>
      </c>
      <c r="AM40" s="24" t="n">
        <v>-0.059649</v>
      </c>
      <c r="AN40" s="24" t="n">
        <v>-0.050179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-0.371681</v>
      </c>
      <c r="AD41" s="24" t="n">
        <v>-0.45082</v>
      </c>
      <c r="AE41" s="25" t="n"/>
      <c r="AF41" s="24" t="n">
        <v>-0.432432</v>
      </c>
      <c r="AG41" s="24" t="n">
        <v>-0.462185</v>
      </c>
      <c r="AH41" s="24" t="n">
        <v>-0.15493</v>
      </c>
      <c r="AI41" s="24" t="n">
        <v>-0.149254</v>
      </c>
      <c r="AJ41" s="25" t="n"/>
      <c r="AK41" s="24" t="n">
        <v>-0.142857</v>
      </c>
      <c r="AL41" s="24" t="n">
        <v>-0.15625</v>
      </c>
      <c r="AM41" s="24" t="n">
        <v>-0.133333</v>
      </c>
      <c r="AN41" s="24" t="n">
        <v>-0.140351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0.070673</v>
      </c>
      <c r="AD43" s="24" t="n">
        <v>0.070678</v>
      </c>
      <c r="AE43" s="25">
        <f>IFERROR(subQ!AE34/subQ!AE33,"")</f>
        <v/>
      </c>
      <c r="AF43" s="24" t="n">
        <v>0.070678</v>
      </c>
      <c r="AG43" s="24" t="n">
        <v>0.070676</v>
      </c>
      <c r="AH43" s="24" t="n">
        <v>0.070678</v>
      </c>
      <c r="AI43" s="24" t="n">
        <v>0.070675</v>
      </c>
      <c r="AJ43" s="25">
        <f>IFERROR(subQ!AJ34/subQ!AJ33,"")</f>
        <v/>
      </c>
      <c r="AK43" s="24" t="n">
        <v>0.070677</v>
      </c>
      <c r="AL43" s="24" t="n">
        <v>0.070676</v>
      </c>
      <c r="AM43" s="24" t="n">
        <v>0.070673</v>
      </c>
      <c r="AN43" s="24" t="n">
        <v>0.070675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7530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5.8</v>
      </c>
      <c r="E49" s="2" t="inlineStr">
        <is>
          <t>PER 밴드 하단(배) — hist_quarterly(분기 평균가 ÷ TTM EPS, 15분기,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9.4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10.3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0.08409999999999999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0.1081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0.3636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4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4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4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4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4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4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4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4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4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4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4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4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4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4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4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4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4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4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4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4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4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4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4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4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4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4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4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4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4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4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4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4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4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4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4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4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4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4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4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4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4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4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4" t="n">
        <v>739.73</v>
      </c>
      <c r="Q16" s="18" t="n">
        <v>2533.39</v>
      </c>
      <c r="R16" s="18" t="n">
        <v>2307.1</v>
      </c>
      <c r="S16" s="18" t="n">
        <v>1952.37</v>
      </c>
      <c r="U16" s="9" t="n"/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4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4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4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4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4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4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4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4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4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4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4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4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4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4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4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4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4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4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4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4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4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4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4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4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4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4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4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4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4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4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4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4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4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4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4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4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4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4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4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4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4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4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4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4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4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4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4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4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4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4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4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4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4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4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4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4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4" t="n">
        <v>101330</v>
      </c>
      <c r="L28" s="18" t="n">
        <v>107750</v>
      </c>
      <c r="M28" s="18" t="n">
        <v>103602.34</v>
      </c>
      <c r="N28" s="18" t="n">
        <v>106922.34</v>
      </c>
      <c r="O28" s="18" t="n">
        <v>89452.34</v>
      </c>
      <c r="P28" s="34" t="n">
        <v>89452.34</v>
      </c>
      <c r="Q28" s="18" t="n">
        <v>0</v>
      </c>
      <c r="R28" s="18" t="n">
        <v>7000</v>
      </c>
      <c r="U28" s="9" t="n"/>
      <c r="W28" s="18" t="n">
        <v>97848.24000000001</v>
      </c>
      <c r="X28" s="18" t="n">
        <v>99108.24000000001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4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4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4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4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4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4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4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4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4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4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4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4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4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4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4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4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4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4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4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4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4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4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4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4" t="n">
        <v>5000</v>
      </c>
      <c r="L34" s="18" t="n">
        <v>0</v>
      </c>
      <c r="M34" s="18" t="n">
        <v>0</v>
      </c>
      <c r="P34" s="9" t="n"/>
      <c r="Q34" s="18" t="n">
        <v>109652.34</v>
      </c>
      <c r="R34" s="18" t="n">
        <v>100347.43</v>
      </c>
      <c r="S34" s="18" t="n">
        <v>101657.43</v>
      </c>
      <c r="U34" s="9" t="n"/>
      <c r="W34" s="18" t="n">
        <v>0</v>
      </c>
      <c r="X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48000</v>
      </c>
      <c r="F35" s="34" t="n">
        <v>48000</v>
      </c>
      <c r="G35" s="18" t="n">
        <v>41000</v>
      </c>
      <c r="H35" s="18" t="n">
        <v>41000</v>
      </c>
      <c r="I35" s="18" t="n">
        <v>41000</v>
      </c>
      <c r="J35" s="18" t="n">
        <v>41000</v>
      </c>
      <c r="K35" s="34" t="n">
        <v>41000</v>
      </c>
      <c r="L35" s="18" t="n">
        <v>41000</v>
      </c>
      <c r="M35" s="18" t="n">
        <v>53000</v>
      </c>
      <c r="N35" s="18" t="n">
        <v>53000</v>
      </c>
      <c r="O35" s="18" t="n">
        <v>53000</v>
      </c>
      <c r="P35" s="34" t="n">
        <v>53000</v>
      </c>
      <c r="Q35" s="18" t="n">
        <v>53000</v>
      </c>
      <c r="R35" s="18" t="n">
        <v>51000</v>
      </c>
      <c r="S35" s="18" t="n">
        <v>49000</v>
      </c>
      <c r="U35" s="9" t="n"/>
      <c r="W35" s="18" t="n">
        <v>68420</v>
      </c>
      <c r="X35" s="18" t="n">
        <v>68420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4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4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4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4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4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4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4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4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4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4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P38" s="9" t="n"/>
      <c r="U38" s="9" t="n"/>
      <c r="Y38" s="18" t="n">
        <v>560188.3100000001</v>
      </c>
      <c r="Z38" s="34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P39" s="9" t="n"/>
      <c r="U39" s="9" t="n"/>
      <c r="Y39" s="18" t="n">
        <v>560951.16</v>
      </c>
      <c r="Z39" s="34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4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4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4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4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4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1805.69</v>
      </c>
      <c r="F41" s="34" t="n">
        <v>1805.69</v>
      </c>
      <c r="G41" s="18" t="n">
        <v>1820.19</v>
      </c>
      <c r="H41" s="18" t="n">
        <v>1834.97</v>
      </c>
      <c r="I41" s="18" t="n">
        <v>1882.46</v>
      </c>
      <c r="J41" s="18" t="n">
        <v>1897.68</v>
      </c>
      <c r="K41" s="34" t="n">
        <v>1897.68</v>
      </c>
      <c r="L41" s="18" t="n">
        <v>1912.71</v>
      </c>
      <c r="P41" s="9" t="n"/>
      <c r="U41" s="9" t="n"/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1966307.43</v>
      </c>
      <c r="F42" s="34" t="n">
        <v>1966307.43</v>
      </c>
      <c r="G42" s="18" t="n">
        <v>3024822.49</v>
      </c>
      <c r="H42" s="18" t="n">
        <v>3023604.64</v>
      </c>
      <c r="I42" s="18" t="n">
        <v>2647838.41</v>
      </c>
      <c r="J42" s="18" t="n">
        <v>2092305.3</v>
      </c>
      <c r="K42" s="34" t="n">
        <v>2092305.3</v>
      </c>
      <c r="L42" s="18" t="n">
        <v>3066415.08</v>
      </c>
      <c r="M42" s="18" t="n">
        <v>3042497.6</v>
      </c>
      <c r="N42" s="18" t="n">
        <v>2840890.51</v>
      </c>
      <c r="O42" s="18" t="n">
        <v>1986990.8</v>
      </c>
      <c r="P42" s="34" t="n">
        <v>1986990.8</v>
      </c>
      <c r="Q42" s="18" t="n">
        <v>3376141.65</v>
      </c>
      <c r="R42" s="18" t="n">
        <v>2971226.9</v>
      </c>
      <c r="S42" s="18" t="n">
        <v>3123754.3</v>
      </c>
      <c r="T42" s="18" t="n">
        <v>2145156.71</v>
      </c>
      <c r="U42" s="34" t="n">
        <v>2145156.71</v>
      </c>
      <c r="V42" s="18" t="n">
        <v>3596303.62</v>
      </c>
      <c r="W42" s="18" t="n">
        <v>4027441.23</v>
      </c>
      <c r="X42" s="18" t="n">
        <v>4462534.91</v>
      </c>
      <c r="Y42" s="18" t="n">
        <v>2383488.67</v>
      </c>
      <c r="Z42" s="34" t="n">
        <v>2383488.67</v>
      </c>
      <c r="AA42" s="18" t="n">
        <v>4606590.48</v>
      </c>
      <c r="AB42" s="19" t="n">
        <v>4263288.55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2213123.65</v>
      </c>
      <c r="F43" s="34" t="n">
        <v>2213123.65</v>
      </c>
      <c r="G43" s="18" t="n">
        <v>3273082.27</v>
      </c>
      <c r="H43" s="18" t="n">
        <v>3270551.58</v>
      </c>
      <c r="I43" s="18" t="n">
        <v>2885933.21</v>
      </c>
      <c r="J43" s="18" t="n">
        <v>2328846.59</v>
      </c>
      <c r="K43" s="34" t="n">
        <v>2328846.59</v>
      </c>
      <c r="L43" s="18" t="n">
        <v>3320553.48</v>
      </c>
      <c r="M43" s="18" t="n">
        <v>3294286.94</v>
      </c>
      <c r="N43" s="18" t="n">
        <v>3084374.66</v>
      </c>
      <c r="O43" s="18" t="n">
        <v>2240973.81</v>
      </c>
      <c r="P43" s="34" t="n">
        <v>2240973.81</v>
      </c>
      <c r="Q43" s="18" t="n">
        <v>3627533.27</v>
      </c>
      <c r="R43" s="18" t="n">
        <v>3226486.64</v>
      </c>
      <c r="S43" s="18" t="n">
        <v>3385468.47</v>
      </c>
      <c r="T43" s="18" t="n">
        <v>2404664.74</v>
      </c>
      <c r="U43" s="34" t="n">
        <v>2404664.74</v>
      </c>
      <c r="V43" s="18" t="n">
        <v>3847669.41</v>
      </c>
      <c r="W43" s="18" t="n">
        <v>4306743.93</v>
      </c>
      <c r="X43" s="18" t="n">
        <v>4753592.93</v>
      </c>
      <c r="Y43" s="18" t="n">
        <v>2692973.7</v>
      </c>
      <c r="Z43" s="34" t="n">
        <v>2692973.7</v>
      </c>
      <c r="AA43" s="18" t="n">
        <v>4923888.21</v>
      </c>
      <c r="AB43" s="19" t="n">
        <v>4579549.37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143561.33</v>
      </c>
      <c r="F44" s="34" t="n">
        <v>143561.33</v>
      </c>
      <c r="G44" s="18" t="n">
        <v>147000</v>
      </c>
      <c r="H44" s="18" t="n">
        <v>143370</v>
      </c>
      <c r="I44" s="18" t="n">
        <v>144360</v>
      </c>
      <c r="J44" s="18" t="n">
        <v>147330</v>
      </c>
      <c r="K44" s="34" t="n">
        <v>147330</v>
      </c>
      <c r="L44" s="18" t="n">
        <v>148750</v>
      </c>
      <c r="M44" s="18" t="n">
        <v>156602.34</v>
      </c>
      <c r="N44" s="18" t="n">
        <v>159922.34</v>
      </c>
      <c r="O44" s="18" t="n">
        <v>142452.34</v>
      </c>
      <c r="P44" s="34" t="n">
        <v>142452.34</v>
      </c>
      <c r="Q44" s="18" t="n">
        <v>162652.34</v>
      </c>
      <c r="R44" s="18" t="n">
        <v>158347.43</v>
      </c>
      <c r="S44" s="18" t="n">
        <v>150657.43</v>
      </c>
      <c r="U44" s="9" t="n"/>
      <c r="W44" s="18" t="n">
        <v>166268.24</v>
      </c>
      <c r="X44" s="18" t="n">
        <v>167528.24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138528.56</v>
      </c>
      <c r="F45" s="34" t="n">
        <v>138528.56</v>
      </c>
      <c r="G45" s="18" t="n">
        <v>140196.89</v>
      </c>
      <c r="H45" s="18" t="n">
        <v>137631.98</v>
      </c>
      <c r="I45" s="18" t="n">
        <v>130423.98</v>
      </c>
      <c r="J45" s="18" t="n">
        <v>139938.11</v>
      </c>
      <c r="K45" s="34" t="n">
        <v>139938.11</v>
      </c>
      <c r="L45" s="18" t="n">
        <v>141181.34</v>
      </c>
      <c r="M45" s="18" t="n">
        <v>150935.11</v>
      </c>
      <c r="N45" s="18" t="n">
        <v>152080.44</v>
      </c>
      <c r="O45" s="18" t="n">
        <v>133003.73</v>
      </c>
      <c r="P45" s="34" t="n">
        <v>133003.73</v>
      </c>
      <c r="Q45" s="18" t="n">
        <v>149988.67</v>
      </c>
      <c r="R45" s="18" t="n">
        <v>147509.96</v>
      </c>
      <c r="S45" s="18" t="n">
        <v>144403.75</v>
      </c>
      <c r="U45" s="9" t="n"/>
      <c r="W45" s="18" t="n">
        <v>148711.05</v>
      </c>
      <c r="X45" s="18" t="n">
        <v>156533.84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5034.27</v>
      </c>
      <c r="F46" s="34" t="n">
        <v>5034.27</v>
      </c>
      <c r="G46" s="18" t="n">
        <v>6804.61</v>
      </c>
      <c r="H46" s="18" t="n">
        <v>5739.52</v>
      </c>
      <c r="I46" s="18" t="n">
        <v>13937.52</v>
      </c>
      <c r="J46" s="18" t="n">
        <v>7393.39</v>
      </c>
      <c r="K46" s="34" t="n">
        <v>7393.39</v>
      </c>
      <c r="L46" s="18" t="n">
        <v>7570.16</v>
      </c>
      <c r="M46" s="18" t="n">
        <v>1786447.89</v>
      </c>
      <c r="N46" s="18" t="n">
        <v>1742313.05</v>
      </c>
      <c r="O46" s="18" t="n">
        <v>1711371.48</v>
      </c>
      <c r="P46" s="34" t="n">
        <v>1711371.48</v>
      </c>
      <c r="Q46" s="18" t="n">
        <v>1815087.27</v>
      </c>
      <c r="R46" s="18" t="n">
        <v>1815231.34</v>
      </c>
      <c r="S46" s="18" t="n">
        <v>2049981.11</v>
      </c>
      <c r="T46" s="18" t="n">
        <v>1877362.6</v>
      </c>
      <c r="U46" s="34" t="n">
        <v>1877362.6</v>
      </c>
      <c r="V46" s="18" t="n">
        <v>2017412.92</v>
      </c>
      <c r="W46" s="18" t="n">
        <v>2225794.22</v>
      </c>
      <c r="X46" s="18" t="n">
        <v>2094652.15</v>
      </c>
      <c r="Y46" s="18" t="n">
        <v>286808.43</v>
      </c>
      <c r="Z46" s="34" t="n">
        <v>286808.43</v>
      </c>
      <c r="AA46" s="18" t="n">
        <v>264124.57</v>
      </c>
      <c r="AB46" s="19" t="n">
        <v>283851.78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매각예정비유동자산및처분자산</t>
        </is>
      </c>
      <c r="F47" s="9" t="n"/>
      <c r="I47" s="18" t="n">
        <v>47952.02</v>
      </c>
      <c r="J47" s="18" t="n">
        <v>47952.02</v>
      </c>
      <c r="K47" s="34" t="n">
        <v>47952.02</v>
      </c>
      <c r="L47" s="18" t="n">
        <v>47952.02</v>
      </c>
      <c r="M47" s="18" t="n">
        <v>47952.02</v>
      </c>
      <c r="N47" s="18" t="n">
        <v>47952.02</v>
      </c>
      <c r="O47" s="18" t="n">
        <v>47952.02</v>
      </c>
      <c r="P47" s="34" t="n">
        <v>47952.02</v>
      </c>
      <c r="Q47" s="18" t="n">
        <v>47952.02</v>
      </c>
      <c r="R47" s="18" t="n">
        <v>47952.02</v>
      </c>
      <c r="S47" s="18" t="n">
        <v>47952.02</v>
      </c>
      <c r="T47" s="18" t="n">
        <v>0</v>
      </c>
      <c r="U47" s="34" t="n">
        <v>0</v>
      </c>
      <c r="V47" s="18" t="n">
        <v>0</v>
      </c>
      <c r="W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F48" s="9" t="n"/>
      <c r="K48" s="9" t="n"/>
      <c r="L48" s="18" t="n">
        <v>93237.33</v>
      </c>
      <c r="M48" s="18" t="n">
        <v>93300.64</v>
      </c>
      <c r="N48" s="18" t="n">
        <v>89996.32000000001</v>
      </c>
      <c r="O48" s="18" t="n">
        <v>101468.66</v>
      </c>
      <c r="P48" s="34" t="n">
        <v>101468.66</v>
      </c>
      <c r="Q48" s="18" t="n">
        <v>100648.85</v>
      </c>
      <c r="R48" s="18" t="n">
        <v>103778.55</v>
      </c>
      <c r="S48" s="18" t="n">
        <v>109334.43</v>
      </c>
      <c r="T48" s="18" t="n">
        <v>108397.23</v>
      </c>
      <c r="U48" s="34" t="n">
        <v>108397.23</v>
      </c>
      <c r="V48" s="18" t="n">
        <v>101091.64</v>
      </c>
      <c r="W48" s="18" t="n">
        <v>106410.68</v>
      </c>
      <c r="X48" s="18" t="n">
        <v>116992.5</v>
      </c>
      <c r="Y48" s="18" t="n">
        <v>150690.31</v>
      </c>
      <c r="Z48" s="34" t="n">
        <v>150690.31</v>
      </c>
      <c r="AA48" s="18" t="n">
        <v>213402.08</v>
      </c>
      <c r="AB48" s="19" t="n">
        <v>212342.54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K49" s="9" t="n"/>
      <c r="M49" s="18" t="n">
        <v>19431.75</v>
      </c>
      <c r="N49" s="18" t="n">
        <v>18366.06</v>
      </c>
      <c r="O49" s="18" t="n">
        <v>16364.82</v>
      </c>
      <c r="P49" s="34" t="n">
        <v>16364.82</v>
      </c>
      <c r="Q49" s="18" t="n">
        <v>18352.33</v>
      </c>
      <c r="R49" s="18" t="n">
        <v>14228.5</v>
      </c>
      <c r="S49" s="18" t="n">
        <v>23862.76</v>
      </c>
      <c r="T49" s="18" t="n">
        <v>1430.45</v>
      </c>
      <c r="U49" s="34" t="n">
        <v>1430.45</v>
      </c>
      <c r="V49" s="18" t="n">
        <v>4922.78</v>
      </c>
      <c r="W49" s="18" t="n">
        <v>9250.049999999999</v>
      </c>
      <c r="X49" s="18" t="n">
        <v>16250.22</v>
      </c>
      <c r="Y49" s="18" t="n">
        <v>92758.32000000001</v>
      </c>
      <c r="Z49" s="34" t="n">
        <v>92758.32000000001</v>
      </c>
      <c r="AA49" s="18" t="n">
        <v>136709.63</v>
      </c>
      <c r="AB49" s="19" t="n">
        <v>156627.38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K50" s="9" t="n"/>
      <c r="M50" s="18" t="n">
        <v>55.61</v>
      </c>
      <c r="P50" s="9" t="n"/>
      <c r="U50" s="9" t="n"/>
      <c r="Y50" s="18" t="n">
        <v>1012.83</v>
      </c>
      <c r="Z50" s="34" t="n">
        <v>1012.83</v>
      </c>
      <c r="AA50" s="18" t="n">
        <v>14309.18</v>
      </c>
      <c r="AB50" s="19" t="n">
        <v>14518.74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K51" s="9" t="n"/>
      <c r="M51" s="18" t="n">
        <v>0</v>
      </c>
      <c r="N51" s="18" t="n">
        <v>0</v>
      </c>
      <c r="O51" s="18" t="n">
        <v>454.42</v>
      </c>
      <c r="P51" s="34" t="n">
        <v>454.42</v>
      </c>
      <c r="Q51" s="18" t="n">
        <v>122.01</v>
      </c>
      <c r="R51" s="18" t="n">
        <v>9.75</v>
      </c>
      <c r="S51" s="18" t="n">
        <v>146.03</v>
      </c>
      <c r="T51" s="18" t="n">
        <v>188.12</v>
      </c>
      <c r="U51" s="34" t="n">
        <v>188.12</v>
      </c>
      <c r="V51" s="18" t="n">
        <v>3018.79</v>
      </c>
      <c r="W51" s="18" t="n">
        <v>0</v>
      </c>
      <c r="X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M52" s="18" t="n">
        <v>1896.1</v>
      </c>
      <c r="N52" s="18" t="n">
        <v>1745.24</v>
      </c>
      <c r="O52" s="18" t="n">
        <v>1761.03</v>
      </c>
      <c r="P52" s="34" t="n">
        <v>1761.03</v>
      </c>
      <c r="Q52" s="18" t="n">
        <v>1776.8</v>
      </c>
      <c r="R52" s="18" t="n">
        <v>1792.7</v>
      </c>
      <c r="S52" s="18" t="n">
        <v>1808.93</v>
      </c>
      <c r="T52" s="18" t="n">
        <v>1825.3</v>
      </c>
      <c r="U52" s="34" t="n">
        <v>1825.3</v>
      </c>
      <c r="V52" s="18" t="n">
        <v>1841.47</v>
      </c>
      <c r="W52" s="18" t="n">
        <v>1825.57</v>
      </c>
      <c r="X52" s="18" t="n">
        <v>1842.4</v>
      </c>
      <c r="Y52" s="18" t="n">
        <v>1813.95</v>
      </c>
      <c r="Z52" s="34" t="n">
        <v>1813.95</v>
      </c>
      <c r="AA52" s="18" t="n">
        <v>1949.51</v>
      </c>
      <c r="AB52" s="19" t="n">
        <v>1979.8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53000</v>
      </c>
      <c r="O53" s="18" t="n">
        <v>53000</v>
      </c>
      <c r="P53" s="34" t="n">
        <v>53000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1012.83</v>
      </c>
      <c r="Z54" s="34" t="n">
        <v>1012.83</v>
      </c>
      <c r="AA54" s="18" t="n">
        <v>14309.18</v>
      </c>
      <c r="AB54" s="19" t="n">
        <v>14518.74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U55" s="9" t="n"/>
      <c r="Y55" s="18" t="n">
        <v>762.85</v>
      </c>
      <c r="Z55" s="34" t="n">
        <v>762.85</v>
      </c>
      <c r="AA55" s="18" t="n">
        <v>2884.89</v>
      </c>
      <c r="AB55" s="19" t="n">
        <v>3075.39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U56" s="9" t="n"/>
      <c r="Y56" s="18" t="n">
        <v>1119.47</v>
      </c>
      <c r="Z56" s="34" t="n">
        <v>1119.47</v>
      </c>
      <c r="AA56" s="18" t="n">
        <v>13424.19</v>
      </c>
      <c r="AB56" s="19" t="n">
        <v>13758.57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기타비유동금융부채</t>
        </is>
      </c>
      <c r="F57" s="9" t="n"/>
      <c r="K57" s="9" t="n"/>
      <c r="P57" s="9" t="n"/>
      <c r="U57" s="9" t="n"/>
      <c r="Y57" s="18" t="n">
        <v>18.14</v>
      </c>
      <c r="Z57" s="34" t="n">
        <v>18.14</v>
      </c>
      <c r="AA57" s="18" t="n">
        <v>18.14</v>
      </c>
      <c r="AB57" s="19" t="n">
        <v>18.14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</t>
        </is>
      </c>
      <c r="F58" s="9" t="n"/>
      <c r="K58" s="9" t="n"/>
      <c r="P58" s="9" t="n"/>
      <c r="U58" s="9" t="n"/>
      <c r="Y58" s="18" t="n">
        <v>374.76</v>
      </c>
      <c r="Z58" s="34" t="n">
        <v>374.76</v>
      </c>
      <c r="AA58" s="18" t="n">
        <v>10557.44</v>
      </c>
      <c r="AB58" s="19" t="n">
        <v>10701.32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비유동리스부채</t>
        </is>
      </c>
      <c r="F59" s="9" t="n"/>
      <c r="K59" s="9" t="n"/>
      <c r="P59" s="9" t="n"/>
      <c r="U59" s="9" t="n"/>
      <c r="Y59" s="18" t="n">
        <v>356.62</v>
      </c>
      <c r="Z59" s="34" t="n">
        <v>356.62</v>
      </c>
      <c r="AA59" s="18" t="n">
        <v>10539.3</v>
      </c>
      <c r="AB59" s="19" t="n">
        <v>10683.18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133688.77</v>
      </c>
      <c r="F60" s="9" t="n"/>
      <c r="G60" s="18" t="n">
        <v>131128.04</v>
      </c>
      <c r="H60" s="18" t="n">
        <v>170127.93</v>
      </c>
      <c r="I60" s="18" t="n">
        <v>160001.8</v>
      </c>
      <c r="J60" s="18" t="n">
        <v>148442.59</v>
      </c>
      <c r="K60" s="34" t="n">
        <v>609700.36</v>
      </c>
      <c r="L60" s="18" t="n">
        <v>221452.43</v>
      </c>
      <c r="M60" s="18" t="n">
        <v>121002.19</v>
      </c>
      <c r="N60" s="18" t="n">
        <v>99174.22</v>
      </c>
      <c r="O60" s="18" t="n">
        <v>149030.86</v>
      </c>
      <c r="P60" s="34" t="n">
        <v>590659.7</v>
      </c>
      <c r="Q60" s="18" t="n">
        <v>134616.65</v>
      </c>
      <c r="R60" s="18" t="n">
        <v>124885.27</v>
      </c>
      <c r="S60" s="18" t="n">
        <v>125778.61</v>
      </c>
      <c r="T60" s="18" t="n">
        <v>131221.97</v>
      </c>
      <c r="U60" s="34" t="n">
        <v>516502.5</v>
      </c>
      <c r="V60" s="18" t="n">
        <v>128218.56</v>
      </c>
      <c r="W60" s="18" t="n">
        <v>160466.95</v>
      </c>
      <c r="X60" s="18" t="n">
        <v>137832.96</v>
      </c>
      <c r="Y60" s="18" t="n">
        <v>153255.4</v>
      </c>
      <c r="Z60" s="34" t="n">
        <v>579773.87</v>
      </c>
      <c r="AA60" s="18" t="n">
        <v>187682.74</v>
      </c>
      <c r="AB60" s="19" t="n">
        <v>161093.35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89060.24000000001</v>
      </c>
      <c r="F61" s="9" t="n"/>
      <c r="G61" s="18" t="n">
        <v>108335.41</v>
      </c>
      <c r="H61" s="18" t="n">
        <v>152269.54</v>
      </c>
      <c r="I61" s="18" t="n">
        <v>148225.17</v>
      </c>
      <c r="J61" s="18" t="n">
        <v>120993.24</v>
      </c>
      <c r="K61" s="34" t="n">
        <v>529823.36</v>
      </c>
      <c r="L61" s="18" t="n">
        <v>180189.01</v>
      </c>
      <c r="M61" s="18" t="n">
        <v>92840.53999999999</v>
      </c>
      <c r="N61" s="18" t="n">
        <v>88068.22</v>
      </c>
      <c r="O61" s="18" t="n">
        <v>118238.23</v>
      </c>
      <c r="P61" s="34" t="n">
        <v>479336</v>
      </c>
      <c r="Q61" s="18" t="n">
        <v>108693.02</v>
      </c>
      <c r="R61" s="18" t="n">
        <v>99057.64</v>
      </c>
      <c r="S61" s="18" t="n">
        <v>97704.64</v>
      </c>
      <c r="T61" s="18" t="n">
        <v>102534.71</v>
      </c>
      <c r="U61" s="34" t="n">
        <v>407990.01</v>
      </c>
      <c r="V61" s="18" t="n">
        <v>103777.35</v>
      </c>
      <c r="W61" s="18" t="n">
        <v>106048.55</v>
      </c>
      <c r="X61" s="18" t="n">
        <v>98505.92999999999</v>
      </c>
      <c r="Y61" s="18" t="n">
        <v>141065.56</v>
      </c>
      <c r="Z61" s="34" t="n">
        <v>449397.39</v>
      </c>
      <c r="AA61" s="18" t="n">
        <v>143917.04</v>
      </c>
      <c r="AB61" s="19" t="n">
        <v>141233.69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44628.53</v>
      </c>
      <c r="F62" s="9" t="n"/>
      <c r="G62" s="18" t="n">
        <v>22792.63</v>
      </c>
      <c r="H62" s="18" t="n">
        <v>17858.39</v>
      </c>
      <c r="I62" s="18" t="n">
        <v>11776.63</v>
      </c>
      <c r="J62" s="18" t="n">
        <v>27449.34</v>
      </c>
      <c r="K62" s="34" t="n">
        <v>79876.99000000001</v>
      </c>
      <c r="L62" s="18" t="n">
        <v>41263.41</v>
      </c>
      <c r="M62" s="18" t="n">
        <v>28161.65</v>
      </c>
      <c r="N62" s="18" t="n">
        <v>11106</v>
      </c>
      <c r="O62" s="18" t="n">
        <v>30792.63</v>
      </c>
      <c r="P62" s="34" t="n">
        <v>111323.69</v>
      </c>
      <c r="Q62" s="18" t="n">
        <v>25923.63</v>
      </c>
      <c r="R62" s="18" t="n">
        <v>25827.62</v>
      </c>
      <c r="S62" s="18" t="n">
        <v>28073.97</v>
      </c>
      <c r="T62" s="18" t="n">
        <v>28687.26</v>
      </c>
      <c r="U62" s="34" t="n">
        <v>108512.48</v>
      </c>
      <c r="V62" s="18" t="n">
        <v>24441.21</v>
      </c>
      <c r="W62" s="18" t="n">
        <v>54418.4</v>
      </c>
      <c r="X62" s="18" t="n">
        <v>39327.03</v>
      </c>
      <c r="Y62" s="18" t="n">
        <v>12189.85</v>
      </c>
      <c r="Z62" s="34" t="n">
        <v>130376.49</v>
      </c>
      <c r="AA62" s="18" t="n">
        <v>43765.7</v>
      </c>
      <c r="AB62" s="19" t="n">
        <v>19859.66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33953.22</v>
      </c>
      <c r="F63" s="9" t="n"/>
      <c r="G63" s="18" t="n">
        <v>21764.06</v>
      </c>
      <c r="H63" s="18" t="n">
        <v>20189.58</v>
      </c>
      <c r="I63" s="18" t="n">
        <v>17791.62</v>
      </c>
      <c r="J63" s="18" t="n">
        <v>17773.45</v>
      </c>
      <c r="K63" s="34" t="n">
        <v>77518.71000000001</v>
      </c>
      <c r="L63" s="18" t="n">
        <v>16136.77</v>
      </c>
      <c r="M63" s="18" t="n">
        <v>17492.63</v>
      </c>
      <c r="N63" s="18" t="n">
        <v>14520.39</v>
      </c>
      <c r="O63" s="18" t="n">
        <v>22219.99</v>
      </c>
      <c r="P63" s="34" t="n">
        <v>70369.78</v>
      </c>
      <c r="Q63" s="18" t="n">
        <v>15891.84</v>
      </c>
      <c r="R63" s="18" t="n">
        <v>14978.28</v>
      </c>
      <c r="S63" s="18" t="n">
        <v>17974.29</v>
      </c>
      <c r="T63" s="18" t="n">
        <v>20675.67</v>
      </c>
      <c r="U63" s="34" t="n">
        <v>69520.08</v>
      </c>
      <c r="V63" s="18" t="n">
        <v>20122.79</v>
      </c>
      <c r="W63" s="18" t="n">
        <v>19624.31</v>
      </c>
      <c r="X63" s="18" t="n">
        <v>23770.08</v>
      </c>
      <c r="Y63" s="18" t="n">
        <v>16895.66</v>
      </c>
      <c r="Z63" s="34" t="n">
        <v>80412.84</v>
      </c>
      <c r="AA63" s="18" t="n">
        <v>15577.43</v>
      </c>
      <c r="AB63" s="19" t="n">
        <v>17066.27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10675.31</v>
      </c>
      <c r="F64" s="9" t="n"/>
      <c r="G64" s="18" t="n">
        <v>1028.57</v>
      </c>
      <c r="H64" s="18" t="n">
        <v>-2331.19</v>
      </c>
      <c r="I64" s="18" t="n">
        <v>-6014.99</v>
      </c>
      <c r="J64" s="18" t="n">
        <v>9675.9</v>
      </c>
      <c r="K64" s="34" t="n">
        <v>2358.29</v>
      </c>
      <c r="L64" s="18" t="n">
        <v>25126.64</v>
      </c>
      <c r="M64" s="18" t="n">
        <v>10669.02</v>
      </c>
      <c r="N64" s="18" t="n">
        <v>-3414.39</v>
      </c>
      <c r="O64" s="18" t="n">
        <v>8572.639999999999</v>
      </c>
      <c r="P64" s="34" t="n">
        <v>40953.91</v>
      </c>
      <c r="Q64" s="18" t="n">
        <v>10031.79</v>
      </c>
      <c r="R64" s="18" t="n">
        <v>10849.35</v>
      </c>
      <c r="S64" s="18" t="n">
        <v>10099.69</v>
      </c>
      <c r="T64" s="18" t="n">
        <v>8011.6</v>
      </c>
      <c r="U64" s="34" t="n">
        <v>38992.43</v>
      </c>
      <c r="V64" s="18" t="n">
        <v>4318.42</v>
      </c>
      <c r="W64" s="18" t="n">
        <v>34794.09</v>
      </c>
      <c r="X64" s="18" t="n">
        <v>15556.95</v>
      </c>
      <c r="Y64" s="18" t="n">
        <v>-4705.81</v>
      </c>
      <c r="Z64" s="34" t="n">
        <v>49963.65</v>
      </c>
      <c r="AA64" s="18" t="n">
        <v>28188.27</v>
      </c>
      <c r="AB64" s="19" t="n">
        <v>2793.38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11065.15</v>
      </c>
      <c r="F65" s="9" t="n"/>
      <c r="G65" s="18" t="n">
        <v>8613.700000000001</v>
      </c>
      <c r="H65" s="18" t="n">
        <v>1051.57</v>
      </c>
      <c r="I65" s="18" t="n">
        <v>837.63</v>
      </c>
      <c r="J65" s="18" t="n">
        <v>-7791.49</v>
      </c>
      <c r="K65" s="34" t="n">
        <v>2711.41</v>
      </c>
      <c r="L65" s="18" t="n">
        <v>15228.88</v>
      </c>
      <c r="M65" s="18" t="n">
        <v>403.1</v>
      </c>
      <c r="N65" s="18" t="n">
        <v>246.9</v>
      </c>
      <c r="O65" s="18" t="n">
        <v>7142.66</v>
      </c>
      <c r="P65" s="34" t="n">
        <v>23021.54</v>
      </c>
      <c r="Q65" s="18" t="n">
        <v>1729.7</v>
      </c>
      <c r="R65" s="18" t="n">
        <v>58.09</v>
      </c>
      <c r="S65" s="18" t="n">
        <v>24.95</v>
      </c>
      <c r="T65" s="18" t="n">
        <v>1786.39</v>
      </c>
      <c r="U65" s="34" t="n">
        <v>3599.13</v>
      </c>
      <c r="V65" s="18" t="n">
        <v>55.11</v>
      </c>
      <c r="W65" s="18" t="n">
        <v>1036.54</v>
      </c>
      <c r="X65" s="18" t="n">
        <v>68.58</v>
      </c>
      <c r="Y65" s="18" t="n">
        <v>10115.2</v>
      </c>
      <c r="Z65" s="34" t="n">
        <v>11275.43</v>
      </c>
      <c r="AA65" s="18" t="n">
        <v>178.89</v>
      </c>
      <c r="AB65" s="19" t="n">
        <v>102.6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372.72</v>
      </c>
      <c r="F66" s="9" t="n"/>
      <c r="G66" s="18" t="n">
        <v>419.9</v>
      </c>
      <c r="H66" s="18" t="n">
        <v>139.32</v>
      </c>
      <c r="I66" s="18" t="n">
        <v>68.64</v>
      </c>
      <c r="J66" s="18" t="n">
        <v>1794.68</v>
      </c>
      <c r="K66" s="34" t="n">
        <v>2422.54</v>
      </c>
      <c r="L66" s="18" t="n">
        <v>14349.17</v>
      </c>
      <c r="M66" s="18" t="n">
        <v>299.09</v>
      </c>
      <c r="N66" s="18" t="n">
        <v>398.42</v>
      </c>
      <c r="O66" s="18" t="n">
        <v>-500.93</v>
      </c>
      <c r="P66" s="34" t="n">
        <v>14545.75</v>
      </c>
      <c r="Q66" s="18" t="n">
        <v>71.31999999999999</v>
      </c>
      <c r="R66" s="18" t="n">
        <v>29.32</v>
      </c>
      <c r="S66" s="18" t="n">
        <v>85.54000000000001</v>
      </c>
      <c r="T66" s="18" t="n">
        <v>270.54</v>
      </c>
      <c r="U66" s="34" t="n">
        <v>456.72</v>
      </c>
      <c r="V66" s="18" t="n">
        <v>2.32</v>
      </c>
      <c r="W66" s="18" t="n">
        <v>20.32</v>
      </c>
      <c r="X66" s="18" t="n">
        <v>-5.2</v>
      </c>
      <c r="Y66" s="18" t="n">
        <v>327.75</v>
      </c>
      <c r="Z66" s="34" t="n">
        <v>345.19</v>
      </c>
      <c r="AA66" s="18" t="n">
        <v>0.6899999999999999</v>
      </c>
      <c r="AB66" s="19" t="n">
        <v>111.33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118.23</v>
      </c>
      <c r="F67" s="9" t="n"/>
      <c r="G67" s="18" t="n">
        <v>66.18000000000001</v>
      </c>
      <c r="H67" s="18" t="n">
        <v>138.96</v>
      </c>
      <c r="I67" s="18" t="n">
        <v>202.71</v>
      </c>
      <c r="J67" s="18" t="n">
        <v>211.68</v>
      </c>
      <c r="K67" s="34" t="n">
        <v>619.53</v>
      </c>
      <c r="L67" s="18" t="n">
        <v>305.33</v>
      </c>
      <c r="M67" s="18" t="n">
        <v>391.86</v>
      </c>
      <c r="N67" s="18" t="n">
        <v>303.1</v>
      </c>
      <c r="O67" s="18" t="n">
        <v>496.04</v>
      </c>
      <c r="P67" s="34" t="n">
        <v>1496.33</v>
      </c>
      <c r="Q67" s="18" t="n">
        <v>346.64</v>
      </c>
      <c r="R67" s="18" t="n">
        <v>281.79</v>
      </c>
      <c r="S67" s="18" t="n">
        <v>332.38</v>
      </c>
      <c r="T67" s="18" t="n">
        <v>-12.26</v>
      </c>
      <c r="U67" s="34" t="n">
        <v>948.55</v>
      </c>
      <c r="V67" s="18" t="n">
        <v>154.12</v>
      </c>
      <c r="W67" s="18" t="n">
        <v>218.51</v>
      </c>
      <c r="X67" s="18" t="n">
        <v>366.85</v>
      </c>
      <c r="Y67" s="18" t="n">
        <v>317.29</v>
      </c>
      <c r="Z67" s="34" t="n">
        <v>1056.77</v>
      </c>
      <c r="AA67" s="18" t="n">
        <v>307.19</v>
      </c>
      <c r="AB67" s="19" t="n">
        <v>260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1631.2</v>
      </c>
      <c r="F68" s="9" t="n"/>
      <c r="G68" s="18" t="n">
        <v>1424.42</v>
      </c>
      <c r="H68" s="18" t="n">
        <v>1343.25</v>
      </c>
      <c r="I68" s="18" t="n">
        <v>1530.76</v>
      </c>
      <c r="J68" s="18" t="n">
        <v>2705.71</v>
      </c>
      <c r="K68" s="34" t="n">
        <v>7004.14</v>
      </c>
      <c r="L68" s="18" t="n">
        <v>2173.99</v>
      </c>
      <c r="M68" s="18" t="n">
        <v>2215.47</v>
      </c>
      <c r="N68" s="18" t="n">
        <v>2306.31</v>
      </c>
      <c r="O68" s="18" t="n">
        <v>2337.31</v>
      </c>
      <c r="P68" s="34" t="n">
        <v>9033.08</v>
      </c>
      <c r="Q68" s="18" t="n">
        <v>2420.51</v>
      </c>
      <c r="R68" s="18" t="n">
        <v>2386.17</v>
      </c>
      <c r="S68" s="18" t="n">
        <v>2502.39</v>
      </c>
      <c r="T68" s="18" t="n">
        <v>2376.84</v>
      </c>
      <c r="U68" s="34" t="n">
        <v>9685.91</v>
      </c>
      <c r="V68" s="18" t="n">
        <v>2278.32</v>
      </c>
      <c r="W68" s="18" t="n">
        <v>2087.62</v>
      </c>
      <c r="X68" s="18" t="n">
        <v>1984.04</v>
      </c>
      <c r="Y68" s="18" t="n">
        <v>1946.19</v>
      </c>
      <c r="Z68" s="34" t="n">
        <v>8296.17</v>
      </c>
      <c r="AA68" s="18" t="n">
        <v>1976.76</v>
      </c>
      <c r="AB68" s="19" t="n">
        <v>2095.91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19854.76</v>
      </c>
      <c r="F69" s="9" t="n"/>
      <c r="G69" s="18" t="n">
        <v>7864.12</v>
      </c>
      <c r="H69" s="18" t="n">
        <v>-2623.22</v>
      </c>
      <c r="I69" s="18" t="n">
        <v>-6574.05</v>
      </c>
      <c r="J69" s="18" t="n">
        <v>-2404.31</v>
      </c>
      <c r="K69" s="34" t="n">
        <v>-3737.46</v>
      </c>
      <c r="L69" s="18" t="n">
        <v>24137.7</v>
      </c>
      <c r="M69" s="18" t="n">
        <v>9988.219999999999</v>
      </c>
      <c r="N69" s="18" t="n">
        <v>-5552.54</v>
      </c>
      <c r="O69" s="18" t="n">
        <v>12503.75</v>
      </c>
      <c r="P69" s="34" t="n">
        <v>41077.13</v>
      </c>
      <c r="Q69" s="18" t="n">
        <v>9616.309999999999</v>
      </c>
      <c r="R69" s="18" t="n">
        <v>8773.540000000001</v>
      </c>
      <c r="S69" s="18" t="n">
        <v>7869.08</v>
      </c>
      <c r="T69" s="18" t="n">
        <v>5500.15</v>
      </c>
      <c r="U69" s="34" t="n">
        <v>31759.08</v>
      </c>
      <c r="V69" s="18" t="n">
        <v>2209.36</v>
      </c>
      <c r="W69" s="18" t="n">
        <v>33973.11</v>
      </c>
      <c r="X69" s="18" t="n">
        <v>14013.42</v>
      </c>
      <c r="Y69" s="18" t="n">
        <v>3452.73</v>
      </c>
      <c r="Z69" s="34" t="n">
        <v>53648.62</v>
      </c>
      <c r="AA69" s="18" t="n">
        <v>26696.88</v>
      </c>
      <c r="AB69" s="19" t="n">
        <v>948.98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31048.12</v>
      </c>
      <c r="F70" s="9" t="n"/>
      <c r="G70" s="18" t="n">
        <v>1553.65</v>
      </c>
      <c r="H70" s="18" t="n">
        <v>-1296.16</v>
      </c>
      <c r="I70" s="18" t="n">
        <v>-301.12</v>
      </c>
      <c r="J70" s="18" t="n">
        <v>-3154.94</v>
      </c>
      <c r="K70" s="34" t="n">
        <v>-3198.57</v>
      </c>
      <c r="L70" s="18" t="n">
        <v>3570.41</v>
      </c>
      <c r="M70" s="18" t="n">
        <v>11048.98</v>
      </c>
      <c r="N70" s="18" t="n">
        <v>-1091.96</v>
      </c>
      <c r="O70" s="18" t="n">
        <v>448.35</v>
      </c>
      <c r="P70" s="34" t="n">
        <v>13975.78</v>
      </c>
      <c r="Q70" s="18" t="n">
        <v>1313.38</v>
      </c>
      <c r="R70" s="18" t="n">
        <v>4905.33</v>
      </c>
      <c r="S70" s="18" t="n">
        <v>1414.65</v>
      </c>
      <c r="T70" s="18" t="n">
        <v>5828.13</v>
      </c>
      <c r="U70" s="34" t="n">
        <v>13461.49</v>
      </c>
      <c r="V70" s="18" t="n">
        <v>947.54</v>
      </c>
      <c r="W70" s="18" t="n">
        <v>15390.54</v>
      </c>
      <c r="X70" s="18" t="n">
        <v>1912.31</v>
      </c>
      <c r="Y70" s="18" t="n">
        <v>-28839.04</v>
      </c>
      <c r="Z70" s="34" t="n">
        <v>-10588.65</v>
      </c>
      <c r="AA70" s="18" t="n">
        <v>6237.35</v>
      </c>
      <c r="AB70" s="19" t="n">
        <v>1629.91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-11193.37</v>
      </c>
      <c r="F71" s="9" t="n"/>
      <c r="G71" s="18" t="n">
        <v>6310.48</v>
      </c>
      <c r="H71" s="18" t="n">
        <v>-1327.06</v>
      </c>
      <c r="I71" s="18" t="n">
        <v>-6272.92</v>
      </c>
      <c r="J71" s="18" t="n">
        <v>750.63</v>
      </c>
      <c r="K71" s="34" t="n">
        <v>-538.87</v>
      </c>
      <c r="L71" s="18" t="n">
        <v>20567.29</v>
      </c>
      <c r="M71" s="18" t="n">
        <v>-1060.77</v>
      </c>
      <c r="N71" s="18" t="n">
        <v>-4460.58</v>
      </c>
      <c r="O71" s="18" t="n">
        <v>12055.39</v>
      </c>
      <c r="P71" s="34" t="n">
        <v>27101.33</v>
      </c>
      <c r="Q71" s="18" t="n">
        <v>8302.93</v>
      </c>
      <c r="R71" s="18" t="n">
        <v>3868.21</v>
      </c>
      <c r="S71" s="18" t="n">
        <v>6454.43</v>
      </c>
      <c r="T71" s="18" t="n">
        <v>-327.98</v>
      </c>
      <c r="U71" s="34" t="n">
        <v>18297.59</v>
      </c>
      <c r="V71" s="18" t="n">
        <v>1261.82</v>
      </c>
      <c r="W71" s="18" t="n">
        <v>18582.56</v>
      </c>
      <c r="X71" s="18" t="n">
        <v>12101.11</v>
      </c>
      <c r="Y71" s="18" t="n">
        <v>32291.76</v>
      </c>
      <c r="Z71" s="34" t="n">
        <v>64237.25</v>
      </c>
      <c r="AA71" s="18" t="n">
        <v>20459.53</v>
      </c>
      <c r="AB71" s="19" t="n">
        <v>-680.92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-12029.94</v>
      </c>
      <c r="F72" s="9" t="n"/>
      <c r="G72" s="18" t="n">
        <v>6310.48</v>
      </c>
      <c r="H72" s="18" t="n">
        <v>-1390.47</v>
      </c>
      <c r="I72" s="18" t="n">
        <v>-5876.78</v>
      </c>
      <c r="J72" s="18" t="n">
        <v>1666.07</v>
      </c>
      <c r="K72" s="34" t="n">
        <v>709.3</v>
      </c>
      <c r="L72" s="18" t="n">
        <v>20567.29</v>
      </c>
      <c r="M72" s="18" t="n">
        <v>-1060.77</v>
      </c>
      <c r="N72" s="18" t="n">
        <v>-4460.58</v>
      </c>
      <c r="O72" s="18" t="n">
        <v>12309.07</v>
      </c>
      <c r="P72" s="34" t="n">
        <v>27355.01</v>
      </c>
      <c r="Q72" s="18" t="n">
        <v>8302.93</v>
      </c>
      <c r="R72" s="18" t="n">
        <v>3868.12</v>
      </c>
      <c r="S72" s="18" t="n">
        <v>6454.43</v>
      </c>
      <c r="T72" s="18" t="n">
        <v>-681.92</v>
      </c>
      <c r="U72" s="34" t="n">
        <v>17943.56</v>
      </c>
      <c r="V72" s="18" t="n">
        <v>1261.82</v>
      </c>
      <c r="W72" s="18" t="n">
        <v>18582.56</v>
      </c>
      <c r="X72" s="18" t="n">
        <v>12101.22</v>
      </c>
      <c r="Y72" s="18" t="n">
        <v>42619.84</v>
      </c>
      <c r="Z72" s="34" t="n">
        <v>74565.44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-13148.34</v>
      </c>
      <c r="F73" s="9" t="n"/>
      <c r="G73" s="18" t="n">
        <v>5219.36</v>
      </c>
      <c r="H73" s="18" t="n">
        <v>-626.97</v>
      </c>
      <c r="I73" s="18" t="n">
        <v>-5274</v>
      </c>
      <c r="J73" s="18" t="n">
        <v>909.63</v>
      </c>
      <c r="K73" s="34" t="n">
        <v>228.02</v>
      </c>
      <c r="L73" s="18" t="n">
        <v>17756.8</v>
      </c>
      <c r="M73" s="18" t="n">
        <v>-1877.68</v>
      </c>
      <c r="N73" s="18" t="n">
        <v>-3304.32</v>
      </c>
      <c r="O73" s="18" t="n">
        <v>11742.56</v>
      </c>
      <c r="P73" s="34" t="n">
        <v>24317.36</v>
      </c>
      <c r="Q73" s="18" t="n">
        <v>7632.57</v>
      </c>
      <c r="R73" s="18" t="n">
        <v>3129.7</v>
      </c>
      <c r="S73" s="18" t="n">
        <v>5555.88</v>
      </c>
      <c r="T73" s="18" t="n">
        <v>-620.13</v>
      </c>
      <c r="U73" s="34" t="n">
        <v>15698.02</v>
      </c>
      <c r="V73" s="18" t="n">
        <v>974.9400000000001</v>
      </c>
      <c r="W73" s="18" t="n">
        <v>14559.55</v>
      </c>
      <c r="X73" s="18" t="n">
        <v>10581.82</v>
      </c>
      <c r="Y73" s="18" t="n">
        <v>33291.5</v>
      </c>
      <c r="Z73" s="34" t="n">
        <v>59407.81</v>
      </c>
      <c r="AA73" s="18" t="n">
        <v>20055.85</v>
      </c>
      <c r="AB73" s="19" t="n">
        <v>-860.91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1954.98</v>
      </c>
      <c r="F74" s="9" t="n"/>
      <c r="G74" s="18" t="n">
        <v>1091.12</v>
      </c>
      <c r="H74" s="18" t="n">
        <v>-700.09</v>
      </c>
      <c r="I74" s="18" t="n">
        <v>-998.92</v>
      </c>
      <c r="J74" s="18" t="n">
        <v>-159</v>
      </c>
      <c r="K74" s="34" t="n">
        <v>-766.89</v>
      </c>
      <c r="L74" s="18" t="n">
        <v>2810.48</v>
      </c>
      <c r="M74" s="18" t="n">
        <v>816.92</v>
      </c>
      <c r="N74" s="18" t="n">
        <v>-1156.26</v>
      </c>
      <c r="O74" s="18" t="n">
        <v>312.83</v>
      </c>
      <c r="P74" s="34" t="n">
        <v>2783.97</v>
      </c>
      <c r="Q74" s="18" t="n">
        <v>670.35</v>
      </c>
      <c r="R74" s="18" t="n">
        <v>738.51</v>
      </c>
      <c r="S74" s="18" t="n">
        <v>898.55</v>
      </c>
      <c r="T74" s="18" t="n">
        <v>292.15</v>
      </c>
      <c r="U74" s="34" t="n">
        <v>2599.56</v>
      </c>
      <c r="V74" s="18" t="n">
        <v>286.89</v>
      </c>
      <c r="W74" s="18" t="n">
        <v>4023.01</v>
      </c>
      <c r="X74" s="18" t="n">
        <v>1519.29</v>
      </c>
      <c r="Y74" s="18" t="n">
        <v>-999.73</v>
      </c>
      <c r="Z74" s="34" t="n">
        <v>4829.46</v>
      </c>
      <c r="AA74" s="18" t="n">
        <v>403.68</v>
      </c>
      <c r="AB74" s="19" t="n">
        <v>179.98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-1512.97</v>
      </c>
      <c r="F75" s="9" t="n"/>
      <c r="G75" s="18" t="n">
        <v>-1358.24</v>
      </c>
      <c r="H75" s="18" t="n">
        <v>-1204.29</v>
      </c>
      <c r="I75" s="18" t="n">
        <v>-1328.05</v>
      </c>
      <c r="J75" s="18" t="n">
        <v>-2494.03</v>
      </c>
      <c r="K75" s="34" t="n">
        <v>-6384.61</v>
      </c>
      <c r="L75" s="18" t="n">
        <v>-1868.66</v>
      </c>
      <c r="M75" s="18" t="n">
        <v>-1823.61</v>
      </c>
      <c r="N75" s="18" t="n">
        <v>-2003.21</v>
      </c>
      <c r="O75" s="18" t="n">
        <v>-1841.27</v>
      </c>
      <c r="P75" s="34" t="n">
        <v>-7536.75</v>
      </c>
      <c r="Q75" s="18" t="n">
        <v>-2073.87</v>
      </c>
      <c r="R75" s="18" t="n">
        <v>-2104.38</v>
      </c>
      <c r="S75" s="18" t="n">
        <v>-2170.01</v>
      </c>
      <c r="T75" s="18" t="n">
        <v>-2389.1</v>
      </c>
      <c r="U75" s="34" t="n">
        <v>-8737.360000000001</v>
      </c>
      <c r="V75" s="18" t="n">
        <v>-2124.2</v>
      </c>
      <c r="W75" s="18" t="n">
        <v>-1869.11</v>
      </c>
      <c r="X75" s="18" t="n">
        <v>-1617.19</v>
      </c>
      <c r="Y75" s="18" t="n">
        <v>-1628.9</v>
      </c>
      <c r="Z75" s="34" t="n">
        <v>-7239.4</v>
      </c>
      <c r="AA75" s="18" t="n">
        <v>-1669.57</v>
      </c>
      <c r="AB75" s="19" t="n">
        <v>-1835.91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10692.43</v>
      </c>
      <c r="F76" s="9" t="n"/>
      <c r="G76" s="18" t="n">
        <v>8193.799999999999</v>
      </c>
      <c r="H76" s="18" t="n">
        <v>912.25</v>
      </c>
      <c r="I76" s="18" t="n">
        <v>768.99</v>
      </c>
      <c r="J76" s="18" t="n">
        <v>-9586.17</v>
      </c>
      <c r="K76" s="34" t="n">
        <v>288.87</v>
      </c>
      <c r="L76" s="18" t="n">
        <v>879.71</v>
      </c>
      <c r="M76" s="18" t="n">
        <v>104.01</v>
      </c>
      <c r="N76" s="18" t="n">
        <v>-151.52</v>
      </c>
      <c r="O76" s="18" t="n">
        <v>7643.59</v>
      </c>
      <c r="P76" s="34" t="n">
        <v>8475.790000000001</v>
      </c>
      <c r="Q76" s="18" t="n">
        <v>1658.38</v>
      </c>
      <c r="R76" s="18" t="n">
        <v>28.77</v>
      </c>
      <c r="S76" s="18" t="n">
        <v>-60.59</v>
      </c>
      <c r="T76" s="18" t="n">
        <v>1515.85</v>
      </c>
      <c r="U76" s="34" t="n">
        <v>3142.41</v>
      </c>
      <c r="V76" s="18" t="n">
        <v>52.79</v>
      </c>
      <c r="W76" s="18" t="n">
        <v>1016.22</v>
      </c>
      <c r="X76" s="18" t="n">
        <v>73.78</v>
      </c>
      <c r="Y76" s="18" t="n">
        <v>9787.450000000001</v>
      </c>
      <c r="Z76" s="34" t="n">
        <v>10930.24</v>
      </c>
      <c r="AA76" s="18" t="n">
        <v>178.2</v>
      </c>
      <c r="AB76" s="19" t="n">
        <v>-8.73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-11193.37</v>
      </c>
      <c r="F77" s="9" t="n"/>
      <c r="G77" s="18" t="n">
        <v>6310.48</v>
      </c>
      <c r="H77" s="18" t="n">
        <v>-1327.06</v>
      </c>
      <c r="I77" s="18" t="n">
        <v>-6272.92</v>
      </c>
      <c r="J77" s="18" t="n">
        <v>750.63</v>
      </c>
      <c r="K77" s="34" t="n">
        <v>-538.87</v>
      </c>
      <c r="L77" s="18" t="n">
        <v>20567.29</v>
      </c>
      <c r="M77" s="18" t="n">
        <v>-1060.77</v>
      </c>
      <c r="N77" s="18" t="n">
        <v>-4460.58</v>
      </c>
      <c r="O77" s="18" t="n">
        <v>12055.39</v>
      </c>
      <c r="P77" s="34" t="n">
        <v>27101.33</v>
      </c>
      <c r="Q77" s="18" t="n">
        <v>8302.93</v>
      </c>
      <c r="R77" s="18" t="n">
        <v>3868.21</v>
      </c>
      <c r="S77" s="18" t="n">
        <v>6454.43</v>
      </c>
      <c r="T77" s="18" t="n">
        <v>-327.98</v>
      </c>
      <c r="U77" s="34" t="n">
        <v>18297.59</v>
      </c>
      <c r="V77" s="18" t="n">
        <v>1261.82</v>
      </c>
      <c r="W77" s="18" t="n">
        <v>18582.56</v>
      </c>
      <c r="X77" s="18" t="n">
        <v>12101.11</v>
      </c>
      <c r="Y77" s="18" t="n">
        <v>32291.76</v>
      </c>
      <c r="Z77" s="34" t="n">
        <v>64237.25</v>
      </c>
      <c r="AA77" s="18" t="n">
        <v>20459.53</v>
      </c>
      <c r="AB77" s="19" t="n">
        <v>-680.92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-166098.55</v>
      </c>
      <c r="F78" s="9" t="n"/>
      <c r="G78" s="18" t="n">
        <v>198135.41</v>
      </c>
      <c r="H78" s="18" t="n">
        <v>55928.38</v>
      </c>
      <c r="I78" s="18" t="n">
        <v>-133337.45</v>
      </c>
      <c r="J78" s="18" t="n">
        <v>-77396.07000000001</v>
      </c>
      <c r="K78" s="34" t="n">
        <v>43330.27</v>
      </c>
      <c r="L78" s="18" t="n">
        <v>-193282.65</v>
      </c>
      <c r="M78" s="18" t="n">
        <v>173678.2</v>
      </c>
      <c r="N78" s="18" t="n">
        <v>-52784.74</v>
      </c>
      <c r="O78" s="18" t="n">
        <v>-187280.14</v>
      </c>
      <c r="P78" s="34" t="n">
        <v>-259669.33</v>
      </c>
      <c r="Q78" s="18" t="n">
        <v>-4525.59</v>
      </c>
      <c r="R78" s="18" t="n">
        <v>26373.18</v>
      </c>
      <c r="S78" s="18" t="n">
        <v>-480123.87</v>
      </c>
      <c r="T78" s="18" t="n">
        <v>274152.1</v>
      </c>
      <c r="U78" s="34" t="n">
        <v>-184124.18</v>
      </c>
      <c r="V78" s="18" t="n">
        <v>-626.4400000000001</v>
      </c>
      <c r="W78" s="18" t="n">
        <v>-75588.81</v>
      </c>
      <c r="X78" s="18" t="n">
        <v>90242.34</v>
      </c>
      <c r="Y78" s="18" t="n">
        <v>174407.1</v>
      </c>
      <c r="Z78" s="34" t="n">
        <v>188434.19</v>
      </c>
      <c r="AA78" s="18" t="n">
        <v>-382517.37</v>
      </c>
      <c r="AB78" s="19" t="n">
        <v>51018.13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8158.88</v>
      </c>
      <c r="F79" s="9" t="n"/>
      <c r="G79" s="18" t="n">
        <v>9816.370000000001</v>
      </c>
      <c r="H79" s="18" t="n">
        <v>13360.95</v>
      </c>
      <c r="I79" s="18" t="n">
        <v>14125.87</v>
      </c>
      <c r="J79" s="18" t="n">
        <v>17951.31</v>
      </c>
      <c r="K79" s="34" t="n">
        <v>55254.5</v>
      </c>
      <c r="L79" s="18" t="n">
        <v>17745.06</v>
      </c>
      <c r="M79" s="18" t="n">
        <v>17482.98</v>
      </c>
      <c r="N79" s="18" t="n">
        <v>14771.4</v>
      </c>
      <c r="O79" s="18" t="n">
        <v>15914.83</v>
      </c>
      <c r="P79" s="34" t="n">
        <v>65914.27</v>
      </c>
      <c r="Q79" s="18" t="n">
        <v>19275.38</v>
      </c>
      <c r="R79" s="18" t="n">
        <v>18342.85</v>
      </c>
      <c r="S79" s="18" t="n">
        <v>20013.51</v>
      </c>
      <c r="T79" s="18" t="n">
        <v>19434.24</v>
      </c>
      <c r="U79" s="34" t="n">
        <v>77065.98</v>
      </c>
      <c r="V79" s="18" t="n">
        <v>20665.83</v>
      </c>
      <c r="W79" s="18" t="n">
        <v>19426.62</v>
      </c>
      <c r="X79" s="18" t="n">
        <v>20092.3</v>
      </c>
      <c r="Y79" s="18" t="n">
        <v>16301.07</v>
      </c>
      <c r="Z79" s="34" t="n">
        <v>76485.82000000001</v>
      </c>
      <c r="AA79" s="18" t="n">
        <v>18506.91</v>
      </c>
      <c r="AB79" s="19" t="n">
        <v>22859.38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752.65</v>
      </c>
      <c r="F80" s="9" t="n"/>
      <c r="G80" s="18" t="n">
        <v>2175.22</v>
      </c>
      <c r="H80" s="18" t="n">
        <v>3062.5</v>
      </c>
      <c r="I80" s="18" t="n">
        <v>355.93</v>
      </c>
      <c r="J80" s="18" t="n">
        <v>631.78</v>
      </c>
      <c r="K80" s="34" t="n">
        <v>6225.43</v>
      </c>
      <c r="L80" s="18" t="n">
        <v>335.67</v>
      </c>
      <c r="M80" s="18" t="n">
        <v>2646.86</v>
      </c>
      <c r="N80" s="18" t="n">
        <v>3690.29</v>
      </c>
      <c r="O80" s="18" t="n">
        <v>2994.7</v>
      </c>
      <c r="P80" s="34" t="n">
        <v>9667.52</v>
      </c>
      <c r="Q80" s="18" t="n">
        <v>443.54</v>
      </c>
      <c r="R80" s="18" t="n">
        <v>5488.88</v>
      </c>
      <c r="S80" s="18" t="n">
        <v>713.71</v>
      </c>
      <c r="T80" s="18" t="n">
        <v>2158.83</v>
      </c>
      <c r="U80" s="34" t="n">
        <v>8804.959999999999</v>
      </c>
      <c r="V80" s="18" t="n">
        <v>1408.57</v>
      </c>
      <c r="W80" s="18" t="n">
        <v>4246.54</v>
      </c>
      <c r="X80" s="18" t="n">
        <v>765.41</v>
      </c>
      <c r="Y80" s="18" t="n">
        <v>1452.82</v>
      </c>
      <c r="Z80" s="34" t="n">
        <v>7873.34</v>
      </c>
      <c r="AA80" s="18" t="n">
        <v>2124.15</v>
      </c>
      <c r="AB80" s="19" t="n">
        <v>6352.84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-5084.28</v>
      </c>
      <c r="F81" s="9" t="n"/>
      <c r="G81" s="18" t="n">
        <v>-6300.3</v>
      </c>
      <c r="H81" s="18" t="n">
        <v>-7202.54</v>
      </c>
      <c r="I81" s="18" t="n">
        <v>-9592.52</v>
      </c>
      <c r="J81" s="18" t="n">
        <v>-13011.37</v>
      </c>
      <c r="K81" s="34" t="n">
        <v>-36106.73</v>
      </c>
      <c r="L81" s="18" t="n">
        <v>-15072.34</v>
      </c>
      <c r="M81" s="18" t="n">
        <v>-16572.4</v>
      </c>
      <c r="P81" s="9" t="n"/>
      <c r="Q81" s="18" t="n">
        <v>-16056.01</v>
      </c>
      <c r="R81" s="18" t="n">
        <v>-15854.54</v>
      </c>
      <c r="S81" s="18" t="n">
        <v>-19594.9</v>
      </c>
      <c r="T81" s="18" t="n">
        <v>-18324.91</v>
      </c>
      <c r="U81" s="34" t="n">
        <v>-69830.36</v>
      </c>
      <c r="V81" s="18" t="n">
        <v>-17524.42</v>
      </c>
      <c r="W81" s="18" t="n">
        <v>-16246.29</v>
      </c>
      <c r="X81" s="18" t="n">
        <v>-14506.26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-851.91</v>
      </c>
      <c r="F82" s="9" t="n"/>
      <c r="G82" s="18" t="n">
        <v>-4501.99</v>
      </c>
      <c r="H82" s="18" t="n">
        <v>-5745.98</v>
      </c>
      <c r="I82" s="18" t="n">
        <v>-3004.08</v>
      </c>
      <c r="J82" s="18" t="n">
        <v>-2236.08</v>
      </c>
      <c r="K82" s="34" t="n">
        <v>-15488.13</v>
      </c>
      <c r="L82" s="18" t="n">
        <v>-2811.64</v>
      </c>
      <c r="M82" s="18" t="n">
        <v>445.09</v>
      </c>
      <c r="N82" s="18" t="n">
        <v>-2166.84</v>
      </c>
      <c r="O82" s="18" t="n">
        <v>-2472.79</v>
      </c>
      <c r="P82" s="34" t="n">
        <v>-7006.18</v>
      </c>
      <c r="Q82" s="18" t="n">
        <v>-2480.67</v>
      </c>
      <c r="R82" s="18" t="n">
        <v>-2304.49</v>
      </c>
      <c r="S82" s="18" t="n">
        <v>-3317.93</v>
      </c>
      <c r="T82" s="18" t="n">
        <v>-8105.81</v>
      </c>
      <c r="U82" s="34" t="n">
        <v>-16208.9</v>
      </c>
      <c r="V82" s="18" t="n">
        <v>-2691.75</v>
      </c>
      <c r="W82" s="18" t="n">
        <v>2220.97</v>
      </c>
      <c r="X82" s="18" t="n">
        <v>-2234.28</v>
      </c>
      <c r="Y82" s="18" t="n">
        <v>-673.66</v>
      </c>
      <c r="Z82" s="34" t="n">
        <v>-3378.72</v>
      </c>
      <c r="AA82" s="18" t="n">
        <v>-2109.77</v>
      </c>
      <c r="AB82" s="19" t="n">
        <v>2804.35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4834.08</v>
      </c>
      <c r="F83" s="9" t="n"/>
      <c r="G83" s="18" t="n">
        <v>4446.47</v>
      </c>
      <c r="H83" s="18" t="n">
        <v>-2857.71</v>
      </c>
      <c r="I83" s="18" t="n">
        <v>-591.67</v>
      </c>
      <c r="J83" s="18" t="n">
        <v>4385.15</v>
      </c>
      <c r="K83" s="34" t="n">
        <v>5382.24</v>
      </c>
      <c r="L83" s="18" t="n">
        <v>-2478.46</v>
      </c>
      <c r="M83" s="18" t="n">
        <v>-14815.85</v>
      </c>
      <c r="N83" s="18" t="n">
        <v>4104.52</v>
      </c>
      <c r="O83" s="18" t="n">
        <v>22009.22</v>
      </c>
      <c r="P83" s="34" t="n">
        <v>8819.43</v>
      </c>
      <c r="Q83" s="18" t="n">
        <v>9175.620000000001</v>
      </c>
      <c r="R83" s="18" t="n">
        <v>6612.97</v>
      </c>
      <c r="S83" s="18" t="n">
        <v>-6729.9</v>
      </c>
      <c r="T83" s="18" t="n">
        <v>7167.09</v>
      </c>
      <c r="U83" s="34" t="n">
        <v>16225.78</v>
      </c>
      <c r="V83" s="18" t="n">
        <v>1310.85</v>
      </c>
      <c r="W83" s="18" t="n">
        <v>4330.78</v>
      </c>
      <c r="X83" s="18" t="n">
        <v>-2477.52</v>
      </c>
      <c r="Y83" s="18" t="n">
        <v>10055.34</v>
      </c>
      <c r="Z83" s="34" t="n">
        <v>13219.45</v>
      </c>
      <c r="AA83" s="18" t="n">
        <v>-9421.07</v>
      </c>
      <c r="AB83" s="19" t="n">
        <v>4510.06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55.56</v>
      </c>
      <c r="F84" s="9" t="n"/>
      <c r="G84" s="18" t="n">
        <v>165.32</v>
      </c>
      <c r="H84" s="18" t="n">
        <v>331.85</v>
      </c>
      <c r="I84" s="18" t="n">
        <v>16.67</v>
      </c>
      <c r="J84" s="18" t="n">
        <v>242.1</v>
      </c>
      <c r="K84" s="34" t="n">
        <v>755.9400000000001</v>
      </c>
      <c r="L84" s="18" t="n">
        <v>436.15</v>
      </c>
      <c r="M84" s="18" t="n">
        <v>0</v>
      </c>
      <c r="N84" s="18" t="n">
        <v>190.8</v>
      </c>
      <c r="O84" s="18" t="n">
        <v>32.7</v>
      </c>
      <c r="P84" s="34" t="n">
        <v>659.65</v>
      </c>
      <c r="Q84" s="18" t="n">
        <v>7.48</v>
      </c>
      <c r="R84" s="18" t="n">
        <v>0.03</v>
      </c>
      <c r="S84" s="18" t="n">
        <v>804.7</v>
      </c>
      <c r="T84" s="18" t="n">
        <v>17.19</v>
      </c>
      <c r="U84" s="34" t="n">
        <v>829.4</v>
      </c>
      <c r="V84" s="18" t="n">
        <v>2458.97</v>
      </c>
      <c r="W84" s="18" t="n">
        <v>96.95999999999999</v>
      </c>
      <c r="X84" s="18" t="n">
        <v>50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55.56</v>
      </c>
      <c r="F85" s="9" t="n"/>
      <c r="G85" s="18" t="n">
        <v>165.32</v>
      </c>
      <c r="H85" s="18" t="n">
        <v>331.85</v>
      </c>
      <c r="I85" s="18" t="n">
        <v>16.67</v>
      </c>
      <c r="J85" s="18" t="n">
        <v>242.1</v>
      </c>
      <c r="K85" s="34" t="n">
        <v>755.9400000000001</v>
      </c>
      <c r="L85" s="18" t="n">
        <v>436.15</v>
      </c>
      <c r="M85" s="18" t="n">
        <v>1701.81</v>
      </c>
      <c r="N85" s="18" t="n">
        <v>360.95</v>
      </c>
      <c r="O85" s="18" t="n">
        <v>147.08</v>
      </c>
      <c r="P85" s="34" t="n">
        <v>2645.99</v>
      </c>
      <c r="Q85" s="18" t="n">
        <v>88.68000000000001</v>
      </c>
      <c r="R85" s="18" t="n">
        <v>61.73</v>
      </c>
      <c r="S85" s="18" t="n">
        <v>885.8200000000001</v>
      </c>
      <c r="T85" s="18" t="n">
        <v>40.35</v>
      </c>
      <c r="U85" s="34" t="n">
        <v>1076.58</v>
      </c>
      <c r="V85" s="18" t="n">
        <v>2520.59</v>
      </c>
      <c r="W85" s="18" t="n">
        <v>216.91</v>
      </c>
      <c r="X85" s="18" t="n">
        <v>167.69</v>
      </c>
      <c r="Y85" s="18" t="n">
        <v>672.09</v>
      </c>
      <c r="Z85" s="34" t="n">
        <v>3577.28</v>
      </c>
      <c r="AA85" s="18" t="n">
        <v>110.31</v>
      </c>
      <c r="AB85" s="19" t="n">
        <v>547.4400000000001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124247.45</v>
      </c>
      <c r="F86" s="9" t="n"/>
      <c r="G86" s="18" t="n">
        <v>-157873.66</v>
      </c>
      <c r="H86" s="18" t="n">
        <v>-44360.14</v>
      </c>
      <c r="I86" s="18" t="n">
        <v>105092.08</v>
      </c>
      <c r="J86" s="18" t="n">
        <v>71491.64999999999</v>
      </c>
      <c r="K86" s="34" t="n">
        <v>-25650.07</v>
      </c>
      <c r="L86" s="18" t="n">
        <v>214647.23</v>
      </c>
      <c r="M86" s="18" t="n">
        <v>-128188.34</v>
      </c>
      <c r="N86" s="18" t="n">
        <v>4559.06</v>
      </c>
      <c r="O86" s="18" t="n">
        <v>158408.39</v>
      </c>
      <c r="P86" s="34" t="n">
        <v>249426.34</v>
      </c>
      <c r="Q86" s="18" t="n">
        <v>10338.19</v>
      </c>
      <c r="R86" s="18" t="n">
        <v>-17263.59</v>
      </c>
      <c r="S86" s="18" t="n">
        <v>462970.53</v>
      </c>
      <c r="T86" s="18" t="n">
        <v>-274877.8</v>
      </c>
      <c r="U86" s="34" t="n">
        <v>181167.33</v>
      </c>
      <c r="V86" s="18" t="n">
        <v>23065.7</v>
      </c>
      <c r="W86" s="18" t="n">
        <v>70197.48</v>
      </c>
      <c r="X86" s="18" t="n">
        <v>-102263.05</v>
      </c>
      <c r="Y86" s="18" t="n">
        <v>-152875.34</v>
      </c>
      <c r="Z86" s="34" t="n">
        <v>-161875.21</v>
      </c>
      <c r="AA86" s="18" t="n">
        <v>360592.09</v>
      </c>
      <c r="AB86" s="19" t="n">
        <v>-45359.44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6000</v>
      </c>
      <c r="F87" s="9" t="n"/>
      <c r="G87" s="18" t="n">
        <v>95000</v>
      </c>
      <c r="H87" s="18" t="n">
        <v>62.59</v>
      </c>
      <c r="J87" s="18" t="n">
        <v>2970</v>
      </c>
      <c r="K87" s="9" t="n"/>
      <c r="L87" s="18" t="n">
        <v>6420</v>
      </c>
      <c r="M87" s="18" t="n">
        <v>1760</v>
      </c>
      <c r="N87" s="18" t="n">
        <v>8320</v>
      </c>
      <c r="P87" s="9" t="n"/>
      <c r="Q87" s="18" t="n">
        <v>16400</v>
      </c>
      <c r="S87" s="18" t="n">
        <v>13000</v>
      </c>
      <c r="U87" s="9" t="n"/>
      <c r="V87" s="18" t="n">
        <v>93410</v>
      </c>
      <c r="X87" s="18" t="n">
        <v>6260</v>
      </c>
      <c r="Z87" s="9" t="n"/>
      <c r="AA87" s="18" t="n">
        <v>1380</v>
      </c>
      <c r="AB87" s="19" t="n">
        <v>990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0</v>
      </c>
      <c r="F88" s="9" t="n"/>
      <c r="G88" s="18" t="n">
        <v>17000</v>
      </c>
      <c r="H88" s="18" t="n">
        <v>0</v>
      </c>
      <c r="I88" s="18" t="n">
        <v>0</v>
      </c>
      <c r="J88" s="18" t="n">
        <v>0</v>
      </c>
      <c r="K88" s="34" t="n">
        <v>17000</v>
      </c>
      <c r="L88" s="18" t="n">
        <v>20000</v>
      </c>
      <c r="M88" s="18" t="n">
        <v>42000</v>
      </c>
      <c r="N88" s="18" t="n">
        <v>0</v>
      </c>
      <c r="O88" s="18" t="n">
        <v>0</v>
      </c>
      <c r="P88" s="34" t="n">
        <v>62000</v>
      </c>
      <c r="Q88" s="18" t="n">
        <v>0</v>
      </c>
      <c r="R88" s="18" t="n">
        <v>40000</v>
      </c>
      <c r="S88" s="18" t="n">
        <v>9000</v>
      </c>
      <c r="T88" s="18" t="n">
        <v>18420</v>
      </c>
      <c r="U88" s="34" t="n">
        <v>67420</v>
      </c>
      <c r="V88" s="18" t="n">
        <v>16500</v>
      </c>
      <c r="W88" s="18" t="n">
        <v>25000</v>
      </c>
      <c r="X88" s="18" t="n">
        <v>200</v>
      </c>
      <c r="Y88" s="18" t="n">
        <v>27340</v>
      </c>
      <c r="Z88" s="34" t="n">
        <v>69040</v>
      </c>
      <c r="AA88" s="18" t="n">
        <v>12000</v>
      </c>
      <c r="AB88" s="19" t="n">
        <v>19500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J89" s="18" t="n">
        <v>0</v>
      </c>
      <c r="K89" s="9" t="n"/>
      <c r="O89" s="18" t="n">
        <v>5000</v>
      </c>
      <c r="P89" s="9" t="n"/>
      <c r="Q89" s="18" t="n">
        <v>15000</v>
      </c>
      <c r="S89" s="18" t="n">
        <v>0</v>
      </c>
      <c r="T89" s="18" t="n">
        <v>29374.91</v>
      </c>
      <c r="U89" s="9" t="n"/>
      <c r="V89" s="18" t="n">
        <v>90637.42999999999</v>
      </c>
      <c r="X89" s="18" t="n">
        <v>5000</v>
      </c>
      <c r="Z89" s="9" t="n"/>
      <c r="AA89" s="18" t="n">
        <v>1000</v>
      </c>
      <c r="AB89" s="19" t="n">
        <v>25800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24000</v>
      </c>
      <c r="H90" s="18" t="n">
        <v>0</v>
      </c>
      <c r="I90" s="18" t="n">
        <v>0</v>
      </c>
      <c r="J90" s="18" t="n">
        <v>0</v>
      </c>
      <c r="K90" s="34" t="n">
        <v>24000</v>
      </c>
      <c r="L90" s="18" t="n">
        <v>20000</v>
      </c>
      <c r="M90" s="18" t="n">
        <v>30000</v>
      </c>
      <c r="N90" s="18" t="n">
        <v>0</v>
      </c>
      <c r="O90" s="18" t="n">
        <v>0</v>
      </c>
      <c r="P90" s="34" t="n">
        <v>50000</v>
      </c>
      <c r="Q90" s="18" t="n">
        <v>0</v>
      </c>
      <c r="R90" s="18" t="n">
        <v>42000</v>
      </c>
      <c r="S90" s="18" t="n">
        <v>11000</v>
      </c>
      <c r="U90" s="9" t="n"/>
      <c r="V90" s="18" t="n">
        <v>12900</v>
      </c>
      <c r="W90" s="18" t="n">
        <v>22500</v>
      </c>
      <c r="X90" s="18" t="n">
        <v>7000</v>
      </c>
      <c r="Y90" s="18" t="n">
        <v>2420</v>
      </c>
      <c r="Z90" s="34" t="n">
        <v>44820</v>
      </c>
      <c r="AA90" s="18" t="n">
        <v>11000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82.27</v>
      </c>
      <c r="F91" s="9" t="n"/>
      <c r="G91" s="18" t="n">
        <v>215.5</v>
      </c>
      <c r="H91" s="18" t="n">
        <v>433.16</v>
      </c>
      <c r="I91" s="18" t="n">
        <v>436.87</v>
      </c>
      <c r="J91" s="18" t="n">
        <v>409.98</v>
      </c>
      <c r="K91" s="34" t="n">
        <v>1495.51</v>
      </c>
      <c r="L91" s="18" t="n">
        <v>486.9</v>
      </c>
      <c r="M91" s="18" t="n">
        <v>596.37</v>
      </c>
      <c r="N91" s="18" t="n">
        <v>599.65</v>
      </c>
      <c r="O91" s="18" t="n">
        <v>571.97</v>
      </c>
      <c r="P91" s="34" t="n">
        <v>2254.89</v>
      </c>
      <c r="Q91" s="18" t="n">
        <v>650.8200000000001</v>
      </c>
      <c r="R91" s="18" t="n">
        <v>772.2</v>
      </c>
      <c r="S91" s="18" t="n">
        <v>772.02</v>
      </c>
      <c r="T91" s="18" t="n">
        <v>743.35</v>
      </c>
      <c r="U91" s="34" t="n">
        <v>2938.39</v>
      </c>
      <c r="V91" s="18" t="n">
        <v>776.3099999999999</v>
      </c>
      <c r="W91" s="18" t="n">
        <v>788.46</v>
      </c>
      <c r="X91" s="18" t="n">
        <v>817.3</v>
      </c>
      <c r="Y91" s="18" t="n">
        <v>779.91</v>
      </c>
      <c r="Z91" s="34" t="n">
        <v>3161.98</v>
      </c>
      <c r="AA91" s="18" t="n">
        <v>1653.2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-74046.17</v>
      </c>
      <c r="F92" s="9" t="n"/>
      <c r="G92" s="18" t="n">
        <v>89416.61</v>
      </c>
      <c r="H92" s="18" t="n">
        <v>17420.87</v>
      </c>
      <c r="I92" s="18" t="n">
        <v>-57674.06</v>
      </c>
      <c r="J92" s="18" t="n">
        <v>-3097.89</v>
      </c>
      <c r="K92" s="34" t="n">
        <v>46065.53</v>
      </c>
      <c r="L92" s="18" t="n">
        <v>37772.24</v>
      </c>
      <c r="M92" s="18" t="n">
        <v>61348.02</v>
      </c>
      <c r="N92" s="18" t="n">
        <v>-88242.32000000001</v>
      </c>
      <c r="O92" s="18" t="n">
        <v>-13725.06</v>
      </c>
      <c r="P92" s="34" t="n">
        <v>-2847.12</v>
      </c>
      <c r="Q92" s="18" t="n">
        <v>29976.44</v>
      </c>
      <c r="R92" s="18" t="n">
        <v>31445.1</v>
      </c>
      <c r="S92" s="18" t="n">
        <v>-47766.46</v>
      </c>
      <c r="T92" s="18" t="n">
        <v>12882.78</v>
      </c>
      <c r="U92" s="34" t="n">
        <v>26537.86</v>
      </c>
      <c r="V92" s="18" t="n">
        <v>47500.22</v>
      </c>
      <c r="W92" s="18" t="n">
        <v>-2121.1</v>
      </c>
      <c r="X92" s="18" t="n">
        <v>-28996.46</v>
      </c>
      <c r="Y92" s="18" t="n">
        <v>23395.77</v>
      </c>
      <c r="Z92" s="34" t="n">
        <v>39778.43</v>
      </c>
      <c r="AA92" s="18" t="n">
        <v>-31346.36</v>
      </c>
      <c r="AB92" s="19" t="n">
        <v>10168.76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-37029.15</v>
      </c>
      <c r="F93" s="9" t="n"/>
      <c r="G93" s="18" t="n">
        <v>123601.61</v>
      </c>
      <c r="H93" s="18" t="n">
        <v>8710.360000000001</v>
      </c>
      <c r="I93" s="18" t="n">
        <v>-28837.04</v>
      </c>
      <c r="J93" s="18" t="n">
        <v>-1578.62</v>
      </c>
      <c r="K93" s="34" t="n">
        <v>101896.31</v>
      </c>
      <c r="L93" s="18" t="n">
        <v>120782.43</v>
      </c>
      <c r="M93" s="18" t="n">
        <v>30674.01</v>
      </c>
      <c r="N93" s="18" t="n">
        <v>-44121.16</v>
      </c>
      <c r="O93" s="18" t="n">
        <v>-6862.53</v>
      </c>
      <c r="P93" s="34" t="n">
        <v>100472.75</v>
      </c>
      <c r="Q93" s="18" t="n">
        <v>115460.97</v>
      </c>
      <c r="R93" s="18" t="n">
        <v>15722.55</v>
      </c>
      <c r="S93" s="18" t="n">
        <v>-23883.23</v>
      </c>
      <c r="T93" s="18" t="n">
        <v>6441.39</v>
      </c>
      <c r="U93" s="34" t="n">
        <v>113741.68</v>
      </c>
      <c r="V93" s="18" t="n">
        <v>137491.8</v>
      </c>
      <c r="W93" s="18" t="n">
        <v>-629.89</v>
      </c>
      <c r="X93" s="18" t="n">
        <v>-14498.23</v>
      </c>
      <c r="Y93" s="18" t="n">
        <v>31156.43</v>
      </c>
      <c r="Z93" s="34" t="n">
        <v>153520.11</v>
      </c>
      <c r="AA93" s="18" t="n">
        <v>122173.76</v>
      </c>
      <c r="AB93" s="19" t="n">
        <v>10168.75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3219.58</v>
      </c>
      <c r="K94" s="9" t="n"/>
      <c r="P94" s="9" t="n"/>
      <c r="Q94" s="18" t="n">
        <v>1274.12</v>
      </c>
      <c r="S94" s="18" t="n">
        <v>0</v>
      </c>
      <c r="T94" s="18" t="n">
        <v>1610.69</v>
      </c>
      <c r="U94" s="9" t="n"/>
      <c r="V94" s="18" t="n">
        <v>0</v>
      </c>
      <c r="W94" s="18" t="n">
        <v>0</v>
      </c>
      <c r="X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L95" s="18" t="n">
        <v>5000</v>
      </c>
      <c r="N95" s="18" t="n">
        <v>5000</v>
      </c>
      <c r="P95" s="9" t="n"/>
      <c r="S95" s="18" t="n">
        <v>0</v>
      </c>
      <c r="U95" s="9" t="n"/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F96" s="9" t="n"/>
      <c r="K96" s="9" t="n"/>
      <c r="N96" s="18" t="n">
        <v>0</v>
      </c>
      <c r="O96" s="18" t="n">
        <v>0</v>
      </c>
      <c r="P96" s="9" t="n"/>
      <c r="Q96" s="18" t="n">
        <v>0.68</v>
      </c>
      <c r="R96" s="18" t="n">
        <v>0</v>
      </c>
      <c r="S96" s="18" t="n">
        <v>1.32</v>
      </c>
      <c r="T96" s="18" t="n">
        <v>0</v>
      </c>
      <c r="U96" s="34" t="n">
        <v>2</v>
      </c>
      <c r="V96" s="18" t="n">
        <v>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K97" s="9" t="n"/>
      <c r="N97" s="18" t="n">
        <v>170.15</v>
      </c>
      <c r="O97" s="18" t="n">
        <v>114.38</v>
      </c>
      <c r="P97" s="9" t="n"/>
      <c r="Q97" s="18" t="n">
        <v>81.2</v>
      </c>
      <c r="R97" s="18" t="n">
        <v>61.7</v>
      </c>
      <c r="S97" s="18" t="n">
        <v>81.12</v>
      </c>
      <c r="T97" s="18" t="n">
        <v>23.16</v>
      </c>
      <c r="U97" s="34" t="n">
        <v>247.18</v>
      </c>
      <c r="V97" s="18" t="n">
        <v>61.62</v>
      </c>
      <c r="W97" s="18" t="n">
        <v>119.95</v>
      </c>
      <c r="X97" s="18" t="n">
        <v>117.69</v>
      </c>
      <c r="Y97" s="18" t="n">
        <v>672.09</v>
      </c>
      <c r="Z97" s="34" t="n">
        <v>971.35</v>
      </c>
      <c r="AA97" s="18" t="n">
        <v>110.31</v>
      </c>
      <c r="AB97" s="19" t="n">
        <v>547.4400000000001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N98" s="18" t="n">
        <v>0</v>
      </c>
      <c r="O98" s="18" t="n">
        <v>0</v>
      </c>
      <c r="P98" s="9" t="n"/>
      <c r="Q98" s="18" t="n">
        <v>5602.78</v>
      </c>
      <c r="R98" s="18" t="n">
        <v>3976.13</v>
      </c>
      <c r="S98" s="18" t="n">
        <v>0</v>
      </c>
      <c r="T98" s="18" t="n">
        <v>0</v>
      </c>
      <c r="U98" s="34" t="n">
        <v>9578.91</v>
      </c>
      <c r="V98" s="18" t="n">
        <v>0</v>
      </c>
      <c r="W98" s="18" t="n">
        <v>18644.14</v>
      </c>
      <c r="X98" s="18" t="n">
        <v>0</v>
      </c>
      <c r="Y98" s="18" t="n">
        <v>2.63</v>
      </c>
      <c r="Z98" s="34" t="n">
        <v>18646.77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4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4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4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4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4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4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4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4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4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4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Q7" s="18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4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4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4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4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4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4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4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4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4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4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4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4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4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4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4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4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4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4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4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4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4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4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4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4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4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4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4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4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4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4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4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4" t="n">
        <v>0</v>
      </c>
      <c r="P16" s="9" t="n"/>
      <c r="T16" s="18" t="n">
        <v>1728.11</v>
      </c>
      <c r="U16" s="34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4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4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4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4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4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4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4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4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4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4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4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4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4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4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4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4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4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4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4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4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4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4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4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4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4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4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4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4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4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4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4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4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4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4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4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4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4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4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4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4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4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4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4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4" t="n">
        <v>10000</v>
      </c>
      <c r="Q26" s="18" t="n">
        <v>0</v>
      </c>
      <c r="R26" s="18" t="n">
        <v>7000</v>
      </c>
      <c r="U26" s="9" t="n"/>
      <c r="X26" s="18" t="n">
        <v>13000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4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4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4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4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4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4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4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4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4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4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4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4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4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4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4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4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4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4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4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4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4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4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4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4" t="n">
        <v>5000</v>
      </c>
      <c r="L32" s="18" t="n">
        <v>0</v>
      </c>
      <c r="M32" s="18" t="n">
        <v>0</v>
      </c>
      <c r="O32" s="18" t="n">
        <v>18800</v>
      </c>
      <c r="P32" s="34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4" t="n">
        <v>5000</v>
      </c>
      <c r="V32" s="18" t="n">
        <v>0</v>
      </c>
      <c r="W32" s="18" t="n">
        <v>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4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4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4" t="n">
        <v>53000</v>
      </c>
      <c r="Q33" s="18" t="n">
        <v>53000</v>
      </c>
      <c r="R33" s="18" t="n">
        <v>51000</v>
      </c>
      <c r="S33" s="18" t="n">
        <v>49000</v>
      </c>
      <c r="U33" s="9" t="n"/>
      <c r="X33" s="18" t="n">
        <v>68420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4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4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4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4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4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당기법인세부채(미지급법인세)</t>
        </is>
      </c>
      <c r="E35" s="18" t="n">
        <v>742.0700000000001</v>
      </c>
      <c r="F35" s="34" t="n">
        <v>742.0700000000001</v>
      </c>
      <c r="G35" s="18" t="n">
        <v>396.43</v>
      </c>
      <c r="H35" s="18" t="n">
        <v>377.82</v>
      </c>
      <c r="I35" s="18" t="n">
        <v>0</v>
      </c>
      <c r="J35" s="18" t="n">
        <v>1389.49</v>
      </c>
      <c r="K35" s="34" t="n">
        <v>1389.49</v>
      </c>
      <c r="L35" s="18" t="n">
        <v>773.41</v>
      </c>
      <c r="M35" s="18" t="n">
        <v>2476.65</v>
      </c>
      <c r="N35" s="18" t="n">
        <v>2076.22</v>
      </c>
      <c r="O35" s="18" t="n">
        <v>5082.7</v>
      </c>
      <c r="P35" s="34" t="n">
        <v>5082.7</v>
      </c>
      <c r="Q35" s="18" t="n">
        <v>5075.93</v>
      </c>
      <c r="R35" s="18" t="n">
        <v>2178.73</v>
      </c>
      <c r="S35" s="18" t="n">
        <v>1188.4</v>
      </c>
      <c r="T35" s="18" t="n">
        <v>203.56</v>
      </c>
      <c r="U35" s="34" t="n">
        <v>203.56</v>
      </c>
      <c r="V35" s="18" t="n">
        <v>201.32</v>
      </c>
      <c r="W35" s="18" t="n">
        <v>2341.06</v>
      </c>
      <c r="X35" s="18" t="n">
        <v>1847.75</v>
      </c>
      <c r="Y35" s="18" t="n">
        <v>2248.55</v>
      </c>
      <c r="Z35" s="34" t="n">
        <v>2248.55</v>
      </c>
      <c r="AA35" s="18" t="n">
        <v>2246.46</v>
      </c>
      <c r="AB35" s="19" t="n">
        <v>4233.81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130.12</v>
      </c>
      <c r="F36" s="34" t="n">
        <v>130.12</v>
      </c>
      <c r="G36" s="18" t="n">
        <v>119.22</v>
      </c>
      <c r="H36" s="18" t="n">
        <v>141.75</v>
      </c>
      <c r="I36" s="18" t="n">
        <v>7311.26</v>
      </c>
      <c r="J36" s="18" t="n">
        <v>9706.91</v>
      </c>
      <c r="K36" s="34" t="n">
        <v>9706.91</v>
      </c>
      <c r="L36" s="18" t="n">
        <v>10671.4</v>
      </c>
      <c r="M36" s="18" t="n">
        <v>10652</v>
      </c>
      <c r="N36" s="18" t="n">
        <v>10076.56</v>
      </c>
      <c r="O36" s="18" t="n">
        <v>2216.69</v>
      </c>
      <c r="P36" s="34" t="n">
        <v>2216.69</v>
      </c>
      <c r="Q36" s="18" t="n">
        <v>741.4299999999999</v>
      </c>
      <c r="R36" s="18" t="n">
        <v>496.44</v>
      </c>
      <c r="S36" s="18" t="n">
        <v>394.45</v>
      </c>
      <c r="T36" s="18" t="n">
        <v>386.44</v>
      </c>
      <c r="U36" s="34" t="n">
        <v>386.44</v>
      </c>
      <c r="V36" s="18" t="n">
        <v>444.21</v>
      </c>
      <c r="W36" s="18" t="n">
        <v>571.01</v>
      </c>
      <c r="X36" s="18" t="n">
        <v>512.64</v>
      </c>
      <c r="Y36" s="18" t="n">
        <v>317.64</v>
      </c>
      <c r="Z36" s="34" t="n">
        <v>317.64</v>
      </c>
      <c r="AA36" s="18" t="n">
        <v>401.67</v>
      </c>
      <c r="AB36" s="19" t="n">
        <v>501.66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78300.5</v>
      </c>
      <c r="F37" s="34" t="n">
        <v>78300.5</v>
      </c>
      <c r="G37" s="18" t="n">
        <v>82731.84</v>
      </c>
      <c r="H37" s="18" t="n">
        <v>80371.12</v>
      </c>
      <c r="I37" s="18" t="n">
        <v>87274.14</v>
      </c>
      <c r="J37" s="18" t="n">
        <v>93171.23</v>
      </c>
      <c r="K37" s="34" t="n">
        <v>93171.23</v>
      </c>
      <c r="L37" s="18" t="n">
        <v>95667.98</v>
      </c>
      <c r="M37" s="18" t="n">
        <v>107125.85</v>
      </c>
      <c r="N37" s="18" t="n">
        <v>108463.99</v>
      </c>
      <c r="O37" s="18" t="n">
        <v>103582.94</v>
      </c>
      <c r="P37" s="34" t="n">
        <v>103582.94</v>
      </c>
      <c r="Q37" s="18" t="n">
        <v>111057.14</v>
      </c>
      <c r="R37" s="18" t="n">
        <v>99181.14999999999</v>
      </c>
      <c r="S37" s="18" t="n">
        <v>97547.19</v>
      </c>
      <c r="T37" s="18" t="n">
        <v>98071.78999999999</v>
      </c>
      <c r="U37" s="34" t="n">
        <v>98071.78999999999</v>
      </c>
      <c r="V37" s="18" t="n">
        <v>103287.32</v>
      </c>
      <c r="W37" s="18" t="n">
        <v>97570.82000000001</v>
      </c>
      <c r="X37" s="18" t="n">
        <v>97103.88</v>
      </c>
      <c r="Y37" s="18" t="n">
        <v>102675.6</v>
      </c>
      <c r="Z37" s="34" t="n">
        <v>102675.6</v>
      </c>
      <c r="AA37" s="18" t="n">
        <v>115182.86</v>
      </c>
      <c r="AB37" s="19" t="n">
        <v>104830.61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278058.65</v>
      </c>
      <c r="F38" s="34" t="n">
        <v>278058.65</v>
      </c>
      <c r="G38" s="18" t="n">
        <v>284588.24</v>
      </c>
      <c r="H38" s="18" t="n">
        <v>281648.44</v>
      </c>
      <c r="I38" s="18" t="n">
        <v>280951.46</v>
      </c>
      <c r="J38" s="18" t="n">
        <v>284865.7</v>
      </c>
      <c r="K38" s="34" t="n">
        <v>284865.7</v>
      </c>
      <c r="L38" s="18" t="n">
        <v>302197.59</v>
      </c>
      <c r="M38" s="18" t="n">
        <v>309814.2</v>
      </c>
      <c r="N38" s="18" t="n">
        <v>304021.59</v>
      </c>
      <c r="O38" s="18" t="n">
        <v>311779.93</v>
      </c>
      <c r="P38" s="34" t="n">
        <v>311779.93</v>
      </c>
      <c r="Q38" s="18" t="n">
        <v>317246.68</v>
      </c>
      <c r="R38" s="18" t="n">
        <v>308500.29</v>
      </c>
      <c r="S38" s="18" t="n">
        <v>312422.21</v>
      </c>
      <c r="T38" s="18" t="n">
        <v>310143.81</v>
      </c>
      <c r="U38" s="34" t="n">
        <v>310143.81</v>
      </c>
      <c r="V38" s="18" t="n">
        <v>308053.76</v>
      </c>
      <c r="W38" s="18" t="n">
        <v>326476.02</v>
      </c>
      <c r="X38" s="18" t="n">
        <v>336248.15</v>
      </c>
      <c r="Y38" s="18" t="n">
        <v>403790.05</v>
      </c>
      <c r="Z38" s="34" t="n">
        <v>403790.05</v>
      </c>
      <c r="AA38" s="18" t="n">
        <v>423793.87</v>
      </c>
      <c r="AB38" s="19" t="n">
        <v>412932.61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199758.15</v>
      </c>
      <c r="F39" s="34" t="n">
        <v>199758.15</v>
      </c>
      <c r="G39" s="18" t="n">
        <v>201856.4</v>
      </c>
      <c r="H39" s="18" t="n">
        <v>201277.33</v>
      </c>
      <c r="I39" s="18" t="n">
        <v>193677.32</v>
      </c>
      <c r="J39" s="18" t="n">
        <v>191694.47</v>
      </c>
      <c r="K39" s="34" t="n">
        <v>191694.47</v>
      </c>
      <c r="L39" s="18" t="n">
        <v>206529.61</v>
      </c>
      <c r="M39" s="18" t="n">
        <v>202688.35</v>
      </c>
      <c r="N39" s="18" t="n">
        <v>195557.6</v>
      </c>
      <c r="O39" s="18" t="n">
        <v>208196.99</v>
      </c>
      <c r="P39" s="34" t="n">
        <v>208196.99</v>
      </c>
      <c r="Q39" s="18" t="n">
        <v>206189.53</v>
      </c>
      <c r="R39" s="18" t="n">
        <v>209319.14</v>
      </c>
      <c r="S39" s="18" t="n">
        <v>214875.02</v>
      </c>
      <c r="T39" s="18" t="n">
        <v>212072.02</v>
      </c>
      <c r="U39" s="34" t="n">
        <v>212072.02</v>
      </c>
      <c r="V39" s="18" t="n">
        <v>204766.44</v>
      </c>
      <c r="W39" s="18" t="n">
        <v>228905.2</v>
      </c>
      <c r="X39" s="18" t="n">
        <v>239144.26</v>
      </c>
      <c r="Y39" s="18" t="n">
        <v>301114.44</v>
      </c>
      <c r="Z39" s="34" t="n">
        <v>301114.44</v>
      </c>
      <c r="AA39" s="18" t="n">
        <v>308611.01</v>
      </c>
      <c r="AB39" s="19" t="n">
        <v>308101.99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64000</v>
      </c>
      <c r="F40" s="34" t="n">
        <v>64000</v>
      </c>
      <c r="G40" s="18" t="n">
        <v>66000</v>
      </c>
      <c r="H40" s="18" t="n">
        <v>66000</v>
      </c>
      <c r="I40" s="18" t="n">
        <v>66000</v>
      </c>
      <c r="J40" s="18" t="n">
        <v>67800</v>
      </c>
      <c r="K40" s="34" t="n">
        <v>67800</v>
      </c>
      <c r="L40" s="18" t="n">
        <v>67800</v>
      </c>
      <c r="M40" s="18" t="n">
        <v>79800</v>
      </c>
      <c r="N40" s="18" t="n">
        <v>81800</v>
      </c>
      <c r="O40" s="18" t="n">
        <v>81800</v>
      </c>
      <c r="P40" s="34" t="n">
        <v>81800</v>
      </c>
      <c r="Q40" s="18" t="n">
        <v>81800</v>
      </c>
      <c r="R40" s="18" t="n">
        <v>81800</v>
      </c>
      <c r="S40" s="18" t="n">
        <v>72800</v>
      </c>
      <c r="T40" s="18" t="n">
        <v>5000</v>
      </c>
      <c r="U40" s="34" t="n">
        <v>5000</v>
      </c>
      <c r="V40" s="18" t="n">
        <v>0</v>
      </c>
      <c r="W40" s="18" t="n">
        <v>0</v>
      </c>
      <c r="X40" s="18" t="n">
        <v>81420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60963.38</v>
      </c>
      <c r="F41" s="34" t="n">
        <v>60963.38</v>
      </c>
      <c r="G41" s="18" t="n">
        <v>59370.72</v>
      </c>
      <c r="H41" s="18" t="n">
        <v>60393.9</v>
      </c>
      <c r="I41" s="18" t="n">
        <v>54437.79</v>
      </c>
      <c r="J41" s="18" t="n">
        <v>62121.42</v>
      </c>
      <c r="K41" s="34" t="n">
        <v>62121.42</v>
      </c>
      <c r="L41" s="18" t="n">
        <v>61650.88</v>
      </c>
      <c r="M41" s="18" t="n">
        <v>75159.97</v>
      </c>
      <c r="N41" s="18" t="n">
        <v>74323.67</v>
      </c>
      <c r="O41" s="18" t="n">
        <v>73354.17999999999</v>
      </c>
      <c r="P41" s="34" t="n">
        <v>73354.17999999999</v>
      </c>
      <c r="Q41" s="18" t="n">
        <v>69833.45</v>
      </c>
      <c r="R41" s="18" t="n">
        <v>71303.78999999999</v>
      </c>
      <c r="S41" s="18" t="n">
        <v>67614.46000000001</v>
      </c>
      <c r="T41" s="18" t="n">
        <v>-3131.44</v>
      </c>
      <c r="U41" s="34" t="n">
        <v>-3131.44</v>
      </c>
      <c r="V41" s="18" t="n">
        <v>-9493</v>
      </c>
      <c r="W41" s="18" t="n">
        <v>-12517.98</v>
      </c>
      <c r="X41" s="18" t="n">
        <v>74175.09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3038.12</v>
      </c>
      <c r="F42" s="34" t="n">
        <v>3038.12</v>
      </c>
      <c r="G42" s="18" t="n">
        <v>6630.78</v>
      </c>
      <c r="H42" s="18" t="n">
        <v>5607.6</v>
      </c>
      <c r="I42" s="18" t="n">
        <v>11563.71</v>
      </c>
      <c r="J42" s="18" t="n">
        <v>5680.08</v>
      </c>
      <c r="K42" s="34" t="n">
        <v>5680.08</v>
      </c>
      <c r="L42" s="18" t="n">
        <v>6150.62</v>
      </c>
      <c r="M42" s="18" t="n">
        <v>4745.67</v>
      </c>
      <c r="N42" s="18" t="n">
        <v>7593.46</v>
      </c>
      <c r="O42" s="18" t="n">
        <v>8574.549999999999</v>
      </c>
      <c r="P42" s="34" t="n">
        <v>8574.549999999999</v>
      </c>
      <c r="Q42" s="18" t="n">
        <v>12107.25</v>
      </c>
      <c r="R42" s="18" t="n">
        <v>10649.41</v>
      </c>
      <c r="S42" s="18" t="n">
        <v>5351.58</v>
      </c>
      <c r="T42" s="18" t="n">
        <v>8310.41</v>
      </c>
      <c r="U42" s="34" t="n">
        <v>8310.41</v>
      </c>
      <c r="V42" s="18" t="n">
        <v>9685.15</v>
      </c>
      <c r="W42" s="18" t="n">
        <v>12716.31</v>
      </c>
      <c r="X42" s="18" t="n">
        <v>7456.53</v>
      </c>
      <c r="Y42" s="18" t="n">
        <v>18300.85</v>
      </c>
      <c r="Z42" s="34" t="n">
        <v>18300.85</v>
      </c>
      <c r="AA42" s="18" t="n">
        <v>10185.71</v>
      </c>
      <c r="AB42" s="19" t="n">
        <v>8031.57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매각예정비유동자산및처분자산</t>
        </is>
      </c>
      <c r="F43" s="9" t="n"/>
      <c r="I43" s="18" t="n">
        <v>47952.02</v>
      </c>
      <c r="J43" s="18" t="n">
        <v>47952.02</v>
      </c>
      <c r="K43" s="34" t="n">
        <v>47952.02</v>
      </c>
      <c r="L43" s="18" t="n">
        <v>47952.02</v>
      </c>
      <c r="M43" s="18" t="n">
        <v>47952.02</v>
      </c>
      <c r="N43" s="18" t="n">
        <v>47952.02</v>
      </c>
      <c r="O43" s="18" t="n">
        <v>47952.02</v>
      </c>
      <c r="P43" s="34" t="n">
        <v>47952.02</v>
      </c>
      <c r="Q43" s="18" t="n">
        <v>47952.02</v>
      </c>
      <c r="R43" s="18" t="n">
        <v>47952.02</v>
      </c>
      <c r="S43" s="18" t="n">
        <v>47952.02</v>
      </c>
      <c r="T43" s="18" t="n">
        <v>0</v>
      </c>
      <c r="U43" s="34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F44" s="9" t="n"/>
      <c r="K44" s="9" t="n"/>
      <c r="L44" s="18" t="n">
        <v>91446.53</v>
      </c>
      <c r="M44" s="18" t="n">
        <v>90834.56</v>
      </c>
      <c r="N44" s="18" t="n">
        <v>87548.42</v>
      </c>
      <c r="O44" s="18" t="n">
        <v>101468.66</v>
      </c>
      <c r="P44" s="34" t="n">
        <v>101468.66</v>
      </c>
      <c r="Q44" s="18" t="n">
        <v>100648.85</v>
      </c>
      <c r="R44" s="18" t="n">
        <v>103778.55</v>
      </c>
      <c r="S44" s="18" t="n">
        <v>109334.43</v>
      </c>
      <c r="T44" s="18" t="n">
        <v>108083.56</v>
      </c>
      <c r="U44" s="34" t="n">
        <v>108083.56</v>
      </c>
      <c r="V44" s="18" t="n">
        <v>100777.98</v>
      </c>
      <c r="W44" s="18" t="n">
        <v>106115.86</v>
      </c>
      <c r="X44" s="18" t="n">
        <v>116697.69</v>
      </c>
      <c r="Y44" s="18" t="n">
        <v>150395.5</v>
      </c>
      <c r="Z44" s="34" t="n">
        <v>150395.5</v>
      </c>
      <c r="AA44" s="18" t="n">
        <v>213107.26</v>
      </c>
      <c r="AB44" s="19" t="n">
        <v>212047.73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K45" s="9" t="n"/>
      <c r="M45" s="18" t="n">
        <v>19431.75</v>
      </c>
      <c r="N45" s="18" t="n">
        <v>18366.06</v>
      </c>
      <c r="O45" s="18" t="n">
        <v>16364.82</v>
      </c>
      <c r="P45" s="34" t="n">
        <v>16364.82</v>
      </c>
      <c r="Q45" s="18" t="n">
        <v>18352.33</v>
      </c>
      <c r="R45" s="18" t="n">
        <v>14228.5</v>
      </c>
      <c r="S45" s="18" t="n">
        <v>23862.76</v>
      </c>
      <c r="T45" s="18" t="n">
        <v>16116.05</v>
      </c>
      <c r="U45" s="34" t="n">
        <v>16116.05</v>
      </c>
      <c r="V45" s="18" t="n">
        <v>17755.54</v>
      </c>
      <c r="W45" s="18" t="n">
        <v>23934.3</v>
      </c>
      <c r="X45" s="18" t="n">
        <v>30840.79</v>
      </c>
      <c r="Y45" s="18" t="n">
        <v>22773.36</v>
      </c>
      <c r="Z45" s="34" t="n">
        <v>22773.36</v>
      </c>
      <c r="AA45" s="18" t="n">
        <v>32730.4</v>
      </c>
      <c r="AB45" s="19" t="n">
        <v>29066.29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M46" s="18" t="n">
        <v>86.91</v>
      </c>
      <c r="N46" s="18" t="n">
        <v>0</v>
      </c>
      <c r="P46" s="9" t="n"/>
      <c r="U46" s="9" t="n"/>
      <c r="Y46" s="18" t="n">
        <v>14.03</v>
      </c>
      <c r="Z46" s="34" t="n">
        <v>14.03</v>
      </c>
      <c r="AA46" s="18" t="n">
        <v>12.24</v>
      </c>
      <c r="AB46" s="19" t="n">
        <v>10.45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53000</v>
      </c>
      <c r="O47" s="18" t="n">
        <v>53000</v>
      </c>
      <c r="P47" s="34" t="n">
        <v>53000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14.03</v>
      </c>
      <c r="Z48" s="34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13455.13</v>
      </c>
      <c r="F49" s="9" t="n"/>
      <c r="G49" s="18" t="n">
        <v>14685.9</v>
      </c>
      <c r="H49" s="18" t="n">
        <v>14918.8</v>
      </c>
      <c r="I49" s="18" t="n">
        <v>14690.59</v>
      </c>
      <c r="J49" s="18" t="n">
        <v>14685.75</v>
      </c>
      <c r="K49" s="34" t="n">
        <v>58981.04</v>
      </c>
      <c r="L49" s="18" t="n">
        <v>18519.88</v>
      </c>
      <c r="M49" s="18" t="n">
        <v>19444.47</v>
      </c>
      <c r="N49" s="18" t="n">
        <v>18455.79</v>
      </c>
      <c r="O49" s="18" t="n">
        <v>18133.59</v>
      </c>
      <c r="P49" s="34" t="n">
        <v>74553.73</v>
      </c>
      <c r="Q49" s="18" t="n">
        <v>18992.9</v>
      </c>
      <c r="R49" s="18" t="n">
        <v>18331.17</v>
      </c>
      <c r="S49" s="18" t="n">
        <v>16914.87</v>
      </c>
      <c r="T49" s="18" t="n">
        <v>17663.75</v>
      </c>
      <c r="U49" s="34" t="n">
        <v>71902.69</v>
      </c>
      <c r="V49" s="18" t="n">
        <v>17133.82</v>
      </c>
      <c r="W49" s="18" t="n">
        <v>16989.48</v>
      </c>
      <c r="X49" s="18" t="n">
        <v>15075.52</v>
      </c>
      <c r="Y49" s="18" t="n">
        <v>18234.03</v>
      </c>
      <c r="Z49" s="34" t="n">
        <v>67432.85000000001</v>
      </c>
      <c r="AA49" s="18" t="n">
        <v>16817.51</v>
      </c>
      <c r="AB49" s="19" t="n">
        <v>23348.38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11387.33</v>
      </c>
      <c r="F50" s="9" t="n"/>
      <c r="G50" s="18" t="n">
        <v>11385.95</v>
      </c>
      <c r="H50" s="18" t="n">
        <v>10900.59</v>
      </c>
      <c r="I50" s="18" t="n">
        <v>11379.79</v>
      </c>
      <c r="J50" s="18" t="n">
        <v>11013.86</v>
      </c>
      <c r="K50" s="34" t="n">
        <v>44680.19</v>
      </c>
      <c r="L50" s="18" t="n">
        <v>11736.6</v>
      </c>
      <c r="M50" s="18" t="n">
        <v>13045.51</v>
      </c>
      <c r="N50" s="18" t="n">
        <v>11925.28</v>
      </c>
      <c r="O50" s="18" t="n">
        <v>11875</v>
      </c>
      <c r="P50" s="34" t="n">
        <v>48582.39</v>
      </c>
      <c r="Q50" s="18" t="n">
        <v>13083.86</v>
      </c>
      <c r="R50" s="18" t="n">
        <v>12315.48</v>
      </c>
      <c r="S50" s="18" t="n">
        <v>12100.28</v>
      </c>
      <c r="T50" s="18" t="n">
        <v>11676.99</v>
      </c>
      <c r="U50" s="34" t="n">
        <v>49176.61</v>
      </c>
      <c r="V50" s="18" t="n">
        <v>12113.98</v>
      </c>
      <c r="W50" s="18" t="n">
        <v>10896.73</v>
      </c>
      <c r="X50" s="18" t="n">
        <v>10535.26</v>
      </c>
      <c r="Y50" s="18" t="n">
        <v>13524.65</v>
      </c>
      <c r="Z50" s="34" t="n">
        <v>47070.62</v>
      </c>
      <c r="AA50" s="18" t="n">
        <v>11502.54</v>
      </c>
      <c r="AB50" s="19" t="n">
        <v>15587.62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2067.8</v>
      </c>
      <c r="F51" s="9" t="n"/>
      <c r="G51" s="18" t="n">
        <v>3299.95</v>
      </c>
      <c r="H51" s="18" t="n">
        <v>4018.21</v>
      </c>
      <c r="I51" s="18" t="n">
        <v>3310.79</v>
      </c>
      <c r="J51" s="18" t="n">
        <v>3671.89</v>
      </c>
      <c r="K51" s="34" t="n">
        <v>14300.84</v>
      </c>
      <c r="L51" s="18" t="n">
        <v>6783.28</v>
      </c>
      <c r="M51" s="18" t="n">
        <v>6398.96</v>
      </c>
      <c r="N51" s="18" t="n">
        <v>6530.51</v>
      </c>
      <c r="O51" s="18" t="n">
        <v>6258.58</v>
      </c>
      <c r="P51" s="34" t="n">
        <v>25971.33</v>
      </c>
      <c r="Q51" s="18" t="n">
        <v>5909.04</v>
      </c>
      <c r="R51" s="18" t="n">
        <v>6015.69</v>
      </c>
      <c r="S51" s="18" t="n">
        <v>4814.59</v>
      </c>
      <c r="T51" s="18" t="n">
        <v>5986.77</v>
      </c>
      <c r="U51" s="34" t="n">
        <v>22726.09</v>
      </c>
      <c r="V51" s="18" t="n">
        <v>5019.84</v>
      </c>
      <c r="W51" s="18" t="n">
        <v>6092.75</v>
      </c>
      <c r="X51" s="18" t="n">
        <v>4540.26</v>
      </c>
      <c r="Y51" s="18" t="n">
        <v>4709.37</v>
      </c>
      <c r="Z51" s="34" t="n">
        <v>20362.22</v>
      </c>
      <c r="AA51" s="18" t="n">
        <v>5314.97</v>
      </c>
      <c r="AB51" s="19" t="n">
        <v>7760.76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758.04</v>
      </c>
      <c r="F52" s="9" t="n"/>
      <c r="G52" s="18" t="n">
        <v>1124.16</v>
      </c>
      <c r="H52" s="18" t="n">
        <v>849.17</v>
      </c>
      <c r="I52" s="18" t="n">
        <v>1287.38</v>
      </c>
      <c r="J52" s="18" t="n">
        <v>1345.84</v>
      </c>
      <c r="K52" s="34" t="n">
        <v>4606.55</v>
      </c>
      <c r="L52" s="18" t="n">
        <v>1251.66</v>
      </c>
      <c r="M52" s="18" t="n">
        <v>1386.78</v>
      </c>
      <c r="N52" s="18" t="n">
        <v>1605.98</v>
      </c>
      <c r="O52" s="18" t="n">
        <v>918.74</v>
      </c>
      <c r="P52" s="34" t="n">
        <v>5163.16</v>
      </c>
      <c r="Q52" s="18" t="n">
        <v>1047.82</v>
      </c>
      <c r="R52" s="18" t="n">
        <v>890.3200000000001</v>
      </c>
      <c r="S52" s="18" t="n">
        <v>1405.52</v>
      </c>
      <c r="T52" s="18" t="n">
        <v>1460.98</v>
      </c>
      <c r="U52" s="34" t="n">
        <v>4804.64</v>
      </c>
      <c r="V52" s="18" t="n">
        <v>1187.93</v>
      </c>
      <c r="W52" s="18" t="n">
        <v>1039.04</v>
      </c>
      <c r="X52" s="18" t="n">
        <v>1561.82</v>
      </c>
      <c r="Y52" s="18" t="n">
        <v>1794.1</v>
      </c>
      <c r="Z52" s="34" t="n">
        <v>5582.89</v>
      </c>
      <c r="AA52" s="18" t="n">
        <v>1260.32</v>
      </c>
      <c r="AB52" s="19" t="n">
        <v>1285.66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1309.76</v>
      </c>
      <c r="F53" s="9" t="n"/>
      <c r="G53" s="18" t="n">
        <v>2175.79</v>
      </c>
      <c r="H53" s="18" t="n">
        <v>3169.04</v>
      </c>
      <c r="I53" s="18" t="n">
        <v>2023.41</v>
      </c>
      <c r="J53" s="18" t="n">
        <v>2326.04</v>
      </c>
      <c r="K53" s="34" t="n">
        <v>9694.280000000001</v>
      </c>
      <c r="L53" s="18" t="n">
        <v>5531.62</v>
      </c>
      <c r="M53" s="18" t="n">
        <v>5012.18</v>
      </c>
      <c r="N53" s="18" t="n">
        <v>4924.53</v>
      </c>
      <c r="O53" s="18" t="n">
        <v>5339.83</v>
      </c>
      <c r="P53" s="34" t="n">
        <v>20808.16</v>
      </c>
      <c r="Q53" s="18" t="n">
        <v>4861.22</v>
      </c>
      <c r="R53" s="18" t="n">
        <v>5125.37</v>
      </c>
      <c r="S53" s="18" t="n">
        <v>3409.07</v>
      </c>
      <c r="T53" s="18" t="n">
        <v>4525.79</v>
      </c>
      <c r="U53" s="34" t="n">
        <v>17921.45</v>
      </c>
      <c r="V53" s="18" t="n">
        <v>3831.91</v>
      </c>
      <c r="W53" s="18" t="n">
        <v>5053.71</v>
      </c>
      <c r="X53" s="18" t="n">
        <v>2978.44</v>
      </c>
      <c r="Y53" s="18" t="n">
        <v>2915.27</v>
      </c>
      <c r="Z53" s="34" t="n">
        <v>14779.33</v>
      </c>
      <c r="AA53" s="18" t="n">
        <v>4054.65</v>
      </c>
      <c r="AB53" s="19" t="n">
        <v>6475.1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-13821.79</v>
      </c>
      <c r="F54" s="9" t="n"/>
      <c r="G54" s="18" t="n">
        <v>2698.86</v>
      </c>
      <c r="H54" s="18" t="n">
        <v>57.63</v>
      </c>
      <c r="I54" s="18" t="n">
        <v>328.04</v>
      </c>
      <c r="J54" s="18" t="n">
        <v>-238.08</v>
      </c>
      <c r="K54" s="34" t="n">
        <v>2846.45</v>
      </c>
      <c r="L54" s="18" t="n">
        <v>12055.46</v>
      </c>
      <c r="M54" s="18" t="n">
        <v>16.67</v>
      </c>
      <c r="N54" s="18" t="n">
        <v>22.88</v>
      </c>
      <c r="O54" s="18" t="n">
        <v>7124.12</v>
      </c>
      <c r="P54" s="34" t="n">
        <v>19219.13</v>
      </c>
      <c r="Q54" s="18" t="n">
        <v>98.79000000000001</v>
      </c>
      <c r="R54" s="18" t="n">
        <v>25.76</v>
      </c>
      <c r="S54" s="18" t="n">
        <v>-13.88</v>
      </c>
      <c r="T54" s="18" t="n">
        <v>98.36</v>
      </c>
      <c r="U54" s="34" t="n">
        <v>209.03</v>
      </c>
      <c r="V54" s="18" t="n">
        <v>23.99</v>
      </c>
      <c r="W54" s="18" t="n">
        <v>2.34</v>
      </c>
      <c r="X54" s="18" t="n">
        <v>38.06</v>
      </c>
      <c r="Y54" s="18" t="n">
        <v>10057.16</v>
      </c>
      <c r="Z54" s="34" t="n">
        <v>10121.55</v>
      </c>
      <c r="AA54" s="18" t="n">
        <v>29.48</v>
      </c>
      <c r="AB54" s="19" t="n">
        <v>53.06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1358.86</v>
      </c>
      <c r="F55" s="9" t="n"/>
      <c r="G55" s="18" t="n">
        <v>3.14</v>
      </c>
      <c r="H55" s="18" t="n">
        <v>3545.66</v>
      </c>
      <c r="I55" s="18" t="n">
        <v>7986.11</v>
      </c>
      <c r="J55" s="18" t="n">
        <v>-99.34999999999999</v>
      </c>
      <c r="K55" s="34" t="n">
        <v>11435.56</v>
      </c>
      <c r="L55" s="18" t="n">
        <v>17.67</v>
      </c>
      <c r="M55" s="18" t="n">
        <v>565.75</v>
      </c>
      <c r="N55" s="18" t="n">
        <v>-12.47</v>
      </c>
      <c r="O55" s="18" t="n">
        <v>-494.14</v>
      </c>
      <c r="P55" s="34" t="n">
        <v>76.81</v>
      </c>
      <c r="Q55" s="18" t="n">
        <v>71.31999999999999</v>
      </c>
      <c r="R55" s="18" t="n">
        <v>26.06</v>
      </c>
      <c r="S55" s="18" t="n">
        <v>510.68</v>
      </c>
      <c r="T55" s="18" t="n">
        <v>253.1</v>
      </c>
      <c r="U55" s="34" t="n">
        <v>861.16</v>
      </c>
      <c r="V55" s="18" t="n">
        <v>2.24</v>
      </c>
      <c r="W55" s="18" t="n">
        <v>18.46</v>
      </c>
      <c r="X55" s="18" t="n">
        <v>-9.199999999999999</v>
      </c>
      <c r="Y55" s="18" t="n">
        <v>46.22</v>
      </c>
      <c r="Z55" s="34" t="n">
        <v>57.72</v>
      </c>
      <c r="AA55" s="18" t="n">
        <v>0</v>
      </c>
      <c r="AB55" s="19" t="n">
        <v>104.23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742.4299999999999</v>
      </c>
      <c r="F56" s="9" t="n"/>
      <c r="G56" s="18" t="n">
        <v>784.04</v>
      </c>
      <c r="H56" s="18" t="n">
        <v>857.59</v>
      </c>
      <c r="I56" s="18" t="n">
        <v>918.63</v>
      </c>
      <c r="J56" s="18" t="n">
        <v>298.85</v>
      </c>
      <c r="K56" s="34" t="n">
        <v>2859.11</v>
      </c>
      <c r="L56" s="18" t="n">
        <v>1026.4</v>
      </c>
      <c r="M56" s="18" t="n">
        <v>944.26</v>
      </c>
      <c r="N56" s="18" t="n">
        <v>1064.26</v>
      </c>
      <c r="O56" s="18" t="n">
        <v>934.73</v>
      </c>
      <c r="P56" s="34" t="n">
        <v>3969.65</v>
      </c>
      <c r="Q56" s="18" t="n">
        <v>1134.1</v>
      </c>
      <c r="R56" s="18" t="n">
        <v>1074.05</v>
      </c>
      <c r="S56" s="18" t="n">
        <v>1141.66</v>
      </c>
      <c r="T56" s="18" t="n">
        <v>1006.12</v>
      </c>
      <c r="U56" s="34" t="n">
        <v>4355.93</v>
      </c>
      <c r="V56" s="18" t="n">
        <v>278.46</v>
      </c>
      <c r="W56" s="18" t="n">
        <v>286.13</v>
      </c>
      <c r="X56" s="18" t="n">
        <v>303.09</v>
      </c>
      <c r="Y56" s="18" t="n">
        <v>399.87</v>
      </c>
      <c r="Z56" s="34" t="n">
        <v>1267.55</v>
      </c>
      <c r="AA56" s="18" t="n">
        <v>376.63</v>
      </c>
      <c r="AB56" s="19" t="n">
        <v>415.37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401.34</v>
      </c>
      <c r="F57" s="9" t="n"/>
      <c r="G57" s="18" t="n">
        <v>402.52</v>
      </c>
      <c r="H57" s="18" t="n">
        <v>431.75</v>
      </c>
      <c r="I57" s="18" t="n">
        <v>524.3</v>
      </c>
      <c r="J57" s="18" t="n">
        <v>781.8200000000001</v>
      </c>
      <c r="K57" s="34" t="n">
        <v>2140.39</v>
      </c>
      <c r="L57" s="18" t="n">
        <v>790.49</v>
      </c>
      <c r="M57" s="18" t="n">
        <v>880.21</v>
      </c>
      <c r="N57" s="18" t="n">
        <v>981.0700000000001</v>
      </c>
      <c r="O57" s="18" t="n">
        <v>987.87</v>
      </c>
      <c r="P57" s="34" t="n">
        <v>3639.64</v>
      </c>
      <c r="Q57" s="18" t="n">
        <v>940.71</v>
      </c>
      <c r="R57" s="18" t="n">
        <v>883.33</v>
      </c>
      <c r="S57" s="18" t="n">
        <v>860.9400000000001</v>
      </c>
      <c r="T57" s="18" t="n">
        <v>804.7</v>
      </c>
      <c r="U57" s="34" t="n">
        <v>3489.68</v>
      </c>
      <c r="V57" s="18" t="n">
        <v>741.71</v>
      </c>
      <c r="W57" s="18" t="n">
        <v>723.83</v>
      </c>
      <c r="X57" s="18" t="n">
        <v>639.38</v>
      </c>
      <c r="Y57" s="18" t="n">
        <v>631.63</v>
      </c>
      <c r="Z57" s="34" t="n">
        <v>2736.55</v>
      </c>
      <c r="AA57" s="18" t="n">
        <v>635.5</v>
      </c>
      <c r="AB57" s="19" t="n">
        <v>632.58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-13529.81</v>
      </c>
      <c r="F58" s="9" t="n"/>
      <c r="G58" s="18" t="n">
        <v>5253.04</v>
      </c>
      <c r="H58" s="18" t="n">
        <v>106.86</v>
      </c>
      <c r="I58" s="18" t="n">
        <v>-5240.32</v>
      </c>
      <c r="J58" s="18" t="n">
        <v>1704.36</v>
      </c>
      <c r="K58" s="34" t="n">
        <v>1823.94</v>
      </c>
      <c r="L58" s="18" t="n">
        <v>17805.31</v>
      </c>
      <c r="M58" s="18" t="n">
        <v>70.73</v>
      </c>
      <c r="N58" s="18" t="n">
        <v>-3286.14</v>
      </c>
      <c r="O58" s="18" t="n">
        <v>16254.76</v>
      </c>
      <c r="P58" s="34" t="n">
        <v>30844.66</v>
      </c>
      <c r="Q58" s="18" t="n">
        <v>7625.81</v>
      </c>
      <c r="R58" s="18" t="n">
        <v>5688.82</v>
      </c>
      <c r="S58" s="18" t="n">
        <v>5555.88</v>
      </c>
      <c r="T58" s="18" t="n">
        <v>1623.36</v>
      </c>
      <c r="U58" s="34" t="n">
        <v>20493.87</v>
      </c>
      <c r="V58" s="18" t="n">
        <v>943.39</v>
      </c>
      <c r="W58" s="18" t="n">
        <v>17045.02</v>
      </c>
      <c r="X58" s="18" t="n">
        <v>9782.75</v>
      </c>
      <c r="Y58" s="18" t="n">
        <v>35051.03</v>
      </c>
      <c r="Z58" s="34" t="n">
        <v>62822.19</v>
      </c>
      <c r="AA58" s="18" t="n">
        <v>20053.76</v>
      </c>
      <c r="AB58" s="19" t="n">
        <v>2254.35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630.54</v>
      </c>
      <c r="F59" s="9" t="n"/>
      <c r="G59" s="18" t="n">
        <v>0</v>
      </c>
      <c r="H59" s="18" t="n">
        <v>700.15</v>
      </c>
      <c r="I59" s="18" t="n">
        <v>0</v>
      </c>
      <c r="J59" s="18" t="n">
        <v>1387.83</v>
      </c>
      <c r="K59" s="34" t="n">
        <v>2087.98</v>
      </c>
      <c r="L59" s="18" t="n">
        <v>0</v>
      </c>
      <c r="M59" s="18" t="n">
        <v>2623.69</v>
      </c>
      <c r="N59" s="18" t="n">
        <v>0</v>
      </c>
      <c r="O59" s="18" t="n">
        <v>3903.61</v>
      </c>
      <c r="P59" s="34" t="n">
        <v>6527.3</v>
      </c>
      <c r="Q59" s="18" t="n">
        <v>-6.77</v>
      </c>
      <c r="R59" s="18" t="n">
        <v>2559.12</v>
      </c>
      <c r="S59" s="18" t="n">
        <v>0</v>
      </c>
      <c r="T59" s="18" t="n">
        <v>2557.15</v>
      </c>
      <c r="U59" s="34" t="n">
        <v>5109.5</v>
      </c>
      <c r="V59" s="18" t="n">
        <v>-31.55</v>
      </c>
      <c r="W59" s="18" t="n">
        <v>2466.61</v>
      </c>
      <c r="X59" s="18" t="n">
        <v>-799.0700000000001</v>
      </c>
      <c r="Y59" s="18" t="n">
        <v>1759.53</v>
      </c>
      <c r="Z59" s="34" t="n">
        <v>3395.52</v>
      </c>
      <c r="AA59" s="18" t="n">
        <v>-2.09</v>
      </c>
      <c r="AB59" s="19" t="n">
        <v>3115.26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-14160.35</v>
      </c>
      <c r="F60" s="9" t="n"/>
      <c r="G60" s="18" t="n">
        <v>5253.04</v>
      </c>
      <c r="H60" s="18" t="n">
        <v>-593.29</v>
      </c>
      <c r="I60" s="18" t="n">
        <v>-5240.32</v>
      </c>
      <c r="J60" s="18" t="n">
        <v>316.52</v>
      </c>
      <c r="K60" s="34" t="n">
        <v>-264.05</v>
      </c>
      <c r="L60" s="18" t="n">
        <v>17805.31</v>
      </c>
      <c r="M60" s="18" t="n">
        <v>-2552.97</v>
      </c>
      <c r="N60" s="18" t="n">
        <v>-3286.14</v>
      </c>
      <c r="O60" s="18" t="n">
        <v>12351.15</v>
      </c>
      <c r="P60" s="34" t="n">
        <v>24317.35</v>
      </c>
      <c r="Q60" s="18" t="n">
        <v>7632.57</v>
      </c>
      <c r="R60" s="18" t="n">
        <v>3129.7</v>
      </c>
      <c r="S60" s="18" t="n">
        <v>5555.88</v>
      </c>
      <c r="T60" s="18" t="n">
        <v>-933.79</v>
      </c>
      <c r="U60" s="34" t="n">
        <v>15384.36</v>
      </c>
      <c r="V60" s="18" t="n">
        <v>974.9400000000001</v>
      </c>
      <c r="W60" s="18" t="n">
        <v>14578.4</v>
      </c>
      <c r="X60" s="18" t="n">
        <v>10581.82</v>
      </c>
      <c r="Y60" s="18" t="n">
        <v>33291.5</v>
      </c>
      <c r="Z60" s="34" t="n">
        <v>59426.66</v>
      </c>
      <c r="AA60" s="18" t="n">
        <v>20055.85</v>
      </c>
      <c r="AB60" s="19" t="n">
        <v>-860.91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-14010.18</v>
      </c>
      <c r="F61" s="9" t="n"/>
      <c r="G61" s="18" t="n">
        <v>5188.42</v>
      </c>
      <c r="H61" s="18" t="n">
        <v>-579.0700000000001</v>
      </c>
      <c r="I61" s="18" t="n">
        <v>-5240.32</v>
      </c>
      <c r="J61" s="18" t="n">
        <v>1632.88</v>
      </c>
      <c r="K61" s="34" t="n">
        <v>1001.91</v>
      </c>
      <c r="L61" s="18" t="n">
        <v>17805.31</v>
      </c>
      <c r="M61" s="18" t="n">
        <v>-2552.97</v>
      </c>
      <c r="N61" s="18" t="n">
        <v>-3286.14</v>
      </c>
      <c r="O61" s="18" t="n">
        <v>14449.6</v>
      </c>
      <c r="P61" s="34" t="n">
        <v>26415.8</v>
      </c>
      <c r="Q61" s="18" t="n">
        <v>7632.57</v>
      </c>
      <c r="R61" s="18" t="n">
        <v>3129.61</v>
      </c>
      <c r="S61" s="18" t="n">
        <v>5555.88</v>
      </c>
      <c r="T61" s="18" t="n">
        <v>-1278.79</v>
      </c>
      <c r="U61" s="34" t="n">
        <v>15039.27</v>
      </c>
      <c r="V61" s="18" t="n">
        <v>974.9400000000001</v>
      </c>
      <c r="W61" s="18" t="n">
        <v>14578.4</v>
      </c>
      <c r="X61" s="18" t="n">
        <v>10581.93</v>
      </c>
      <c r="Y61" s="18" t="n">
        <v>61970.18</v>
      </c>
      <c r="Z61" s="34" t="n">
        <v>88105.45</v>
      </c>
      <c r="AA61" s="18" t="n">
        <v>20055.85</v>
      </c>
      <c r="AB61" s="19" t="n">
        <v>-860.91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341.09</v>
      </c>
      <c r="F62" s="9" t="n"/>
      <c r="G62" s="18" t="n">
        <v>381.52</v>
      </c>
      <c r="H62" s="18" t="n">
        <v>425.84</v>
      </c>
      <c r="I62" s="18" t="n">
        <v>394.33</v>
      </c>
      <c r="J62" s="18" t="n">
        <v>-482.97</v>
      </c>
      <c r="K62" s="34" t="n">
        <v>718.72</v>
      </c>
      <c r="L62" s="18" t="n">
        <v>235.91</v>
      </c>
      <c r="M62" s="18" t="n">
        <v>64.05</v>
      </c>
      <c r="N62" s="18" t="n">
        <v>83.19</v>
      </c>
      <c r="O62" s="18" t="n">
        <v>-53.14</v>
      </c>
      <c r="P62" s="34" t="n">
        <v>330.01</v>
      </c>
      <c r="Q62" s="18" t="n">
        <v>193.39</v>
      </c>
      <c r="R62" s="18" t="n">
        <v>190.72</v>
      </c>
      <c r="S62" s="18" t="n">
        <v>280.72</v>
      </c>
      <c r="T62" s="18" t="n">
        <v>201.42</v>
      </c>
      <c r="U62" s="34" t="n">
        <v>866.25</v>
      </c>
      <c r="V62" s="18" t="n">
        <v>-463.25</v>
      </c>
      <c r="W62" s="18" t="n">
        <v>-437.7</v>
      </c>
      <c r="X62" s="18" t="n">
        <v>-336.29</v>
      </c>
      <c r="Y62" s="18" t="n">
        <v>-231.76</v>
      </c>
      <c r="Z62" s="34" t="n">
        <v>-1469</v>
      </c>
      <c r="AA62" s="18" t="n">
        <v>-258.87</v>
      </c>
      <c r="AB62" s="19" t="n">
        <v>-217.21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-15180.65</v>
      </c>
      <c r="F63" s="9" t="n"/>
      <c r="G63" s="18" t="n">
        <v>2695.72</v>
      </c>
      <c r="H63" s="18" t="n">
        <v>-3488.03</v>
      </c>
      <c r="I63" s="18" t="n">
        <v>-7658.07</v>
      </c>
      <c r="J63" s="18" t="n">
        <v>-138.73</v>
      </c>
      <c r="K63" s="34" t="n">
        <v>-8589.110000000001</v>
      </c>
      <c r="L63" s="18" t="n">
        <v>12037.79</v>
      </c>
      <c r="M63" s="18" t="n">
        <v>-549.08</v>
      </c>
      <c r="N63" s="18" t="n">
        <v>35.35</v>
      </c>
      <c r="O63" s="18" t="n">
        <v>7618.26</v>
      </c>
      <c r="P63" s="34" t="n">
        <v>19142.32</v>
      </c>
      <c r="Q63" s="18" t="n">
        <v>27.47</v>
      </c>
      <c r="R63" s="18" t="n">
        <v>-0.3</v>
      </c>
      <c r="S63" s="18" t="n">
        <v>-524.5599999999999</v>
      </c>
      <c r="T63" s="18" t="n">
        <v>-154.74</v>
      </c>
      <c r="U63" s="34" t="n">
        <v>-652.13</v>
      </c>
      <c r="V63" s="18" t="n">
        <v>21.75</v>
      </c>
      <c r="W63" s="18" t="n">
        <v>-16.12</v>
      </c>
      <c r="X63" s="18" t="n">
        <v>47.26</v>
      </c>
      <c r="Y63" s="18" t="n">
        <v>10010.94</v>
      </c>
      <c r="Z63" s="34" t="n">
        <v>10063.83</v>
      </c>
      <c r="AA63" s="18" t="n">
        <v>29.48</v>
      </c>
      <c r="AB63" s="19" t="n">
        <v>-51.17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-14160.35</v>
      </c>
      <c r="F64" s="9" t="n"/>
      <c r="G64" s="18" t="n">
        <v>5253.04</v>
      </c>
      <c r="H64" s="18" t="n">
        <v>-593.29</v>
      </c>
      <c r="I64" s="18" t="n">
        <v>-5240.32</v>
      </c>
      <c r="J64" s="18" t="n">
        <v>316.52</v>
      </c>
      <c r="K64" s="34" t="n">
        <v>-264.05</v>
      </c>
      <c r="L64" s="18" t="n">
        <v>17805.31</v>
      </c>
      <c r="M64" s="18" t="n">
        <v>-2552.97</v>
      </c>
      <c r="N64" s="18" t="n">
        <v>-3286.14</v>
      </c>
      <c r="O64" s="18" t="n">
        <v>12351.15</v>
      </c>
      <c r="P64" s="34" t="n">
        <v>24317.35</v>
      </c>
      <c r="Q64" s="18" t="n">
        <v>7632.57</v>
      </c>
      <c r="R64" s="18" t="n">
        <v>3129.7</v>
      </c>
      <c r="S64" s="18" t="n">
        <v>5555.88</v>
      </c>
      <c r="T64" s="18" t="n">
        <v>-933.79</v>
      </c>
      <c r="U64" s="34" t="n">
        <v>15384.36</v>
      </c>
      <c r="V64" s="18" t="n">
        <v>974.9400000000001</v>
      </c>
      <c r="W64" s="18" t="n">
        <v>14578.4</v>
      </c>
      <c r="X64" s="18" t="n">
        <v>10581.82</v>
      </c>
      <c r="Y64" s="18" t="n">
        <v>33291.5</v>
      </c>
      <c r="Z64" s="34" t="n">
        <v>59426.66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-14160.35</v>
      </c>
      <c r="F65" s="9" t="n"/>
      <c r="G65" s="18" t="n">
        <v>5253.04</v>
      </c>
      <c r="H65" s="18" t="n">
        <v>-593.29</v>
      </c>
      <c r="I65" s="18" t="n">
        <v>-5240.32</v>
      </c>
      <c r="J65" s="18" t="n">
        <v>316.52</v>
      </c>
      <c r="K65" s="34" t="n">
        <v>-264.05</v>
      </c>
      <c r="L65" s="18" t="n">
        <v>17805.31</v>
      </c>
      <c r="M65" s="18" t="n">
        <v>-2552.97</v>
      </c>
      <c r="N65" s="18" t="n">
        <v>-3286.14</v>
      </c>
      <c r="O65" s="18" t="n">
        <v>12351.15</v>
      </c>
      <c r="P65" s="34" t="n">
        <v>24317.35</v>
      </c>
      <c r="Q65" s="18" t="n">
        <v>7632.57</v>
      </c>
      <c r="R65" s="18" t="n">
        <v>3129.7</v>
      </c>
      <c r="S65" s="18" t="n">
        <v>5555.88</v>
      </c>
      <c r="T65" s="18" t="n">
        <v>-933.79</v>
      </c>
      <c r="U65" s="34" t="n">
        <v>15384.36</v>
      </c>
      <c r="V65" s="18" t="n">
        <v>974.9400000000001</v>
      </c>
      <c r="W65" s="18" t="n">
        <v>14578.4</v>
      </c>
      <c r="X65" s="18" t="n">
        <v>10581.82</v>
      </c>
      <c r="Y65" s="18" t="n">
        <v>33291.5</v>
      </c>
      <c r="Z65" s="34" t="n">
        <v>59426.66</v>
      </c>
      <c r="AA65" s="18" t="n">
        <v>20055.85</v>
      </c>
      <c r="AB65" s="19" t="n">
        <v>-860.91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934.4299999999999</v>
      </c>
      <c r="F66" s="9" t="n"/>
      <c r="G66" s="18" t="n">
        <v>-116.73</v>
      </c>
      <c r="H66" s="18" t="n">
        <v>2353.41</v>
      </c>
      <c r="I66" s="18" t="n">
        <v>10945.78</v>
      </c>
      <c r="J66" s="18" t="n">
        <v>-4002.1</v>
      </c>
      <c r="K66" s="34" t="n">
        <v>9180.360000000001</v>
      </c>
      <c r="L66" s="18" t="n">
        <v>2757.68</v>
      </c>
      <c r="M66" s="18" t="n">
        <v>4402.22</v>
      </c>
      <c r="N66" s="18" t="n">
        <v>3783.92</v>
      </c>
      <c r="O66" s="18" t="n">
        <v>2156.64</v>
      </c>
      <c r="P66" s="34" t="n">
        <v>13100.46</v>
      </c>
      <c r="Q66" s="18" t="n">
        <v>6748.41</v>
      </c>
      <c r="R66" s="18" t="n">
        <v>2937.2</v>
      </c>
      <c r="S66" s="18" t="n">
        <v>5315.9</v>
      </c>
      <c r="T66" s="18" t="n">
        <v>2766.27</v>
      </c>
      <c r="U66" s="34" t="n">
        <v>17767.78</v>
      </c>
      <c r="V66" s="18" t="n">
        <v>630.92</v>
      </c>
      <c r="W66" s="18" t="n">
        <v>6208.93</v>
      </c>
      <c r="X66" s="18" t="n">
        <v>3061.5</v>
      </c>
      <c r="Y66" s="18" t="n">
        <v>2214.66</v>
      </c>
      <c r="Z66" s="34" t="n">
        <v>12116.01</v>
      </c>
      <c r="AA66" s="18" t="n">
        <v>2021.01</v>
      </c>
      <c r="AB66" s="19" t="n">
        <v>6582.08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이자수취(CF)</t>
        </is>
      </c>
      <c r="E67" s="18" t="n">
        <v>37.93</v>
      </c>
      <c r="F67" s="9" t="n"/>
      <c r="G67" s="18" t="n">
        <v>25.29</v>
      </c>
      <c r="H67" s="18" t="n">
        <v>10.83</v>
      </c>
      <c r="I67" s="18" t="n">
        <v>120.09</v>
      </c>
      <c r="J67" s="18" t="n">
        <v>128.37</v>
      </c>
      <c r="K67" s="34" t="n">
        <v>284.58</v>
      </c>
      <c r="L67" s="18" t="n">
        <v>213.82</v>
      </c>
      <c r="M67" s="18" t="n">
        <v>103.96</v>
      </c>
      <c r="N67" s="18" t="n">
        <v>244.19</v>
      </c>
      <c r="O67" s="18" t="n">
        <v>223.58</v>
      </c>
      <c r="P67" s="34" t="n">
        <v>785.55</v>
      </c>
      <c r="Q67" s="18" t="n">
        <v>316.99</v>
      </c>
      <c r="R67" s="18" t="n">
        <v>199.91</v>
      </c>
      <c r="S67" s="18" t="n">
        <v>280.49</v>
      </c>
      <c r="T67" s="18" t="n">
        <v>149.78</v>
      </c>
      <c r="U67" s="34" t="n">
        <v>947.17</v>
      </c>
      <c r="V67" s="18" t="n">
        <v>394.32</v>
      </c>
      <c r="W67" s="18" t="n">
        <v>112.04</v>
      </c>
      <c r="X67" s="18" t="n">
        <v>146.77</v>
      </c>
      <c r="Y67" s="18" t="n">
        <v>237.21</v>
      </c>
      <c r="Z67" s="34" t="n">
        <v>890.34</v>
      </c>
      <c r="AA67" s="18" t="n">
        <v>53.64</v>
      </c>
      <c r="AB67" s="19" t="n">
        <v>321.66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이자지급(CF)</t>
        </is>
      </c>
      <c r="E68" s="18" t="n">
        <v>-374.62</v>
      </c>
      <c r="F68" s="9" t="n"/>
      <c r="G68" s="18" t="n">
        <v>-414.2</v>
      </c>
      <c r="H68" s="18" t="n">
        <v>-424.56</v>
      </c>
      <c r="I68" s="18" t="n">
        <v>-496.89</v>
      </c>
      <c r="J68" s="18" t="n">
        <v>-620.58</v>
      </c>
      <c r="K68" s="34" t="n">
        <v>-1956.23</v>
      </c>
      <c r="L68" s="18" t="n">
        <v>-790.6</v>
      </c>
      <c r="M68" s="18" t="n">
        <v>-828.04</v>
      </c>
      <c r="P68" s="9" t="n"/>
      <c r="Q68" s="18" t="n">
        <v>-938.22</v>
      </c>
      <c r="R68" s="18" t="n">
        <v>-914.37</v>
      </c>
      <c r="S68" s="18" t="n">
        <v>-860.63</v>
      </c>
      <c r="T68" s="18" t="n">
        <v>-804.02</v>
      </c>
      <c r="U68" s="34" t="n">
        <v>-3517.24</v>
      </c>
      <c r="V68" s="18" t="n">
        <v>-765.51</v>
      </c>
      <c r="W68" s="18" t="n">
        <v>-676.89</v>
      </c>
      <c r="X68" s="18" t="n">
        <v>-637.52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0</v>
      </c>
      <c r="F69" s="9" t="n"/>
      <c r="G69" s="18" t="n">
        <v>-345.65</v>
      </c>
      <c r="H69" s="18" t="n">
        <v>-396.44</v>
      </c>
      <c r="I69" s="18" t="n">
        <v>-383.38</v>
      </c>
      <c r="J69" s="18" t="n">
        <v>-24.96</v>
      </c>
      <c r="K69" s="34" t="n">
        <v>-1150.43</v>
      </c>
      <c r="L69" s="18" t="n">
        <v>-616.08</v>
      </c>
      <c r="M69" s="18" t="n">
        <v>-776.65</v>
      </c>
      <c r="N69" s="18" t="n">
        <v>-400.42</v>
      </c>
      <c r="O69" s="18" t="n">
        <v>-519.96</v>
      </c>
      <c r="P69" s="34" t="n">
        <v>-2313.11</v>
      </c>
      <c r="Q69" s="18" t="n">
        <v>0</v>
      </c>
      <c r="R69" s="18" t="n">
        <v>-5075.93</v>
      </c>
      <c r="S69" s="18" t="n">
        <v>-990.33</v>
      </c>
      <c r="T69" s="18" t="n">
        <v>-5523.6</v>
      </c>
      <c r="U69" s="34" t="n">
        <v>-11589.86</v>
      </c>
      <c r="V69" s="18" t="n">
        <v>29.31</v>
      </c>
      <c r="W69" s="18" t="n">
        <v>-284.39</v>
      </c>
      <c r="X69" s="18" t="n">
        <v>305.77</v>
      </c>
      <c r="Y69" s="18" t="n">
        <v>1488.84</v>
      </c>
      <c r="Z69" s="34" t="n">
        <v>1539.53</v>
      </c>
      <c r="AA69" s="18" t="n">
        <v>0</v>
      </c>
      <c r="AB69" s="19" t="n">
        <v>-1038.46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-1604.94</v>
      </c>
      <c r="F70" s="9" t="n"/>
      <c r="G70" s="18" t="n">
        <v>1714.22</v>
      </c>
      <c r="H70" s="18" t="n">
        <v>-226.24</v>
      </c>
      <c r="I70" s="18" t="n">
        <v>-2195.85</v>
      </c>
      <c r="J70" s="18" t="n">
        <v>-355.35</v>
      </c>
      <c r="K70" s="34" t="n">
        <v>-1063.22</v>
      </c>
      <c r="L70" s="18" t="n">
        <v>-2272.14</v>
      </c>
      <c r="M70" s="18" t="n">
        <v>-13772.85</v>
      </c>
      <c r="N70" s="18" t="n">
        <v>897</v>
      </c>
      <c r="O70" s="18" t="n">
        <v>763.0599999999999</v>
      </c>
      <c r="P70" s="34" t="n">
        <v>-14384.93</v>
      </c>
      <c r="Q70" s="18" t="n">
        <v>-2030.03</v>
      </c>
      <c r="R70" s="18" t="n">
        <v>4084.85</v>
      </c>
      <c r="S70" s="18" t="n">
        <v>-10706.57</v>
      </c>
      <c r="T70" s="18" t="n">
        <v>2083.84</v>
      </c>
      <c r="U70" s="34" t="n">
        <v>-6567.91</v>
      </c>
      <c r="V70" s="18" t="n">
        <v>730.63</v>
      </c>
      <c r="W70" s="18" t="n">
        <v>-4463.78</v>
      </c>
      <c r="X70" s="18" t="n">
        <v>-7991.7</v>
      </c>
      <c r="Y70" s="18" t="n">
        <v>8997.65</v>
      </c>
      <c r="Z70" s="34" t="n">
        <v>-2727.2</v>
      </c>
      <c r="AA70" s="18" t="n">
        <v>-10149.69</v>
      </c>
      <c r="AB70" s="19" t="n">
        <v>3476.33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651.08</v>
      </c>
      <c r="F71" s="9" t="n"/>
      <c r="G71" s="18" t="n">
        <v>336.9</v>
      </c>
      <c r="H71" s="18" t="n">
        <v>287.11</v>
      </c>
      <c r="I71" s="18" t="n">
        <v>186.14</v>
      </c>
      <c r="J71" s="18" t="n">
        <v>617.5700000000001</v>
      </c>
      <c r="K71" s="34" t="n">
        <v>1427.72</v>
      </c>
      <c r="N71" s="18" t="n">
        <v>156.49</v>
      </c>
      <c r="O71" s="18" t="n">
        <v>75.88</v>
      </c>
      <c r="P71" s="9" t="n"/>
      <c r="Q71" s="18" t="n">
        <v>30.17</v>
      </c>
      <c r="R71" s="18" t="n">
        <v>26.62</v>
      </c>
      <c r="S71" s="18" t="n">
        <v>59.96</v>
      </c>
      <c r="T71" s="18" t="n">
        <v>22.41</v>
      </c>
      <c r="U71" s="34" t="n">
        <v>139.16</v>
      </c>
      <c r="V71" s="18" t="n">
        <v>17.54</v>
      </c>
      <c r="W71" s="18" t="n">
        <v>7.92</v>
      </c>
      <c r="X71" s="18" t="n">
        <v>82.77</v>
      </c>
      <c r="Y71" s="18" t="n">
        <v>47.83</v>
      </c>
      <c r="Z71" s="34" t="n">
        <v>156.06</v>
      </c>
      <c r="AA71" s="18" t="n">
        <v>100.46</v>
      </c>
      <c r="AB71" s="19" t="n">
        <v>175.6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651.08</v>
      </c>
      <c r="F72" s="9" t="n"/>
      <c r="G72" s="18" t="n">
        <v>336.9</v>
      </c>
      <c r="H72" s="18" t="n">
        <v>287.11</v>
      </c>
      <c r="I72" s="18" t="n">
        <v>186.14</v>
      </c>
      <c r="J72" s="18" t="n">
        <v>617.5700000000001</v>
      </c>
      <c r="K72" s="34" t="n">
        <v>1427.72</v>
      </c>
      <c r="N72" s="18" t="n">
        <v>156.49</v>
      </c>
      <c r="O72" s="18" t="n">
        <v>100.88</v>
      </c>
      <c r="P72" s="9" t="n"/>
      <c r="Q72" s="18" t="n">
        <v>30.17</v>
      </c>
      <c r="R72" s="18" t="n">
        <v>26.62</v>
      </c>
      <c r="S72" s="18" t="n">
        <v>59.96</v>
      </c>
      <c r="T72" s="18" t="n">
        <v>22.41</v>
      </c>
      <c r="U72" s="34" t="n">
        <v>139.16</v>
      </c>
      <c r="V72" s="18" t="n">
        <v>17.54</v>
      </c>
      <c r="W72" s="18" t="n">
        <v>7.92</v>
      </c>
      <c r="X72" s="18" t="n">
        <v>82.77</v>
      </c>
      <c r="Y72" s="18" t="n">
        <v>47.83</v>
      </c>
      <c r="Z72" s="34" t="n">
        <v>156.06</v>
      </c>
      <c r="AA72" s="18" t="n">
        <v>100.46</v>
      </c>
      <c r="AB72" s="19" t="n">
        <v>175.6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70</v>
      </c>
      <c r="F73" s="9" t="n"/>
      <c r="G73" s="18" t="n">
        <v>1995</v>
      </c>
      <c r="H73" s="18" t="n">
        <v>-3150.17</v>
      </c>
      <c r="I73" s="18" t="n">
        <v>-2793.84</v>
      </c>
      <c r="J73" s="18" t="n">
        <v>-1466.83</v>
      </c>
      <c r="K73" s="34" t="n">
        <v>-5415.84</v>
      </c>
      <c r="L73" s="18" t="n">
        <v>-15</v>
      </c>
      <c r="M73" s="18" t="n">
        <v>7861.53</v>
      </c>
      <c r="N73" s="18" t="n">
        <v>-1844.61</v>
      </c>
      <c r="O73" s="18" t="n">
        <v>-1950.21</v>
      </c>
      <c r="P73" s="34" t="n">
        <v>4051.71</v>
      </c>
      <c r="Q73" s="18" t="n">
        <v>-1197.64</v>
      </c>
      <c r="R73" s="18" t="n">
        <v>-8492.389999999999</v>
      </c>
      <c r="S73" s="18" t="n">
        <v>80</v>
      </c>
      <c r="T73" s="18" t="n">
        <v>-1904.22</v>
      </c>
      <c r="U73" s="34" t="n">
        <v>-11514.25</v>
      </c>
      <c r="V73" s="18" t="n">
        <v>0</v>
      </c>
      <c r="W73" s="18" t="n">
        <v>1279.84</v>
      </c>
      <c r="X73" s="18" t="n">
        <v>-342.87</v>
      </c>
      <c r="Y73" s="18" t="n">
        <v>-380</v>
      </c>
      <c r="Z73" s="34" t="n">
        <v>556.97</v>
      </c>
      <c r="AA73" s="18" t="n">
        <v>0</v>
      </c>
      <c r="AB73" s="19" t="n">
        <v>-12226.09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장기차입금의증가</t>
        </is>
      </c>
      <c r="E74" s="18" t="n">
        <v>6000</v>
      </c>
      <c r="F74" s="9" t="n"/>
      <c r="G74" s="18" t="n">
        <v>14000</v>
      </c>
      <c r="H74" s="18" t="n">
        <v>0</v>
      </c>
      <c r="I74" s="18" t="n">
        <v>0</v>
      </c>
      <c r="J74" s="18" t="n">
        <v>1800</v>
      </c>
      <c r="K74" s="34" t="n">
        <v>15800</v>
      </c>
      <c r="L74" s="18" t="n">
        <v>20000</v>
      </c>
      <c r="N74" s="18" t="n">
        <v>7000</v>
      </c>
      <c r="O74" s="18" t="n">
        <v>0</v>
      </c>
      <c r="P74" s="9" t="n"/>
      <c r="Q74" s="18" t="n">
        <v>0</v>
      </c>
      <c r="R74" s="18" t="n">
        <v>7000</v>
      </c>
      <c r="S74" s="18" t="n">
        <v>2000</v>
      </c>
      <c r="T74" s="18" t="n">
        <v>0</v>
      </c>
      <c r="U74" s="34" t="n">
        <v>9000</v>
      </c>
      <c r="V74" s="18" t="n">
        <v>5000</v>
      </c>
      <c r="X74" s="18" t="n">
        <v>5000</v>
      </c>
      <c r="Z74" s="9" t="n"/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단기차입금의증가</t>
        </is>
      </c>
      <c r="E75" s="18" t="n">
        <v>0</v>
      </c>
      <c r="F75" s="9" t="n"/>
      <c r="G75" s="18" t="n">
        <v>17000</v>
      </c>
      <c r="H75" s="18" t="n">
        <v>0</v>
      </c>
      <c r="I75" s="18" t="n">
        <v>0</v>
      </c>
      <c r="J75" s="18" t="n">
        <v>0</v>
      </c>
      <c r="K75" s="34" t="n">
        <v>17000</v>
      </c>
      <c r="L75" s="18" t="n">
        <v>5000</v>
      </c>
      <c r="M75" s="18" t="n">
        <v>57000</v>
      </c>
      <c r="N75" s="18" t="n">
        <v>0</v>
      </c>
      <c r="O75" s="18" t="n">
        <v>0</v>
      </c>
      <c r="P75" s="34" t="n">
        <v>62000</v>
      </c>
      <c r="Q75" s="18" t="n">
        <v>15000</v>
      </c>
      <c r="R75" s="18" t="n">
        <v>25000</v>
      </c>
      <c r="S75" s="18" t="n">
        <v>9000</v>
      </c>
      <c r="T75" s="18" t="n">
        <v>18420</v>
      </c>
      <c r="U75" s="34" t="n">
        <v>67420</v>
      </c>
      <c r="V75" s="18" t="n">
        <v>16000</v>
      </c>
      <c r="W75" s="18" t="n">
        <v>25000</v>
      </c>
      <c r="X75" s="18" t="n">
        <v>0</v>
      </c>
      <c r="Y75" s="18" t="n">
        <v>27040</v>
      </c>
      <c r="Z75" s="34" t="n">
        <v>68040</v>
      </c>
      <c r="AA75" s="18" t="n">
        <v>12000</v>
      </c>
      <c r="AB75" s="19" t="n">
        <v>15000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0</v>
      </c>
      <c r="F76" s="9" t="n"/>
      <c r="G76" s="18" t="n">
        <v>24000</v>
      </c>
      <c r="H76" s="18" t="n">
        <v>0</v>
      </c>
      <c r="I76" s="18" t="n">
        <v>0</v>
      </c>
      <c r="J76" s="18" t="n">
        <v>0</v>
      </c>
      <c r="K76" s="34" t="n">
        <v>24000</v>
      </c>
      <c r="L76" s="18" t="n">
        <v>20000</v>
      </c>
      <c r="M76" s="18" t="n">
        <v>30000</v>
      </c>
      <c r="N76" s="18" t="n">
        <v>0</v>
      </c>
      <c r="O76" s="18" t="n">
        <v>0</v>
      </c>
      <c r="P76" s="34" t="n">
        <v>50000</v>
      </c>
      <c r="Q76" s="18" t="n">
        <v>15000</v>
      </c>
      <c r="R76" s="18" t="n">
        <v>27000</v>
      </c>
      <c r="S76" s="18" t="n">
        <v>11000</v>
      </c>
      <c r="T76" s="18" t="n">
        <v>0</v>
      </c>
      <c r="U76" s="34" t="n">
        <v>53000</v>
      </c>
      <c r="V76" s="18" t="n">
        <v>15000</v>
      </c>
      <c r="W76" s="18" t="n">
        <v>25000</v>
      </c>
      <c r="X76" s="18" t="n">
        <v>0</v>
      </c>
      <c r="Y76" s="18" t="n">
        <v>27420</v>
      </c>
      <c r="Z76" s="34" t="n">
        <v>67420</v>
      </c>
      <c r="AA76" s="18" t="n">
        <v>11000</v>
      </c>
      <c r="AB76" s="19" t="n">
        <v>15000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유동성장기부채의감소</t>
        </is>
      </c>
      <c r="E77" s="18" t="n">
        <v>6000</v>
      </c>
      <c r="F77" s="9" t="n"/>
      <c r="G77" s="18" t="n">
        <v>5000</v>
      </c>
      <c r="H77" s="18" t="n">
        <v>0</v>
      </c>
      <c r="I77" s="18" t="n">
        <v>0</v>
      </c>
      <c r="J77" s="18" t="n">
        <v>0</v>
      </c>
      <c r="K77" s="34" t="n">
        <v>5000</v>
      </c>
      <c r="L77" s="18" t="n">
        <v>5000</v>
      </c>
      <c r="N77" s="18" t="n">
        <v>5000</v>
      </c>
      <c r="O77" s="18" t="n">
        <v>0</v>
      </c>
      <c r="P77" s="9" t="n"/>
      <c r="Q77" s="18" t="n">
        <v>0</v>
      </c>
      <c r="R77" s="18" t="n">
        <v>5000</v>
      </c>
      <c r="S77" s="18" t="n">
        <v>0</v>
      </c>
      <c r="T77" s="18" t="n">
        <v>18800</v>
      </c>
      <c r="U77" s="34" t="n">
        <v>23800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배당금지급</t>
        </is>
      </c>
      <c r="E78" s="18" t="n">
        <v>0</v>
      </c>
      <c r="F78" s="9" t="n"/>
      <c r="I78" s="18" t="n">
        <v>0</v>
      </c>
      <c r="J78" s="18" t="n">
        <v>0</v>
      </c>
      <c r="K78" s="9" t="n"/>
      <c r="N78" s="18" t="n">
        <v>0</v>
      </c>
      <c r="O78" s="18" t="n">
        <v>0</v>
      </c>
      <c r="P78" s="9" t="n"/>
      <c r="S78" s="18" t="n">
        <v>0</v>
      </c>
      <c r="T78" s="18" t="n">
        <v>0</v>
      </c>
      <c r="U78" s="9" t="n"/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E79" s="18" t="n">
        <v>-1213.15</v>
      </c>
      <c r="F79" s="9" t="n"/>
      <c r="G79" s="18" t="n">
        <v>7185.14</v>
      </c>
      <c r="H79" s="18" t="n">
        <v>-2046.18</v>
      </c>
      <c r="I79" s="18" t="n">
        <v>11912.22</v>
      </c>
      <c r="J79" s="18" t="n">
        <v>-11707.92</v>
      </c>
      <c r="K79" s="34" t="n">
        <v>5343.26</v>
      </c>
      <c r="L79" s="18" t="n">
        <v>941.08</v>
      </c>
      <c r="M79" s="18" t="n">
        <v>-3018.18</v>
      </c>
      <c r="N79" s="18" t="n">
        <v>5672.6</v>
      </c>
      <c r="O79" s="18" t="n">
        <v>1938.98</v>
      </c>
      <c r="P79" s="34" t="n">
        <v>5534.48</v>
      </c>
      <c r="Q79" s="18" t="n">
        <v>7041.48</v>
      </c>
      <c r="R79" s="18" t="n">
        <v>-2940.68</v>
      </c>
      <c r="S79" s="18" t="n">
        <v>-10621.34</v>
      </c>
      <c r="T79" s="18" t="n">
        <v>5891.8</v>
      </c>
      <c r="U79" s="34" t="n">
        <v>-628.74</v>
      </c>
      <c r="V79" s="18" t="n">
        <v>2723.1</v>
      </c>
      <c r="W79" s="18" t="n">
        <v>6049.98</v>
      </c>
      <c r="X79" s="18" t="n">
        <v>-10546.14</v>
      </c>
      <c r="Y79" s="18" t="n">
        <v>11718.84</v>
      </c>
      <c r="Z79" s="34" t="n">
        <v>9945.780000000001</v>
      </c>
      <c r="AA79" s="18" t="n">
        <v>-8128.68</v>
      </c>
      <c r="AB79" s="19" t="n">
        <v>-2167.68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E80" s="18" t="n">
        <v>-612.65</v>
      </c>
      <c r="F80" s="9" t="n"/>
      <c r="G80" s="18" t="n">
        <v>6629.28</v>
      </c>
      <c r="H80" s="18" t="n">
        <v>-1023.18</v>
      </c>
      <c r="I80" s="18" t="n">
        <v>5956.11</v>
      </c>
      <c r="J80" s="18" t="n">
        <v>-5883.63</v>
      </c>
      <c r="K80" s="34" t="n">
        <v>5678.58</v>
      </c>
      <c r="L80" s="18" t="n">
        <v>6149.12</v>
      </c>
      <c r="M80" s="18" t="n">
        <v>-1509.09</v>
      </c>
      <c r="N80" s="18" t="n">
        <v>2836.3</v>
      </c>
      <c r="O80" s="18" t="n">
        <v>969.49</v>
      </c>
      <c r="P80" s="34" t="n">
        <v>8445.82</v>
      </c>
      <c r="Q80" s="18" t="n">
        <v>11966.55</v>
      </c>
      <c r="R80" s="18" t="n">
        <v>-1470.34</v>
      </c>
      <c r="S80" s="18" t="n">
        <v>-5310.67</v>
      </c>
      <c r="T80" s="18" t="n">
        <v>2945.9</v>
      </c>
      <c r="U80" s="34" t="n">
        <v>8131.44</v>
      </c>
      <c r="V80" s="18" t="n">
        <v>9493</v>
      </c>
      <c r="W80" s="18" t="n">
        <v>3024.98</v>
      </c>
      <c r="X80" s="18" t="n">
        <v>-5273.07</v>
      </c>
      <c r="Y80" s="18" t="n">
        <v>10832.31</v>
      </c>
      <c r="Z80" s="34" t="n">
        <v>18077.22</v>
      </c>
      <c r="AA80" s="18" t="n">
        <v>9948.549999999999</v>
      </c>
      <c r="AB80" s="19" t="n">
        <v>-2167.69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J81" s="18" t="n">
        <v>3219.58</v>
      </c>
      <c r="K81" s="9" t="n"/>
      <c r="P81" s="9" t="n"/>
      <c r="Q81" s="18" t="n">
        <v>1187.64</v>
      </c>
      <c r="R81" s="18" t="n">
        <v>0</v>
      </c>
      <c r="S81" s="18" t="n">
        <v>0</v>
      </c>
      <c r="T81" s="18" t="n">
        <v>1524.22</v>
      </c>
      <c r="U81" s="34" t="n">
        <v>2711.86</v>
      </c>
      <c r="V81" s="18" t="n">
        <v>0</v>
      </c>
      <c r="W81" s="18" t="n">
        <v>0</v>
      </c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K82" s="9" t="n"/>
      <c r="L82" s="18" t="n">
        <v>0</v>
      </c>
      <c r="M82" s="18" t="n">
        <v>75.22</v>
      </c>
      <c r="N82" s="18" t="n">
        <v>39.07</v>
      </c>
      <c r="O82" s="18" t="n">
        <v>0</v>
      </c>
      <c r="P82" s="34" t="n">
        <v>114.29</v>
      </c>
      <c r="Q82" s="18" t="n">
        <v>39.2</v>
      </c>
      <c r="R82" s="18" t="n">
        <v>0</v>
      </c>
      <c r="S82" s="18" t="n">
        <v>26.56</v>
      </c>
      <c r="T82" s="18" t="n">
        <v>0</v>
      </c>
      <c r="U82" s="34" t="n">
        <v>65.76000000000001</v>
      </c>
      <c r="V82" s="18" t="n">
        <v>2.6</v>
      </c>
      <c r="W82" s="18" t="n">
        <v>98.11</v>
      </c>
      <c r="X82" s="18" t="n">
        <v>0</v>
      </c>
      <c r="Y82" s="18" t="n">
        <v>109.13</v>
      </c>
      <c r="Z82" s="34" t="n">
        <v>209.84</v>
      </c>
      <c r="AA82" s="18" t="n">
        <v>56.1</v>
      </c>
      <c r="AB82" s="19" t="n">
        <v>29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N83" s="18" t="n">
        <v>0</v>
      </c>
      <c r="O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4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P84" s="9" t="n"/>
      <c r="U84" s="9" t="n"/>
      <c r="V84" s="18" t="n">
        <v>1000</v>
      </c>
      <c r="W84" s="18" t="n">
        <v>0</v>
      </c>
      <c r="X84" s="18" t="n">
        <v>0</v>
      </c>
      <c r="Y84" s="18" t="n">
        <v>0</v>
      </c>
      <c r="Z84" s="34" t="n">
        <v>1000</v>
      </c>
      <c r="AA84" s="18" t="n">
        <v>1000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0.0799</v>
      </c>
      <c r="F10" s="34" t="n"/>
      <c r="G10" s="18" t="n">
        <v>0.0078</v>
      </c>
      <c r="H10" s="18" t="n">
        <v>-0.0137</v>
      </c>
      <c r="I10" s="18" t="n">
        <v>-0.0376</v>
      </c>
      <c r="J10" s="18" t="n">
        <v>0.06519999999999999</v>
      </c>
      <c r="K10" s="34">
        <f>SUM(G10:J10)</f>
        <v/>
      </c>
      <c r="L10" s="18" t="n">
        <v>0.1135</v>
      </c>
      <c r="M10" s="18" t="n">
        <v>0.0882</v>
      </c>
      <c r="N10" s="18" t="n">
        <v>-0.0344</v>
      </c>
      <c r="O10" s="18" t="n">
        <v>0.0575</v>
      </c>
      <c r="P10" s="34">
        <f>SUM(L10:O10)</f>
        <v/>
      </c>
      <c r="Q10" s="18" t="n">
        <v>0.0745</v>
      </c>
      <c r="R10" s="18" t="n">
        <v>0.08690000000000001</v>
      </c>
      <c r="S10" s="18" t="n">
        <v>0.0803</v>
      </c>
      <c r="T10" s="18" t="n">
        <v>0.0611</v>
      </c>
      <c r="U10" s="34">
        <f>SUM(Q10:T10)</f>
        <v/>
      </c>
      <c r="V10" s="18" t="n">
        <v>0.0337</v>
      </c>
      <c r="W10" s="18" t="n">
        <v>0.2168</v>
      </c>
      <c r="X10" s="18" t="n">
        <v>0.1129</v>
      </c>
      <c r="Y10" s="18" t="n">
        <v>-0.0307</v>
      </c>
      <c r="Z10" s="34">
        <f>SUM(V10:Y10)</f>
        <v/>
      </c>
      <c r="AA10" s="18" t="n">
        <v>0.1502</v>
      </c>
      <c r="AB10" s="19" t="n">
        <v>0.0173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4">
        <f>T21</f>
        <v/>
      </c>
      <c r="V21" s="18" t="n"/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-1660.99</v>
      </c>
      <c r="F26" s="34" t="n"/>
      <c r="G26" s="18" t="n">
        <v>1981.35</v>
      </c>
      <c r="H26" s="18" t="n">
        <v>559.28</v>
      </c>
      <c r="I26" s="18" t="n">
        <v>-1333.37</v>
      </c>
      <c r="J26" s="18" t="n">
        <v>-773.96</v>
      </c>
      <c r="K26" s="34">
        <f>SUM(G26:J26)</f>
        <v/>
      </c>
      <c r="L26" s="18" t="n">
        <v>-1932.83</v>
      </c>
      <c r="M26" s="18" t="n">
        <v>1736.78</v>
      </c>
      <c r="N26" s="18" t="n">
        <v>-527.85</v>
      </c>
      <c r="O26" s="18" t="n">
        <v>-1872.8</v>
      </c>
      <c r="P26" s="34">
        <f>SUM(L26:O26)</f>
        <v/>
      </c>
      <c r="Q26" s="18" t="n">
        <v>-45.26</v>
      </c>
      <c r="R26" s="18" t="n">
        <v>263.73</v>
      </c>
      <c r="S26" s="18" t="n">
        <v>-4801.24</v>
      </c>
      <c r="T26" s="18" t="n">
        <v>2741.52</v>
      </c>
      <c r="U26" s="34">
        <f>SUM(Q26:T26)</f>
        <v/>
      </c>
      <c r="V26" s="18" t="n">
        <v>-6.26</v>
      </c>
      <c r="W26" s="18" t="n">
        <v>-755.89</v>
      </c>
      <c r="X26" s="18" t="n">
        <v>902.42</v>
      </c>
      <c r="Y26" s="18" t="n">
        <v>1744.07</v>
      </c>
      <c r="Z26" s="34">
        <f>SUM(V26:Y26)</f>
        <v/>
      </c>
      <c r="AA26" s="18" t="n">
        <v>-3825.17</v>
      </c>
      <c r="AB26" s="19" t="n">
        <v>510.18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30.902</v>
      </c>
      <c r="F27" s="27">
        <f>E27</f>
        <v/>
      </c>
      <c r="G27" s="26" t="n">
        <v>30.902</v>
      </c>
      <c r="H27" s="26" t="n">
        <v>30.902</v>
      </c>
      <c r="I27" s="26" t="n">
        <v>30.345</v>
      </c>
      <c r="J27" s="26" t="n">
        <v>29.702</v>
      </c>
      <c r="K27" s="27">
        <f>J27</f>
        <v/>
      </c>
      <c r="L27" s="26" t="n">
        <v>29.702</v>
      </c>
      <c r="M27" s="26" t="n">
        <v>29.367</v>
      </c>
      <c r="N27" s="26" t="n">
        <v>28.604</v>
      </c>
      <c r="O27" s="26" t="n">
        <v>28.175</v>
      </c>
      <c r="P27" s="27">
        <f>O27</f>
        <v/>
      </c>
      <c r="Q27" s="26" t="n">
        <v>27.902</v>
      </c>
      <c r="R27" s="26" t="n">
        <v>27.902</v>
      </c>
      <c r="S27" s="26" t="n">
        <v>27.902</v>
      </c>
      <c r="T27" s="26" t="n">
        <v>27.602</v>
      </c>
      <c r="U27" s="27">
        <f>T27</f>
        <v/>
      </c>
      <c r="V27" s="26" t="n">
        <v>27.602</v>
      </c>
      <c r="W27" s="26" t="n">
        <v>30.802</v>
      </c>
      <c r="X27" s="26" t="n">
        <v>30.86</v>
      </c>
      <c r="Y27" s="26" t="n">
        <v>30.86</v>
      </c>
      <c r="Z27" s="27">
        <f>Y27</f>
        <v/>
      </c>
      <c r="AA27" s="26" t="n">
        <v>30.86</v>
      </c>
      <c r="AB27" s="28" t="n">
        <v>30.86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700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>
        <v>880.9299999999999</v>
      </c>
      <c r="K31" s="34">
        <f>SUM(G31:J31)</f>
        <v/>
      </c>
      <c r="L31" s="18" t="n">
        <v>9.48</v>
      </c>
      <c r="M31" s="18" t="n">
        <v>10.3</v>
      </c>
      <c r="N31" s="18" t="n">
        <v>9.99</v>
      </c>
      <c r="O31" s="18" t="n">
        <v>5</v>
      </c>
      <c r="P31" s="34">
        <f>SUM(L31:O31)</f>
        <v/>
      </c>
      <c r="Q31" s="18" t="n">
        <v>8.67</v>
      </c>
      <c r="R31" s="18" t="n">
        <v>8.050000000000001</v>
      </c>
      <c r="S31" s="18" t="n">
        <v>5.35</v>
      </c>
      <c r="T31" s="18" t="n">
        <v>9.4</v>
      </c>
      <c r="U31" s="34">
        <f>SUM(Q31:T31)</f>
        <v/>
      </c>
      <c r="V31" s="18" t="n">
        <v>20.31</v>
      </c>
      <c r="W31" s="18" t="n">
        <v>9.359999999999999</v>
      </c>
      <c r="X31" s="18" t="n">
        <v>10.58</v>
      </c>
      <c r="Y31" s="18" t="n">
        <v>6.16</v>
      </c>
      <c r="Z31" s="34">
        <f>SUM(V31:Y31)</f>
        <v/>
      </c>
      <c r="AA31" s="18" t="n">
        <v>4.37</v>
      </c>
      <c r="AB31" s="19" t="n">
        <v>5.84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0.71</v>
      </c>
      <c r="F32" s="34" t="n">
        <v>0.72</v>
      </c>
      <c r="G32" s="18" t="n">
        <v>0.72</v>
      </c>
      <c r="H32" s="18" t="n">
        <v>0.72</v>
      </c>
      <c r="I32" s="18" t="n">
        <v>0.73</v>
      </c>
      <c r="J32" s="18" t="n">
        <v>0.73</v>
      </c>
      <c r="K32" s="34">
        <f>SUM(G32:J32)</f>
        <v/>
      </c>
      <c r="L32" s="18" t="n">
        <v>0.59</v>
      </c>
      <c r="M32" s="18" t="n">
        <v>0.58</v>
      </c>
      <c r="N32" s="18" t="n">
        <v>0.65</v>
      </c>
      <c r="O32" s="18" t="n">
        <v>0.57</v>
      </c>
      <c r="P32" s="34">
        <f>SUM(L32:O32)</f>
        <v/>
      </c>
      <c r="Q32" s="18" t="n">
        <v>0.6</v>
      </c>
      <c r="R32" s="18" t="n">
        <v>0.74</v>
      </c>
      <c r="S32" s="18" t="n">
        <v>0.7</v>
      </c>
      <c r="T32" s="18" t="n">
        <v>0.6899999999999999</v>
      </c>
      <c r="U32" s="34">
        <f>SUM(Q32:T32)</f>
        <v/>
      </c>
      <c r="V32" s="18" t="n">
        <v>0.89</v>
      </c>
      <c r="W32" s="18" t="n">
        <v>0.86</v>
      </c>
      <c r="X32" s="18" t="n">
        <v>1.13</v>
      </c>
      <c r="Y32" s="18" t="n">
        <v>1.22</v>
      </c>
      <c r="Z32" s="34">
        <f>SUM(V32:Y32)</f>
        <v/>
      </c>
      <c r="AA32" s="18" t="n">
        <v>1.11</v>
      </c>
      <c r="AB32" s="19" t="n">
        <v>1.19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1336.89</v>
      </c>
      <c r="F33" s="34" t="n"/>
      <c r="G33" s="18" t="n">
        <v>1311.28</v>
      </c>
      <c r="H33" s="18" t="n">
        <v>1701.28</v>
      </c>
      <c r="I33" s="18" t="n">
        <v>1600.02</v>
      </c>
      <c r="J33" s="18" t="n">
        <v>1484.43</v>
      </c>
      <c r="K33" s="34">
        <f>SUM(G33:J33)</f>
        <v/>
      </c>
      <c r="L33" s="18" t="n">
        <v>2214.52</v>
      </c>
      <c r="M33" s="18" t="n">
        <v>1210.02</v>
      </c>
      <c r="N33" s="18" t="n">
        <v>991.74</v>
      </c>
      <c r="O33" s="18" t="n">
        <v>1490.31</v>
      </c>
      <c r="P33" s="34">
        <f>SUM(L33:O33)</f>
        <v/>
      </c>
      <c r="Q33" s="18" t="n">
        <v>1346.17</v>
      </c>
      <c r="R33" s="18" t="n">
        <v>1248.85</v>
      </c>
      <c r="S33" s="18" t="n">
        <v>1257.79</v>
      </c>
      <c r="T33" s="18" t="n">
        <v>1312.22</v>
      </c>
      <c r="U33" s="34">
        <f>SUM(Q33:T33)</f>
        <v/>
      </c>
      <c r="V33" s="18" t="n">
        <v>1282.19</v>
      </c>
      <c r="W33" s="18" t="n">
        <v>1604.67</v>
      </c>
      <c r="X33" s="18" t="n">
        <v>1378.33</v>
      </c>
      <c r="Y33" s="18" t="n">
        <v>1532.55</v>
      </c>
      <c r="Z33" s="34">
        <f>SUM(V33:Y33)</f>
        <v/>
      </c>
      <c r="AA33" s="18" t="n">
        <v>1876.83</v>
      </c>
      <c r="AB33" s="19" t="n">
        <v>1610.93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106.75</v>
      </c>
      <c r="F34" s="34" t="n"/>
      <c r="G34" s="18" t="n">
        <v>10.29</v>
      </c>
      <c r="H34" s="18" t="n">
        <v>-23.31</v>
      </c>
      <c r="I34" s="18" t="n">
        <v>-60.15</v>
      </c>
      <c r="J34" s="18" t="n">
        <v>96.76000000000001</v>
      </c>
      <c r="K34" s="34">
        <f>SUM(G34:J34)</f>
        <v/>
      </c>
      <c r="L34" s="18" t="n">
        <v>251.27</v>
      </c>
      <c r="M34" s="18" t="n">
        <v>106.69</v>
      </c>
      <c r="N34" s="18" t="n">
        <v>-34.14</v>
      </c>
      <c r="O34" s="18" t="n">
        <v>85.73</v>
      </c>
      <c r="P34" s="34">
        <f>SUM(L34:O34)</f>
        <v/>
      </c>
      <c r="Q34" s="18" t="n">
        <v>100.32</v>
      </c>
      <c r="R34" s="18" t="n">
        <v>108.49</v>
      </c>
      <c r="S34" s="18" t="n">
        <v>101</v>
      </c>
      <c r="T34" s="18" t="n">
        <v>80.12</v>
      </c>
      <c r="U34" s="34">
        <f>SUM(Q34:T34)</f>
        <v/>
      </c>
      <c r="V34" s="18" t="n">
        <v>43.18</v>
      </c>
      <c r="W34" s="18" t="n">
        <v>347.94</v>
      </c>
      <c r="X34" s="18" t="n">
        <v>155.57</v>
      </c>
      <c r="Y34" s="18" t="n">
        <v>-47.06</v>
      </c>
      <c r="Z34" s="34">
        <f>SUM(V34:Y34)</f>
        <v/>
      </c>
      <c r="AA34" s="18" t="n">
        <v>281.88</v>
      </c>
      <c r="AB34" s="19" t="n">
        <v>27.93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2564.3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2.94</v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0.2566</v>
      </c>
    </row>
    <row r="34">
      <c r="C34" s="2" t="inlineStr">
        <is>
          <t>fair_pbr</t>
        </is>
      </c>
      <c r="D34" t="n">
        <v>2.85</v>
      </c>
    </row>
    <row r="35">
      <c r="C35" s="2" t="inlineStr">
        <is>
          <t>fair_value_pbr</t>
        </is>
      </c>
      <c r="D35" t="n">
        <v>28500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