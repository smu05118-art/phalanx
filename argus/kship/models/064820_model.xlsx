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BS연결!$C$5:$AO$106</definedName>
    <definedName name="BS별도H">BS별도!$C$1:$AO$1</definedName>
    <definedName name="BS별도">BS별도!$C$5:$AO$87</definedName>
    <definedName name="SUBQH">subQ!$A$1:$AO$1</definedName>
    <definedName name="subQ">subQ!$A$5:$AO$39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이동합(t−0) 240366억 × 비례계수 0.0332 × 계절비중 Q3 0.216(계절비중 — 최근 3개 연도(2026, 2025, 2024) 분기/연간 비중 평균; 격자 lag0~4×창8/12/19×수준·YoY·4Q합 중 최대 r=0.94, n=8, 창 8)</t>
      </text>
    </comment>
    <comment ref="AD21" authorId="0" shapeId="0">
      <text>
        <t>모델값 역산(implied): v / 전년동기 − 1
고객지수 4분기 이동합(t−0) 255216억 × 비례계수 0.0332 × 계절비중 Q4 0.257(계절비중 — 최근 3개 연도(2026, 2025, 2024) 분기/연간 비중 평균; 격자 lag0~4×창8/12/19×수준·YoY·4Q합 중 최대 r=0.94, n=8, 창 8)</t>
      </text>
    </comment>
    <comment ref="AF21" authorId="0" shapeId="0">
      <text>
        <t>모델값 역산(implied): v / 전년동기 − 1
고객지수 4분기 이동합(t−0) 264551억 × 비례계수 0.0332 × 계절비중 Q1 0.286(계절비중 — 최근 3개 연도(2026, 2025, 2024) 분기/연간 비중 평균; 격자 lag0~4×창8/12/19×수준·YoY·4Q합 중 최대 r=0.94, n=8, 창 8)</t>
      </text>
    </comment>
    <comment ref="AG21" authorId="0" shapeId="0">
      <text>
        <t>모델값 역산(implied): v / 전년동기 − 1
고객지수 4분기 이동합(t−0) 273274억 × 비례계수 0.0332 × 계절비중 Q2 0.241(계절비중 — 최근 3개 연도(2026, 2025, 2024) 분기/연간 비중 평균; 격자 lag0~4×창8/12/19×수준·YoY·4Q합 중 최대 r=0.94, n=8, 창 8)</t>
      </text>
    </comment>
    <comment ref="AH21" authorId="0" shapeId="0">
      <text>
        <t>모델값 역산(implied): v / 전년동기 − 1
고객지수 4분기 이동합(t−0) 283347억 × 비례계수 0.0332 × 계절비중 Q3 0.216(계절비중 — 최근 3개 연도(2026, 2025, 2024) 분기/연간 비중 평균; 격자 lag0~4×창8/12/19×수준·YoY·4Q합 중 최대 r=0.94, n=8, 창 8)</t>
      </text>
    </comment>
    <comment ref="AI21" authorId="0" shapeId="0">
      <text>
        <t>모델값 역산(implied): v / 전년동기 − 1
고객지수 4분기 이동합(t−0) 297378억 × 비례계수 0.0332 × 계절비중 Q4 0.257(계절비중 — 최근 3개 연도(2026, 2025, 2024) 분기/연간 비중 평균; 격자 lag0~4×창8/12/19×수준·YoY·4Q합 중 최대 r=0.94, n=8, 창 8)</t>
      </text>
    </comment>
    <comment ref="AK21" authorId="0" shapeId="0">
      <text>
        <t>모델값 역산(implied): v / 전년동기 − 1
고객지수 4분기 이동합(t−0) 314695억 × 비례계수 0.0332 × 계절비중 Q1 0.286(계절비중 — 최근 3개 연도(2026, 2025, 2024) 분기/연간 비중 평균; 격자 lag0~4×창8/12/19×수준·YoY·4Q합 중 최대 r=0.94, n=8, 창 8)</t>
      </text>
    </comment>
    <comment ref="AL21" authorId="0" shapeId="0">
      <text>
        <t>모델값 역산(implied): v / 전년동기 − 1
고객지수 4분기 이동합(t−0) 333725억 × 비례계수 0.0332 × 계절비중 Q2 0.241(계절비중 — 최근 3개 연도(2026, 2025, 2024) 분기/연간 비중 평균; 격자 lag0~4×창8/12/19×수준·YoY·4Q합 중 최대 r=0.94, n=8, 창 8)</t>
      </text>
    </comment>
    <comment ref="AM21" authorId="0" shapeId="0">
      <text>
        <t>모델값 역산(implied): v / 전년동기 − 1
고객지수 4분기 이동합(t−0) 352973억 × 비례계수 0.0332 × 계절비중 Q3 0.216(계절비중 — 최근 3개 연도(2026, 2025, 2024) 분기/연간 비중 평균; 격자 lag0~4×창8/12/19×수준·YoY·4Q합 중 최대 r=0.94, n=8, 창 8)</t>
      </text>
    </comment>
    <comment ref="AN21" authorId="0" shapeId="0">
      <text>
        <t>모델값 역산(implied): v / 전년동기 − 1
고객지수 4분기 이동합(t−0) 370436억 × 비례계수 0.0332 × 계절비중 Q4 0.257(계절비중 — 최근 3개 연도(2026, 2025, 2024) 분기/연간 비중 평균; 격자 lag0~4×창8/12/19×수준·YoY·4Q합 중 최대 r=0.94, n=8, 창 8)</t>
      </text>
    </comment>
    <comment ref="AC22" authorId="0" shapeId="0">
      <text>
        <t>3절 스칼라 '판관비율' 참조 — 숫자로 덮어쓰면 이 분기만 바뀐다
매출액 × 판관비율 10.81%(최근 4분기 중위)</t>
      </text>
    </comment>
    <comment ref="AD22" authorId="0" shapeId="0">
      <text>
        <t>3절 스칼라 '판관비율' 참조 — 숫자로 덮어쓰면 이 분기만 바뀐다
매출액 × 판관비율 10.81%(최근 4분기 중위)</t>
      </text>
    </comment>
    <comment ref="AF22" authorId="0" shapeId="0">
      <text>
        <t>3절 스칼라 '판관비율' 참조 — 숫자로 덮어쓰면 이 분기만 바뀐다
매출액 × 판관비율 10.81%(최근 4분기 중위)</t>
      </text>
    </comment>
    <comment ref="AG22" authorId="0" shapeId="0">
      <text>
        <t>3절 스칼라 '판관비율' 참조 — 숫자로 덮어쓰면 이 분기만 바뀐다
매출액 × 판관비율 10.81%(최근 4분기 중위)</t>
      </text>
    </comment>
    <comment ref="AH22" authorId="0" shapeId="0">
      <text>
        <t>3절 스칼라 '판관비율' 참조 — 숫자로 덮어쓰면 이 분기만 바뀐다
매출액 × 판관비율 10.81%(최근 4분기 중위)</t>
      </text>
    </comment>
    <comment ref="AI22" authorId="0" shapeId="0">
      <text>
        <t>3절 스칼라 '판관비율' 참조 — 숫자로 덮어쓰면 이 분기만 바뀐다
매출액 × 판관비율 10.81%(최근 4분기 중위)</t>
      </text>
    </comment>
    <comment ref="AK22" authorId="0" shapeId="0">
      <text>
        <t>3절 스칼라 '판관비율' 참조 — 숫자로 덮어쓰면 이 분기만 바뀐다
매출액 × 판관비율 10.81%(최근 4분기 중위)</t>
      </text>
    </comment>
    <comment ref="AL22" authorId="0" shapeId="0">
      <text>
        <t>3절 스칼라 '판관비율' 참조 — 숫자로 덮어쓰면 이 분기만 바뀐다
매출액 × 판관비율 10.81%(최근 4분기 중위)</t>
      </text>
    </comment>
    <comment ref="AM22" authorId="0" shapeId="0">
      <text>
        <t>3절 스칼라 '판관비율' 참조 — 숫자로 덮어쓰면 이 분기만 바뀐다
매출액 × 판관비율 10.81%(최근 4분기 중위)</t>
      </text>
    </comment>
    <comment ref="AN22" authorId="0" shapeId="0">
      <text>
        <t>3절 스칼라 '판관비율' 참조 — 숫자로 덮어쓰면 이 분기만 바뀐다
매출액 × 판관비율 10.81%(최근 4분기 중위)</t>
      </text>
    </comment>
    <comment ref="AC23" authorId="0" shapeId="0">
      <text>
        <t>모델값 역산(implied): v / 매출액
매출액 × OPM(최근 8분기 OPM 중위 7.1% 유지)</t>
      </text>
    </comment>
    <comment ref="AD23" authorId="0" shapeId="0">
      <text>
        <t>모델값 역산(implied): v / 매출액
매출액 × OPM(최근 8분기 OPM 중위 7.1% 유지)</t>
      </text>
    </comment>
    <comment ref="AF23" authorId="0" shapeId="0">
      <text>
        <t>모델값 역산(implied): v / 매출액
매출액 × OPM(최근 8분기 OPM 중위 7.1% 유지)</t>
      </text>
    </comment>
    <comment ref="AG23" authorId="0" shapeId="0">
      <text>
        <t>모델값 역산(implied): v / 매출액
매출액 × OPM(최근 8분기 OPM 중위 7.1% 유지)</t>
      </text>
    </comment>
    <comment ref="AH23" authorId="0" shapeId="0">
      <text>
        <t>모델값 역산(implied): v / 매출액
매출액 × OPM(최근 8분기 OPM 중위 7.1% 유지)</t>
      </text>
    </comment>
    <comment ref="AI23" authorId="0" shapeId="0">
      <text>
        <t>모델값 역산(implied): v / 매출액
매출액 × OPM(최근 8분기 OPM 중위 7.1% 유지)</t>
      </text>
    </comment>
    <comment ref="AK23" authorId="0" shapeId="0">
      <text>
        <t>모델값 역산(implied): v / 매출액
매출액 × OPM(최근 8분기 OPM 중위 7.1% 유지)</t>
      </text>
    </comment>
    <comment ref="AL23" authorId="0" shapeId="0">
      <text>
        <t>모델값 역산(implied): v / 매출액
매출액 × OPM(최근 8분기 OPM 중위 7.1% 유지)</t>
      </text>
    </comment>
    <comment ref="AM23" authorId="0" shapeId="0">
      <text>
        <t>모델값 역산(implied): v / 매출액
매출액 × OPM(최근 8분기 OPM 중위 7.1% 유지)</t>
      </text>
    </comment>
    <comment ref="AN23" authorId="0" shapeId="0">
      <text>
        <t>모델값 역산(implied): v / 매출액
매출액 × OPM(최근 8분기 OPM 중위 7.1% 유지)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3절 스칼라 '세율' 참조 — 숫자로 덮어쓰면 이 분기만 바뀐다
max(세전, 0) × 세율 8.4%(최근 12분기 유효세율 8.4%(5~27% 안 — 그대로))</t>
      </text>
    </comment>
    <comment ref="AD25" authorId="0" shapeId="0">
      <text>
        <t>3절 스칼라 '세율' 참조 — 숫자로 덮어쓰면 이 분기만 바뀐다
max(세전, 0) × 세율 8.4%(최근 12분기 유효세율 8.4%(5~27% 안 — 그대로))</t>
      </text>
    </comment>
    <comment ref="AF25" authorId="0" shapeId="0">
      <text>
        <t>3절 스칼라 '세율' 참조 — 숫자로 덮어쓰면 이 분기만 바뀐다
max(세전, 0) × 세율 8.4%(최근 12분기 유효세율 8.4%(5~27% 안 — 그대로))</t>
      </text>
    </comment>
    <comment ref="AG25" authorId="0" shapeId="0">
      <text>
        <t>3절 스칼라 '세율' 참조 — 숫자로 덮어쓰면 이 분기만 바뀐다
max(세전, 0) × 세율 8.4%(최근 12분기 유효세율 8.4%(5~27% 안 — 그대로))</t>
      </text>
    </comment>
    <comment ref="AH25" authorId="0" shapeId="0">
      <text>
        <t>3절 스칼라 '세율' 참조 — 숫자로 덮어쓰면 이 분기만 바뀐다
max(세전, 0) × 세율 8.4%(최근 12분기 유효세율 8.4%(5~27% 안 — 그대로))</t>
      </text>
    </comment>
    <comment ref="AI25" authorId="0" shapeId="0">
      <text>
        <t>3절 스칼라 '세율' 참조 — 숫자로 덮어쓰면 이 분기만 바뀐다
max(세전, 0) × 세율 8.4%(최근 12분기 유효세율 8.4%(5~27% 안 — 그대로))</t>
      </text>
    </comment>
    <comment ref="AK25" authorId="0" shapeId="0">
      <text>
        <t>3절 스칼라 '세율' 참조 — 숫자로 덮어쓰면 이 분기만 바뀐다
max(세전, 0) × 세율 8.4%(최근 12분기 유효세율 8.4%(5~27% 안 — 그대로))</t>
      </text>
    </comment>
    <comment ref="AL25" authorId="0" shapeId="0">
      <text>
        <t>3절 스칼라 '세율' 참조 — 숫자로 덮어쓰면 이 분기만 바뀐다
max(세전, 0) × 세율 8.4%(최근 12분기 유효세율 8.4%(5~27% 안 — 그대로))</t>
      </text>
    </comment>
    <comment ref="AM25" authorId="0" shapeId="0">
      <text>
        <t>3절 스칼라 '세율' 참조 — 숫자로 덮어쓰면 이 분기만 바뀐다
max(세전, 0) × 세율 8.4%(최근 12분기 유효세율 8.4%(5~27% 안 — 그대로))</t>
      </text>
    </comment>
    <comment ref="AN25" authorId="0" shapeId="0">
      <text>
        <t>3절 스칼라 '세율' 참조 — 숫자로 덮어쓰면 이 분기만 바뀐다
max(세전, 0) × 세율 8.4%(최근 12분기 유효세율 8.4%(5~27% 안 — 그대로))</t>
      </text>
    </comment>
    <comment ref="AC26" authorId="0" shapeId="0">
      <text>
        <t>3절 스칼라 '지배주주비중' 참조 — 숫자로 덮어쓰면 이 분기만 바뀐다
당기순이익 × (1 − 비지배 비중 7.3%, 최근 8분기 실측)</t>
      </text>
    </comment>
    <comment ref="AD26" authorId="0" shapeId="0">
      <text>
        <t>3절 스칼라 '지배주주비중' 참조 — 숫자로 덮어쓰면 이 분기만 바뀐다
당기순이익 × (1 − 비지배 비중 7.3%, 최근 8분기 실측)</t>
      </text>
    </comment>
    <comment ref="AF26" authorId="0" shapeId="0">
      <text>
        <t>3절 스칼라 '지배주주비중' 참조 — 숫자로 덮어쓰면 이 분기만 바뀐다
당기순이익 × (1 − 비지배 비중 7.3%, 최근 8분기 실측)</t>
      </text>
    </comment>
    <comment ref="AG26" authorId="0" shapeId="0">
      <text>
        <t>3절 스칼라 '지배주주비중' 참조 — 숫자로 덮어쓰면 이 분기만 바뀐다
당기순이익 × (1 − 비지배 비중 7.3%, 최근 8분기 실측)</t>
      </text>
    </comment>
    <comment ref="AH26" authorId="0" shapeId="0">
      <text>
        <t>3절 스칼라 '지배주주비중' 참조 — 숫자로 덮어쓰면 이 분기만 바뀐다
당기순이익 × (1 − 비지배 비중 7.3%, 최근 8분기 실측)</t>
      </text>
    </comment>
    <comment ref="AI26" authorId="0" shapeId="0">
      <text>
        <t>3절 스칼라 '지배주주비중' 참조 — 숫자로 덮어쓰면 이 분기만 바뀐다
당기순이익 × (1 − 비지배 비중 7.3%, 최근 8분기 실측)</t>
      </text>
    </comment>
    <comment ref="AK26" authorId="0" shapeId="0">
      <text>
        <t>3절 스칼라 '지배주주비중' 참조 — 숫자로 덮어쓰면 이 분기만 바뀐다
당기순이익 × (1 − 비지배 비중 7.3%, 최근 8분기 실측)</t>
      </text>
    </comment>
    <comment ref="AL26" authorId="0" shapeId="0">
      <text>
        <t>3절 스칼라 '지배주주비중' 참조 — 숫자로 덮어쓰면 이 분기만 바뀐다
당기순이익 × (1 − 비지배 비중 7.3%, 최근 8분기 실측)</t>
      </text>
    </comment>
    <comment ref="AM26" authorId="0" shapeId="0">
      <text>
        <t>3절 스칼라 '지배주주비중' 참조 — 숫자로 덮어쓰면 이 분기만 바뀐다
당기순이익 × (1 − 비지배 비중 7.3%, 최근 8분기 실측)</t>
      </text>
    </comment>
    <comment ref="AN26" authorId="0" shapeId="0">
      <text>
        <t>3절 스칼라 '지배주주비중' 참조 — 숫자로 덮어쓰면 이 분기만 바뀐다
당기순이익 × (1 − 비지배 비중 7.3%, 최근 8분기 실측)</t>
      </text>
    </comment>
    <comment ref="AC27" authorId="0" shapeId="0">
      <text>
        <t>모델값 역산(implied): v / 전분기 − 1
마지막 실적 유지(가정)</t>
      </text>
    </comment>
    <comment ref="AD27" authorId="0" shapeId="0">
      <text>
        <t>모델값 역산(implied): v / 전분기 − 1
마지막 실적 유지(가정)</t>
      </text>
    </comment>
    <comment ref="AF27" authorId="0" shapeId="0">
      <text>
        <t>모델값 역산(implied): v / 전분기 − 1
마지막 실적 유지(가정)</t>
      </text>
    </comment>
    <comment ref="AG27" authorId="0" shapeId="0">
      <text>
        <t>모델값 역산(implied): v / 전분기 − 1
마지막 실적 유지(가정)</t>
      </text>
    </comment>
    <comment ref="AH27" authorId="0" shapeId="0">
      <text>
        <t>모델값 역산(implied): v / 전분기 − 1
마지막 실적 유지(가정)</t>
      </text>
    </comment>
    <comment ref="AI27" authorId="0" shapeId="0">
      <text>
        <t>모델값 역산(implied): v / 전분기 − 1
마지막 실적 유지(가정)</t>
      </text>
    </comment>
    <comment ref="AK27" authorId="0" shapeId="0">
      <text>
        <t>모델값 역산(implied): v / 전분기 − 1
마지막 실적 유지(가정)</t>
      </text>
    </comment>
    <comment ref="AL27" authorId="0" shapeId="0">
      <text>
        <t>모델값 역산(implied): v / 전분기 − 1
마지막 실적 유지(가정)</t>
      </text>
    </comment>
    <comment ref="AM27" authorId="0" shapeId="0">
      <text>
        <t>모델값 역산(implied): v / 전분기 − 1
마지막 실적 유지(가정)</t>
      </text>
    </comment>
    <comment ref="AN27" authorId="0" shapeId="0">
      <text>
        <t>모델값 역산(implied): v / 전분기 − 1
마지막 실적 유지(가정)</t>
      </text>
    </comment>
    <comment ref="AC28" authorId="0" shapeId="0">
      <text>
        <t>모델값 역산(implied): 전분기(시트값) + 당기순이익(시트 수식값) − v
전분기 + 당기순이익 − 배당(Q2 지급 가정)</t>
      </text>
    </comment>
    <comment ref="AD28" authorId="0" shapeId="0">
      <text>
        <t>모델값 역산(implied): 전분기(시트값) + 당기순이익(시트 수식값) − v
전분기 + 당기순이익 − 배당(Q2 지급 가정)</t>
      </text>
    </comment>
    <comment ref="AF28" authorId="0" shapeId="0">
      <text>
        <t>모델값 역산(implied): 전분기(시트값) + 당기순이익(시트 수식값) − v
전분기 + 당기순이익 − 배당(Q2 지급 가정)</t>
      </text>
    </comment>
    <comment ref="AG28" authorId="0" shapeId="0">
      <text>
        <t>모델값 역산(implied): 전분기(시트값) + 당기순이익(시트 수식값) − v
전분기 + 당기순이익 − 배당(Q2 지급 가정)</t>
      </text>
    </comment>
    <comment ref="AH28" authorId="0" shapeId="0">
      <text>
        <t>모델값 역산(implied): 전분기(시트값) + 당기순이익(시트 수식값) − v
전분기 + 당기순이익 − 배당(Q2 지급 가정)</t>
      </text>
    </comment>
    <comment ref="AI28" authorId="0" shapeId="0">
      <text>
        <t>모델값 역산(implied): 전분기(시트값) + 당기순이익(시트 수식값) − v
전분기 + 당기순이익 − 배당(Q2 지급 가정)</t>
      </text>
    </comment>
    <comment ref="AK28" authorId="0" shapeId="0">
      <text>
        <t>모델값 역산(implied): 전분기(시트값) + 당기순이익(시트 수식값) − v
전분기 + 당기순이익 − 배당(Q2 지급 가정)</t>
      </text>
    </comment>
    <comment ref="AL28" authorId="0" shapeId="0">
      <text>
        <t>모델값 역산(implied): 전분기(시트값) + 당기순이익(시트 수식값) − v
전분기 + 당기순이익 − 배당(Q2 지급 가정)</t>
      </text>
    </comment>
    <comment ref="AM28" authorId="0" shapeId="0">
      <text>
        <t>모델값 역산(implied): 전분기(시트값) + 당기순이익(시트 수식값) − v
전분기 + 당기순이익 − 배당(Q2 지급 가정)</t>
      </text>
    </comment>
    <comment ref="AN28" authorId="0" shapeId="0">
      <text>
        <t>모델값 역산(implied): 전분기(시트값) + 당기순이익(시트 수식값) − v
전분기 + 당기순이익 − 배당(Q2 지급 가정)</t>
      </text>
    </comment>
    <comment ref="AC29" authorId="0" shapeId="0">
      <text>
        <t>모델값 역산(implied): 전분기(시트값) + 지배주주순이익(시트 수식값) − v
전분기 + 지배주주순이익 − 배당</t>
      </text>
    </comment>
    <comment ref="AD29" authorId="0" shapeId="0">
      <text>
        <t>모델값 역산(implied): 전분기(시트값) + 지배주주순이익(시트 수식값) − v
전분기 + 지배주주순이익 − 배당</t>
      </text>
    </comment>
    <comment ref="AF29" authorId="0" shapeId="0">
      <text>
        <t>모델값 역산(implied): 전분기(시트값) + 지배주주순이익(시트 수식값) − v
전분기 + 지배주주순이익 − 배당</t>
      </text>
    </comment>
    <comment ref="AG29" authorId="0" shapeId="0">
      <text>
        <t>모델값 역산(implied): 전분기(시트값) + 지배주주순이익(시트 수식값) − v
전분기 + 지배주주순이익 − 배당</t>
      </text>
    </comment>
    <comment ref="AH29" authorId="0" shapeId="0">
      <text>
        <t>모델값 역산(implied): 전분기(시트값) + 지배주주순이익(시트 수식값) − v
전분기 + 지배주주순이익 − 배당</t>
      </text>
    </comment>
    <comment ref="AI29" authorId="0" shapeId="0">
      <text>
        <t>모델값 역산(implied): 전분기(시트값) + 지배주주순이익(시트 수식값) − v
전분기 + 지배주주순이익 − 배당</t>
      </text>
    </comment>
    <comment ref="AK29" authorId="0" shapeId="0">
      <text>
        <t>모델값 역산(implied): 전분기(시트값) + 지배주주순이익(시트 수식값) − v
전분기 + 지배주주순이익 − 배당</t>
      </text>
    </comment>
    <comment ref="AL29" authorId="0" shapeId="0">
      <text>
        <t>모델값 역산(implied): 전분기(시트값) + 지배주주순이익(시트 수식값) − v
전분기 + 지배주주순이익 − 배당</t>
      </text>
    </comment>
    <comment ref="AM29" authorId="0" shapeId="0">
      <text>
        <t>모델값 역산(implied): 전분기(시트값) + 지배주주순이익(시트 수식값) − v
전분기 + 지배주주순이익 − 배당</t>
      </text>
    </comment>
    <comment ref="AN29" authorId="0" shapeId="0">
      <text>
        <t>모델값 역산(implied): 전분기(시트값) + 지배주주순이익(시트 수식값) − v
전분기 + 지배주주순이익 − 배당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D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F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G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H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I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K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L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M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N31" authorId="0" shapeId="0">
      <text>
        <t>모델값 역산(implied): v / 전분기 − 1
전분기 − FCF 근사[순이익 − 배당(감가상각비 없음 → CAPEX≈감가 가정, CAPEX 중위 4억은 행에만)] (운전자본 불변·총차입금 유지 가정 → 변동은 전부 현금)</t>
      </text>
    </comment>
    <comment ref="AC32" authorId="0" shapeId="0">
      <text>
        <t>모델값 역산(implied): v / 전분기 − 1
전분기 + FCF 근사 — 순차입금 롤과 같은 가정</t>
      </text>
    </comment>
    <comment ref="AD32" authorId="0" shapeId="0">
      <text>
        <t>모델값 역산(implied): v / 전분기 − 1
전분기 + FCF 근사 — 순차입금 롤과 같은 가정</t>
      </text>
    </comment>
    <comment ref="AF32" authorId="0" shapeId="0">
      <text>
        <t>모델값 역산(implied): v / 전분기 − 1
전분기 + FCF 근사 — 순차입금 롤과 같은 가정</t>
      </text>
    </comment>
    <comment ref="AG32" authorId="0" shapeId="0">
      <text>
        <t>모델값 역산(implied): v / 전분기 − 1
전분기 + FCF 근사 — 순차입금 롤과 같은 가정</t>
      </text>
    </comment>
    <comment ref="AH32" authorId="0" shapeId="0">
      <text>
        <t>모델값 역산(implied): v / 전분기 − 1
전분기 + FCF 근사 — 순차입금 롤과 같은 가정</t>
      </text>
    </comment>
    <comment ref="AI32" authorId="0" shapeId="0">
      <text>
        <t>모델값 역산(implied): v / 전분기 − 1
전분기 + FCF 근사 — 순차입금 롤과 같은 가정</t>
      </text>
    </comment>
    <comment ref="AK32" authorId="0" shapeId="0">
      <text>
        <t>모델값 역산(implied): v / 전분기 − 1
전분기 + FCF 근사 — 순차입금 롤과 같은 가정</t>
      </text>
    </comment>
    <comment ref="AL32" authorId="0" shapeId="0">
      <text>
        <t>모델값 역산(implied): v / 전분기 − 1
전분기 + FCF 근사 — 순차입금 롤과 같은 가정</t>
      </text>
    </comment>
    <comment ref="AM32" authorId="0" shapeId="0">
      <text>
        <t>모델값 역산(implied): v / 전분기 − 1
전분기 + FCF 근사 — 순차입금 롤과 같은 가정</t>
      </text>
    </comment>
    <comment ref="AN32" authorId="0" shapeId="0">
      <text>
        <t>모델값 역산(implied): v / 전분기 − 1
전분기 + FCF 근사 — 순차입금 롤과 같은 가정</t>
      </text>
    </comment>
    <comment ref="AC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6" authorId="0" shapeId="0">
      <text>
        <t>모델값 역산(implied): v / 전분기 − 1
유통주식수 유지 — fin.shares.common_outstanding(2026Q2)</t>
      </text>
    </comment>
    <comment ref="AD36" authorId="0" shapeId="0">
      <text>
        <t>모델값 역산(implied): v / 전분기 − 1
유통주식수 유지 — fin.shares.common_outstanding(2026Q2)</t>
      </text>
    </comment>
    <comment ref="AF36" authorId="0" shapeId="0">
      <text>
        <t>모델값 역산(implied): v / 전분기 − 1
유통주식수 유지 — fin.shares.common_outstanding(2026Q2)</t>
      </text>
    </comment>
    <comment ref="AG36" authorId="0" shapeId="0">
      <text>
        <t>모델값 역산(implied): v / 전분기 − 1
유통주식수 유지 — fin.shares.common_outstanding(2026Q2)</t>
      </text>
    </comment>
    <comment ref="AH36" authorId="0" shapeId="0">
      <text>
        <t>모델값 역산(implied): v / 전분기 − 1
유통주식수 유지 — fin.shares.common_outstanding(2026Q2)</t>
      </text>
    </comment>
    <comment ref="AI36" authorId="0" shapeId="0">
      <text>
        <t>모델값 역산(implied): v / 전분기 − 1
유통주식수 유지 — fin.shares.common_outstanding(2026Q2)</t>
      </text>
    </comment>
    <comment ref="AK36" authorId="0" shapeId="0">
      <text>
        <t>모델값 역산(implied): v / 전분기 − 1
유통주식수 유지 — fin.shares.common_outstanding(2026Q2)</t>
      </text>
    </comment>
    <comment ref="AL36" authorId="0" shapeId="0">
      <text>
        <t>모델값 역산(implied): v / 전분기 − 1
유통주식수 유지 — fin.shares.common_outstanding(2026Q2)</t>
      </text>
    </comment>
    <comment ref="AM36" authorId="0" shapeId="0">
      <text>
        <t>모델값 역산(implied): v / 전분기 − 1
유통주식수 유지 — fin.shares.common_outstanding(2026Q2)</t>
      </text>
    </comment>
    <comment ref="AN36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모델 v 그대로
직전 결산 DPS 700원 유지</t>
      </text>
    </comment>
    <comment ref="AI37" authorId="0" shapeId="0">
      <text>
        <t>모델값 역산(implied): 모델 v 그대로
직전 결산 DPS 700원 유지</t>
      </text>
    </comment>
    <comment ref="AN37" authorId="0" shapeId="0">
      <text>
        <t>모델값 역산(implied): 모델 v 그대로
직전 결산 DPS 700원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이동합(t−0) 240366억 × 비례계수 0.0332 × 계절비중 Q3 0.216(계절비중 — 최근 3개 연도(2026, 2025, 2024) 분기/연간 비중 평균; 격자 lag0~4×창8/12/19×수준·YoY·4Q합 중 최대 r=0.94, n=8, 창 8)
[yoy]</t>
      </text>
    </comment>
    <comment ref="AD5" authorId="0" shapeId="0">
      <text>
        <t>추정: 고객지수 4분기 이동합(t−0) 255216억 × 비례계수 0.0332 × 계절비중 Q4 0.257(계절비중 — 최근 3개 연도(2026, 2025, 2024) 분기/연간 비중 평균; 격자 lag0~4×창8/12/19×수준·YoY·4Q합 중 최대 r=0.94, n=8, 창 8)
[yoy]</t>
      </text>
    </comment>
    <comment ref="AF5" authorId="0" shapeId="0">
      <text>
        <t>추정: 고객지수 4분기 이동합(t−0) 264551억 × 비례계수 0.0332 × 계절비중 Q1 0.286(계절비중 — 최근 3개 연도(2026, 2025, 2024) 분기/연간 비중 평균; 격자 lag0~4×창8/12/19×수준·YoY·4Q합 중 최대 r=0.94, n=8, 창 8)
[yoy]</t>
      </text>
    </comment>
    <comment ref="AG5" authorId="0" shapeId="0">
      <text>
        <t>추정: 고객지수 4분기 이동합(t−0) 273274억 × 비례계수 0.0332 × 계절비중 Q2 0.241(계절비중 — 최근 3개 연도(2026, 2025, 2024) 분기/연간 비중 평균; 격자 lag0~4×창8/12/19×수준·YoY·4Q합 중 최대 r=0.94, n=8, 창 8)
[yoy]</t>
      </text>
    </comment>
    <comment ref="AH5" authorId="0" shapeId="0">
      <text>
        <t>추정: 고객지수 4분기 이동합(t−0) 283347억 × 비례계수 0.0332 × 계절비중 Q3 0.216(계절비중 — 최근 3개 연도(2026, 2025, 2024) 분기/연간 비중 평균; 격자 lag0~4×창8/12/19×수준·YoY·4Q합 중 최대 r=0.94, n=8, 창 8)
[yoy]</t>
      </text>
    </comment>
    <comment ref="AI5" authorId="0" shapeId="0">
      <text>
        <t>추정: 고객지수 4분기 이동합(t−0) 297378억 × 비례계수 0.0332 × 계절비중 Q4 0.257(계절비중 — 최근 3개 연도(2026, 2025, 2024) 분기/연간 비중 평균; 격자 lag0~4×창8/12/19×수준·YoY·4Q합 중 최대 r=0.94, n=8, 창 8)
[yoy]</t>
      </text>
    </comment>
    <comment ref="AK5" authorId="0" shapeId="0">
      <text>
        <t>추정: 고객지수 4분기 이동합(t−0) 314695억 × 비례계수 0.0332 × 계절비중 Q1 0.286(계절비중 — 최근 3개 연도(2026, 2025, 2024) 분기/연간 비중 평균; 격자 lag0~4×창8/12/19×수준·YoY·4Q합 중 최대 r=0.94, n=8, 창 8)
[yoy]</t>
      </text>
    </comment>
    <comment ref="AL5" authorId="0" shapeId="0">
      <text>
        <t>추정: 고객지수 4분기 이동합(t−0) 333725억 × 비례계수 0.0332 × 계절비중 Q2 0.241(계절비중 — 최근 3개 연도(2026, 2025, 2024) 분기/연간 비중 평균; 격자 lag0~4×창8/12/19×수준·YoY·4Q합 중 최대 r=0.94, n=8, 창 8)
[yoy]</t>
      </text>
    </comment>
    <comment ref="AM5" authorId="0" shapeId="0">
      <text>
        <t>추정: 고객지수 4분기 이동합(t−0) 352973억 × 비례계수 0.0332 × 계절비중 Q3 0.216(계절비중 — 최근 3개 연도(2026, 2025, 2024) 분기/연간 비중 평균; 격자 lag0~4×창8/12/19×수준·YoY·4Q합 중 최대 r=0.94, n=8, 창 8)
[yoy]</t>
      </text>
    </comment>
    <comment ref="AN5" authorId="0" shapeId="0">
      <text>
        <t>추정: 고객지수 4분기 이동합(t−0) 370436억 × 비례계수 0.0332 × 계절비중 Q4 0.257(계절비중 — 최근 3개 연도(2026, 2025, 2024) 분기/연간 비중 평균; 격자 lag0~4×창8/12/19×수준·YoY·4Q합 중 최대 r=0.94,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10.81%(최근 4분기 중위)
[ratio]</t>
      </text>
    </comment>
    <comment ref="AD8" authorId="0" shapeId="0">
      <text>
        <t>추정: 매출액 × 판관비율 10.81%(최근 4분기 중위)
[ratio]</t>
      </text>
    </comment>
    <comment ref="AF8" authorId="0" shapeId="0">
      <text>
        <t>추정: 매출액 × 판관비율 10.81%(최근 4분기 중위)
[ratio]</t>
      </text>
    </comment>
    <comment ref="AG8" authorId="0" shapeId="0">
      <text>
        <t>추정: 매출액 × 판관비율 10.81%(최근 4분기 중위)
[ratio]</t>
      </text>
    </comment>
    <comment ref="AH8" authorId="0" shapeId="0">
      <text>
        <t>추정: 매출액 × 판관비율 10.81%(최근 4분기 중위)
[ratio]</t>
      </text>
    </comment>
    <comment ref="AI8" authorId="0" shapeId="0">
      <text>
        <t>추정: 매출액 × 판관비율 10.81%(최근 4분기 중위)
[ratio]</t>
      </text>
    </comment>
    <comment ref="AK8" authorId="0" shapeId="0">
      <text>
        <t>추정: 매출액 × 판관비율 10.81%(최근 4분기 중위)
[ratio]</t>
      </text>
    </comment>
    <comment ref="AL8" authorId="0" shapeId="0">
      <text>
        <t>추정: 매출액 × 판관비율 10.81%(최근 4분기 중위)
[ratio]</t>
      </text>
    </comment>
    <comment ref="AM8" authorId="0" shapeId="0">
      <text>
        <t>추정: 매출액 × 판관비율 10.81%(최근 4분기 중위)
[ratio]</t>
      </text>
    </comment>
    <comment ref="AN8" authorId="0" shapeId="0">
      <text>
        <t>추정: 매출액 × 판관비율 10.81%(최근 4분기 중위)
[ratio]</t>
      </text>
    </comment>
    <comment ref="AC9" authorId="0" shapeId="0">
      <text>
        <t>추정: 매출액 × OPM(최근 8분기 OPM 중위 7.1% 유지)
[ratio]</t>
      </text>
    </comment>
    <comment ref="AD9" authorId="0" shapeId="0">
      <text>
        <t>추정: 매출액 × OPM(최근 8분기 OPM 중위 7.1% 유지)
[ratio]</t>
      </text>
    </comment>
    <comment ref="AF9" authorId="0" shapeId="0">
      <text>
        <t>추정: 매출액 × OPM(최근 8분기 OPM 중위 7.1% 유지)
[ratio]</t>
      </text>
    </comment>
    <comment ref="AG9" authorId="0" shapeId="0">
      <text>
        <t>추정: 매출액 × OPM(최근 8분기 OPM 중위 7.1% 유지)
[ratio]</t>
      </text>
    </comment>
    <comment ref="AH9" authorId="0" shapeId="0">
      <text>
        <t>추정: 매출액 × OPM(최근 8분기 OPM 중위 7.1% 유지)
[ratio]</t>
      </text>
    </comment>
    <comment ref="AI9" authorId="0" shapeId="0">
      <text>
        <t>추정: 매출액 × OPM(최근 8분기 OPM 중위 7.1% 유지)
[ratio]</t>
      </text>
    </comment>
    <comment ref="AK9" authorId="0" shapeId="0">
      <text>
        <t>추정: 매출액 × OPM(최근 8분기 OPM 중위 7.1% 유지)
[ratio]</t>
      </text>
    </comment>
    <comment ref="AL9" authorId="0" shapeId="0">
      <text>
        <t>추정: 매출액 × OPM(최근 8분기 OPM 중위 7.1% 유지)
[ratio]</t>
      </text>
    </comment>
    <comment ref="AM9" authorId="0" shapeId="0">
      <text>
        <t>추정: 매출액 × OPM(최근 8분기 OPM 중위 7.1% 유지)
[ratio]</t>
      </text>
    </comment>
    <comment ref="AN9" authorId="0" shapeId="0">
      <text>
        <t>추정: 매출액 × OPM(최근 8분기 OPM 중위 7.1% 유지)
[ratio]</t>
      </text>
    </comment>
    <comment ref="AC10" authorId="0" shapeId="0">
      <text>
        <t>추정: 최근 8분기 OPM 중위 7.1% 유지
[divide]</t>
      </text>
    </comment>
    <comment ref="AD10" authorId="0" shapeId="0">
      <text>
        <t>추정: 최근 8분기 OPM 중위 7.1% 유지
[divide]</t>
      </text>
    </comment>
    <comment ref="AF10" authorId="0" shapeId="0">
      <text>
        <t>추정: 최근 8분기 OPM 중위 7.1% 유지
[divide]</t>
      </text>
    </comment>
    <comment ref="AG10" authorId="0" shapeId="0">
      <text>
        <t>추정: 최근 8분기 OPM 중위 7.1% 유지
[divide]</t>
      </text>
    </comment>
    <comment ref="AH10" authorId="0" shapeId="0">
      <text>
        <t>추정: 최근 8분기 OPM 중위 7.1% 유지
[divide]</t>
      </text>
    </comment>
    <comment ref="AI10" authorId="0" shapeId="0">
      <text>
        <t>추정: 최근 8분기 OPM 중위 7.1% 유지
[divide]</t>
      </text>
    </comment>
    <comment ref="AK10" authorId="0" shapeId="0">
      <text>
        <t>추정: 최근 8분기 OPM 중위 7.1% 유지
[divide]</t>
      </text>
    </comment>
    <comment ref="AL10" authorId="0" shapeId="0">
      <text>
        <t>추정: 최근 8분기 OPM 중위 7.1% 유지
[divide]</t>
      </text>
    </comment>
    <comment ref="AM10" authorId="0" shapeId="0">
      <text>
        <t>추정: 최근 8분기 OPM 중위 7.1% 유지
[divide]</t>
      </text>
    </comment>
    <comment ref="AN10" authorId="0" shapeId="0">
      <text>
        <t>추정: 최근 8분기 OPM 중위 7.1% 유지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2839억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2932억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3055억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3199억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3106억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3219억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3365억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3540억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3479억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3625억 × 0.04%(주석 이자수익 ÷ 평균 이자발생자산(2025Q2~2026Q2)) − 총차입금 18519억 × 0.44%(주석 이자비용 ÷ 평균 총차입금(2025Q2~2026Q2)) (연율) ÷ 4; 환율 효과는 환관련손익 행 별도
[identity]</t>
      </text>
    </comment>
    <comment ref="AC12" authorId="0" shapeId="0">
      <text>
        <t>추정: 이자발생자산 2839억 × 0.04%(주석 이자수익 ÷ 평균 이자발생자산(2025Q2~2026Q2)) − 총차입금 18519억 × 0.44%(주석 이자비용 ÷ 평균 총차입금(2025Q2~2026Q2)) (연율) ÷ 4
[interest]</t>
      </text>
    </comment>
    <comment ref="AD12" authorId="0" shapeId="0">
      <text>
        <t>추정: 이자발생자산 2932억 × 0.04%(주석 이자수익 ÷ 평균 이자발생자산(2025Q2~2026Q2)) − 총차입금 18519억 × 0.44%(주석 이자비용 ÷ 평균 총차입금(2025Q2~2026Q2)) (연율) ÷ 4
[interest]</t>
      </text>
    </comment>
    <comment ref="AF12" authorId="0" shapeId="0">
      <text>
        <t>추정: 이자발생자산 3055억 × 0.04%(주석 이자수익 ÷ 평균 이자발생자산(2025Q2~2026Q2)) − 총차입금 18519억 × 0.44%(주석 이자비용 ÷ 평균 총차입금(2025Q2~2026Q2)) (연율) ÷ 4
[interest]</t>
      </text>
    </comment>
    <comment ref="AG12" authorId="0" shapeId="0">
      <text>
        <t>추정: 이자발생자산 3199억 × 0.04%(주석 이자수익 ÷ 평균 이자발생자산(2025Q2~2026Q2)) − 총차입금 18519억 × 0.44%(주석 이자비용 ÷ 평균 총차입금(2025Q2~2026Q2)) (연율) ÷ 4
[interest]</t>
      </text>
    </comment>
    <comment ref="AH12" authorId="0" shapeId="0">
      <text>
        <t>추정: 이자발생자산 3106억 × 0.04%(주석 이자수익 ÷ 평균 이자발생자산(2025Q2~2026Q2)) − 총차입금 18519억 × 0.44%(주석 이자비용 ÷ 평균 총차입금(2025Q2~2026Q2)) (연율) ÷ 4
[interest]</t>
      </text>
    </comment>
    <comment ref="AI12" authorId="0" shapeId="0">
      <text>
        <t>추정: 이자발생자산 3219억 × 0.04%(주석 이자수익 ÷ 평균 이자발생자산(2025Q2~2026Q2)) − 총차입금 18519억 × 0.44%(주석 이자비용 ÷ 평균 총차입금(2025Q2~2026Q2)) (연율) ÷ 4
[interest]</t>
      </text>
    </comment>
    <comment ref="AK12" authorId="0" shapeId="0">
      <text>
        <t>추정: 이자발생자산 3365억 × 0.04%(주석 이자수익 ÷ 평균 이자발생자산(2025Q2~2026Q2)) − 총차입금 18519억 × 0.44%(주석 이자비용 ÷ 평균 총차입금(2025Q2~2026Q2)) (연율) ÷ 4
[interest]</t>
      </text>
    </comment>
    <comment ref="AL12" authorId="0" shapeId="0">
      <text>
        <t>추정: 이자발생자산 3540억 × 0.04%(주석 이자수익 ÷ 평균 이자발생자산(2025Q2~2026Q2)) − 총차입금 18519억 × 0.44%(주석 이자비용 ÷ 평균 총차입금(2025Q2~2026Q2)) (연율) ÷ 4
[interest]</t>
      </text>
    </comment>
    <comment ref="AM12" authorId="0" shapeId="0">
      <text>
        <t>추정: 이자발생자산 3479억 × 0.04%(주석 이자수익 ÷ 평균 이자발생자산(2025Q2~2026Q2)) − 총차입금 18519억 × 0.44%(주석 이자비용 ÷ 평균 총차입금(2025Q2~2026Q2)) (연율) ÷ 4
[interest]</t>
      </text>
    </comment>
    <comment ref="AN12" authorId="0" shapeId="0">
      <text>
        <t>추정: 이자발생자산 3625억 × 0.04%(주석 이자수익 ÷ 평균 이자발생자산(2025Q2~2026Q2)) − 총차입금 18519억 × 0.44%(주석 이자비용 ÷ 평균 총차입금(2025Q2~2026Q2))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영업이익 + 금융손익 + 기타영업외 + 지분법 + 환관련(항등식)
[identity]</t>
      </text>
    </comment>
    <comment ref="AD14" authorId="0" shapeId="0">
      <text>
        <t>추정: 영업이익 + 금융손익 + 기타영업외 + 지분법 + 환관련(항등식)
[identity]</t>
      </text>
    </comment>
    <comment ref="AF14" authorId="0" shapeId="0">
      <text>
        <t>추정: 영업이익 + 금융손익 + 기타영업외 + 지분법 + 환관련(항등식)
[identity]</t>
      </text>
    </comment>
    <comment ref="AG14" authorId="0" shapeId="0">
      <text>
        <t>추정: 영업이익 + 금융손익 + 기타영업외 + 지분법 + 환관련(항등식)
[identity]</t>
      </text>
    </comment>
    <comment ref="AH14" authorId="0" shapeId="0">
      <text>
        <t>추정: 영업이익 + 금융손익 + 기타영업외 + 지분법 + 환관련(항등식)
[identity]</t>
      </text>
    </comment>
    <comment ref="AI14" authorId="0" shapeId="0">
      <text>
        <t>추정: 영업이익 + 금융손익 + 기타영업외 + 지분법 + 환관련(항등식)
[identity]</t>
      </text>
    </comment>
    <comment ref="AK14" authorId="0" shapeId="0">
      <text>
        <t>추정: 영업이익 + 금융손익 + 기타영업외 + 지분법 + 환관련(항등식)
[identity]</t>
      </text>
    </comment>
    <comment ref="AL14" authorId="0" shapeId="0">
      <text>
        <t>추정: 영업이익 + 금융손익 + 기타영업외 + 지분법 + 환관련(항등식)
[identity]</t>
      </text>
    </comment>
    <comment ref="AM14" authorId="0" shapeId="0">
      <text>
        <t>추정: 영업이익 + 금융손익 + 기타영업외 + 지분법 + 환관련(항등식)
[identity]</t>
      </text>
    </comment>
    <comment ref="AN14" authorId="0" shapeId="0">
      <text>
        <t>추정: 영업이익 + 금융손익 + 기타영업외 + 지분법 + 환관련(항등식)
[identity]</t>
      </text>
    </comment>
    <comment ref="AC15" authorId="0" shapeId="0">
      <text>
        <t>추정: max(세전, 0) × 세율 8.4%(최근 12분기 유효세율 8.4%(5~27% 안 — 그대로))
[tax]</t>
      </text>
    </comment>
    <comment ref="AD15" authorId="0" shapeId="0">
      <text>
        <t>추정: max(세전, 0) × 세율 8.4%(최근 12분기 유효세율 8.4%(5~27% 안 — 그대로))
[tax]</t>
      </text>
    </comment>
    <comment ref="AF15" authorId="0" shapeId="0">
      <text>
        <t>추정: max(세전, 0) × 세율 8.4%(최근 12분기 유효세율 8.4%(5~27% 안 — 그대로))
[tax]</t>
      </text>
    </comment>
    <comment ref="AG15" authorId="0" shapeId="0">
      <text>
        <t>추정: max(세전, 0) × 세율 8.4%(최근 12분기 유효세율 8.4%(5~27% 안 — 그대로))
[tax]</t>
      </text>
    </comment>
    <comment ref="AH15" authorId="0" shapeId="0">
      <text>
        <t>추정: max(세전, 0) × 세율 8.4%(최근 12분기 유효세율 8.4%(5~27% 안 — 그대로))
[tax]</t>
      </text>
    </comment>
    <comment ref="AI15" authorId="0" shapeId="0">
      <text>
        <t>추정: max(세전, 0) × 세율 8.4%(최근 12분기 유효세율 8.4%(5~27% 안 — 그대로))
[tax]</t>
      </text>
    </comment>
    <comment ref="AK15" authorId="0" shapeId="0">
      <text>
        <t>추정: max(세전, 0) × 세율 8.4%(최근 12분기 유효세율 8.4%(5~27% 안 — 그대로))
[tax]</t>
      </text>
    </comment>
    <comment ref="AL15" authorId="0" shapeId="0">
      <text>
        <t>추정: max(세전, 0) × 세율 8.4%(최근 12분기 유효세율 8.4%(5~27% 안 — 그대로))
[tax]</t>
      </text>
    </comment>
    <comment ref="AM15" authorId="0" shapeId="0">
      <text>
        <t>추정: max(세전, 0) × 세율 8.4%(최근 12분기 유효세율 8.4%(5~27% 안 — 그대로))
[tax]</t>
      </text>
    </comment>
    <comment ref="AN15" authorId="0" shapeId="0">
      <text>
        <t>추정: max(세전, 0) × 세율 8.4%(최근 12분기 유효세율 8.4%(5~27% 안 — 그대로))
[tax]</t>
      </text>
    </comment>
    <comment ref="AC16" authorId="0" shapeId="0">
      <text>
        <t>추정: 세전이익 − 법인세비용(항등식)
[identity]</t>
      </text>
    </comment>
    <comment ref="AD16" authorId="0" shapeId="0">
      <text>
        <t>추정: 세전이익 − 법인세비용(항등식)
[identity]</t>
      </text>
    </comment>
    <comment ref="AF16" authorId="0" shapeId="0">
      <text>
        <t>추정: 세전이익 − 법인세비용(항등식)
[identity]</t>
      </text>
    </comment>
    <comment ref="AG16" authorId="0" shapeId="0">
      <text>
        <t>추정: 세전이익 − 법인세비용(항등식)
[identity]</t>
      </text>
    </comment>
    <comment ref="AH16" authorId="0" shapeId="0">
      <text>
        <t>추정: 세전이익 − 법인세비용(항등식)
[identity]</t>
      </text>
    </comment>
    <comment ref="AI16" authorId="0" shapeId="0">
      <text>
        <t>추정: 세전이익 − 법인세비용(항등식)
[identity]</t>
      </text>
    </comment>
    <comment ref="AK16" authorId="0" shapeId="0">
      <text>
        <t>추정: 세전이익 − 법인세비용(항등식)
[identity]</t>
      </text>
    </comment>
    <comment ref="AL16" authorId="0" shapeId="0">
      <text>
        <t>추정: 세전이익 − 법인세비용(항등식)
[identity]</t>
      </text>
    </comment>
    <comment ref="AM16" authorId="0" shapeId="0">
      <text>
        <t>추정: 세전이익 − 법인세비용(항등식)
[identity]</t>
      </text>
    </comment>
    <comment ref="AN16" authorId="0" shapeId="0">
      <text>
        <t>추정: 세전이익 − 법인세비용(항등식)
[identity]</t>
      </text>
    </comment>
    <comment ref="AC17" authorId="0" shapeId="0">
      <text>
        <t>추정: 당기순이익 × (1 − 비지배 비중 7.3%, 최근 8분기 실측)
[ratio]</t>
      </text>
    </comment>
    <comment ref="AD17" authorId="0" shapeId="0">
      <text>
        <t>추정: 당기순이익 × (1 − 비지배 비중 7.3%, 최근 8분기 실측)
[ratio]</t>
      </text>
    </comment>
    <comment ref="AF17" authorId="0" shapeId="0">
      <text>
        <t>추정: 당기순이익 × (1 − 비지배 비중 7.3%, 최근 8분기 실측)
[ratio]</t>
      </text>
    </comment>
    <comment ref="AG17" authorId="0" shapeId="0">
      <text>
        <t>추정: 당기순이익 × (1 − 비지배 비중 7.3%, 최근 8분기 실측)
[ratio]</t>
      </text>
    </comment>
    <comment ref="AH17" authorId="0" shapeId="0">
      <text>
        <t>추정: 당기순이익 × (1 − 비지배 비중 7.3%, 최근 8분기 실측)
[ratio]</t>
      </text>
    </comment>
    <comment ref="AI17" authorId="0" shapeId="0">
      <text>
        <t>추정: 당기순이익 × (1 − 비지배 비중 7.3%, 최근 8분기 실측)
[ratio]</t>
      </text>
    </comment>
    <comment ref="AK17" authorId="0" shapeId="0">
      <text>
        <t>추정: 당기순이익 × (1 − 비지배 비중 7.3%, 최근 8분기 실측)
[ratio]</t>
      </text>
    </comment>
    <comment ref="AL17" authorId="0" shapeId="0">
      <text>
        <t>추정: 당기순이익 × (1 − 비지배 비중 7.3%, 최근 8분기 실측)
[ratio]</t>
      </text>
    </comment>
    <comment ref="AM17" authorId="0" shapeId="0">
      <text>
        <t>추정: 당기순이익 × (1 − 비지배 비중 7.3%, 최근 8분기 실측)
[ratio]</t>
      </text>
    </comment>
    <comment ref="AN17" authorId="0" shapeId="0">
      <text>
        <t>추정: 당기순이익 × (1 − 비지배 비중 7.3%, 최근 8분기 실측)
[ratio]</t>
      </text>
    </comment>
    <comment ref="AC18" authorId="0" shapeId="0">
      <text>
        <t>추정: 부채총계 + 자본총계(항등식)
[identity]</t>
      </text>
    </comment>
    <comment ref="AD18" authorId="0" shapeId="0">
      <text>
        <t>추정: 부채총계 + 자본총계(항등식)
[identity]</t>
      </text>
    </comment>
    <comment ref="AF18" authorId="0" shapeId="0">
      <text>
        <t>추정: 부채총계 + 자본총계(항등식)
[identity]</t>
      </text>
    </comment>
    <comment ref="AG18" authorId="0" shapeId="0">
      <text>
        <t>추정: 부채총계 + 자본총계(항등식)
[identity]</t>
      </text>
    </comment>
    <comment ref="AH18" authorId="0" shapeId="0">
      <text>
        <t>추정: 부채총계 + 자본총계(항등식)
[identity]</t>
      </text>
    </comment>
    <comment ref="AI18" authorId="0" shapeId="0">
      <text>
        <t>추정: 부채총계 + 자본총계(항등식)
[identity]</t>
      </text>
    </comment>
    <comment ref="AK18" authorId="0" shapeId="0">
      <text>
        <t>추정: 부채총계 + 자본총계(항등식)
[identity]</t>
      </text>
    </comment>
    <comment ref="AL18" authorId="0" shapeId="0">
      <text>
        <t>추정: 부채총계 + 자본총계(항등식)
[identity]</t>
      </text>
    </comment>
    <comment ref="AM18" authorId="0" shapeId="0">
      <text>
        <t>추정: 부채총계 + 자본총계(항등식)
[identity]</t>
      </text>
    </comment>
    <comment ref="AN18" authorId="0" shapeId="0">
      <text>
        <t>추정: 부채총계 + 자본총계(항등식)
[identity]</t>
      </text>
    </comment>
    <comment ref="AC19" authorId="0" shapeId="0">
      <text>
        <t>추정: 마지막 실적 유지(가정)
[qoq]</t>
      </text>
    </comment>
    <comment ref="AD19" authorId="0" shapeId="0">
      <text>
        <t>추정: 마지막 실적 유지(가정)
[qoq]</t>
      </text>
    </comment>
    <comment ref="AF19" authorId="0" shapeId="0">
      <text>
        <t>추정: 마지막 실적 유지(가정)
[qoq]</t>
      </text>
    </comment>
    <comment ref="AG19" authorId="0" shapeId="0">
      <text>
        <t>추정: 마지막 실적 유지(가정)
[qoq]</t>
      </text>
    </comment>
    <comment ref="AH19" authorId="0" shapeId="0">
      <text>
        <t>추정: 마지막 실적 유지(가정)
[qoq]</t>
      </text>
    </comment>
    <comment ref="AI19" authorId="0" shapeId="0">
      <text>
        <t>추정: 마지막 실적 유지(가정)
[qoq]</t>
      </text>
    </comment>
    <comment ref="AK19" authorId="0" shapeId="0">
      <text>
        <t>추정: 마지막 실적 유지(가정)
[qoq]</t>
      </text>
    </comment>
    <comment ref="AL19" authorId="0" shapeId="0">
      <text>
        <t>추정: 마지막 실적 유지(가정)
[qoq]</t>
      </text>
    </comment>
    <comment ref="AM19" authorId="0" shapeId="0">
      <text>
        <t>추정: 마지막 실적 유지(가정)
[qoq]</t>
      </text>
    </comment>
    <comment ref="AN19" authorId="0" shapeId="0">
      <text>
        <t>추정: 마지막 실적 유지(가정)
[qoq]</t>
      </text>
    </comment>
    <comment ref="AC20" authorId="0" shapeId="0">
      <text>
        <t>추정: 전분기 + 당기순이익 − 배당(Q2 지급 가정)
[roll]</t>
      </text>
    </comment>
    <comment ref="AD20" authorId="0" shapeId="0">
      <text>
        <t>추정: 전분기 + 당기순이익 − 배당(Q2 지급 가정)
[roll]</t>
      </text>
    </comment>
    <comment ref="AF20" authorId="0" shapeId="0">
      <text>
        <t>추정: 전분기 + 당기순이익 − 배당(Q2 지급 가정)
[roll]</t>
      </text>
    </comment>
    <comment ref="AG20" authorId="0" shapeId="0">
      <text>
        <t>추정: 전분기 + 당기순이익 − 배당(Q2 지급 가정)
[roll]</t>
      </text>
    </comment>
    <comment ref="AH20" authorId="0" shapeId="0">
      <text>
        <t>추정: 전분기 + 당기순이익 − 배당(Q2 지급 가정)
[roll]</t>
      </text>
    </comment>
    <comment ref="AI20" authorId="0" shapeId="0">
      <text>
        <t>추정: 전분기 + 당기순이익 − 배당(Q2 지급 가정)
[roll]</t>
      </text>
    </comment>
    <comment ref="AK20" authorId="0" shapeId="0">
      <text>
        <t>추정: 전분기 + 당기순이익 − 배당(Q2 지급 가정)
[roll]</t>
      </text>
    </comment>
    <comment ref="AL20" authorId="0" shapeId="0">
      <text>
        <t>추정: 전분기 + 당기순이익 − 배당(Q2 지급 가정)
[roll]</t>
      </text>
    </comment>
    <comment ref="AM20" authorId="0" shapeId="0">
      <text>
        <t>추정: 전분기 + 당기순이익 − 배당(Q2 지급 가정)
[roll]</t>
      </text>
    </comment>
    <comment ref="AN20" authorId="0" shapeId="0">
      <text>
        <t>추정: 전분기 + 당기순이익 − 배당(Q2 지급 가정)
[roll]</t>
      </text>
    </comment>
    <comment ref="AC21" authorId="0" shapeId="0">
      <text>
        <t>추정: 전분기 + 지배주주순이익 − 배당
[roll]</t>
      </text>
    </comment>
    <comment ref="AD21" authorId="0" shapeId="0">
      <text>
        <t>추정: 전분기 + 지배주주순이익 − 배당
[roll]</t>
      </text>
    </comment>
    <comment ref="AF21" authorId="0" shapeId="0">
      <text>
        <t>추정: 전분기 + 지배주주순이익 − 배당
[roll]</t>
      </text>
    </comment>
    <comment ref="AG21" authorId="0" shapeId="0">
      <text>
        <t>추정: 전분기 + 지배주주순이익 − 배당
[roll]</t>
      </text>
    </comment>
    <comment ref="AH21" authorId="0" shapeId="0">
      <text>
        <t>추정: 전분기 + 지배주주순이익 − 배당
[roll]</t>
      </text>
    </comment>
    <comment ref="AI21" authorId="0" shapeId="0">
      <text>
        <t>추정: 전분기 + 지배주주순이익 − 배당
[roll]</t>
      </text>
    </comment>
    <comment ref="AK21" authorId="0" shapeId="0">
      <text>
        <t>추정: 전분기 + 지배주주순이익 − 배당
[roll]</t>
      </text>
    </comment>
    <comment ref="AL21" authorId="0" shapeId="0">
      <text>
        <t>추정: 전분기 + 지배주주순이익 − 배당
[roll]</t>
      </text>
    </comment>
    <comment ref="AM21" authorId="0" shapeId="0">
      <text>
        <t>추정: 전분기 + 지배주주순이익 − 배당
[roll]</t>
      </text>
    </comment>
    <comment ref="AN21" authorId="0" shapeId="0">
      <text>
        <t>추정: 전분기 + 지배주주순이익 − 배당
[roll]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D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F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G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H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I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K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L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M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N23" authorId="0" shapeId="0">
      <text>
        <t>추정: 전분기 − FCF 근사[순이익 − 배당(감가상각비 없음 → CAPEX≈감가 가정, CAPEX 중위 4억은 행에만)] (운전자본 불변·총차입금 유지 가정 → 변동은 전부 현금)
[qoq]</t>
      </text>
    </comment>
    <comment ref="AC24" authorId="0" shapeId="0">
      <text>
        <t>추정: 전분기 + FCF 근사 — 순차입금 롤과 같은 가정
[qoq]</t>
      </text>
    </comment>
    <comment ref="AD24" authorId="0" shapeId="0">
      <text>
        <t>추정: 전분기 + FCF 근사 — 순차입금 롤과 같은 가정
[qoq]</t>
      </text>
    </comment>
    <comment ref="AF24" authorId="0" shapeId="0">
      <text>
        <t>추정: 전분기 + FCF 근사 — 순차입금 롤과 같은 가정
[qoq]</t>
      </text>
    </comment>
    <comment ref="AG24" authorId="0" shapeId="0">
      <text>
        <t>추정: 전분기 + FCF 근사 — 순차입금 롤과 같은 가정
[qoq]</t>
      </text>
    </comment>
    <comment ref="AH24" authorId="0" shapeId="0">
      <text>
        <t>추정: 전분기 + FCF 근사 — 순차입금 롤과 같은 가정
[qoq]</t>
      </text>
    </comment>
    <comment ref="AI24" authorId="0" shapeId="0">
      <text>
        <t>추정: 전분기 + FCF 근사 — 순차입금 롤과 같은 가정
[qoq]</t>
      </text>
    </comment>
    <comment ref="AK24" authorId="0" shapeId="0">
      <text>
        <t>추정: 전분기 + FCF 근사 — 순차입금 롤과 같은 가정
[qoq]</t>
      </text>
    </comment>
    <comment ref="AL24" authorId="0" shapeId="0">
      <text>
        <t>추정: 전분기 + FCF 근사 — 순차입금 롤과 같은 가정
[qoq]</t>
      </text>
    </comment>
    <comment ref="AM24" authorId="0" shapeId="0">
      <text>
        <t>추정: 전분기 + FCF 근사 — 순차입금 롤과 같은 가정
[qoq]</t>
      </text>
    </comment>
    <comment ref="AN24" authorId="0" shapeId="0">
      <text>
        <t>추정: 전분기 + FCF 근사 — 순차입금 롤과 같은 가정
[qoq]</t>
      </text>
    </comment>
    <comment ref="AC26" authorId="0" shapeId="0">
      <text>
        <t>추정: 최근 4분기(2025Q3~2026Q2) CAPEX 중위 유지 — 순차입금 롤에 미반영(감가상각비 없음 → CAPEX≈감가 가정)
[yoy]</t>
      </text>
    </comment>
    <comment ref="AD26" authorId="0" shapeId="0">
      <text>
        <t>추정: 최근 4분기(2025Q3~2026Q2) CAPEX 중위 유지 — 순차입금 롤에 미반영(감가상각비 없음 → CAPEX≈감가 가정)
[yoy]</t>
      </text>
    </comment>
    <comment ref="AF26" authorId="0" shapeId="0">
      <text>
        <t>추정: 최근 4분기(2025Q3~2026Q2) CAPEX 중위 유지 — 순차입금 롤에 미반영(감가상각비 없음 → CAPEX≈감가 가정)
[yoy]</t>
      </text>
    </comment>
    <comment ref="AG26" authorId="0" shapeId="0">
      <text>
        <t>추정: 최근 4분기(2025Q3~2026Q2) CAPEX 중위 유지 — 순차입금 롤에 미반영(감가상각비 없음 → CAPEX≈감가 가정)
[yoy]</t>
      </text>
    </comment>
    <comment ref="AH26" authorId="0" shapeId="0">
      <text>
        <t>추정: 최근 4분기(2025Q3~2026Q2) CAPEX 중위 유지 — 순차입금 롤에 미반영(감가상각비 없음 → CAPEX≈감가 가정)
[yoy]</t>
      </text>
    </comment>
    <comment ref="AI26" authorId="0" shapeId="0">
      <text>
        <t>추정: 최근 4분기(2025Q3~2026Q2) CAPEX 중위 유지 — 순차입금 롤에 미반영(감가상각비 없음 → CAPEX≈감가 가정)
[yoy]</t>
      </text>
    </comment>
    <comment ref="AK26" authorId="0" shapeId="0">
      <text>
        <t>추정: 최근 4분기(2025Q3~2026Q2) CAPEX 중위 유지 — 순차입금 롤에 미반영(감가상각비 없음 → CAPEX≈감가 가정)
[yoy]</t>
      </text>
    </comment>
    <comment ref="AL26" authorId="0" shapeId="0">
      <text>
        <t>추정: 최근 4분기(2025Q3~2026Q2) CAPEX 중위 유지 — 순차입금 롤에 미반영(감가상각비 없음 → CAPEX≈감가 가정)
[yoy]</t>
      </text>
    </comment>
    <comment ref="AM26" authorId="0" shapeId="0">
      <text>
        <t>추정: 최근 4분기(2025Q3~2026Q2) CAPEX 중위 유지 — 순차입금 롤에 미반영(감가상각비 없음 → CAPEX≈감가 가정)
[yoy]</t>
      </text>
    </comment>
    <comment ref="AN26" authorId="0" shapeId="0">
      <text>
        <t>추정: 최근 4분기(2025Q3~2026Q2) CAPEX 중위 유지 — 순차입금 롤에 미반영(감가상각비 없음 → CAPEX≈감가 가정)
[yoy]</t>
      </text>
    </comment>
    <comment ref="E28" authorId="0" shapeId="0">
      <text>
        <t>실측(계정 매핑 없음(파생·부문·시세 행) — 모델값 직접) — fin.shares.common_outstanding</t>
      </text>
    </comment>
    <comment ref="G28" authorId="0" shapeId="0">
      <text>
        <t>실측(계정 매핑 없음(파생·부문·시세 행) — 모델값 직접) — fin.shares.common_outstanding</t>
      </text>
    </comment>
    <comment ref="H28" authorId="0" shapeId="0">
      <text>
        <t>실측(계정 매핑 없음(파생·부문·시세 행) — 모델값 직접) — fin.shares.common_outstanding</t>
      </text>
    </comment>
    <comment ref="I28" authorId="0" shapeId="0">
      <text>
        <t>실측(계정 매핑 없음(파생·부문·시세 행) — 모델값 직접) — fin.shares.common_outstanding</t>
      </text>
    </comment>
    <comment ref="J28" authorId="0" shapeId="0">
      <text>
        <t>실측(계정 매핑 없음(파생·부문·시세 행) — 모델값 직접) — fin.shares.common_outstanding</t>
      </text>
    </comment>
    <comment ref="L28" authorId="0" shapeId="0">
      <text>
        <t>실측(계정 매핑 없음(파생·부문·시세 행) — 모델값 직접) — fin.shares.common_outstanding</t>
      </text>
    </comment>
    <comment ref="M28" authorId="0" shapeId="0">
      <text>
        <t>실측(계정 매핑 없음(파생·부문·시세 행) — 모델값 직접) — fin.shares.common_outstanding</t>
      </text>
    </comment>
    <comment ref="N28" authorId="0" shapeId="0">
      <text>
        <t>실측(계정 매핑 없음(파생·부문·시세 행) — 모델값 직접) — fin.shares.common_outstanding</t>
      </text>
    </comment>
    <comment ref="O28" authorId="0" shapeId="0">
      <text>
        <t>실측(계정 매핑 없음(파생·부문·시세 행) — 모델값 직접) — fin.shares.common_outstanding</t>
      </text>
    </comment>
    <comment ref="Q28" authorId="0" shapeId="0">
      <text>
        <t>실측(계정 매핑 없음(파생·부문·시세 행) — 모델값 직접) — fin.shares.common_outstanding</t>
      </text>
    </comment>
    <comment ref="R28" authorId="0" shapeId="0">
      <text>
        <t>실측(계정 매핑 없음(파생·부문·시세 행) — 모델값 직접) — fin.shares.common_outstanding</t>
      </text>
    </comment>
    <comment ref="S28" authorId="0" shapeId="0">
      <text>
        <t>실측(계정 매핑 없음(파생·부문·시세 행) — 모델값 직접) — fin.shares.common_outstanding</t>
      </text>
    </comment>
    <comment ref="T28" authorId="0" shapeId="0">
      <text>
        <t>실측(계정 매핑 없음(파생·부문·시세 행) — 모델값 직접) — fin.shares.common_outstanding</t>
      </text>
    </comment>
    <comment ref="V28" authorId="0" shapeId="0">
      <text>
        <t>실측(계정 매핑 없음(파생·부문·시세 행) — 모델값 직접) — fin.shares.common_outstanding</t>
      </text>
    </comment>
    <comment ref="W28" authorId="0" shapeId="0">
      <text>
        <t>실측(계정 매핑 없음(파생·부문·시세 행) — 모델값 직접) — fin.shares.common_outstanding</t>
      </text>
    </comment>
    <comment ref="X28" authorId="0" shapeId="0">
      <text>
        <t>실측(계정 매핑 없음(파생·부문·시세 행) — 모델값 직접) — fin.shares.common_outstanding</t>
      </text>
    </comment>
    <comment ref="Y28" authorId="0" shapeId="0">
      <text>
        <t>실측(계정 매핑 없음(파생·부문·시세 행) — 모델값 직접) — fin.shares.common_outstanding</t>
      </text>
    </comment>
    <comment ref="AA28" authorId="0" shapeId="0">
      <text>
        <t>실측(계정 매핑 없음(파생·부문·시세 행) — 모델값 직접) — fin.shares.common_outstanding</t>
      </text>
    </comment>
    <comment ref="AB28" authorId="0" shapeId="0">
      <text>
        <t>실측(계정 매핑 없음(파생·부문·시세 행) — 모델값 직접) — fin.shares.common_outstanding</t>
      </text>
    </comment>
    <comment ref="AC28" authorId="0" shapeId="0">
      <text>
        <t>추정: 유통주식수 유지 — fin.shares.common_outstanding(2026Q2)
[qoq]</t>
      </text>
    </comment>
    <comment ref="AD28" authorId="0" shapeId="0">
      <text>
        <t>추정: 유통주식수 유지 — fin.shares.common_outstanding(2026Q2)
[qoq]</t>
      </text>
    </comment>
    <comment ref="AF28" authorId="0" shapeId="0">
      <text>
        <t>추정: 유통주식수 유지 — fin.shares.common_outstanding(2026Q2)
[qoq]</t>
      </text>
    </comment>
    <comment ref="AG28" authorId="0" shapeId="0">
      <text>
        <t>추정: 유통주식수 유지 — fin.shares.common_outstanding(2026Q2)
[qoq]</t>
      </text>
    </comment>
    <comment ref="AH28" authorId="0" shapeId="0">
      <text>
        <t>추정: 유통주식수 유지 — fin.shares.common_outstanding(2026Q2)
[qoq]</t>
      </text>
    </comment>
    <comment ref="AI28" authorId="0" shapeId="0">
      <text>
        <t>추정: 유통주식수 유지 — fin.shares.common_outstanding(2026Q2)
[qoq]</t>
      </text>
    </comment>
    <comment ref="AK28" authorId="0" shapeId="0">
      <text>
        <t>추정: 유통주식수 유지 — fin.shares.common_outstanding(2026Q2)
[qoq]</t>
      </text>
    </comment>
    <comment ref="AL28" authorId="0" shapeId="0">
      <text>
        <t>추정: 유통주식수 유지 — fin.shares.common_outstanding(2026Q2)
[qoq]</t>
      </text>
    </comment>
    <comment ref="AM28" authorId="0" shapeId="0">
      <text>
        <t>추정: 유통주식수 유지 — fin.shares.common_outstanding(2026Q2)
[qoq]</t>
      </text>
    </comment>
    <comment ref="AN28" authorId="0" shapeId="0">
      <text>
        <t>추정: 유통주식수 유지 — fin.shares.common_outstanding(2026Q2)
[qoq]</t>
      </text>
    </comment>
    <comment ref="AC29" authorId="0" shapeId="0">
      <text>
        <t>추정: 지배주주순이익 ÷ 유통주식수
[per_share]</t>
      </text>
    </comment>
    <comment ref="AD29" authorId="0" shapeId="0">
      <text>
        <t>추정: 지배주주순이익 ÷ 유통주식수
[per_share]</t>
      </text>
    </comment>
    <comment ref="AF29" authorId="0" shapeId="0">
      <text>
        <t>추정: 지배주주순이익 ÷ 유통주식수
[per_share]</t>
      </text>
    </comment>
    <comment ref="AG29" authorId="0" shapeId="0">
      <text>
        <t>추정: 지배주주순이익 ÷ 유통주식수
[per_share]</t>
      </text>
    </comment>
    <comment ref="AH29" authorId="0" shapeId="0">
      <text>
        <t>추정: 지배주주순이익 ÷ 유통주식수
[per_share]</t>
      </text>
    </comment>
    <comment ref="AI29" authorId="0" shapeId="0">
      <text>
        <t>추정: 지배주주순이익 ÷ 유통주식수
[per_share]</t>
      </text>
    </comment>
    <comment ref="AK29" authorId="0" shapeId="0">
      <text>
        <t>추정: 지배주주순이익 ÷ 유통주식수
[per_share]</t>
      </text>
    </comment>
    <comment ref="AL29" authorId="0" shapeId="0">
      <text>
        <t>추정: 지배주주순이익 ÷ 유통주식수
[per_share]</t>
      </text>
    </comment>
    <comment ref="AM29" authorId="0" shapeId="0">
      <text>
        <t>추정: 지배주주순이익 ÷ 유통주식수
[per_share]</t>
      </text>
    </comment>
    <comment ref="AN29" authorId="0" shapeId="0">
      <text>
        <t>추정: 지배주주순이익 ÷ 유통주식수
[per_share]</t>
      </text>
    </comment>
    <comment ref="AC30" authorId="0" shapeId="0">
      <text>
        <t>추정: 지배주주지분 ÷ 유통주식수
[per_share]</t>
      </text>
    </comment>
    <comment ref="AD30" authorId="0" shapeId="0">
      <text>
        <t>추정: 지배주주지분 ÷ 유통주식수
[per_share]</t>
      </text>
    </comment>
    <comment ref="AF30" authorId="0" shapeId="0">
      <text>
        <t>추정: 지배주주지분 ÷ 유통주식수
[per_share]</t>
      </text>
    </comment>
    <comment ref="AG30" authorId="0" shapeId="0">
      <text>
        <t>추정: 지배주주지분 ÷ 유통주식수
[per_share]</t>
      </text>
    </comment>
    <comment ref="AH30" authorId="0" shapeId="0">
      <text>
        <t>추정: 지배주주지분 ÷ 유통주식수
[per_share]</t>
      </text>
    </comment>
    <comment ref="AI30" authorId="0" shapeId="0">
      <text>
        <t>추정: 지배주주지분 ÷ 유통주식수
[per_share]</t>
      </text>
    </comment>
    <comment ref="AK30" authorId="0" shapeId="0">
      <text>
        <t>추정: 지배주주지분 ÷ 유통주식수
[per_share]</t>
      </text>
    </comment>
    <comment ref="AL30" authorId="0" shapeId="0">
      <text>
        <t>추정: 지배주주지분 ÷ 유통주식수
[per_share]</t>
      </text>
    </comment>
    <comment ref="AM30" authorId="0" shapeId="0">
      <text>
        <t>추정: 지배주주지분 ÷ 유통주식수
[per_share]</t>
      </text>
    </comment>
    <comment ref="AN30" authorId="0" shapeId="0">
      <text>
        <t>추정: 지배주주지분 ÷ 유통주식수
[per_share]</t>
      </text>
    </comment>
    <comment ref="E31" authorId="0" shapeId="0">
      <text>
        <t>실측(계정 매핑 없음(파생·부문·시세 행) — 모델값 직접) — fin.dividend.dps_common(연간, Q4 에 표기)</t>
      </text>
    </comment>
    <comment ref="F31" authorId="0" shapeId="0">
      <text>
        <t>연간(actual) — 분기 미완 연도, 모델 a 값 직접</t>
      </text>
    </comment>
    <comment ref="J31" authorId="0" shapeId="0">
      <text>
        <t>실측(계정 매핑 없음(파생·부문·시세 행) — 모델값 직접) — fin.dividend.dps_common(연간, Q4 에 표기)</t>
      </text>
    </comment>
    <comment ref="O31" authorId="0" shapeId="0">
      <text>
        <t>실측(계정 매핑 없음(파생·부문·시세 행) — 모델값 직접) — fin.dividend.dps_common(연간, Q4 에 표기)</t>
      </text>
    </comment>
    <comment ref="T31" authorId="0" shapeId="0">
      <text>
        <t>실측(계정 매핑 없음(파생·부문·시세 행) — 모델값 직접) — fin.dividend.dps_common(연간, Q4 에 표기)</t>
      </text>
    </comment>
    <comment ref="Y31" authorId="0" shapeId="0">
      <text>
        <t>실측(계정 매핑 없음(파생·부문·시세 행) — 모델값 직접) — fin.dividend.dps_common(연간, Q4 에 표기)</t>
      </text>
    </comment>
    <comment ref="AD31" authorId="0" shapeId="0">
      <text>
        <t>추정: 직전 결산 DPS 700원 유지
[abs]</t>
      </text>
    </comment>
    <comment ref="AI31" authorId="0" shapeId="0">
      <text>
        <t>추정: 직전 결산 DPS 700원 유지
[abs]</t>
      </text>
    </comment>
    <comment ref="AN31" authorId="0" shapeId="0">
      <text>
        <t>추정: 직전 결산 DPS 700원 유지
[abs]</t>
      </text>
    </comment>
    <comment ref="AC32" authorId="0" shapeId="0">
      <text>
        <t>추정: 현재 종가 ÷ TTM EPS(추정 포함)
[valuation]</t>
      </text>
    </comment>
    <comment ref="AD32" authorId="0" shapeId="0">
      <text>
        <t>추정: 현재 종가 ÷ TTM EPS(추정 포함)
[valuation]</t>
      </text>
    </comment>
    <comment ref="AF32" authorId="0" shapeId="0">
      <text>
        <t>추정: 현재 종가 ÷ TTM EPS(추정 포함)
[valuation]</t>
      </text>
    </comment>
    <comment ref="AG32" authorId="0" shapeId="0">
      <text>
        <t>추정: 현재 종가 ÷ TTM EPS(추정 포함)
[valuation]</t>
      </text>
    </comment>
    <comment ref="AH32" authorId="0" shapeId="0">
      <text>
        <t>추정: 현재 종가 ÷ TTM EPS(추정 포함)
[valuation]</t>
      </text>
    </comment>
    <comment ref="AI32" authorId="0" shapeId="0">
      <text>
        <t>추정: 현재 종가 ÷ TTM EPS(추정 포함)
[valuation]</t>
      </text>
    </comment>
    <comment ref="AK32" authorId="0" shapeId="0">
      <text>
        <t>추정: 현재 종가 ÷ TTM EPS(추정 포함)
[valuation]</t>
      </text>
    </comment>
    <comment ref="AL32" authorId="0" shapeId="0">
      <text>
        <t>추정: 현재 종가 ÷ TTM EPS(추정 포함)
[valuation]</t>
      </text>
    </comment>
    <comment ref="AM32" authorId="0" shapeId="0">
      <text>
        <t>추정: 현재 종가 ÷ TTM EPS(추정 포함)
[valuation]</t>
      </text>
    </comment>
    <comment ref="AN32" authorId="0" shapeId="0">
      <text>
        <t>추정: 현재 종가 ÷ TTM EPS(추정 포함)
[valuation]</t>
      </text>
    </comment>
    <comment ref="AC33" authorId="0" shapeId="0">
      <text>
        <t>추정: 현재 종가 ÷ BPS(추정 포함)
[valuation]</t>
      </text>
    </comment>
    <comment ref="AD33" authorId="0" shapeId="0">
      <text>
        <t>추정: 현재 종가 ÷ BPS(추정 포함)
[valuation]</t>
      </text>
    </comment>
    <comment ref="AF33" authorId="0" shapeId="0">
      <text>
        <t>추정: 현재 종가 ÷ BPS(추정 포함)
[valuation]</t>
      </text>
    </comment>
    <comment ref="AG33" authorId="0" shapeId="0">
      <text>
        <t>추정: 현재 종가 ÷ BPS(추정 포함)
[valuation]</t>
      </text>
    </comment>
    <comment ref="AH33" authorId="0" shapeId="0">
      <text>
        <t>추정: 현재 종가 ÷ BPS(추정 포함)
[valuation]</t>
      </text>
    </comment>
    <comment ref="AI33" authorId="0" shapeId="0">
      <text>
        <t>추정: 현재 종가 ÷ BPS(추정 포함)
[valuation]</t>
      </text>
    </comment>
    <comment ref="AK33" authorId="0" shapeId="0">
      <text>
        <t>추정: 현재 종가 ÷ BPS(추정 포함)
[valuation]</t>
      </text>
    </comment>
    <comment ref="AL33" authorId="0" shapeId="0">
      <text>
        <t>추정: 현재 종가 ÷ BPS(추정 포함)
[valuation]</t>
      </text>
    </comment>
    <comment ref="AM33" authorId="0" shapeId="0">
      <text>
        <t>추정: 현재 종가 ÷ BPS(추정 포함)
[valuation]</t>
      </text>
    </comment>
    <comment ref="AN33" authorId="0" shapeId="0">
      <text>
        <t>추정: 현재 종가 ÷ BPS(추정 포함)
[valuation]</t>
      </text>
    </comment>
    <comment ref="E34" authorId="0" shapeId="0">
      <text>
        <t>실측(계정 매핑 없음(파생·부문·시세 행) — 모델값 직접) — = 매출액(부문 미분리)</t>
      </text>
    </comment>
    <comment ref="G34" authorId="0" shapeId="0">
      <text>
        <t>실측(계정 매핑 없음(파생·부문·시세 행) — 모델값 직접) — = 매출액(부문 미분리)</t>
      </text>
    </comment>
    <comment ref="H34" authorId="0" shapeId="0">
      <text>
        <t>실측(계정 매핑 없음(파생·부문·시세 행) — 모델값 직접) — = 매출액(부문 미분리)</t>
      </text>
    </comment>
    <comment ref="I34" authorId="0" shapeId="0">
      <text>
        <t>실측(계정 매핑 없음(파생·부문·시세 행) — 모델값 직접) — = 매출액(부문 미분리)</t>
      </text>
    </comment>
    <comment ref="J34" authorId="0" shapeId="0">
      <text>
        <t>실측(계정 매핑 없음(파생·부문·시세 행) — 모델값 직접) — = 매출액(부문 미분리)</t>
      </text>
    </comment>
    <comment ref="L34" authorId="0" shapeId="0">
      <text>
        <t>실측(계정 매핑 없음(파생·부문·시세 행) — 모델값 직접) — = 매출액(부문 미분리)</t>
      </text>
    </comment>
    <comment ref="M34" authorId="0" shapeId="0">
      <text>
        <t>실측(계정 매핑 없음(파생·부문·시세 행) — 모델값 직접) — = 매출액(부문 미분리)</t>
      </text>
    </comment>
    <comment ref="N34" authorId="0" shapeId="0">
      <text>
        <t>실측(계정 매핑 없음(파생·부문·시세 행) — 모델값 직접) — = 매출액(부문 미분리)</t>
      </text>
    </comment>
    <comment ref="O34" authorId="0" shapeId="0">
      <text>
        <t>실측(계정 매핑 없음(파생·부문·시세 행) — 모델값 직접) — = 매출액(부문 미분리)</t>
      </text>
    </comment>
    <comment ref="Q34" authorId="0" shapeId="0">
      <text>
        <t>실측(계정 매핑 없음(파생·부문·시세 행) — 모델값 직접) — = 매출액(부문 미분리)</t>
      </text>
    </comment>
    <comment ref="R34" authorId="0" shapeId="0">
      <text>
        <t>실측(계정 매핑 없음(파생·부문·시세 행) — 모델값 직접) — = 매출액(부문 미분리)</t>
      </text>
    </comment>
    <comment ref="S34" authorId="0" shapeId="0">
      <text>
        <t>실측(계정 매핑 없음(파생·부문·시세 행) — 모델값 직접) — = 매출액(부문 미분리)</t>
      </text>
    </comment>
    <comment ref="T34" authorId="0" shapeId="0">
      <text>
        <t>실측(계정 매핑 없음(파생·부문·시세 행) — 모델값 직접) — = 매출액(부문 미분리)</t>
      </text>
    </comment>
    <comment ref="V34" authorId="0" shapeId="0">
      <text>
        <t>실측(계정 매핑 없음(파생·부문·시세 행) — 모델값 직접) — = 매출액(부문 미분리)</t>
      </text>
    </comment>
    <comment ref="W34" authorId="0" shapeId="0">
      <text>
        <t>실측(계정 매핑 없음(파생·부문·시세 행) — 모델값 직접) — = 매출액(부문 미분리)</t>
      </text>
    </comment>
    <comment ref="X34" authorId="0" shapeId="0">
      <text>
        <t>실측(계정 매핑 없음(파생·부문·시세 행) — 모델값 직접) — = 매출액(부문 미분리)</t>
      </text>
    </comment>
    <comment ref="Y34" authorId="0" shapeId="0">
      <text>
        <t>실측(계정 매핑 없음(파생·부문·시세 행) — 모델값 직접) — = 매출액(부문 미분리)</t>
      </text>
    </comment>
    <comment ref="AA34" authorId="0" shapeId="0">
      <text>
        <t>실측(계정 매핑 없음(파생·부문·시세 행) — 모델값 직접) — = 매출액(부문 미분리)</t>
      </text>
    </comment>
    <comment ref="AB34" authorId="0" shapeId="0">
      <text>
        <t>실측(계정 매핑 없음(파생·부문·시세 행) — 모델값 직접) — = 매출액(부문 미분리)</t>
      </text>
    </comment>
    <comment ref="AC34" authorId="0" shapeId="0">
      <text>
        <t>추정: = 매출액 추정(부문 미분리)
[identity]</t>
      </text>
    </comment>
    <comment ref="AD34" authorId="0" shapeId="0">
      <text>
        <t>추정: = 매출액 추정(부문 미분리)
[identity]</t>
      </text>
    </comment>
    <comment ref="AF34" authorId="0" shapeId="0">
      <text>
        <t>추정: = 매출액 추정(부문 미분리)
[identity]</t>
      </text>
    </comment>
    <comment ref="AG34" authorId="0" shapeId="0">
      <text>
        <t>추정: = 매출액 추정(부문 미분리)
[identity]</t>
      </text>
    </comment>
    <comment ref="AH34" authorId="0" shapeId="0">
      <text>
        <t>추정: = 매출액 추정(부문 미분리)
[identity]</t>
      </text>
    </comment>
    <comment ref="AI34" authorId="0" shapeId="0">
      <text>
        <t>추정: = 매출액 추정(부문 미분리)
[identity]</t>
      </text>
    </comment>
    <comment ref="AK34" authorId="0" shapeId="0">
      <text>
        <t>추정: = 매출액 추정(부문 미분리)
[identity]</t>
      </text>
    </comment>
    <comment ref="AL34" authorId="0" shapeId="0">
      <text>
        <t>추정: = 매출액 추정(부문 미분리)
[identity]</t>
      </text>
    </comment>
    <comment ref="AM34" authorId="0" shapeId="0">
      <text>
        <t>추정: = 매출액 추정(부문 미분리)
[identity]</t>
      </text>
    </comment>
    <comment ref="AN34" authorId="0" shapeId="0">
      <text>
        <t>추정: = 매출액 추정(부문 미분리)
[identity]</t>
      </text>
    </comment>
    <comment ref="E35" authorId="0" shapeId="0">
      <text>
        <t>실측(계정 매핑 없음(파생·부문·시세 행) — 모델값 직접) — = 영업이익(부문 미분리)</t>
      </text>
    </comment>
    <comment ref="G35" authorId="0" shapeId="0">
      <text>
        <t>실측(계정 매핑 없음(파생·부문·시세 행) — 모델값 직접) — = 영업이익(부문 미분리)</t>
      </text>
    </comment>
    <comment ref="H35" authorId="0" shapeId="0">
      <text>
        <t>실측(계정 매핑 없음(파생·부문·시세 행) — 모델값 직접) — = 영업이익(부문 미분리)</t>
      </text>
    </comment>
    <comment ref="I35" authorId="0" shapeId="0">
      <text>
        <t>실측(계정 매핑 없음(파생·부문·시세 행) — 모델값 직접) — = 영업이익(부문 미분리)</t>
      </text>
    </comment>
    <comment ref="J35" authorId="0" shapeId="0">
      <text>
        <t>실측(계정 매핑 없음(파생·부문·시세 행) — 모델값 직접) — = 영업이익(부문 미분리)</t>
      </text>
    </comment>
    <comment ref="L35" authorId="0" shapeId="0">
      <text>
        <t>실측(계정 매핑 없음(파생·부문·시세 행) — 모델값 직접) — = 영업이익(부문 미분리)</t>
      </text>
    </comment>
    <comment ref="M35" authorId="0" shapeId="0">
      <text>
        <t>실측(계정 매핑 없음(파생·부문·시세 행) — 모델값 직접) — = 영업이익(부문 미분리)</t>
      </text>
    </comment>
    <comment ref="N35" authorId="0" shapeId="0">
      <text>
        <t>실측(계정 매핑 없음(파생·부문·시세 행) — 모델값 직접) — = 영업이익(부문 미분리)</t>
      </text>
    </comment>
    <comment ref="O35" authorId="0" shapeId="0">
      <text>
        <t>실측(계정 매핑 없음(파생·부문·시세 행) — 모델값 직접) — = 영업이익(부문 미분리)</t>
      </text>
    </comment>
    <comment ref="Q35" authorId="0" shapeId="0">
      <text>
        <t>실측(계정 매핑 없음(파생·부문·시세 행) — 모델값 직접) — = 영업이익(부문 미분리)</t>
      </text>
    </comment>
    <comment ref="R35" authorId="0" shapeId="0">
      <text>
        <t>실측(계정 매핑 없음(파생·부문·시세 행) — 모델값 직접) — = 영업이익(부문 미분리)</t>
      </text>
    </comment>
    <comment ref="S35" authorId="0" shapeId="0">
      <text>
        <t>실측(계정 매핑 없음(파생·부문·시세 행) — 모델값 직접) — = 영업이익(부문 미분리)</t>
      </text>
    </comment>
    <comment ref="T35" authorId="0" shapeId="0">
      <text>
        <t>실측(계정 매핑 없음(파생·부문·시세 행) — 모델값 직접) — = 영업이익(부문 미분리)</t>
      </text>
    </comment>
    <comment ref="V35" authorId="0" shapeId="0">
      <text>
        <t>실측(계정 매핑 없음(파생·부문·시세 행) — 모델값 직접) — = 영업이익(부문 미분리)</t>
      </text>
    </comment>
    <comment ref="W35" authorId="0" shapeId="0">
      <text>
        <t>실측(계정 매핑 없음(파생·부문·시세 행) — 모델값 직접) — = 영업이익(부문 미분리)</t>
      </text>
    </comment>
    <comment ref="X35" authorId="0" shapeId="0">
      <text>
        <t>실측(계정 매핑 없음(파생·부문·시세 행) — 모델값 직접) — = 영업이익(부문 미분리)</t>
      </text>
    </comment>
    <comment ref="Y35" authorId="0" shapeId="0">
      <text>
        <t>실측(계정 매핑 없음(파생·부문·시세 행) — 모델값 직접) — = 영업이익(부문 미분리)</t>
      </text>
    </comment>
    <comment ref="AA35" authorId="0" shapeId="0">
      <text>
        <t>실측(계정 매핑 없음(파생·부문·시세 행) — 모델값 직접) — = 영업이익(부문 미분리)</t>
      </text>
    </comment>
    <comment ref="AB35" authorId="0" shapeId="0">
      <text>
        <t>실측(계정 매핑 없음(파생·부문·시세 행) — 모델값 직접) — = 영업이익(부문 미분리)</t>
      </text>
    </comment>
    <comment ref="AC35" authorId="0" shapeId="0">
      <text>
        <t>추정: = 매출액 × OPM(부문 미분리)
[identity]</t>
      </text>
    </comment>
    <comment ref="AD35" authorId="0" shapeId="0">
      <text>
        <t>추정: = 매출액 × OPM(부문 미분리)
[identity]</t>
      </text>
    </comment>
    <comment ref="AF35" authorId="0" shapeId="0">
      <text>
        <t>추정: = 매출액 × OPM(부문 미분리)
[identity]</t>
      </text>
    </comment>
    <comment ref="AG35" authorId="0" shapeId="0">
      <text>
        <t>추정: = 매출액 × OPM(부문 미분리)
[identity]</t>
      </text>
    </comment>
    <comment ref="AH35" authorId="0" shapeId="0">
      <text>
        <t>추정: = 매출액 × OPM(부문 미분리)
[identity]</t>
      </text>
    </comment>
    <comment ref="AI35" authorId="0" shapeId="0">
      <text>
        <t>추정: = 매출액 × OPM(부문 미분리)
[identity]</t>
      </text>
    </comment>
    <comment ref="AK35" authorId="0" shapeId="0">
      <text>
        <t>추정: = 매출액 × OPM(부문 미분리)
[identity]</t>
      </text>
    </comment>
    <comment ref="AL35" authorId="0" shapeId="0">
      <text>
        <t>추정: = 매출액 × OPM(부문 미분리)
[identity]</t>
      </text>
    </comment>
    <comment ref="AM35" authorId="0" shapeId="0">
      <text>
        <t>추정: = 매출액 × OPM(부문 미분리)
[identity]</t>
      </text>
    </comment>
    <comment ref="AN35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케이프(064820)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8.41% — 법인세 = MAX(세전,0) × 세율, 추정 전 분기 연결(Σ법인세/Σmax(세전,0) 역산, 재현 오차 ≤ 0.05억). 모델 가정 8.41% · 근거: 최근 12분기 유효세율 8.4%(5~27% 안 — 그대로)</t>
        </is>
      </c>
    </row>
    <row r="23">
      <c r="A23" t="inlineStr">
        <is>
          <t>· 판관비율 10.81% — 판관비 = 매출액 × 판관비율, 추정 전 분기 연결</t>
        </is>
      </c>
    </row>
    <row r="24">
      <c r="A24" t="inlineStr">
        <is>
          <t>· 지배주주 비중 92.7% — 지배주주순이익 = 당기순이익 × 비중, 추정 전 분기 연결</t>
        </is>
      </c>
    </row>
    <row r="25">
      <c r="A25" t="inlineStr">
        <is>
          <t>· 이자율 자산 0.04% / 부채 0.44% — 이자손익 = (전분기 이자발생자산 × 자산이자율 − 전분기 총차입금 × 부채이자율)/4, 최소자승 역산(모델 assumptions [0.0004, 0.0044] 는 4자리 반올림이라 그대로 쓰면 ±1억 어긋남) · 출처: {"asset": "주석 이자수익 ÷ 평균 이자발생자산(2025Q2~2026Q2)", "debt": "주석 이자비용 ÷ 평균 총차입금(2025Q2~2026Q2)"}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5.8/9.4/10.3배(hist_quarterly(분기 평균가 ÷ TTM EPS, 15분기,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assets/models/064820.json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감가상각비가 face·CF 에 없음(주석 미파싱) → EBITDA·EV/EBITDA 미산출</t>
        </is>
      </c>
    </row>
    <row r="34">
      <c r="A34" t="inlineStr">
        <is>
          <t>백테스트: {"freeze": "2025Q2", "horizon": 4, "revenue_wape_pct": 11.9, "op_wape_pct": 94.5,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1351.87, "rev_act": 1378.33, "op_pred": 91.64, "op_act": 155.57}, {"q": "2025Q4", "rev_pred": 1410.38, "rev_act": 1532.55, "op_pred": 95.61, "op_act": -47.06}, {"q": "2026Q1", "rev_pred": 1378.1, "rev_act": 1876.83, "op_pred": 93.42, "op_act": 281.88}, {"q": "2026Q2", "rev_pred": 1724.71, "rev_act": 1610.93, "op_pred": 116.91, "op_act": 27.93}]}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4710</v>
      </c>
      <c r="F15" s="9" t="n"/>
      <c r="G15" s="18" t="n">
        <v>4870</v>
      </c>
      <c r="H15" s="18" t="n">
        <v>4325</v>
      </c>
      <c r="I15" s="18" t="n">
        <v>4425</v>
      </c>
      <c r="J15" s="18" t="n">
        <v>4430</v>
      </c>
      <c r="K15" s="9" t="n"/>
      <c r="L15" s="18" t="n">
        <v>3590</v>
      </c>
      <c r="M15" s="18" t="n">
        <v>4400</v>
      </c>
      <c r="N15" s="18" t="n">
        <v>4300</v>
      </c>
      <c r="O15" s="18" t="n">
        <v>4300</v>
      </c>
      <c r="P15" s="9" t="n"/>
      <c r="Q15" s="18" t="n">
        <v>4900</v>
      </c>
      <c r="R15" s="18" t="n">
        <v>5680</v>
      </c>
      <c r="S15" s="18" t="n">
        <v>4810</v>
      </c>
      <c r="T15" s="18" t="n">
        <v>5740</v>
      </c>
      <c r="U15" s="9" t="n"/>
      <c r="V15" s="18" t="n">
        <v>5760</v>
      </c>
      <c r="W15" s="18" t="n">
        <v>6320</v>
      </c>
      <c r="X15" s="18" t="n">
        <v>12630</v>
      </c>
      <c r="Y15" s="18" t="n">
        <v>9950</v>
      </c>
      <c r="Z15" s="9" t="n"/>
      <c r="AA15" s="18" t="n">
        <v>9810</v>
      </c>
      <c r="AB15" s="19" t="n">
        <v>8860</v>
      </c>
      <c r="AC15" s="20" t="n">
        <v>7690</v>
      </c>
      <c r="AD15" s="20" t="n">
        <v>7120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5060</v>
      </c>
      <c r="F16" s="9" t="n"/>
      <c r="G16" s="18" t="n">
        <v>5500</v>
      </c>
      <c r="H16" s="18" t="n">
        <v>5370</v>
      </c>
      <c r="I16" s="18" t="n">
        <v>5320</v>
      </c>
      <c r="J16" s="18" t="n">
        <v>5320</v>
      </c>
      <c r="K16" s="9" t="n"/>
      <c r="L16" s="18" t="n">
        <v>4650</v>
      </c>
      <c r="M16" s="18" t="n">
        <v>4920</v>
      </c>
      <c r="N16" s="18" t="n">
        <v>5260</v>
      </c>
      <c r="O16" s="18" t="n">
        <v>4525</v>
      </c>
      <c r="P16" s="9" t="n"/>
      <c r="Q16" s="18" t="n">
        <v>5160</v>
      </c>
      <c r="R16" s="18" t="n">
        <v>6500</v>
      </c>
      <c r="S16" s="18" t="n">
        <v>6400</v>
      </c>
      <c r="T16" s="18" t="n">
        <v>6200</v>
      </c>
      <c r="U16" s="9" t="n"/>
      <c r="V16" s="18" t="n">
        <v>7900</v>
      </c>
      <c r="W16" s="18" t="n">
        <v>7360</v>
      </c>
      <c r="X16" s="18" t="n">
        <v>15590</v>
      </c>
      <c r="Y16" s="18" t="n">
        <v>16700</v>
      </c>
      <c r="Z16" s="9" t="n"/>
      <c r="AA16" s="18" t="n">
        <v>14170</v>
      </c>
      <c r="AB16" s="19" t="n">
        <v>17500</v>
      </c>
      <c r="AC16" s="20" t="n">
        <v>10040</v>
      </c>
      <c r="AD16" s="20" t="n">
        <v>8020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4170</v>
      </c>
      <c r="F17" s="9" t="n"/>
      <c r="G17" s="18" t="n">
        <v>4270</v>
      </c>
      <c r="H17" s="18" t="n">
        <v>3855</v>
      </c>
      <c r="I17" s="18" t="n">
        <v>3980</v>
      </c>
      <c r="J17" s="18" t="n">
        <v>4000</v>
      </c>
      <c r="K17" s="9" t="n"/>
      <c r="L17" s="18" t="n">
        <v>3445</v>
      </c>
      <c r="M17" s="18" t="n">
        <v>3295</v>
      </c>
      <c r="N17" s="18" t="n">
        <v>3800</v>
      </c>
      <c r="O17" s="18" t="n">
        <v>3975</v>
      </c>
      <c r="P17" s="9" t="n"/>
      <c r="Q17" s="18" t="n">
        <v>4005</v>
      </c>
      <c r="R17" s="18" t="n">
        <v>4545</v>
      </c>
      <c r="S17" s="18" t="n">
        <v>4395</v>
      </c>
      <c r="T17" s="18" t="n">
        <v>4610</v>
      </c>
      <c r="U17" s="9" t="n"/>
      <c r="V17" s="18" t="n">
        <v>5390</v>
      </c>
      <c r="W17" s="18" t="n">
        <v>5450</v>
      </c>
      <c r="X17" s="18" t="n">
        <v>5930</v>
      </c>
      <c r="Y17" s="18" t="n">
        <v>9900</v>
      </c>
      <c r="Z17" s="9" t="n"/>
      <c r="AA17" s="18" t="n">
        <v>9000</v>
      </c>
      <c r="AB17" s="19" t="n">
        <v>8230</v>
      </c>
      <c r="AC17" s="20" t="n">
        <v>6880</v>
      </c>
      <c r="AD17" s="20" t="n">
        <v>6800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4627.1</v>
      </c>
      <c r="F18" s="9" t="n"/>
      <c r="G18" s="18" t="n">
        <v>4766.5</v>
      </c>
      <c r="H18" s="18" t="n">
        <v>4696.9</v>
      </c>
      <c r="I18" s="18" t="n">
        <v>4679.5</v>
      </c>
      <c r="J18" s="18" t="n">
        <v>4757</v>
      </c>
      <c r="K18" s="9" t="n"/>
      <c r="L18" s="18" t="n">
        <v>4117.7</v>
      </c>
      <c r="M18" s="18" t="n">
        <v>4024.1</v>
      </c>
      <c r="N18" s="18" t="n">
        <v>4485</v>
      </c>
      <c r="O18" s="18" t="n">
        <v>4177.6</v>
      </c>
      <c r="P18" s="9" t="n"/>
      <c r="Q18" s="18" t="n">
        <v>4431</v>
      </c>
      <c r="R18" s="18" t="n">
        <v>5532.4</v>
      </c>
      <c r="S18" s="18" t="n">
        <v>5355.7</v>
      </c>
      <c r="T18" s="18" t="n">
        <v>5283.8</v>
      </c>
      <c r="U18" s="9" t="n"/>
      <c r="V18" s="18" t="n">
        <v>6582.4</v>
      </c>
      <c r="W18" s="18" t="n">
        <v>6411</v>
      </c>
      <c r="X18" s="18" t="n">
        <v>8766.799999999999</v>
      </c>
      <c r="Y18" s="18" t="n">
        <v>11892</v>
      </c>
      <c r="Z18" s="9" t="n"/>
      <c r="AA18" s="18" t="n">
        <v>11058.5</v>
      </c>
      <c r="AB18" s="19" t="n">
        <v>11932</v>
      </c>
      <c r="AC18" s="20" t="n">
        <v>8196.6</v>
      </c>
      <c r="AD18" s="20" t="n">
        <v>7640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0.252820806</v>
      </c>
      <c r="AD21" s="24" t="n">
        <v>0.420361044</v>
      </c>
      <c r="AE21" s="25" t="n"/>
      <c r="AF21" s="24" t="n">
        <v>0.336393533</v>
      </c>
      <c r="AG21" s="24" t="n">
        <v>0.358094546</v>
      </c>
      <c r="AH21" s="24" t="n">
        <v>0.178810517</v>
      </c>
      <c r="AI21" s="24" t="n">
        <v>0.165198137</v>
      </c>
      <c r="AJ21" s="25" t="n"/>
      <c r="AK21" s="24" t="n">
        <v>0.189543813</v>
      </c>
      <c r="AL21" s="24" t="n">
        <v>0.221213091</v>
      </c>
      <c r="AM21" s="24" t="n">
        <v>0.245729697</v>
      </c>
      <c r="AN21" s="24" t="n">
        <v>0.24567691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$D$48</f>
        <v/>
      </c>
      <c r="AD22" s="26">
        <f>$D$48</f>
        <v/>
      </c>
      <c r="AE22" s="25">
        <f>IFERROR(subQ!AE8/subQ!AE5,"")</f>
        <v/>
      </c>
      <c r="AF22" s="26">
        <f>$D$48</f>
        <v/>
      </c>
      <c r="AG22" s="26">
        <f>$D$48</f>
        <v/>
      </c>
      <c r="AH22" s="26">
        <f>$D$48</f>
        <v/>
      </c>
      <c r="AI22" s="26">
        <f>$D$48</f>
        <v/>
      </c>
      <c r="AJ22" s="25">
        <f>IFERROR(subQ!AJ8/subQ!AJ5,"")</f>
        <v/>
      </c>
      <c r="AK22" s="26">
        <f>$D$48</f>
        <v/>
      </c>
      <c r="AL22" s="26">
        <f>$D$48</f>
        <v/>
      </c>
      <c r="AM22" s="26">
        <f>$D$48</f>
        <v/>
      </c>
      <c r="AN22" s="26">
        <f>$D$48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0.070674079</v>
      </c>
      <c r="AD23" s="24" t="n">
        <v>0.07067779</v>
      </c>
      <c r="AE23" s="25">
        <f>IFERROR(subQ!AE9/subQ!AE5,"")</f>
        <v/>
      </c>
      <c r="AF23" s="24" t="n">
        <v>0.070676746</v>
      </c>
      <c r="AG23" s="24" t="n">
        <v>0.070673736</v>
      </c>
      <c r="AH23" s="24" t="n">
        <v>0.070677992</v>
      </c>
      <c r="AI23" s="24" t="n">
        <v>0.07067553</v>
      </c>
      <c r="AJ23" s="25">
        <f>IFERROR(subQ!AJ9/subQ!AJ5,"")</f>
        <v/>
      </c>
      <c r="AK23" s="24" t="n">
        <v>0.07067660100000001</v>
      </c>
      <c r="AL23" s="24" t="n">
        <v>0.07067599400000001</v>
      </c>
      <c r="AM23" s="24" t="n">
        <v>0.07067675700000001</v>
      </c>
      <c r="AN23" s="24" t="n">
        <v>0.07067551599999999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drv:법인세비용</t>
        </is>
      </c>
      <c r="B25" s="2" t="inlineStr">
        <is>
          <t>tax</t>
        </is>
      </c>
      <c r="C25" t="inlineStr">
        <is>
          <t>법인세율(/세전) — 법인세 = MAX(세전,0) × 세율</t>
        </is>
      </c>
      <c r="E25" s="21">
        <f>IFERROR(subQ!E15/subQ!E14,"")</f>
        <v/>
      </c>
      <c r="F25" s="22">
        <f>IFERROR(subQ!F15/subQ!F14,"")</f>
        <v/>
      </c>
      <c r="G25" s="21">
        <f>IFERROR(subQ!G15/subQ!G14,"")</f>
        <v/>
      </c>
      <c r="H25" s="21">
        <f>IFERROR(subQ!H15/subQ!H14,"")</f>
        <v/>
      </c>
      <c r="I25" s="21">
        <f>IFERROR(subQ!I15/subQ!I14,"")</f>
        <v/>
      </c>
      <c r="J25" s="21">
        <f>IFERROR(subQ!J15/subQ!J14,"")</f>
        <v/>
      </c>
      <c r="K25" s="22">
        <f>IFERROR(subQ!K15/subQ!K14,"")</f>
        <v/>
      </c>
      <c r="L25" s="21">
        <f>IFERROR(subQ!L15/subQ!L14,"")</f>
        <v/>
      </c>
      <c r="M25" s="21">
        <f>IFERROR(subQ!M15/subQ!M14,"")</f>
        <v/>
      </c>
      <c r="N25" s="21">
        <f>IFERROR(subQ!N15/subQ!N14,"")</f>
        <v/>
      </c>
      <c r="O25" s="21">
        <f>IFERROR(subQ!O15/subQ!O14,"")</f>
        <v/>
      </c>
      <c r="P25" s="22">
        <f>IFERROR(subQ!P15/subQ!P14,"")</f>
        <v/>
      </c>
      <c r="Q25" s="21">
        <f>IFERROR(subQ!Q15/subQ!Q14,"")</f>
        <v/>
      </c>
      <c r="R25" s="21">
        <f>IFERROR(subQ!R15/subQ!R14,"")</f>
        <v/>
      </c>
      <c r="S25" s="21">
        <f>IFERROR(subQ!S15/subQ!S14,"")</f>
        <v/>
      </c>
      <c r="T25" s="21">
        <f>IFERROR(subQ!T15/subQ!T14,"")</f>
        <v/>
      </c>
      <c r="U25" s="22">
        <f>IFERROR(subQ!U15/subQ!U14,"")</f>
        <v/>
      </c>
      <c r="V25" s="21">
        <f>IFERROR(subQ!V15/subQ!V14,"")</f>
        <v/>
      </c>
      <c r="W25" s="21">
        <f>IFERROR(subQ!W15/subQ!W14,"")</f>
        <v/>
      </c>
      <c r="X25" s="21">
        <f>IFERROR(subQ!X15/subQ!X14,"")</f>
        <v/>
      </c>
      <c r="Y25" s="21">
        <f>IFERROR(subQ!Y15/subQ!Y14,"")</f>
        <v/>
      </c>
      <c r="Z25" s="22">
        <f>IFERROR(subQ!Z15/subQ!Z14,"")</f>
        <v/>
      </c>
      <c r="AA25" s="21">
        <f>IFERROR(subQ!AA15/subQ!AA14,"")</f>
        <v/>
      </c>
      <c r="AB25" s="23">
        <f>IFERROR(subQ!AB15/subQ!AB14,"")</f>
        <v/>
      </c>
      <c r="AC25" s="26">
        <f>$D$47</f>
        <v/>
      </c>
      <c r="AD25" s="26">
        <f>$D$47</f>
        <v/>
      </c>
      <c r="AE25" s="25">
        <f>IFERROR(subQ!AE15/subQ!AE14,"")</f>
        <v/>
      </c>
      <c r="AF25" s="26">
        <f>$D$47</f>
        <v/>
      </c>
      <c r="AG25" s="26">
        <f>$D$47</f>
        <v/>
      </c>
      <c r="AH25" s="26">
        <f>$D$47</f>
        <v/>
      </c>
      <c r="AI25" s="26">
        <f>$D$47</f>
        <v/>
      </c>
      <c r="AJ25" s="25">
        <f>IFERROR(subQ!AJ15/subQ!AJ14,"")</f>
        <v/>
      </c>
      <c r="AK25" s="26">
        <f>$D$47</f>
        <v/>
      </c>
      <c r="AL25" s="26">
        <f>$D$47</f>
        <v/>
      </c>
      <c r="AM25" s="26">
        <f>$D$47</f>
        <v/>
      </c>
      <c r="AN25" s="26">
        <f>$D$47</f>
        <v/>
      </c>
      <c r="AO25" s="25">
        <f>IFERROR(subQ!AO15/subQ!AO14,"")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IFERROR(subQ!E17/subQ!E16,"")</f>
        <v/>
      </c>
      <c r="F26" s="22">
        <f>IFERROR(subQ!F17/subQ!F16,"")</f>
        <v/>
      </c>
      <c r="G26" s="21">
        <f>IFERROR(subQ!G17/subQ!G16,"")</f>
        <v/>
      </c>
      <c r="H26" s="21">
        <f>IFERROR(subQ!H17/subQ!H16,"")</f>
        <v/>
      </c>
      <c r="I26" s="21">
        <f>IFERROR(subQ!I17/subQ!I16,"")</f>
        <v/>
      </c>
      <c r="J26" s="21">
        <f>IFERROR(subQ!J17/subQ!J16,"")</f>
        <v/>
      </c>
      <c r="K26" s="22">
        <f>IFERROR(subQ!K17/subQ!K16,"")</f>
        <v/>
      </c>
      <c r="L26" s="21">
        <f>IFERROR(subQ!L17/subQ!L16,"")</f>
        <v/>
      </c>
      <c r="M26" s="21">
        <f>IFERROR(subQ!M17/subQ!M16,"")</f>
        <v/>
      </c>
      <c r="N26" s="21">
        <f>IFERROR(subQ!N17/subQ!N16,"")</f>
        <v/>
      </c>
      <c r="O26" s="21">
        <f>IFERROR(subQ!O17/subQ!O16,"")</f>
        <v/>
      </c>
      <c r="P26" s="22">
        <f>IFERROR(subQ!P17/subQ!P16,"")</f>
        <v/>
      </c>
      <c r="Q26" s="21">
        <f>IFERROR(subQ!Q17/subQ!Q16,"")</f>
        <v/>
      </c>
      <c r="R26" s="21">
        <f>IFERROR(subQ!R17/subQ!R16,"")</f>
        <v/>
      </c>
      <c r="S26" s="21">
        <f>IFERROR(subQ!S17/subQ!S16,"")</f>
        <v/>
      </c>
      <c r="T26" s="21">
        <f>IFERROR(subQ!T17/subQ!T16,"")</f>
        <v/>
      </c>
      <c r="U26" s="22">
        <f>IFERROR(subQ!U17/subQ!U16,"")</f>
        <v/>
      </c>
      <c r="V26" s="21">
        <f>IFERROR(subQ!V17/subQ!V16,"")</f>
        <v/>
      </c>
      <c r="W26" s="21">
        <f>IFERROR(subQ!W17/subQ!W16,"")</f>
        <v/>
      </c>
      <c r="X26" s="21">
        <f>IFERROR(subQ!X17/subQ!X16,"")</f>
        <v/>
      </c>
      <c r="Y26" s="21">
        <f>IFERROR(subQ!Y17/subQ!Y16,"")</f>
        <v/>
      </c>
      <c r="Z26" s="22">
        <f>IFERROR(subQ!Z17/subQ!Z16,"")</f>
        <v/>
      </c>
      <c r="AA26" s="21">
        <f>IFERROR(subQ!AA17/subQ!AA16,"")</f>
        <v/>
      </c>
      <c r="AB26" s="23">
        <f>IFERROR(subQ!AB17/subQ!AB16,"")</f>
        <v/>
      </c>
      <c r="AC26" s="26">
        <f>$D$49</f>
        <v/>
      </c>
      <c r="AD26" s="26">
        <f>$D$49</f>
        <v/>
      </c>
      <c r="AE26" s="25">
        <f>IFERROR(subQ!AE17/subQ!AE16,"")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IFERROR(subQ!AJ17/subQ!AJ16,"")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IFERROR(subQ!AO17/subQ!AO16,"")</f>
        <v/>
      </c>
    </row>
    <row r="27">
      <c r="A27" s="12" t="inlineStr">
        <is>
          <t>drv:부채총계</t>
        </is>
      </c>
      <c r="B27" s="2" t="inlineStr">
        <is>
          <t>qoq</t>
        </is>
      </c>
      <c r="C27" t="inlineStr">
        <is>
          <t>부채총계 QoQ</t>
        </is>
      </c>
      <c r="E27" s="21" t="n"/>
      <c r="F27" s="22" t="n"/>
      <c r="G27" s="21">
        <f>IFERROR(subQ!G19/subQ!E19-1,"")</f>
        <v/>
      </c>
      <c r="H27" s="21">
        <f>IFERROR(subQ!H19/subQ!G19-1,"")</f>
        <v/>
      </c>
      <c r="I27" s="21">
        <f>IFERROR(subQ!I19/subQ!H19-1,"")</f>
        <v/>
      </c>
      <c r="J27" s="21">
        <f>IFERROR(subQ!J19/subQ!I19-1,"")</f>
        <v/>
      </c>
      <c r="K27" s="22" t="n"/>
      <c r="L27" s="21">
        <f>IFERROR(subQ!L19/subQ!J19-1,"")</f>
        <v/>
      </c>
      <c r="M27" s="21">
        <f>IFERROR(subQ!M19/subQ!L19-1,"")</f>
        <v/>
      </c>
      <c r="N27" s="21">
        <f>IFERROR(subQ!N19/subQ!M19-1,"")</f>
        <v/>
      </c>
      <c r="O27" s="21">
        <f>IFERROR(subQ!O19/subQ!N19-1,"")</f>
        <v/>
      </c>
      <c r="P27" s="22" t="n"/>
      <c r="Q27" s="21">
        <f>IFERROR(subQ!Q19/subQ!O19-1,"")</f>
        <v/>
      </c>
      <c r="R27" s="21">
        <f>IFERROR(subQ!R19/subQ!Q19-1,"")</f>
        <v/>
      </c>
      <c r="S27" s="21">
        <f>IFERROR(subQ!S19/subQ!R19-1,"")</f>
        <v/>
      </c>
      <c r="T27" s="21">
        <f>IFERROR(subQ!T19/subQ!S19-1,"")</f>
        <v/>
      </c>
      <c r="U27" s="22" t="n"/>
      <c r="V27" s="21">
        <f>IFERROR(subQ!V19/subQ!T19-1,"")</f>
        <v/>
      </c>
      <c r="W27" s="21">
        <f>IFERROR(subQ!W19/subQ!V19-1,"")</f>
        <v/>
      </c>
      <c r="X27" s="21">
        <f>IFERROR(subQ!X19/subQ!W19-1,"")</f>
        <v/>
      </c>
      <c r="Y27" s="21">
        <f>IFERROR(subQ!Y19/subQ!X19-1,"")</f>
        <v/>
      </c>
      <c r="Z27" s="22" t="n"/>
      <c r="AA27" s="21">
        <f>IFERROR(subQ!AA19/subQ!Y19-1,"")</f>
        <v/>
      </c>
      <c r="AB27" s="23">
        <f>IFERROR(subQ!AB19/subQ!AA19-1,"")</f>
        <v/>
      </c>
      <c r="AC27" s="24" t="n">
        <v>1.06e-07</v>
      </c>
      <c r="AD27" s="24" t="n">
        <v>0</v>
      </c>
      <c r="AE27" s="25" t="n"/>
      <c r="AF27" s="24" t="n">
        <v>0</v>
      </c>
      <c r="AG27" s="24" t="n">
        <v>0</v>
      </c>
      <c r="AH27" s="24" t="n">
        <v>0</v>
      </c>
      <c r="AI27" s="24" t="n">
        <v>0</v>
      </c>
      <c r="AJ27" s="25" t="n"/>
      <c r="AK27" s="24" t="n">
        <v>0</v>
      </c>
      <c r="AL27" s="24" t="n">
        <v>0</v>
      </c>
      <c r="AM27" s="24" t="n">
        <v>0</v>
      </c>
      <c r="AN27" s="24" t="n">
        <v>0</v>
      </c>
      <c r="AO27" s="25" t="n"/>
    </row>
    <row r="28">
      <c r="A28" s="12" t="inlineStr">
        <is>
          <t>drv:자본총계</t>
        </is>
      </c>
      <c r="B28" s="2" t="inlineStr">
        <is>
          <t>roll</t>
        </is>
      </c>
      <c r="C28" t="inlineStr">
        <is>
          <t>자본총계 기타변동(배당 등, 억원)</t>
        </is>
      </c>
      <c r="E28" s="27" t="n"/>
      <c r="F28" s="28" t="n"/>
      <c r="G28" s="27">
        <f>IFERROR(subQ!E20+subQ!G16-subQ!G20,"")</f>
        <v/>
      </c>
      <c r="H28" s="27">
        <f>IFERROR(subQ!G20+subQ!H16-subQ!H20,"")</f>
        <v/>
      </c>
      <c r="I28" s="27">
        <f>IFERROR(subQ!H20+subQ!I16-subQ!I20,"")</f>
        <v/>
      </c>
      <c r="J28" s="27">
        <f>IFERROR(subQ!I20+subQ!J16-subQ!J20,"")</f>
        <v/>
      </c>
      <c r="K28" s="28" t="n"/>
      <c r="L28" s="27">
        <f>IFERROR(subQ!J20+subQ!L16-subQ!L20,"")</f>
        <v/>
      </c>
      <c r="M28" s="27">
        <f>IFERROR(subQ!L20+subQ!M16-subQ!M20,"")</f>
        <v/>
      </c>
      <c r="N28" s="27">
        <f>IFERROR(subQ!M20+subQ!N16-subQ!N20,"")</f>
        <v/>
      </c>
      <c r="O28" s="27">
        <f>IFERROR(subQ!N20+subQ!O16-subQ!O20,"")</f>
        <v/>
      </c>
      <c r="P28" s="28" t="n"/>
      <c r="Q28" s="27">
        <f>IFERROR(subQ!O20+subQ!Q16-subQ!Q20,"")</f>
        <v/>
      </c>
      <c r="R28" s="27">
        <f>IFERROR(subQ!Q20+subQ!R16-subQ!R20,"")</f>
        <v/>
      </c>
      <c r="S28" s="27">
        <f>IFERROR(subQ!R20+subQ!S16-subQ!S20,"")</f>
        <v/>
      </c>
      <c r="T28" s="27">
        <f>IFERROR(subQ!S20+subQ!T16-subQ!T20,"")</f>
        <v/>
      </c>
      <c r="U28" s="28" t="n"/>
      <c r="V28" s="27">
        <f>IFERROR(subQ!T20+subQ!V16-subQ!V20,"")</f>
        <v/>
      </c>
      <c r="W28" s="27">
        <f>IFERROR(subQ!V20+subQ!W16-subQ!W20,"")</f>
        <v/>
      </c>
      <c r="X28" s="27">
        <f>IFERROR(subQ!W20+subQ!X16-subQ!X20,"")</f>
        <v/>
      </c>
      <c r="Y28" s="27">
        <f>IFERROR(subQ!X20+subQ!Y16-subQ!Y20,"")</f>
        <v/>
      </c>
      <c r="Z28" s="28" t="n"/>
      <c r="AA28" s="27">
        <f>IFERROR(subQ!Y20+subQ!AA16-subQ!AA20,"")</f>
        <v/>
      </c>
      <c r="AB28" s="29">
        <f>IFERROR(subQ!AA20+subQ!AB16-subQ!AB20,"")</f>
        <v/>
      </c>
      <c r="AC28" s="30" t="n">
        <v>-0.002624295</v>
      </c>
      <c r="AD28" s="30" t="n">
        <v>0.002512161</v>
      </c>
      <c r="AE28" s="31" t="n"/>
      <c r="AF28" s="30" t="n">
        <v>-0.005297618</v>
      </c>
      <c r="AG28" s="30" t="n">
        <v>216.02503769</v>
      </c>
      <c r="AH28" s="30" t="n">
        <v>-4.2462e-05</v>
      </c>
      <c r="AI28" s="30" t="n">
        <v>-0.0058435</v>
      </c>
      <c r="AJ28" s="31" t="n"/>
      <c r="AK28" s="30" t="n">
        <v>0.009693762</v>
      </c>
      <c r="AL28" s="30" t="n">
        <v>216.021863837</v>
      </c>
      <c r="AM28" s="30" t="n">
        <v>0.004085613</v>
      </c>
      <c r="AN28" s="30" t="n">
        <v>0.000498534</v>
      </c>
      <c r="AO28" s="31" t="n"/>
    </row>
    <row r="29">
      <c r="A29" s="12" t="inlineStr">
        <is>
          <t>drv:지배주주지분</t>
        </is>
      </c>
      <c r="B29" s="2" t="inlineStr">
        <is>
          <t>roll</t>
        </is>
      </c>
      <c r="C29" t="inlineStr">
        <is>
          <t>지배주주지분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-0.008294469</v>
      </c>
      <c r="AD29" s="30" t="n">
        <v>0.003573105</v>
      </c>
      <c r="AE29" s="31" t="n"/>
      <c r="AF29" s="30" t="n">
        <v>0.0035699</v>
      </c>
      <c r="AG29" s="30" t="n">
        <v>216.022438136</v>
      </c>
      <c r="AH29" s="30" t="n">
        <v>-0.000716989</v>
      </c>
      <c r="AI29" s="30" t="n">
        <v>-0.001723538</v>
      </c>
      <c r="AJ29" s="31" t="n"/>
      <c r="AK29" s="30" t="n">
        <v>0.001969362</v>
      </c>
      <c r="AL29" s="30" t="n">
        <v>216.031515666</v>
      </c>
      <c r="AM29" s="30" t="n">
        <v>-0.001056692</v>
      </c>
      <c r="AN29" s="30" t="n">
        <v>0.006885902</v>
      </c>
      <c r="AO29" s="31" t="n"/>
    </row>
    <row r="30">
      <c r="A30" s="12" t="inlineStr">
        <is>
          <t>drv:총차입금</t>
        </is>
      </c>
      <c r="B30" s="2" t="inlineStr">
        <is>
          <t>qoq</t>
        </is>
      </c>
      <c r="C30" t="inlineStr">
        <is>
          <t>총차입금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1.78e-07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drv:순차입금</t>
        </is>
      </c>
      <c r="B31" s="2" t="inlineStr">
        <is>
          <t>qoq</t>
        </is>
      </c>
      <c r="C31" t="inlineStr">
        <is>
          <t>순차입금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-0.005433431</v>
      </c>
      <c r="AD31" s="24" t="n">
        <v>-0.007166889</v>
      </c>
      <c r="AE31" s="25" t="n"/>
      <c r="AF31" s="24" t="n">
        <v>-0.008483076000000001</v>
      </c>
      <c r="AG31" s="24" t="n">
        <v>0.005507361</v>
      </c>
      <c r="AH31" s="24" t="n">
        <v>-0.006701768</v>
      </c>
      <c r="AI31" s="24" t="n">
        <v>-0.008675629000000001</v>
      </c>
      <c r="AJ31" s="25" t="n"/>
      <c r="AK31" s="24" t="n">
        <v>-0.010488306</v>
      </c>
      <c r="AL31" s="24" t="n">
        <v>0.003719487</v>
      </c>
      <c r="AM31" s="24" t="n">
        <v>-0.008810333</v>
      </c>
      <c r="AN31" s="24" t="n">
        <v>-0.011349994</v>
      </c>
      <c r="AO31" s="25" t="n"/>
    </row>
    <row r="32">
      <c r="A32" s="12" t="inlineStr">
        <is>
          <t>drv:이자발생자산</t>
        </is>
      </c>
      <c r="B32" s="2" t="inlineStr">
        <is>
          <t>qoq</t>
        </is>
      </c>
      <c r="C32" t="inlineStr">
        <is>
          <t>이자발생자산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0.032915841</v>
      </c>
      <c r="AD32" s="24" t="n">
        <v>0.041804942</v>
      </c>
      <c r="AE32" s="25" t="n"/>
      <c r="AF32" s="24" t="n">
        <v>0.047156345</v>
      </c>
      <c r="AG32" s="24" t="n">
        <v>-0.028988045</v>
      </c>
      <c r="AH32" s="24" t="n">
        <v>0.03652796</v>
      </c>
      <c r="AI32" s="24" t="n">
        <v>0.045314339</v>
      </c>
      <c r="AJ32" s="25" t="n"/>
      <c r="AK32" s="24" t="n">
        <v>0.051952799</v>
      </c>
      <c r="AL32" s="24" t="n">
        <v>-0.017330508</v>
      </c>
      <c r="AM32" s="24" t="n">
        <v>0.041930059</v>
      </c>
      <c r="AN32" s="24" t="n">
        <v>0.051386256</v>
      </c>
      <c r="AO32" s="25" t="n"/>
    </row>
    <row r="33">
      <c r="A33" s="12" t="inlineStr">
        <is>
          <t>drv:현금및현금성자산</t>
        </is>
      </c>
      <c r="B33" s="2" t="inlineStr">
        <is>
          <t>qoq</t>
        </is>
      </c>
      <c r="C33" t="inlineStr">
        <is>
          <t>현금및현금성자산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32" t="n"/>
      <c r="AD33" s="32" t="n"/>
      <c r="AE33" s="25" t="n"/>
      <c r="AF33" s="32" t="n"/>
      <c r="AG33" s="32" t="n"/>
      <c r="AH33" s="32" t="n"/>
      <c r="AI33" s="32" t="n"/>
      <c r="AJ33" s="25" t="n"/>
      <c r="AK33" s="32" t="n"/>
      <c r="AL33" s="32" t="n"/>
      <c r="AM33" s="32" t="n"/>
      <c r="AN33" s="32" t="n"/>
      <c r="AO33" s="25" t="n"/>
    </row>
    <row r="34">
      <c r="A34" s="12" t="inlineStr">
        <is>
          <t>drv:CAPEX</t>
        </is>
      </c>
      <c r="B34" s="2" t="inlineStr">
        <is>
          <t>yoy</t>
        </is>
      </c>
      <c r="C34" t="inlineStr">
        <is>
          <t>CAPEX YoY</t>
        </is>
      </c>
      <c r="E34" s="21" t="n"/>
      <c r="F34" s="22" t="n"/>
      <c r="G34" s="21" t="n"/>
      <c r="H34" s="21" t="n"/>
      <c r="I34" s="21" t="n"/>
      <c r="J34" s="21">
        <f>IFERROR(subQ!J26/subQ!E26-1,"")</f>
        <v/>
      </c>
      <c r="K34" s="22" t="n"/>
      <c r="L34" s="21">
        <f>IFERROR(subQ!L26/subQ!G26-1,"")</f>
        <v/>
      </c>
      <c r="M34" s="21">
        <f>IFERROR(subQ!M26/subQ!H26-1,"")</f>
        <v/>
      </c>
      <c r="N34" s="21">
        <f>IFERROR(subQ!N26/subQ!I26-1,"")</f>
        <v/>
      </c>
      <c r="O34" s="21">
        <f>IFERROR(subQ!O26/subQ!J26-1,"")</f>
        <v/>
      </c>
      <c r="P34" s="22" t="n"/>
      <c r="Q34" s="21">
        <f>IFERROR(subQ!Q26/subQ!L26-1,"")</f>
        <v/>
      </c>
      <c r="R34" s="21">
        <f>IFERROR(subQ!R26/subQ!M26-1,"")</f>
        <v/>
      </c>
      <c r="S34" s="21">
        <f>IFERROR(subQ!S26/subQ!N26-1,"")</f>
        <v/>
      </c>
      <c r="T34" s="21">
        <f>IFERROR(subQ!T26/subQ!O26-1,"")</f>
        <v/>
      </c>
      <c r="U34" s="22" t="n"/>
      <c r="V34" s="21">
        <f>IFERROR(subQ!V26/subQ!Q26-1,"")</f>
        <v/>
      </c>
      <c r="W34" s="21">
        <f>IFERROR(subQ!W26/subQ!R26-1,"")</f>
        <v/>
      </c>
      <c r="X34" s="21">
        <f>IFERROR(subQ!X26/subQ!S26-1,"")</f>
        <v/>
      </c>
      <c r="Y34" s="21">
        <f>IFERROR(subQ!Y26/subQ!T26-1,"")</f>
        <v/>
      </c>
      <c r="Z34" s="22" t="n"/>
      <c r="AA34" s="21">
        <f>IFERROR(subQ!AA26/subQ!V26-1,"")</f>
        <v/>
      </c>
      <c r="AB34" s="23">
        <f>IFERROR(subQ!AB26/subQ!W26-1,"")</f>
        <v/>
      </c>
      <c r="AC34" s="24" t="n">
        <v>1.134891765</v>
      </c>
      <c r="AD34" s="24" t="n">
        <v>-0.467333244</v>
      </c>
      <c r="AE34" s="25" t="n"/>
      <c r="AF34" s="24" t="n">
        <v>2.245399329</v>
      </c>
      <c r="AG34" s="24" t="n">
        <v>-0.346047055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drv:영업활동현금흐름</t>
        </is>
      </c>
      <c r="B35" s="2" t="inlineStr">
        <is>
          <t>yoy</t>
        </is>
      </c>
      <c r="C35" t="inlineStr">
        <is>
          <t>영업활동현금흐름 YoY</t>
        </is>
      </c>
      <c r="E35" s="21" t="n"/>
      <c r="F35" s="22" t="n"/>
      <c r="G35" s="21" t="n"/>
      <c r="H35" s="21" t="n"/>
      <c r="I35" s="21" t="n"/>
      <c r="J35" s="21">
        <f>IFERROR(subQ!J27/subQ!E27-1,"")</f>
        <v/>
      </c>
      <c r="K35" s="22" t="n"/>
      <c r="L35" s="21">
        <f>IFERROR(subQ!L27/subQ!G27-1,"")</f>
        <v/>
      </c>
      <c r="M35" s="21">
        <f>IFERROR(subQ!M27/subQ!H27-1,"")</f>
        <v/>
      </c>
      <c r="N35" s="21">
        <f>IFERROR(subQ!N27/subQ!I27-1,"")</f>
        <v/>
      </c>
      <c r="O35" s="21">
        <f>IFERROR(subQ!O27/subQ!J27-1,"")</f>
        <v/>
      </c>
      <c r="P35" s="22" t="n"/>
      <c r="Q35" s="21">
        <f>IFERROR(subQ!Q27/subQ!L27-1,"")</f>
        <v/>
      </c>
      <c r="R35" s="21">
        <f>IFERROR(subQ!R27/subQ!M27-1,"")</f>
        <v/>
      </c>
      <c r="S35" s="21">
        <f>IFERROR(subQ!S27/subQ!N27-1,"")</f>
        <v/>
      </c>
      <c r="T35" s="21">
        <f>IFERROR(subQ!T27/subQ!O27-1,"")</f>
        <v/>
      </c>
      <c r="U35" s="22" t="n"/>
      <c r="V35" s="21">
        <f>IFERROR(subQ!V27/subQ!Q27-1,"")</f>
        <v/>
      </c>
      <c r="W35" s="21">
        <f>IFERROR(subQ!W27/subQ!R27-1,"")</f>
        <v/>
      </c>
      <c r="X35" s="21">
        <f>IFERROR(subQ!X27/subQ!S27-1,"")</f>
        <v/>
      </c>
      <c r="Y35" s="21">
        <f>IFERROR(subQ!Y27/subQ!T27-1,"")</f>
        <v/>
      </c>
      <c r="Z35" s="22" t="n"/>
      <c r="AA35" s="21">
        <f>IFERROR(subQ!AA27/subQ!V27-1,"")</f>
        <v/>
      </c>
      <c r="AB35" s="23">
        <f>IFERROR(subQ!AB27/subQ!W27-1,"")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drv:주식수</t>
        </is>
      </c>
      <c r="B36" s="2" t="inlineStr">
        <is>
          <t>qoq</t>
        </is>
      </c>
      <c r="C36" t="inlineStr">
        <is>
          <t>주식수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</v>
      </c>
      <c r="AD36" s="24" t="n">
        <v>0</v>
      </c>
      <c r="AE36" s="25" t="n"/>
      <c r="AF36" s="24" t="n">
        <v>0</v>
      </c>
      <c r="AG36" s="24" t="n">
        <v>0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drv:DPS</t>
        </is>
      </c>
      <c r="B37" s="2" t="inlineStr">
        <is>
          <t>abs</t>
        </is>
      </c>
      <c r="C37" t="inlineStr">
        <is>
          <t>DPS (가정, 원)</t>
        </is>
      </c>
      <c r="E37" s="27">
        <f>subQ!E31</f>
        <v/>
      </c>
      <c r="F37" s="28">
        <f>subQ!F31</f>
        <v/>
      </c>
      <c r="G37" s="27">
        <f>subQ!G31</f>
        <v/>
      </c>
      <c r="H37" s="27">
        <f>subQ!H31</f>
        <v/>
      </c>
      <c r="I37" s="27">
        <f>subQ!I31</f>
        <v/>
      </c>
      <c r="J37" s="27">
        <f>subQ!J31</f>
        <v/>
      </c>
      <c r="K37" s="28">
        <f>subQ!K31</f>
        <v/>
      </c>
      <c r="L37" s="27">
        <f>subQ!L31</f>
        <v/>
      </c>
      <c r="M37" s="27">
        <f>subQ!M31</f>
        <v/>
      </c>
      <c r="N37" s="27">
        <f>subQ!N31</f>
        <v/>
      </c>
      <c r="O37" s="27">
        <f>subQ!O31</f>
        <v/>
      </c>
      <c r="P37" s="28">
        <f>subQ!P31</f>
        <v/>
      </c>
      <c r="Q37" s="27">
        <f>subQ!Q31</f>
        <v/>
      </c>
      <c r="R37" s="27">
        <f>subQ!R31</f>
        <v/>
      </c>
      <c r="S37" s="27">
        <f>subQ!S31</f>
        <v/>
      </c>
      <c r="T37" s="27">
        <f>subQ!T31</f>
        <v/>
      </c>
      <c r="U37" s="28">
        <f>subQ!U31</f>
        <v/>
      </c>
      <c r="V37" s="27">
        <f>subQ!V31</f>
        <v/>
      </c>
      <c r="W37" s="27">
        <f>subQ!W31</f>
        <v/>
      </c>
      <c r="X37" s="27">
        <f>subQ!X31</f>
        <v/>
      </c>
      <c r="Y37" s="27">
        <f>subQ!Y31</f>
        <v/>
      </c>
      <c r="Z37" s="28">
        <f>subQ!Z31</f>
        <v/>
      </c>
      <c r="AA37" s="27">
        <f>subQ!AA31</f>
        <v/>
      </c>
      <c r="AB37" s="29">
        <f>subQ!AB31</f>
        <v/>
      </c>
      <c r="AC37" s="33" t="n"/>
      <c r="AD37" s="30" t="n">
        <v>700</v>
      </c>
      <c r="AE37" s="31">
        <f>subQ!AE31</f>
        <v/>
      </c>
      <c r="AF37" s="33" t="n"/>
      <c r="AG37" s="33" t="n"/>
      <c r="AH37" s="33" t="n"/>
      <c r="AI37" s="30" t="n">
        <v>700</v>
      </c>
      <c r="AJ37" s="31">
        <f>subQ!AJ31</f>
        <v/>
      </c>
      <c r="AK37" s="33" t="n"/>
      <c r="AL37" s="33" t="n"/>
      <c r="AM37" s="33" t="n"/>
      <c r="AN37" s="30" t="n">
        <v>700</v>
      </c>
      <c r="AO37" s="31">
        <f>subQ!AO31</f>
        <v/>
      </c>
    </row>
    <row r="38"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B39" s="1" t="inlineStr">
        <is>
          <t>3. 밸류에이션·스칼라</t>
        </is>
      </c>
      <c r="C39" s="2" t="inlineStr">
        <is>
          <t>노란 셀 = 가정. '연결' 표시는 추정 전 분기 수식이 이 셀을 참조한다는 뜻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sc:종가</t>
        </is>
      </c>
      <c r="C40" t="inlineStr">
        <is>
          <t>종가</t>
        </is>
      </c>
      <c r="D40" s="34" t="n">
        <v>7120</v>
      </c>
      <c r="E40" s="2" t="inlineStr">
        <is>
          <t>원 — 네이버 정규장 종가(aik 확정종가 대조 · aik 7,560원)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sc:기준일</t>
        </is>
      </c>
      <c r="C41" t="inlineStr">
        <is>
          <t>기준일</t>
        </is>
      </c>
      <c r="D41" s="35" t="inlineStr">
        <is>
          <t>20261013</t>
        </is>
      </c>
      <c r="E41" s="2" t="inlineStr">
        <is>
          <t>종가 기준일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sc:COE</t>
        </is>
      </c>
      <c r="C42" t="inlineStr">
        <is>
          <t>COE</t>
        </is>
      </c>
      <c r="D42" s="24" t="n">
        <v>0.09</v>
      </c>
      <c r="E42" s="2" t="inlineStr">
        <is>
          <t>자기자본비용(가정) — TP 적정 PBR = ROE/COE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sc:PER_lo</t>
        </is>
      </c>
      <c r="C43" t="inlineStr">
        <is>
          <t>PER_lo</t>
        </is>
      </c>
      <c r="D43" s="30" t="n">
        <v>5.8</v>
      </c>
      <c r="E43" s="2" t="inlineStr">
        <is>
          <t>PER 밴드 하단(배) — hist_quarterly(분기 평균가 ÷ TTM EPS, 15분기, 25/50/75 백분위)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sc:PER_mid</t>
        </is>
      </c>
      <c r="C44" t="inlineStr">
        <is>
          <t>PER_mid</t>
        </is>
      </c>
      <c r="D44" s="30" t="n">
        <v>9.4</v>
      </c>
      <c r="E44" s="2" t="inlineStr">
        <is>
          <t>PER 밴드 중단(배)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sc:PER_hi</t>
        </is>
      </c>
      <c r="C45" t="inlineStr">
        <is>
          <t>PER_hi</t>
        </is>
      </c>
      <c r="D45" s="30" t="n">
        <v>10.3</v>
      </c>
      <c r="E45" s="2" t="inlineStr">
        <is>
          <t>PER 밴드 상단(배)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sc:EPS_Y1가중</t>
        </is>
      </c>
      <c r="C46" t="inlineStr">
        <is>
          <t>EPS_Y1가중</t>
        </is>
      </c>
      <c r="D46" s="24" t="n">
        <v>0.5</v>
      </c>
      <c r="E46" s="2" t="inlineStr">
        <is>
          <t>12M fwd EPS = FY(last_actual연도)E × w + FY+1E × (1−w) — 기준 분기 2Q 이면 0.5(가정)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sc:세율</t>
        </is>
      </c>
      <c r="C47" t="inlineStr">
        <is>
          <t>세율</t>
        </is>
      </c>
      <c r="D47" s="36" t="n">
        <v>0.08413171504783769</v>
      </c>
      <c r="E47" s="2" t="inlineStr">
        <is>
          <t>연결 — 법인세 = MAX(세전,0) × 세율(역산, 재현 오차 ≤ 0.05억 · 모델 assumptions 0.0841) · 최근 12분기 유효세율 8.4%(5~27% 안 — 그대로)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sc:판관비율</t>
        </is>
      </c>
      <c r="C48" t="inlineStr">
        <is>
          <t>판관비율</t>
        </is>
      </c>
      <c r="D48" s="36" t="n">
        <v>0.1080924796561476</v>
      </c>
      <c r="E48" s="2" t="inlineStr">
        <is>
          <t>연결 — 판관비 = 매출액 × 판관비율(역산, 재현 오차 ≤ 0.05억 · 모델 assumptions 0.1081)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sc:지배주주비중</t>
        </is>
      </c>
      <c r="C49" t="inlineStr">
        <is>
          <t>지배주주비중</t>
        </is>
      </c>
      <c r="D49" s="36" t="n">
        <v>0.9267459000633771</v>
      </c>
      <c r="E49" s="2" t="inlineStr">
        <is>
          <t>연결 — 지배주주순이익 = 당기순이익 × 비중(역산, 재현 오차 ≤ 0.05억)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sc:이자율_자산</t>
        </is>
      </c>
      <c r="C50" t="inlineStr">
        <is>
          <t>이자율_자산</t>
        </is>
      </c>
      <c r="D50" s="36" t="n">
        <v>0.0004473260626706207</v>
      </c>
      <c r="E50" s="2" t="inlineStr">
        <is>
          <t>연결 — 이자손익 = (전분기 이자발생자산 × 자산이자율 − 전분기 총차입금 × 부채이자율)/4(역산, 재현 오차 ≤ 0.05억 · 모델 assumptions 0.0004)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sc:이자율_부채</t>
        </is>
      </c>
      <c r="C51" t="inlineStr">
        <is>
          <t>이자율_부채</t>
        </is>
      </c>
      <c r="D51" s="36" t="n">
        <v>0.004394561660596782</v>
      </c>
      <c r="E51" s="2" t="inlineStr">
        <is>
          <t>연결 — 같은 수식의 부채 쪽(총차입금 행이 없으면 0)(역산, 재현 오차 ≤ 0.05억 · 모델 assumptions 0.0044)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sc:배당성향</t>
        </is>
      </c>
      <c r="C52" t="inlineStr">
        <is>
          <t>배당성향</t>
        </is>
      </c>
      <c r="D52" s="24" t="n">
        <v>0.3636</v>
      </c>
      <c r="E52" s="2" t="inlineStr">
        <is>
          <t>배당성향(참고 — 모델은 직전 DPS 유지·Q2 지급 가정)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sc:외화순노출_백만$</t>
        </is>
      </c>
      <c r="C53" t="inlineStr">
        <is>
          <t>외화순노출_백만$</t>
        </is>
      </c>
      <c r="D53" s="30" t="n"/>
      <c r="E53" s="2" t="inlineStr">
        <is>
          <t>외화 순노출 × Δ기말환율 (외화 시트 방식) — 외화 순노출 미공시(face) → 0 + 표기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sc:헤지비율</t>
        </is>
      </c>
      <c r="C54" t="inlineStr">
        <is>
          <t>헤지비율</t>
        </is>
      </c>
      <c r="D54" s="24" t="n"/>
      <c r="E54" s="2" t="inlineStr">
        <is>
          <t>sls 없음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sc:헤지환율_약정</t>
        </is>
      </c>
      <c r="C55" t="inlineStr">
        <is>
          <t>헤지환율_약정</t>
        </is>
      </c>
      <c r="D55" s="16" t="n"/>
      <c r="E55" s="2" t="inlineStr">
        <is>
          <t>sls 없음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케이프(연)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비유동자산</t>
        </is>
      </c>
      <c r="E5" s="18" t="n">
        <v>124160.12</v>
      </c>
      <c r="F5" s="37" t="n">
        <v>124160.12</v>
      </c>
      <c r="G5" s="18" t="n">
        <v>124049.15</v>
      </c>
      <c r="H5" s="18" t="n">
        <v>123744.68</v>
      </c>
      <c r="I5" s="18" t="n">
        <v>76015.64</v>
      </c>
      <c r="J5" s="18" t="n">
        <v>75991.3</v>
      </c>
      <c r="K5" s="37" t="n">
        <v>75991.3</v>
      </c>
      <c r="L5" s="18" t="n">
        <v>76226.17999999999</v>
      </c>
      <c r="M5" s="18" t="n">
        <v>76557.77</v>
      </c>
      <c r="N5" s="18" t="n">
        <v>76076.67999999999</v>
      </c>
      <c r="O5" s="18" t="n">
        <v>75729.03999999999</v>
      </c>
      <c r="P5" s="37" t="n">
        <v>75729.03999999999</v>
      </c>
      <c r="Q5" s="18" t="n">
        <v>75273.86</v>
      </c>
      <c r="R5" s="18" t="n">
        <v>74844.05</v>
      </c>
      <c r="S5" s="18" t="n">
        <v>74444.58</v>
      </c>
      <c r="T5" s="18" t="n">
        <v>122183.72</v>
      </c>
      <c r="U5" s="37" t="n">
        <v>122183.72</v>
      </c>
      <c r="V5" s="18" t="n">
        <v>121763.85</v>
      </c>
      <c r="W5" s="18" t="n">
        <v>123500.57</v>
      </c>
      <c r="X5" s="18" t="n">
        <v>123098.78</v>
      </c>
      <c r="Y5" s="18" t="n">
        <v>316112.9</v>
      </c>
      <c r="Z5" s="37" t="n">
        <v>316112.9</v>
      </c>
      <c r="AA5" s="18" t="n">
        <v>337424.96</v>
      </c>
      <c r="AB5" s="19" t="n">
        <v>346556.96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유형자산</t>
        </is>
      </c>
      <c r="E6" s="18" t="n">
        <v>94850.25999999999</v>
      </c>
      <c r="F6" s="37" t="n">
        <v>94850.25999999999</v>
      </c>
      <c r="G6" s="18" t="n">
        <v>94772.53</v>
      </c>
      <c r="H6" s="18" t="n">
        <v>94495.28</v>
      </c>
      <c r="I6" s="18" t="n">
        <v>75526.03999999999</v>
      </c>
      <c r="J6" s="18" t="n">
        <v>75487.48</v>
      </c>
      <c r="K6" s="37" t="n">
        <v>75487.48</v>
      </c>
      <c r="L6" s="18" t="n">
        <v>75712.25</v>
      </c>
      <c r="M6" s="18" t="n">
        <v>8443.700000000001</v>
      </c>
      <c r="N6" s="18" t="n">
        <v>7680.27</v>
      </c>
      <c r="O6" s="18" t="n">
        <v>6943.26</v>
      </c>
      <c r="P6" s="37" t="n">
        <v>6943.26</v>
      </c>
      <c r="Q6" s="18" t="n">
        <v>6361.02</v>
      </c>
      <c r="R6" s="18" t="n">
        <v>5631.41</v>
      </c>
      <c r="S6" s="18" t="n">
        <v>4913.11</v>
      </c>
      <c r="T6" s="18" t="n">
        <v>4157.05</v>
      </c>
      <c r="U6" s="37" t="n">
        <v>4157.05</v>
      </c>
      <c r="V6" s="18" t="n">
        <v>3664.29</v>
      </c>
      <c r="W6" s="18" t="n">
        <v>3039.84</v>
      </c>
      <c r="X6" s="18" t="n">
        <v>2384.82</v>
      </c>
      <c r="Y6" s="18" t="n">
        <v>85736.83</v>
      </c>
      <c r="Z6" s="37" t="n">
        <v>85736.83</v>
      </c>
      <c r="AA6" s="18" t="n">
        <v>85410.81</v>
      </c>
      <c r="AB6" s="19" t="n">
        <v>85333.03999999999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투자부동산</t>
        </is>
      </c>
      <c r="E7" s="18" t="n">
        <v>28848.65</v>
      </c>
      <c r="F7" s="37" t="n">
        <v>28848.65</v>
      </c>
      <c r="G7" s="18" t="n">
        <v>28809</v>
      </c>
      <c r="H7" s="18" t="n">
        <v>28769.36</v>
      </c>
      <c r="I7" s="18" t="n">
        <v>0</v>
      </c>
      <c r="J7" s="18" t="n">
        <v>0</v>
      </c>
      <c r="K7" s="37" t="n">
        <v>0</v>
      </c>
      <c r="O7" s="18" t="n">
        <v>0</v>
      </c>
      <c r="P7" s="37" t="n">
        <v>0</v>
      </c>
      <c r="T7" s="18" t="n">
        <v>47561.74</v>
      </c>
      <c r="U7" s="37" t="n">
        <v>47561.74</v>
      </c>
      <c r="V7" s="18" t="n">
        <v>47521.37</v>
      </c>
      <c r="W7" s="18" t="n">
        <v>47480.99</v>
      </c>
      <c r="X7" s="18" t="n">
        <v>47440.62</v>
      </c>
      <c r="Y7" s="18" t="n">
        <v>57254.32</v>
      </c>
      <c r="Z7" s="37" t="n">
        <v>57254.32</v>
      </c>
      <c r="AA7" s="18" t="n">
        <v>57213.94</v>
      </c>
      <c r="AB7" s="19" t="n">
        <v>57173.57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무형자산</t>
        </is>
      </c>
      <c r="E8" s="18" t="n">
        <v>318.59</v>
      </c>
      <c r="F8" s="37" t="n">
        <v>318.59</v>
      </c>
      <c r="G8" s="18" t="n">
        <v>318.59</v>
      </c>
      <c r="H8" s="18" t="n">
        <v>318.59</v>
      </c>
      <c r="I8" s="18" t="n">
        <v>318.59</v>
      </c>
      <c r="J8" s="18" t="n">
        <v>318.59</v>
      </c>
      <c r="K8" s="37" t="n">
        <v>318.59</v>
      </c>
      <c r="L8" s="18" t="n">
        <v>318.59</v>
      </c>
      <c r="M8" s="18" t="n">
        <v>6984.24</v>
      </c>
      <c r="N8" s="18" t="n">
        <v>7078.98</v>
      </c>
      <c r="O8" s="18" t="n">
        <v>6992.59</v>
      </c>
      <c r="P8" s="37" t="n">
        <v>6992.59</v>
      </c>
      <c r="Q8" s="18" t="n">
        <v>6908.58</v>
      </c>
      <c r="R8" s="18" t="n">
        <v>6822.68</v>
      </c>
      <c r="S8" s="18" t="n">
        <v>7546.8</v>
      </c>
      <c r="T8" s="18" t="n">
        <v>6881.1</v>
      </c>
      <c r="U8" s="37" t="n">
        <v>6881.1</v>
      </c>
      <c r="V8" s="18" t="n">
        <v>9196.940000000001</v>
      </c>
      <c r="W8" s="18" t="n">
        <v>9222.030000000001</v>
      </c>
      <c r="X8" s="18" t="n">
        <v>9200.52</v>
      </c>
      <c r="Y8" s="18" t="n">
        <v>11856.9</v>
      </c>
      <c r="Z8" s="37" t="n">
        <v>11856.9</v>
      </c>
      <c r="AA8" s="18" t="n">
        <v>11737.33</v>
      </c>
      <c r="AB8" s="19" t="n">
        <v>11825.17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종속기업및관계기업투자</t>
        </is>
      </c>
      <c r="E9" s="18" t="n">
        <v>102.72</v>
      </c>
      <c r="F9" s="37" t="n">
        <v>102.72</v>
      </c>
      <c r="G9" s="18" t="n">
        <v>98.33</v>
      </c>
      <c r="H9" s="18" t="n">
        <v>99.87</v>
      </c>
      <c r="I9" s="18" t="n">
        <v>98.38</v>
      </c>
      <c r="J9" s="18" t="n">
        <v>101.49</v>
      </c>
      <c r="K9" s="37" t="n">
        <v>101.49</v>
      </c>
      <c r="L9" s="18" t="n">
        <v>100.43</v>
      </c>
      <c r="M9" s="18" t="n">
        <v>38538.32</v>
      </c>
      <c r="N9" s="18" t="n">
        <v>34687.19</v>
      </c>
      <c r="O9" s="18" t="n">
        <v>34134.16</v>
      </c>
      <c r="P9" s="37" t="n">
        <v>34134.16</v>
      </c>
      <c r="Q9" s="18" t="n">
        <v>23287.85</v>
      </c>
      <c r="R9" s="18" t="n">
        <v>20492.6</v>
      </c>
      <c r="S9" s="18" t="n">
        <v>20792.09</v>
      </c>
      <c r="T9" s="18" t="n">
        <v>28065.31</v>
      </c>
      <c r="U9" s="37" t="n">
        <v>28065.31</v>
      </c>
      <c r="V9" s="18" t="n">
        <v>30259.03</v>
      </c>
      <c r="W9" s="18" t="n">
        <v>21449.71</v>
      </c>
      <c r="X9" s="18" t="n">
        <v>16670.14</v>
      </c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투자자산</t>
        </is>
      </c>
      <c r="E10" s="18" t="n">
        <v>104.22</v>
      </c>
      <c r="F10" s="37" t="n">
        <v>104.22</v>
      </c>
      <c r="G10" s="18" t="n">
        <v>99.83</v>
      </c>
      <c r="H10" s="18" t="n">
        <v>101.37</v>
      </c>
      <c r="I10" s="18" t="n">
        <v>99.88</v>
      </c>
      <c r="J10" s="18" t="n">
        <v>102.99</v>
      </c>
      <c r="K10" s="37" t="n">
        <v>102.99</v>
      </c>
      <c r="L10" s="18" t="n">
        <v>101.93</v>
      </c>
      <c r="M10" s="18" t="n">
        <v>1819318.98</v>
      </c>
      <c r="N10" s="18" t="n">
        <v>1769158.34</v>
      </c>
      <c r="O10" s="18" t="n">
        <v>1736057.03</v>
      </c>
      <c r="P10" s="37" t="n">
        <v>1736057.03</v>
      </c>
      <c r="Q10" s="18" t="n">
        <v>1825711.45</v>
      </c>
      <c r="R10" s="18" t="n">
        <v>1824886.47</v>
      </c>
      <c r="S10" s="18" t="n">
        <v>2064519.52</v>
      </c>
      <c r="T10" s="18" t="n">
        <v>1895715.69</v>
      </c>
      <c r="U10" s="37" t="n">
        <v>1895715.69</v>
      </c>
      <c r="V10" s="18" t="n">
        <v>2033283.28</v>
      </c>
      <c r="W10" s="18" t="n">
        <v>2229686.74</v>
      </c>
      <c r="X10" s="18" t="n">
        <v>2100327.89</v>
      </c>
      <c r="Y10" s="18" t="n">
        <v>133288.32</v>
      </c>
      <c r="Z10" s="37" t="n">
        <v>133288.32</v>
      </c>
      <c r="AA10" s="18" t="n">
        <v>141950.81</v>
      </c>
      <c r="AB10" s="19" t="n">
        <v>151509.27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장기금융자산</t>
        </is>
      </c>
      <c r="E11" s="18" t="n">
        <v>1.5</v>
      </c>
      <c r="F11" s="37" t="n">
        <v>1.5</v>
      </c>
      <c r="G11" s="18" t="n">
        <v>1.5</v>
      </c>
      <c r="H11" s="18" t="n">
        <v>1.5</v>
      </c>
      <c r="I11" s="18" t="n">
        <v>1.5</v>
      </c>
      <c r="J11" s="18" t="n">
        <v>1.5</v>
      </c>
      <c r="K11" s="37" t="n">
        <v>1.5</v>
      </c>
      <c r="L11" s="18" t="n">
        <v>1.5</v>
      </c>
      <c r="M11" s="18" t="n">
        <v>1780780.66</v>
      </c>
      <c r="N11" s="18" t="n">
        <v>1734471.15</v>
      </c>
      <c r="O11" s="18" t="n">
        <v>1701922.87</v>
      </c>
      <c r="P11" s="37" t="n">
        <v>1701922.87</v>
      </c>
      <c r="Q11" s="18" t="n">
        <v>1802423.6</v>
      </c>
      <c r="R11" s="18" t="n">
        <v>1804393.87</v>
      </c>
      <c r="S11" s="18" t="n">
        <v>2043727.43</v>
      </c>
      <c r="T11" s="18" t="n">
        <v>1867650.38</v>
      </c>
      <c r="U11" s="37" t="n">
        <v>1867650.38</v>
      </c>
      <c r="V11" s="18" t="n">
        <v>2003024.25</v>
      </c>
      <c r="W11" s="18" t="n">
        <v>2208237.03</v>
      </c>
      <c r="X11" s="18" t="n">
        <v>2083657.75</v>
      </c>
      <c r="Y11" s="18" t="n">
        <v>133288.32</v>
      </c>
      <c r="Z11" s="37" t="n">
        <v>133288.32</v>
      </c>
      <c r="AA11" s="18" t="n">
        <v>141950.81</v>
      </c>
      <c r="AB11" s="19" t="n">
        <v>151509.27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장기매출채권및기타채권</t>
        </is>
      </c>
      <c r="E12" s="18" t="n">
        <v>0.53</v>
      </c>
      <c r="F12" s="37" t="n">
        <v>0.53</v>
      </c>
      <c r="G12" s="18" t="n">
        <v>0.53</v>
      </c>
      <c r="H12" s="18" t="n">
        <v>0.53</v>
      </c>
      <c r="I12" s="18" t="n">
        <v>0.53</v>
      </c>
      <c r="J12" s="18" t="n">
        <v>0.53</v>
      </c>
      <c r="K12" s="37" t="n">
        <v>0.53</v>
      </c>
      <c r="L12" s="18" t="n">
        <v>0.53</v>
      </c>
      <c r="M12" s="18" t="n">
        <v>0.53</v>
      </c>
      <c r="N12" s="18" t="n">
        <v>0.53</v>
      </c>
      <c r="O12" s="18" t="n">
        <v>113.33</v>
      </c>
      <c r="P12" s="37" t="n">
        <v>113.33</v>
      </c>
      <c r="Q12" s="18" t="n">
        <v>115.39</v>
      </c>
      <c r="R12" s="18" t="n">
        <v>117.48</v>
      </c>
      <c r="S12" s="18" t="n">
        <v>119.63</v>
      </c>
      <c r="T12" s="18" t="n">
        <v>121.62</v>
      </c>
      <c r="U12" s="37" t="n">
        <v>121.62</v>
      </c>
      <c r="V12" s="18" t="n">
        <v>124.01</v>
      </c>
      <c r="W12" s="18" t="n">
        <v>399.74</v>
      </c>
      <c r="X12" s="18" t="n">
        <v>410.36</v>
      </c>
      <c r="Y12" s="18" t="n">
        <v>7449.47</v>
      </c>
      <c r="Z12" s="37" t="n">
        <v>7449.47</v>
      </c>
      <c r="AA12" s="18" t="n">
        <v>6836.26</v>
      </c>
      <c r="AB12" s="19" t="n">
        <v>7120.3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유동자산</t>
        </is>
      </c>
      <c r="E13" s="18" t="n">
        <v>37533.17</v>
      </c>
      <c r="F13" s="37" t="n">
        <v>37533.17</v>
      </c>
      <c r="G13" s="18" t="n">
        <v>37918.35</v>
      </c>
      <c r="H13" s="18" t="n">
        <v>41545.29</v>
      </c>
      <c r="I13" s="18" t="n">
        <v>94374.22</v>
      </c>
      <c r="J13" s="18" t="n">
        <v>96132</v>
      </c>
      <c r="K13" s="37" t="n">
        <v>96132</v>
      </c>
      <c r="L13" s="18" t="n">
        <v>100370.24</v>
      </c>
      <c r="M13" s="18" t="n">
        <v>58409.33</v>
      </c>
      <c r="N13" s="18" t="n">
        <v>60298.78</v>
      </c>
      <c r="O13" s="18" t="n">
        <v>61631.62</v>
      </c>
      <c r="P13" s="37" t="n">
        <v>61631.62</v>
      </c>
      <c r="Q13" s="18" t="n">
        <v>65630.83</v>
      </c>
      <c r="R13" s="18" t="n">
        <v>55736.89</v>
      </c>
      <c r="S13" s="18" t="n">
        <v>56877.71</v>
      </c>
      <c r="T13" s="18" t="n">
        <v>39511.73</v>
      </c>
      <c r="U13" s="37" t="n">
        <v>39511.73</v>
      </c>
      <c r="V13" s="18" t="n">
        <v>48202.18</v>
      </c>
      <c r="W13" s="18" t="n">
        <v>52564.75</v>
      </c>
      <c r="X13" s="18" t="n">
        <v>60620.01</v>
      </c>
      <c r="Y13" s="18" t="n">
        <v>2376860.8</v>
      </c>
      <c r="Z13" s="37" t="n">
        <v>2376860.8</v>
      </c>
      <c r="AA13" s="18" t="n">
        <v>4586463.25</v>
      </c>
      <c r="AB13" s="19" t="n">
        <v>4232992.41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재고자산</t>
        </is>
      </c>
      <c r="E14" s="18" t="n">
        <v>16937.57</v>
      </c>
      <c r="F14" s="37" t="n">
        <v>16937.57</v>
      </c>
      <c r="G14" s="18" t="n">
        <v>17160.64</v>
      </c>
      <c r="H14" s="18" t="n">
        <v>18217.61</v>
      </c>
      <c r="I14" s="18" t="n">
        <v>18158.95</v>
      </c>
      <c r="J14" s="18" t="n">
        <v>18997</v>
      </c>
      <c r="K14" s="37" t="n">
        <v>18997</v>
      </c>
      <c r="L14" s="18" t="n">
        <v>19430.3</v>
      </c>
      <c r="M14" s="18" t="n">
        <v>20241.27</v>
      </c>
      <c r="N14" s="18" t="n">
        <v>22010.01</v>
      </c>
      <c r="O14" s="18" t="n">
        <v>22524.55</v>
      </c>
      <c r="P14" s="37" t="n">
        <v>22524.55</v>
      </c>
      <c r="Q14" s="18" t="n">
        <v>20680.29</v>
      </c>
      <c r="R14" s="18" t="n">
        <v>16454.03</v>
      </c>
      <c r="S14" s="18" t="n">
        <v>14664.07</v>
      </c>
      <c r="T14" s="18" t="n">
        <v>13351.98</v>
      </c>
      <c r="U14" s="37" t="n">
        <v>13351.98</v>
      </c>
      <c r="V14" s="18" t="n">
        <v>12886.61</v>
      </c>
      <c r="W14" s="18" t="n">
        <v>13717.11</v>
      </c>
      <c r="X14" s="18" t="n">
        <v>15288.85</v>
      </c>
      <c r="Y14" s="18" t="n">
        <v>14986.18</v>
      </c>
      <c r="Z14" s="37" t="n">
        <v>14986.18</v>
      </c>
      <c r="AA14" s="18" t="n">
        <v>17129.18</v>
      </c>
      <c r="AB14" s="19" t="n">
        <v>15109.24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매출채권및기타채권</t>
        </is>
      </c>
      <c r="E15" s="18" t="n">
        <v>9230.49</v>
      </c>
      <c r="F15" s="37" t="n">
        <v>9230.49</v>
      </c>
      <c r="G15" s="18" t="n">
        <v>10885.9</v>
      </c>
      <c r="H15" s="18" t="n">
        <v>11016.37</v>
      </c>
      <c r="I15" s="18" t="n">
        <v>9102.43</v>
      </c>
      <c r="J15" s="18" t="n">
        <v>10593.46</v>
      </c>
      <c r="K15" s="37" t="n">
        <v>10593.46</v>
      </c>
      <c r="L15" s="18" t="n">
        <v>12712.63</v>
      </c>
      <c r="M15" s="18" t="n">
        <v>12449.05</v>
      </c>
      <c r="N15" s="18" t="n">
        <v>11410.91</v>
      </c>
      <c r="O15" s="18" t="n">
        <v>12512.13</v>
      </c>
      <c r="P15" s="37" t="n">
        <v>12512.13</v>
      </c>
      <c r="Q15" s="18" t="n">
        <v>11337.05</v>
      </c>
      <c r="R15" s="18" t="n">
        <v>11851.89</v>
      </c>
      <c r="S15" s="18" t="n">
        <v>10067.83</v>
      </c>
      <c r="T15" s="18" t="n">
        <v>11334.52</v>
      </c>
      <c r="U15" s="37" t="n">
        <v>11334.52</v>
      </c>
      <c r="V15" s="18" t="n">
        <v>12363.8</v>
      </c>
      <c r="W15" s="18" t="n">
        <v>8793.65</v>
      </c>
      <c r="X15" s="18" t="n">
        <v>7941.09</v>
      </c>
      <c r="Y15" s="18" t="n">
        <v>63918.77</v>
      </c>
      <c r="Z15" s="37" t="n">
        <v>63918.77</v>
      </c>
      <c r="AA15" s="18" t="n">
        <v>1629076.56</v>
      </c>
      <c r="AB15" s="19" t="n">
        <v>1410865.81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단기투자자산(공정가치)</t>
        </is>
      </c>
      <c r="E16" s="18" t="n">
        <v>1620861.73</v>
      </c>
      <c r="F16" s="37" t="n">
        <v>1620861.73</v>
      </c>
      <c r="G16" s="18" t="n">
        <v>1812254.84</v>
      </c>
      <c r="H16" s="18" t="n">
        <v>1719419.18</v>
      </c>
      <c r="I16" s="18" t="n">
        <v>1709588.54</v>
      </c>
      <c r="J16" s="18" t="n">
        <v>1761720.2</v>
      </c>
      <c r="K16" s="37" t="n">
        <v>1761720.2</v>
      </c>
      <c r="L16" s="18" t="n">
        <v>1819503.81</v>
      </c>
      <c r="M16" s="18" t="n">
        <v>591.08</v>
      </c>
      <c r="N16" s="18" t="n">
        <v>591.08</v>
      </c>
      <c r="O16" s="18" t="n">
        <v>739.73</v>
      </c>
      <c r="P16" s="37" t="n">
        <v>739.73</v>
      </c>
      <c r="Q16" s="18" t="n">
        <v>2533.39</v>
      </c>
      <c r="R16" s="18" t="n">
        <v>2307.1</v>
      </c>
      <c r="S16" s="18" t="n">
        <v>1952.37</v>
      </c>
      <c r="T16" s="18" t="n">
        <v>3649.51</v>
      </c>
      <c r="U16" s="37" t="n">
        <v>3649.51</v>
      </c>
      <c r="V16" s="18" t="n">
        <v>3382.62</v>
      </c>
      <c r="W16" s="18" t="n">
        <v>553.74</v>
      </c>
      <c r="X16" s="18" t="n">
        <v>2342.55</v>
      </c>
      <c r="Y16" s="18" t="n">
        <v>1901296.64</v>
      </c>
      <c r="Z16" s="37" t="n">
        <v>1901296.64</v>
      </c>
      <c r="AA16" s="18" t="n">
        <v>2499502.32</v>
      </c>
      <c r="AB16" s="19" t="n">
        <v>2300245.16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현금및현금성자산</t>
        </is>
      </c>
      <c r="E17" s="18" t="n">
        <v>5032.77</v>
      </c>
      <c r="F17" s="37" t="n">
        <v>5032.77</v>
      </c>
      <c r="G17" s="18" t="n">
        <v>6803.11</v>
      </c>
      <c r="H17" s="18" t="n">
        <v>5738.02</v>
      </c>
      <c r="I17" s="18" t="n">
        <v>13936.02</v>
      </c>
      <c r="J17" s="18" t="n">
        <v>7391.89</v>
      </c>
      <c r="K17" s="37" t="n">
        <v>7391.89</v>
      </c>
      <c r="L17" s="18" t="n">
        <v>7568.66</v>
      </c>
      <c r="M17" s="18" t="n">
        <v>5667.23</v>
      </c>
      <c r="N17" s="18" t="n">
        <v>7841.9</v>
      </c>
      <c r="O17" s="18" t="n">
        <v>9448.610000000001</v>
      </c>
      <c r="P17" s="37" t="n">
        <v>9448.610000000001</v>
      </c>
      <c r="Q17" s="18" t="n">
        <v>12663.67</v>
      </c>
      <c r="R17" s="18" t="n">
        <v>10837.47</v>
      </c>
      <c r="S17" s="18" t="n">
        <v>6253.68</v>
      </c>
      <c r="T17" s="18" t="n">
        <v>9712.219999999999</v>
      </c>
      <c r="U17" s="37" t="n">
        <v>9712.219999999999</v>
      </c>
      <c r="V17" s="18" t="n">
        <v>14388.67</v>
      </c>
      <c r="W17" s="18" t="n">
        <v>17557.19</v>
      </c>
      <c r="X17" s="18" t="n">
        <v>10994.4</v>
      </c>
      <c r="Y17" s="18" t="n">
        <v>153520.11</v>
      </c>
      <c r="Z17" s="37" t="n">
        <v>153520.11</v>
      </c>
      <c r="AA17" s="18" t="n">
        <v>122173.76</v>
      </c>
      <c r="AB17" s="19" t="n">
        <v>132342.51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당기법인세자산(선급법인세)</t>
        </is>
      </c>
      <c r="E18" s="18" t="n">
        <v>0</v>
      </c>
      <c r="F18" s="37" t="n">
        <v>0</v>
      </c>
      <c r="G18" s="18" t="n">
        <v>0</v>
      </c>
      <c r="H18" s="18" t="n">
        <v>0</v>
      </c>
      <c r="I18" s="18" t="n">
        <v>2416.49</v>
      </c>
      <c r="J18" s="18" t="n">
        <v>3485.19</v>
      </c>
      <c r="K18" s="37" t="n">
        <v>3485.19</v>
      </c>
      <c r="L18" s="18" t="n">
        <v>5734.96</v>
      </c>
      <c r="M18" s="18" t="n">
        <v>3.25</v>
      </c>
      <c r="N18" s="18" t="n">
        <v>43.78</v>
      </c>
      <c r="O18" s="18" t="n">
        <v>9.35</v>
      </c>
      <c r="P18" s="37" t="n">
        <v>9.35</v>
      </c>
      <c r="Q18" s="18" t="n">
        <v>51.4</v>
      </c>
      <c r="R18" s="18" t="n">
        <v>5.53</v>
      </c>
      <c r="S18" s="18" t="n">
        <v>56.96</v>
      </c>
      <c r="T18" s="18" t="n">
        <v>16.7</v>
      </c>
      <c r="U18" s="37" t="n">
        <v>16.7</v>
      </c>
      <c r="V18" s="18" t="n">
        <v>241.46</v>
      </c>
      <c r="W18" s="18" t="n">
        <v>187.56</v>
      </c>
      <c r="X18" s="18" t="n">
        <v>217.95</v>
      </c>
      <c r="Y18" s="18" t="n">
        <v>7080.51</v>
      </c>
      <c r="Z18" s="37" t="n">
        <v>7080.51</v>
      </c>
      <c r="AA18" s="18" t="n">
        <v>1209.16</v>
      </c>
      <c r="AB18" s="19" t="n">
        <v>35.68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기타유동자산</t>
        </is>
      </c>
      <c r="E19" s="18" t="n">
        <v>16.11</v>
      </c>
      <c r="F19" s="37" t="n">
        <v>16.11</v>
      </c>
      <c r="G19" s="18" t="n">
        <v>16.61</v>
      </c>
      <c r="H19" s="18" t="n">
        <v>1225.17</v>
      </c>
      <c r="I19" s="18" t="n">
        <v>238.49</v>
      </c>
      <c r="J19" s="18" t="n">
        <v>32.99</v>
      </c>
      <c r="K19" s="37" t="n">
        <v>32.99</v>
      </c>
      <c r="L19" s="18" t="n">
        <v>28.7</v>
      </c>
      <c r="M19" s="18" t="n">
        <v>25.71</v>
      </c>
      <c r="N19" s="18" t="n">
        <v>35.04</v>
      </c>
      <c r="O19" s="18" t="n">
        <v>32.43</v>
      </c>
      <c r="P19" s="37" t="n">
        <v>32.43</v>
      </c>
      <c r="Q19" s="18" t="n">
        <v>12.7</v>
      </c>
      <c r="R19" s="18" t="n">
        <v>52.37</v>
      </c>
      <c r="S19" s="18" t="n">
        <v>20.04</v>
      </c>
      <c r="T19" s="18" t="n">
        <v>16.36</v>
      </c>
      <c r="U19" s="37" t="n">
        <v>16.36</v>
      </c>
      <c r="V19" s="18" t="n">
        <v>16.25</v>
      </c>
      <c r="W19" s="18" t="n">
        <v>2505.45</v>
      </c>
      <c r="X19" s="18" t="n">
        <v>7584.95</v>
      </c>
      <c r="Y19" s="18" t="n">
        <v>5108.52</v>
      </c>
      <c r="Z19" s="37" t="n">
        <v>5108.52</v>
      </c>
      <c r="AA19" s="18" t="n">
        <v>5738.16</v>
      </c>
      <c r="AB19" s="19" t="n">
        <v>4375.69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2213123.65</v>
      </c>
      <c r="F20" s="37" t="n">
        <v>2213123.65</v>
      </c>
      <c r="G20" s="18" t="n">
        <v>3273082.27</v>
      </c>
      <c r="H20" s="18" t="n">
        <v>3270551.58</v>
      </c>
      <c r="I20" s="18" t="n">
        <v>2885933.21</v>
      </c>
      <c r="J20" s="18" t="n">
        <v>2328846.59</v>
      </c>
      <c r="K20" s="37" t="n">
        <v>2328846.59</v>
      </c>
      <c r="L20" s="18" t="n">
        <v>3320553.48</v>
      </c>
      <c r="M20" s="18" t="n">
        <v>3294286.94</v>
      </c>
      <c r="N20" s="18" t="n">
        <v>3084374.66</v>
      </c>
      <c r="O20" s="18" t="n">
        <v>2240973.81</v>
      </c>
      <c r="P20" s="37" t="n">
        <v>2240973.81</v>
      </c>
      <c r="Q20" s="18" t="n">
        <v>3627533.27</v>
      </c>
      <c r="R20" s="18" t="n">
        <v>3226486.64</v>
      </c>
      <c r="S20" s="18" t="n">
        <v>3385468.47</v>
      </c>
      <c r="T20" s="18" t="n">
        <v>2404664.74</v>
      </c>
      <c r="U20" s="37" t="n">
        <v>2404664.74</v>
      </c>
      <c r="V20" s="18" t="n">
        <v>3847669.41</v>
      </c>
      <c r="W20" s="18" t="n">
        <v>4306743.93</v>
      </c>
      <c r="X20" s="18" t="n">
        <v>4753592.93</v>
      </c>
      <c r="Y20" s="18" t="n">
        <v>2692973.7</v>
      </c>
      <c r="Z20" s="37" t="n">
        <v>2692973.7</v>
      </c>
      <c r="AA20" s="18" t="n">
        <v>4923888.21</v>
      </c>
      <c r="AB20" s="19" t="n">
        <v>4579549.37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지배주주지분</t>
        </is>
      </c>
      <c r="E21" s="18" t="n">
        <v>201105.39</v>
      </c>
      <c r="F21" s="37" t="n">
        <v>201105.39</v>
      </c>
      <c r="G21" s="18" t="n">
        <v>203169.96</v>
      </c>
      <c r="H21" s="18" t="n">
        <v>202557.2</v>
      </c>
      <c r="I21" s="18" t="n">
        <v>194923.52</v>
      </c>
      <c r="J21" s="18" t="n">
        <v>193533.78</v>
      </c>
      <c r="K21" s="37" t="n">
        <v>193533.78</v>
      </c>
      <c r="L21" s="18" t="n">
        <v>208320.41</v>
      </c>
      <c r="M21" s="18" t="n">
        <v>205154.43</v>
      </c>
      <c r="N21" s="18" t="n">
        <v>198005.5</v>
      </c>
      <c r="O21" s="18" t="n">
        <v>208196.99</v>
      </c>
      <c r="P21" s="37" t="n">
        <v>208196.99</v>
      </c>
      <c r="Q21" s="18" t="n">
        <v>206189.53</v>
      </c>
      <c r="R21" s="18" t="n">
        <v>209319.14</v>
      </c>
      <c r="S21" s="18" t="n">
        <v>214875.02</v>
      </c>
      <c r="T21" s="18" t="n">
        <v>212385.68</v>
      </c>
      <c r="U21" s="37" t="n">
        <v>212385.68</v>
      </c>
      <c r="V21" s="18" t="n">
        <v>205080.1</v>
      </c>
      <c r="W21" s="18" t="n">
        <v>229218.86</v>
      </c>
      <c r="X21" s="18" t="n">
        <v>239457.92</v>
      </c>
      <c r="Y21" s="18" t="n">
        <v>301428.11</v>
      </c>
      <c r="Z21" s="37" t="n">
        <v>301428.11</v>
      </c>
      <c r="AA21" s="18" t="n">
        <v>308924.67</v>
      </c>
      <c r="AB21" s="19" t="n">
        <v>308415.66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자본금</t>
        </is>
      </c>
      <c r="E22" s="18" t="n">
        <v>15450.86</v>
      </c>
      <c r="F22" s="37" t="n">
        <v>15450.86</v>
      </c>
      <c r="G22" s="18" t="n">
        <v>15450.86</v>
      </c>
      <c r="H22" s="18" t="n">
        <v>15450.86</v>
      </c>
      <c r="I22" s="18" t="n">
        <v>15450.86</v>
      </c>
      <c r="J22" s="18" t="n">
        <v>15450.86</v>
      </c>
      <c r="K22" s="37" t="n">
        <v>15450.86</v>
      </c>
      <c r="L22" s="18" t="n">
        <v>15450.86</v>
      </c>
      <c r="M22" s="18" t="n">
        <v>15450.86</v>
      </c>
      <c r="N22" s="18" t="n">
        <v>15450.86</v>
      </c>
      <c r="O22" s="18" t="n">
        <v>15450.86</v>
      </c>
      <c r="P22" s="37" t="n">
        <v>15450.86</v>
      </c>
      <c r="Q22" s="18" t="n">
        <v>15450.86</v>
      </c>
      <c r="R22" s="18" t="n">
        <v>15450.86</v>
      </c>
      <c r="S22" s="18" t="n">
        <v>15450.86</v>
      </c>
      <c r="T22" s="18" t="n">
        <v>15450.86</v>
      </c>
      <c r="U22" s="37" t="n">
        <v>15450.86</v>
      </c>
      <c r="V22" s="18" t="n">
        <v>15450.86</v>
      </c>
      <c r="W22" s="18" t="n">
        <v>15450.86</v>
      </c>
      <c r="X22" s="18" t="n">
        <v>15450.86</v>
      </c>
      <c r="Y22" s="18" t="n">
        <v>15450.86</v>
      </c>
      <c r="Z22" s="37" t="n">
        <v>15450.86</v>
      </c>
      <c r="AA22" s="18" t="n">
        <v>15450.86</v>
      </c>
      <c r="AB22" s="19" t="n">
        <v>15450.86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자본잉여금</t>
        </is>
      </c>
      <c r="E23" s="18" t="n">
        <v>74473.14</v>
      </c>
      <c r="F23" s="37" t="n">
        <v>74473.14</v>
      </c>
      <c r="G23" s="18" t="n">
        <v>74473.14</v>
      </c>
      <c r="H23" s="18" t="n">
        <v>74473.14</v>
      </c>
      <c r="I23" s="18" t="n">
        <v>74473.14</v>
      </c>
      <c r="J23" s="18" t="n">
        <v>74473.14</v>
      </c>
      <c r="K23" s="37" t="n">
        <v>74473.14</v>
      </c>
      <c r="L23" s="18" t="n">
        <v>74473.14</v>
      </c>
      <c r="M23" s="18" t="n">
        <v>74473.14</v>
      </c>
      <c r="N23" s="18" t="n">
        <v>74473.14</v>
      </c>
      <c r="O23" s="18" t="n">
        <v>74473.14</v>
      </c>
      <c r="P23" s="37" t="n">
        <v>74473.14</v>
      </c>
      <c r="Q23" s="18" t="n">
        <v>74473.14</v>
      </c>
      <c r="R23" s="18" t="n">
        <v>74473.14</v>
      </c>
      <c r="S23" s="18" t="n">
        <v>74473.14</v>
      </c>
      <c r="T23" s="18" t="n">
        <v>74473.14</v>
      </c>
      <c r="U23" s="37" t="n">
        <v>74473.14</v>
      </c>
      <c r="V23" s="18" t="n">
        <v>74473.14</v>
      </c>
      <c r="W23" s="18" t="n">
        <v>74473.14</v>
      </c>
      <c r="X23" s="18" t="n">
        <v>74473.14</v>
      </c>
      <c r="Y23" s="18" t="n">
        <v>76815.21000000001</v>
      </c>
      <c r="Z23" s="37" t="n">
        <v>76815.21000000001</v>
      </c>
      <c r="AA23" s="18" t="n">
        <v>21815.21</v>
      </c>
      <c r="AB23" s="19" t="n">
        <v>21815.21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기타자본</t>
        </is>
      </c>
      <c r="E24" s="18" t="n">
        <v>28268.22</v>
      </c>
      <c r="F24" s="37" t="n">
        <v>28268.22</v>
      </c>
      <c r="G24" s="18" t="n">
        <v>28203.6</v>
      </c>
      <c r="H24" s="18" t="n">
        <v>28217.82</v>
      </c>
      <c r="I24" s="18" t="n">
        <v>25858.12</v>
      </c>
      <c r="J24" s="18" t="n">
        <v>23218.08</v>
      </c>
      <c r="K24" s="37" t="n">
        <v>23218.08</v>
      </c>
      <c r="L24" s="18" t="n">
        <v>23218.08</v>
      </c>
      <c r="M24" s="18" t="n">
        <v>21929.78</v>
      </c>
      <c r="N24" s="18" t="n">
        <v>18085.17</v>
      </c>
      <c r="O24" s="18" t="n">
        <v>16804.32</v>
      </c>
      <c r="P24" s="37" t="n">
        <v>16804.32</v>
      </c>
      <c r="Q24" s="18" t="n">
        <v>15616.68</v>
      </c>
      <c r="R24" s="18" t="n">
        <v>15616.58</v>
      </c>
      <c r="S24" s="18" t="n">
        <v>15616.58</v>
      </c>
      <c r="T24" s="18" t="n">
        <v>14064.45</v>
      </c>
      <c r="U24" s="37" t="n">
        <v>14064.45</v>
      </c>
      <c r="V24" s="18" t="n">
        <v>14064.45</v>
      </c>
      <c r="W24" s="18" t="n">
        <v>32884.18</v>
      </c>
      <c r="X24" s="18" t="n">
        <v>32541.41</v>
      </c>
      <c r="Y24" s="18" t="n">
        <v>58471.72</v>
      </c>
      <c r="Z24" s="37" t="n">
        <v>58471.72</v>
      </c>
      <c r="AA24" s="18" t="n">
        <v>58256.52</v>
      </c>
      <c r="AB24" s="19" t="n">
        <v>58807.03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비지배주주지분</t>
        </is>
      </c>
      <c r="E25" s="18" t="n">
        <v>45710.83</v>
      </c>
      <c r="F25" s="37" t="n">
        <v>45710.83</v>
      </c>
      <c r="G25" s="18" t="n">
        <v>45089.82</v>
      </c>
      <c r="H25" s="18" t="n">
        <v>44389.73</v>
      </c>
      <c r="I25" s="18" t="n">
        <v>43171.29</v>
      </c>
      <c r="J25" s="18" t="n">
        <v>43007.52</v>
      </c>
      <c r="K25" s="37" t="n">
        <v>43007.52</v>
      </c>
      <c r="L25" s="18" t="n">
        <v>45818</v>
      </c>
      <c r="M25" s="18" t="n">
        <v>46634.91</v>
      </c>
      <c r="N25" s="18" t="n">
        <v>45478.65</v>
      </c>
      <c r="O25" s="18" t="n">
        <v>45786.03</v>
      </c>
      <c r="P25" s="37" t="n">
        <v>45786.03</v>
      </c>
      <c r="Q25" s="18" t="n">
        <v>45202.09</v>
      </c>
      <c r="R25" s="18" t="n">
        <v>45940.6</v>
      </c>
      <c r="S25" s="18" t="n">
        <v>46839.14</v>
      </c>
      <c r="T25" s="18" t="n">
        <v>47122.35</v>
      </c>
      <c r="U25" s="37" t="n">
        <v>47122.35</v>
      </c>
      <c r="V25" s="18" t="n">
        <v>46285.7</v>
      </c>
      <c r="W25" s="18" t="n">
        <v>50083.84</v>
      </c>
      <c r="X25" s="18" t="n">
        <v>51600.09</v>
      </c>
      <c r="Y25" s="18" t="n">
        <v>8056.92</v>
      </c>
      <c r="Z25" s="37" t="n">
        <v>8056.92</v>
      </c>
      <c r="AA25" s="18" t="n">
        <v>8373.059999999999</v>
      </c>
      <c r="AB25" s="19" t="n">
        <v>7845.16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자본총계</t>
        </is>
      </c>
      <c r="E26" s="18" t="n">
        <v>246816.22</v>
      </c>
      <c r="F26" s="37" t="n">
        <v>246816.22</v>
      </c>
      <c r="G26" s="18" t="n">
        <v>248259.78</v>
      </c>
      <c r="H26" s="18" t="n">
        <v>246946.94</v>
      </c>
      <c r="I26" s="18" t="n">
        <v>238094.8</v>
      </c>
      <c r="J26" s="18" t="n">
        <v>236541.29</v>
      </c>
      <c r="K26" s="37" t="n">
        <v>236541.29</v>
      </c>
      <c r="L26" s="18" t="n">
        <v>254138.41</v>
      </c>
      <c r="M26" s="18" t="n">
        <v>251789.34</v>
      </c>
      <c r="N26" s="18" t="n">
        <v>243484.15</v>
      </c>
      <c r="O26" s="18" t="n">
        <v>253983.01</v>
      </c>
      <c r="P26" s="37" t="n">
        <v>253983.01</v>
      </c>
      <c r="Q26" s="18" t="n">
        <v>251391.62</v>
      </c>
      <c r="R26" s="18" t="n">
        <v>255259.74</v>
      </c>
      <c r="S26" s="18" t="n">
        <v>261714.17</v>
      </c>
      <c r="T26" s="18" t="n">
        <v>259508.03</v>
      </c>
      <c r="U26" s="37" t="n">
        <v>259508.03</v>
      </c>
      <c r="V26" s="18" t="n">
        <v>251365.8</v>
      </c>
      <c r="W26" s="18" t="n">
        <v>279302.7</v>
      </c>
      <c r="X26" s="18" t="n">
        <v>291058.01</v>
      </c>
      <c r="Y26" s="18" t="n">
        <v>309485.03</v>
      </c>
      <c r="Z26" s="37" t="n">
        <v>309485.03</v>
      </c>
      <c r="AA26" s="18" t="n">
        <v>317297.73</v>
      </c>
      <c r="AB26" s="19" t="n">
        <v>316260.82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비유동부채</t>
        </is>
      </c>
      <c r="E27" s="18" t="n">
        <v>45806.11</v>
      </c>
      <c r="F27" s="37" t="n">
        <v>45806.11</v>
      </c>
      <c r="G27" s="18" t="n">
        <v>135940.25</v>
      </c>
      <c r="H27" s="18" t="n">
        <v>130973.91</v>
      </c>
      <c r="I27" s="18" t="n">
        <v>132240.69</v>
      </c>
      <c r="J27" s="18" t="n">
        <v>129721.01</v>
      </c>
      <c r="K27" s="37" t="n">
        <v>129721.01</v>
      </c>
      <c r="L27" s="18" t="n">
        <v>136261.95</v>
      </c>
      <c r="M27" s="18" t="n">
        <v>138351.36</v>
      </c>
      <c r="N27" s="18" t="n">
        <v>141837.62</v>
      </c>
      <c r="O27" s="18" t="n">
        <v>120559.44</v>
      </c>
      <c r="P27" s="37" t="n">
        <v>120559.44</v>
      </c>
      <c r="Q27" s="18" t="n">
        <v>31184.64</v>
      </c>
      <c r="R27" s="18" t="n">
        <v>39203.1</v>
      </c>
      <c r="S27" s="18" t="n">
        <v>41274.47</v>
      </c>
      <c r="T27" s="18" t="n">
        <v>41327.19</v>
      </c>
      <c r="U27" s="37" t="n">
        <v>41327.19</v>
      </c>
      <c r="V27" s="18" t="n">
        <v>133818.9</v>
      </c>
      <c r="W27" s="18" t="n">
        <v>136727.03</v>
      </c>
      <c r="X27" s="18" t="n">
        <v>138077.27</v>
      </c>
      <c r="Y27" s="18" t="n">
        <v>263069.43</v>
      </c>
      <c r="Z27" s="37" t="n">
        <v>263069.43</v>
      </c>
      <c r="AA27" s="18" t="n">
        <v>286481.77</v>
      </c>
      <c r="AB27" s="19" t="n">
        <v>311448.06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장기차입금</t>
        </is>
      </c>
      <c r="E28" s="18" t="n">
        <v>11000</v>
      </c>
      <c r="F28" s="37" t="n">
        <v>11000</v>
      </c>
      <c r="G28" s="18" t="n">
        <v>101000</v>
      </c>
      <c r="H28" s="18" t="n">
        <v>97370</v>
      </c>
      <c r="I28" s="18" t="n">
        <v>98360</v>
      </c>
      <c r="J28" s="18" t="n">
        <v>101330</v>
      </c>
      <c r="K28" s="37" t="n">
        <v>101330</v>
      </c>
      <c r="L28" s="18" t="n">
        <v>107750</v>
      </c>
      <c r="M28" s="18" t="n">
        <v>1318828.73</v>
      </c>
      <c r="N28" s="18" t="n">
        <v>1327832.06</v>
      </c>
      <c r="O28" s="18" t="n">
        <v>1475462.62</v>
      </c>
      <c r="P28" s="37" t="n">
        <v>1475462.62</v>
      </c>
      <c r="Q28" s="18" t="n">
        <v>1391280.63</v>
      </c>
      <c r="R28" s="18" t="n">
        <v>1401330.8</v>
      </c>
      <c r="S28" s="18" t="n">
        <v>1869589.5</v>
      </c>
      <c r="T28" s="18" t="n">
        <v>1582160.79</v>
      </c>
      <c r="U28" s="37" t="n">
        <v>1582160.79</v>
      </c>
      <c r="V28" s="18" t="n">
        <v>1699040.22</v>
      </c>
      <c r="W28" s="18" t="n">
        <v>1767850.57</v>
      </c>
      <c r="X28" s="18" t="n">
        <v>1666547.69</v>
      </c>
      <c r="Y28" s="18" t="n">
        <v>100368.24</v>
      </c>
      <c r="Z28" s="37" t="n">
        <v>100368.24</v>
      </c>
      <c r="AA28" s="18" t="n">
        <v>100748.24</v>
      </c>
      <c r="AB28" s="19" t="n">
        <v>96788.24000000001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장기매입채무및기타채무</t>
        </is>
      </c>
      <c r="E29" s="18" t="n">
        <v>271.78</v>
      </c>
      <c r="F29" s="37" t="n">
        <v>271.78</v>
      </c>
      <c r="G29" s="18" t="n">
        <v>268.61</v>
      </c>
      <c r="H29" s="18" t="n">
        <v>262.6</v>
      </c>
      <c r="I29" s="18" t="n">
        <v>256.25</v>
      </c>
      <c r="J29" s="18" t="n">
        <v>224.5</v>
      </c>
      <c r="K29" s="37" t="n">
        <v>224.5</v>
      </c>
      <c r="L29" s="18" t="n">
        <v>216.07</v>
      </c>
      <c r="M29" s="18" t="n">
        <v>206.55</v>
      </c>
      <c r="N29" s="18" t="n">
        <v>196.6</v>
      </c>
      <c r="O29" s="18" t="n">
        <v>175.24</v>
      </c>
      <c r="P29" s="37" t="n">
        <v>175.24</v>
      </c>
      <c r="Q29" s="18" t="n">
        <v>163.73</v>
      </c>
      <c r="R29" s="18" t="n">
        <v>151.21</v>
      </c>
      <c r="S29" s="18" t="n">
        <v>138.17</v>
      </c>
      <c r="T29" s="18" t="n">
        <v>112.75</v>
      </c>
      <c r="U29" s="37" t="n">
        <v>112.75</v>
      </c>
      <c r="V29" s="18" t="n">
        <v>99.08</v>
      </c>
      <c r="W29" s="18" t="n">
        <v>128</v>
      </c>
      <c r="X29" s="18" t="n">
        <v>92.23</v>
      </c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확정급여부채</t>
        </is>
      </c>
      <c r="E30" s="18" t="n">
        <v>747.24</v>
      </c>
      <c r="F30" s="37" t="n">
        <v>747.24</v>
      </c>
      <c r="G30" s="18" t="n">
        <v>889.62</v>
      </c>
      <c r="H30" s="18" t="n">
        <v>755.04</v>
      </c>
      <c r="I30" s="18" t="n">
        <v>931.51</v>
      </c>
      <c r="J30" s="18" t="n">
        <v>11.33</v>
      </c>
      <c r="K30" s="37" t="n">
        <v>11.33</v>
      </c>
      <c r="L30" s="18" t="n">
        <v>145.77</v>
      </c>
      <c r="M30" s="18" t="n">
        <v>1767.24</v>
      </c>
      <c r="N30" s="18" t="n">
        <v>1834.33</v>
      </c>
      <c r="O30" s="18" t="n">
        <v>62.51</v>
      </c>
      <c r="P30" s="37" t="n">
        <v>62.51</v>
      </c>
      <c r="Q30" s="18" t="n">
        <v>139.34</v>
      </c>
      <c r="R30" s="18" t="n">
        <v>216.17</v>
      </c>
      <c r="S30" s="18" t="n">
        <v>293</v>
      </c>
      <c r="T30" s="18" t="n">
        <v>437.54</v>
      </c>
      <c r="U30" s="37" t="n">
        <v>437.54</v>
      </c>
      <c r="V30" s="18" t="n">
        <v>516.25</v>
      </c>
      <c r="W30" s="18" t="n">
        <v>594.95</v>
      </c>
      <c r="X30" s="18" t="n">
        <v>673.65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이연법인세부채</t>
        </is>
      </c>
      <c r="E31" s="18" t="n">
        <v>33599.16</v>
      </c>
      <c r="F31" s="37" t="n">
        <v>33599.16</v>
      </c>
      <c r="G31" s="18" t="n">
        <v>33599.16</v>
      </c>
      <c r="H31" s="18" t="n">
        <v>32408.49</v>
      </c>
      <c r="I31" s="18" t="n">
        <v>32520.22</v>
      </c>
      <c r="J31" s="18" t="n">
        <v>27987.55</v>
      </c>
      <c r="K31" s="37" t="n">
        <v>27987.55</v>
      </c>
      <c r="L31" s="18" t="n">
        <v>27987.55</v>
      </c>
      <c r="M31" s="18" t="n">
        <v>2925.69</v>
      </c>
      <c r="N31" s="18" t="n">
        <v>1833.81</v>
      </c>
      <c r="O31" s="18" t="n">
        <v>0</v>
      </c>
      <c r="P31" s="37" t="n">
        <v>0</v>
      </c>
      <c r="Q31" s="18" t="n">
        <v>30505.13</v>
      </c>
      <c r="R31" s="18" t="n">
        <v>358.67</v>
      </c>
      <c r="S31" s="18" t="n">
        <v>31692.82</v>
      </c>
      <c r="T31" s="18" t="n">
        <v>31623.51</v>
      </c>
      <c r="U31" s="37" t="n">
        <v>31623.51</v>
      </c>
      <c r="V31" s="18" t="n">
        <v>31623.51</v>
      </c>
      <c r="W31" s="18" t="n">
        <v>2211.52</v>
      </c>
      <c r="X31" s="18" t="n">
        <v>5837.63</v>
      </c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기타비유동부채</t>
        </is>
      </c>
      <c r="E32" s="18" t="n">
        <v>187.93</v>
      </c>
      <c r="F32" s="37" t="n">
        <v>187.93</v>
      </c>
      <c r="G32" s="18" t="n">
        <v>182.85</v>
      </c>
      <c r="H32" s="18" t="n">
        <v>177.78</v>
      </c>
      <c r="I32" s="18" t="n">
        <v>172.7</v>
      </c>
      <c r="J32" s="18" t="n">
        <v>167.63</v>
      </c>
      <c r="K32" s="37" t="n">
        <v>167.63</v>
      </c>
      <c r="L32" s="18" t="n">
        <v>162.55</v>
      </c>
      <c r="M32" s="18" t="n">
        <v>157.48</v>
      </c>
      <c r="N32" s="18" t="n">
        <v>152.4</v>
      </c>
      <c r="O32" s="18" t="n">
        <v>147.33</v>
      </c>
      <c r="P32" s="37" t="n">
        <v>147.33</v>
      </c>
      <c r="Q32" s="18" t="n">
        <v>143.1</v>
      </c>
      <c r="R32" s="18" t="n">
        <v>139.72</v>
      </c>
      <c r="S32" s="18" t="n">
        <v>136.35</v>
      </c>
      <c r="T32" s="18" t="n">
        <v>132.98</v>
      </c>
      <c r="U32" s="37" t="n">
        <v>132.98</v>
      </c>
      <c r="V32" s="18" t="n">
        <v>129.61</v>
      </c>
      <c r="W32" s="18" t="n">
        <v>126.23</v>
      </c>
      <c r="X32" s="18" t="n">
        <v>122.86</v>
      </c>
      <c r="Y32" s="18" t="n">
        <v>119.49</v>
      </c>
      <c r="Z32" s="37" t="n">
        <v>119.49</v>
      </c>
      <c r="AA32" s="18" t="n">
        <v>116.12</v>
      </c>
      <c r="AB32" s="19" t="n">
        <v>112.77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유동부채</t>
        </is>
      </c>
      <c r="E33" s="18" t="n">
        <v>140892.24</v>
      </c>
      <c r="F33" s="37" t="n">
        <v>140892.24</v>
      </c>
      <c r="G33" s="18" t="n">
        <v>53852.81</v>
      </c>
      <c r="H33" s="18" t="n">
        <v>51339.65</v>
      </c>
      <c r="I33" s="18" t="n">
        <v>57984.65</v>
      </c>
      <c r="J33" s="18" t="n">
        <v>62814.2</v>
      </c>
      <c r="K33" s="37" t="n">
        <v>62814.2</v>
      </c>
      <c r="L33" s="18" t="n">
        <v>60199.93</v>
      </c>
      <c r="M33" s="18" t="n">
        <v>71661.78</v>
      </c>
      <c r="N33" s="18" t="n">
        <v>70955.27</v>
      </c>
      <c r="O33" s="18" t="n">
        <v>84509.17999999999</v>
      </c>
      <c r="P33" s="37" t="n">
        <v>84509.17999999999</v>
      </c>
      <c r="Q33" s="18" t="n">
        <v>182533.78</v>
      </c>
      <c r="R33" s="18" t="n">
        <v>159143.33</v>
      </c>
      <c r="S33" s="18" t="n">
        <v>156739.7</v>
      </c>
      <c r="T33" s="18" t="n">
        <v>160326.08</v>
      </c>
      <c r="U33" s="37" t="n">
        <v>160326.08</v>
      </c>
      <c r="V33" s="18" t="n">
        <v>82656.84</v>
      </c>
      <c r="W33" s="18" t="n">
        <v>78401.35000000001</v>
      </c>
      <c r="X33" s="18" t="n">
        <v>83249.92999999999</v>
      </c>
      <c r="Y33" s="18" t="n">
        <v>2120419.24</v>
      </c>
      <c r="Z33" s="37" t="n">
        <v>2120419.24</v>
      </c>
      <c r="AA33" s="18" t="n">
        <v>4320108.71</v>
      </c>
      <c r="AB33" s="19" t="n">
        <v>3951840.49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유동성장기부채</t>
        </is>
      </c>
      <c r="E34" s="18" t="n">
        <v>84561.33</v>
      </c>
      <c r="F34" s="37" t="n">
        <v>84561.33</v>
      </c>
      <c r="G34" s="18" t="n">
        <v>5000</v>
      </c>
      <c r="H34" s="18" t="n">
        <v>5000</v>
      </c>
      <c r="I34" s="18" t="n">
        <v>5000</v>
      </c>
      <c r="J34" s="18" t="n">
        <v>5000</v>
      </c>
      <c r="K34" s="37" t="n">
        <v>5000</v>
      </c>
      <c r="L34" s="18" t="n">
        <v>0</v>
      </c>
      <c r="M34" s="18" t="n">
        <v>0</v>
      </c>
      <c r="N34" s="18" t="n">
        <v>0</v>
      </c>
      <c r="O34" s="18" t="n">
        <v>18800</v>
      </c>
      <c r="P34" s="37" t="n">
        <v>18800</v>
      </c>
      <c r="Q34" s="18" t="n">
        <v>109652.34</v>
      </c>
      <c r="R34" s="18" t="n">
        <v>100347.43</v>
      </c>
      <c r="S34" s="18" t="n">
        <v>101657.43</v>
      </c>
      <c r="T34" s="18" t="n">
        <v>84137.42999999999</v>
      </c>
      <c r="U34" s="37" t="n">
        <v>84137.42999999999</v>
      </c>
      <c r="V34" s="18" t="n">
        <v>0</v>
      </c>
      <c r="W34" s="18" t="n">
        <v>0</v>
      </c>
      <c r="X34" s="18" t="n">
        <v>0</v>
      </c>
      <c r="Y34" s="18" t="n">
        <v>0</v>
      </c>
      <c r="Z34" s="37" t="n">
        <v>0</v>
      </c>
      <c r="AB34" s="19" t="n">
        <v>0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단기차입금</t>
        </is>
      </c>
      <c r="E35" s="18" t="n">
        <v>1203232.26</v>
      </c>
      <c r="F35" s="37" t="n">
        <v>1203232.26</v>
      </c>
      <c r="G35" s="18" t="n">
        <v>1035140.43</v>
      </c>
      <c r="H35" s="18" t="n">
        <v>999694.42</v>
      </c>
      <c r="I35" s="18" t="n">
        <v>1107103.07</v>
      </c>
      <c r="J35" s="18" t="n">
        <v>1179301.52</v>
      </c>
      <c r="K35" s="37" t="n">
        <v>1179301.52</v>
      </c>
      <c r="L35" s="18" t="n">
        <v>1393030.65</v>
      </c>
      <c r="M35" s="18" t="n">
        <v>53000</v>
      </c>
      <c r="N35" s="18" t="n">
        <v>53000</v>
      </c>
      <c r="O35" s="18" t="n">
        <v>53000</v>
      </c>
      <c r="P35" s="37" t="n">
        <v>53000</v>
      </c>
      <c r="Q35" s="18" t="n">
        <v>53000</v>
      </c>
      <c r="R35" s="18" t="n">
        <v>51000</v>
      </c>
      <c r="S35" s="18" t="n">
        <v>49000</v>
      </c>
      <c r="T35" s="18" t="n">
        <v>67420</v>
      </c>
      <c r="U35" s="37" t="n">
        <v>67420</v>
      </c>
      <c r="V35" s="18" t="n">
        <v>68420</v>
      </c>
      <c r="W35" s="18" t="n">
        <v>68420</v>
      </c>
      <c r="X35" s="18" t="n">
        <v>68420</v>
      </c>
      <c r="Y35" s="18" t="n">
        <v>1463257.92</v>
      </c>
      <c r="Z35" s="37" t="n">
        <v>1463257.92</v>
      </c>
      <c r="AA35" s="18" t="n">
        <v>1810911.27</v>
      </c>
      <c r="AB35" s="19" t="n">
        <v>1755123.43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매입채무및기타채무</t>
        </is>
      </c>
      <c r="E36" s="18" t="n">
        <v>7458.71</v>
      </c>
      <c r="F36" s="37" t="n">
        <v>7458.71</v>
      </c>
      <c r="G36" s="18" t="n">
        <v>7337.17</v>
      </c>
      <c r="H36" s="18" t="n">
        <v>4820.07</v>
      </c>
      <c r="I36" s="18" t="n">
        <v>4673.39</v>
      </c>
      <c r="J36" s="18" t="n">
        <v>5717.8</v>
      </c>
      <c r="K36" s="37" t="n">
        <v>5717.8</v>
      </c>
      <c r="L36" s="18" t="n">
        <v>7755.12</v>
      </c>
      <c r="M36" s="18" t="n">
        <v>5533.14</v>
      </c>
      <c r="N36" s="18" t="n">
        <v>5802.48</v>
      </c>
      <c r="O36" s="18" t="n">
        <v>5409.79</v>
      </c>
      <c r="P36" s="37" t="n">
        <v>5409.79</v>
      </c>
      <c r="Q36" s="18" t="n">
        <v>14064.07</v>
      </c>
      <c r="R36" s="18" t="n">
        <v>5120.73</v>
      </c>
      <c r="S36" s="18" t="n">
        <v>4499.42</v>
      </c>
      <c r="T36" s="18" t="n">
        <v>8178.65</v>
      </c>
      <c r="U36" s="37" t="n">
        <v>8178.65</v>
      </c>
      <c r="V36" s="18" t="n">
        <v>13591.31</v>
      </c>
      <c r="W36" s="18" t="n">
        <v>5461.97</v>
      </c>
      <c r="X36" s="18" t="n">
        <v>5784.11</v>
      </c>
      <c r="Y36" s="18" t="n">
        <v>47775.43</v>
      </c>
      <c r="Z36" s="37" t="n">
        <v>47775.43</v>
      </c>
      <c r="AA36" s="18" t="n">
        <v>1447145.04</v>
      </c>
      <c r="AB36" s="19" t="n">
        <v>1310404.01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당기법인세부채(미지급법인세)</t>
        </is>
      </c>
      <c r="E37" s="18" t="n">
        <v>7623.7</v>
      </c>
      <c r="F37" s="37" t="n">
        <v>7623.7</v>
      </c>
      <c r="G37" s="18" t="n">
        <v>4910.54</v>
      </c>
      <c r="H37" s="18" t="n">
        <v>1416.78</v>
      </c>
      <c r="I37" s="18" t="n">
        <v>0</v>
      </c>
      <c r="J37" s="18" t="n">
        <v>1389.49</v>
      </c>
      <c r="K37" s="37" t="n">
        <v>1389.49</v>
      </c>
      <c r="L37" s="18" t="n">
        <v>773.41</v>
      </c>
      <c r="M37" s="18" t="n">
        <v>2476.65</v>
      </c>
      <c r="N37" s="18" t="n">
        <v>2076.22</v>
      </c>
      <c r="O37" s="18" t="n">
        <v>5082.7</v>
      </c>
      <c r="P37" s="37" t="n">
        <v>5082.7</v>
      </c>
      <c r="Q37" s="18" t="n">
        <v>5075.93</v>
      </c>
      <c r="R37" s="18" t="n">
        <v>2178.73</v>
      </c>
      <c r="S37" s="18" t="n">
        <v>1188.4</v>
      </c>
      <c r="T37" s="18" t="n">
        <v>203.56</v>
      </c>
      <c r="U37" s="37" t="n">
        <v>203.56</v>
      </c>
      <c r="V37" s="18" t="n">
        <v>201.32</v>
      </c>
      <c r="W37" s="18" t="n">
        <v>2341.06</v>
      </c>
      <c r="X37" s="18" t="n">
        <v>1847.75</v>
      </c>
      <c r="Y37" s="18" t="n">
        <v>2248.55</v>
      </c>
      <c r="Z37" s="37" t="n">
        <v>2248.55</v>
      </c>
      <c r="AA37" s="18" t="n">
        <v>2246.46</v>
      </c>
      <c r="AB37" s="19" t="n">
        <v>4233.81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기타유동금융부채</t>
        </is>
      </c>
      <c r="E38" s="18" t="n">
        <v>367275.52</v>
      </c>
      <c r="F38" s="37" t="n">
        <v>367275.52</v>
      </c>
      <c r="G38" s="18" t="n">
        <v>819235.78</v>
      </c>
      <c r="H38" s="18" t="n">
        <v>808831.3199999999</v>
      </c>
      <c r="I38" s="18" t="n">
        <v>768587.33</v>
      </c>
      <c r="J38" s="18" t="n">
        <v>587770.8199999999</v>
      </c>
      <c r="K38" s="37" t="n">
        <v>587770.8199999999</v>
      </c>
      <c r="L38" s="18" t="n">
        <v>537681.17</v>
      </c>
      <c r="P38" s="9" t="n"/>
      <c r="U38" s="9" t="n"/>
      <c r="Y38" s="18" t="n">
        <v>560188.3100000001</v>
      </c>
      <c r="Z38" s="37" t="n">
        <v>560188.3100000001</v>
      </c>
      <c r="AA38" s="18" t="n">
        <v>988565.35</v>
      </c>
      <c r="AB38" s="19" t="n">
        <v>782535.6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단기금융부채</t>
        </is>
      </c>
      <c r="E39" s="18" t="n">
        <v>367275.52</v>
      </c>
      <c r="F39" s="37" t="n">
        <v>367275.52</v>
      </c>
      <c r="G39" s="18" t="n">
        <v>819235.78</v>
      </c>
      <c r="H39" s="18" t="n">
        <v>808831.3199999999</v>
      </c>
      <c r="I39" s="18" t="n">
        <v>768587.33</v>
      </c>
      <c r="J39" s="18" t="n">
        <v>587770.8199999999</v>
      </c>
      <c r="K39" s="37" t="n">
        <v>587770.8199999999</v>
      </c>
      <c r="L39" s="18" t="n">
        <v>537681.17</v>
      </c>
      <c r="P39" s="9" t="n"/>
      <c r="U39" s="9" t="n"/>
      <c r="Y39" s="18" t="n">
        <v>560951.16</v>
      </c>
      <c r="Z39" s="37" t="n">
        <v>560951.16</v>
      </c>
      <c r="AA39" s="18" t="n">
        <v>991450.24</v>
      </c>
      <c r="AB39" s="19" t="n">
        <v>785610.99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기타유동부채</t>
        </is>
      </c>
      <c r="E40" s="18" t="n">
        <v>130.12</v>
      </c>
      <c r="F40" s="37" t="n">
        <v>130.12</v>
      </c>
      <c r="G40" s="18" t="n">
        <v>119.22</v>
      </c>
      <c r="H40" s="18" t="n">
        <v>141.75</v>
      </c>
      <c r="I40" s="18" t="n">
        <v>7311.26</v>
      </c>
      <c r="J40" s="18" t="n">
        <v>9706.91</v>
      </c>
      <c r="K40" s="37" t="n">
        <v>9706.91</v>
      </c>
      <c r="L40" s="18" t="n">
        <v>10671.4</v>
      </c>
      <c r="M40" s="18" t="n">
        <v>10652</v>
      </c>
      <c r="N40" s="18" t="n">
        <v>10076.56</v>
      </c>
      <c r="O40" s="18" t="n">
        <v>2216.69</v>
      </c>
      <c r="P40" s="37" t="n">
        <v>2216.69</v>
      </c>
      <c r="Q40" s="18" t="n">
        <v>741.4299999999999</v>
      </c>
      <c r="R40" s="18" t="n">
        <v>496.44</v>
      </c>
      <c r="S40" s="18" t="n">
        <v>394.45</v>
      </c>
      <c r="T40" s="18" t="n">
        <v>386.44</v>
      </c>
      <c r="U40" s="37" t="n">
        <v>386.44</v>
      </c>
      <c r="V40" s="18" t="n">
        <v>444.21</v>
      </c>
      <c r="W40" s="18" t="n">
        <v>2178.32</v>
      </c>
      <c r="X40" s="18" t="n">
        <v>7198.06</v>
      </c>
      <c r="Y40" s="18" t="n">
        <v>4229.25</v>
      </c>
      <c r="Z40" s="37" t="n">
        <v>4229.25</v>
      </c>
      <c r="AA40" s="18" t="n">
        <v>4741.13</v>
      </c>
      <c r="AB40" s="19" t="n">
        <v>3081.03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단기금융부채(face)</t>
        </is>
      </c>
      <c r="E41" s="18" t="n">
        <v>1155232.26</v>
      </c>
      <c r="F41" s="37" t="n">
        <v>1155232.26</v>
      </c>
      <c r="G41" s="18" t="n">
        <v>994140.4300000001</v>
      </c>
      <c r="H41" s="18" t="n">
        <v>958694.42</v>
      </c>
      <c r="I41" s="18" t="n">
        <v>1066103.07</v>
      </c>
      <c r="J41" s="18" t="n">
        <v>1138301.52</v>
      </c>
      <c r="K41" s="37" t="n">
        <v>1138301.52</v>
      </c>
      <c r="L41" s="18" t="n">
        <v>1352030.65</v>
      </c>
      <c r="P41" s="9" t="n"/>
      <c r="U41" s="9" t="n"/>
      <c r="Z41" s="9" t="n"/>
      <c r="AA41" s="18" t="n">
        <v>1810911.27</v>
      </c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단기충당부채</t>
        </is>
      </c>
      <c r="E42" s="18" t="n">
        <v>1805.69</v>
      </c>
      <c r="F42" s="37" t="n">
        <v>1805.69</v>
      </c>
      <c r="G42" s="18" t="n">
        <v>1820.19</v>
      </c>
      <c r="H42" s="18" t="n">
        <v>1834.97</v>
      </c>
      <c r="I42" s="18" t="n">
        <v>1882.46</v>
      </c>
      <c r="J42" s="18" t="n">
        <v>1897.68</v>
      </c>
      <c r="K42" s="37" t="n">
        <v>1897.68</v>
      </c>
      <c r="L42" s="18" t="n">
        <v>1912.71</v>
      </c>
      <c r="P42" s="9" t="n"/>
      <c r="U42" s="9" t="n"/>
      <c r="Y42" s="18" t="n">
        <v>0</v>
      </c>
      <c r="Z42" s="37" t="n">
        <v>0</v>
      </c>
      <c r="AA42" s="18" t="n">
        <v>0</v>
      </c>
      <c r="AB42" s="19" t="n">
        <v>0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1966307.43</v>
      </c>
      <c r="F43" s="37" t="n">
        <v>1966307.43</v>
      </c>
      <c r="G43" s="18" t="n">
        <v>3024822.49</v>
      </c>
      <c r="H43" s="18" t="n">
        <v>3023604.64</v>
      </c>
      <c r="I43" s="18" t="n">
        <v>2647838.41</v>
      </c>
      <c r="J43" s="18" t="n">
        <v>2092305.3</v>
      </c>
      <c r="K43" s="37" t="n">
        <v>2092305.3</v>
      </c>
      <c r="L43" s="18" t="n">
        <v>3066415.08</v>
      </c>
      <c r="M43" s="18" t="n">
        <v>3042497.6</v>
      </c>
      <c r="N43" s="18" t="n">
        <v>2840890.51</v>
      </c>
      <c r="O43" s="18" t="n">
        <v>1986990.8</v>
      </c>
      <c r="P43" s="37" t="n">
        <v>1986990.8</v>
      </c>
      <c r="Q43" s="18" t="n">
        <v>3376141.65</v>
      </c>
      <c r="R43" s="18" t="n">
        <v>2971226.9</v>
      </c>
      <c r="S43" s="18" t="n">
        <v>3123754.3</v>
      </c>
      <c r="T43" s="18" t="n">
        <v>2145156.71</v>
      </c>
      <c r="U43" s="37" t="n">
        <v>2145156.71</v>
      </c>
      <c r="V43" s="18" t="n">
        <v>3596303.62</v>
      </c>
      <c r="W43" s="18" t="n">
        <v>4027441.23</v>
      </c>
      <c r="X43" s="18" t="n">
        <v>4462534.91</v>
      </c>
      <c r="Y43" s="18" t="n">
        <v>2383488.67</v>
      </c>
      <c r="Z43" s="37" t="n">
        <v>2383488.67</v>
      </c>
      <c r="AA43" s="18" t="n">
        <v>4606590.48</v>
      </c>
      <c r="AB43" s="19" t="n">
        <v>4263288.55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부채와자본총계</t>
        </is>
      </c>
      <c r="E44" s="18" t="n">
        <v>2213123.65</v>
      </c>
      <c r="F44" s="37" t="n">
        <v>2213123.65</v>
      </c>
      <c r="G44" s="18" t="n">
        <v>3273082.27</v>
      </c>
      <c r="H44" s="18" t="n">
        <v>3270551.58</v>
      </c>
      <c r="I44" s="18" t="n">
        <v>2885933.21</v>
      </c>
      <c r="J44" s="18" t="n">
        <v>2328846.59</v>
      </c>
      <c r="K44" s="37" t="n">
        <v>2328846.59</v>
      </c>
      <c r="L44" s="18" t="n">
        <v>3320553.48</v>
      </c>
      <c r="M44" s="18" t="n">
        <v>3294286.94</v>
      </c>
      <c r="N44" s="18" t="n">
        <v>3084374.66</v>
      </c>
      <c r="O44" s="18" t="n">
        <v>2240973.81</v>
      </c>
      <c r="P44" s="37" t="n">
        <v>2240973.81</v>
      </c>
      <c r="Q44" s="18" t="n">
        <v>3627533.27</v>
      </c>
      <c r="R44" s="18" t="n">
        <v>3226486.64</v>
      </c>
      <c r="S44" s="18" t="n">
        <v>3385468.47</v>
      </c>
      <c r="T44" s="18" t="n">
        <v>2404664.74</v>
      </c>
      <c r="U44" s="37" t="n">
        <v>2404664.74</v>
      </c>
      <c r="V44" s="18" t="n">
        <v>3847669.41</v>
      </c>
      <c r="W44" s="18" t="n">
        <v>4306743.93</v>
      </c>
      <c r="X44" s="18" t="n">
        <v>4753592.93</v>
      </c>
      <c r="Y44" s="18" t="n">
        <v>2692973.7</v>
      </c>
      <c r="Z44" s="37" t="n">
        <v>2692973.7</v>
      </c>
      <c r="AA44" s="18" t="n">
        <v>4923888.21</v>
      </c>
      <c r="AB44" s="19" t="n">
        <v>4579549.37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총차입금</t>
        </is>
      </c>
      <c r="E45" s="18" t="n">
        <v>1298793.59</v>
      </c>
      <c r="F45" s="37" t="n">
        <v>1298793.59</v>
      </c>
      <c r="G45" s="18" t="n">
        <v>1141140.43</v>
      </c>
      <c r="H45" s="18" t="n">
        <v>1102064.42</v>
      </c>
      <c r="I45" s="18" t="n">
        <v>1210463.07</v>
      </c>
      <c r="J45" s="18" t="n">
        <v>1285631.52</v>
      </c>
      <c r="K45" s="37" t="n">
        <v>1285631.52</v>
      </c>
      <c r="L45" s="18" t="n">
        <v>1500780.65</v>
      </c>
      <c r="M45" s="18" t="n">
        <v>1371828.73</v>
      </c>
      <c r="N45" s="18" t="n">
        <v>1380832.06</v>
      </c>
      <c r="O45" s="18" t="n">
        <v>1547262.62</v>
      </c>
      <c r="P45" s="37" t="n">
        <v>1547262.62</v>
      </c>
      <c r="Q45" s="18" t="n">
        <v>1553932.97</v>
      </c>
      <c r="R45" s="18" t="n">
        <v>1552678.23</v>
      </c>
      <c r="S45" s="18" t="n">
        <v>2020246.93</v>
      </c>
      <c r="T45" s="18" t="n">
        <v>1733718.22</v>
      </c>
      <c r="U45" s="37" t="n">
        <v>1733718.22</v>
      </c>
      <c r="V45" s="18" t="n">
        <v>1767460.22</v>
      </c>
      <c r="W45" s="18" t="n">
        <v>1836270.57</v>
      </c>
      <c r="X45" s="18" t="n">
        <v>1734967.69</v>
      </c>
      <c r="Y45" s="18" t="n">
        <v>1563626.16</v>
      </c>
      <c r="Z45" s="37" t="n">
        <v>1563626.16</v>
      </c>
      <c r="AA45" s="18" t="n">
        <v>1911659.51</v>
      </c>
      <c r="AB45" s="19" t="n">
        <v>1851911.67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순차입금</t>
        </is>
      </c>
      <c r="E46" s="18" t="n">
        <v>1293760.82</v>
      </c>
      <c r="F46" s="37" t="n">
        <v>1293760.82</v>
      </c>
      <c r="G46" s="18" t="n">
        <v>1134337.32</v>
      </c>
      <c r="H46" s="18" t="n">
        <v>1096326.4</v>
      </c>
      <c r="I46" s="18" t="n">
        <v>1196527.05</v>
      </c>
      <c r="J46" s="18" t="n">
        <v>1278239.63</v>
      </c>
      <c r="K46" s="37" t="n">
        <v>1278239.63</v>
      </c>
      <c r="L46" s="18" t="n">
        <v>1493211.99</v>
      </c>
      <c r="M46" s="18" t="n">
        <v>1366161.5</v>
      </c>
      <c r="N46" s="18" t="n">
        <v>1372990.16</v>
      </c>
      <c r="O46" s="18" t="n">
        <v>1537814.01</v>
      </c>
      <c r="P46" s="37" t="n">
        <v>1537814.01</v>
      </c>
      <c r="Q46" s="18" t="n">
        <v>1541269.3</v>
      </c>
      <c r="R46" s="18" t="n">
        <v>1541840.76</v>
      </c>
      <c r="S46" s="18" t="n">
        <v>2013993.25</v>
      </c>
      <c r="T46" s="18" t="n">
        <v>1724006</v>
      </c>
      <c r="U46" s="37" t="n">
        <v>1724006</v>
      </c>
      <c r="V46" s="18" t="n">
        <v>1753071.55</v>
      </c>
      <c r="W46" s="18" t="n">
        <v>1818713.38</v>
      </c>
      <c r="X46" s="18" t="n">
        <v>1723973.29</v>
      </c>
      <c r="Y46" s="18" t="n">
        <v>1410106.05</v>
      </c>
      <c r="Z46" s="37" t="n">
        <v>1410106.05</v>
      </c>
      <c r="AA46" s="18" t="n">
        <v>1789485.75</v>
      </c>
      <c r="AB46" s="19" t="n">
        <v>1719569.16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이자발생자산</t>
        </is>
      </c>
      <c r="E47" s="18" t="n">
        <v>5034.27</v>
      </c>
      <c r="F47" s="37" t="n">
        <v>5034.27</v>
      </c>
      <c r="G47" s="18" t="n">
        <v>6804.61</v>
      </c>
      <c r="H47" s="18" t="n">
        <v>5739.52</v>
      </c>
      <c r="I47" s="18" t="n">
        <v>13937.52</v>
      </c>
      <c r="J47" s="18" t="n">
        <v>7393.39</v>
      </c>
      <c r="K47" s="37" t="n">
        <v>7393.39</v>
      </c>
      <c r="L47" s="18" t="n">
        <v>7570.16</v>
      </c>
      <c r="M47" s="18" t="n">
        <v>1786447.89</v>
      </c>
      <c r="N47" s="18" t="n">
        <v>1742313.05</v>
      </c>
      <c r="O47" s="18" t="n">
        <v>1711371.48</v>
      </c>
      <c r="P47" s="37" t="n">
        <v>1711371.48</v>
      </c>
      <c r="Q47" s="18" t="n">
        <v>1815087.27</v>
      </c>
      <c r="R47" s="18" t="n">
        <v>1815231.34</v>
      </c>
      <c r="S47" s="18" t="n">
        <v>2049981.11</v>
      </c>
      <c r="T47" s="18" t="n">
        <v>1877362.6</v>
      </c>
      <c r="U47" s="37" t="n">
        <v>1877362.6</v>
      </c>
      <c r="V47" s="18" t="n">
        <v>2017412.92</v>
      </c>
      <c r="W47" s="18" t="n">
        <v>2225794.22</v>
      </c>
      <c r="X47" s="18" t="n">
        <v>2094652.15</v>
      </c>
      <c r="Y47" s="18" t="n">
        <v>286808.43</v>
      </c>
      <c r="Z47" s="37" t="n">
        <v>286808.43</v>
      </c>
      <c r="AA47" s="18" t="n">
        <v>264124.57</v>
      </c>
      <c r="AB47" s="19" t="n">
        <v>283851.78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매각예정비유동자산및처분자산</t>
        </is>
      </c>
      <c r="F48" s="9" t="n"/>
      <c r="I48" s="18" t="n">
        <v>47952.02</v>
      </c>
      <c r="J48" s="18" t="n">
        <v>47952.02</v>
      </c>
      <c r="K48" s="37" t="n">
        <v>47952.02</v>
      </c>
      <c r="L48" s="18" t="n">
        <v>47952.02</v>
      </c>
      <c r="M48" s="18" t="n">
        <v>47952.02</v>
      </c>
      <c r="N48" s="18" t="n">
        <v>47952.02</v>
      </c>
      <c r="O48" s="18" t="n">
        <v>47952.02</v>
      </c>
      <c r="P48" s="37" t="n">
        <v>47952.02</v>
      </c>
      <c r="Q48" s="18" t="n">
        <v>47952.02</v>
      </c>
      <c r="R48" s="18" t="n">
        <v>47952.02</v>
      </c>
      <c r="S48" s="18" t="n">
        <v>47952.02</v>
      </c>
      <c r="T48" s="18" t="n">
        <v>0</v>
      </c>
      <c r="U48" s="37" t="n">
        <v>0</v>
      </c>
      <c r="V48" s="18" t="n">
        <v>0</v>
      </c>
      <c r="W48" s="18" t="n">
        <v>0</v>
      </c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이익잉여금</t>
        </is>
      </c>
      <c r="F49" s="9" t="n"/>
      <c r="K49" s="9" t="n"/>
      <c r="L49" s="18" t="n">
        <v>93237.33</v>
      </c>
      <c r="M49" s="18" t="n">
        <v>93300.64</v>
      </c>
      <c r="N49" s="18" t="n">
        <v>89996.32000000001</v>
      </c>
      <c r="O49" s="18" t="n">
        <v>101468.66</v>
      </c>
      <c r="P49" s="37" t="n">
        <v>101468.66</v>
      </c>
      <c r="Q49" s="18" t="n">
        <v>100648.85</v>
      </c>
      <c r="R49" s="18" t="n">
        <v>103778.55</v>
      </c>
      <c r="S49" s="18" t="n">
        <v>109334.43</v>
      </c>
      <c r="T49" s="18" t="n">
        <v>108397.23</v>
      </c>
      <c r="U49" s="37" t="n">
        <v>108397.23</v>
      </c>
      <c r="V49" s="18" t="n">
        <v>101091.64</v>
      </c>
      <c r="W49" s="18" t="n">
        <v>106410.68</v>
      </c>
      <c r="X49" s="18" t="n">
        <v>116992.5</v>
      </c>
      <c r="Y49" s="18" t="n">
        <v>150690.31</v>
      </c>
      <c r="Z49" s="37" t="n">
        <v>150690.31</v>
      </c>
      <c r="AA49" s="18" t="n">
        <v>213402.08</v>
      </c>
      <c r="AB49" s="19" t="n">
        <v>212342.54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기타유동금융자산</t>
        </is>
      </c>
      <c r="F50" s="9" t="n"/>
      <c r="K50" s="9" t="n"/>
      <c r="M50" s="18" t="n">
        <v>19431.75</v>
      </c>
      <c r="N50" s="18" t="n">
        <v>18366.06</v>
      </c>
      <c r="O50" s="18" t="n">
        <v>16364.82</v>
      </c>
      <c r="P50" s="37" t="n">
        <v>16364.82</v>
      </c>
      <c r="Q50" s="18" t="n">
        <v>18352.33</v>
      </c>
      <c r="R50" s="18" t="n">
        <v>14228.5</v>
      </c>
      <c r="S50" s="18" t="n">
        <v>23862.76</v>
      </c>
      <c r="T50" s="18" t="n">
        <v>1430.45</v>
      </c>
      <c r="U50" s="37" t="n">
        <v>1430.45</v>
      </c>
      <c r="V50" s="18" t="n">
        <v>4922.78</v>
      </c>
      <c r="W50" s="18" t="n">
        <v>9250.049999999999</v>
      </c>
      <c r="X50" s="18" t="n">
        <v>16250.22</v>
      </c>
      <c r="Y50" s="18" t="n">
        <v>92758.32000000001</v>
      </c>
      <c r="Z50" s="37" t="n">
        <v>92758.32000000001</v>
      </c>
      <c r="AA50" s="18" t="n">
        <v>136709.63</v>
      </c>
      <c r="AB50" s="19" t="n">
        <v>156627.38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기타비유동자산</t>
        </is>
      </c>
      <c r="F51" s="9" t="n"/>
      <c r="K51" s="9" t="n"/>
      <c r="M51" s="18" t="n">
        <v>55.61</v>
      </c>
      <c r="P51" s="9" t="n"/>
      <c r="U51" s="9" t="n"/>
      <c r="Y51" s="18" t="n">
        <v>1012.83</v>
      </c>
      <c r="Z51" s="37" t="n">
        <v>1012.83</v>
      </c>
      <c r="AA51" s="18" t="n">
        <v>14309.18</v>
      </c>
      <c r="AB51" s="19" t="n">
        <v>14518.74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이연법인세자산</t>
        </is>
      </c>
      <c r="F52" s="9" t="n"/>
      <c r="K52" s="9" t="n"/>
      <c r="M52" s="18" t="n">
        <v>0</v>
      </c>
      <c r="N52" s="18" t="n">
        <v>0</v>
      </c>
      <c r="O52" s="18" t="n">
        <v>454.42</v>
      </c>
      <c r="P52" s="37" t="n">
        <v>454.42</v>
      </c>
      <c r="Q52" s="18" t="n">
        <v>122.01</v>
      </c>
      <c r="R52" s="18" t="n">
        <v>9.75</v>
      </c>
      <c r="S52" s="18" t="n">
        <v>146.03</v>
      </c>
      <c r="T52" s="18" t="n">
        <v>188.12</v>
      </c>
      <c r="U52" s="37" t="n">
        <v>188.12</v>
      </c>
      <c r="V52" s="18" t="n">
        <v>3018.79</v>
      </c>
      <c r="W52" s="18" t="n">
        <v>0</v>
      </c>
      <c r="X52" s="18" t="n">
        <v>0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기타비유동금융부채</t>
        </is>
      </c>
      <c r="F53" s="9" t="n"/>
      <c r="K53" s="9" t="n"/>
      <c r="M53" s="18" t="n">
        <v>532374.39</v>
      </c>
      <c r="N53" s="18" t="n">
        <v>389381.68</v>
      </c>
      <c r="O53" s="18" t="n">
        <v>225837</v>
      </c>
      <c r="P53" s="37" t="n">
        <v>225837</v>
      </c>
      <c r="Q53" s="18" t="n">
        <v>451010.3</v>
      </c>
      <c r="R53" s="18" t="n">
        <v>297481.84</v>
      </c>
      <c r="S53" s="18" t="n">
        <v>119816.89</v>
      </c>
      <c r="T53" s="18" t="n">
        <v>193920.07</v>
      </c>
      <c r="U53" s="37" t="n">
        <v>193920.07</v>
      </c>
      <c r="V53" s="18" t="n">
        <v>349373.41</v>
      </c>
      <c r="W53" s="18" t="n">
        <v>544451.08</v>
      </c>
      <c r="X53" s="18" t="n">
        <v>385338.33</v>
      </c>
      <c r="Y53" s="18" t="n">
        <v>18.14</v>
      </c>
      <c r="Z53" s="37" t="n">
        <v>18.14</v>
      </c>
      <c r="AA53" s="18" t="n">
        <v>18.14</v>
      </c>
      <c r="AB53" s="19" t="n">
        <v>18.14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장기금융부채</t>
        </is>
      </c>
      <c r="F54" s="9" t="n"/>
      <c r="K54" s="9" t="n"/>
      <c r="M54" s="18" t="n">
        <v>532374.39</v>
      </c>
      <c r="N54" s="18" t="n">
        <v>389381.68</v>
      </c>
      <c r="O54" s="18" t="n">
        <v>225837</v>
      </c>
      <c r="P54" s="37" t="n">
        <v>225837</v>
      </c>
      <c r="Q54" s="18" t="n">
        <v>451010.3</v>
      </c>
      <c r="R54" s="18" t="n">
        <v>297481.84</v>
      </c>
      <c r="S54" s="18" t="n">
        <v>119816.89</v>
      </c>
      <c r="T54" s="18" t="n">
        <v>193920.07</v>
      </c>
      <c r="U54" s="37" t="n">
        <v>193920.07</v>
      </c>
      <c r="V54" s="18" t="n">
        <v>349373.41</v>
      </c>
      <c r="W54" s="18" t="n">
        <v>544451.08</v>
      </c>
      <c r="X54" s="18" t="n">
        <v>385338.33</v>
      </c>
      <c r="Y54" s="18" t="n">
        <v>374.76</v>
      </c>
      <c r="Z54" s="37" t="n">
        <v>374.76</v>
      </c>
      <c r="AA54" s="18" t="n">
        <v>10557.44</v>
      </c>
      <c r="AB54" s="19" t="n">
        <v>10701.32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장기금융부채(face)</t>
        </is>
      </c>
      <c r="F55" s="9" t="n"/>
      <c r="K55" s="9" t="n"/>
      <c r="M55" s="18" t="n">
        <v>1215226.39</v>
      </c>
      <c r="N55" s="18" t="n">
        <v>1220909.72</v>
      </c>
      <c r="O55" s="18" t="n">
        <v>1386010.28</v>
      </c>
      <c r="P55" s="37" t="n">
        <v>1386010.28</v>
      </c>
      <c r="Q55" s="18" t="n">
        <v>1391280.63</v>
      </c>
      <c r="R55" s="18" t="n">
        <v>1394330.8</v>
      </c>
      <c r="S55" s="18" t="n">
        <v>1869589.5</v>
      </c>
      <c r="T55" s="18" t="n">
        <v>1582160.79</v>
      </c>
      <c r="U55" s="37" t="n">
        <v>1582160.79</v>
      </c>
      <c r="V55" s="18" t="n">
        <v>1699040.22</v>
      </c>
      <c r="W55" s="18" t="n">
        <v>1670002.33</v>
      </c>
      <c r="X55" s="18" t="n">
        <v>1567439.45</v>
      </c>
      <c r="Z55" s="9" t="n"/>
      <c r="AA55" s="18" t="n">
        <v>100748.24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장기충당부채</t>
        </is>
      </c>
      <c r="F56" s="9" t="n"/>
      <c r="K56" s="9" t="n"/>
      <c r="M56" s="18" t="n">
        <v>1896.1</v>
      </c>
      <c r="N56" s="18" t="n">
        <v>1745.24</v>
      </c>
      <c r="O56" s="18" t="n">
        <v>1761.03</v>
      </c>
      <c r="P56" s="37" t="n">
        <v>1761.03</v>
      </c>
      <c r="Q56" s="18" t="n">
        <v>1776.8</v>
      </c>
      <c r="R56" s="18" t="n">
        <v>1792.7</v>
      </c>
      <c r="S56" s="18" t="n">
        <v>1808.93</v>
      </c>
      <c r="T56" s="18" t="n">
        <v>1825.3</v>
      </c>
      <c r="U56" s="37" t="n">
        <v>1825.3</v>
      </c>
      <c r="V56" s="18" t="n">
        <v>1841.47</v>
      </c>
      <c r="W56" s="18" t="n">
        <v>1825.57</v>
      </c>
      <c r="X56" s="18" t="n">
        <v>1842.4</v>
      </c>
      <c r="Y56" s="18" t="n">
        <v>1813.95</v>
      </c>
      <c r="Z56" s="37" t="n">
        <v>1813.95</v>
      </c>
      <c r="AA56" s="18" t="n">
        <v>1949.51</v>
      </c>
      <c r="AB56" s="19" t="n">
        <v>1979.8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사용권자산</t>
        </is>
      </c>
      <c r="F57" s="9" t="n"/>
      <c r="K57" s="9" t="n"/>
      <c r="P57" s="9" t="n"/>
      <c r="U57" s="9" t="n"/>
      <c r="Y57" s="18" t="n">
        <v>1012.83</v>
      </c>
      <c r="Z57" s="37" t="n">
        <v>1012.83</v>
      </c>
      <c r="AA57" s="18" t="n">
        <v>14309.18</v>
      </c>
      <c r="AB57" s="19" t="n">
        <v>14518.74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유동리스부채</t>
        </is>
      </c>
      <c r="F58" s="9" t="n"/>
      <c r="K58" s="9" t="n"/>
      <c r="P58" s="9" t="n"/>
      <c r="U58" s="9" t="n"/>
      <c r="Y58" s="18" t="n">
        <v>762.85</v>
      </c>
      <c r="Z58" s="37" t="n">
        <v>762.85</v>
      </c>
      <c r="AA58" s="18" t="n">
        <v>2884.89</v>
      </c>
      <c r="AB58" s="19" t="n">
        <v>3075.39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리스부채</t>
        </is>
      </c>
      <c r="F59" s="9" t="n"/>
      <c r="K59" s="9" t="n"/>
      <c r="P59" s="9" t="n"/>
      <c r="U59" s="9" t="n"/>
      <c r="Y59" s="18" t="n">
        <v>1119.47</v>
      </c>
      <c r="Z59" s="37" t="n">
        <v>1119.47</v>
      </c>
      <c r="AA59" s="18" t="n">
        <v>13424.19</v>
      </c>
      <c r="AB59" s="19" t="n">
        <v>13758.57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비유동리스부채</t>
        </is>
      </c>
      <c r="F60" s="9" t="n"/>
      <c r="K60" s="9" t="n"/>
      <c r="P60" s="9" t="n"/>
      <c r="U60" s="9" t="n"/>
      <c r="Y60" s="18" t="n">
        <v>356.62</v>
      </c>
      <c r="Z60" s="37" t="n">
        <v>356.62</v>
      </c>
      <c r="AA60" s="18" t="n">
        <v>10539.3</v>
      </c>
      <c r="AB60" s="19" t="n">
        <v>10683.18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매출액(수익)</t>
        </is>
      </c>
      <c r="E61" s="18" t="n">
        <v>133688.77</v>
      </c>
      <c r="F61" s="9" t="n"/>
      <c r="G61" s="18" t="n">
        <v>131128.04</v>
      </c>
      <c r="H61" s="18" t="n">
        <v>170127.93</v>
      </c>
      <c r="I61" s="18" t="n">
        <v>160001.8</v>
      </c>
      <c r="J61" s="18" t="n">
        <v>148442.59</v>
      </c>
      <c r="K61" s="37" t="n">
        <v>609700.36</v>
      </c>
      <c r="L61" s="18" t="n">
        <v>221452.43</v>
      </c>
      <c r="M61" s="18" t="n">
        <v>121002.19</v>
      </c>
      <c r="N61" s="18" t="n">
        <v>99174.22</v>
      </c>
      <c r="O61" s="18" t="n">
        <v>149030.86</v>
      </c>
      <c r="P61" s="37" t="n">
        <v>590659.7</v>
      </c>
      <c r="Q61" s="18" t="n">
        <v>134616.65</v>
      </c>
      <c r="R61" s="18" t="n">
        <v>124885.27</v>
      </c>
      <c r="S61" s="18" t="n">
        <v>125778.61</v>
      </c>
      <c r="T61" s="18" t="n">
        <v>131221.97</v>
      </c>
      <c r="U61" s="37" t="n">
        <v>516502.5</v>
      </c>
      <c r="V61" s="18" t="n">
        <v>128218.56</v>
      </c>
      <c r="W61" s="18" t="n">
        <v>160466.95</v>
      </c>
      <c r="X61" s="18" t="n">
        <v>137832.96</v>
      </c>
      <c r="Y61" s="18" t="n">
        <v>153255.4</v>
      </c>
      <c r="Z61" s="37" t="n">
        <v>579773.87</v>
      </c>
      <c r="AA61" s="18" t="n">
        <v>187682.74</v>
      </c>
      <c r="AB61" s="19" t="n">
        <v>161093.35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매출원가</t>
        </is>
      </c>
      <c r="E62" s="18" t="n">
        <v>89060.24000000001</v>
      </c>
      <c r="F62" s="9" t="n"/>
      <c r="G62" s="18" t="n">
        <v>108335.41</v>
      </c>
      <c r="H62" s="18" t="n">
        <v>152269.54</v>
      </c>
      <c r="I62" s="18" t="n">
        <v>148225.17</v>
      </c>
      <c r="J62" s="18" t="n">
        <v>120993.24</v>
      </c>
      <c r="K62" s="37" t="n">
        <v>529823.36</v>
      </c>
      <c r="L62" s="18" t="n">
        <v>180189.01</v>
      </c>
      <c r="M62" s="18" t="n">
        <v>92840.53999999999</v>
      </c>
      <c r="N62" s="18" t="n">
        <v>88068.22</v>
      </c>
      <c r="O62" s="18" t="n">
        <v>118238.23</v>
      </c>
      <c r="P62" s="37" t="n">
        <v>479336</v>
      </c>
      <c r="Q62" s="18" t="n">
        <v>108693.02</v>
      </c>
      <c r="R62" s="18" t="n">
        <v>99057.64</v>
      </c>
      <c r="S62" s="18" t="n">
        <v>97704.64</v>
      </c>
      <c r="T62" s="18" t="n">
        <v>102534.71</v>
      </c>
      <c r="U62" s="37" t="n">
        <v>407990.01</v>
      </c>
      <c r="V62" s="18" t="n">
        <v>103777.35</v>
      </c>
      <c r="W62" s="18" t="n">
        <v>106048.55</v>
      </c>
      <c r="X62" s="18" t="n">
        <v>98505.92999999999</v>
      </c>
      <c r="Y62" s="18" t="n">
        <v>141065.56</v>
      </c>
      <c r="Z62" s="37" t="n">
        <v>449397.39</v>
      </c>
      <c r="AA62" s="18" t="n">
        <v>143917.04</v>
      </c>
      <c r="AB62" s="19" t="n">
        <v>141233.69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매출총이익</t>
        </is>
      </c>
      <c r="E63" s="18" t="n">
        <v>44628.53</v>
      </c>
      <c r="F63" s="9" t="n"/>
      <c r="G63" s="18" t="n">
        <v>22792.63</v>
      </c>
      <c r="H63" s="18" t="n">
        <v>17858.39</v>
      </c>
      <c r="I63" s="18" t="n">
        <v>11776.63</v>
      </c>
      <c r="J63" s="18" t="n">
        <v>27449.34</v>
      </c>
      <c r="K63" s="37" t="n">
        <v>79876.99000000001</v>
      </c>
      <c r="L63" s="18" t="n">
        <v>41263.41</v>
      </c>
      <c r="M63" s="18" t="n">
        <v>28161.65</v>
      </c>
      <c r="N63" s="18" t="n">
        <v>11106</v>
      </c>
      <c r="O63" s="18" t="n">
        <v>30792.63</v>
      </c>
      <c r="P63" s="37" t="n">
        <v>111323.69</v>
      </c>
      <c r="Q63" s="18" t="n">
        <v>25923.63</v>
      </c>
      <c r="R63" s="18" t="n">
        <v>25827.62</v>
      </c>
      <c r="S63" s="18" t="n">
        <v>28073.97</v>
      </c>
      <c r="T63" s="18" t="n">
        <v>28687.26</v>
      </c>
      <c r="U63" s="37" t="n">
        <v>108512.48</v>
      </c>
      <c r="V63" s="18" t="n">
        <v>24441.21</v>
      </c>
      <c r="W63" s="18" t="n">
        <v>54418.4</v>
      </c>
      <c r="X63" s="18" t="n">
        <v>39327.03</v>
      </c>
      <c r="Y63" s="18" t="n">
        <v>12189.85</v>
      </c>
      <c r="Z63" s="37" t="n">
        <v>130376.49</v>
      </c>
      <c r="AA63" s="18" t="n">
        <v>43765.7</v>
      </c>
      <c r="AB63" s="19" t="n">
        <v>19859.66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판관비</t>
        </is>
      </c>
      <c r="E64" s="18" t="n">
        <v>33953.22</v>
      </c>
      <c r="F64" s="9" t="n"/>
      <c r="G64" s="18" t="n">
        <v>21764.06</v>
      </c>
      <c r="H64" s="18" t="n">
        <v>20189.58</v>
      </c>
      <c r="I64" s="18" t="n">
        <v>17791.62</v>
      </c>
      <c r="J64" s="18" t="n">
        <v>17773.45</v>
      </c>
      <c r="K64" s="37" t="n">
        <v>77518.71000000001</v>
      </c>
      <c r="L64" s="18" t="n">
        <v>16136.77</v>
      </c>
      <c r="M64" s="18" t="n">
        <v>17492.63</v>
      </c>
      <c r="N64" s="18" t="n">
        <v>14520.39</v>
      </c>
      <c r="O64" s="18" t="n">
        <v>22219.99</v>
      </c>
      <c r="P64" s="37" t="n">
        <v>70369.78</v>
      </c>
      <c r="Q64" s="18" t="n">
        <v>15891.84</v>
      </c>
      <c r="R64" s="18" t="n">
        <v>14978.28</v>
      </c>
      <c r="S64" s="18" t="n">
        <v>17974.29</v>
      </c>
      <c r="T64" s="18" t="n">
        <v>20675.67</v>
      </c>
      <c r="U64" s="37" t="n">
        <v>69520.08</v>
      </c>
      <c r="V64" s="18" t="n">
        <v>20122.79</v>
      </c>
      <c r="W64" s="18" t="n">
        <v>19624.31</v>
      </c>
      <c r="X64" s="18" t="n">
        <v>23770.08</v>
      </c>
      <c r="Y64" s="18" t="n">
        <v>16895.66</v>
      </c>
      <c r="Z64" s="37" t="n">
        <v>80412.84</v>
      </c>
      <c r="AA64" s="18" t="n">
        <v>15577.43</v>
      </c>
      <c r="AB64" s="19" t="n">
        <v>17066.27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영업이익</t>
        </is>
      </c>
      <c r="E65" s="18" t="n">
        <v>10675.31</v>
      </c>
      <c r="F65" s="9" t="n"/>
      <c r="G65" s="18" t="n">
        <v>1028.57</v>
      </c>
      <c r="H65" s="18" t="n">
        <v>-2331.19</v>
      </c>
      <c r="I65" s="18" t="n">
        <v>-6014.99</v>
      </c>
      <c r="J65" s="18" t="n">
        <v>9675.9</v>
      </c>
      <c r="K65" s="37" t="n">
        <v>2358.29</v>
      </c>
      <c r="L65" s="18" t="n">
        <v>25126.64</v>
      </c>
      <c r="M65" s="18" t="n">
        <v>10669.02</v>
      </c>
      <c r="N65" s="18" t="n">
        <v>-3414.39</v>
      </c>
      <c r="O65" s="18" t="n">
        <v>8572.639999999999</v>
      </c>
      <c r="P65" s="37" t="n">
        <v>40953.91</v>
      </c>
      <c r="Q65" s="18" t="n">
        <v>10031.79</v>
      </c>
      <c r="R65" s="18" t="n">
        <v>10849.35</v>
      </c>
      <c r="S65" s="18" t="n">
        <v>10099.69</v>
      </c>
      <c r="T65" s="18" t="n">
        <v>8011.6</v>
      </c>
      <c r="U65" s="37" t="n">
        <v>38992.43</v>
      </c>
      <c r="V65" s="18" t="n">
        <v>4318.42</v>
      </c>
      <c r="W65" s="18" t="n">
        <v>34794.09</v>
      </c>
      <c r="X65" s="18" t="n">
        <v>15556.95</v>
      </c>
      <c r="Y65" s="18" t="n">
        <v>-4705.81</v>
      </c>
      <c r="Z65" s="37" t="n">
        <v>49963.65</v>
      </c>
      <c r="AA65" s="18" t="n">
        <v>28188.27</v>
      </c>
      <c r="AB65" s="19" t="n">
        <v>2793.38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기타영업외수익</t>
        </is>
      </c>
      <c r="E66" s="18" t="n">
        <v>11065.15</v>
      </c>
      <c r="F66" s="9" t="n"/>
      <c r="G66" s="18" t="n">
        <v>8613.700000000001</v>
      </c>
      <c r="H66" s="18" t="n">
        <v>1051.57</v>
      </c>
      <c r="I66" s="18" t="n">
        <v>837.63</v>
      </c>
      <c r="J66" s="18" t="n">
        <v>-7791.49</v>
      </c>
      <c r="K66" s="37" t="n">
        <v>2711.41</v>
      </c>
      <c r="L66" s="18" t="n">
        <v>15228.88</v>
      </c>
      <c r="M66" s="18" t="n">
        <v>403.1</v>
      </c>
      <c r="N66" s="18" t="n">
        <v>246.9</v>
      </c>
      <c r="O66" s="18" t="n">
        <v>7142.66</v>
      </c>
      <c r="P66" s="37" t="n">
        <v>23021.54</v>
      </c>
      <c r="Q66" s="18" t="n">
        <v>1729.7</v>
      </c>
      <c r="R66" s="18" t="n">
        <v>58.09</v>
      </c>
      <c r="S66" s="18" t="n">
        <v>24.95</v>
      </c>
      <c r="T66" s="18" t="n">
        <v>1786.39</v>
      </c>
      <c r="U66" s="37" t="n">
        <v>3599.13</v>
      </c>
      <c r="V66" s="18" t="n">
        <v>55.11</v>
      </c>
      <c r="W66" s="18" t="n">
        <v>1036.54</v>
      </c>
      <c r="X66" s="18" t="n">
        <v>68.58</v>
      </c>
      <c r="Y66" s="18" t="n">
        <v>10115.2</v>
      </c>
      <c r="Z66" s="37" t="n">
        <v>11275.43</v>
      </c>
      <c r="AA66" s="18" t="n">
        <v>178.89</v>
      </c>
      <c r="AB66" s="19" t="n">
        <v>102.6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기타영업외비용</t>
        </is>
      </c>
      <c r="E67" s="18" t="n">
        <v>372.72</v>
      </c>
      <c r="F67" s="9" t="n"/>
      <c r="G67" s="18" t="n">
        <v>419.9</v>
      </c>
      <c r="H67" s="18" t="n">
        <v>139.32</v>
      </c>
      <c r="I67" s="18" t="n">
        <v>68.64</v>
      </c>
      <c r="J67" s="18" t="n">
        <v>1794.68</v>
      </c>
      <c r="K67" s="37" t="n">
        <v>2422.54</v>
      </c>
      <c r="L67" s="18" t="n">
        <v>14349.17</v>
      </c>
      <c r="M67" s="18" t="n">
        <v>299.09</v>
      </c>
      <c r="N67" s="18" t="n">
        <v>398.42</v>
      </c>
      <c r="O67" s="18" t="n">
        <v>-500.93</v>
      </c>
      <c r="P67" s="37" t="n">
        <v>14545.75</v>
      </c>
      <c r="Q67" s="18" t="n">
        <v>71.31999999999999</v>
      </c>
      <c r="R67" s="18" t="n">
        <v>29.32</v>
      </c>
      <c r="S67" s="18" t="n">
        <v>85.54000000000001</v>
      </c>
      <c r="T67" s="18" t="n">
        <v>270.54</v>
      </c>
      <c r="U67" s="37" t="n">
        <v>456.72</v>
      </c>
      <c r="V67" s="18" t="n">
        <v>2.32</v>
      </c>
      <c r="W67" s="18" t="n">
        <v>20.32</v>
      </c>
      <c r="X67" s="18" t="n">
        <v>-5.2</v>
      </c>
      <c r="Y67" s="18" t="n">
        <v>327.75</v>
      </c>
      <c r="Z67" s="37" t="n">
        <v>345.19</v>
      </c>
      <c r="AA67" s="18" t="n">
        <v>0.6899999999999999</v>
      </c>
      <c r="AB67" s="19" t="n">
        <v>111.33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금융수익</t>
        </is>
      </c>
      <c r="E68" s="18" t="n">
        <v>118.23</v>
      </c>
      <c r="F68" s="9" t="n"/>
      <c r="G68" s="18" t="n">
        <v>66.18000000000001</v>
      </c>
      <c r="H68" s="18" t="n">
        <v>138.96</v>
      </c>
      <c r="I68" s="18" t="n">
        <v>202.71</v>
      </c>
      <c r="J68" s="18" t="n">
        <v>211.68</v>
      </c>
      <c r="K68" s="37" t="n">
        <v>619.53</v>
      </c>
      <c r="L68" s="18" t="n">
        <v>305.33</v>
      </c>
      <c r="M68" s="18" t="n">
        <v>391.86</v>
      </c>
      <c r="N68" s="18" t="n">
        <v>303.1</v>
      </c>
      <c r="O68" s="18" t="n">
        <v>496.04</v>
      </c>
      <c r="P68" s="37" t="n">
        <v>1496.33</v>
      </c>
      <c r="Q68" s="18" t="n">
        <v>346.64</v>
      </c>
      <c r="R68" s="18" t="n">
        <v>281.79</v>
      </c>
      <c r="S68" s="18" t="n">
        <v>332.38</v>
      </c>
      <c r="T68" s="18" t="n">
        <v>-12.26</v>
      </c>
      <c r="U68" s="37" t="n">
        <v>948.55</v>
      </c>
      <c r="V68" s="18" t="n">
        <v>154.12</v>
      </c>
      <c r="W68" s="18" t="n">
        <v>218.51</v>
      </c>
      <c r="X68" s="18" t="n">
        <v>366.85</v>
      </c>
      <c r="Y68" s="18" t="n">
        <v>317.29</v>
      </c>
      <c r="Z68" s="37" t="n">
        <v>1056.77</v>
      </c>
      <c r="AA68" s="18" t="n">
        <v>307.19</v>
      </c>
      <c r="AB68" s="19" t="n">
        <v>260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금융비용</t>
        </is>
      </c>
      <c r="E69" s="18" t="n">
        <v>-1631.2</v>
      </c>
      <c r="F69" s="9" t="n"/>
      <c r="G69" s="18" t="n">
        <v>1424.42</v>
      </c>
      <c r="H69" s="18" t="n">
        <v>1343.25</v>
      </c>
      <c r="I69" s="18" t="n">
        <v>1530.76</v>
      </c>
      <c r="J69" s="18" t="n">
        <v>2705.71</v>
      </c>
      <c r="K69" s="37" t="n">
        <v>7004.14</v>
      </c>
      <c r="L69" s="18" t="n">
        <v>2173.99</v>
      </c>
      <c r="M69" s="18" t="n">
        <v>2215.47</v>
      </c>
      <c r="N69" s="18" t="n">
        <v>2306.31</v>
      </c>
      <c r="O69" s="18" t="n">
        <v>2337.31</v>
      </c>
      <c r="P69" s="37" t="n">
        <v>9033.08</v>
      </c>
      <c r="Q69" s="18" t="n">
        <v>2420.51</v>
      </c>
      <c r="R69" s="18" t="n">
        <v>2386.17</v>
      </c>
      <c r="S69" s="18" t="n">
        <v>2502.39</v>
      </c>
      <c r="T69" s="18" t="n">
        <v>2376.84</v>
      </c>
      <c r="U69" s="37" t="n">
        <v>9685.91</v>
      </c>
      <c r="V69" s="18" t="n">
        <v>2278.32</v>
      </c>
      <c r="W69" s="18" t="n">
        <v>2087.62</v>
      </c>
      <c r="X69" s="18" t="n">
        <v>1984.04</v>
      </c>
      <c r="Y69" s="18" t="n">
        <v>1946.19</v>
      </c>
      <c r="Z69" s="37" t="n">
        <v>8296.17</v>
      </c>
      <c r="AA69" s="18" t="n">
        <v>1976.76</v>
      </c>
      <c r="AB69" s="19" t="n">
        <v>2095.91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법인세비용차감전계속사업이익</t>
        </is>
      </c>
      <c r="E70" s="18" t="n">
        <v>19854.76</v>
      </c>
      <c r="F70" s="9" t="n"/>
      <c r="G70" s="18" t="n">
        <v>7864.12</v>
      </c>
      <c r="H70" s="18" t="n">
        <v>-2623.22</v>
      </c>
      <c r="I70" s="18" t="n">
        <v>-6574.05</v>
      </c>
      <c r="J70" s="18" t="n">
        <v>-2404.31</v>
      </c>
      <c r="K70" s="37" t="n">
        <v>-3737.46</v>
      </c>
      <c r="L70" s="18" t="n">
        <v>24137.7</v>
      </c>
      <c r="M70" s="18" t="n">
        <v>9988.219999999999</v>
      </c>
      <c r="N70" s="18" t="n">
        <v>-5552.54</v>
      </c>
      <c r="O70" s="18" t="n">
        <v>12503.75</v>
      </c>
      <c r="P70" s="37" t="n">
        <v>41077.13</v>
      </c>
      <c r="Q70" s="18" t="n">
        <v>9616.309999999999</v>
      </c>
      <c r="R70" s="18" t="n">
        <v>8773.540000000001</v>
      </c>
      <c r="S70" s="18" t="n">
        <v>7869.08</v>
      </c>
      <c r="T70" s="18" t="n">
        <v>5500.15</v>
      </c>
      <c r="U70" s="37" t="n">
        <v>31759.08</v>
      </c>
      <c r="V70" s="18" t="n">
        <v>2209.36</v>
      </c>
      <c r="W70" s="18" t="n">
        <v>33973.11</v>
      </c>
      <c r="X70" s="18" t="n">
        <v>14013.42</v>
      </c>
      <c r="Y70" s="18" t="n">
        <v>3452.73</v>
      </c>
      <c r="Z70" s="37" t="n">
        <v>53648.62</v>
      </c>
      <c r="AA70" s="18" t="n">
        <v>26696.88</v>
      </c>
      <c r="AB70" s="19" t="n">
        <v>948.98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</t>
        </is>
      </c>
      <c r="E71" s="18" t="n">
        <v>31048.12</v>
      </c>
      <c r="F71" s="9" t="n"/>
      <c r="G71" s="18" t="n">
        <v>1553.65</v>
      </c>
      <c r="H71" s="18" t="n">
        <v>-1296.16</v>
      </c>
      <c r="I71" s="18" t="n">
        <v>-301.12</v>
      </c>
      <c r="J71" s="18" t="n">
        <v>-3154.94</v>
      </c>
      <c r="K71" s="37" t="n">
        <v>-3198.57</v>
      </c>
      <c r="L71" s="18" t="n">
        <v>3570.41</v>
      </c>
      <c r="M71" s="18" t="n">
        <v>11048.98</v>
      </c>
      <c r="N71" s="18" t="n">
        <v>-1091.96</v>
      </c>
      <c r="O71" s="18" t="n">
        <v>448.35</v>
      </c>
      <c r="P71" s="37" t="n">
        <v>13975.78</v>
      </c>
      <c r="Q71" s="18" t="n">
        <v>1313.38</v>
      </c>
      <c r="R71" s="18" t="n">
        <v>4905.33</v>
      </c>
      <c r="S71" s="18" t="n">
        <v>1414.65</v>
      </c>
      <c r="T71" s="18" t="n">
        <v>5828.13</v>
      </c>
      <c r="U71" s="37" t="n">
        <v>13461.49</v>
      </c>
      <c r="V71" s="18" t="n">
        <v>947.54</v>
      </c>
      <c r="W71" s="18" t="n">
        <v>15390.54</v>
      </c>
      <c r="X71" s="18" t="n">
        <v>1912.31</v>
      </c>
      <c r="Y71" s="18" t="n">
        <v>-28839.04</v>
      </c>
      <c r="Z71" s="37" t="n">
        <v>-10588.65</v>
      </c>
      <c r="AA71" s="18" t="n">
        <v>6237.35</v>
      </c>
      <c r="AB71" s="19" t="n">
        <v>1629.91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당기순이익</t>
        </is>
      </c>
      <c r="E72" s="18" t="n">
        <v>-11193.37</v>
      </c>
      <c r="F72" s="9" t="n"/>
      <c r="G72" s="18" t="n">
        <v>6310.48</v>
      </c>
      <c r="H72" s="18" t="n">
        <v>-1327.06</v>
      </c>
      <c r="I72" s="18" t="n">
        <v>-6272.92</v>
      </c>
      <c r="J72" s="18" t="n">
        <v>750.63</v>
      </c>
      <c r="K72" s="37" t="n">
        <v>-538.87</v>
      </c>
      <c r="L72" s="18" t="n">
        <v>20567.29</v>
      </c>
      <c r="M72" s="18" t="n">
        <v>-1060.77</v>
      </c>
      <c r="N72" s="18" t="n">
        <v>-4460.58</v>
      </c>
      <c r="O72" s="18" t="n">
        <v>12055.39</v>
      </c>
      <c r="P72" s="37" t="n">
        <v>27101.33</v>
      </c>
      <c r="Q72" s="18" t="n">
        <v>8302.93</v>
      </c>
      <c r="R72" s="18" t="n">
        <v>3868.21</v>
      </c>
      <c r="S72" s="18" t="n">
        <v>6454.43</v>
      </c>
      <c r="T72" s="18" t="n">
        <v>-327.98</v>
      </c>
      <c r="U72" s="37" t="n">
        <v>18297.59</v>
      </c>
      <c r="V72" s="18" t="n">
        <v>1261.82</v>
      </c>
      <c r="W72" s="18" t="n">
        <v>18582.56</v>
      </c>
      <c r="X72" s="18" t="n">
        <v>12101.11</v>
      </c>
      <c r="Y72" s="18" t="n">
        <v>32291.76</v>
      </c>
      <c r="Z72" s="37" t="n">
        <v>64237.25</v>
      </c>
      <c r="AA72" s="18" t="n">
        <v>20459.53</v>
      </c>
      <c r="AB72" s="19" t="n">
        <v>-680.92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18" t="n">
        <v>-12029.94</v>
      </c>
      <c r="F73" s="9" t="n"/>
      <c r="G73" s="18" t="n">
        <v>6310.48</v>
      </c>
      <c r="H73" s="18" t="n">
        <v>-1390.47</v>
      </c>
      <c r="I73" s="18" t="n">
        <v>-5876.78</v>
      </c>
      <c r="J73" s="18" t="n">
        <v>1666.07</v>
      </c>
      <c r="K73" s="37" t="n">
        <v>709.3</v>
      </c>
      <c r="L73" s="18" t="n">
        <v>20567.29</v>
      </c>
      <c r="M73" s="18" t="n">
        <v>-1060.77</v>
      </c>
      <c r="N73" s="18" t="n">
        <v>-4460.58</v>
      </c>
      <c r="O73" s="18" t="n">
        <v>12309.07</v>
      </c>
      <c r="P73" s="37" t="n">
        <v>27355.01</v>
      </c>
      <c r="Q73" s="18" t="n">
        <v>8302.93</v>
      </c>
      <c r="R73" s="18" t="n">
        <v>3868.12</v>
      </c>
      <c r="S73" s="18" t="n">
        <v>6454.43</v>
      </c>
      <c r="T73" s="18" t="n">
        <v>-681.92</v>
      </c>
      <c r="U73" s="37" t="n">
        <v>17943.56</v>
      </c>
      <c r="V73" s="18" t="n">
        <v>1261.82</v>
      </c>
      <c r="W73" s="18" t="n">
        <v>18582.56</v>
      </c>
      <c r="X73" s="18" t="n">
        <v>12101.22</v>
      </c>
      <c r="Y73" s="18" t="n">
        <v>42619.84</v>
      </c>
      <c r="Z73" s="37" t="n">
        <v>74565.44</v>
      </c>
      <c r="AA73" s="18" t="n">
        <v>20459.53</v>
      </c>
      <c r="AB73" s="19" t="n">
        <v>-680.92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(지배주주지분)당기순이익</t>
        </is>
      </c>
      <c r="E74" s="18" t="n">
        <v>-13148.34</v>
      </c>
      <c r="F74" s="9" t="n"/>
      <c r="G74" s="18" t="n">
        <v>5219.36</v>
      </c>
      <c r="H74" s="18" t="n">
        <v>-626.97</v>
      </c>
      <c r="I74" s="18" t="n">
        <v>-5274</v>
      </c>
      <c r="J74" s="18" t="n">
        <v>909.63</v>
      </c>
      <c r="K74" s="37" t="n">
        <v>228.02</v>
      </c>
      <c r="L74" s="18" t="n">
        <v>17756.8</v>
      </c>
      <c r="M74" s="18" t="n">
        <v>-1877.68</v>
      </c>
      <c r="N74" s="18" t="n">
        <v>-3304.32</v>
      </c>
      <c r="O74" s="18" t="n">
        <v>11742.56</v>
      </c>
      <c r="P74" s="37" t="n">
        <v>24317.36</v>
      </c>
      <c r="Q74" s="18" t="n">
        <v>7632.57</v>
      </c>
      <c r="R74" s="18" t="n">
        <v>3129.7</v>
      </c>
      <c r="S74" s="18" t="n">
        <v>5555.88</v>
      </c>
      <c r="T74" s="18" t="n">
        <v>-620.13</v>
      </c>
      <c r="U74" s="37" t="n">
        <v>15698.02</v>
      </c>
      <c r="V74" s="18" t="n">
        <v>974.9400000000001</v>
      </c>
      <c r="W74" s="18" t="n">
        <v>14559.55</v>
      </c>
      <c r="X74" s="18" t="n">
        <v>10581.82</v>
      </c>
      <c r="Y74" s="18" t="n">
        <v>33291.5</v>
      </c>
      <c r="Z74" s="37" t="n">
        <v>59407.81</v>
      </c>
      <c r="AA74" s="18" t="n">
        <v>20055.85</v>
      </c>
      <c r="AB74" s="19" t="n">
        <v>-860.91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(비지배주주지분)당기순이익</t>
        </is>
      </c>
      <c r="E75" s="18" t="n">
        <v>1954.98</v>
      </c>
      <c r="F75" s="9" t="n"/>
      <c r="G75" s="18" t="n">
        <v>1091.12</v>
      </c>
      <c r="H75" s="18" t="n">
        <v>-700.09</v>
      </c>
      <c r="I75" s="18" t="n">
        <v>-998.92</v>
      </c>
      <c r="J75" s="18" t="n">
        <v>-159</v>
      </c>
      <c r="K75" s="37" t="n">
        <v>-766.89</v>
      </c>
      <c r="L75" s="18" t="n">
        <v>2810.48</v>
      </c>
      <c r="M75" s="18" t="n">
        <v>816.92</v>
      </c>
      <c r="N75" s="18" t="n">
        <v>-1156.26</v>
      </c>
      <c r="O75" s="18" t="n">
        <v>312.83</v>
      </c>
      <c r="P75" s="37" t="n">
        <v>2783.97</v>
      </c>
      <c r="Q75" s="18" t="n">
        <v>670.35</v>
      </c>
      <c r="R75" s="18" t="n">
        <v>738.51</v>
      </c>
      <c r="S75" s="18" t="n">
        <v>898.55</v>
      </c>
      <c r="T75" s="18" t="n">
        <v>292.15</v>
      </c>
      <c r="U75" s="37" t="n">
        <v>2599.56</v>
      </c>
      <c r="V75" s="18" t="n">
        <v>286.89</v>
      </c>
      <c r="W75" s="18" t="n">
        <v>4023.01</v>
      </c>
      <c r="X75" s="18" t="n">
        <v>1519.29</v>
      </c>
      <c r="Y75" s="18" t="n">
        <v>-999.73</v>
      </c>
      <c r="Z75" s="37" t="n">
        <v>4829.46</v>
      </c>
      <c r="AA75" s="18" t="n">
        <v>403.68</v>
      </c>
      <c r="AB75" s="19" t="n">
        <v>179.98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금융손익</t>
        </is>
      </c>
      <c r="E76" s="18" t="n">
        <v>1749.43</v>
      </c>
      <c r="F76" s="9" t="n"/>
      <c r="G76" s="18" t="n">
        <v>-1358.24</v>
      </c>
      <c r="H76" s="18" t="n">
        <v>-1204.29</v>
      </c>
      <c r="I76" s="18" t="n">
        <v>-1328.05</v>
      </c>
      <c r="J76" s="18" t="n">
        <v>-2494.03</v>
      </c>
      <c r="K76" s="37" t="n">
        <v>-6384.61</v>
      </c>
      <c r="L76" s="18" t="n">
        <v>-1868.66</v>
      </c>
      <c r="M76" s="18" t="n">
        <v>-1823.61</v>
      </c>
      <c r="N76" s="18" t="n">
        <v>-2003.21</v>
      </c>
      <c r="O76" s="18" t="n">
        <v>-1841.27</v>
      </c>
      <c r="P76" s="37" t="n">
        <v>-7536.75</v>
      </c>
      <c r="Q76" s="18" t="n">
        <v>-2073.87</v>
      </c>
      <c r="R76" s="18" t="n">
        <v>-2104.38</v>
      </c>
      <c r="S76" s="18" t="n">
        <v>-2170.01</v>
      </c>
      <c r="T76" s="18" t="n">
        <v>-2389.1</v>
      </c>
      <c r="U76" s="37" t="n">
        <v>-8737.360000000001</v>
      </c>
      <c r="V76" s="18" t="n">
        <v>-2124.2</v>
      </c>
      <c r="W76" s="18" t="n">
        <v>-1869.11</v>
      </c>
      <c r="X76" s="18" t="n">
        <v>-1617.19</v>
      </c>
      <c r="Y76" s="18" t="n">
        <v>-1628.9</v>
      </c>
      <c r="Z76" s="37" t="n">
        <v>-7239.4</v>
      </c>
      <c r="AA76" s="18" t="n">
        <v>-1669.57</v>
      </c>
      <c r="AB76" s="19" t="n">
        <v>-1835.91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기타영업외손익</t>
        </is>
      </c>
      <c r="E77" s="18" t="n">
        <v>10692.43</v>
      </c>
      <c r="F77" s="9" t="n"/>
      <c r="G77" s="18" t="n">
        <v>8193.799999999999</v>
      </c>
      <c r="H77" s="18" t="n">
        <v>912.25</v>
      </c>
      <c r="I77" s="18" t="n">
        <v>768.99</v>
      </c>
      <c r="J77" s="18" t="n">
        <v>-9586.17</v>
      </c>
      <c r="K77" s="37" t="n">
        <v>288.87</v>
      </c>
      <c r="L77" s="18" t="n">
        <v>879.71</v>
      </c>
      <c r="M77" s="18" t="n">
        <v>104.01</v>
      </c>
      <c r="N77" s="18" t="n">
        <v>-151.52</v>
      </c>
      <c r="O77" s="18" t="n">
        <v>7643.59</v>
      </c>
      <c r="P77" s="37" t="n">
        <v>8475.790000000001</v>
      </c>
      <c r="Q77" s="18" t="n">
        <v>1658.38</v>
      </c>
      <c r="R77" s="18" t="n">
        <v>28.77</v>
      </c>
      <c r="S77" s="18" t="n">
        <v>-60.59</v>
      </c>
      <c r="T77" s="18" t="n">
        <v>1515.85</v>
      </c>
      <c r="U77" s="37" t="n">
        <v>3142.41</v>
      </c>
      <c r="V77" s="18" t="n">
        <v>52.79</v>
      </c>
      <c r="W77" s="18" t="n">
        <v>1016.22</v>
      </c>
      <c r="X77" s="18" t="n">
        <v>73.78</v>
      </c>
      <c r="Y77" s="18" t="n">
        <v>9787.450000000001</v>
      </c>
      <c r="Z77" s="37" t="n">
        <v>10930.24</v>
      </c>
      <c r="AA77" s="18" t="n">
        <v>178.2</v>
      </c>
      <c r="AB77" s="19" t="n">
        <v>-8.73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계속사업이익</t>
        </is>
      </c>
      <c r="E78" s="18" t="n">
        <v>-11193.37</v>
      </c>
      <c r="F78" s="9" t="n"/>
      <c r="G78" s="18" t="n">
        <v>6310.48</v>
      </c>
      <c r="H78" s="18" t="n">
        <v>-1327.06</v>
      </c>
      <c r="I78" s="18" t="n">
        <v>-6272.92</v>
      </c>
      <c r="J78" s="18" t="n">
        <v>750.63</v>
      </c>
      <c r="K78" s="37" t="n">
        <v>-538.87</v>
      </c>
      <c r="L78" s="18" t="n">
        <v>20567.29</v>
      </c>
      <c r="M78" s="18" t="n">
        <v>-1060.77</v>
      </c>
      <c r="N78" s="18" t="n">
        <v>-4460.58</v>
      </c>
      <c r="O78" s="18" t="n">
        <v>12055.39</v>
      </c>
      <c r="P78" s="37" t="n">
        <v>27101.33</v>
      </c>
      <c r="Q78" s="18" t="n">
        <v>8302.93</v>
      </c>
      <c r="R78" s="18" t="n">
        <v>3868.21</v>
      </c>
      <c r="S78" s="18" t="n">
        <v>6454.43</v>
      </c>
      <c r="T78" s="18" t="n">
        <v>-327.98</v>
      </c>
      <c r="U78" s="37" t="n">
        <v>18297.59</v>
      </c>
      <c r="V78" s="18" t="n">
        <v>1261.82</v>
      </c>
      <c r="W78" s="18" t="n">
        <v>18582.56</v>
      </c>
      <c r="X78" s="18" t="n">
        <v>12101.11</v>
      </c>
      <c r="Y78" s="18" t="n">
        <v>32291.76</v>
      </c>
      <c r="Z78" s="37" t="n">
        <v>64237.25</v>
      </c>
      <c r="AA78" s="18" t="n">
        <v>20459.53</v>
      </c>
      <c r="AB78" s="19" t="n">
        <v>-680.92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이자수익</t>
        </is>
      </c>
      <c r="F79" s="9" t="n"/>
      <c r="G79" s="18" t="n">
        <v>18.29</v>
      </c>
      <c r="H79" s="18" t="n">
        <v>22.24</v>
      </c>
      <c r="I79" s="18" t="n">
        <v>78.16</v>
      </c>
      <c r="J79" s="18" t="n">
        <v>174.15</v>
      </c>
      <c r="K79" s="37" t="n">
        <v>292.84</v>
      </c>
      <c r="L79" s="18" t="n">
        <v>200.7</v>
      </c>
      <c r="M79" s="18" t="n">
        <v>192.14</v>
      </c>
      <c r="N79" s="18" t="n">
        <v>246.42</v>
      </c>
      <c r="O79" s="18" t="n">
        <v>281.29</v>
      </c>
      <c r="P79" s="37" t="n">
        <v>920.55</v>
      </c>
      <c r="Q79" s="18" t="n">
        <v>258.81</v>
      </c>
      <c r="R79" s="18" t="n">
        <v>257.05</v>
      </c>
      <c r="S79" s="18" t="n">
        <v>301.59</v>
      </c>
      <c r="T79" s="18" t="n">
        <v>-305.13</v>
      </c>
      <c r="U79" s="37" t="n">
        <v>512.3200000000001</v>
      </c>
      <c r="V79" s="18" t="n">
        <v>98.95999999999999</v>
      </c>
      <c r="W79" s="18" t="n">
        <v>110.67</v>
      </c>
      <c r="X79" s="18" t="n">
        <v>130.65</v>
      </c>
      <c r="Y79" s="18" t="n">
        <v>142.13</v>
      </c>
      <c r="Z79" s="37" t="n">
        <v>482.41</v>
      </c>
      <c r="AB79" s="19" t="n">
        <v>141.27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이자비용</t>
        </is>
      </c>
      <c r="F80" s="9" t="n"/>
      <c r="G80" s="18" t="n">
        <v>1424.07</v>
      </c>
      <c r="H80" s="18" t="n">
        <v>1336.96</v>
      </c>
      <c r="I80" s="18" t="n">
        <v>1518.59</v>
      </c>
      <c r="J80" s="18" t="n">
        <v>1892.44</v>
      </c>
      <c r="K80" s="37" t="n">
        <v>6172.06</v>
      </c>
      <c r="L80" s="18" t="n">
        <v>2154.29</v>
      </c>
      <c r="M80" s="18" t="n">
        <v>2172.76</v>
      </c>
      <c r="N80" s="18" t="n">
        <v>2253.05</v>
      </c>
      <c r="O80" s="18" t="n">
        <v>2293.37</v>
      </c>
      <c r="P80" s="37" t="n">
        <v>8873.469999999999</v>
      </c>
      <c r="Q80" s="18" t="n">
        <v>2292.93</v>
      </c>
      <c r="R80" s="18" t="n">
        <v>2153.98</v>
      </c>
      <c r="S80" s="18" t="n">
        <v>2130.12</v>
      </c>
      <c r="T80" s="18" t="n">
        <v>2087.31</v>
      </c>
      <c r="U80" s="37" t="n">
        <v>8664.34</v>
      </c>
      <c r="V80" s="18" t="n">
        <v>1995.52</v>
      </c>
      <c r="W80" s="18" t="n">
        <v>1912.86</v>
      </c>
      <c r="X80" s="18" t="n">
        <v>1904.55</v>
      </c>
      <c r="Y80" s="18" t="n">
        <v>1914.16</v>
      </c>
      <c r="Z80" s="37" t="n">
        <v>7727.09</v>
      </c>
      <c r="AB80" s="19" t="n">
        <v>1938.35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외환차익</t>
        </is>
      </c>
      <c r="F81" s="9" t="n"/>
      <c r="G81" s="18" t="n">
        <v>47.71</v>
      </c>
      <c r="H81" s="18" t="n">
        <v>116.9</v>
      </c>
      <c r="I81" s="18" t="n">
        <v>104.49</v>
      </c>
      <c r="J81" s="18" t="n">
        <v>45.92</v>
      </c>
      <c r="K81" s="37" t="n">
        <v>315.02</v>
      </c>
      <c r="L81" s="18" t="n">
        <v>104.63</v>
      </c>
      <c r="M81" s="18" t="n">
        <v>-41.53</v>
      </c>
      <c r="N81" s="18" t="n">
        <v>197.36</v>
      </c>
      <c r="O81" s="18" t="n">
        <v>27.6</v>
      </c>
      <c r="P81" s="37" t="n">
        <v>288.06</v>
      </c>
      <c r="R81" s="18" t="n">
        <v>19.42</v>
      </c>
      <c r="S81" s="18" t="n">
        <v>19.14</v>
      </c>
      <c r="T81" s="18" t="n">
        <v>50.42</v>
      </c>
      <c r="U81" s="9" t="n"/>
      <c r="V81" s="18" t="n">
        <v>7.36</v>
      </c>
      <c r="W81" s="18" t="n">
        <v>4.31</v>
      </c>
      <c r="X81" s="18" t="n">
        <v>25.72</v>
      </c>
      <c r="Y81" s="18" t="n">
        <v>84.45999999999999</v>
      </c>
      <c r="Z81" s="37" t="n">
        <v>121.85</v>
      </c>
      <c r="AB81" s="19" t="n">
        <v>138.95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외화환산이익</t>
        </is>
      </c>
      <c r="F82" s="9" t="n"/>
      <c r="G82" s="18" t="n">
        <v>0.18</v>
      </c>
      <c r="H82" s="18" t="n">
        <v>-0.18</v>
      </c>
      <c r="K82" s="9" t="n"/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이자손익</t>
        </is>
      </c>
      <c r="F83" s="9" t="n"/>
      <c r="G83" s="18" t="n">
        <v>-1405.78</v>
      </c>
      <c r="H83" s="18" t="n">
        <v>-1314.72</v>
      </c>
      <c r="I83" s="18" t="n">
        <v>-1440.43</v>
      </c>
      <c r="J83" s="18" t="n">
        <v>-1718.29</v>
      </c>
      <c r="K83" s="37" t="n">
        <v>-5879.22</v>
      </c>
      <c r="L83" s="18" t="n">
        <v>-1953.59</v>
      </c>
      <c r="M83" s="18" t="n">
        <v>-1980.62</v>
      </c>
      <c r="N83" s="18" t="n">
        <v>-2006.63</v>
      </c>
      <c r="O83" s="18" t="n">
        <v>-2012.08</v>
      </c>
      <c r="P83" s="37" t="n">
        <v>-7952.92</v>
      </c>
      <c r="Q83" s="18" t="n">
        <v>-2034.12</v>
      </c>
      <c r="R83" s="18" t="n">
        <v>-1896.93</v>
      </c>
      <c r="S83" s="18" t="n">
        <v>-1828.53</v>
      </c>
      <c r="T83" s="18" t="n">
        <v>-2392.44</v>
      </c>
      <c r="U83" s="37" t="n">
        <v>-8152.02</v>
      </c>
      <c r="V83" s="18" t="n">
        <v>-1896.56</v>
      </c>
      <c r="W83" s="18" t="n">
        <v>-1802.19</v>
      </c>
      <c r="X83" s="18" t="n">
        <v>-1773.9</v>
      </c>
      <c r="Y83" s="18" t="n">
        <v>-1772.03</v>
      </c>
      <c r="Z83" s="37" t="n">
        <v>-7244.68</v>
      </c>
      <c r="AB83" s="19" t="n">
        <v>-1797.08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외환차손</t>
        </is>
      </c>
      <c r="F84" s="9" t="n"/>
      <c r="H84" s="18" t="n">
        <v>3.7</v>
      </c>
      <c r="I84" s="18" t="n">
        <v>7.52</v>
      </c>
      <c r="J84" s="18" t="n">
        <v>41.56</v>
      </c>
      <c r="K84" s="9" t="n"/>
      <c r="L84" s="18" t="n">
        <v>17.28</v>
      </c>
      <c r="M84" s="18" t="n">
        <v>40.71</v>
      </c>
      <c r="N84" s="18" t="n">
        <v>47.43</v>
      </c>
      <c r="O84" s="18" t="n">
        <v>39.8</v>
      </c>
      <c r="P84" s="37" t="n">
        <v>145.22</v>
      </c>
      <c r="R84" s="18" t="n">
        <v>0.24</v>
      </c>
      <c r="S84" s="18" t="n">
        <v>12.28</v>
      </c>
      <c r="T84" s="18" t="n">
        <v>1.53</v>
      </c>
      <c r="U84" s="9" t="n"/>
      <c r="V84" s="18" t="n">
        <v>13.64</v>
      </c>
      <c r="W84" s="18" t="n">
        <v>60.42</v>
      </c>
      <c r="X84" s="18" t="n">
        <v>5.36</v>
      </c>
      <c r="Y84" s="18" t="n">
        <v>8.25</v>
      </c>
      <c r="Z84" s="37" t="n">
        <v>87.67</v>
      </c>
      <c r="AB84" s="19" t="n">
        <v>8.01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배당금수익</t>
        </is>
      </c>
      <c r="F85" s="9" t="n"/>
      <c r="K85" s="9" t="n"/>
      <c r="O85" s="18" t="n">
        <v>37.13</v>
      </c>
      <c r="P85" s="9" t="n"/>
      <c r="Q85" s="18" t="n">
        <v>60.46</v>
      </c>
      <c r="R85" s="18" t="n">
        <v>5.3</v>
      </c>
      <c r="S85" s="18" t="n">
        <v>11.36</v>
      </c>
      <c r="T85" s="18" t="n">
        <v>-11.37</v>
      </c>
      <c r="U85" s="37" t="n">
        <v>65.75</v>
      </c>
      <c r="V85" s="18" t="n">
        <v>46.95</v>
      </c>
      <c r="W85" s="18" t="n">
        <v>53.76</v>
      </c>
      <c r="X85" s="18" t="n">
        <v>38.99</v>
      </c>
      <c r="Y85" s="18" t="n">
        <v>89.38</v>
      </c>
      <c r="Z85" s="37" t="n">
        <v>229.08</v>
      </c>
      <c r="AB85" s="19" t="n">
        <v>29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영업활동으로인한현금흐름</t>
        </is>
      </c>
      <c r="E86" s="18" t="n">
        <v>-166098.55</v>
      </c>
      <c r="F86" s="9" t="n"/>
      <c r="G86" s="18" t="n">
        <v>198135.41</v>
      </c>
      <c r="H86" s="18" t="n">
        <v>55928.38</v>
      </c>
      <c r="I86" s="18" t="n">
        <v>-133337.45</v>
      </c>
      <c r="J86" s="18" t="n">
        <v>-77396.07000000001</v>
      </c>
      <c r="K86" s="37" t="n">
        <v>43330.27</v>
      </c>
      <c r="L86" s="18" t="n">
        <v>-193282.65</v>
      </c>
      <c r="M86" s="18" t="n">
        <v>173678.2</v>
      </c>
      <c r="N86" s="18" t="n">
        <v>-52784.74</v>
      </c>
      <c r="O86" s="18" t="n">
        <v>-187280.14</v>
      </c>
      <c r="P86" s="37" t="n">
        <v>-259669.33</v>
      </c>
      <c r="Q86" s="18" t="n">
        <v>-4525.59</v>
      </c>
      <c r="R86" s="18" t="n">
        <v>26373.18</v>
      </c>
      <c r="S86" s="18" t="n">
        <v>-480123.87</v>
      </c>
      <c r="T86" s="18" t="n">
        <v>274152.1</v>
      </c>
      <c r="U86" s="37" t="n">
        <v>-184124.18</v>
      </c>
      <c r="V86" s="18" t="n">
        <v>-626.4400000000001</v>
      </c>
      <c r="W86" s="18" t="n">
        <v>-75588.81</v>
      </c>
      <c r="X86" s="18" t="n">
        <v>90242.34</v>
      </c>
      <c r="Y86" s="18" t="n">
        <v>174407.1</v>
      </c>
      <c r="Z86" s="37" t="n">
        <v>188434.19</v>
      </c>
      <c r="AA86" s="18" t="n">
        <v>-382517.37</v>
      </c>
      <c r="AB86" s="19" t="n">
        <v>51018.13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이자수취(CF)</t>
        </is>
      </c>
      <c r="E87" s="18" t="n">
        <v>8158.88</v>
      </c>
      <c r="F87" s="9" t="n"/>
      <c r="G87" s="18" t="n">
        <v>9816.370000000001</v>
      </c>
      <c r="H87" s="18" t="n">
        <v>13360.95</v>
      </c>
      <c r="I87" s="18" t="n">
        <v>14125.87</v>
      </c>
      <c r="J87" s="18" t="n">
        <v>17951.31</v>
      </c>
      <c r="K87" s="37" t="n">
        <v>55254.5</v>
      </c>
      <c r="L87" s="18" t="n">
        <v>17745.06</v>
      </c>
      <c r="M87" s="18" t="n">
        <v>17482.98</v>
      </c>
      <c r="N87" s="18" t="n">
        <v>14771.4</v>
      </c>
      <c r="O87" s="18" t="n">
        <v>15914.83</v>
      </c>
      <c r="P87" s="37" t="n">
        <v>65914.27</v>
      </c>
      <c r="Q87" s="18" t="n">
        <v>19275.38</v>
      </c>
      <c r="R87" s="18" t="n">
        <v>18342.85</v>
      </c>
      <c r="S87" s="18" t="n">
        <v>20013.51</v>
      </c>
      <c r="T87" s="18" t="n">
        <v>19434.24</v>
      </c>
      <c r="U87" s="37" t="n">
        <v>77065.98</v>
      </c>
      <c r="V87" s="18" t="n">
        <v>20665.83</v>
      </c>
      <c r="W87" s="18" t="n">
        <v>19426.62</v>
      </c>
      <c r="X87" s="18" t="n">
        <v>20092.3</v>
      </c>
      <c r="Y87" s="18" t="n">
        <v>16301.07</v>
      </c>
      <c r="Z87" s="37" t="n">
        <v>76485.82000000001</v>
      </c>
      <c r="AA87" s="18" t="n">
        <v>18506.91</v>
      </c>
      <c r="AB87" s="19" t="n">
        <v>22859.38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배당금수취(CF)</t>
        </is>
      </c>
      <c r="E88" s="18" t="n">
        <v>752.65</v>
      </c>
      <c r="F88" s="9" t="n"/>
      <c r="G88" s="18" t="n">
        <v>2175.22</v>
      </c>
      <c r="H88" s="18" t="n">
        <v>3062.5</v>
      </c>
      <c r="I88" s="18" t="n">
        <v>355.93</v>
      </c>
      <c r="J88" s="18" t="n">
        <v>631.78</v>
      </c>
      <c r="K88" s="37" t="n">
        <v>6225.43</v>
      </c>
      <c r="L88" s="18" t="n">
        <v>335.67</v>
      </c>
      <c r="M88" s="18" t="n">
        <v>2646.86</v>
      </c>
      <c r="N88" s="18" t="n">
        <v>3690.29</v>
      </c>
      <c r="O88" s="18" t="n">
        <v>2994.7</v>
      </c>
      <c r="P88" s="37" t="n">
        <v>9667.52</v>
      </c>
      <c r="Q88" s="18" t="n">
        <v>443.54</v>
      </c>
      <c r="R88" s="18" t="n">
        <v>5488.88</v>
      </c>
      <c r="S88" s="18" t="n">
        <v>713.71</v>
      </c>
      <c r="T88" s="18" t="n">
        <v>2158.83</v>
      </c>
      <c r="U88" s="37" t="n">
        <v>8804.959999999999</v>
      </c>
      <c r="V88" s="18" t="n">
        <v>1408.57</v>
      </c>
      <c r="W88" s="18" t="n">
        <v>4246.54</v>
      </c>
      <c r="X88" s="18" t="n">
        <v>765.41</v>
      </c>
      <c r="Y88" s="18" t="n">
        <v>1452.82</v>
      </c>
      <c r="Z88" s="37" t="n">
        <v>7873.34</v>
      </c>
      <c r="AA88" s="18" t="n">
        <v>2124.15</v>
      </c>
      <c r="AB88" s="19" t="n">
        <v>6352.84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이자지급(CF)</t>
        </is>
      </c>
      <c r="E89" s="18" t="n">
        <v>-5084.28</v>
      </c>
      <c r="F89" s="9" t="n"/>
      <c r="G89" s="18" t="n">
        <v>-6300.3</v>
      </c>
      <c r="H89" s="18" t="n">
        <v>-7202.54</v>
      </c>
      <c r="I89" s="18" t="n">
        <v>-9592.52</v>
      </c>
      <c r="J89" s="18" t="n">
        <v>-13011.37</v>
      </c>
      <c r="K89" s="37" t="n">
        <v>-36106.73</v>
      </c>
      <c r="L89" s="18" t="n">
        <v>-15072.34</v>
      </c>
      <c r="M89" s="18" t="n">
        <v>-16572.4</v>
      </c>
      <c r="P89" s="9" t="n"/>
      <c r="Q89" s="18" t="n">
        <v>-16056.01</v>
      </c>
      <c r="R89" s="18" t="n">
        <v>-15854.54</v>
      </c>
      <c r="S89" s="18" t="n">
        <v>-19594.9</v>
      </c>
      <c r="T89" s="18" t="n">
        <v>-18324.91</v>
      </c>
      <c r="U89" s="37" t="n">
        <v>-69830.36</v>
      </c>
      <c r="V89" s="18" t="n">
        <v>-17524.42</v>
      </c>
      <c r="W89" s="18" t="n">
        <v>-16246.29</v>
      </c>
      <c r="X89" s="18" t="n">
        <v>-14506.26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법인세납부(CF)</t>
        </is>
      </c>
      <c r="E90" s="18" t="n">
        <v>-851.91</v>
      </c>
      <c r="F90" s="9" t="n"/>
      <c r="G90" s="18" t="n">
        <v>-4501.99</v>
      </c>
      <c r="H90" s="18" t="n">
        <v>-5745.98</v>
      </c>
      <c r="I90" s="18" t="n">
        <v>-3004.08</v>
      </c>
      <c r="J90" s="18" t="n">
        <v>-2236.08</v>
      </c>
      <c r="K90" s="37" t="n">
        <v>-15488.13</v>
      </c>
      <c r="L90" s="18" t="n">
        <v>-2811.64</v>
      </c>
      <c r="M90" s="18" t="n">
        <v>445.09</v>
      </c>
      <c r="N90" s="18" t="n">
        <v>-2166.84</v>
      </c>
      <c r="O90" s="18" t="n">
        <v>-2472.79</v>
      </c>
      <c r="P90" s="37" t="n">
        <v>-7006.18</v>
      </c>
      <c r="Q90" s="18" t="n">
        <v>-2480.67</v>
      </c>
      <c r="R90" s="18" t="n">
        <v>-2304.49</v>
      </c>
      <c r="S90" s="18" t="n">
        <v>-3317.93</v>
      </c>
      <c r="T90" s="18" t="n">
        <v>-8105.81</v>
      </c>
      <c r="U90" s="37" t="n">
        <v>-16208.9</v>
      </c>
      <c r="V90" s="18" t="n">
        <v>-2691.75</v>
      </c>
      <c r="W90" s="18" t="n">
        <v>2220.97</v>
      </c>
      <c r="X90" s="18" t="n">
        <v>-2234.28</v>
      </c>
      <c r="Y90" s="18" t="n">
        <v>-673.66</v>
      </c>
      <c r="Z90" s="37" t="n">
        <v>-3378.72</v>
      </c>
      <c r="AA90" s="18" t="n">
        <v>-2109.77</v>
      </c>
      <c r="AB90" s="19" t="n">
        <v>2804.35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투자활동으로인한현금흐름</t>
        </is>
      </c>
      <c r="E91" s="18" t="n">
        <v>4834.08</v>
      </c>
      <c r="F91" s="9" t="n"/>
      <c r="G91" s="18" t="n">
        <v>4446.47</v>
      </c>
      <c r="H91" s="18" t="n">
        <v>-2857.71</v>
      </c>
      <c r="I91" s="18" t="n">
        <v>-591.67</v>
      </c>
      <c r="J91" s="18" t="n">
        <v>4385.15</v>
      </c>
      <c r="K91" s="37" t="n">
        <v>5382.24</v>
      </c>
      <c r="L91" s="18" t="n">
        <v>-2478.46</v>
      </c>
      <c r="M91" s="18" t="n">
        <v>-14815.85</v>
      </c>
      <c r="N91" s="18" t="n">
        <v>4104.52</v>
      </c>
      <c r="O91" s="18" t="n">
        <v>22009.22</v>
      </c>
      <c r="P91" s="37" t="n">
        <v>8819.43</v>
      </c>
      <c r="Q91" s="18" t="n">
        <v>9175.620000000001</v>
      </c>
      <c r="R91" s="18" t="n">
        <v>6612.97</v>
      </c>
      <c r="S91" s="18" t="n">
        <v>-6729.9</v>
      </c>
      <c r="T91" s="18" t="n">
        <v>7167.09</v>
      </c>
      <c r="U91" s="37" t="n">
        <v>16225.78</v>
      </c>
      <c r="V91" s="18" t="n">
        <v>1310.85</v>
      </c>
      <c r="W91" s="18" t="n">
        <v>4330.78</v>
      </c>
      <c r="X91" s="18" t="n">
        <v>-2477.52</v>
      </c>
      <c r="Y91" s="18" t="n">
        <v>10055.34</v>
      </c>
      <c r="Z91" s="37" t="n">
        <v>13219.45</v>
      </c>
      <c r="AA91" s="18" t="n">
        <v>-9421.07</v>
      </c>
      <c r="AB91" s="19" t="n">
        <v>4510.06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무형자산의증가</t>
        </is>
      </c>
      <c r="E92" s="18" t="n">
        <v>55.56</v>
      </c>
      <c r="F92" s="9" t="n"/>
      <c r="G92" s="18" t="n">
        <v>165.32</v>
      </c>
      <c r="H92" s="18" t="n">
        <v>331.85</v>
      </c>
      <c r="I92" s="18" t="n">
        <v>16.67</v>
      </c>
      <c r="J92" s="18" t="n">
        <v>242.1</v>
      </c>
      <c r="K92" s="37" t="n">
        <v>755.9400000000001</v>
      </c>
      <c r="L92" s="18" t="n">
        <v>436.15</v>
      </c>
      <c r="M92" s="18" t="n">
        <v>0</v>
      </c>
      <c r="N92" s="18" t="n">
        <v>190.8</v>
      </c>
      <c r="O92" s="18" t="n">
        <v>32.7</v>
      </c>
      <c r="P92" s="37" t="n">
        <v>659.65</v>
      </c>
      <c r="Q92" s="18" t="n">
        <v>7.48</v>
      </c>
      <c r="R92" s="18" t="n">
        <v>0.03</v>
      </c>
      <c r="S92" s="18" t="n">
        <v>804.7</v>
      </c>
      <c r="T92" s="18" t="n">
        <v>17.19</v>
      </c>
      <c r="U92" s="37" t="n">
        <v>829.4</v>
      </c>
      <c r="V92" s="18" t="n">
        <v>2458.97</v>
      </c>
      <c r="W92" s="18" t="n">
        <v>96.95999999999999</v>
      </c>
      <c r="X92" s="18" t="n">
        <v>50</v>
      </c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CAPEX</t>
        </is>
      </c>
      <c r="E93" s="18" t="n">
        <v>55.56</v>
      </c>
      <c r="F93" s="9" t="n"/>
      <c r="G93" s="18" t="n">
        <v>165.32</v>
      </c>
      <c r="H93" s="18" t="n">
        <v>331.85</v>
      </c>
      <c r="I93" s="18" t="n">
        <v>16.67</v>
      </c>
      <c r="J93" s="18" t="n">
        <v>242.1</v>
      </c>
      <c r="K93" s="37" t="n">
        <v>755.9400000000001</v>
      </c>
      <c r="L93" s="18" t="n">
        <v>436.15</v>
      </c>
      <c r="M93" s="18" t="n">
        <v>1701.81</v>
      </c>
      <c r="N93" s="18" t="n">
        <v>360.95</v>
      </c>
      <c r="O93" s="18" t="n">
        <v>147.08</v>
      </c>
      <c r="P93" s="37" t="n">
        <v>2645.99</v>
      </c>
      <c r="Q93" s="18" t="n">
        <v>88.68000000000001</v>
      </c>
      <c r="R93" s="18" t="n">
        <v>61.73</v>
      </c>
      <c r="S93" s="18" t="n">
        <v>885.8200000000001</v>
      </c>
      <c r="T93" s="18" t="n">
        <v>40.35</v>
      </c>
      <c r="U93" s="37" t="n">
        <v>1076.58</v>
      </c>
      <c r="V93" s="18" t="n">
        <v>2520.59</v>
      </c>
      <c r="W93" s="18" t="n">
        <v>216.91</v>
      </c>
      <c r="X93" s="18" t="n">
        <v>167.69</v>
      </c>
      <c r="Y93" s="18" t="n">
        <v>672.09</v>
      </c>
      <c r="Z93" s="37" t="n">
        <v>3577.28</v>
      </c>
      <c r="AA93" s="18" t="n">
        <v>110.31</v>
      </c>
      <c r="AB93" s="19" t="n">
        <v>547.4400000000001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재무활동으로인한현금흐름</t>
        </is>
      </c>
      <c r="E94" s="18" t="n">
        <v>124247.45</v>
      </c>
      <c r="F94" s="9" t="n"/>
      <c r="G94" s="18" t="n">
        <v>-157873.66</v>
      </c>
      <c r="H94" s="18" t="n">
        <v>-44360.14</v>
      </c>
      <c r="I94" s="18" t="n">
        <v>105092.08</v>
      </c>
      <c r="J94" s="18" t="n">
        <v>71491.64999999999</v>
      </c>
      <c r="K94" s="37" t="n">
        <v>-25650.07</v>
      </c>
      <c r="L94" s="18" t="n">
        <v>214647.23</v>
      </c>
      <c r="M94" s="18" t="n">
        <v>-128188.34</v>
      </c>
      <c r="N94" s="18" t="n">
        <v>4559.06</v>
      </c>
      <c r="O94" s="18" t="n">
        <v>158408.39</v>
      </c>
      <c r="P94" s="37" t="n">
        <v>249426.34</v>
      </c>
      <c r="Q94" s="18" t="n">
        <v>10338.19</v>
      </c>
      <c r="R94" s="18" t="n">
        <v>-17263.59</v>
      </c>
      <c r="S94" s="18" t="n">
        <v>462970.53</v>
      </c>
      <c r="T94" s="18" t="n">
        <v>-274877.8</v>
      </c>
      <c r="U94" s="37" t="n">
        <v>181167.33</v>
      </c>
      <c r="V94" s="18" t="n">
        <v>23065.7</v>
      </c>
      <c r="W94" s="18" t="n">
        <v>70197.48</v>
      </c>
      <c r="X94" s="18" t="n">
        <v>-102263.05</v>
      </c>
      <c r="Y94" s="18" t="n">
        <v>-152875.34</v>
      </c>
      <c r="Z94" s="37" t="n">
        <v>-161875.21</v>
      </c>
      <c r="AA94" s="18" t="n">
        <v>360592.09</v>
      </c>
      <c r="AB94" s="19" t="n">
        <v>-45359.44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장기차입금의증가</t>
        </is>
      </c>
      <c r="E95" s="18" t="n">
        <v>6000</v>
      </c>
      <c r="F95" s="9" t="n"/>
      <c r="G95" s="18" t="n">
        <v>95000</v>
      </c>
      <c r="H95" s="18" t="n">
        <v>62.59</v>
      </c>
      <c r="J95" s="18" t="n">
        <v>2970</v>
      </c>
      <c r="K95" s="9" t="n"/>
      <c r="L95" s="18" t="n">
        <v>6420</v>
      </c>
      <c r="M95" s="18" t="n">
        <v>1760</v>
      </c>
      <c r="N95" s="18" t="n">
        <v>8320</v>
      </c>
      <c r="P95" s="9" t="n"/>
      <c r="Q95" s="18" t="n">
        <v>16400</v>
      </c>
      <c r="S95" s="18" t="n">
        <v>13000</v>
      </c>
      <c r="U95" s="9" t="n"/>
      <c r="V95" s="18" t="n">
        <v>93410</v>
      </c>
      <c r="X95" s="18" t="n">
        <v>6260</v>
      </c>
      <c r="Z95" s="9" t="n"/>
      <c r="AA95" s="18" t="n">
        <v>1380</v>
      </c>
      <c r="AB95" s="19" t="n">
        <v>990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단기차입금의증가</t>
        </is>
      </c>
      <c r="E96" s="18" t="n">
        <v>0</v>
      </c>
      <c r="F96" s="9" t="n"/>
      <c r="G96" s="18" t="n">
        <v>17000</v>
      </c>
      <c r="H96" s="18" t="n">
        <v>0</v>
      </c>
      <c r="I96" s="18" t="n">
        <v>0</v>
      </c>
      <c r="J96" s="18" t="n">
        <v>0</v>
      </c>
      <c r="K96" s="37" t="n">
        <v>17000</v>
      </c>
      <c r="L96" s="18" t="n">
        <v>20000</v>
      </c>
      <c r="M96" s="18" t="n">
        <v>42000</v>
      </c>
      <c r="N96" s="18" t="n">
        <v>0</v>
      </c>
      <c r="O96" s="18" t="n">
        <v>0</v>
      </c>
      <c r="P96" s="37" t="n">
        <v>62000</v>
      </c>
      <c r="Q96" s="18" t="n">
        <v>0</v>
      </c>
      <c r="R96" s="18" t="n">
        <v>40000</v>
      </c>
      <c r="S96" s="18" t="n">
        <v>9000</v>
      </c>
      <c r="T96" s="18" t="n">
        <v>18420</v>
      </c>
      <c r="U96" s="37" t="n">
        <v>67420</v>
      </c>
      <c r="V96" s="18" t="n">
        <v>16500</v>
      </c>
      <c r="W96" s="18" t="n">
        <v>25000</v>
      </c>
      <c r="X96" s="18" t="n">
        <v>200</v>
      </c>
      <c r="Y96" s="18" t="n">
        <v>27340</v>
      </c>
      <c r="Z96" s="37" t="n">
        <v>69040</v>
      </c>
      <c r="AA96" s="18" t="n">
        <v>12000</v>
      </c>
      <c r="AB96" s="19" t="n">
        <v>19500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장기차입금의감소</t>
        </is>
      </c>
      <c r="E97" s="18" t="n">
        <v>0</v>
      </c>
      <c r="F97" s="9" t="n"/>
      <c r="J97" s="18" t="n">
        <v>0</v>
      </c>
      <c r="K97" s="9" t="n"/>
      <c r="O97" s="18" t="n">
        <v>5000</v>
      </c>
      <c r="P97" s="9" t="n"/>
      <c r="Q97" s="18" t="n">
        <v>15000</v>
      </c>
      <c r="S97" s="18" t="n">
        <v>0</v>
      </c>
      <c r="T97" s="18" t="n">
        <v>29374.91</v>
      </c>
      <c r="U97" s="9" t="n"/>
      <c r="V97" s="18" t="n">
        <v>90637.42999999999</v>
      </c>
      <c r="X97" s="18" t="n">
        <v>5000</v>
      </c>
      <c r="Z97" s="9" t="n"/>
      <c r="AA97" s="18" t="n">
        <v>1000</v>
      </c>
      <c r="AB97" s="19" t="n">
        <v>25800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단기차입금의감소</t>
        </is>
      </c>
      <c r="E98" s="18" t="n">
        <v>0</v>
      </c>
      <c r="F98" s="9" t="n"/>
      <c r="G98" s="18" t="n">
        <v>24000</v>
      </c>
      <c r="H98" s="18" t="n">
        <v>0</v>
      </c>
      <c r="I98" s="18" t="n">
        <v>0</v>
      </c>
      <c r="J98" s="18" t="n">
        <v>0</v>
      </c>
      <c r="K98" s="37" t="n">
        <v>24000</v>
      </c>
      <c r="L98" s="18" t="n">
        <v>20000</v>
      </c>
      <c r="M98" s="18" t="n">
        <v>30000</v>
      </c>
      <c r="N98" s="18" t="n">
        <v>0</v>
      </c>
      <c r="O98" s="18" t="n">
        <v>0</v>
      </c>
      <c r="P98" s="37" t="n">
        <v>50000</v>
      </c>
      <c r="Q98" s="18" t="n">
        <v>0</v>
      </c>
      <c r="R98" s="18" t="n">
        <v>42000</v>
      </c>
      <c r="S98" s="18" t="n">
        <v>11000</v>
      </c>
      <c r="U98" s="9" t="n"/>
      <c r="V98" s="18" t="n">
        <v>12900</v>
      </c>
      <c r="W98" s="18" t="n">
        <v>22500</v>
      </c>
      <c r="X98" s="18" t="n">
        <v>7000</v>
      </c>
      <c r="Y98" s="18" t="n">
        <v>2420</v>
      </c>
      <c r="Z98" s="37" t="n">
        <v>44820</v>
      </c>
      <c r="AA98" s="18" t="n">
        <v>11000</v>
      </c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리스부채의상환</t>
        </is>
      </c>
      <c r="E99" s="18" t="n">
        <v>82.27</v>
      </c>
      <c r="F99" s="9" t="n"/>
      <c r="G99" s="18" t="n">
        <v>215.5</v>
      </c>
      <c r="H99" s="18" t="n">
        <v>433.16</v>
      </c>
      <c r="I99" s="18" t="n">
        <v>436.87</v>
      </c>
      <c r="J99" s="18" t="n">
        <v>409.98</v>
      </c>
      <c r="K99" s="37" t="n">
        <v>1495.51</v>
      </c>
      <c r="L99" s="18" t="n">
        <v>486.9</v>
      </c>
      <c r="M99" s="18" t="n">
        <v>596.37</v>
      </c>
      <c r="N99" s="18" t="n">
        <v>599.65</v>
      </c>
      <c r="O99" s="18" t="n">
        <v>571.97</v>
      </c>
      <c r="P99" s="37" t="n">
        <v>2254.89</v>
      </c>
      <c r="Q99" s="18" t="n">
        <v>650.8200000000001</v>
      </c>
      <c r="R99" s="18" t="n">
        <v>772.2</v>
      </c>
      <c r="S99" s="18" t="n">
        <v>772.02</v>
      </c>
      <c r="T99" s="18" t="n">
        <v>743.35</v>
      </c>
      <c r="U99" s="37" t="n">
        <v>2938.39</v>
      </c>
      <c r="V99" s="18" t="n">
        <v>776.3099999999999</v>
      </c>
      <c r="W99" s="18" t="n">
        <v>788.46</v>
      </c>
      <c r="X99" s="18" t="n">
        <v>817.3</v>
      </c>
      <c r="Y99" s="18" t="n">
        <v>779.91</v>
      </c>
      <c r="Z99" s="37" t="n">
        <v>3161.98</v>
      </c>
      <c r="AA99" s="18" t="n">
        <v>1653.2</v>
      </c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현금및현금성자산의증감</t>
        </is>
      </c>
      <c r="E100" s="18" t="n">
        <v>-74046.17</v>
      </c>
      <c r="F100" s="9" t="n"/>
      <c r="G100" s="18" t="n">
        <v>89416.61</v>
      </c>
      <c r="H100" s="18" t="n">
        <v>17420.87</v>
      </c>
      <c r="I100" s="18" t="n">
        <v>-57674.06</v>
      </c>
      <c r="J100" s="18" t="n">
        <v>-3097.89</v>
      </c>
      <c r="K100" s="37" t="n">
        <v>46065.53</v>
      </c>
      <c r="L100" s="18" t="n">
        <v>37772.24</v>
      </c>
      <c r="M100" s="18" t="n">
        <v>61348.02</v>
      </c>
      <c r="N100" s="18" t="n">
        <v>-88242.32000000001</v>
      </c>
      <c r="O100" s="18" t="n">
        <v>-13725.06</v>
      </c>
      <c r="P100" s="37" t="n">
        <v>-2847.12</v>
      </c>
      <c r="Q100" s="18" t="n">
        <v>29976.44</v>
      </c>
      <c r="R100" s="18" t="n">
        <v>31445.1</v>
      </c>
      <c r="S100" s="18" t="n">
        <v>-47766.46</v>
      </c>
      <c r="T100" s="18" t="n">
        <v>12882.78</v>
      </c>
      <c r="U100" s="37" t="n">
        <v>26537.86</v>
      </c>
      <c r="V100" s="18" t="n">
        <v>47500.22</v>
      </c>
      <c r="W100" s="18" t="n">
        <v>-2121.1</v>
      </c>
      <c r="X100" s="18" t="n">
        <v>-28996.46</v>
      </c>
      <c r="Y100" s="18" t="n">
        <v>23395.77</v>
      </c>
      <c r="Z100" s="37" t="n">
        <v>39778.43</v>
      </c>
      <c r="AA100" s="18" t="n">
        <v>-31346.36</v>
      </c>
      <c r="AB100" s="19" t="n">
        <v>10168.76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기말현금및현금성자산</t>
        </is>
      </c>
      <c r="E101" s="18" t="n">
        <v>-37029.15</v>
      </c>
      <c r="F101" s="9" t="n"/>
      <c r="G101" s="18" t="n">
        <v>123601.61</v>
      </c>
      <c r="H101" s="18" t="n">
        <v>8710.360000000001</v>
      </c>
      <c r="I101" s="18" t="n">
        <v>-28837.04</v>
      </c>
      <c r="J101" s="18" t="n">
        <v>-1578.62</v>
      </c>
      <c r="K101" s="37" t="n">
        <v>101896.31</v>
      </c>
      <c r="L101" s="18" t="n">
        <v>120782.43</v>
      </c>
      <c r="M101" s="18" t="n">
        <v>30674.01</v>
      </c>
      <c r="N101" s="18" t="n">
        <v>-44121.16</v>
      </c>
      <c r="O101" s="18" t="n">
        <v>-6862.53</v>
      </c>
      <c r="P101" s="37" t="n">
        <v>100472.75</v>
      </c>
      <c r="Q101" s="18" t="n">
        <v>115460.97</v>
      </c>
      <c r="R101" s="18" t="n">
        <v>15722.55</v>
      </c>
      <c r="S101" s="18" t="n">
        <v>-23883.23</v>
      </c>
      <c r="T101" s="18" t="n">
        <v>6441.39</v>
      </c>
      <c r="U101" s="37" t="n">
        <v>113741.68</v>
      </c>
      <c r="V101" s="18" t="n">
        <v>137491.8</v>
      </c>
      <c r="W101" s="18" t="n">
        <v>-629.89</v>
      </c>
      <c r="X101" s="18" t="n">
        <v>-14498.23</v>
      </c>
      <c r="Y101" s="18" t="n">
        <v>31156.43</v>
      </c>
      <c r="Z101" s="37" t="n">
        <v>153520.11</v>
      </c>
      <c r="AA101" s="18" t="n">
        <v>122173.76</v>
      </c>
      <c r="AB101" s="19" t="n">
        <v>10168.75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자기주식의취득</t>
        </is>
      </c>
      <c r="F102" s="9" t="n"/>
      <c r="J102" s="18" t="n">
        <v>3219.58</v>
      </c>
      <c r="K102" s="9" t="n"/>
      <c r="P102" s="9" t="n"/>
      <c r="Q102" s="18" t="n">
        <v>1274.12</v>
      </c>
      <c r="S102" s="18" t="n">
        <v>0</v>
      </c>
      <c r="T102" s="18" t="n">
        <v>1610.69</v>
      </c>
      <c r="U102" s="9" t="n"/>
      <c r="V102" s="18" t="n">
        <v>0</v>
      </c>
      <c r="W102" s="18" t="n">
        <v>0</v>
      </c>
      <c r="X102" s="18" t="n">
        <v>0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유동성장기부채의감소</t>
        </is>
      </c>
      <c r="F103" s="9" t="n"/>
      <c r="K103" s="9" t="n"/>
      <c r="L103" s="18" t="n">
        <v>5000</v>
      </c>
      <c r="N103" s="18" t="n">
        <v>5000</v>
      </c>
      <c r="P103" s="9" t="n"/>
      <c r="S103" s="18" t="n">
        <v>0</v>
      </c>
      <c r="U103" s="9" t="n"/>
      <c r="X103" s="18" t="n">
        <v>0</v>
      </c>
      <c r="Z103" s="9" t="n"/>
      <c r="AB103" s="5" t="n"/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유형자산의감소</t>
        </is>
      </c>
      <c r="F104" s="9" t="n"/>
      <c r="K104" s="9" t="n"/>
      <c r="N104" s="18" t="n">
        <v>0</v>
      </c>
      <c r="O104" s="18" t="n">
        <v>0</v>
      </c>
      <c r="P104" s="9" t="n"/>
      <c r="Q104" s="18" t="n">
        <v>0.68</v>
      </c>
      <c r="R104" s="18" t="n">
        <v>0</v>
      </c>
      <c r="S104" s="18" t="n">
        <v>1.32</v>
      </c>
      <c r="T104" s="18" t="n">
        <v>0</v>
      </c>
      <c r="U104" s="37" t="n">
        <v>2</v>
      </c>
      <c r="V104" s="18" t="n">
        <v>0</v>
      </c>
      <c r="W104" s="18" t="n">
        <v>0</v>
      </c>
      <c r="X104" s="18" t="n">
        <v>0</v>
      </c>
      <c r="Z104" s="9" t="n"/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유형자산의증가</t>
        </is>
      </c>
      <c r="F105" s="9" t="n"/>
      <c r="K105" s="9" t="n"/>
      <c r="N105" s="18" t="n">
        <v>170.15</v>
      </c>
      <c r="O105" s="18" t="n">
        <v>114.38</v>
      </c>
      <c r="P105" s="9" t="n"/>
      <c r="Q105" s="18" t="n">
        <v>81.2</v>
      </c>
      <c r="R105" s="18" t="n">
        <v>61.7</v>
      </c>
      <c r="S105" s="18" t="n">
        <v>81.12</v>
      </c>
      <c r="T105" s="18" t="n">
        <v>23.16</v>
      </c>
      <c r="U105" s="37" t="n">
        <v>247.18</v>
      </c>
      <c r="V105" s="18" t="n">
        <v>61.62</v>
      </c>
      <c r="W105" s="18" t="n">
        <v>119.95</v>
      </c>
      <c r="X105" s="18" t="n">
        <v>117.69</v>
      </c>
      <c r="Y105" s="18" t="n">
        <v>672.09</v>
      </c>
      <c r="Z105" s="37" t="n">
        <v>971.35</v>
      </c>
      <c r="AA105" s="18" t="n">
        <v>110.31</v>
      </c>
      <c r="AB105" s="19" t="n">
        <v>547.4400000000001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배당금지급</t>
        </is>
      </c>
      <c r="F106" s="9" t="n"/>
      <c r="K106" s="9" t="n"/>
      <c r="N106" s="18" t="n">
        <v>0</v>
      </c>
      <c r="O106" s="18" t="n">
        <v>0</v>
      </c>
      <c r="P106" s="9" t="n"/>
      <c r="Q106" s="18" t="n">
        <v>5602.78</v>
      </c>
      <c r="R106" s="18" t="n">
        <v>3976.13</v>
      </c>
      <c r="S106" s="18" t="n">
        <v>0</v>
      </c>
      <c r="T106" s="18" t="n">
        <v>0</v>
      </c>
      <c r="U106" s="37" t="n">
        <v>9578.91</v>
      </c>
      <c r="V106" s="18" t="n">
        <v>0</v>
      </c>
      <c r="W106" s="18" t="n">
        <v>18644.14</v>
      </c>
      <c r="X106" s="18" t="n">
        <v>0</v>
      </c>
      <c r="Y106" s="18" t="n">
        <v>2.63</v>
      </c>
      <c r="Z106" s="37" t="n">
        <v>18646.77</v>
      </c>
      <c r="AB106" s="5" t="n"/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케이프(별)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비유동자산</t>
        </is>
      </c>
      <c r="E5" s="18" t="n">
        <v>245232.53</v>
      </c>
      <c r="F5" s="37" t="n">
        <v>245232.53</v>
      </c>
      <c r="G5" s="18" t="n">
        <v>248404.1</v>
      </c>
      <c r="H5" s="18" t="n">
        <v>245338.37</v>
      </c>
      <c r="I5" s="18" t="n">
        <v>190373.21</v>
      </c>
      <c r="J5" s="18" t="n">
        <v>191343.14</v>
      </c>
      <c r="K5" s="37" t="n">
        <v>191343.14</v>
      </c>
      <c r="L5" s="18" t="n">
        <v>204251.72</v>
      </c>
      <c r="M5" s="18" t="n">
        <v>205702.37</v>
      </c>
      <c r="N5" s="18" t="n">
        <v>197660.54</v>
      </c>
      <c r="O5" s="18" t="n">
        <v>205179.19</v>
      </c>
      <c r="P5" s="37" t="n">
        <v>205179.19</v>
      </c>
      <c r="Q5" s="18" t="n">
        <v>208093.48</v>
      </c>
      <c r="R5" s="18" t="n">
        <v>208869.26</v>
      </c>
      <c r="S5" s="18" t="n">
        <v>212208.67</v>
      </c>
      <c r="T5" s="18" t="n">
        <v>258578.61</v>
      </c>
      <c r="U5" s="37" t="n">
        <v>258578.61</v>
      </c>
      <c r="V5" s="18" t="n">
        <v>255696.46</v>
      </c>
      <c r="W5" s="18" t="n">
        <v>267695.56</v>
      </c>
      <c r="X5" s="18" t="n">
        <v>274452.4</v>
      </c>
      <c r="Y5" s="18" t="n">
        <v>337175.82</v>
      </c>
      <c r="Z5" s="37" t="n">
        <v>337175.82</v>
      </c>
      <c r="AA5" s="18" t="n">
        <v>352929.44</v>
      </c>
      <c r="AB5" s="19" t="n">
        <v>349097.23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유형자산</t>
        </is>
      </c>
      <c r="E6" s="18" t="n">
        <v>94575.99000000001</v>
      </c>
      <c r="F6" s="37" t="n">
        <v>94575.99000000001</v>
      </c>
      <c r="G6" s="18" t="n">
        <v>94508.87</v>
      </c>
      <c r="H6" s="18" t="n">
        <v>94245.47</v>
      </c>
      <c r="I6" s="18" t="n">
        <v>75289.21000000001</v>
      </c>
      <c r="J6" s="18" t="n">
        <v>75264.39</v>
      </c>
      <c r="K6" s="37" t="n">
        <v>75264.39</v>
      </c>
      <c r="L6" s="18" t="n">
        <v>75502.95</v>
      </c>
      <c r="M6" s="18" t="n">
        <v>75781.5</v>
      </c>
      <c r="N6" s="18" t="n">
        <v>75360.89999999999</v>
      </c>
      <c r="O6" s="18" t="n">
        <v>74881.33</v>
      </c>
      <c r="P6" s="37" t="n">
        <v>74881.33</v>
      </c>
      <c r="Q6" s="18" t="n">
        <v>74430.64999999999</v>
      </c>
      <c r="R6" s="18" t="n">
        <v>74006.89999999999</v>
      </c>
      <c r="S6" s="18" t="n">
        <v>73611.92</v>
      </c>
      <c r="T6" s="18" t="n">
        <v>73184.02</v>
      </c>
      <c r="U6" s="37" t="n">
        <v>73184.02</v>
      </c>
      <c r="V6" s="18" t="n">
        <v>72775.14</v>
      </c>
      <c r="W6" s="18" t="n">
        <v>72362.31</v>
      </c>
      <c r="X6" s="18" t="n">
        <v>72051.7</v>
      </c>
      <c r="Y6" s="18" t="n">
        <v>84229.91</v>
      </c>
      <c r="Z6" s="37" t="n">
        <v>84229.91</v>
      </c>
      <c r="AA6" s="18" t="n">
        <v>83922.42999999999</v>
      </c>
      <c r="AB6" s="19" t="n">
        <v>83720.85000000001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투자부동산</t>
        </is>
      </c>
      <c r="E7" s="18" t="n">
        <v>28848.65</v>
      </c>
      <c r="F7" s="37" t="n">
        <v>28848.65</v>
      </c>
      <c r="G7" s="18" t="n">
        <v>28809</v>
      </c>
      <c r="H7" s="18" t="n">
        <v>28769.36</v>
      </c>
      <c r="I7" s="18" t="n">
        <v>0</v>
      </c>
      <c r="J7" s="18" t="n">
        <v>0</v>
      </c>
      <c r="K7" s="37" t="n">
        <v>0</v>
      </c>
      <c r="O7" s="18" t="n">
        <v>0</v>
      </c>
      <c r="P7" s="37" t="n">
        <v>0</v>
      </c>
      <c r="Q7" s="18" t="n">
        <v>0</v>
      </c>
      <c r="T7" s="18" t="n">
        <v>47561.74</v>
      </c>
      <c r="U7" s="37" t="n">
        <v>47561.74</v>
      </c>
      <c r="V7" s="18" t="n">
        <v>47521.37</v>
      </c>
      <c r="W7" s="18" t="n">
        <v>47480.99</v>
      </c>
      <c r="X7" s="18" t="n">
        <v>47440.62</v>
      </c>
      <c r="Y7" s="18" t="n">
        <v>57254.32</v>
      </c>
      <c r="Z7" s="37" t="n">
        <v>57254.32</v>
      </c>
      <c r="AA7" s="18" t="n">
        <v>57213.94</v>
      </c>
      <c r="AB7" s="19" t="n">
        <v>57173.57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무형자산</t>
        </is>
      </c>
      <c r="E8" s="18" t="n">
        <v>318.59</v>
      </c>
      <c r="F8" s="37" t="n">
        <v>318.59</v>
      </c>
      <c r="G8" s="18" t="n">
        <v>318.59</v>
      </c>
      <c r="H8" s="18" t="n">
        <v>318.59</v>
      </c>
      <c r="I8" s="18" t="n">
        <v>318.59</v>
      </c>
      <c r="J8" s="18" t="n">
        <v>318.59</v>
      </c>
      <c r="K8" s="37" t="n">
        <v>318.59</v>
      </c>
      <c r="L8" s="18" t="n">
        <v>318.59</v>
      </c>
      <c r="M8" s="18" t="n">
        <v>318.59</v>
      </c>
      <c r="N8" s="18" t="n">
        <v>318.59</v>
      </c>
      <c r="O8" s="18" t="n">
        <v>342.76</v>
      </c>
      <c r="P8" s="37" t="n">
        <v>342.76</v>
      </c>
      <c r="Q8" s="18" t="n">
        <v>341.51</v>
      </c>
      <c r="R8" s="18" t="n">
        <v>340.26</v>
      </c>
      <c r="S8" s="18" t="n">
        <v>339.01</v>
      </c>
      <c r="T8" s="18" t="n">
        <v>337.76</v>
      </c>
      <c r="U8" s="37" t="n">
        <v>337.76</v>
      </c>
      <c r="V8" s="18" t="n">
        <v>336.51</v>
      </c>
      <c r="W8" s="18" t="n">
        <v>335.26</v>
      </c>
      <c r="X8" s="18" t="n">
        <v>334.01</v>
      </c>
      <c r="Y8" s="18" t="n">
        <v>332.76</v>
      </c>
      <c r="Z8" s="37" t="n">
        <v>332.76</v>
      </c>
      <c r="AA8" s="18" t="n">
        <v>407.51</v>
      </c>
      <c r="AB8" s="19" t="n">
        <v>402.26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종속기업및관계기업투자</t>
        </is>
      </c>
      <c r="E9" s="18" t="n">
        <v>58533.03</v>
      </c>
      <c r="F9" s="37" t="n">
        <v>58533.03</v>
      </c>
      <c r="G9" s="18" t="n">
        <v>61080.67</v>
      </c>
      <c r="H9" s="18" t="n">
        <v>57579.58</v>
      </c>
      <c r="I9" s="18" t="n">
        <v>49593.85</v>
      </c>
      <c r="J9" s="18" t="n">
        <v>50469.12</v>
      </c>
      <c r="K9" s="37" t="n">
        <v>50469.12</v>
      </c>
      <c r="L9" s="18" t="n">
        <v>62393.23</v>
      </c>
      <c r="M9" s="18" t="n">
        <v>57936.81</v>
      </c>
      <c r="N9" s="18" t="n">
        <v>49607.6</v>
      </c>
      <c r="O9" s="18" t="n">
        <v>55338.43</v>
      </c>
      <c r="P9" s="37" t="n">
        <v>55338.43</v>
      </c>
      <c r="Q9" s="18" t="n">
        <v>57882.16</v>
      </c>
      <c r="R9" s="18" t="n">
        <v>58255.11</v>
      </c>
      <c r="S9" s="18" t="n">
        <v>60645.77</v>
      </c>
      <c r="T9" s="18" t="n">
        <v>137194.51</v>
      </c>
      <c r="U9" s="37" t="n">
        <v>137194.51</v>
      </c>
      <c r="V9" s="18" t="n">
        <v>134747.48</v>
      </c>
      <c r="W9" s="18" t="n">
        <v>147192.61</v>
      </c>
      <c r="X9" s="18" t="n">
        <v>154286.07</v>
      </c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투자자산</t>
        </is>
      </c>
      <c r="E10" s="18" t="n">
        <v>58534.53</v>
      </c>
      <c r="F10" s="37" t="n">
        <v>58534.53</v>
      </c>
      <c r="G10" s="18" t="n">
        <v>61082.17</v>
      </c>
      <c r="H10" s="18" t="n">
        <v>57581.08</v>
      </c>
      <c r="I10" s="18" t="n">
        <v>49595.35</v>
      </c>
      <c r="J10" s="18" t="n">
        <v>50470.62</v>
      </c>
      <c r="K10" s="37" t="n">
        <v>50470.62</v>
      </c>
      <c r="L10" s="18" t="n">
        <v>62394.73</v>
      </c>
      <c r="M10" s="18" t="n">
        <v>58042.45</v>
      </c>
      <c r="N10" s="18" t="n">
        <v>49724.73</v>
      </c>
      <c r="O10" s="18" t="n">
        <v>55467.16</v>
      </c>
      <c r="P10" s="37" t="n">
        <v>55467.16</v>
      </c>
      <c r="Q10" s="18" t="n">
        <v>58022.86</v>
      </c>
      <c r="R10" s="18" t="n">
        <v>58408.31</v>
      </c>
      <c r="S10" s="18" t="n">
        <v>60811.81</v>
      </c>
      <c r="T10" s="18" t="n">
        <v>137373.48</v>
      </c>
      <c r="U10" s="37" t="n">
        <v>137373.48</v>
      </c>
      <c r="V10" s="18" t="n">
        <v>134939.63</v>
      </c>
      <c r="W10" s="18" t="n">
        <v>147390.94</v>
      </c>
      <c r="X10" s="18" t="n">
        <v>154497.69</v>
      </c>
      <c r="Y10" s="18" t="n">
        <v>223.63</v>
      </c>
      <c r="Z10" s="37" t="n">
        <v>223.63</v>
      </c>
      <c r="AA10" s="18" t="n">
        <v>237.16</v>
      </c>
      <c r="AB10" s="19" t="n">
        <v>250.71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장기금융자산</t>
        </is>
      </c>
      <c r="E11" s="18" t="n">
        <v>1.5</v>
      </c>
      <c r="F11" s="37" t="n">
        <v>1.5</v>
      </c>
      <c r="G11" s="18" t="n">
        <v>1.5</v>
      </c>
      <c r="H11" s="18" t="n">
        <v>1.5</v>
      </c>
      <c r="I11" s="18" t="n">
        <v>1.5</v>
      </c>
      <c r="J11" s="18" t="n">
        <v>1.5</v>
      </c>
      <c r="K11" s="37" t="n">
        <v>1.5</v>
      </c>
      <c r="L11" s="18" t="n">
        <v>1.5</v>
      </c>
      <c r="M11" s="18" t="n">
        <v>105.64</v>
      </c>
      <c r="N11" s="18" t="n">
        <v>117.13</v>
      </c>
      <c r="O11" s="18" t="n">
        <v>128.73</v>
      </c>
      <c r="P11" s="37" t="n">
        <v>128.73</v>
      </c>
      <c r="Q11" s="18" t="n">
        <v>140.7</v>
      </c>
      <c r="R11" s="18" t="n">
        <v>153.2</v>
      </c>
      <c r="S11" s="18" t="n">
        <v>166.04</v>
      </c>
      <c r="T11" s="18" t="n">
        <v>178.97</v>
      </c>
      <c r="U11" s="37" t="n">
        <v>178.97</v>
      </c>
      <c r="V11" s="18" t="n">
        <v>192.15</v>
      </c>
      <c r="W11" s="18" t="n">
        <v>198.33</v>
      </c>
      <c r="X11" s="18" t="n">
        <v>211.62</v>
      </c>
      <c r="Y11" s="18" t="n">
        <v>223.63</v>
      </c>
      <c r="Z11" s="37" t="n">
        <v>223.63</v>
      </c>
      <c r="AA11" s="18" t="n">
        <v>237.16</v>
      </c>
      <c r="AB11" s="19" t="n">
        <v>250.71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장기매출채권및기타채권</t>
        </is>
      </c>
      <c r="E12" s="18" t="n">
        <v>62916.9</v>
      </c>
      <c r="F12" s="37" t="n">
        <v>62916.9</v>
      </c>
      <c r="G12" s="18" t="n">
        <v>63636.8</v>
      </c>
      <c r="H12" s="18" t="n">
        <v>64364.32</v>
      </c>
      <c r="I12" s="18" t="n">
        <v>65099.47</v>
      </c>
      <c r="J12" s="18" t="n">
        <v>65207.83</v>
      </c>
      <c r="K12" s="37" t="n">
        <v>65207.83</v>
      </c>
      <c r="L12" s="18" t="n">
        <v>65942.56</v>
      </c>
      <c r="M12" s="18" t="n">
        <v>71472.89999999999</v>
      </c>
      <c r="N12" s="18" t="n">
        <v>72256.33</v>
      </c>
      <c r="O12" s="18" t="n">
        <v>74487.92999999999</v>
      </c>
      <c r="P12" s="37" t="n">
        <v>74487.92999999999</v>
      </c>
      <c r="Q12" s="18" t="n">
        <v>75298.46000000001</v>
      </c>
      <c r="R12" s="18" t="n">
        <v>76113.78999999999</v>
      </c>
      <c r="S12" s="18" t="n">
        <v>77445.94</v>
      </c>
      <c r="T12" s="18" t="n">
        <v>121.62</v>
      </c>
      <c r="U12" s="37" t="n">
        <v>121.62</v>
      </c>
      <c r="V12" s="18" t="n">
        <v>123.81</v>
      </c>
      <c r="W12" s="18" t="n">
        <v>126.06</v>
      </c>
      <c r="X12" s="18" t="n">
        <v>128.38</v>
      </c>
      <c r="Y12" s="18" t="n">
        <v>116.29</v>
      </c>
      <c r="Z12" s="37" t="n">
        <v>116.29</v>
      </c>
      <c r="AA12" s="18" t="n">
        <v>117.97</v>
      </c>
      <c r="AB12" s="19" t="n">
        <v>119.69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유동자산</t>
        </is>
      </c>
      <c r="E13" s="18" t="n">
        <v>32826.12</v>
      </c>
      <c r="F13" s="37" t="n">
        <v>32826.12</v>
      </c>
      <c r="G13" s="18" t="n">
        <v>36184.13</v>
      </c>
      <c r="H13" s="18" t="n">
        <v>36310.07</v>
      </c>
      <c r="I13" s="18" t="n">
        <v>90578.24000000001</v>
      </c>
      <c r="J13" s="18" t="n">
        <v>93522.57000000001</v>
      </c>
      <c r="K13" s="37" t="n">
        <v>93522.57000000001</v>
      </c>
      <c r="L13" s="18" t="n">
        <v>97945.87</v>
      </c>
      <c r="M13" s="18" t="n">
        <v>56159.81</v>
      </c>
      <c r="N13" s="18" t="n">
        <v>58409.03</v>
      </c>
      <c r="O13" s="18" t="n">
        <v>58648.73</v>
      </c>
      <c r="P13" s="37" t="n">
        <v>58648.73</v>
      </c>
      <c r="Q13" s="18" t="n">
        <v>61201.18</v>
      </c>
      <c r="R13" s="18" t="n">
        <v>51679.01</v>
      </c>
      <c r="S13" s="18" t="n">
        <v>52261.52</v>
      </c>
      <c r="T13" s="18" t="n">
        <v>51565.19</v>
      </c>
      <c r="U13" s="37" t="n">
        <v>51565.19</v>
      </c>
      <c r="V13" s="18" t="n">
        <v>52357.29</v>
      </c>
      <c r="W13" s="18" t="n">
        <v>58780.45</v>
      </c>
      <c r="X13" s="18" t="n">
        <v>61795.75</v>
      </c>
      <c r="Y13" s="18" t="n">
        <v>66614.23</v>
      </c>
      <c r="Z13" s="37" t="n">
        <v>66614.23</v>
      </c>
      <c r="AA13" s="18" t="n">
        <v>70864.42999999999</v>
      </c>
      <c r="AB13" s="19" t="n">
        <v>63835.37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재고자산</t>
        </is>
      </c>
      <c r="E14" s="18" t="n">
        <v>16937.57</v>
      </c>
      <c r="F14" s="37" t="n">
        <v>16937.57</v>
      </c>
      <c r="G14" s="18" t="n">
        <v>17160.64</v>
      </c>
      <c r="H14" s="18" t="n">
        <v>18217.61</v>
      </c>
      <c r="I14" s="18" t="n">
        <v>18158.95</v>
      </c>
      <c r="J14" s="18" t="n">
        <v>18997</v>
      </c>
      <c r="K14" s="37" t="n">
        <v>18997</v>
      </c>
      <c r="L14" s="18" t="n">
        <v>19430.3</v>
      </c>
      <c r="M14" s="18" t="n">
        <v>20241.27</v>
      </c>
      <c r="N14" s="18" t="n">
        <v>22010.01</v>
      </c>
      <c r="O14" s="18" t="n">
        <v>22524.55</v>
      </c>
      <c r="P14" s="37" t="n">
        <v>22524.55</v>
      </c>
      <c r="Q14" s="18" t="n">
        <v>20680.29</v>
      </c>
      <c r="R14" s="18" t="n">
        <v>16454.03</v>
      </c>
      <c r="S14" s="18" t="n">
        <v>14664.07</v>
      </c>
      <c r="T14" s="18" t="n">
        <v>13351.98</v>
      </c>
      <c r="U14" s="37" t="n">
        <v>13351.98</v>
      </c>
      <c r="V14" s="18" t="n">
        <v>12886.61</v>
      </c>
      <c r="W14" s="18" t="n">
        <v>13717.11</v>
      </c>
      <c r="X14" s="18" t="n">
        <v>15288.85</v>
      </c>
      <c r="Y14" s="18" t="n">
        <v>14986.18</v>
      </c>
      <c r="Z14" s="37" t="n">
        <v>14986.18</v>
      </c>
      <c r="AA14" s="18" t="n">
        <v>17129.18</v>
      </c>
      <c r="AB14" s="19" t="n">
        <v>15109.24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매출채권및기타채권</t>
        </is>
      </c>
      <c r="E15" s="18" t="n">
        <v>9259.59</v>
      </c>
      <c r="F15" s="37" t="n">
        <v>9259.59</v>
      </c>
      <c r="G15" s="18" t="n">
        <v>10845.02</v>
      </c>
      <c r="H15" s="18" t="n">
        <v>11019.37</v>
      </c>
      <c r="I15" s="18" t="n">
        <v>9002.52</v>
      </c>
      <c r="J15" s="18" t="n">
        <v>10293.85</v>
      </c>
      <c r="K15" s="37" t="n">
        <v>10293.85</v>
      </c>
      <c r="L15" s="18" t="n">
        <v>12300.57</v>
      </c>
      <c r="M15" s="18" t="n">
        <v>11821.2</v>
      </c>
      <c r="N15" s="18" t="n">
        <v>10484.57</v>
      </c>
      <c r="O15" s="18" t="n">
        <v>11281.52</v>
      </c>
      <c r="P15" s="37" t="n">
        <v>11281.52</v>
      </c>
      <c r="Q15" s="18" t="n">
        <v>10140.77</v>
      </c>
      <c r="R15" s="18" t="n">
        <v>10448.01</v>
      </c>
      <c r="S15" s="18" t="n">
        <v>8482.82</v>
      </c>
      <c r="T15" s="18" t="n">
        <v>12221.81</v>
      </c>
      <c r="U15" s="37" t="n">
        <v>12221.81</v>
      </c>
      <c r="V15" s="18" t="n">
        <v>10420.82</v>
      </c>
      <c r="W15" s="18" t="n">
        <v>8599.75</v>
      </c>
      <c r="X15" s="18" t="n">
        <v>7390.53</v>
      </c>
      <c r="Y15" s="18" t="n">
        <v>10698.67</v>
      </c>
      <c r="Z15" s="37" t="n">
        <v>10698.67</v>
      </c>
      <c r="AA15" s="18" t="n">
        <v>10981.44</v>
      </c>
      <c r="AB15" s="19" t="n">
        <v>11845.25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단기투자자산(공정가치)</t>
        </is>
      </c>
      <c r="E16" s="18" t="n">
        <v>0</v>
      </c>
      <c r="F16" s="37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37" t="n">
        <v>0</v>
      </c>
      <c r="P16" s="9" t="n"/>
      <c r="T16" s="18" t="n">
        <v>1728.11</v>
      </c>
      <c r="U16" s="37" t="n">
        <v>1728.11</v>
      </c>
      <c r="V16" s="18" t="n">
        <v>1728.11</v>
      </c>
      <c r="W16" s="18" t="n">
        <v>0</v>
      </c>
      <c r="X16" s="18" t="n">
        <v>990.23</v>
      </c>
      <c r="Y16" s="18" t="n">
        <v>0</v>
      </c>
      <c r="Z16" s="37" t="n">
        <v>0</v>
      </c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현금및현금성자산</t>
        </is>
      </c>
      <c r="E17" s="18" t="n">
        <v>3036.62</v>
      </c>
      <c r="F17" s="37" t="n">
        <v>3036.62</v>
      </c>
      <c r="G17" s="18" t="n">
        <v>6629.28</v>
      </c>
      <c r="H17" s="18" t="n">
        <v>5606.1</v>
      </c>
      <c r="I17" s="18" t="n">
        <v>11562.21</v>
      </c>
      <c r="J17" s="18" t="n">
        <v>5678.58</v>
      </c>
      <c r="K17" s="37" t="n">
        <v>5678.58</v>
      </c>
      <c r="L17" s="18" t="n">
        <v>6149.12</v>
      </c>
      <c r="M17" s="18" t="n">
        <v>4640.03</v>
      </c>
      <c r="N17" s="18" t="n">
        <v>7476.33</v>
      </c>
      <c r="O17" s="18" t="n">
        <v>8445.82</v>
      </c>
      <c r="P17" s="37" t="n">
        <v>8445.82</v>
      </c>
      <c r="Q17" s="18" t="n">
        <v>11966.55</v>
      </c>
      <c r="R17" s="18" t="n">
        <v>10496.21</v>
      </c>
      <c r="S17" s="18" t="n">
        <v>5185.54</v>
      </c>
      <c r="T17" s="18" t="n">
        <v>8131.44</v>
      </c>
      <c r="U17" s="37" t="n">
        <v>8131.44</v>
      </c>
      <c r="V17" s="18" t="n">
        <v>9493</v>
      </c>
      <c r="W17" s="18" t="n">
        <v>12517.98</v>
      </c>
      <c r="X17" s="18" t="n">
        <v>7244.91</v>
      </c>
      <c r="Y17" s="18" t="n">
        <v>18077.22</v>
      </c>
      <c r="Z17" s="37" t="n">
        <v>18077.22</v>
      </c>
      <c r="AA17" s="18" t="n">
        <v>9948.549999999999</v>
      </c>
      <c r="AB17" s="19" t="n">
        <v>7780.86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당기법인세자산(선급법인세)</t>
        </is>
      </c>
      <c r="E18" s="18" t="n">
        <v>0</v>
      </c>
      <c r="F18" s="37" t="n">
        <v>0</v>
      </c>
      <c r="G18" s="18" t="n">
        <v>3.89</v>
      </c>
      <c r="H18" s="18" t="n">
        <v>0</v>
      </c>
      <c r="I18" s="18" t="n">
        <v>7.34</v>
      </c>
      <c r="J18" s="18" t="n">
        <v>0</v>
      </c>
      <c r="K18" s="37" t="n">
        <v>0</v>
      </c>
      <c r="L18" s="18" t="n">
        <v>32.9</v>
      </c>
      <c r="N18" s="18" t="n">
        <v>37.56</v>
      </c>
      <c r="P18" s="9" t="n"/>
      <c r="Q18" s="18" t="n">
        <v>48.8</v>
      </c>
      <c r="S18" s="18" t="n">
        <v>47.07</v>
      </c>
      <c r="U18" s="9" t="n"/>
      <c r="V18" s="18" t="n">
        <v>57.33</v>
      </c>
      <c r="W18" s="18" t="n">
        <v>0</v>
      </c>
      <c r="X18" s="18" t="n">
        <v>22.54</v>
      </c>
      <c r="Z18" s="9" t="n"/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기타유동자산</t>
        </is>
      </c>
      <c r="E19" s="18" t="n">
        <v>15.62</v>
      </c>
      <c r="F19" s="37" t="n">
        <v>15.62</v>
      </c>
      <c r="G19" s="18" t="n">
        <v>16.29</v>
      </c>
      <c r="H19" s="18" t="n">
        <v>10.03</v>
      </c>
      <c r="I19" s="18" t="n">
        <v>237.85</v>
      </c>
      <c r="J19" s="18" t="n">
        <v>32.53</v>
      </c>
      <c r="K19" s="37" t="n">
        <v>32.53</v>
      </c>
      <c r="L19" s="18" t="n">
        <v>28.4</v>
      </c>
      <c r="M19" s="18" t="n">
        <v>25.58</v>
      </c>
      <c r="N19" s="18" t="n">
        <v>34.49</v>
      </c>
      <c r="O19" s="18" t="n">
        <v>32.03</v>
      </c>
      <c r="P19" s="37" t="n">
        <v>32.03</v>
      </c>
      <c r="Q19" s="18" t="n">
        <v>12.44</v>
      </c>
      <c r="R19" s="18" t="n">
        <v>52.25</v>
      </c>
      <c r="S19" s="18" t="n">
        <v>19.27</v>
      </c>
      <c r="T19" s="18" t="n">
        <v>15.79</v>
      </c>
      <c r="U19" s="37" t="n">
        <v>15.79</v>
      </c>
      <c r="V19" s="18" t="n">
        <v>15.89</v>
      </c>
      <c r="W19" s="18" t="n">
        <v>11.31</v>
      </c>
      <c r="X19" s="18" t="n">
        <v>17.88</v>
      </c>
      <c r="Y19" s="18" t="n">
        <v>78.8</v>
      </c>
      <c r="Z19" s="37" t="n">
        <v>78.8</v>
      </c>
      <c r="AA19" s="18" t="n">
        <v>57.97</v>
      </c>
      <c r="AB19" s="19" t="n">
        <v>33.72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278058.65</v>
      </c>
      <c r="F20" s="37" t="n">
        <v>278058.65</v>
      </c>
      <c r="G20" s="18" t="n">
        <v>284588.24</v>
      </c>
      <c r="H20" s="18" t="n">
        <v>281648.44</v>
      </c>
      <c r="I20" s="18" t="n">
        <v>280951.46</v>
      </c>
      <c r="J20" s="18" t="n">
        <v>284865.7</v>
      </c>
      <c r="K20" s="37" t="n">
        <v>284865.7</v>
      </c>
      <c r="L20" s="18" t="n">
        <v>302197.59</v>
      </c>
      <c r="M20" s="18" t="n">
        <v>309814.2</v>
      </c>
      <c r="N20" s="18" t="n">
        <v>304021.59</v>
      </c>
      <c r="O20" s="18" t="n">
        <v>311779.93</v>
      </c>
      <c r="P20" s="37" t="n">
        <v>311779.93</v>
      </c>
      <c r="Q20" s="18" t="n">
        <v>317246.68</v>
      </c>
      <c r="R20" s="18" t="n">
        <v>308500.29</v>
      </c>
      <c r="S20" s="18" t="n">
        <v>312422.21</v>
      </c>
      <c r="T20" s="18" t="n">
        <v>310143.81</v>
      </c>
      <c r="U20" s="37" t="n">
        <v>310143.81</v>
      </c>
      <c r="V20" s="18" t="n">
        <v>308053.76</v>
      </c>
      <c r="W20" s="18" t="n">
        <v>326476.02</v>
      </c>
      <c r="X20" s="18" t="n">
        <v>336248.15</v>
      </c>
      <c r="Y20" s="18" t="n">
        <v>403790.05</v>
      </c>
      <c r="Z20" s="37" t="n">
        <v>403790.05</v>
      </c>
      <c r="AA20" s="18" t="n">
        <v>423793.87</v>
      </c>
      <c r="AB20" s="19" t="n">
        <v>412932.61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자본금</t>
        </is>
      </c>
      <c r="E21" s="18" t="n">
        <v>15450.86</v>
      </c>
      <c r="F21" s="37" t="n">
        <v>15450.86</v>
      </c>
      <c r="G21" s="18" t="n">
        <v>15450.86</v>
      </c>
      <c r="H21" s="18" t="n">
        <v>15450.86</v>
      </c>
      <c r="I21" s="18" t="n">
        <v>15450.86</v>
      </c>
      <c r="J21" s="18" t="n">
        <v>15450.86</v>
      </c>
      <c r="K21" s="37" t="n">
        <v>15450.86</v>
      </c>
      <c r="L21" s="18" t="n">
        <v>15450.86</v>
      </c>
      <c r="M21" s="18" t="n">
        <v>15450.86</v>
      </c>
      <c r="N21" s="18" t="n">
        <v>15450.86</v>
      </c>
      <c r="O21" s="18" t="n">
        <v>15450.86</v>
      </c>
      <c r="P21" s="37" t="n">
        <v>15450.86</v>
      </c>
      <c r="Q21" s="18" t="n">
        <v>15450.86</v>
      </c>
      <c r="R21" s="18" t="n">
        <v>15450.86</v>
      </c>
      <c r="S21" s="18" t="n">
        <v>15450.86</v>
      </c>
      <c r="T21" s="18" t="n">
        <v>15450.86</v>
      </c>
      <c r="U21" s="37" t="n">
        <v>15450.86</v>
      </c>
      <c r="V21" s="18" t="n">
        <v>15450.86</v>
      </c>
      <c r="W21" s="18" t="n">
        <v>15450.86</v>
      </c>
      <c r="X21" s="18" t="n">
        <v>15450.86</v>
      </c>
      <c r="Y21" s="18" t="n">
        <v>15450.86</v>
      </c>
      <c r="Z21" s="37" t="n">
        <v>15450.86</v>
      </c>
      <c r="AA21" s="18" t="n">
        <v>15450.86</v>
      </c>
      <c r="AB21" s="19" t="n">
        <v>15450.86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자본잉여금</t>
        </is>
      </c>
      <c r="E22" s="18" t="n">
        <v>74473.14</v>
      </c>
      <c r="F22" s="37" t="n">
        <v>74473.14</v>
      </c>
      <c r="G22" s="18" t="n">
        <v>74473.14</v>
      </c>
      <c r="H22" s="18" t="n">
        <v>74473.14</v>
      </c>
      <c r="I22" s="18" t="n">
        <v>74473.14</v>
      </c>
      <c r="J22" s="18" t="n">
        <v>74473.14</v>
      </c>
      <c r="K22" s="37" t="n">
        <v>74473.14</v>
      </c>
      <c r="L22" s="18" t="n">
        <v>74473.14</v>
      </c>
      <c r="M22" s="18" t="n">
        <v>74473.14</v>
      </c>
      <c r="N22" s="18" t="n">
        <v>74473.14</v>
      </c>
      <c r="O22" s="18" t="n">
        <v>74473.14</v>
      </c>
      <c r="P22" s="37" t="n">
        <v>74473.14</v>
      </c>
      <c r="Q22" s="18" t="n">
        <v>74473.14</v>
      </c>
      <c r="R22" s="18" t="n">
        <v>74473.14</v>
      </c>
      <c r="S22" s="18" t="n">
        <v>74473.14</v>
      </c>
      <c r="T22" s="18" t="n">
        <v>74473.14</v>
      </c>
      <c r="U22" s="37" t="n">
        <v>74473.14</v>
      </c>
      <c r="V22" s="18" t="n">
        <v>74473.14</v>
      </c>
      <c r="W22" s="18" t="n">
        <v>74473.14</v>
      </c>
      <c r="X22" s="18" t="n">
        <v>74473.14</v>
      </c>
      <c r="Y22" s="18" t="n">
        <v>76796.36</v>
      </c>
      <c r="Z22" s="37" t="n">
        <v>76796.36</v>
      </c>
      <c r="AA22" s="18" t="n">
        <v>21796.36</v>
      </c>
      <c r="AB22" s="19" t="n">
        <v>21796.36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기타자본</t>
        </is>
      </c>
      <c r="E23" s="18" t="n">
        <v>28268.22</v>
      </c>
      <c r="F23" s="37" t="n">
        <v>28268.22</v>
      </c>
      <c r="G23" s="18" t="n">
        <v>28203.6</v>
      </c>
      <c r="H23" s="18" t="n">
        <v>28217.82</v>
      </c>
      <c r="I23" s="18" t="n">
        <v>25858.12</v>
      </c>
      <c r="J23" s="18" t="n">
        <v>23218.08</v>
      </c>
      <c r="K23" s="37" t="n">
        <v>23218.08</v>
      </c>
      <c r="L23" s="18" t="n">
        <v>23218.08</v>
      </c>
      <c r="M23" s="18" t="n">
        <v>21929.78</v>
      </c>
      <c r="N23" s="18" t="n">
        <v>18085.17</v>
      </c>
      <c r="O23" s="18" t="n">
        <v>16804.32</v>
      </c>
      <c r="P23" s="37" t="n">
        <v>16804.32</v>
      </c>
      <c r="Q23" s="18" t="n">
        <v>15616.68</v>
      </c>
      <c r="R23" s="18" t="n">
        <v>15616.58</v>
      </c>
      <c r="S23" s="18" t="n">
        <v>15616.58</v>
      </c>
      <c r="T23" s="18" t="n">
        <v>14064.45</v>
      </c>
      <c r="U23" s="37" t="n">
        <v>14064.45</v>
      </c>
      <c r="V23" s="18" t="n">
        <v>14064.45</v>
      </c>
      <c r="W23" s="18" t="n">
        <v>32865.33</v>
      </c>
      <c r="X23" s="18" t="n">
        <v>32522.56</v>
      </c>
      <c r="Y23" s="18" t="n">
        <v>58471.72</v>
      </c>
      <c r="Z23" s="37" t="n">
        <v>58471.72</v>
      </c>
      <c r="AA23" s="18" t="n">
        <v>58256.52</v>
      </c>
      <c r="AB23" s="19" t="n">
        <v>58807.03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자본총계</t>
        </is>
      </c>
      <c r="E24" s="18" t="n">
        <v>199758.15</v>
      </c>
      <c r="F24" s="37" t="n">
        <v>199758.15</v>
      </c>
      <c r="G24" s="18" t="n">
        <v>201856.4</v>
      </c>
      <c r="H24" s="18" t="n">
        <v>201277.33</v>
      </c>
      <c r="I24" s="18" t="n">
        <v>193677.32</v>
      </c>
      <c r="J24" s="18" t="n">
        <v>191694.47</v>
      </c>
      <c r="K24" s="37" t="n">
        <v>191694.47</v>
      </c>
      <c r="L24" s="18" t="n">
        <v>206529.61</v>
      </c>
      <c r="M24" s="18" t="n">
        <v>202688.35</v>
      </c>
      <c r="N24" s="18" t="n">
        <v>195557.6</v>
      </c>
      <c r="O24" s="18" t="n">
        <v>208196.99</v>
      </c>
      <c r="P24" s="37" t="n">
        <v>208196.99</v>
      </c>
      <c r="Q24" s="18" t="n">
        <v>206189.53</v>
      </c>
      <c r="R24" s="18" t="n">
        <v>209319.14</v>
      </c>
      <c r="S24" s="18" t="n">
        <v>214875.02</v>
      </c>
      <c r="T24" s="18" t="n">
        <v>212072.02</v>
      </c>
      <c r="U24" s="37" t="n">
        <v>212072.02</v>
      </c>
      <c r="V24" s="18" t="n">
        <v>204766.44</v>
      </c>
      <c r="W24" s="18" t="n">
        <v>228905.2</v>
      </c>
      <c r="X24" s="18" t="n">
        <v>239144.26</v>
      </c>
      <c r="Y24" s="18" t="n">
        <v>301114.44</v>
      </c>
      <c r="Z24" s="37" t="n">
        <v>301114.44</v>
      </c>
      <c r="AA24" s="18" t="n">
        <v>308611.01</v>
      </c>
      <c r="AB24" s="19" t="n">
        <v>308101.99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비유동부채</t>
        </is>
      </c>
      <c r="E25" s="18" t="n">
        <v>19877.82</v>
      </c>
      <c r="F25" s="37" t="n">
        <v>19877.82</v>
      </c>
      <c r="G25" s="18" t="n">
        <v>29001.97</v>
      </c>
      <c r="H25" s="18" t="n">
        <v>29166.87</v>
      </c>
      <c r="I25" s="18" t="n">
        <v>29433.62</v>
      </c>
      <c r="J25" s="18" t="n">
        <v>30554.65</v>
      </c>
      <c r="K25" s="37" t="n">
        <v>30554.65</v>
      </c>
      <c r="L25" s="18" t="n">
        <v>35669.08</v>
      </c>
      <c r="M25" s="18" t="n">
        <v>35625.17</v>
      </c>
      <c r="N25" s="18" t="n">
        <v>37764.03</v>
      </c>
      <c r="O25" s="18" t="n">
        <v>19447.07</v>
      </c>
      <c r="P25" s="37" t="n">
        <v>19447.07</v>
      </c>
      <c r="Q25" s="18" t="n">
        <v>9524.700000000001</v>
      </c>
      <c r="R25" s="18" t="n">
        <v>16665.88</v>
      </c>
      <c r="S25" s="18" t="n">
        <v>18777.26</v>
      </c>
      <c r="T25" s="18" t="n">
        <v>16922.19</v>
      </c>
      <c r="U25" s="37" t="n">
        <v>16922.19</v>
      </c>
      <c r="V25" s="18" t="n">
        <v>21019.4</v>
      </c>
      <c r="W25" s="18" t="n">
        <v>21188.89</v>
      </c>
      <c r="X25" s="18" t="n">
        <v>21357.49</v>
      </c>
      <c r="Y25" s="18" t="n">
        <v>26288.78</v>
      </c>
      <c r="Z25" s="37" t="n">
        <v>26288.78</v>
      </c>
      <c r="AA25" s="18" t="n">
        <v>25468.08</v>
      </c>
      <c r="AB25" s="19" t="n">
        <v>25299.12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장기차입금</t>
        </is>
      </c>
      <c r="E26" s="18" t="n">
        <v>11000</v>
      </c>
      <c r="F26" s="37" t="n">
        <v>11000</v>
      </c>
      <c r="G26" s="18" t="n">
        <v>20000</v>
      </c>
      <c r="H26" s="18" t="n">
        <v>20000</v>
      </c>
      <c r="I26" s="18" t="n">
        <v>20000</v>
      </c>
      <c r="J26" s="18" t="n">
        <v>21800</v>
      </c>
      <c r="K26" s="37" t="n">
        <v>21800</v>
      </c>
      <c r="L26" s="18" t="n">
        <v>26800</v>
      </c>
      <c r="M26" s="18" t="n">
        <v>26800</v>
      </c>
      <c r="N26" s="18" t="n">
        <v>28800</v>
      </c>
      <c r="O26" s="18" t="n">
        <v>10000</v>
      </c>
      <c r="P26" s="37" t="n">
        <v>10000</v>
      </c>
      <c r="Q26" s="18" t="n">
        <v>0</v>
      </c>
      <c r="R26" s="18" t="n">
        <v>7000</v>
      </c>
      <c r="S26" s="18" t="n">
        <v>9000</v>
      </c>
      <c r="T26" s="18" t="n">
        <v>9000</v>
      </c>
      <c r="U26" s="37" t="n">
        <v>9000</v>
      </c>
      <c r="V26" s="18" t="n">
        <v>13000</v>
      </c>
      <c r="W26" s="18" t="n">
        <v>13000</v>
      </c>
      <c r="X26" s="18" t="n">
        <v>13000</v>
      </c>
      <c r="Y26" s="18" t="n">
        <v>13000</v>
      </c>
      <c r="Z26" s="37" t="n">
        <v>13000</v>
      </c>
      <c r="AA26" s="18" t="n">
        <v>12000</v>
      </c>
      <c r="AB26" s="19" t="n">
        <v>12000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장기매입채무및기타채무</t>
        </is>
      </c>
      <c r="E27" s="18" t="n">
        <v>58.07</v>
      </c>
      <c r="F27" s="37" t="n">
        <v>58.07</v>
      </c>
      <c r="G27" s="18" t="n">
        <v>61.38</v>
      </c>
      <c r="H27" s="18" t="n">
        <v>64.69</v>
      </c>
      <c r="I27" s="18" t="n">
        <v>68</v>
      </c>
      <c r="J27" s="18" t="n">
        <v>46.26</v>
      </c>
      <c r="K27" s="37" t="n">
        <v>46.26</v>
      </c>
      <c r="L27" s="18" t="n">
        <v>48.58</v>
      </c>
      <c r="M27" s="18" t="n">
        <v>50.9</v>
      </c>
      <c r="N27" s="18" t="n">
        <v>53.22</v>
      </c>
      <c r="O27" s="18" t="n">
        <v>44.58</v>
      </c>
      <c r="P27" s="37" t="n">
        <v>44.58</v>
      </c>
      <c r="Q27" s="18" t="n">
        <v>46.52</v>
      </c>
      <c r="R27" s="18" t="n">
        <v>48.45</v>
      </c>
      <c r="S27" s="18" t="n">
        <v>50.39</v>
      </c>
      <c r="T27" s="18" t="n">
        <v>40.49</v>
      </c>
      <c r="U27" s="37" t="n">
        <v>40.49</v>
      </c>
      <c r="V27" s="18" t="n">
        <v>42.31</v>
      </c>
      <c r="W27" s="18" t="n">
        <v>44.12</v>
      </c>
      <c r="X27" s="18" t="n">
        <v>45.93</v>
      </c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확정급여부채</t>
        </is>
      </c>
      <c r="E28" s="18" t="n">
        <v>747.24</v>
      </c>
      <c r="F28" s="37" t="n">
        <v>747.24</v>
      </c>
      <c r="G28" s="18" t="n">
        <v>873.16</v>
      </c>
      <c r="H28" s="18" t="n">
        <v>723.0700000000001</v>
      </c>
      <c r="I28" s="18" t="n">
        <v>879.84</v>
      </c>
      <c r="J28" s="18" t="n">
        <v>11.33</v>
      </c>
      <c r="K28" s="37" t="n">
        <v>11.33</v>
      </c>
      <c r="L28" s="18" t="n">
        <v>128.51</v>
      </c>
      <c r="M28" s="18" t="n">
        <v>0</v>
      </c>
      <c r="N28" s="18" t="n">
        <v>141.61</v>
      </c>
      <c r="O28" s="18" t="n">
        <v>279.4</v>
      </c>
      <c r="P28" s="37" t="n">
        <v>279.4</v>
      </c>
      <c r="Q28" s="18" t="n">
        <v>359.32</v>
      </c>
      <c r="R28" s="18" t="n">
        <v>194.3</v>
      </c>
      <c r="S28" s="18" t="n">
        <v>307.12</v>
      </c>
      <c r="T28" s="18" t="n">
        <v>457.95</v>
      </c>
      <c r="U28" s="37" t="n">
        <v>457.95</v>
      </c>
      <c r="V28" s="18" t="n">
        <v>556.71</v>
      </c>
      <c r="W28" s="18" t="n">
        <v>685.28</v>
      </c>
      <c r="X28" s="18" t="n">
        <v>855.45</v>
      </c>
      <c r="Z28" s="9" t="n"/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기타비유동부채</t>
        </is>
      </c>
      <c r="E29" s="18" t="n">
        <v>187.93</v>
      </c>
      <c r="F29" s="37" t="n">
        <v>187.93</v>
      </c>
      <c r="G29" s="18" t="n">
        <v>182.85</v>
      </c>
      <c r="H29" s="18" t="n">
        <v>177.78</v>
      </c>
      <c r="I29" s="18" t="n">
        <v>172.7</v>
      </c>
      <c r="J29" s="18" t="n">
        <v>167.63</v>
      </c>
      <c r="K29" s="37" t="n">
        <v>167.63</v>
      </c>
      <c r="L29" s="18" t="n">
        <v>162.55</v>
      </c>
      <c r="M29" s="18" t="n">
        <v>157.48</v>
      </c>
      <c r="N29" s="18" t="n">
        <v>152.4</v>
      </c>
      <c r="O29" s="18" t="n">
        <v>147.33</v>
      </c>
      <c r="P29" s="37" t="n">
        <v>147.33</v>
      </c>
      <c r="Q29" s="18" t="n">
        <v>143.1</v>
      </c>
      <c r="R29" s="18" t="n">
        <v>139.72</v>
      </c>
      <c r="S29" s="18" t="n">
        <v>136.35</v>
      </c>
      <c r="T29" s="18" t="n">
        <v>132.98</v>
      </c>
      <c r="U29" s="37" t="n">
        <v>132.98</v>
      </c>
      <c r="V29" s="18" t="n">
        <v>129.61</v>
      </c>
      <c r="W29" s="18" t="n">
        <v>126.23</v>
      </c>
      <c r="X29" s="18" t="n">
        <v>122.86</v>
      </c>
      <c r="Y29" s="18" t="n">
        <v>119.49</v>
      </c>
      <c r="Z29" s="37" t="n">
        <v>119.49</v>
      </c>
      <c r="AA29" s="18" t="n">
        <v>116.12</v>
      </c>
      <c r="AB29" s="19" t="n">
        <v>112.77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이연법인세부채</t>
        </is>
      </c>
      <c r="E30" s="18" t="n">
        <v>7884.58</v>
      </c>
      <c r="F30" s="37" t="n">
        <v>7884.58</v>
      </c>
      <c r="G30" s="18" t="n">
        <v>7884.58</v>
      </c>
      <c r="H30" s="18" t="n">
        <v>8201.34</v>
      </c>
      <c r="I30" s="18" t="n">
        <v>8313.07</v>
      </c>
      <c r="J30" s="18" t="n">
        <v>8529.440000000001</v>
      </c>
      <c r="K30" s="37" t="n">
        <v>8529.440000000001</v>
      </c>
      <c r="L30" s="18" t="n">
        <v>8529.440000000001</v>
      </c>
      <c r="M30" s="18" t="n">
        <v>8616.790000000001</v>
      </c>
      <c r="N30" s="18" t="n">
        <v>8616.790000000001</v>
      </c>
      <c r="O30" s="18" t="n">
        <v>8975.76</v>
      </c>
      <c r="P30" s="37" t="n">
        <v>8975.76</v>
      </c>
      <c r="Q30" s="18" t="n">
        <v>8975.76</v>
      </c>
      <c r="R30" s="18" t="n">
        <v>9283.4</v>
      </c>
      <c r="S30" s="18" t="n">
        <v>9283.4</v>
      </c>
      <c r="T30" s="18" t="n">
        <v>7290.77</v>
      </c>
      <c r="U30" s="37" t="n">
        <v>7290.77</v>
      </c>
      <c r="V30" s="18" t="n">
        <v>7290.77</v>
      </c>
      <c r="W30" s="18" t="n">
        <v>7333.26</v>
      </c>
      <c r="X30" s="18" t="n">
        <v>7333.26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유동부채</t>
        </is>
      </c>
      <c r="E31" s="18" t="n">
        <v>58422.68</v>
      </c>
      <c r="F31" s="37" t="n">
        <v>58422.68</v>
      </c>
      <c r="G31" s="18" t="n">
        <v>53729.86</v>
      </c>
      <c r="H31" s="18" t="n">
        <v>51204.25</v>
      </c>
      <c r="I31" s="18" t="n">
        <v>57840.52</v>
      </c>
      <c r="J31" s="18" t="n">
        <v>62616.58</v>
      </c>
      <c r="K31" s="37" t="n">
        <v>62616.58</v>
      </c>
      <c r="L31" s="18" t="n">
        <v>59998.9</v>
      </c>
      <c r="M31" s="18" t="n">
        <v>71500.67</v>
      </c>
      <c r="N31" s="18" t="n">
        <v>70699.96000000001</v>
      </c>
      <c r="O31" s="18" t="n">
        <v>84135.87</v>
      </c>
      <c r="P31" s="37" t="n">
        <v>84135.87</v>
      </c>
      <c r="Q31" s="18" t="n">
        <v>101532.45</v>
      </c>
      <c r="R31" s="18" t="n">
        <v>82515.27</v>
      </c>
      <c r="S31" s="18" t="n">
        <v>78769.92999999999</v>
      </c>
      <c r="T31" s="18" t="n">
        <v>81149.59</v>
      </c>
      <c r="U31" s="37" t="n">
        <v>81149.59</v>
      </c>
      <c r="V31" s="18" t="n">
        <v>82267.92</v>
      </c>
      <c r="W31" s="18" t="n">
        <v>76381.92</v>
      </c>
      <c r="X31" s="18" t="n">
        <v>75746.39</v>
      </c>
      <c r="Y31" s="18" t="n">
        <v>76386.82000000001</v>
      </c>
      <c r="Z31" s="37" t="n">
        <v>76386.82000000001</v>
      </c>
      <c r="AA31" s="18" t="n">
        <v>89714.78</v>
      </c>
      <c r="AB31" s="19" t="n">
        <v>79531.49000000001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유동성장기부채</t>
        </is>
      </c>
      <c r="E32" s="18" t="n">
        <v>5000</v>
      </c>
      <c r="F32" s="37" t="n">
        <v>5000</v>
      </c>
      <c r="G32" s="18" t="n">
        <v>5000</v>
      </c>
      <c r="H32" s="18" t="n">
        <v>5000</v>
      </c>
      <c r="I32" s="18" t="n">
        <v>5000</v>
      </c>
      <c r="J32" s="18" t="n">
        <v>5000</v>
      </c>
      <c r="K32" s="37" t="n">
        <v>5000</v>
      </c>
      <c r="L32" s="18" t="n">
        <v>0</v>
      </c>
      <c r="M32" s="18" t="n">
        <v>0</v>
      </c>
      <c r="N32" s="18" t="n">
        <v>0</v>
      </c>
      <c r="O32" s="18" t="n">
        <v>18800</v>
      </c>
      <c r="P32" s="37" t="n">
        <v>18800</v>
      </c>
      <c r="Q32" s="18" t="n">
        <v>28800</v>
      </c>
      <c r="R32" s="18" t="n">
        <v>23800</v>
      </c>
      <c r="S32" s="18" t="n">
        <v>23800</v>
      </c>
      <c r="T32" s="18" t="n">
        <v>5000</v>
      </c>
      <c r="U32" s="37" t="n">
        <v>5000</v>
      </c>
      <c r="V32" s="18" t="n">
        <v>0</v>
      </c>
      <c r="W32" s="18" t="n">
        <v>0</v>
      </c>
      <c r="X32" s="18" t="n">
        <v>0</v>
      </c>
      <c r="Y32" s="18" t="n">
        <v>0</v>
      </c>
      <c r="Z32" s="37" t="n">
        <v>0</v>
      </c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단기차입금</t>
        </is>
      </c>
      <c r="E33" s="18" t="n">
        <v>48000</v>
      </c>
      <c r="F33" s="37" t="n">
        <v>48000</v>
      </c>
      <c r="G33" s="18" t="n">
        <v>41000</v>
      </c>
      <c r="H33" s="18" t="n">
        <v>41000</v>
      </c>
      <c r="I33" s="18" t="n">
        <v>41000</v>
      </c>
      <c r="J33" s="18" t="n">
        <v>41000</v>
      </c>
      <c r="K33" s="37" t="n">
        <v>41000</v>
      </c>
      <c r="L33" s="18" t="n">
        <v>41000</v>
      </c>
      <c r="M33" s="18" t="n">
        <v>53000</v>
      </c>
      <c r="N33" s="18" t="n">
        <v>53000</v>
      </c>
      <c r="O33" s="18" t="n">
        <v>53000</v>
      </c>
      <c r="P33" s="37" t="n">
        <v>53000</v>
      </c>
      <c r="Q33" s="18" t="n">
        <v>53000</v>
      </c>
      <c r="R33" s="18" t="n">
        <v>51000</v>
      </c>
      <c r="S33" s="18" t="n">
        <v>49000</v>
      </c>
      <c r="T33" s="18" t="n">
        <v>67420</v>
      </c>
      <c r="U33" s="37" t="n">
        <v>67420</v>
      </c>
      <c r="V33" s="18" t="n">
        <v>68420</v>
      </c>
      <c r="W33" s="18" t="n">
        <v>68420</v>
      </c>
      <c r="X33" s="18" t="n">
        <v>68420</v>
      </c>
      <c r="Y33" s="18" t="n">
        <v>68040</v>
      </c>
      <c r="Z33" s="37" t="n">
        <v>68040</v>
      </c>
      <c r="AA33" s="18" t="n">
        <v>69040</v>
      </c>
      <c r="AB33" s="19" t="n">
        <v>69040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매입채무및기타채무</t>
        </is>
      </c>
      <c r="E34" s="18" t="n">
        <v>4550.48</v>
      </c>
      <c r="F34" s="37" t="n">
        <v>4550.48</v>
      </c>
      <c r="G34" s="18" t="n">
        <v>7214.22</v>
      </c>
      <c r="H34" s="18" t="n">
        <v>4684.67</v>
      </c>
      <c r="I34" s="18" t="n">
        <v>4529.26</v>
      </c>
      <c r="J34" s="18" t="n">
        <v>5520.18</v>
      </c>
      <c r="K34" s="37" t="n">
        <v>5520.18</v>
      </c>
      <c r="L34" s="18" t="n">
        <v>7554.09</v>
      </c>
      <c r="M34" s="18" t="n">
        <v>5372.03</v>
      </c>
      <c r="N34" s="18" t="n">
        <v>5547.17</v>
      </c>
      <c r="O34" s="18" t="n">
        <v>5036.48</v>
      </c>
      <c r="P34" s="37" t="n">
        <v>5036.48</v>
      </c>
      <c r="Q34" s="18" t="n">
        <v>13915.09</v>
      </c>
      <c r="R34" s="18" t="n">
        <v>5040.09</v>
      </c>
      <c r="S34" s="18" t="n">
        <v>4387.08</v>
      </c>
      <c r="T34" s="18" t="n">
        <v>8139.59</v>
      </c>
      <c r="U34" s="37" t="n">
        <v>8139.59</v>
      </c>
      <c r="V34" s="18" t="n">
        <v>13202.39</v>
      </c>
      <c r="W34" s="18" t="n">
        <v>5049.86</v>
      </c>
      <c r="X34" s="18" t="n">
        <v>4965.99</v>
      </c>
      <c r="Y34" s="18" t="n">
        <v>5780.63</v>
      </c>
      <c r="Z34" s="37" t="n">
        <v>5780.63</v>
      </c>
      <c r="AA34" s="18" t="n">
        <v>18026.66</v>
      </c>
      <c r="AB34" s="19" t="n">
        <v>5756.02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기타유동금융부채</t>
        </is>
      </c>
      <c r="E35" s="18" t="n">
        <v>0</v>
      </c>
      <c r="F35" s="37" t="n">
        <v>0</v>
      </c>
      <c r="G35" s="18" t="n">
        <v>0</v>
      </c>
      <c r="H35" s="18" t="n">
        <v>0</v>
      </c>
      <c r="I35" s="18" t="n">
        <v>0</v>
      </c>
      <c r="J35" s="18" t="n">
        <v>0</v>
      </c>
      <c r="K35" s="37" t="n">
        <v>0</v>
      </c>
      <c r="P35" s="9" t="n"/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단기금융부채</t>
        </is>
      </c>
      <c r="E36" s="18" t="n">
        <v>0</v>
      </c>
      <c r="F36" s="37" t="n">
        <v>0</v>
      </c>
      <c r="G36" s="18" t="n">
        <v>0</v>
      </c>
      <c r="H36" s="18" t="n">
        <v>0</v>
      </c>
      <c r="I36" s="18" t="n">
        <v>0</v>
      </c>
      <c r="J36" s="18" t="n">
        <v>0</v>
      </c>
      <c r="K36" s="37" t="n">
        <v>0</v>
      </c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당기법인세부채(미지급법인세)</t>
        </is>
      </c>
      <c r="E37" s="18" t="n">
        <v>742.0700000000001</v>
      </c>
      <c r="F37" s="37" t="n">
        <v>742.0700000000001</v>
      </c>
      <c r="G37" s="18" t="n">
        <v>396.43</v>
      </c>
      <c r="H37" s="18" t="n">
        <v>377.82</v>
      </c>
      <c r="I37" s="18" t="n">
        <v>0</v>
      </c>
      <c r="J37" s="18" t="n">
        <v>1389.49</v>
      </c>
      <c r="K37" s="37" t="n">
        <v>1389.49</v>
      </c>
      <c r="L37" s="18" t="n">
        <v>773.41</v>
      </c>
      <c r="M37" s="18" t="n">
        <v>2476.65</v>
      </c>
      <c r="N37" s="18" t="n">
        <v>2076.22</v>
      </c>
      <c r="O37" s="18" t="n">
        <v>5082.7</v>
      </c>
      <c r="P37" s="37" t="n">
        <v>5082.7</v>
      </c>
      <c r="Q37" s="18" t="n">
        <v>5075.93</v>
      </c>
      <c r="R37" s="18" t="n">
        <v>2178.73</v>
      </c>
      <c r="S37" s="18" t="n">
        <v>1188.4</v>
      </c>
      <c r="T37" s="18" t="n">
        <v>203.56</v>
      </c>
      <c r="U37" s="37" t="n">
        <v>203.56</v>
      </c>
      <c r="V37" s="18" t="n">
        <v>201.32</v>
      </c>
      <c r="W37" s="18" t="n">
        <v>2341.06</v>
      </c>
      <c r="X37" s="18" t="n">
        <v>1847.75</v>
      </c>
      <c r="Y37" s="18" t="n">
        <v>2248.55</v>
      </c>
      <c r="Z37" s="37" t="n">
        <v>2248.55</v>
      </c>
      <c r="AA37" s="18" t="n">
        <v>2246.46</v>
      </c>
      <c r="AB37" s="19" t="n">
        <v>4233.81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기타유동부채</t>
        </is>
      </c>
      <c r="E38" s="18" t="n">
        <v>130.12</v>
      </c>
      <c r="F38" s="37" t="n">
        <v>130.12</v>
      </c>
      <c r="G38" s="18" t="n">
        <v>119.22</v>
      </c>
      <c r="H38" s="18" t="n">
        <v>141.75</v>
      </c>
      <c r="I38" s="18" t="n">
        <v>7311.26</v>
      </c>
      <c r="J38" s="18" t="n">
        <v>9706.91</v>
      </c>
      <c r="K38" s="37" t="n">
        <v>9706.91</v>
      </c>
      <c r="L38" s="18" t="n">
        <v>10671.4</v>
      </c>
      <c r="M38" s="18" t="n">
        <v>10652</v>
      </c>
      <c r="N38" s="18" t="n">
        <v>10076.56</v>
      </c>
      <c r="O38" s="18" t="n">
        <v>2216.69</v>
      </c>
      <c r="P38" s="37" t="n">
        <v>2216.69</v>
      </c>
      <c r="Q38" s="18" t="n">
        <v>741.4299999999999</v>
      </c>
      <c r="R38" s="18" t="n">
        <v>496.44</v>
      </c>
      <c r="S38" s="18" t="n">
        <v>394.45</v>
      </c>
      <c r="T38" s="18" t="n">
        <v>386.44</v>
      </c>
      <c r="U38" s="37" t="n">
        <v>386.44</v>
      </c>
      <c r="V38" s="18" t="n">
        <v>444.21</v>
      </c>
      <c r="W38" s="18" t="n">
        <v>571.01</v>
      </c>
      <c r="X38" s="18" t="n">
        <v>512.64</v>
      </c>
      <c r="Y38" s="18" t="n">
        <v>317.64</v>
      </c>
      <c r="Z38" s="37" t="n">
        <v>317.64</v>
      </c>
      <c r="AA38" s="18" t="n">
        <v>401.67</v>
      </c>
      <c r="AB38" s="19" t="n">
        <v>501.66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부채총계</t>
        </is>
      </c>
      <c r="E39" s="18" t="n">
        <v>78300.5</v>
      </c>
      <c r="F39" s="37" t="n">
        <v>78300.5</v>
      </c>
      <c r="G39" s="18" t="n">
        <v>82731.84</v>
      </c>
      <c r="H39" s="18" t="n">
        <v>80371.12</v>
      </c>
      <c r="I39" s="18" t="n">
        <v>87274.14</v>
      </c>
      <c r="J39" s="18" t="n">
        <v>93171.23</v>
      </c>
      <c r="K39" s="37" t="n">
        <v>93171.23</v>
      </c>
      <c r="L39" s="18" t="n">
        <v>95667.98</v>
      </c>
      <c r="M39" s="18" t="n">
        <v>107125.85</v>
      </c>
      <c r="N39" s="18" t="n">
        <v>108463.99</v>
      </c>
      <c r="O39" s="18" t="n">
        <v>103582.94</v>
      </c>
      <c r="P39" s="37" t="n">
        <v>103582.94</v>
      </c>
      <c r="Q39" s="18" t="n">
        <v>111057.14</v>
      </c>
      <c r="R39" s="18" t="n">
        <v>99181.14999999999</v>
      </c>
      <c r="S39" s="18" t="n">
        <v>97547.19</v>
      </c>
      <c r="T39" s="18" t="n">
        <v>98071.78999999999</v>
      </c>
      <c r="U39" s="37" t="n">
        <v>98071.78999999999</v>
      </c>
      <c r="V39" s="18" t="n">
        <v>103287.32</v>
      </c>
      <c r="W39" s="18" t="n">
        <v>97570.82000000001</v>
      </c>
      <c r="X39" s="18" t="n">
        <v>97103.88</v>
      </c>
      <c r="Y39" s="18" t="n">
        <v>102675.6</v>
      </c>
      <c r="Z39" s="37" t="n">
        <v>102675.6</v>
      </c>
      <c r="AA39" s="18" t="n">
        <v>115182.86</v>
      </c>
      <c r="AB39" s="19" t="n">
        <v>104830.61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부채와자본총계</t>
        </is>
      </c>
      <c r="E40" s="18" t="n">
        <v>278058.65</v>
      </c>
      <c r="F40" s="37" t="n">
        <v>278058.65</v>
      </c>
      <c r="G40" s="18" t="n">
        <v>284588.24</v>
      </c>
      <c r="H40" s="18" t="n">
        <v>281648.44</v>
      </c>
      <c r="I40" s="18" t="n">
        <v>280951.46</v>
      </c>
      <c r="J40" s="18" t="n">
        <v>284865.7</v>
      </c>
      <c r="K40" s="37" t="n">
        <v>284865.7</v>
      </c>
      <c r="L40" s="18" t="n">
        <v>302197.59</v>
      </c>
      <c r="M40" s="18" t="n">
        <v>309814.2</v>
      </c>
      <c r="N40" s="18" t="n">
        <v>304021.59</v>
      </c>
      <c r="O40" s="18" t="n">
        <v>311779.93</v>
      </c>
      <c r="P40" s="37" t="n">
        <v>311779.93</v>
      </c>
      <c r="Q40" s="18" t="n">
        <v>317246.68</v>
      </c>
      <c r="R40" s="18" t="n">
        <v>308500.29</v>
      </c>
      <c r="S40" s="18" t="n">
        <v>312422.21</v>
      </c>
      <c r="T40" s="18" t="n">
        <v>310143.81</v>
      </c>
      <c r="U40" s="37" t="n">
        <v>310143.81</v>
      </c>
      <c r="V40" s="18" t="n">
        <v>308053.76</v>
      </c>
      <c r="W40" s="18" t="n">
        <v>326476.02</v>
      </c>
      <c r="X40" s="18" t="n">
        <v>336248.15</v>
      </c>
      <c r="Y40" s="18" t="n">
        <v>403790.05</v>
      </c>
      <c r="Z40" s="37" t="n">
        <v>403790.05</v>
      </c>
      <c r="AA40" s="18" t="n">
        <v>423793.87</v>
      </c>
      <c r="AB40" s="19" t="n">
        <v>412932.61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지배주주지분</t>
        </is>
      </c>
      <c r="E41" s="18" t="n">
        <v>199758.15</v>
      </c>
      <c r="F41" s="37" t="n">
        <v>199758.15</v>
      </c>
      <c r="G41" s="18" t="n">
        <v>201856.4</v>
      </c>
      <c r="H41" s="18" t="n">
        <v>201277.33</v>
      </c>
      <c r="I41" s="18" t="n">
        <v>193677.32</v>
      </c>
      <c r="J41" s="18" t="n">
        <v>191694.47</v>
      </c>
      <c r="K41" s="37" t="n">
        <v>191694.47</v>
      </c>
      <c r="L41" s="18" t="n">
        <v>206529.61</v>
      </c>
      <c r="M41" s="18" t="n">
        <v>202688.35</v>
      </c>
      <c r="N41" s="18" t="n">
        <v>195557.6</v>
      </c>
      <c r="O41" s="18" t="n">
        <v>208196.99</v>
      </c>
      <c r="P41" s="37" t="n">
        <v>208196.99</v>
      </c>
      <c r="Q41" s="18" t="n">
        <v>206189.53</v>
      </c>
      <c r="R41" s="18" t="n">
        <v>209319.14</v>
      </c>
      <c r="S41" s="18" t="n">
        <v>214875.02</v>
      </c>
      <c r="T41" s="18" t="n">
        <v>212072.02</v>
      </c>
      <c r="U41" s="37" t="n">
        <v>212072.02</v>
      </c>
      <c r="V41" s="18" t="n">
        <v>204766.44</v>
      </c>
      <c r="W41" s="18" t="n">
        <v>228905.2</v>
      </c>
      <c r="X41" s="18" t="n">
        <v>239144.26</v>
      </c>
      <c r="Y41" s="18" t="n">
        <v>301114.44</v>
      </c>
      <c r="Z41" s="37" t="n">
        <v>301114.44</v>
      </c>
      <c r="AA41" s="18" t="n">
        <v>308611.01</v>
      </c>
      <c r="AB41" s="19" t="n">
        <v>308101.99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총차입금</t>
        </is>
      </c>
      <c r="E42" s="18" t="n">
        <v>64000</v>
      </c>
      <c r="F42" s="37" t="n">
        <v>64000</v>
      </c>
      <c r="G42" s="18" t="n">
        <v>66000</v>
      </c>
      <c r="H42" s="18" t="n">
        <v>66000</v>
      </c>
      <c r="I42" s="18" t="n">
        <v>66000</v>
      </c>
      <c r="J42" s="18" t="n">
        <v>67800</v>
      </c>
      <c r="K42" s="37" t="n">
        <v>67800</v>
      </c>
      <c r="L42" s="18" t="n">
        <v>67800</v>
      </c>
      <c r="M42" s="18" t="n">
        <v>79800</v>
      </c>
      <c r="N42" s="18" t="n">
        <v>81800</v>
      </c>
      <c r="O42" s="18" t="n">
        <v>81800</v>
      </c>
      <c r="P42" s="37" t="n">
        <v>81800</v>
      </c>
      <c r="Q42" s="18" t="n">
        <v>81800</v>
      </c>
      <c r="R42" s="18" t="n">
        <v>81800</v>
      </c>
      <c r="S42" s="18" t="n">
        <v>81800</v>
      </c>
      <c r="T42" s="18" t="n">
        <v>81420</v>
      </c>
      <c r="U42" s="37" t="n">
        <v>81420</v>
      </c>
      <c r="V42" s="18" t="n">
        <v>81420</v>
      </c>
      <c r="W42" s="18" t="n">
        <v>81420</v>
      </c>
      <c r="X42" s="18" t="n">
        <v>81420</v>
      </c>
      <c r="Y42" s="18" t="n">
        <v>81040</v>
      </c>
      <c r="Z42" s="37" t="n">
        <v>81040</v>
      </c>
      <c r="AA42" s="18" t="n">
        <v>81040</v>
      </c>
      <c r="AB42" s="19" t="n">
        <v>81040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순차입금</t>
        </is>
      </c>
      <c r="E43" s="18" t="n">
        <v>60963.38</v>
      </c>
      <c r="F43" s="37" t="n">
        <v>60963.38</v>
      </c>
      <c r="G43" s="18" t="n">
        <v>59370.72</v>
      </c>
      <c r="H43" s="18" t="n">
        <v>60393.9</v>
      </c>
      <c r="I43" s="18" t="n">
        <v>54437.79</v>
      </c>
      <c r="J43" s="18" t="n">
        <v>62121.42</v>
      </c>
      <c r="K43" s="37" t="n">
        <v>62121.42</v>
      </c>
      <c r="L43" s="18" t="n">
        <v>61650.88</v>
      </c>
      <c r="M43" s="18" t="n">
        <v>75159.97</v>
      </c>
      <c r="N43" s="18" t="n">
        <v>74323.67</v>
      </c>
      <c r="O43" s="18" t="n">
        <v>73354.17999999999</v>
      </c>
      <c r="P43" s="37" t="n">
        <v>73354.17999999999</v>
      </c>
      <c r="Q43" s="18" t="n">
        <v>69833.45</v>
      </c>
      <c r="R43" s="18" t="n">
        <v>71303.78999999999</v>
      </c>
      <c r="S43" s="18" t="n">
        <v>76614.46000000001</v>
      </c>
      <c r="T43" s="18" t="n">
        <v>73288.56</v>
      </c>
      <c r="U43" s="37" t="n">
        <v>73288.56</v>
      </c>
      <c r="V43" s="18" t="n">
        <v>71927</v>
      </c>
      <c r="W43" s="18" t="n">
        <v>68902.02</v>
      </c>
      <c r="X43" s="18" t="n">
        <v>74175.09</v>
      </c>
      <c r="Y43" s="18" t="n">
        <v>62962.78</v>
      </c>
      <c r="Z43" s="37" t="n">
        <v>62962.78</v>
      </c>
      <c r="AA43" s="18" t="n">
        <v>71091.45</v>
      </c>
      <c r="AB43" s="19" t="n">
        <v>73259.14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이자발생자산</t>
        </is>
      </c>
      <c r="E44" s="18" t="n">
        <v>3038.12</v>
      </c>
      <c r="F44" s="37" t="n">
        <v>3038.12</v>
      </c>
      <c r="G44" s="18" t="n">
        <v>6630.78</v>
      </c>
      <c r="H44" s="18" t="n">
        <v>5607.6</v>
      </c>
      <c r="I44" s="18" t="n">
        <v>11563.71</v>
      </c>
      <c r="J44" s="18" t="n">
        <v>5680.08</v>
      </c>
      <c r="K44" s="37" t="n">
        <v>5680.08</v>
      </c>
      <c r="L44" s="18" t="n">
        <v>6150.62</v>
      </c>
      <c r="M44" s="18" t="n">
        <v>4745.67</v>
      </c>
      <c r="N44" s="18" t="n">
        <v>7593.46</v>
      </c>
      <c r="O44" s="18" t="n">
        <v>8574.549999999999</v>
      </c>
      <c r="P44" s="37" t="n">
        <v>8574.549999999999</v>
      </c>
      <c r="Q44" s="18" t="n">
        <v>12107.25</v>
      </c>
      <c r="R44" s="18" t="n">
        <v>10649.41</v>
      </c>
      <c r="S44" s="18" t="n">
        <v>5351.58</v>
      </c>
      <c r="T44" s="18" t="n">
        <v>8310.41</v>
      </c>
      <c r="U44" s="37" t="n">
        <v>8310.41</v>
      </c>
      <c r="V44" s="18" t="n">
        <v>9685.15</v>
      </c>
      <c r="W44" s="18" t="n">
        <v>12716.31</v>
      </c>
      <c r="X44" s="18" t="n">
        <v>7456.53</v>
      </c>
      <c r="Y44" s="18" t="n">
        <v>18300.85</v>
      </c>
      <c r="Z44" s="37" t="n">
        <v>18300.85</v>
      </c>
      <c r="AA44" s="18" t="n">
        <v>10185.71</v>
      </c>
      <c r="AB44" s="19" t="n">
        <v>8031.57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매각예정비유동자산및처분자산</t>
        </is>
      </c>
      <c r="F45" s="9" t="n"/>
      <c r="I45" s="18" t="n">
        <v>47952.02</v>
      </c>
      <c r="J45" s="18" t="n">
        <v>47952.02</v>
      </c>
      <c r="K45" s="37" t="n">
        <v>47952.02</v>
      </c>
      <c r="L45" s="18" t="n">
        <v>47952.02</v>
      </c>
      <c r="M45" s="18" t="n">
        <v>47952.02</v>
      </c>
      <c r="N45" s="18" t="n">
        <v>47952.02</v>
      </c>
      <c r="O45" s="18" t="n">
        <v>47952.02</v>
      </c>
      <c r="P45" s="37" t="n">
        <v>47952.02</v>
      </c>
      <c r="Q45" s="18" t="n">
        <v>47952.02</v>
      </c>
      <c r="R45" s="18" t="n">
        <v>47952.02</v>
      </c>
      <c r="S45" s="18" t="n">
        <v>47952.02</v>
      </c>
      <c r="T45" s="18" t="n">
        <v>0</v>
      </c>
      <c r="U45" s="37" t="n">
        <v>0</v>
      </c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이익잉여금</t>
        </is>
      </c>
      <c r="F46" s="9" t="n"/>
      <c r="K46" s="9" t="n"/>
      <c r="L46" s="18" t="n">
        <v>91446.53</v>
      </c>
      <c r="M46" s="18" t="n">
        <v>90834.56</v>
      </c>
      <c r="N46" s="18" t="n">
        <v>87548.42</v>
      </c>
      <c r="O46" s="18" t="n">
        <v>101468.66</v>
      </c>
      <c r="P46" s="37" t="n">
        <v>101468.66</v>
      </c>
      <c r="Q46" s="18" t="n">
        <v>100648.85</v>
      </c>
      <c r="R46" s="18" t="n">
        <v>103778.55</v>
      </c>
      <c r="S46" s="18" t="n">
        <v>109334.43</v>
      </c>
      <c r="T46" s="18" t="n">
        <v>108083.56</v>
      </c>
      <c r="U46" s="37" t="n">
        <v>108083.56</v>
      </c>
      <c r="V46" s="18" t="n">
        <v>100777.98</v>
      </c>
      <c r="W46" s="18" t="n">
        <v>106115.86</v>
      </c>
      <c r="X46" s="18" t="n">
        <v>116697.69</v>
      </c>
      <c r="Y46" s="18" t="n">
        <v>150395.5</v>
      </c>
      <c r="Z46" s="37" t="n">
        <v>150395.5</v>
      </c>
      <c r="AA46" s="18" t="n">
        <v>213107.26</v>
      </c>
      <c r="AB46" s="19" t="n">
        <v>212047.73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기타유동금융자산</t>
        </is>
      </c>
      <c r="F47" s="9" t="n"/>
      <c r="K47" s="9" t="n"/>
      <c r="M47" s="18" t="n">
        <v>19431.75</v>
      </c>
      <c r="N47" s="18" t="n">
        <v>18366.06</v>
      </c>
      <c r="O47" s="18" t="n">
        <v>16364.82</v>
      </c>
      <c r="P47" s="37" t="n">
        <v>16364.82</v>
      </c>
      <c r="Q47" s="18" t="n">
        <v>18352.33</v>
      </c>
      <c r="R47" s="18" t="n">
        <v>14228.5</v>
      </c>
      <c r="S47" s="18" t="n">
        <v>23862.76</v>
      </c>
      <c r="T47" s="18" t="n">
        <v>16116.05</v>
      </c>
      <c r="U47" s="37" t="n">
        <v>16116.05</v>
      </c>
      <c r="V47" s="18" t="n">
        <v>17755.54</v>
      </c>
      <c r="W47" s="18" t="n">
        <v>23934.3</v>
      </c>
      <c r="X47" s="18" t="n">
        <v>30840.79</v>
      </c>
      <c r="Y47" s="18" t="n">
        <v>22773.36</v>
      </c>
      <c r="Z47" s="37" t="n">
        <v>22773.36</v>
      </c>
      <c r="AA47" s="18" t="n">
        <v>32730.4</v>
      </c>
      <c r="AB47" s="19" t="n">
        <v>29066.29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기타비유동자산</t>
        </is>
      </c>
      <c r="F48" s="9" t="n"/>
      <c r="K48" s="9" t="n"/>
      <c r="M48" s="18" t="n">
        <v>86.91</v>
      </c>
      <c r="N48" s="18" t="n">
        <v>0</v>
      </c>
      <c r="P48" s="9" t="n"/>
      <c r="U48" s="9" t="n"/>
      <c r="Y48" s="18" t="n">
        <v>14.03</v>
      </c>
      <c r="Z48" s="37" t="n">
        <v>14.03</v>
      </c>
      <c r="AA48" s="18" t="n">
        <v>12.24</v>
      </c>
      <c r="AB48" s="19" t="n">
        <v>10.45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단기금융부채(face)</t>
        </is>
      </c>
      <c r="F49" s="9" t="n"/>
      <c r="K49" s="9" t="n"/>
      <c r="N49" s="18" t="n">
        <v>53000</v>
      </c>
      <c r="O49" s="18" t="n">
        <v>53000</v>
      </c>
      <c r="P49" s="37" t="n">
        <v>53000</v>
      </c>
      <c r="T49" s="18" t="n">
        <v>67420</v>
      </c>
      <c r="U49" s="37" t="n">
        <v>67420</v>
      </c>
      <c r="V49" s="18" t="n">
        <v>68420</v>
      </c>
      <c r="W49" s="18" t="n">
        <v>68420</v>
      </c>
      <c r="Y49" s="18" t="n">
        <v>68040</v>
      </c>
      <c r="Z49" s="37" t="n">
        <v>68040</v>
      </c>
      <c r="AA49" s="18" t="n">
        <v>69040</v>
      </c>
      <c r="AB49" s="19" t="n">
        <v>69040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장기금융부채(face)</t>
        </is>
      </c>
      <c r="F50" s="9" t="n"/>
      <c r="K50" s="9" t="n"/>
      <c r="P50" s="9" t="n"/>
      <c r="S50" s="18" t="n">
        <v>9000</v>
      </c>
      <c r="T50" s="18" t="n">
        <v>9000</v>
      </c>
      <c r="U50" s="37" t="n">
        <v>9000</v>
      </c>
      <c r="V50" s="18" t="n">
        <v>13000</v>
      </c>
      <c r="W50" s="18" t="n">
        <v>13000</v>
      </c>
      <c r="Y50" s="18" t="n">
        <v>13000</v>
      </c>
      <c r="Z50" s="37" t="n">
        <v>13000</v>
      </c>
      <c r="AA50" s="18" t="n">
        <v>12000</v>
      </c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사용권자산</t>
        </is>
      </c>
      <c r="F51" s="9" t="n"/>
      <c r="K51" s="9" t="n"/>
      <c r="P51" s="9" t="n"/>
      <c r="U51" s="9" t="n"/>
      <c r="Y51" s="18" t="n">
        <v>14.03</v>
      </c>
      <c r="Z51" s="37" t="n">
        <v>14.03</v>
      </c>
      <c r="AA51" s="18" t="n">
        <v>12.24</v>
      </c>
      <c r="AB51" s="19" t="n">
        <v>10.45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매출액(수익)</t>
        </is>
      </c>
      <c r="E52" s="18" t="n">
        <v>13455.13</v>
      </c>
      <c r="F52" s="9" t="n"/>
      <c r="G52" s="18" t="n">
        <v>14685.9</v>
      </c>
      <c r="H52" s="18" t="n">
        <v>14918.8</v>
      </c>
      <c r="I52" s="18" t="n">
        <v>14690.59</v>
      </c>
      <c r="J52" s="18" t="n">
        <v>14685.75</v>
      </c>
      <c r="K52" s="37" t="n">
        <v>58981.04</v>
      </c>
      <c r="L52" s="18" t="n">
        <v>18519.88</v>
      </c>
      <c r="M52" s="18" t="n">
        <v>19444.47</v>
      </c>
      <c r="N52" s="18" t="n">
        <v>18455.79</v>
      </c>
      <c r="O52" s="18" t="n">
        <v>18133.59</v>
      </c>
      <c r="P52" s="37" t="n">
        <v>74553.73</v>
      </c>
      <c r="Q52" s="18" t="n">
        <v>18992.9</v>
      </c>
      <c r="R52" s="18" t="n">
        <v>18331.17</v>
      </c>
      <c r="S52" s="18" t="n">
        <v>16914.87</v>
      </c>
      <c r="T52" s="18" t="n">
        <v>17663.75</v>
      </c>
      <c r="U52" s="37" t="n">
        <v>71902.69</v>
      </c>
      <c r="V52" s="18" t="n">
        <v>17133.82</v>
      </c>
      <c r="W52" s="18" t="n">
        <v>16989.48</v>
      </c>
      <c r="X52" s="18" t="n">
        <v>15075.52</v>
      </c>
      <c r="Y52" s="18" t="n">
        <v>18234.03</v>
      </c>
      <c r="Z52" s="37" t="n">
        <v>67432.85000000001</v>
      </c>
      <c r="AA52" s="18" t="n">
        <v>16817.51</v>
      </c>
      <c r="AB52" s="19" t="n">
        <v>23348.38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매출원가</t>
        </is>
      </c>
      <c r="E53" s="18" t="n">
        <v>11387.33</v>
      </c>
      <c r="F53" s="9" t="n"/>
      <c r="G53" s="18" t="n">
        <v>11385.95</v>
      </c>
      <c r="H53" s="18" t="n">
        <v>10900.59</v>
      </c>
      <c r="I53" s="18" t="n">
        <v>11379.79</v>
      </c>
      <c r="J53" s="18" t="n">
        <v>11013.86</v>
      </c>
      <c r="K53" s="37" t="n">
        <v>44680.19</v>
      </c>
      <c r="L53" s="18" t="n">
        <v>11736.6</v>
      </c>
      <c r="M53" s="18" t="n">
        <v>13045.51</v>
      </c>
      <c r="N53" s="18" t="n">
        <v>11925.28</v>
      </c>
      <c r="O53" s="18" t="n">
        <v>11875</v>
      </c>
      <c r="P53" s="37" t="n">
        <v>48582.39</v>
      </c>
      <c r="Q53" s="18" t="n">
        <v>13083.86</v>
      </c>
      <c r="R53" s="18" t="n">
        <v>12315.48</v>
      </c>
      <c r="S53" s="18" t="n">
        <v>12100.28</v>
      </c>
      <c r="T53" s="18" t="n">
        <v>11676.99</v>
      </c>
      <c r="U53" s="37" t="n">
        <v>49176.61</v>
      </c>
      <c r="V53" s="18" t="n">
        <v>12113.98</v>
      </c>
      <c r="W53" s="18" t="n">
        <v>10896.73</v>
      </c>
      <c r="X53" s="18" t="n">
        <v>10535.26</v>
      </c>
      <c r="Y53" s="18" t="n">
        <v>13524.65</v>
      </c>
      <c r="Z53" s="37" t="n">
        <v>47070.62</v>
      </c>
      <c r="AA53" s="18" t="n">
        <v>11502.54</v>
      </c>
      <c r="AB53" s="19" t="n">
        <v>15587.62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매출총이익</t>
        </is>
      </c>
      <c r="E54" s="18" t="n">
        <v>2067.8</v>
      </c>
      <c r="F54" s="9" t="n"/>
      <c r="G54" s="18" t="n">
        <v>3299.95</v>
      </c>
      <c r="H54" s="18" t="n">
        <v>4018.21</v>
      </c>
      <c r="I54" s="18" t="n">
        <v>3310.79</v>
      </c>
      <c r="J54" s="18" t="n">
        <v>3671.89</v>
      </c>
      <c r="K54" s="37" t="n">
        <v>14300.84</v>
      </c>
      <c r="L54" s="18" t="n">
        <v>6783.28</v>
      </c>
      <c r="M54" s="18" t="n">
        <v>6398.96</v>
      </c>
      <c r="N54" s="18" t="n">
        <v>6530.51</v>
      </c>
      <c r="O54" s="18" t="n">
        <v>6258.58</v>
      </c>
      <c r="P54" s="37" t="n">
        <v>25971.33</v>
      </c>
      <c r="Q54" s="18" t="n">
        <v>5909.04</v>
      </c>
      <c r="R54" s="18" t="n">
        <v>6015.69</v>
      </c>
      <c r="S54" s="18" t="n">
        <v>4814.59</v>
      </c>
      <c r="T54" s="18" t="n">
        <v>5986.77</v>
      </c>
      <c r="U54" s="37" t="n">
        <v>22726.09</v>
      </c>
      <c r="V54" s="18" t="n">
        <v>5019.84</v>
      </c>
      <c r="W54" s="18" t="n">
        <v>6092.75</v>
      </c>
      <c r="X54" s="18" t="n">
        <v>4540.26</v>
      </c>
      <c r="Y54" s="18" t="n">
        <v>4709.37</v>
      </c>
      <c r="Z54" s="37" t="n">
        <v>20362.22</v>
      </c>
      <c r="AA54" s="18" t="n">
        <v>5314.97</v>
      </c>
      <c r="AB54" s="19" t="n">
        <v>7760.76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판관비</t>
        </is>
      </c>
      <c r="E55" s="18" t="n">
        <v>758.04</v>
      </c>
      <c r="F55" s="9" t="n"/>
      <c r="G55" s="18" t="n">
        <v>1124.16</v>
      </c>
      <c r="H55" s="18" t="n">
        <v>849.17</v>
      </c>
      <c r="I55" s="18" t="n">
        <v>1287.38</v>
      </c>
      <c r="J55" s="18" t="n">
        <v>1345.84</v>
      </c>
      <c r="K55" s="37" t="n">
        <v>4606.55</v>
      </c>
      <c r="L55" s="18" t="n">
        <v>1251.66</v>
      </c>
      <c r="M55" s="18" t="n">
        <v>1386.78</v>
      </c>
      <c r="N55" s="18" t="n">
        <v>1605.98</v>
      </c>
      <c r="O55" s="18" t="n">
        <v>918.74</v>
      </c>
      <c r="P55" s="37" t="n">
        <v>5163.16</v>
      </c>
      <c r="Q55" s="18" t="n">
        <v>1047.82</v>
      </c>
      <c r="R55" s="18" t="n">
        <v>890.3200000000001</v>
      </c>
      <c r="S55" s="18" t="n">
        <v>1405.52</v>
      </c>
      <c r="T55" s="18" t="n">
        <v>1460.98</v>
      </c>
      <c r="U55" s="37" t="n">
        <v>4804.64</v>
      </c>
      <c r="V55" s="18" t="n">
        <v>1187.93</v>
      </c>
      <c r="W55" s="18" t="n">
        <v>1039.04</v>
      </c>
      <c r="X55" s="18" t="n">
        <v>1561.82</v>
      </c>
      <c r="Y55" s="18" t="n">
        <v>1794.1</v>
      </c>
      <c r="Z55" s="37" t="n">
        <v>5582.89</v>
      </c>
      <c r="AA55" s="18" t="n">
        <v>1260.32</v>
      </c>
      <c r="AB55" s="19" t="n">
        <v>1285.66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영업이익</t>
        </is>
      </c>
      <c r="E56" s="18" t="n">
        <v>1309.76</v>
      </c>
      <c r="F56" s="9" t="n"/>
      <c r="G56" s="18" t="n">
        <v>2175.79</v>
      </c>
      <c r="H56" s="18" t="n">
        <v>3169.04</v>
      </c>
      <c r="I56" s="18" t="n">
        <v>2023.41</v>
      </c>
      <c r="J56" s="18" t="n">
        <v>2326.04</v>
      </c>
      <c r="K56" s="37" t="n">
        <v>9694.280000000001</v>
      </c>
      <c r="L56" s="18" t="n">
        <v>5531.62</v>
      </c>
      <c r="M56" s="18" t="n">
        <v>5012.18</v>
      </c>
      <c r="N56" s="18" t="n">
        <v>4924.53</v>
      </c>
      <c r="O56" s="18" t="n">
        <v>5339.83</v>
      </c>
      <c r="P56" s="37" t="n">
        <v>20808.16</v>
      </c>
      <c r="Q56" s="18" t="n">
        <v>4861.22</v>
      </c>
      <c r="R56" s="18" t="n">
        <v>5125.37</v>
      </c>
      <c r="S56" s="18" t="n">
        <v>3409.07</v>
      </c>
      <c r="T56" s="18" t="n">
        <v>4525.79</v>
      </c>
      <c r="U56" s="37" t="n">
        <v>17921.45</v>
      </c>
      <c r="V56" s="18" t="n">
        <v>3831.91</v>
      </c>
      <c r="W56" s="18" t="n">
        <v>5053.71</v>
      </c>
      <c r="X56" s="18" t="n">
        <v>2978.44</v>
      </c>
      <c r="Y56" s="18" t="n">
        <v>2915.27</v>
      </c>
      <c r="Z56" s="37" t="n">
        <v>14779.33</v>
      </c>
      <c r="AA56" s="18" t="n">
        <v>4054.65</v>
      </c>
      <c r="AB56" s="19" t="n">
        <v>6475.1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기타영업외수익</t>
        </is>
      </c>
      <c r="E57" s="18" t="n">
        <v>-13821.79</v>
      </c>
      <c r="F57" s="9" t="n"/>
      <c r="G57" s="18" t="n">
        <v>2698.86</v>
      </c>
      <c r="H57" s="18" t="n">
        <v>57.63</v>
      </c>
      <c r="I57" s="18" t="n">
        <v>328.04</v>
      </c>
      <c r="J57" s="18" t="n">
        <v>-238.08</v>
      </c>
      <c r="K57" s="37" t="n">
        <v>2846.45</v>
      </c>
      <c r="L57" s="18" t="n">
        <v>12055.46</v>
      </c>
      <c r="M57" s="18" t="n">
        <v>16.67</v>
      </c>
      <c r="N57" s="18" t="n">
        <v>22.88</v>
      </c>
      <c r="O57" s="18" t="n">
        <v>7124.12</v>
      </c>
      <c r="P57" s="37" t="n">
        <v>19219.13</v>
      </c>
      <c r="Q57" s="18" t="n">
        <v>98.79000000000001</v>
      </c>
      <c r="R57" s="18" t="n">
        <v>25.76</v>
      </c>
      <c r="S57" s="18" t="n">
        <v>-13.88</v>
      </c>
      <c r="T57" s="18" t="n">
        <v>98.36</v>
      </c>
      <c r="U57" s="37" t="n">
        <v>209.03</v>
      </c>
      <c r="V57" s="18" t="n">
        <v>23.99</v>
      </c>
      <c r="W57" s="18" t="n">
        <v>2.34</v>
      </c>
      <c r="X57" s="18" t="n">
        <v>38.06</v>
      </c>
      <c r="Y57" s="18" t="n">
        <v>10057.16</v>
      </c>
      <c r="Z57" s="37" t="n">
        <v>10121.55</v>
      </c>
      <c r="AA57" s="18" t="n">
        <v>29.48</v>
      </c>
      <c r="AB57" s="19" t="n">
        <v>53.06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기타영업외비용</t>
        </is>
      </c>
      <c r="E58" s="18" t="n">
        <v>1358.86</v>
      </c>
      <c r="F58" s="9" t="n"/>
      <c r="G58" s="18" t="n">
        <v>3.14</v>
      </c>
      <c r="H58" s="18" t="n">
        <v>3545.66</v>
      </c>
      <c r="I58" s="18" t="n">
        <v>7986.11</v>
      </c>
      <c r="J58" s="18" t="n">
        <v>-99.34999999999999</v>
      </c>
      <c r="K58" s="37" t="n">
        <v>11435.56</v>
      </c>
      <c r="L58" s="18" t="n">
        <v>17.67</v>
      </c>
      <c r="M58" s="18" t="n">
        <v>565.75</v>
      </c>
      <c r="N58" s="18" t="n">
        <v>-12.47</v>
      </c>
      <c r="O58" s="18" t="n">
        <v>-494.14</v>
      </c>
      <c r="P58" s="37" t="n">
        <v>76.81</v>
      </c>
      <c r="Q58" s="18" t="n">
        <v>71.31999999999999</v>
      </c>
      <c r="R58" s="18" t="n">
        <v>26.06</v>
      </c>
      <c r="S58" s="18" t="n">
        <v>510.68</v>
      </c>
      <c r="T58" s="18" t="n">
        <v>253.1</v>
      </c>
      <c r="U58" s="37" t="n">
        <v>861.16</v>
      </c>
      <c r="V58" s="18" t="n">
        <v>2.24</v>
      </c>
      <c r="W58" s="18" t="n">
        <v>18.46</v>
      </c>
      <c r="X58" s="18" t="n">
        <v>-9.199999999999999</v>
      </c>
      <c r="Y58" s="18" t="n">
        <v>46.22</v>
      </c>
      <c r="Z58" s="37" t="n">
        <v>57.72</v>
      </c>
      <c r="AA58" s="18" t="n">
        <v>0</v>
      </c>
      <c r="AB58" s="19" t="n">
        <v>104.23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금융수익</t>
        </is>
      </c>
      <c r="E59" s="18" t="n">
        <v>742.4299999999999</v>
      </c>
      <c r="F59" s="9" t="n"/>
      <c r="G59" s="18" t="n">
        <v>784.04</v>
      </c>
      <c r="H59" s="18" t="n">
        <v>857.59</v>
      </c>
      <c r="I59" s="18" t="n">
        <v>918.63</v>
      </c>
      <c r="J59" s="18" t="n">
        <v>298.85</v>
      </c>
      <c r="K59" s="37" t="n">
        <v>2859.11</v>
      </c>
      <c r="L59" s="18" t="n">
        <v>1026.4</v>
      </c>
      <c r="M59" s="18" t="n">
        <v>944.26</v>
      </c>
      <c r="N59" s="18" t="n">
        <v>1064.26</v>
      </c>
      <c r="O59" s="18" t="n">
        <v>934.73</v>
      </c>
      <c r="P59" s="37" t="n">
        <v>3969.65</v>
      </c>
      <c r="Q59" s="18" t="n">
        <v>1134.1</v>
      </c>
      <c r="R59" s="18" t="n">
        <v>1074.05</v>
      </c>
      <c r="S59" s="18" t="n">
        <v>1141.66</v>
      </c>
      <c r="T59" s="18" t="n">
        <v>1006.12</v>
      </c>
      <c r="U59" s="37" t="n">
        <v>4355.93</v>
      </c>
      <c r="V59" s="18" t="n">
        <v>278.46</v>
      </c>
      <c r="W59" s="18" t="n">
        <v>286.13</v>
      </c>
      <c r="X59" s="18" t="n">
        <v>303.09</v>
      </c>
      <c r="Y59" s="18" t="n">
        <v>399.87</v>
      </c>
      <c r="Z59" s="37" t="n">
        <v>1267.55</v>
      </c>
      <c r="AA59" s="18" t="n">
        <v>376.63</v>
      </c>
      <c r="AB59" s="19" t="n">
        <v>415.37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금융비용</t>
        </is>
      </c>
      <c r="E60" s="18" t="n">
        <v>401.34</v>
      </c>
      <c r="F60" s="9" t="n"/>
      <c r="G60" s="18" t="n">
        <v>402.52</v>
      </c>
      <c r="H60" s="18" t="n">
        <v>431.75</v>
      </c>
      <c r="I60" s="18" t="n">
        <v>524.3</v>
      </c>
      <c r="J60" s="18" t="n">
        <v>781.8200000000001</v>
      </c>
      <c r="K60" s="37" t="n">
        <v>2140.39</v>
      </c>
      <c r="L60" s="18" t="n">
        <v>790.49</v>
      </c>
      <c r="M60" s="18" t="n">
        <v>880.21</v>
      </c>
      <c r="N60" s="18" t="n">
        <v>981.0700000000001</v>
      </c>
      <c r="O60" s="18" t="n">
        <v>987.87</v>
      </c>
      <c r="P60" s="37" t="n">
        <v>3639.64</v>
      </c>
      <c r="Q60" s="18" t="n">
        <v>940.71</v>
      </c>
      <c r="R60" s="18" t="n">
        <v>883.33</v>
      </c>
      <c r="S60" s="18" t="n">
        <v>860.9400000000001</v>
      </c>
      <c r="T60" s="18" t="n">
        <v>804.7</v>
      </c>
      <c r="U60" s="37" t="n">
        <v>3489.68</v>
      </c>
      <c r="V60" s="18" t="n">
        <v>741.71</v>
      </c>
      <c r="W60" s="18" t="n">
        <v>723.83</v>
      </c>
      <c r="X60" s="18" t="n">
        <v>639.38</v>
      </c>
      <c r="Y60" s="18" t="n">
        <v>631.63</v>
      </c>
      <c r="Z60" s="37" t="n">
        <v>2736.55</v>
      </c>
      <c r="AA60" s="18" t="n">
        <v>635.5</v>
      </c>
      <c r="AB60" s="19" t="n">
        <v>632.58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법인세비용차감전계속사업이익</t>
        </is>
      </c>
      <c r="E61" s="18" t="n">
        <v>-13529.81</v>
      </c>
      <c r="F61" s="9" t="n"/>
      <c r="G61" s="18" t="n">
        <v>5253.04</v>
      </c>
      <c r="H61" s="18" t="n">
        <v>106.86</v>
      </c>
      <c r="I61" s="18" t="n">
        <v>-5240.32</v>
      </c>
      <c r="J61" s="18" t="n">
        <v>1704.36</v>
      </c>
      <c r="K61" s="37" t="n">
        <v>1823.94</v>
      </c>
      <c r="L61" s="18" t="n">
        <v>17805.31</v>
      </c>
      <c r="M61" s="18" t="n">
        <v>70.73</v>
      </c>
      <c r="N61" s="18" t="n">
        <v>-3286.14</v>
      </c>
      <c r="O61" s="18" t="n">
        <v>16254.76</v>
      </c>
      <c r="P61" s="37" t="n">
        <v>30844.66</v>
      </c>
      <c r="Q61" s="18" t="n">
        <v>7625.81</v>
      </c>
      <c r="R61" s="18" t="n">
        <v>5688.82</v>
      </c>
      <c r="S61" s="18" t="n">
        <v>5555.88</v>
      </c>
      <c r="T61" s="18" t="n">
        <v>1623.36</v>
      </c>
      <c r="U61" s="37" t="n">
        <v>20493.87</v>
      </c>
      <c r="V61" s="18" t="n">
        <v>943.39</v>
      </c>
      <c r="W61" s="18" t="n">
        <v>17045.02</v>
      </c>
      <c r="X61" s="18" t="n">
        <v>9782.75</v>
      </c>
      <c r="Y61" s="18" t="n">
        <v>35051.03</v>
      </c>
      <c r="Z61" s="37" t="n">
        <v>62822.19</v>
      </c>
      <c r="AA61" s="18" t="n">
        <v>20053.76</v>
      </c>
      <c r="AB61" s="19" t="n">
        <v>2254.35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법인세비용</t>
        </is>
      </c>
      <c r="E62" s="18" t="n">
        <v>630.54</v>
      </c>
      <c r="F62" s="9" t="n"/>
      <c r="G62" s="18" t="n">
        <v>0</v>
      </c>
      <c r="H62" s="18" t="n">
        <v>700.15</v>
      </c>
      <c r="I62" s="18" t="n">
        <v>0</v>
      </c>
      <c r="J62" s="18" t="n">
        <v>1387.83</v>
      </c>
      <c r="K62" s="37" t="n">
        <v>2087.98</v>
      </c>
      <c r="L62" s="18" t="n">
        <v>0</v>
      </c>
      <c r="M62" s="18" t="n">
        <v>2623.69</v>
      </c>
      <c r="N62" s="18" t="n">
        <v>0</v>
      </c>
      <c r="O62" s="18" t="n">
        <v>3903.61</v>
      </c>
      <c r="P62" s="37" t="n">
        <v>6527.3</v>
      </c>
      <c r="Q62" s="18" t="n">
        <v>-6.77</v>
      </c>
      <c r="R62" s="18" t="n">
        <v>2559.12</v>
      </c>
      <c r="S62" s="18" t="n">
        <v>0</v>
      </c>
      <c r="T62" s="18" t="n">
        <v>2557.15</v>
      </c>
      <c r="U62" s="37" t="n">
        <v>5109.5</v>
      </c>
      <c r="V62" s="18" t="n">
        <v>-31.55</v>
      </c>
      <c r="W62" s="18" t="n">
        <v>2466.61</v>
      </c>
      <c r="X62" s="18" t="n">
        <v>-799.0700000000001</v>
      </c>
      <c r="Y62" s="18" t="n">
        <v>1759.53</v>
      </c>
      <c r="Z62" s="37" t="n">
        <v>3395.52</v>
      </c>
      <c r="AA62" s="18" t="n">
        <v>-2.09</v>
      </c>
      <c r="AB62" s="19" t="n">
        <v>3115.26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당기순이익</t>
        </is>
      </c>
      <c r="E63" s="18" t="n">
        <v>-14160.35</v>
      </c>
      <c r="F63" s="9" t="n"/>
      <c r="G63" s="18" t="n">
        <v>5253.04</v>
      </c>
      <c r="H63" s="18" t="n">
        <v>-593.29</v>
      </c>
      <c r="I63" s="18" t="n">
        <v>-5240.32</v>
      </c>
      <c r="J63" s="18" t="n">
        <v>316.52</v>
      </c>
      <c r="K63" s="37" t="n">
        <v>-264.05</v>
      </c>
      <c r="L63" s="18" t="n">
        <v>17805.31</v>
      </c>
      <c r="M63" s="18" t="n">
        <v>-2552.97</v>
      </c>
      <c r="N63" s="18" t="n">
        <v>-3286.14</v>
      </c>
      <c r="O63" s="18" t="n">
        <v>12351.15</v>
      </c>
      <c r="P63" s="37" t="n">
        <v>24317.35</v>
      </c>
      <c r="Q63" s="18" t="n">
        <v>7632.57</v>
      </c>
      <c r="R63" s="18" t="n">
        <v>3129.7</v>
      </c>
      <c r="S63" s="18" t="n">
        <v>5555.88</v>
      </c>
      <c r="T63" s="18" t="n">
        <v>-933.79</v>
      </c>
      <c r="U63" s="37" t="n">
        <v>15384.36</v>
      </c>
      <c r="V63" s="18" t="n">
        <v>974.9400000000001</v>
      </c>
      <c r="W63" s="18" t="n">
        <v>14578.4</v>
      </c>
      <c r="X63" s="18" t="n">
        <v>10581.82</v>
      </c>
      <c r="Y63" s="18" t="n">
        <v>33291.5</v>
      </c>
      <c r="Z63" s="37" t="n">
        <v>59426.66</v>
      </c>
      <c r="AA63" s="18" t="n">
        <v>20055.85</v>
      </c>
      <c r="AB63" s="19" t="n">
        <v>-860.91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총포괄손익</t>
        </is>
      </c>
      <c r="E64" s="18" t="n">
        <v>-14010.18</v>
      </c>
      <c r="F64" s="9" t="n"/>
      <c r="G64" s="18" t="n">
        <v>5188.42</v>
      </c>
      <c r="H64" s="18" t="n">
        <v>-579.0700000000001</v>
      </c>
      <c r="I64" s="18" t="n">
        <v>-5240.32</v>
      </c>
      <c r="J64" s="18" t="n">
        <v>1632.88</v>
      </c>
      <c r="K64" s="37" t="n">
        <v>1001.91</v>
      </c>
      <c r="L64" s="18" t="n">
        <v>17805.31</v>
      </c>
      <c r="M64" s="18" t="n">
        <v>-2552.97</v>
      </c>
      <c r="N64" s="18" t="n">
        <v>-3286.14</v>
      </c>
      <c r="O64" s="18" t="n">
        <v>14449.6</v>
      </c>
      <c r="P64" s="37" t="n">
        <v>26415.8</v>
      </c>
      <c r="Q64" s="18" t="n">
        <v>7632.57</v>
      </c>
      <c r="R64" s="18" t="n">
        <v>3129.61</v>
      </c>
      <c r="S64" s="18" t="n">
        <v>5555.88</v>
      </c>
      <c r="T64" s="18" t="n">
        <v>-1278.79</v>
      </c>
      <c r="U64" s="37" t="n">
        <v>15039.27</v>
      </c>
      <c r="V64" s="18" t="n">
        <v>974.9400000000001</v>
      </c>
      <c r="W64" s="18" t="n">
        <v>14578.4</v>
      </c>
      <c r="X64" s="18" t="n">
        <v>10581.93</v>
      </c>
      <c r="Y64" s="18" t="n">
        <v>61970.18</v>
      </c>
      <c r="Z64" s="37" t="n">
        <v>88105.45</v>
      </c>
      <c r="AA64" s="18" t="n">
        <v>20055.85</v>
      </c>
      <c r="AB64" s="19" t="n">
        <v>-860.91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금융손익</t>
        </is>
      </c>
      <c r="E65" s="18" t="n">
        <v>341.09</v>
      </c>
      <c r="F65" s="9" t="n"/>
      <c r="G65" s="18" t="n">
        <v>381.52</v>
      </c>
      <c r="H65" s="18" t="n">
        <v>425.84</v>
      </c>
      <c r="I65" s="18" t="n">
        <v>394.33</v>
      </c>
      <c r="J65" s="18" t="n">
        <v>-482.97</v>
      </c>
      <c r="K65" s="37" t="n">
        <v>718.72</v>
      </c>
      <c r="L65" s="18" t="n">
        <v>235.91</v>
      </c>
      <c r="M65" s="18" t="n">
        <v>64.05</v>
      </c>
      <c r="N65" s="18" t="n">
        <v>83.19</v>
      </c>
      <c r="O65" s="18" t="n">
        <v>-53.14</v>
      </c>
      <c r="P65" s="37" t="n">
        <v>330.01</v>
      </c>
      <c r="Q65" s="18" t="n">
        <v>193.39</v>
      </c>
      <c r="R65" s="18" t="n">
        <v>190.72</v>
      </c>
      <c r="S65" s="18" t="n">
        <v>280.72</v>
      </c>
      <c r="T65" s="18" t="n">
        <v>201.42</v>
      </c>
      <c r="U65" s="37" t="n">
        <v>866.25</v>
      </c>
      <c r="V65" s="18" t="n">
        <v>-463.25</v>
      </c>
      <c r="W65" s="18" t="n">
        <v>-437.7</v>
      </c>
      <c r="X65" s="18" t="n">
        <v>-336.29</v>
      </c>
      <c r="Y65" s="18" t="n">
        <v>-231.76</v>
      </c>
      <c r="Z65" s="37" t="n">
        <v>-1469</v>
      </c>
      <c r="AA65" s="18" t="n">
        <v>-258.87</v>
      </c>
      <c r="AB65" s="19" t="n">
        <v>-217.21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기타영업외손익</t>
        </is>
      </c>
      <c r="E66" s="18" t="n">
        <v>-15180.65</v>
      </c>
      <c r="F66" s="9" t="n"/>
      <c r="G66" s="18" t="n">
        <v>2695.72</v>
      </c>
      <c r="H66" s="18" t="n">
        <v>-3488.03</v>
      </c>
      <c r="I66" s="18" t="n">
        <v>-7658.07</v>
      </c>
      <c r="J66" s="18" t="n">
        <v>-138.73</v>
      </c>
      <c r="K66" s="37" t="n">
        <v>-8589.110000000001</v>
      </c>
      <c r="L66" s="18" t="n">
        <v>12037.79</v>
      </c>
      <c r="M66" s="18" t="n">
        <v>-549.08</v>
      </c>
      <c r="N66" s="18" t="n">
        <v>35.35</v>
      </c>
      <c r="O66" s="18" t="n">
        <v>7618.26</v>
      </c>
      <c r="P66" s="37" t="n">
        <v>19142.32</v>
      </c>
      <c r="Q66" s="18" t="n">
        <v>27.47</v>
      </c>
      <c r="R66" s="18" t="n">
        <v>-0.3</v>
      </c>
      <c r="S66" s="18" t="n">
        <v>-524.5599999999999</v>
      </c>
      <c r="T66" s="18" t="n">
        <v>-154.74</v>
      </c>
      <c r="U66" s="37" t="n">
        <v>-652.13</v>
      </c>
      <c r="V66" s="18" t="n">
        <v>21.75</v>
      </c>
      <c r="W66" s="18" t="n">
        <v>-16.12</v>
      </c>
      <c r="X66" s="18" t="n">
        <v>47.26</v>
      </c>
      <c r="Y66" s="18" t="n">
        <v>10010.94</v>
      </c>
      <c r="Z66" s="37" t="n">
        <v>10063.83</v>
      </c>
      <c r="AA66" s="18" t="n">
        <v>29.48</v>
      </c>
      <c r="AB66" s="19" t="n">
        <v>-51.17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(지배주주지분)당기순이익</t>
        </is>
      </c>
      <c r="E67" s="18" t="n">
        <v>-14160.35</v>
      </c>
      <c r="F67" s="9" t="n"/>
      <c r="G67" s="18" t="n">
        <v>5253.04</v>
      </c>
      <c r="H67" s="18" t="n">
        <v>-593.29</v>
      </c>
      <c r="I67" s="18" t="n">
        <v>-5240.32</v>
      </c>
      <c r="J67" s="18" t="n">
        <v>316.52</v>
      </c>
      <c r="K67" s="37" t="n">
        <v>-264.05</v>
      </c>
      <c r="L67" s="18" t="n">
        <v>17805.31</v>
      </c>
      <c r="M67" s="18" t="n">
        <v>-2552.97</v>
      </c>
      <c r="N67" s="18" t="n">
        <v>-3286.14</v>
      </c>
      <c r="O67" s="18" t="n">
        <v>12351.15</v>
      </c>
      <c r="P67" s="37" t="n">
        <v>24317.35</v>
      </c>
      <c r="Q67" s="18" t="n">
        <v>7632.57</v>
      </c>
      <c r="R67" s="18" t="n">
        <v>3129.7</v>
      </c>
      <c r="S67" s="18" t="n">
        <v>5555.88</v>
      </c>
      <c r="T67" s="18" t="n">
        <v>-933.79</v>
      </c>
      <c r="U67" s="37" t="n">
        <v>15384.36</v>
      </c>
      <c r="V67" s="18" t="n">
        <v>974.9400000000001</v>
      </c>
      <c r="W67" s="18" t="n">
        <v>14578.4</v>
      </c>
      <c r="X67" s="18" t="n">
        <v>10581.82</v>
      </c>
      <c r="Y67" s="18" t="n">
        <v>33291.5</v>
      </c>
      <c r="Z67" s="37" t="n">
        <v>59426.66</v>
      </c>
      <c r="AA67" s="18" t="n">
        <v>20055.85</v>
      </c>
      <c r="AB67" s="19" t="n">
        <v>-860.91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계속사업이익</t>
        </is>
      </c>
      <c r="E68" s="18" t="n">
        <v>-14160.35</v>
      </c>
      <c r="F68" s="9" t="n"/>
      <c r="G68" s="18" t="n">
        <v>5253.04</v>
      </c>
      <c r="H68" s="18" t="n">
        <v>-593.29</v>
      </c>
      <c r="I68" s="18" t="n">
        <v>-5240.32</v>
      </c>
      <c r="J68" s="18" t="n">
        <v>316.52</v>
      </c>
      <c r="K68" s="37" t="n">
        <v>-264.05</v>
      </c>
      <c r="L68" s="18" t="n">
        <v>17805.31</v>
      </c>
      <c r="M68" s="18" t="n">
        <v>-2552.97</v>
      </c>
      <c r="N68" s="18" t="n">
        <v>-3286.14</v>
      </c>
      <c r="O68" s="18" t="n">
        <v>12351.15</v>
      </c>
      <c r="P68" s="37" t="n">
        <v>24317.35</v>
      </c>
      <c r="Q68" s="18" t="n">
        <v>7632.57</v>
      </c>
      <c r="R68" s="18" t="n">
        <v>3129.7</v>
      </c>
      <c r="S68" s="18" t="n">
        <v>5555.88</v>
      </c>
      <c r="T68" s="18" t="n">
        <v>-933.79</v>
      </c>
      <c r="U68" s="37" t="n">
        <v>15384.36</v>
      </c>
      <c r="V68" s="18" t="n">
        <v>974.9400000000001</v>
      </c>
      <c r="W68" s="18" t="n">
        <v>14578.4</v>
      </c>
      <c r="X68" s="18" t="n">
        <v>10581.82</v>
      </c>
      <c r="Y68" s="18" t="n">
        <v>33291.5</v>
      </c>
      <c r="Z68" s="37" t="n">
        <v>59426.66</v>
      </c>
      <c r="AA68" s="18" t="n">
        <v>20055.85</v>
      </c>
      <c r="AB68" s="19" t="n">
        <v>-860.91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영업활동으로인한현금흐름</t>
        </is>
      </c>
      <c r="E69" s="18" t="n">
        <v>934.4299999999999</v>
      </c>
      <c r="F69" s="9" t="n"/>
      <c r="G69" s="18" t="n">
        <v>-116.73</v>
      </c>
      <c r="H69" s="18" t="n">
        <v>2353.41</v>
      </c>
      <c r="I69" s="18" t="n">
        <v>10945.78</v>
      </c>
      <c r="J69" s="18" t="n">
        <v>-4002.1</v>
      </c>
      <c r="K69" s="37" t="n">
        <v>9180.360000000001</v>
      </c>
      <c r="L69" s="18" t="n">
        <v>2757.68</v>
      </c>
      <c r="M69" s="18" t="n">
        <v>4402.22</v>
      </c>
      <c r="N69" s="18" t="n">
        <v>3783.92</v>
      </c>
      <c r="O69" s="18" t="n">
        <v>2156.64</v>
      </c>
      <c r="P69" s="37" t="n">
        <v>13100.46</v>
      </c>
      <c r="Q69" s="18" t="n">
        <v>6748.41</v>
      </c>
      <c r="R69" s="18" t="n">
        <v>2937.2</v>
      </c>
      <c r="S69" s="18" t="n">
        <v>5315.9</v>
      </c>
      <c r="T69" s="18" t="n">
        <v>2766.27</v>
      </c>
      <c r="U69" s="37" t="n">
        <v>17767.78</v>
      </c>
      <c r="V69" s="18" t="n">
        <v>630.92</v>
      </c>
      <c r="W69" s="18" t="n">
        <v>6208.93</v>
      </c>
      <c r="X69" s="18" t="n">
        <v>3061.5</v>
      </c>
      <c r="Y69" s="18" t="n">
        <v>2214.66</v>
      </c>
      <c r="Z69" s="37" t="n">
        <v>12116.01</v>
      </c>
      <c r="AA69" s="18" t="n">
        <v>2021.01</v>
      </c>
      <c r="AB69" s="19" t="n">
        <v>6582.08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이자수취(CF)</t>
        </is>
      </c>
      <c r="E70" s="18" t="n">
        <v>37.93</v>
      </c>
      <c r="F70" s="9" t="n"/>
      <c r="G70" s="18" t="n">
        <v>25.29</v>
      </c>
      <c r="H70" s="18" t="n">
        <v>10.83</v>
      </c>
      <c r="I70" s="18" t="n">
        <v>120.09</v>
      </c>
      <c r="J70" s="18" t="n">
        <v>128.37</v>
      </c>
      <c r="K70" s="37" t="n">
        <v>284.58</v>
      </c>
      <c r="L70" s="18" t="n">
        <v>213.82</v>
      </c>
      <c r="M70" s="18" t="n">
        <v>103.96</v>
      </c>
      <c r="N70" s="18" t="n">
        <v>244.19</v>
      </c>
      <c r="O70" s="18" t="n">
        <v>223.58</v>
      </c>
      <c r="P70" s="37" t="n">
        <v>785.55</v>
      </c>
      <c r="Q70" s="18" t="n">
        <v>316.99</v>
      </c>
      <c r="R70" s="18" t="n">
        <v>199.91</v>
      </c>
      <c r="S70" s="18" t="n">
        <v>280.49</v>
      </c>
      <c r="T70" s="18" t="n">
        <v>149.78</v>
      </c>
      <c r="U70" s="37" t="n">
        <v>947.17</v>
      </c>
      <c r="V70" s="18" t="n">
        <v>394.32</v>
      </c>
      <c r="W70" s="18" t="n">
        <v>112.04</v>
      </c>
      <c r="X70" s="18" t="n">
        <v>146.77</v>
      </c>
      <c r="Y70" s="18" t="n">
        <v>237.21</v>
      </c>
      <c r="Z70" s="37" t="n">
        <v>890.34</v>
      </c>
      <c r="AA70" s="18" t="n">
        <v>53.64</v>
      </c>
      <c r="AB70" s="19" t="n">
        <v>321.66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이자지급(CF)</t>
        </is>
      </c>
      <c r="E71" s="18" t="n">
        <v>-374.62</v>
      </c>
      <c r="F71" s="9" t="n"/>
      <c r="G71" s="18" t="n">
        <v>-414.2</v>
      </c>
      <c r="H71" s="18" t="n">
        <v>-424.56</v>
      </c>
      <c r="I71" s="18" t="n">
        <v>-496.89</v>
      </c>
      <c r="J71" s="18" t="n">
        <v>-620.58</v>
      </c>
      <c r="K71" s="37" t="n">
        <v>-1956.23</v>
      </c>
      <c r="L71" s="18" t="n">
        <v>-790.6</v>
      </c>
      <c r="M71" s="18" t="n">
        <v>-828.04</v>
      </c>
      <c r="P71" s="9" t="n"/>
      <c r="Q71" s="18" t="n">
        <v>-938.22</v>
      </c>
      <c r="R71" s="18" t="n">
        <v>-914.37</v>
      </c>
      <c r="S71" s="18" t="n">
        <v>-860.63</v>
      </c>
      <c r="T71" s="18" t="n">
        <v>-804.02</v>
      </c>
      <c r="U71" s="37" t="n">
        <v>-3517.24</v>
      </c>
      <c r="V71" s="18" t="n">
        <v>-765.51</v>
      </c>
      <c r="W71" s="18" t="n">
        <v>-676.89</v>
      </c>
      <c r="X71" s="18" t="n">
        <v>-637.52</v>
      </c>
      <c r="Z71" s="9" t="n"/>
      <c r="AB71" s="5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법인세납부(CF)</t>
        </is>
      </c>
      <c r="E72" s="18" t="n">
        <v>0</v>
      </c>
      <c r="F72" s="9" t="n"/>
      <c r="G72" s="18" t="n">
        <v>-345.65</v>
      </c>
      <c r="H72" s="18" t="n">
        <v>-396.44</v>
      </c>
      <c r="I72" s="18" t="n">
        <v>-383.38</v>
      </c>
      <c r="J72" s="18" t="n">
        <v>-24.96</v>
      </c>
      <c r="K72" s="37" t="n">
        <v>-1150.43</v>
      </c>
      <c r="L72" s="18" t="n">
        <v>-616.08</v>
      </c>
      <c r="M72" s="18" t="n">
        <v>-776.65</v>
      </c>
      <c r="N72" s="18" t="n">
        <v>-400.42</v>
      </c>
      <c r="O72" s="18" t="n">
        <v>-519.96</v>
      </c>
      <c r="P72" s="37" t="n">
        <v>-2313.11</v>
      </c>
      <c r="Q72" s="18" t="n">
        <v>0</v>
      </c>
      <c r="R72" s="18" t="n">
        <v>-5075.93</v>
      </c>
      <c r="S72" s="18" t="n">
        <v>-990.33</v>
      </c>
      <c r="T72" s="18" t="n">
        <v>-5523.6</v>
      </c>
      <c r="U72" s="37" t="n">
        <v>-11589.86</v>
      </c>
      <c r="V72" s="18" t="n">
        <v>29.31</v>
      </c>
      <c r="W72" s="18" t="n">
        <v>-284.39</v>
      </c>
      <c r="X72" s="18" t="n">
        <v>305.77</v>
      </c>
      <c r="Y72" s="18" t="n">
        <v>1488.84</v>
      </c>
      <c r="Z72" s="37" t="n">
        <v>1539.53</v>
      </c>
      <c r="AA72" s="18" t="n">
        <v>0</v>
      </c>
      <c r="AB72" s="19" t="n">
        <v>-1038.46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투자활동으로인한현금흐름</t>
        </is>
      </c>
      <c r="E73" s="18" t="n">
        <v>-1604.94</v>
      </c>
      <c r="F73" s="9" t="n"/>
      <c r="G73" s="18" t="n">
        <v>1714.22</v>
      </c>
      <c r="H73" s="18" t="n">
        <v>-226.24</v>
      </c>
      <c r="I73" s="18" t="n">
        <v>-2195.85</v>
      </c>
      <c r="J73" s="18" t="n">
        <v>-355.35</v>
      </c>
      <c r="K73" s="37" t="n">
        <v>-1063.22</v>
      </c>
      <c r="L73" s="18" t="n">
        <v>-2272.14</v>
      </c>
      <c r="M73" s="18" t="n">
        <v>-13772.85</v>
      </c>
      <c r="N73" s="18" t="n">
        <v>897</v>
      </c>
      <c r="O73" s="18" t="n">
        <v>763.0599999999999</v>
      </c>
      <c r="P73" s="37" t="n">
        <v>-14384.93</v>
      </c>
      <c r="Q73" s="18" t="n">
        <v>-2030.03</v>
      </c>
      <c r="R73" s="18" t="n">
        <v>4084.85</v>
      </c>
      <c r="S73" s="18" t="n">
        <v>-10706.57</v>
      </c>
      <c r="T73" s="18" t="n">
        <v>2083.84</v>
      </c>
      <c r="U73" s="37" t="n">
        <v>-6567.91</v>
      </c>
      <c r="V73" s="18" t="n">
        <v>730.63</v>
      </c>
      <c r="W73" s="18" t="n">
        <v>-4463.78</v>
      </c>
      <c r="X73" s="18" t="n">
        <v>-7991.7</v>
      </c>
      <c r="Y73" s="18" t="n">
        <v>8997.65</v>
      </c>
      <c r="Z73" s="37" t="n">
        <v>-2727.2</v>
      </c>
      <c r="AA73" s="18" t="n">
        <v>-10149.69</v>
      </c>
      <c r="AB73" s="19" t="n">
        <v>3476.33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유형자산의증가</t>
        </is>
      </c>
      <c r="E74" s="18" t="n">
        <v>651.08</v>
      </c>
      <c r="F74" s="9" t="n"/>
      <c r="G74" s="18" t="n">
        <v>336.9</v>
      </c>
      <c r="H74" s="18" t="n">
        <v>287.11</v>
      </c>
      <c r="I74" s="18" t="n">
        <v>186.14</v>
      </c>
      <c r="J74" s="18" t="n">
        <v>617.5700000000001</v>
      </c>
      <c r="K74" s="37" t="n">
        <v>1427.72</v>
      </c>
      <c r="N74" s="18" t="n">
        <v>156.49</v>
      </c>
      <c r="O74" s="18" t="n">
        <v>75.88</v>
      </c>
      <c r="P74" s="9" t="n"/>
      <c r="Q74" s="18" t="n">
        <v>30.17</v>
      </c>
      <c r="R74" s="18" t="n">
        <v>26.62</v>
      </c>
      <c r="S74" s="18" t="n">
        <v>59.96</v>
      </c>
      <c r="T74" s="18" t="n">
        <v>22.41</v>
      </c>
      <c r="U74" s="37" t="n">
        <v>139.16</v>
      </c>
      <c r="V74" s="18" t="n">
        <v>17.54</v>
      </c>
      <c r="W74" s="18" t="n">
        <v>7.92</v>
      </c>
      <c r="X74" s="18" t="n">
        <v>82.77</v>
      </c>
      <c r="Y74" s="18" t="n">
        <v>47.83</v>
      </c>
      <c r="Z74" s="37" t="n">
        <v>156.06</v>
      </c>
      <c r="AA74" s="18" t="n">
        <v>100.46</v>
      </c>
      <c r="AB74" s="19" t="n">
        <v>175.6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CAPEX</t>
        </is>
      </c>
      <c r="E75" s="18" t="n">
        <v>651.08</v>
      </c>
      <c r="F75" s="9" t="n"/>
      <c r="G75" s="18" t="n">
        <v>336.9</v>
      </c>
      <c r="H75" s="18" t="n">
        <v>287.11</v>
      </c>
      <c r="I75" s="18" t="n">
        <v>186.14</v>
      </c>
      <c r="J75" s="18" t="n">
        <v>617.5700000000001</v>
      </c>
      <c r="K75" s="37" t="n">
        <v>1427.72</v>
      </c>
      <c r="N75" s="18" t="n">
        <v>156.49</v>
      </c>
      <c r="O75" s="18" t="n">
        <v>100.88</v>
      </c>
      <c r="P75" s="9" t="n"/>
      <c r="Q75" s="18" t="n">
        <v>30.17</v>
      </c>
      <c r="R75" s="18" t="n">
        <v>26.62</v>
      </c>
      <c r="S75" s="18" t="n">
        <v>59.96</v>
      </c>
      <c r="T75" s="18" t="n">
        <v>22.41</v>
      </c>
      <c r="U75" s="37" t="n">
        <v>139.16</v>
      </c>
      <c r="V75" s="18" t="n">
        <v>17.54</v>
      </c>
      <c r="W75" s="18" t="n">
        <v>7.92</v>
      </c>
      <c r="X75" s="18" t="n">
        <v>82.77</v>
      </c>
      <c r="Y75" s="18" t="n">
        <v>47.83</v>
      </c>
      <c r="Z75" s="37" t="n">
        <v>156.06</v>
      </c>
      <c r="AA75" s="18" t="n">
        <v>100.46</v>
      </c>
      <c r="AB75" s="19" t="n">
        <v>175.6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재무활동으로인한현금흐름</t>
        </is>
      </c>
      <c r="E76" s="18" t="n">
        <v>70</v>
      </c>
      <c r="F76" s="9" t="n"/>
      <c r="G76" s="18" t="n">
        <v>1995</v>
      </c>
      <c r="H76" s="18" t="n">
        <v>-3150.17</v>
      </c>
      <c r="I76" s="18" t="n">
        <v>-2793.84</v>
      </c>
      <c r="J76" s="18" t="n">
        <v>-1466.83</v>
      </c>
      <c r="K76" s="37" t="n">
        <v>-5415.84</v>
      </c>
      <c r="L76" s="18" t="n">
        <v>-15</v>
      </c>
      <c r="M76" s="18" t="n">
        <v>7861.53</v>
      </c>
      <c r="N76" s="18" t="n">
        <v>-1844.61</v>
      </c>
      <c r="O76" s="18" t="n">
        <v>-1950.21</v>
      </c>
      <c r="P76" s="37" t="n">
        <v>4051.71</v>
      </c>
      <c r="Q76" s="18" t="n">
        <v>-1197.64</v>
      </c>
      <c r="R76" s="18" t="n">
        <v>-8492.389999999999</v>
      </c>
      <c r="S76" s="18" t="n">
        <v>80</v>
      </c>
      <c r="T76" s="18" t="n">
        <v>-1904.22</v>
      </c>
      <c r="U76" s="37" t="n">
        <v>-11514.25</v>
      </c>
      <c r="V76" s="18" t="n">
        <v>0</v>
      </c>
      <c r="W76" s="18" t="n">
        <v>1279.84</v>
      </c>
      <c r="X76" s="18" t="n">
        <v>-342.87</v>
      </c>
      <c r="Y76" s="18" t="n">
        <v>-380</v>
      </c>
      <c r="Z76" s="37" t="n">
        <v>556.97</v>
      </c>
      <c r="AA76" s="18" t="n">
        <v>0</v>
      </c>
      <c r="AB76" s="19" t="n">
        <v>-12226.09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장기차입금의증가</t>
        </is>
      </c>
      <c r="E77" s="18" t="n">
        <v>6000</v>
      </c>
      <c r="F77" s="9" t="n"/>
      <c r="G77" s="18" t="n">
        <v>14000</v>
      </c>
      <c r="H77" s="18" t="n">
        <v>0</v>
      </c>
      <c r="I77" s="18" t="n">
        <v>0</v>
      </c>
      <c r="J77" s="18" t="n">
        <v>1800</v>
      </c>
      <c r="K77" s="37" t="n">
        <v>15800</v>
      </c>
      <c r="L77" s="18" t="n">
        <v>20000</v>
      </c>
      <c r="N77" s="18" t="n">
        <v>7000</v>
      </c>
      <c r="O77" s="18" t="n">
        <v>0</v>
      </c>
      <c r="P77" s="9" t="n"/>
      <c r="Q77" s="18" t="n">
        <v>0</v>
      </c>
      <c r="R77" s="18" t="n">
        <v>7000</v>
      </c>
      <c r="S77" s="18" t="n">
        <v>2000</v>
      </c>
      <c r="T77" s="18" t="n">
        <v>0</v>
      </c>
      <c r="U77" s="37" t="n">
        <v>9000</v>
      </c>
      <c r="V77" s="18" t="n">
        <v>5000</v>
      </c>
      <c r="X77" s="18" t="n">
        <v>5000</v>
      </c>
      <c r="Z77" s="9" t="n"/>
      <c r="AA77" s="18" t="n">
        <v>0</v>
      </c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단기차입금의증가</t>
        </is>
      </c>
      <c r="E78" s="18" t="n">
        <v>0</v>
      </c>
      <c r="F78" s="9" t="n"/>
      <c r="G78" s="18" t="n">
        <v>17000</v>
      </c>
      <c r="H78" s="18" t="n">
        <v>0</v>
      </c>
      <c r="I78" s="18" t="n">
        <v>0</v>
      </c>
      <c r="J78" s="18" t="n">
        <v>0</v>
      </c>
      <c r="K78" s="37" t="n">
        <v>17000</v>
      </c>
      <c r="L78" s="18" t="n">
        <v>5000</v>
      </c>
      <c r="M78" s="18" t="n">
        <v>57000</v>
      </c>
      <c r="N78" s="18" t="n">
        <v>0</v>
      </c>
      <c r="O78" s="18" t="n">
        <v>0</v>
      </c>
      <c r="P78" s="37" t="n">
        <v>62000</v>
      </c>
      <c r="Q78" s="18" t="n">
        <v>15000</v>
      </c>
      <c r="R78" s="18" t="n">
        <v>25000</v>
      </c>
      <c r="S78" s="18" t="n">
        <v>9000</v>
      </c>
      <c r="T78" s="18" t="n">
        <v>18420</v>
      </c>
      <c r="U78" s="37" t="n">
        <v>67420</v>
      </c>
      <c r="V78" s="18" t="n">
        <v>16000</v>
      </c>
      <c r="W78" s="18" t="n">
        <v>25000</v>
      </c>
      <c r="X78" s="18" t="n">
        <v>0</v>
      </c>
      <c r="Y78" s="18" t="n">
        <v>27040</v>
      </c>
      <c r="Z78" s="37" t="n">
        <v>68040</v>
      </c>
      <c r="AA78" s="18" t="n">
        <v>12000</v>
      </c>
      <c r="AB78" s="19" t="n">
        <v>15000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단기차입금의감소</t>
        </is>
      </c>
      <c r="E79" s="18" t="n">
        <v>0</v>
      </c>
      <c r="F79" s="9" t="n"/>
      <c r="G79" s="18" t="n">
        <v>24000</v>
      </c>
      <c r="H79" s="18" t="n">
        <v>0</v>
      </c>
      <c r="I79" s="18" t="n">
        <v>0</v>
      </c>
      <c r="J79" s="18" t="n">
        <v>0</v>
      </c>
      <c r="K79" s="37" t="n">
        <v>24000</v>
      </c>
      <c r="L79" s="18" t="n">
        <v>20000</v>
      </c>
      <c r="M79" s="18" t="n">
        <v>30000</v>
      </c>
      <c r="N79" s="18" t="n">
        <v>0</v>
      </c>
      <c r="O79" s="18" t="n">
        <v>0</v>
      </c>
      <c r="P79" s="37" t="n">
        <v>50000</v>
      </c>
      <c r="Q79" s="18" t="n">
        <v>15000</v>
      </c>
      <c r="R79" s="18" t="n">
        <v>27000</v>
      </c>
      <c r="S79" s="18" t="n">
        <v>11000</v>
      </c>
      <c r="T79" s="18" t="n">
        <v>0</v>
      </c>
      <c r="U79" s="37" t="n">
        <v>53000</v>
      </c>
      <c r="V79" s="18" t="n">
        <v>15000</v>
      </c>
      <c r="W79" s="18" t="n">
        <v>25000</v>
      </c>
      <c r="X79" s="18" t="n">
        <v>0</v>
      </c>
      <c r="Y79" s="18" t="n">
        <v>27420</v>
      </c>
      <c r="Z79" s="37" t="n">
        <v>67420</v>
      </c>
      <c r="AA79" s="18" t="n">
        <v>11000</v>
      </c>
      <c r="AB79" s="19" t="n">
        <v>15000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유동성장기부채의감소</t>
        </is>
      </c>
      <c r="E80" s="18" t="n">
        <v>6000</v>
      </c>
      <c r="F80" s="9" t="n"/>
      <c r="G80" s="18" t="n">
        <v>5000</v>
      </c>
      <c r="H80" s="18" t="n">
        <v>0</v>
      </c>
      <c r="I80" s="18" t="n">
        <v>0</v>
      </c>
      <c r="J80" s="18" t="n">
        <v>0</v>
      </c>
      <c r="K80" s="37" t="n">
        <v>5000</v>
      </c>
      <c r="L80" s="18" t="n">
        <v>5000</v>
      </c>
      <c r="N80" s="18" t="n">
        <v>5000</v>
      </c>
      <c r="O80" s="18" t="n">
        <v>0</v>
      </c>
      <c r="P80" s="9" t="n"/>
      <c r="Q80" s="18" t="n">
        <v>0</v>
      </c>
      <c r="R80" s="18" t="n">
        <v>5000</v>
      </c>
      <c r="S80" s="18" t="n">
        <v>0</v>
      </c>
      <c r="T80" s="18" t="n">
        <v>18800</v>
      </c>
      <c r="U80" s="37" t="n">
        <v>23800</v>
      </c>
      <c r="V80" s="18" t="n">
        <v>5000</v>
      </c>
      <c r="X80" s="18" t="n">
        <v>5000</v>
      </c>
      <c r="Z80" s="9" t="n"/>
      <c r="AA80" s="18" t="n">
        <v>0</v>
      </c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배당금지급</t>
        </is>
      </c>
      <c r="E81" s="18" t="n">
        <v>0</v>
      </c>
      <c r="F81" s="9" t="n"/>
      <c r="I81" s="18" t="n">
        <v>0</v>
      </c>
      <c r="J81" s="18" t="n">
        <v>0</v>
      </c>
      <c r="K81" s="9" t="n"/>
      <c r="N81" s="18" t="n">
        <v>0</v>
      </c>
      <c r="O81" s="18" t="n">
        <v>0</v>
      </c>
      <c r="P81" s="9" t="n"/>
      <c r="S81" s="18" t="n">
        <v>0</v>
      </c>
      <c r="T81" s="18" t="n">
        <v>0</v>
      </c>
      <c r="U81" s="9" t="n"/>
      <c r="X81" s="18" t="n">
        <v>0</v>
      </c>
      <c r="Y81" s="18" t="n">
        <v>0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현금및현금성자산의증감</t>
        </is>
      </c>
      <c r="E82" s="18" t="n">
        <v>-1213.15</v>
      </c>
      <c r="F82" s="9" t="n"/>
      <c r="G82" s="18" t="n">
        <v>7185.14</v>
      </c>
      <c r="H82" s="18" t="n">
        <v>-2046.18</v>
      </c>
      <c r="I82" s="18" t="n">
        <v>11912.22</v>
      </c>
      <c r="J82" s="18" t="n">
        <v>-11707.92</v>
      </c>
      <c r="K82" s="37" t="n">
        <v>5343.26</v>
      </c>
      <c r="L82" s="18" t="n">
        <v>941.08</v>
      </c>
      <c r="M82" s="18" t="n">
        <v>-3018.18</v>
      </c>
      <c r="N82" s="18" t="n">
        <v>5672.6</v>
      </c>
      <c r="O82" s="18" t="n">
        <v>1938.98</v>
      </c>
      <c r="P82" s="37" t="n">
        <v>5534.48</v>
      </c>
      <c r="Q82" s="18" t="n">
        <v>7041.48</v>
      </c>
      <c r="R82" s="18" t="n">
        <v>-2940.68</v>
      </c>
      <c r="S82" s="18" t="n">
        <v>-10621.34</v>
      </c>
      <c r="T82" s="18" t="n">
        <v>5891.8</v>
      </c>
      <c r="U82" s="37" t="n">
        <v>-628.74</v>
      </c>
      <c r="V82" s="18" t="n">
        <v>2723.1</v>
      </c>
      <c r="W82" s="18" t="n">
        <v>6049.98</v>
      </c>
      <c r="X82" s="18" t="n">
        <v>-10546.14</v>
      </c>
      <c r="Y82" s="18" t="n">
        <v>11718.84</v>
      </c>
      <c r="Z82" s="37" t="n">
        <v>9945.780000000001</v>
      </c>
      <c r="AA82" s="18" t="n">
        <v>-8128.68</v>
      </c>
      <c r="AB82" s="19" t="n">
        <v>-2167.68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기말현금및현금성자산</t>
        </is>
      </c>
      <c r="E83" s="18" t="n">
        <v>-612.65</v>
      </c>
      <c r="F83" s="9" t="n"/>
      <c r="G83" s="18" t="n">
        <v>6629.28</v>
      </c>
      <c r="H83" s="18" t="n">
        <v>-1023.18</v>
      </c>
      <c r="I83" s="18" t="n">
        <v>5956.11</v>
      </c>
      <c r="J83" s="18" t="n">
        <v>-5883.63</v>
      </c>
      <c r="K83" s="37" t="n">
        <v>5678.58</v>
      </c>
      <c r="L83" s="18" t="n">
        <v>6149.12</v>
      </c>
      <c r="M83" s="18" t="n">
        <v>-1509.09</v>
      </c>
      <c r="N83" s="18" t="n">
        <v>2836.3</v>
      </c>
      <c r="O83" s="18" t="n">
        <v>969.49</v>
      </c>
      <c r="P83" s="37" t="n">
        <v>8445.82</v>
      </c>
      <c r="Q83" s="18" t="n">
        <v>11966.55</v>
      </c>
      <c r="R83" s="18" t="n">
        <v>-1470.34</v>
      </c>
      <c r="S83" s="18" t="n">
        <v>-5310.67</v>
      </c>
      <c r="T83" s="18" t="n">
        <v>2945.9</v>
      </c>
      <c r="U83" s="37" t="n">
        <v>8131.44</v>
      </c>
      <c r="V83" s="18" t="n">
        <v>9493</v>
      </c>
      <c r="W83" s="18" t="n">
        <v>3024.98</v>
      </c>
      <c r="X83" s="18" t="n">
        <v>-5273.07</v>
      </c>
      <c r="Y83" s="18" t="n">
        <v>10832.31</v>
      </c>
      <c r="Z83" s="37" t="n">
        <v>18077.22</v>
      </c>
      <c r="AA83" s="18" t="n">
        <v>9948.549999999999</v>
      </c>
      <c r="AB83" s="19" t="n">
        <v>-2167.69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자기주식의취득</t>
        </is>
      </c>
      <c r="F84" s="9" t="n"/>
      <c r="J84" s="18" t="n">
        <v>3219.58</v>
      </c>
      <c r="K84" s="9" t="n"/>
      <c r="P84" s="9" t="n"/>
      <c r="Q84" s="18" t="n">
        <v>1187.64</v>
      </c>
      <c r="R84" s="18" t="n">
        <v>0</v>
      </c>
      <c r="S84" s="18" t="n">
        <v>0</v>
      </c>
      <c r="T84" s="18" t="n">
        <v>1524.22</v>
      </c>
      <c r="U84" s="37" t="n">
        <v>2711.86</v>
      </c>
      <c r="V84" s="18" t="n">
        <v>0</v>
      </c>
      <c r="W84" s="18" t="n">
        <v>0</v>
      </c>
      <c r="X84" s="18" t="n">
        <v>0</v>
      </c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배당금수취(CF)</t>
        </is>
      </c>
      <c r="F85" s="9" t="n"/>
      <c r="K85" s="9" t="n"/>
      <c r="L85" s="18" t="n">
        <v>0</v>
      </c>
      <c r="M85" s="18" t="n">
        <v>75.22</v>
      </c>
      <c r="N85" s="18" t="n">
        <v>39.07</v>
      </c>
      <c r="O85" s="18" t="n">
        <v>0</v>
      </c>
      <c r="P85" s="37" t="n">
        <v>114.29</v>
      </c>
      <c r="Q85" s="18" t="n">
        <v>39.2</v>
      </c>
      <c r="R85" s="18" t="n">
        <v>0</v>
      </c>
      <c r="S85" s="18" t="n">
        <v>26.56</v>
      </c>
      <c r="T85" s="18" t="n">
        <v>0</v>
      </c>
      <c r="U85" s="37" t="n">
        <v>65.76000000000001</v>
      </c>
      <c r="V85" s="18" t="n">
        <v>2.6</v>
      </c>
      <c r="W85" s="18" t="n">
        <v>98.11</v>
      </c>
      <c r="X85" s="18" t="n">
        <v>0</v>
      </c>
      <c r="Y85" s="18" t="n">
        <v>109.13</v>
      </c>
      <c r="Z85" s="37" t="n">
        <v>209.84</v>
      </c>
      <c r="AA85" s="18" t="n">
        <v>56.1</v>
      </c>
      <c r="AB85" s="19" t="n">
        <v>29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유형자산의감소</t>
        </is>
      </c>
      <c r="F86" s="9" t="n"/>
      <c r="K86" s="9" t="n"/>
      <c r="N86" s="18" t="n">
        <v>0</v>
      </c>
      <c r="O86" s="18" t="n">
        <v>0</v>
      </c>
      <c r="P86" s="9" t="n"/>
      <c r="Q86" s="18" t="n">
        <v>0</v>
      </c>
      <c r="R86" s="18" t="n">
        <v>0</v>
      </c>
      <c r="S86" s="18" t="n">
        <v>0</v>
      </c>
      <c r="T86" s="18" t="n">
        <v>0</v>
      </c>
      <c r="U86" s="37" t="n">
        <v>0</v>
      </c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장기차입금의감소</t>
        </is>
      </c>
      <c r="F87" s="9" t="n"/>
      <c r="K87" s="9" t="n"/>
      <c r="P87" s="9" t="n"/>
      <c r="U87" s="9" t="n"/>
      <c r="V87" s="18" t="n">
        <v>1000</v>
      </c>
      <c r="W87" s="18" t="n">
        <v>0</v>
      </c>
      <c r="X87" s="18" t="n">
        <v>0</v>
      </c>
      <c r="Y87" s="18" t="n">
        <v>0</v>
      </c>
      <c r="Z87" s="37" t="n">
        <v>1000</v>
      </c>
      <c r="AA87" s="18" t="n">
        <v>1000</v>
      </c>
      <c r="AB87" s="19" t="n">
        <v>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 t="n"/>
      <c r="AB12" s="19">
        <f>IFERROR(VLOOKUP($D12,BS연결,MATCH(AB$1,BS연결H,0),0)/100,"")</f>
        <v/>
      </c>
      <c r="AC12" s="20">
        <f>IFERROR((AB24*변수!$D$50-AB22*변수!$D$51)/4,"")</f>
        <v/>
      </c>
      <c r="AD12" s="20">
        <f>IFERROR((AC24*변수!$D$50-AC22*변수!$D$51)/4,"")</f>
        <v/>
      </c>
      <c r="AE12" s="38">
        <f>SUM(AA12:AD12)</f>
        <v/>
      </c>
      <c r="AF12" s="20">
        <f>IFERROR((AD24*변수!$D$50-AD22*변수!$D$51)/4,"")</f>
        <v/>
      </c>
      <c r="AG12" s="20">
        <f>IFERROR((AF24*변수!$D$50-AF22*변수!$D$51)/4,"")</f>
        <v/>
      </c>
      <c r="AH12" s="20">
        <f>IFERROR((AG24*변수!$D$50-AG22*변수!$D$51)/4,"")</f>
        <v/>
      </c>
      <c r="AI12" s="20">
        <f>IFERROR((AH24*변수!$D$50-AH22*변수!$D$51)/4,"")</f>
        <v/>
      </c>
      <c r="AJ12" s="38">
        <f>SUM(AF12:AI12)</f>
        <v/>
      </c>
      <c r="AK12" s="20">
        <f>IFERROR((AI24*변수!$D$50-AI22*변수!$D$51)/4,"")</f>
        <v/>
      </c>
      <c r="AL12" s="20">
        <f>IFERROR((AK24*변수!$D$50-AK22*변수!$D$51)/4,"")</f>
        <v/>
      </c>
      <c r="AM12" s="20">
        <f>IFERROR((AL24*변수!$D$50-AL22*변수!$D$51)/4,"")</f>
        <v/>
      </c>
      <c r="AN12" s="20">
        <f>IFERROR((AM24*변수!$D$50-AM22*변수!$D$51)/4,"")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IFERROR(VLOOKUP($D13,BS연결,MATCH(E$1,BS연결H,0),0)/100,"")</f>
        <v/>
      </c>
      <c r="F13" s="37" t="n"/>
      <c r="G13" s="18">
        <f>IFERROR(VLOOKUP($D13,BS연결,MATCH(G$1,BS연결H,0),0)/100,"")</f>
        <v/>
      </c>
      <c r="H13" s="18">
        <f>IFERROR(VLOOKUP($D13,BS연결,MATCH(H$1,BS연결H,0),0)/100,"")</f>
        <v/>
      </c>
      <c r="I13" s="18">
        <f>IFERROR(VLOOKUP($D13,BS연결,MATCH(I$1,BS연결H,0),0)/100,"")</f>
        <v/>
      </c>
      <c r="J13" s="18">
        <f>IFERROR(VLOOKUP($D13,BS연결,MATCH(J$1,BS연결H,0),0)/100,"")</f>
        <v/>
      </c>
      <c r="K13" s="37">
        <f>IFERROR(VLOOKUP($D13,BS연결,MATCH(K$1,BS연결H,0),0)/100,"")</f>
        <v/>
      </c>
      <c r="L13" s="18">
        <f>IFERROR(VLOOKUP($D13,BS연결,MATCH(L$1,BS연결H,0),0)/100,"")</f>
        <v/>
      </c>
      <c r="M13" s="18">
        <f>IFERROR(VLOOKUP($D13,BS연결,MATCH(M$1,BS연결H,0),0)/100,"")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37">
        <f>IFERROR(VLOOKUP($D13,BS연결,MATCH(P$1,BS연결H,0),0)/100,"")</f>
        <v/>
      </c>
      <c r="Q13" s="18">
        <f>IFERROR(VLOOKUP($D13,BS연결,MATCH(Q$1,BS연결H,0),0)/100,"")</f>
        <v/>
      </c>
      <c r="R13" s="18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37">
        <f>IFERROR(VLOOKUP($D13,BS연결,MATCH(U$1,BS연결H,0),0)/100,"")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IFERROR(VLOOKUP($D13,BS연결,MATCH(Z$1,BS연결H,0),0)/100,"")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세전이익</t>
        </is>
      </c>
      <c r="B14" t="inlineStr">
        <is>
          <t>손익</t>
        </is>
      </c>
      <c r="C14" t="inlineStr">
        <is>
          <t>억원</t>
        </is>
      </c>
      <c r="D14" t="inlineStr">
        <is>
          <t>법인세비용차감전계속사업이익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IFERROR(AC9+AC11+AC13,"")</f>
        <v/>
      </c>
      <c r="AD14" s="20">
        <f>IFERROR(AD9+AD11+AD13,"")</f>
        <v/>
      </c>
      <c r="AE14" s="38">
        <f>SUM(AA14:AD14)</f>
        <v/>
      </c>
      <c r="AF14" s="20">
        <f>IFERROR(AF9+AF11+AF13,"")</f>
        <v/>
      </c>
      <c r="AG14" s="20">
        <f>IFERROR(AG9+AG11+AG13,"")</f>
        <v/>
      </c>
      <c r="AH14" s="20">
        <f>IFERROR(AH9+AH11+AH13,"")</f>
        <v/>
      </c>
      <c r="AI14" s="20">
        <f>IFERROR(AI9+AI11+AI13,"")</f>
        <v/>
      </c>
      <c r="AJ14" s="38">
        <f>SUM(AF14:AI14)</f>
        <v/>
      </c>
      <c r="AK14" s="20">
        <f>IFERROR(AK9+AK11+AK13,"")</f>
        <v/>
      </c>
      <c r="AL14" s="20">
        <f>IFERROR(AL9+AL11+AL13,"")</f>
        <v/>
      </c>
      <c r="AM14" s="20">
        <f>IFERROR(AM9+AM11+AM13,"")</f>
        <v/>
      </c>
      <c r="AN14" s="20">
        <f>IFERROR(AN9+AN11+AN13,"")</f>
        <v/>
      </c>
      <c r="AO14" s="38">
        <f>SUM(AK14:AN14)</f>
        <v/>
      </c>
    </row>
    <row r="15">
      <c r="A15" s="12" t="inlineStr">
        <is>
          <t>법인세비용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IFERROR(MAX(AC14,0)*변수!AC25,"")</f>
        <v/>
      </c>
      <c r="AD15" s="20">
        <f>IFERROR(MAX(AD14,0)*변수!AD25,"")</f>
        <v/>
      </c>
      <c r="AE15" s="38">
        <f>SUM(AA15:AD15)</f>
        <v/>
      </c>
      <c r="AF15" s="20">
        <f>IFERROR(MAX(AF14,0)*변수!AF25,"")</f>
        <v/>
      </c>
      <c r="AG15" s="20">
        <f>IFERROR(MAX(AG14,0)*변수!AG25,"")</f>
        <v/>
      </c>
      <c r="AH15" s="20">
        <f>IFERROR(MAX(AH14,0)*변수!AH25,"")</f>
        <v/>
      </c>
      <c r="AI15" s="20">
        <f>IFERROR(MAX(AI14,0)*변수!AI25,"")</f>
        <v/>
      </c>
      <c r="AJ15" s="38">
        <f>SUM(AF15:AI15)</f>
        <v/>
      </c>
      <c r="AK15" s="20">
        <f>IFERROR(MAX(AK14,0)*변수!AK25,"")</f>
        <v/>
      </c>
      <c r="AL15" s="20">
        <f>IFERROR(MAX(AL14,0)*변수!AL25,"")</f>
        <v/>
      </c>
      <c r="AM15" s="20">
        <f>IFERROR(MAX(AM14,0)*변수!AM25,"")</f>
        <v/>
      </c>
      <c r="AN15" s="20">
        <f>IFERROR(MAX(AN14,0)*변수!AN25,"")</f>
        <v/>
      </c>
      <c r="AO15" s="38">
        <f>SUM(AK15:AN15)</f>
        <v/>
      </c>
    </row>
    <row r="16">
      <c r="A16" s="12" t="inlineStr">
        <is>
          <t>당기순이익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당기순이익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SUM(L16:O16)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IFERROR(AC14-AC15,"")</f>
        <v/>
      </c>
      <c r="AD16" s="20">
        <f>IFERROR(AD14-AD15,"")</f>
        <v/>
      </c>
      <c r="AE16" s="38">
        <f>SUM(AA16:AD16)</f>
        <v/>
      </c>
      <c r="AF16" s="20">
        <f>IFERROR(AF14-AF15,"")</f>
        <v/>
      </c>
      <c r="AG16" s="20">
        <f>IFERROR(AG14-AG15,"")</f>
        <v/>
      </c>
      <c r="AH16" s="20">
        <f>IFERROR(AH14-AH15,"")</f>
        <v/>
      </c>
      <c r="AI16" s="20">
        <f>IFERROR(AI14-AI15,"")</f>
        <v/>
      </c>
      <c r="AJ16" s="38">
        <f>SUM(AF16:AI16)</f>
        <v/>
      </c>
      <c r="AK16" s="20">
        <f>IFERROR(AK14-AK15,"")</f>
        <v/>
      </c>
      <c r="AL16" s="20">
        <f>IFERROR(AL14-AL15,"")</f>
        <v/>
      </c>
      <c r="AM16" s="20">
        <f>IFERROR(AM14-AM15,"")</f>
        <v/>
      </c>
      <c r="AN16" s="20">
        <f>IFERROR(AN14-AN15,"")</f>
        <v/>
      </c>
      <c r="AO16" s="38">
        <f>SUM(AK16:AN16)</f>
        <v/>
      </c>
    </row>
    <row r="17">
      <c r="A17" s="12" t="inlineStr">
        <is>
          <t>지배주주순이익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(지배주주지분)당기순이익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SUM(V17:Y17)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IFERROR(AC16*변수!AC26,"")</f>
        <v/>
      </c>
      <c r="AD17" s="20">
        <f>IFERROR(AD16*변수!AD26,"")</f>
        <v/>
      </c>
      <c r="AE17" s="38">
        <f>SUM(AA17:AD17)</f>
        <v/>
      </c>
      <c r="AF17" s="20">
        <f>IFERROR(AF16*변수!AF26,"")</f>
        <v/>
      </c>
      <c r="AG17" s="20">
        <f>IFERROR(AG16*변수!AG26,"")</f>
        <v/>
      </c>
      <c r="AH17" s="20">
        <f>IFERROR(AH16*변수!AH26,"")</f>
        <v/>
      </c>
      <c r="AI17" s="20">
        <f>IFERROR(AI16*변수!AI26,"")</f>
        <v/>
      </c>
      <c r="AJ17" s="38">
        <f>SUM(AF17:AI17)</f>
        <v/>
      </c>
      <c r="AK17" s="20">
        <f>IFERROR(AK16*변수!AK26,"")</f>
        <v/>
      </c>
      <c r="AL17" s="20">
        <f>IFERROR(AL16*변수!AL26,"")</f>
        <v/>
      </c>
      <c r="AM17" s="20">
        <f>IFERROR(AM16*변수!AM26,"")</f>
        <v/>
      </c>
      <c r="AN17" s="20">
        <f>IFERROR(AN16*변수!AN26,"")</f>
        <v/>
      </c>
      <c r="AO17" s="38">
        <f>SUM(AK17:AN17)</f>
        <v/>
      </c>
    </row>
    <row r="18">
      <c r="A18" s="12" t="inlineStr">
        <is>
          <t>자산총계</t>
        </is>
      </c>
      <c r="B18" t="inlineStr">
        <is>
          <t>재무상태</t>
        </is>
      </c>
      <c r="C18" t="inlineStr">
        <is>
          <t>억원</t>
        </is>
      </c>
      <c r="D18" t="inlineStr">
        <is>
          <t>자산총계</t>
        </is>
      </c>
      <c r="E18" s="18">
        <f>IFERROR(VLOOKUP($D18,BS연결,MATCH(E$1,BS연결H,0),0)/100,"")</f>
        <v/>
      </c>
      <c r="F18" s="37">
        <f>IFERROR(VLOOKUP($D18,BS연결,MATCH(F$1,BS연결H,0),0)/100,"")</f>
        <v/>
      </c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IFERROR(AC19+AC20,"")</f>
        <v/>
      </c>
      <c r="AD18" s="20">
        <f>IFERROR(AD19+AD20,"")</f>
        <v/>
      </c>
      <c r="AE18" s="38">
        <f>AD18</f>
        <v/>
      </c>
      <c r="AF18" s="20">
        <f>IFERROR(AF19+AF20,"")</f>
        <v/>
      </c>
      <c r="AG18" s="20">
        <f>IFERROR(AG19+AG20,"")</f>
        <v/>
      </c>
      <c r="AH18" s="20">
        <f>IFERROR(AH19+AH20,"")</f>
        <v/>
      </c>
      <c r="AI18" s="20">
        <f>IFERROR(AI19+AI20,"")</f>
        <v/>
      </c>
      <c r="AJ18" s="38">
        <f>AI18</f>
        <v/>
      </c>
      <c r="AK18" s="20">
        <f>IFERROR(AK19+AK20,"")</f>
        <v/>
      </c>
      <c r="AL18" s="20">
        <f>IFERROR(AL19+AL20,"")</f>
        <v/>
      </c>
      <c r="AM18" s="20">
        <f>IFERROR(AM19+AM20,"")</f>
        <v/>
      </c>
      <c r="AN18" s="20">
        <f>IFERROR(AN19+AN20,"")</f>
        <v/>
      </c>
      <c r="AO18" s="38">
        <f>AN18</f>
        <v/>
      </c>
    </row>
    <row r="19">
      <c r="A19" s="12" t="inlineStr">
        <is>
          <t>부채총계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부채총계</t>
        </is>
      </c>
      <c r="E19" s="18">
        <f>IFERROR(VLOOKUP($D19,BS연결,MATCH(E$1,BS연결H,0),0)/100,"")</f>
        <v/>
      </c>
      <c r="F19" s="37">
        <f>IFERROR(VLOOKUP($D19,BS연결,MATCH(F$1,BS연결H,0),0)/100,"")</f>
        <v/>
      </c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IFERROR(AB19*(1+변수!AC27),"")</f>
        <v/>
      </c>
      <c r="AD19" s="20">
        <f>IFERROR(AC19*(1+변수!AD27),"")</f>
        <v/>
      </c>
      <c r="AE19" s="38">
        <f>AD19</f>
        <v/>
      </c>
      <c r="AF19" s="20">
        <f>IFERROR(AD19*(1+변수!AF27),"")</f>
        <v/>
      </c>
      <c r="AG19" s="20">
        <f>IFERROR(AF19*(1+변수!AG27),"")</f>
        <v/>
      </c>
      <c r="AH19" s="20">
        <f>IFERROR(AG19*(1+변수!AH27),"")</f>
        <v/>
      </c>
      <c r="AI19" s="20">
        <f>IFERROR(AH19*(1+변수!AI27),"")</f>
        <v/>
      </c>
      <c r="AJ19" s="38">
        <f>AI19</f>
        <v/>
      </c>
      <c r="AK19" s="20">
        <f>IFERROR(AI19*(1+변수!AK27),"")</f>
        <v/>
      </c>
      <c r="AL19" s="20">
        <f>IFERROR(AK19*(1+변수!AL27),"")</f>
        <v/>
      </c>
      <c r="AM19" s="20">
        <f>IFERROR(AL19*(1+변수!AM27),"")</f>
        <v/>
      </c>
      <c r="AN19" s="20">
        <f>IFERROR(AM19*(1+변수!AN27),"")</f>
        <v/>
      </c>
      <c r="AO19" s="38">
        <f>AN19</f>
        <v/>
      </c>
    </row>
    <row r="20">
      <c r="A20" s="12" t="inlineStr">
        <is>
          <t>자본총계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자본총계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IFERROR(AB20+AC16-변수!AC28,"")</f>
        <v/>
      </c>
      <c r="AD20" s="20">
        <f>IFERROR(AC20+AD16-변수!AD28,"")</f>
        <v/>
      </c>
      <c r="AE20" s="38">
        <f>AD20</f>
        <v/>
      </c>
      <c r="AF20" s="20">
        <f>IFERROR(AD20+AF16-변수!AF28,"")</f>
        <v/>
      </c>
      <c r="AG20" s="20">
        <f>IFERROR(AF20+AG16-변수!AG28,"")</f>
        <v/>
      </c>
      <c r="AH20" s="20">
        <f>IFERROR(AG20+AH16-변수!AH28,"")</f>
        <v/>
      </c>
      <c r="AI20" s="20">
        <f>IFERROR(AH20+AI16-변수!AI28,"")</f>
        <v/>
      </c>
      <c r="AJ20" s="38">
        <f>AI20</f>
        <v/>
      </c>
      <c r="AK20" s="20">
        <f>IFERROR(AI20+AK16-변수!AK28,"")</f>
        <v/>
      </c>
      <c r="AL20" s="20">
        <f>IFERROR(AK20+AL16-변수!AL28,"")</f>
        <v/>
      </c>
      <c r="AM20" s="20">
        <f>IFERROR(AL20+AM16-변수!AM28,"")</f>
        <v/>
      </c>
      <c r="AN20" s="20">
        <f>IFERROR(AM20+AN16-변수!AN28,"")</f>
        <v/>
      </c>
      <c r="AO20" s="38">
        <f>AN20</f>
        <v/>
      </c>
    </row>
    <row r="21">
      <c r="A21" s="12" t="inlineStr">
        <is>
          <t>지배주주지분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지배주주지분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총차입금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총차입금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순차입금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순차입금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이자발생자산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이자발생자산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현금및현금성자산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현금및현금성자산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 t="n"/>
      <c r="AD25" s="20" t="n"/>
      <c r="AE25" s="38">
        <f>AD25</f>
        <v/>
      </c>
      <c r="AF25" s="20" t="n"/>
      <c r="AG25" s="20" t="n"/>
      <c r="AH25" s="20" t="n"/>
      <c r="AI25" s="20" t="n"/>
      <c r="AJ25" s="38">
        <f>AI25</f>
        <v/>
      </c>
      <c r="AK25" s="20" t="n"/>
      <c r="AL25" s="20" t="n"/>
      <c r="AM25" s="20" t="n"/>
      <c r="AN25" s="20" t="n"/>
      <c r="AO25" s="38">
        <f>AN25</f>
        <v/>
      </c>
    </row>
    <row r="26">
      <c r="A26" s="12" t="inlineStr">
        <is>
          <t>CAPEX</t>
        </is>
      </c>
      <c r="B26" t="inlineStr">
        <is>
          <t>현금흐름</t>
        </is>
      </c>
      <c r="C26" t="inlineStr">
        <is>
          <t>억원</t>
        </is>
      </c>
      <c r="D26" t="inlineStr">
        <is>
          <t>CAPEX</t>
        </is>
      </c>
      <c r="E26" s="18">
        <f>IFERROR(VLOOKUP($D26,BS연결,MATCH(E$1,BS연결H,0),0)/100,"")</f>
        <v/>
      </c>
      <c r="F26" s="37" t="n"/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IFERROR(X26*(1+변수!AC34),"")</f>
        <v/>
      </c>
      <c r="AD26" s="20">
        <f>IFERROR(Y26*(1+변수!AD34),"")</f>
        <v/>
      </c>
      <c r="AE26" s="38">
        <f>SUM(AA26:AD26)</f>
        <v/>
      </c>
      <c r="AF26" s="20">
        <f>IFERROR(AA26*(1+변수!AF34),"")</f>
        <v/>
      </c>
      <c r="AG26" s="20">
        <f>IFERROR(AB26*(1+변수!AG34),"")</f>
        <v/>
      </c>
      <c r="AH26" s="20">
        <f>IFERROR(AC26*(1+변수!AH34),"")</f>
        <v/>
      </c>
      <c r="AI26" s="20">
        <f>IFERROR(AD26*(1+변수!AI34),"")</f>
        <v/>
      </c>
      <c r="AJ26" s="38">
        <f>SUM(AF26:AI26)</f>
        <v/>
      </c>
      <c r="AK26" s="20">
        <f>IFERROR(AF26*(1+변수!AK34),"")</f>
        <v/>
      </c>
      <c r="AL26" s="20">
        <f>IFERROR(AG26*(1+변수!AL34),"")</f>
        <v/>
      </c>
      <c r="AM26" s="20">
        <f>IFERROR(AH26*(1+변수!AM34),"")</f>
        <v/>
      </c>
      <c r="AN26" s="20">
        <f>IFERROR(AI26*(1+변수!AN34),"")</f>
        <v/>
      </c>
      <c r="AO26" s="38">
        <f>SUM(AK26:AN26)</f>
        <v/>
      </c>
    </row>
    <row r="27">
      <c r="A27" s="12" t="inlineStr">
        <is>
          <t>영업활동현금흐름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영업활동으로인한현금흐름</t>
        </is>
      </c>
      <c r="E27" s="18">
        <f>IFERROR(VLOOKUP($D27,BS연결,MATCH(E$1,BS연결H,0),0)/100,"")</f>
        <v/>
      </c>
      <c r="F27" s="37" t="n"/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SUM(AA27:AD27)</f>
        <v/>
      </c>
      <c r="AF27" s="20" t="n"/>
      <c r="AG27" s="20" t="n"/>
      <c r="AH27" s="20" t="n"/>
      <c r="AI27" s="20" t="n"/>
      <c r="AJ27" s="38">
        <f>SUM(AF27:AI27)</f>
        <v/>
      </c>
      <c r="AK27" s="20" t="n"/>
      <c r="AL27" s="20" t="n"/>
      <c r="AM27" s="20" t="n"/>
      <c r="AN27" s="20" t="n"/>
      <c r="AO27" s="38">
        <f>SUM(AK27:AN27)</f>
        <v/>
      </c>
    </row>
    <row r="28">
      <c r="A28" s="12" t="inlineStr">
        <is>
          <t>주식수</t>
        </is>
      </c>
      <c r="B28" t="inlineStr">
        <is>
          <t>주당</t>
        </is>
      </c>
      <c r="C28" t="inlineStr">
        <is>
          <t>백만주</t>
        </is>
      </c>
      <c r="D28" t="inlineStr">
        <is>
          <t>유통주식수</t>
        </is>
      </c>
      <c r="E28" s="27" t="n">
        <v>30.902</v>
      </c>
      <c r="F28" s="28">
        <f>E28</f>
        <v/>
      </c>
      <c r="G28" s="27" t="n">
        <v>30.902</v>
      </c>
      <c r="H28" s="27" t="n">
        <v>30.902</v>
      </c>
      <c r="I28" s="27" t="n">
        <v>30.345</v>
      </c>
      <c r="J28" s="27" t="n">
        <v>29.702</v>
      </c>
      <c r="K28" s="28">
        <f>J28</f>
        <v/>
      </c>
      <c r="L28" s="27" t="n">
        <v>29.702</v>
      </c>
      <c r="M28" s="27" t="n">
        <v>29.367</v>
      </c>
      <c r="N28" s="27" t="n">
        <v>28.604</v>
      </c>
      <c r="O28" s="27" t="n">
        <v>28.175</v>
      </c>
      <c r="P28" s="28">
        <f>O28</f>
        <v/>
      </c>
      <c r="Q28" s="27" t="n">
        <v>27.902</v>
      </c>
      <c r="R28" s="27" t="n">
        <v>27.902</v>
      </c>
      <c r="S28" s="27" t="n">
        <v>27.902</v>
      </c>
      <c r="T28" s="27" t="n">
        <v>27.602</v>
      </c>
      <c r="U28" s="28">
        <f>T28</f>
        <v/>
      </c>
      <c r="V28" s="27" t="n">
        <v>27.602</v>
      </c>
      <c r="W28" s="27" t="n">
        <v>30.802</v>
      </c>
      <c r="X28" s="27" t="n">
        <v>30.86</v>
      </c>
      <c r="Y28" s="27" t="n">
        <v>30.86</v>
      </c>
      <c r="Z28" s="28">
        <f>Y28</f>
        <v/>
      </c>
      <c r="AA28" s="27" t="n">
        <v>30.86</v>
      </c>
      <c r="AB28" s="29" t="n">
        <v>30.86</v>
      </c>
      <c r="AC28" s="33">
        <f>IFERROR(AB28*(1+변수!AC36),"")</f>
        <v/>
      </c>
      <c r="AD28" s="33">
        <f>IFERROR(AC28*(1+변수!AD36),"")</f>
        <v/>
      </c>
      <c r="AE28" s="31">
        <f>AD28</f>
        <v/>
      </c>
      <c r="AF28" s="33">
        <f>IFERROR(AD28*(1+변수!AF36),"")</f>
        <v/>
      </c>
      <c r="AG28" s="33">
        <f>IFERROR(AF28*(1+변수!AG36),"")</f>
        <v/>
      </c>
      <c r="AH28" s="33">
        <f>IFERROR(AG28*(1+변수!AH36),"")</f>
        <v/>
      </c>
      <c r="AI28" s="33">
        <f>IFERROR(AH28*(1+변수!AI36),"")</f>
        <v/>
      </c>
      <c r="AJ28" s="31">
        <f>AI28</f>
        <v/>
      </c>
      <c r="AK28" s="33">
        <f>IFERROR(AI28*(1+변수!AK36),"")</f>
        <v/>
      </c>
      <c r="AL28" s="33">
        <f>IFERROR(AK28*(1+변수!AL36),"")</f>
        <v/>
      </c>
      <c r="AM28" s="33">
        <f>IFERROR(AL28*(1+변수!AM36),"")</f>
        <v/>
      </c>
      <c r="AN28" s="33">
        <f>IFERROR(AM28*(1+변수!AN36),"")</f>
        <v/>
      </c>
      <c r="AO28" s="31">
        <f>AN28</f>
        <v/>
      </c>
    </row>
    <row r="29">
      <c r="A29" s="12" t="inlineStr">
        <is>
          <t>EPS</t>
        </is>
      </c>
      <c r="B29" t="inlineStr">
        <is>
          <t>주당</t>
        </is>
      </c>
      <c r="C29" t="inlineStr">
        <is>
          <t>원</t>
        </is>
      </c>
      <c r="D29" t="inlineStr">
        <is>
          <t>EPS</t>
        </is>
      </c>
      <c r="E29" s="18">
        <f>IFERROR(E17*100/E28,"")</f>
        <v/>
      </c>
      <c r="F29" s="37" t="n"/>
      <c r="G29" s="18">
        <f>IFERROR(G17*100/G28,"")</f>
        <v/>
      </c>
      <c r="H29" s="18">
        <f>IFERROR(H17*100/H28,"")</f>
        <v/>
      </c>
      <c r="I29" s="18">
        <f>IFERROR(I17*100/I28,"")</f>
        <v/>
      </c>
      <c r="J29" s="18">
        <f>IFERROR(J17*100/J28,"")</f>
        <v/>
      </c>
      <c r="K29" s="37">
        <f>SUM(G29:J29)</f>
        <v/>
      </c>
      <c r="L29" s="18">
        <f>IFERROR(L17*100/L28,"")</f>
        <v/>
      </c>
      <c r="M29" s="18">
        <f>IFERROR(M17*100/M28,"")</f>
        <v/>
      </c>
      <c r="N29" s="18">
        <f>IFERROR(N17*100/N28,"")</f>
        <v/>
      </c>
      <c r="O29" s="18">
        <f>IFERROR(O17*100/O28,"")</f>
        <v/>
      </c>
      <c r="P29" s="37">
        <f>SUM(L29:O29)</f>
        <v/>
      </c>
      <c r="Q29" s="18">
        <f>IFERROR(Q17*100/Q28,"")</f>
        <v/>
      </c>
      <c r="R29" s="18">
        <f>IFERROR(R17*100/R28,"")</f>
        <v/>
      </c>
      <c r="S29" s="18">
        <f>IFERROR(S17*100/S28,"")</f>
        <v/>
      </c>
      <c r="T29" s="18">
        <f>IFERROR(T17*100/T28,"")</f>
        <v/>
      </c>
      <c r="U29" s="37">
        <f>SUM(Q29:T29)</f>
        <v/>
      </c>
      <c r="V29" s="18">
        <f>IFERROR(V17*100/V28,"")</f>
        <v/>
      </c>
      <c r="W29" s="18">
        <f>IFERROR(W17*100/W28,"")</f>
        <v/>
      </c>
      <c r="X29" s="18">
        <f>IFERROR(X17*100/X28,"")</f>
        <v/>
      </c>
      <c r="Y29" s="18">
        <f>IFERROR(Y17*100/Y28,"")</f>
        <v/>
      </c>
      <c r="Z29" s="37">
        <f>SUM(V29:Y29)</f>
        <v/>
      </c>
      <c r="AA29" s="18">
        <f>IFERROR(AA17*100/AA28,"")</f>
        <v/>
      </c>
      <c r="AB29" s="19">
        <f>IFERROR(AB17*100/AB28,"")</f>
        <v/>
      </c>
      <c r="AC29" s="20">
        <f>IFERROR(AC17*100/AC28,"")</f>
        <v/>
      </c>
      <c r="AD29" s="20">
        <f>IFERROR(AD17*100/AD28,"")</f>
        <v/>
      </c>
      <c r="AE29" s="38">
        <f>SUM(AA29:AD29)</f>
        <v/>
      </c>
      <c r="AF29" s="20">
        <f>IFERROR(AF17*100/AF28,"")</f>
        <v/>
      </c>
      <c r="AG29" s="20">
        <f>IFERROR(AG17*100/AG28,"")</f>
        <v/>
      </c>
      <c r="AH29" s="20">
        <f>IFERROR(AH17*100/AH28,"")</f>
        <v/>
      </c>
      <c r="AI29" s="20">
        <f>IFERROR(AI17*100/AI28,"")</f>
        <v/>
      </c>
      <c r="AJ29" s="38">
        <f>SUM(AF29:AI29)</f>
        <v/>
      </c>
      <c r="AK29" s="20">
        <f>IFERROR(AK17*100/AK28,"")</f>
        <v/>
      </c>
      <c r="AL29" s="20">
        <f>IFERROR(AL17*100/AL28,"")</f>
        <v/>
      </c>
      <c r="AM29" s="20">
        <f>IFERROR(AM17*100/AM28,"")</f>
        <v/>
      </c>
      <c r="AN29" s="20">
        <f>IFERROR(AN17*100/AN28,"")</f>
        <v/>
      </c>
      <c r="AO29" s="38">
        <f>SUM(AK29:AN29)</f>
        <v/>
      </c>
    </row>
    <row r="30">
      <c r="A30" s="12" t="inlineStr">
        <is>
          <t>BPS</t>
        </is>
      </c>
      <c r="B30" t="inlineStr">
        <is>
          <t>주당</t>
        </is>
      </c>
      <c r="C30" t="inlineStr">
        <is>
          <t>원</t>
        </is>
      </c>
      <c r="D30" t="inlineStr">
        <is>
          <t>BPS</t>
        </is>
      </c>
      <c r="E30" s="18">
        <f>IFERROR(E21*100/E28,"")</f>
        <v/>
      </c>
      <c r="F30" s="37">
        <f>E30</f>
        <v/>
      </c>
      <c r="G30" s="18">
        <f>IFERROR(G21*100/G28,"")</f>
        <v/>
      </c>
      <c r="H30" s="18">
        <f>IFERROR(H21*100/H28,"")</f>
        <v/>
      </c>
      <c r="I30" s="18">
        <f>IFERROR(I21*100/I28,"")</f>
        <v/>
      </c>
      <c r="J30" s="18">
        <f>IFERROR(J21*100/J28,"")</f>
        <v/>
      </c>
      <c r="K30" s="37">
        <f>J30</f>
        <v/>
      </c>
      <c r="L30" s="18">
        <f>IFERROR(L21*100/L28,"")</f>
        <v/>
      </c>
      <c r="M30" s="18">
        <f>IFERROR(M21*100/M28,"")</f>
        <v/>
      </c>
      <c r="N30" s="18">
        <f>IFERROR(N21*100/N28,"")</f>
        <v/>
      </c>
      <c r="O30" s="18">
        <f>IFERROR(O21*100/O28,"")</f>
        <v/>
      </c>
      <c r="P30" s="37">
        <f>O30</f>
        <v/>
      </c>
      <c r="Q30" s="18">
        <f>IFERROR(Q21*100/Q28,"")</f>
        <v/>
      </c>
      <c r="R30" s="18">
        <f>IFERROR(R21*100/R28,"")</f>
        <v/>
      </c>
      <c r="S30" s="18">
        <f>IFERROR(S21*100/S28,"")</f>
        <v/>
      </c>
      <c r="T30" s="18">
        <f>IFERROR(T21*100/T28,"")</f>
        <v/>
      </c>
      <c r="U30" s="37">
        <f>T30</f>
        <v/>
      </c>
      <c r="V30" s="18">
        <f>IFERROR(V21*100/V28,"")</f>
        <v/>
      </c>
      <c r="W30" s="18">
        <f>IFERROR(W21*100/W28,"")</f>
        <v/>
      </c>
      <c r="X30" s="18">
        <f>IFERROR(X21*100/X28,"")</f>
        <v/>
      </c>
      <c r="Y30" s="18">
        <f>IFERROR(Y21*100/Y28,"")</f>
        <v/>
      </c>
      <c r="Z30" s="37">
        <f>Y30</f>
        <v/>
      </c>
      <c r="AA30" s="18">
        <f>IFERROR(AA21*100/AA28,"")</f>
        <v/>
      </c>
      <c r="AB30" s="19">
        <f>IFERROR(AB21*100/AB28,"")</f>
        <v/>
      </c>
      <c r="AC30" s="20">
        <f>IFERROR(AC21*100/AC28,"")</f>
        <v/>
      </c>
      <c r="AD30" s="20">
        <f>IFERROR(AD21*100/AD28,"")</f>
        <v/>
      </c>
      <c r="AE30" s="38">
        <f>AD30</f>
        <v/>
      </c>
      <c r="AF30" s="20">
        <f>IFERROR(AF21*100/AF28,"")</f>
        <v/>
      </c>
      <c r="AG30" s="20">
        <f>IFERROR(AG21*100/AG28,"")</f>
        <v/>
      </c>
      <c r="AH30" s="20">
        <f>IFERROR(AH21*100/AH28,"")</f>
        <v/>
      </c>
      <c r="AI30" s="20">
        <f>IFERROR(AI21*100/AI28,"")</f>
        <v/>
      </c>
      <c r="AJ30" s="38">
        <f>AI30</f>
        <v/>
      </c>
      <c r="AK30" s="20">
        <f>IFERROR(AK21*100/AK28,"")</f>
        <v/>
      </c>
      <c r="AL30" s="20">
        <f>IFERROR(AL21*100/AL28,"")</f>
        <v/>
      </c>
      <c r="AM30" s="20">
        <f>IFERROR(AM21*100/AM28,"")</f>
        <v/>
      </c>
      <c r="AN30" s="20">
        <f>IFERROR(AN21*100/AN28,"")</f>
        <v/>
      </c>
      <c r="AO30" s="38">
        <f>AN30</f>
        <v/>
      </c>
    </row>
    <row r="31">
      <c r="A31" s="12" t="inlineStr">
        <is>
          <t>DPS</t>
        </is>
      </c>
      <c r="B31" t="inlineStr">
        <is>
          <t>주당</t>
        </is>
      </c>
      <c r="C31" t="inlineStr">
        <is>
          <t>원</t>
        </is>
      </c>
      <c r="D31" t="inlineStr">
        <is>
          <t>DPS(보통주)</t>
        </is>
      </c>
      <c r="E31" s="18" t="n">
        <v>100</v>
      </c>
      <c r="F31" s="37" t="n">
        <v>100</v>
      </c>
      <c r="G31" s="18" t="n"/>
      <c r="H31" s="18" t="n"/>
      <c r="I31" s="18" t="n"/>
      <c r="J31" s="18" t="n">
        <v>100</v>
      </c>
      <c r="K31" s="37">
        <f>SUM(G31:J31)</f>
        <v/>
      </c>
      <c r="L31" s="18" t="n"/>
      <c r="M31" s="18" t="n"/>
      <c r="N31" s="18" t="n"/>
      <c r="O31" s="18" t="n">
        <v>0</v>
      </c>
      <c r="P31" s="37">
        <f>SUM(L31:O31)</f>
        <v/>
      </c>
      <c r="Q31" s="18" t="n"/>
      <c r="R31" s="18" t="n"/>
      <c r="S31" s="18" t="n"/>
      <c r="T31" s="18" t="n">
        <v>0</v>
      </c>
      <c r="U31" s="37">
        <f>SUM(Q31:T31)</f>
        <v/>
      </c>
      <c r="V31" s="18" t="n"/>
      <c r="W31" s="18" t="n"/>
      <c r="X31" s="18" t="n"/>
      <c r="Y31" s="18" t="n">
        <v>700</v>
      </c>
      <c r="Z31" s="37">
        <f>SUM(V31:Y31)</f>
        <v/>
      </c>
      <c r="AA31" s="18" t="n"/>
      <c r="AB31" s="19" t="n"/>
      <c r="AC31" s="20" t="n"/>
      <c r="AD31" s="20">
        <f>변수!AD37</f>
        <v/>
      </c>
      <c r="AE31" s="38">
        <f>SUM(AA31:AD31)</f>
        <v/>
      </c>
      <c r="AF31" s="20" t="n"/>
      <c r="AG31" s="20" t="n"/>
      <c r="AH31" s="20" t="n"/>
      <c r="AI31" s="20">
        <f>변수!AI37</f>
        <v/>
      </c>
      <c r="AJ31" s="38">
        <f>SUM(AF31:AI31)</f>
        <v/>
      </c>
      <c r="AK31" s="20" t="n"/>
      <c r="AL31" s="20" t="n"/>
      <c r="AM31" s="20" t="n"/>
      <c r="AN31" s="20">
        <f>변수!AN37</f>
        <v/>
      </c>
      <c r="AO31" s="38">
        <f>SUM(AK31:AN31)</f>
        <v/>
      </c>
    </row>
    <row r="32">
      <c r="A32" s="12" t="inlineStr">
        <is>
          <t>PER</t>
        </is>
      </c>
      <c r="B32" t="inlineStr">
        <is>
          <t>주당</t>
        </is>
      </c>
      <c r="C32" t="inlineStr">
        <is>
          <t>배</t>
        </is>
      </c>
      <c r="D32" t="inlineStr">
        <is>
          <t>PER</t>
        </is>
      </c>
      <c r="E32" s="13" t="n"/>
      <c r="F32" s="14">
        <f>E32</f>
        <v/>
      </c>
      <c r="G32" s="13" t="n"/>
      <c r="H32" s="13" t="n"/>
      <c r="I32" s="13" t="n"/>
      <c r="J32" s="13">
        <f>IFERROR(변수!J18/(G29+H29+I29+J29),"")</f>
        <v/>
      </c>
      <c r="K32" s="14">
        <f>J32</f>
        <v/>
      </c>
      <c r="L32" s="13">
        <f>IFERROR(변수!L18/(H29+I29+J29+L29),"")</f>
        <v/>
      </c>
      <c r="M32" s="13">
        <f>IFERROR(변수!M18/(I29+J29+L29+M29),"")</f>
        <v/>
      </c>
      <c r="N32" s="13">
        <f>IFERROR(변수!N18/(J29+L29+M29+N29),"")</f>
        <v/>
      </c>
      <c r="O32" s="13">
        <f>IFERROR(변수!O18/(L29+M29+N29+O29),"")</f>
        <v/>
      </c>
      <c r="P32" s="14">
        <f>O32</f>
        <v/>
      </c>
      <c r="Q32" s="13">
        <f>IFERROR(변수!Q18/(M29+N29+O29+Q29),"")</f>
        <v/>
      </c>
      <c r="R32" s="13">
        <f>IFERROR(변수!R18/(N29+O29+Q29+R29),"")</f>
        <v/>
      </c>
      <c r="S32" s="13">
        <f>IFERROR(변수!S18/(O29+Q29+R29+S29),"")</f>
        <v/>
      </c>
      <c r="T32" s="13">
        <f>IFERROR(변수!T18/(Q29+R29+S29+T29),"")</f>
        <v/>
      </c>
      <c r="U32" s="14">
        <f>T32</f>
        <v/>
      </c>
      <c r="V32" s="13">
        <f>IFERROR(변수!V18/(R29+S29+T29+V29),"")</f>
        <v/>
      </c>
      <c r="W32" s="13">
        <f>IFERROR(변수!W18/(S29+T29+V29+W29),"")</f>
        <v/>
      </c>
      <c r="X32" s="13">
        <f>IFERROR(변수!X18/(T29+V29+W29+X29),"")</f>
        <v/>
      </c>
      <c r="Y32" s="13">
        <f>IFERROR(변수!Y18/(V29+W29+X29+Y29),"")</f>
        <v/>
      </c>
      <c r="Z32" s="14">
        <f>Y32</f>
        <v/>
      </c>
      <c r="AA32" s="13">
        <f>IFERROR(변수!AA18/(W29+X29+Y29+AA29),"")</f>
        <v/>
      </c>
      <c r="AB32" s="15">
        <f>IFERROR(변수!AB18/(X29+Y29+AA29+AB29),"")</f>
        <v/>
      </c>
      <c r="AC32" s="39">
        <f>IFERROR(변수!$D$40/(Y29+AA29+AB29+AC29),"")</f>
        <v/>
      </c>
      <c r="AD32" s="39">
        <f>IFERROR(변수!$D$40/(AA29+AB29+AC29+AD29),"")</f>
        <v/>
      </c>
      <c r="AE32" s="40">
        <f>AD32</f>
        <v/>
      </c>
      <c r="AF32" s="39">
        <f>IFERROR(변수!$D$40/(AB29+AC29+AD29+AF29),"")</f>
        <v/>
      </c>
      <c r="AG32" s="39">
        <f>IFERROR(변수!$D$40/(AC29+AD29+AF29+AG29),"")</f>
        <v/>
      </c>
      <c r="AH32" s="39">
        <f>IFERROR(변수!$D$40/(AD29+AF29+AG29+AH29),"")</f>
        <v/>
      </c>
      <c r="AI32" s="39">
        <f>IFERROR(변수!$D$40/(AF29+AG29+AH29+AI29),"")</f>
        <v/>
      </c>
      <c r="AJ32" s="40">
        <f>AI32</f>
        <v/>
      </c>
      <c r="AK32" s="39">
        <f>IFERROR(변수!$D$40/(AG29+AH29+AI29+AK29),"")</f>
        <v/>
      </c>
      <c r="AL32" s="39">
        <f>IFERROR(변수!$D$40/(AH29+AI29+AK29+AL29),"")</f>
        <v/>
      </c>
      <c r="AM32" s="39">
        <f>IFERROR(변수!$D$40/(AI29+AK29+AL29+AM29),"")</f>
        <v/>
      </c>
      <c r="AN32" s="39">
        <f>IFERROR(변수!$D$40/(AK29+AL29+AM29+AN29),"")</f>
        <v/>
      </c>
      <c r="AO32" s="40">
        <f>AN32</f>
        <v/>
      </c>
    </row>
    <row r="33">
      <c r="A33" s="12" t="inlineStr">
        <is>
          <t>PBR</t>
        </is>
      </c>
      <c r="B33" t="inlineStr">
        <is>
          <t>주당</t>
        </is>
      </c>
      <c r="C33" t="inlineStr">
        <is>
          <t>배</t>
        </is>
      </c>
      <c r="D33" t="inlineStr">
        <is>
          <t>PBR</t>
        </is>
      </c>
      <c r="E33" s="13">
        <f>IFERROR(변수!E18/E30,"")</f>
        <v/>
      </c>
      <c r="F33" s="14">
        <f>E33</f>
        <v/>
      </c>
      <c r="G33" s="13">
        <f>IFERROR(변수!G18/G30,"")</f>
        <v/>
      </c>
      <c r="H33" s="13">
        <f>IFERROR(변수!H18/H30,"")</f>
        <v/>
      </c>
      <c r="I33" s="13">
        <f>IFERROR(변수!I18/I30,"")</f>
        <v/>
      </c>
      <c r="J33" s="13">
        <f>IFERROR(변수!J18/J30,"")</f>
        <v/>
      </c>
      <c r="K33" s="14">
        <f>J33</f>
        <v/>
      </c>
      <c r="L33" s="13">
        <f>IFERROR(변수!L18/L30,"")</f>
        <v/>
      </c>
      <c r="M33" s="13">
        <f>IFERROR(변수!M18/M30,"")</f>
        <v/>
      </c>
      <c r="N33" s="13">
        <f>IFERROR(변수!N18/N30,"")</f>
        <v/>
      </c>
      <c r="O33" s="13">
        <f>IFERROR(변수!O18/O30,"")</f>
        <v/>
      </c>
      <c r="P33" s="14">
        <f>O33</f>
        <v/>
      </c>
      <c r="Q33" s="13">
        <f>IFERROR(변수!Q18/Q30,"")</f>
        <v/>
      </c>
      <c r="R33" s="13">
        <f>IFERROR(변수!R18/R30,"")</f>
        <v/>
      </c>
      <c r="S33" s="13">
        <f>IFERROR(변수!S18/S30,"")</f>
        <v/>
      </c>
      <c r="T33" s="13">
        <f>IFERROR(변수!T18/T30,"")</f>
        <v/>
      </c>
      <c r="U33" s="14">
        <f>T33</f>
        <v/>
      </c>
      <c r="V33" s="13">
        <f>IFERROR(변수!V18/V30,"")</f>
        <v/>
      </c>
      <c r="W33" s="13">
        <f>IFERROR(변수!W18/W30,"")</f>
        <v/>
      </c>
      <c r="X33" s="13">
        <f>IFERROR(변수!X18/X30,"")</f>
        <v/>
      </c>
      <c r="Y33" s="13">
        <f>IFERROR(변수!Y18/Y30,"")</f>
        <v/>
      </c>
      <c r="Z33" s="14">
        <f>Y33</f>
        <v/>
      </c>
      <c r="AA33" s="13">
        <f>IFERROR(변수!AA18/AA30,"")</f>
        <v/>
      </c>
      <c r="AB33" s="15">
        <f>IFERROR(변수!AB18/AB30,"")</f>
        <v/>
      </c>
      <c r="AC33" s="39">
        <f>IFERROR(변수!$D$40/AC30,"")</f>
        <v/>
      </c>
      <c r="AD33" s="39">
        <f>IFERROR(변수!$D$40/AD30,"")</f>
        <v/>
      </c>
      <c r="AE33" s="40">
        <f>AD33</f>
        <v/>
      </c>
      <c r="AF33" s="39">
        <f>IFERROR(변수!$D$40/AF30,"")</f>
        <v/>
      </c>
      <c r="AG33" s="39">
        <f>IFERROR(변수!$D$40/AG30,"")</f>
        <v/>
      </c>
      <c r="AH33" s="39">
        <f>IFERROR(변수!$D$40/AH30,"")</f>
        <v/>
      </c>
      <c r="AI33" s="39">
        <f>IFERROR(변수!$D$40/AI30,"")</f>
        <v/>
      </c>
      <c r="AJ33" s="40">
        <f>AI33</f>
        <v/>
      </c>
      <c r="AK33" s="39">
        <f>IFERROR(변수!$D$40/AK30,"")</f>
        <v/>
      </c>
      <c r="AL33" s="39">
        <f>IFERROR(변수!$D$40/AL30,"")</f>
        <v/>
      </c>
      <c r="AM33" s="39">
        <f>IFERROR(변수!$D$40/AM30,"")</f>
        <v/>
      </c>
      <c r="AN33" s="39">
        <f>IFERROR(변수!$D$40/AN30,"")</f>
        <v/>
      </c>
      <c r="AO33" s="40">
        <f>AN33</f>
        <v/>
      </c>
    </row>
    <row r="34">
      <c r="A34" s="12" t="inlineStr">
        <is>
          <t>매출전사</t>
        </is>
      </c>
      <c r="B34" t="inlineStr">
        <is>
          <t>사업부</t>
        </is>
      </c>
      <c r="C34" t="inlineStr">
        <is>
          <t>억원</t>
        </is>
      </c>
      <c r="D34" t="inlineStr">
        <is>
          <t>매출 전사(부문 미분리)</t>
        </is>
      </c>
      <c r="E34" s="18" t="n">
        <v>1336.89</v>
      </c>
      <c r="F34" s="37" t="n"/>
      <c r="G34" s="18" t="n">
        <v>1311.28</v>
      </c>
      <c r="H34" s="18" t="n">
        <v>1701.28</v>
      </c>
      <c r="I34" s="18" t="n">
        <v>1600.02</v>
      </c>
      <c r="J34" s="18" t="n">
        <v>1484.43</v>
      </c>
      <c r="K34" s="37">
        <f>SUM(G34:J34)</f>
        <v/>
      </c>
      <c r="L34" s="18" t="n">
        <v>2214.52</v>
      </c>
      <c r="M34" s="18" t="n">
        <v>1210.02</v>
      </c>
      <c r="N34" s="18" t="n">
        <v>991.74</v>
      </c>
      <c r="O34" s="18" t="n">
        <v>1490.31</v>
      </c>
      <c r="P34" s="37">
        <f>SUM(L34:O34)</f>
        <v/>
      </c>
      <c r="Q34" s="18" t="n">
        <v>1346.17</v>
      </c>
      <c r="R34" s="18" t="n">
        <v>1248.85</v>
      </c>
      <c r="S34" s="18" t="n">
        <v>1257.79</v>
      </c>
      <c r="T34" s="18" t="n">
        <v>1312.22</v>
      </c>
      <c r="U34" s="37">
        <f>SUM(Q34:T34)</f>
        <v/>
      </c>
      <c r="V34" s="18" t="n">
        <v>1282.19</v>
      </c>
      <c r="W34" s="18" t="n">
        <v>1604.67</v>
      </c>
      <c r="X34" s="18" t="n">
        <v>1378.33</v>
      </c>
      <c r="Y34" s="18" t="n">
        <v>1532.55</v>
      </c>
      <c r="Z34" s="37">
        <f>SUM(V34:Y34)</f>
        <v/>
      </c>
      <c r="AA34" s="18" t="n">
        <v>1876.83</v>
      </c>
      <c r="AB34" s="19" t="n">
        <v>1610.93</v>
      </c>
      <c r="AC34" s="20">
        <f>IFERROR(AC5,"")</f>
        <v/>
      </c>
      <c r="AD34" s="20">
        <f>IFERROR(AD5,"")</f>
        <v/>
      </c>
      <c r="AE34" s="38">
        <f>SUM(AA34:AD34)</f>
        <v/>
      </c>
      <c r="AF34" s="20">
        <f>IFERROR(AF5,"")</f>
        <v/>
      </c>
      <c r="AG34" s="20">
        <f>IFERROR(AG5,"")</f>
        <v/>
      </c>
      <c r="AH34" s="20">
        <f>IFERROR(AH5,"")</f>
        <v/>
      </c>
      <c r="AI34" s="20">
        <f>IFERROR(AI5,"")</f>
        <v/>
      </c>
      <c r="AJ34" s="38">
        <f>SUM(AF34:AI34)</f>
        <v/>
      </c>
      <c r="AK34" s="20">
        <f>IFERROR(AK5,"")</f>
        <v/>
      </c>
      <c r="AL34" s="20">
        <f>IFERROR(AL5,"")</f>
        <v/>
      </c>
      <c r="AM34" s="20">
        <f>IFERROR(AM5,"")</f>
        <v/>
      </c>
      <c r="AN34" s="20">
        <f>IFERROR(AN5,"")</f>
        <v/>
      </c>
      <c r="AO34" s="38">
        <f>SUM(AK34:AN34)</f>
        <v/>
      </c>
    </row>
    <row r="35">
      <c r="A35" s="12" t="inlineStr">
        <is>
          <t>OP전사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OP 전사(부문 미분리)</t>
        </is>
      </c>
      <c r="E35" s="18" t="n">
        <v>106.75</v>
      </c>
      <c r="F35" s="37" t="n"/>
      <c r="G35" s="18" t="n">
        <v>10.29</v>
      </c>
      <c r="H35" s="18" t="n">
        <v>-23.31</v>
      </c>
      <c r="I35" s="18" t="n">
        <v>-60.15</v>
      </c>
      <c r="J35" s="18" t="n">
        <v>96.76000000000001</v>
      </c>
      <c r="K35" s="37">
        <f>SUM(G35:J35)</f>
        <v/>
      </c>
      <c r="L35" s="18" t="n">
        <v>251.27</v>
      </c>
      <c r="M35" s="18" t="n">
        <v>106.69</v>
      </c>
      <c r="N35" s="18" t="n">
        <v>-34.14</v>
      </c>
      <c r="O35" s="18" t="n">
        <v>85.73</v>
      </c>
      <c r="P35" s="37">
        <f>SUM(L35:O35)</f>
        <v/>
      </c>
      <c r="Q35" s="18" t="n">
        <v>100.32</v>
      </c>
      <c r="R35" s="18" t="n">
        <v>108.49</v>
      </c>
      <c r="S35" s="18" t="n">
        <v>101</v>
      </c>
      <c r="T35" s="18" t="n">
        <v>80.12</v>
      </c>
      <c r="U35" s="37">
        <f>SUM(Q35:T35)</f>
        <v/>
      </c>
      <c r="V35" s="18" t="n">
        <v>43.18</v>
      </c>
      <c r="W35" s="18" t="n">
        <v>347.94</v>
      </c>
      <c r="X35" s="18" t="n">
        <v>155.57</v>
      </c>
      <c r="Y35" s="18" t="n">
        <v>-47.06</v>
      </c>
      <c r="Z35" s="37">
        <f>SUM(V35:Y35)</f>
        <v/>
      </c>
      <c r="AA35" s="18" t="n">
        <v>281.88</v>
      </c>
      <c r="AB35" s="19" t="n">
        <v>27.93</v>
      </c>
      <c r="AC35" s="20">
        <f>IFERROR(AC9,"")</f>
        <v/>
      </c>
      <c r="AD35" s="20">
        <f>IFERROR(AD9,"")</f>
        <v/>
      </c>
      <c r="AE35" s="38">
        <f>SUM(AA35:AD35)</f>
        <v/>
      </c>
      <c r="AF35" s="20">
        <f>IFERROR(AF9,"")</f>
        <v/>
      </c>
      <c r="AG35" s="20">
        <f>IFERROR(AG9,"")</f>
        <v/>
      </c>
      <c r="AH35" s="20">
        <f>IFERROR(AH9,"")</f>
        <v/>
      </c>
      <c r="AI35" s="20">
        <f>IFERROR(AI9,"")</f>
        <v/>
      </c>
      <c r="AJ35" s="38">
        <f>SUM(AF35:AI35)</f>
        <v/>
      </c>
      <c r="AK35" s="20">
        <f>IFERROR(AK9,"")</f>
        <v/>
      </c>
      <c r="AL35" s="20">
        <f>IFERROR(AL9,"")</f>
        <v/>
      </c>
      <c r="AM35" s="20">
        <f>IFERROR(AM9,"")</f>
        <v/>
      </c>
      <c r="AN35" s="20">
        <f>IFERROR(AN9,"")</f>
        <v/>
      </c>
      <c r="AO35" s="38">
        <f>SUM(AK35:AN35)</f>
        <v/>
      </c>
    </row>
    <row r="36">
      <c r="B36" s="2" t="inlineStr">
        <is>
          <t>비율(참고)</t>
        </is>
      </c>
      <c r="F36" s="9" t="n"/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s="12" t="inlineStr">
        <is>
          <t>NPM</t>
        </is>
      </c>
      <c r="C37" t="inlineStr">
        <is>
          <t>%</t>
        </is>
      </c>
      <c r="D37" t="inlineStr">
        <is>
          <t>지배주주순이익 / 매출액</t>
        </is>
      </c>
      <c r="E37" s="21">
        <f>IFERROR(E17/E5,"")</f>
        <v/>
      </c>
      <c r="F37" s="22">
        <f>IFERROR(F17/F5,"")</f>
        <v/>
      </c>
      <c r="G37" s="21">
        <f>IFERROR(G17/G5,"")</f>
        <v/>
      </c>
      <c r="H37" s="21">
        <f>IFERROR(H17/H5,"")</f>
        <v/>
      </c>
      <c r="I37" s="21">
        <f>IFERROR(I17/I5,"")</f>
        <v/>
      </c>
      <c r="J37" s="21">
        <f>IFERROR(J17/J5,"")</f>
        <v/>
      </c>
      <c r="K37" s="22">
        <f>IFERROR(K17/K5,"")</f>
        <v/>
      </c>
      <c r="L37" s="21">
        <f>IFERROR(L17/L5,"")</f>
        <v/>
      </c>
      <c r="M37" s="21">
        <f>IFERROR(M17/M5,"")</f>
        <v/>
      </c>
      <c r="N37" s="21">
        <f>IFERROR(N17/N5,"")</f>
        <v/>
      </c>
      <c r="O37" s="21">
        <f>IFERROR(O17/O5,"")</f>
        <v/>
      </c>
      <c r="P37" s="22">
        <f>IFERROR(P17/P5,"")</f>
        <v/>
      </c>
      <c r="Q37" s="21">
        <f>IFERROR(Q17/Q5,"")</f>
        <v/>
      </c>
      <c r="R37" s="21">
        <f>IFERROR(R17/R5,"")</f>
        <v/>
      </c>
      <c r="S37" s="21">
        <f>IFERROR(S17/S5,"")</f>
        <v/>
      </c>
      <c r="T37" s="21">
        <f>IFERROR(T17/T5,"")</f>
        <v/>
      </c>
      <c r="U37" s="22">
        <f>IFERROR(U17/U5,"")</f>
        <v/>
      </c>
      <c r="V37" s="21">
        <f>IFERROR(V17/V5,"")</f>
        <v/>
      </c>
      <c r="W37" s="21">
        <f>IFERROR(W17/W5,"")</f>
        <v/>
      </c>
      <c r="X37" s="21">
        <f>IFERROR(X17/X5,"")</f>
        <v/>
      </c>
      <c r="Y37" s="21">
        <f>IFERROR(Y17/Y5,"")</f>
        <v/>
      </c>
      <c r="Z37" s="22">
        <f>IFERROR(Z17/Z5,"")</f>
        <v/>
      </c>
      <c r="AA37" s="21">
        <f>IFERROR(AA17/AA5,"")</f>
        <v/>
      </c>
      <c r="AB37" s="23">
        <f>IFERROR(AB17/AB5,"")</f>
        <v/>
      </c>
      <c r="AC37" s="32">
        <f>IFERROR(AC17/AC5,"")</f>
        <v/>
      </c>
      <c r="AD37" s="32">
        <f>IFERROR(AD17/AD5,"")</f>
        <v/>
      </c>
      <c r="AE37" s="25">
        <f>IFERROR(AE17/AE5,"")</f>
        <v/>
      </c>
      <c r="AF37" s="32">
        <f>IFERROR(AF17/AF5,"")</f>
        <v/>
      </c>
      <c r="AG37" s="32">
        <f>IFERROR(AG17/AG5,"")</f>
        <v/>
      </c>
      <c r="AH37" s="32">
        <f>IFERROR(AH17/AH5,"")</f>
        <v/>
      </c>
      <c r="AI37" s="32">
        <f>IFERROR(AI17/AI5,"")</f>
        <v/>
      </c>
      <c r="AJ37" s="25">
        <f>IFERROR(AJ17/AJ5,"")</f>
        <v/>
      </c>
      <c r="AK37" s="32">
        <f>IFERROR(AK17/AK5,"")</f>
        <v/>
      </c>
      <c r="AL37" s="32">
        <f>IFERROR(AL17/AL5,"")</f>
        <v/>
      </c>
      <c r="AM37" s="32">
        <f>IFERROR(AM17/AM5,"")</f>
        <v/>
      </c>
      <c r="AN37" s="32">
        <f>IFERROR(AN17/AN5,"")</f>
        <v/>
      </c>
      <c r="AO37" s="25">
        <f>IFERROR(AO17/AO5,"")</f>
        <v/>
      </c>
    </row>
    <row r="38">
      <c r="A38" s="12" t="inlineStr">
        <is>
          <t>매출원가율</t>
        </is>
      </c>
      <c r="C38" t="inlineStr">
        <is>
          <t>%</t>
        </is>
      </c>
      <c r="D38" t="inlineStr">
        <is>
          <t>매출원가 / 매출액</t>
        </is>
      </c>
      <c r="E38" s="21">
        <f>IFERROR(E6/E5,"")</f>
        <v/>
      </c>
      <c r="F38" s="22">
        <f>IFERROR(F6/F5,"")</f>
        <v/>
      </c>
      <c r="G38" s="21">
        <f>IFERROR(G6/G5,"")</f>
        <v/>
      </c>
      <c r="H38" s="21">
        <f>IFERROR(H6/H5,"")</f>
        <v/>
      </c>
      <c r="I38" s="21">
        <f>IFERROR(I6/I5,"")</f>
        <v/>
      </c>
      <c r="J38" s="21">
        <f>IFERROR(J6/J5,"")</f>
        <v/>
      </c>
      <c r="K38" s="22">
        <f>IFERROR(K6/K5,"")</f>
        <v/>
      </c>
      <c r="L38" s="21">
        <f>IFERROR(L6/L5,"")</f>
        <v/>
      </c>
      <c r="M38" s="21">
        <f>IFERROR(M6/M5,"")</f>
        <v/>
      </c>
      <c r="N38" s="21">
        <f>IFERROR(N6/N5,"")</f>
        <v/>
      </c>
      <c r="O38" s="21">
        <f>IFERROR(O6/O5,"")</f>
        <v/>
      </c>
      <c r="P38" s="22">
        <f>IFERROR(P6/P5,"")</f>
        <v/>
      </c>
      <c r="Q38" s="21">
        <f>IFERROR(Q6/Q5,"")</f>
        <v/>
      </c>
      <c r="R38" s="21">
        <f>IFERROR(R6/R5,"")</f>
        <v/>
      </c>
      <c r="S38" s="21">
        <f>IFERROR(S6/S5,"")</f>
        <v/>
      </c>
      <c r="T38" s="21">
        <f>IFERROR(T6/T5,"")</f>
        <v/>
      </c>
      <c r="U38" s="22">
        <f>IFERROR(U6/U5,"")</f>
        <v/>
      </c>
      <c r="V38" s="21">
        <f>IFERROR(V6/V5,"")</f>
        <v/>
      </c>
      <c r="W38" s="21">
        <f>IFERROR(W6/W5,"")</f>
        <v/>
      </c>
      <c r="X38" s="21">
        <f>IFERROR(X6/X5,"")</f>
        <v/>
      </c>
      <c r="Y38" s="21">
        <f>IFERROR(Y6/Y5,"")</f>
        <v/>
      </c>
      <c r="Z38" s="22">
        <f>IFERROR(Z6/Z5,"")</f>
        <v/>
      </c>
      <c r="AA38" s="21">
        <f>IFERROR(AA6/AA5,"")</f>
        <v/>
      </c>
      <c r="AB38" s="23">
        <f>IFERROR(AB6/AB5,"")</f>
        <v/>
      </c>
      <c r="AC38" s="32">
        <f>IFERROR(AC6/AC5,"")</f>
        <v/>
      </c>
      <c r="AD38" s="32">
        <f>IFERROR(AD6/AD5,"")</f>
        <v/>
      </c>
      <c r="AE38" s="25">
        <f>IFERROR(AE6/AE5,"")</f>
        <v/>
      </c>
      <c r="AF38" s="32">
        <f>IFERROR(AF6/AF5,"")</f>
        <v/>
      </c>
      <c r="AG38" s="32">
        <f>IFERROR(AG6/AG5,"")</f>
        <v/>
      </c>
      <c r="AH38" s="32">
        <f>IFERROR(AH6/AH5,"")</f>
        <v/>
      </c>
      <c r="AI38" s="32">
        <f>IFERROR(AI6/AI5,"")</f>
        <v/>
      </c>
      <c r="AJ38" s="25">
        <f>IFERROR(AJ6/AJ5,"")</f>
        <v/>
      </c>
      <c r="AK38" s="32">
        <f>IFERROR(AK6/AK5,"")</f>
        <v/>
      </c>
      <c r="AL38" s="32">
        <f>IFERROR(AL6/AL5,"")</f>
        <v/>
      </c>
      <c r="AM38" s="32">
        <f>IFERROR(AM6/AM5,"")</f>
        <v/>
      </c>
      <c r="AN38" s="32">
        <f>IFERROR(AN6/AN5,"")</f>
        <v/>
      </c>
      <c r="AO38" s="25">
        <f>IFERROR(AO6/AO5,"")</f>
        <v/>
      </c>
    </row>
    <row r="39">
      <c r="A39" s="12" t="inlineStr">
        <is>
          <t>판관비율</t>
        </is>
      </c>
      <c r="C39" t="inlineStr">
        <is>
          <t>%</t>
        </is>
      </c>
      <c r="D39" t="inlineStr">
        <is>
          <t>판관비 / 매출액</t>
        </is>
      </c>
      <c r="E39" s="21">
        <f>IFERROR(E8/E5,"")</f>
        <v/>
      </c>
      <c r="F39" s="22">
        <f>IFERROR(F8/F5,"")</f>
        <v/>
      </c>
      <c r="G39" s="21">
        <f>IFERROR(G8/G5,"")</f>
        <v/>
      </c>
      <c r="H39" s="21">
        <f>IFERROR(H8/H5,"")</f>
        <v/>
      </c>
      <c r="I39" s="21">
        <f>IFERROR(I8/I5,"")</f>
        <v/>
      </c>
      <c r="J39" s="21">
        <f>IFERROR(J8/J5,"")</f>
        <v/>
      </c>
      <c r="K39" s="22">
        <f>IFERROR(K8/K5,"")</f>
        <v/>
      </c>
      <c r="L39" s="21">
        <f>IFERROR(L8/L5,"")</f>
        <v/>
      </c>
      <c r="M39" s="21">
        <f>IFERROR(M8/M5,"")</f>
        <v/>
      </c>
      <c r="N39" s="21">
        <f>IFERROR(N8/N5,"")</f>
        <v/>
      </c>
      <c r="O39" s="21">
        <f>IFERROR(O8/O5,"")</f>
        <v/>
      </c>
      <c r="P39" s="22">
        <f>IFERROR(P8/P5,"")</f>
        <v/>
      </c>
      <c r="Q39" s="21">
        <f>IFERROR(Q8/Q5,"")</f>
        <v/>
      </c>
      <c r="R39" s="21">
        <f>IFERROR(R8/R5,"")</f>
        <v/>
      </c>
      <c r="S39" s="21">
        <f>IFERROR(S8/S5,"")</f>
        <v/>
      </c>
      <c r="T39" s="21">
        <f>IFERROR(T8/T5,"")</f>
        <v/>
      </c>
      <c r="U39" s="22">
        <f>IFERROR(U8/U5,"")</f>
        <v/>
      </c>
      <c r="V39" s="21">
        <f>IFERROR(V8/V5,"")</f>
        <v/>
      </c>
      <c r="W39" s="21">
        <f>IFERROR(W8/W5,"")</f>
        <v/>
      </c>
      <c r="X39" s="21">
        <f>IFERROR(X8/X5,"")</f>
        <v/>
      </c>
      <c r="Y39" s="21">
        <f>IFERROR(Y8/Y5,"")</f>
        <v/>
      </c>
      <c r="Z39" s="22">
        <f>IFERROR(Z8/Z5,"")</f>
        <v/>
      </c>
      <c r="AA39" s="21">
        <f>IFERROR(AA8/AA5,"")</f>
        <v/>
      </c>
      <c r="AB39" s="23">
        <f>IFERROR(AB8/AB5,"")</f>
        <v/>
      </c>
      <c r="AC39" s="32">
        <f>IFERROR(AC8/AC5,"")</f>
        <v/>
      </c>
      <c r="AD39" s="32">
        <f>IFERROR(AD8/AD5,"")</f>
        <v/>
      </c>
      <c r="AE39" s="25">
        <f>IFERROR(AE8/AE5,"")</f>
        <v/>
      </c>
      <c r="AF39" s="32">
        <f>IFERROR(AF8/AF5,"")</f>
        <v/>
      </c>
      <c r="AG39" s="32">
        <f>IFERROR(AG8/AG5,"")</f>
        <v/>
      </c>
      <c r="AH39" s="32">
        <f>IFERROR(AH8/AH5,"")</f>
        <v/>
      </c>
      <c r="AI39" s="32">
        <f>IFERROR(AI8/AI5,"")</f>
        <v/>
      </c>
      <c r="AJ39" s="25">
        <f>IFERROR(AJ8/AJ5,"")</f>
        <v/>
      </c>
      <c r="AK39" s="32">
        <f>IFERROR(AK8/AK5,"")</f>
        <v/>
      </c>
      <c r="AL39" s="32">
        <f>IFERROR(AL8/AL5,"")</f>
        <v/>
      </c>
      <c r="AM39" s="32">
        <f>IFERROR(AM8/AM5,"")</f>
        <v/>
      </c>
      <c r="AN39" s="32">
        <f>IFERROR(AN8/AN5,"")</f>
        <v/>
      </c>
      <c r="AO39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변수!D40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27">
        <f>IFERROR(VLOOKUP($A28,subQ,MATCH(I$1,SUBQH,0),0),"")</f>
        <v/>
      </c>
      <c r="J28" s="27">
        <f>IFERROR(VLOOKUP($A28,subQ,MATCH(J$1,SUBQH,0),0),"")</f>
        <v/>
      </c>
      <c r="K28" s="27">
        <f>IFERROR(VLOOKUP($A28,subQ,MATCH(K$1,SUBQH,0),0),"")</f>
        <v/>
      </c>
      <c r="L28" s="27">
        <f>IFERROR(VLOOKUP($A28,subQ,MATCH(L$1,SUBQH,0),0),"")</f>
        <v/>
      </c>
      <c r="M28" s="27">
        <f>IFERROR(VLOOKUP($A28,subQ,MATCH(M$1,SUBQH,0),0),"")</f>
        <v/>
      </c>
      <c r="N28" s="27">
        <f>IFERROR(VLOOKUP($A28,subQ,MATCH(N$1,SUBQH,0),0),"")</f>
        <v/>
      </c>
      <c r="O28" s="27">
        <f>IFERROR(VLOOKUP($A28,subQ,MATCH(O$1,SUBQH,0),0),"")</f>
        <v/>
      </c>
      <c r="P28" s="27">
        <f>IFERROR(VLOOKUP($A28,subQ,MATCH(P$1,SUBQH,0),0),"")</f>
        <v/>
      </c>
      <c r="Q28" s="27">
        <f>IFERROR(VLOOKUP($A28,subQ,MATCH(Q$1,SUBQH,0),0),"")</f>
        <v/>
      </c>
      <c r="R28" s="27">
        <f>IFERROR(VLOOKUP($A28,subQ,MATCH(R$1,SUBQH,0),0),"")</f>
        <v/>
      </c>
      <c r="S28" s="27">
        <f>IFERROR(VLOOKUP($A28,subQ,MATCH(S$1,SUBQH,0),0),"")</f>
        <v/>
      </c>
      <c r="T28" s="27">
        <f>IFERROR(VLOOKUP($A28,subQ,MATCH(T$1,SUBQH,0),0),"")</f>
        <v/>
      </c>
      <c r="U28" s="27">
        <f>IFERROR(VLOOKUP($A28,subQ,MATCH(U$1,SUBQH,0),0),"")</f>
        <v/>
      </c>
      <c r="V28" s="27">
        <f>IFERROR(VLOOKUP($A28,subQ,MATCH(V$1,SUBQH,0),0),"")</f>
        <v/>
      </c>
      <c r="W28" s="47">
        <f>IFERROR(VLOOKUP($A28,subQ,MATCH(W$1,SUBQH,0),0),"")</f>
        <v/>
      </c>
      <c r="X28" s="33">
        <f>IFERROR(VLOOKUP($A28,subQ,MATCH(X$1,SUBQH,0),0),"")</f>
        <v/>
      </c>
      <c r="Y28" s="33">
        <f>IFERROR(VLOOKUP($A28,subQ,MATCH(Y$1,SUBQH,0),0),"")</f>
        <v/>
      </c>
      <c r="Z28" s="33">
        <f>IFERROR(VLOOKUP($A28,subQ,MATCH(Z$1,SUBQH,0),0),"")</f>
        <v/>
      </c>
      <c r="AA28" s="33">
        <f>IFERROR(VLOOKUP($A28,subQ,MATCH(AA$1,SUBQH,0),0),"")</f>
        <v/>
      </c>
      <c r="AB28" s="33">
        <f>IFERROR(VLOOKUP($A28,subQ,MATCH(AB$1,SUBQH,0),0),"")</f>
        <v/>
      </c>
      <c r="AC28" s="33">
        <f>IFERROR(VLOOKUP($A28,subQ,MATCH(AC$1,SUBQH,0),0),"")</f>
        <v/>
      </c>
      <c r="AD28" s="33">
        <f>IFERROR(VLOOKUP($A28,subQ,MATCH(AD$1,SUBQH,0),0),"")</f>
        <v/>
      </c>
      <c r="AE28" s="33">
        <f>IFERROR(VLOOKUP($A28,subQ,MATCH(AE$1,SUBQH,0),0),"")</f>
        <v/>
      </c>
      <c r="AF28" s="33">
        <f>IFERROR(VLOOKUP($A28,subQ,MATCH(AF$1,SUBQH,0),0),"")</f>
        <v/>
      </c>
      <c r="AG28" s="33">
        <f>IFERROR(VLOOKUP($A28,subQ,MATCH(AG$1,SUBQH,0),0),"")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13">
        <f>IFERROR(VLOOKUP($A32,subQ,MATCH(I$1,SUBQH,0),0),"")</f>
        <v/>
      </c>
      <c r="J32" s="13">
        <f>IFERROR(VLOOKUP($A32,subQ,MATCH(J$1,SUBQH,0),0),"")</f>
        <v/>
      </c>
      <c r="K32" s="13">
        <f>IFERROR(VLOOKUP($A32,subQ,MATCH(K$1,SUBQH,0),0),"")</f>
        <v/>
      </c>
      <c r="L32" s="13">
        <f>IFERROR(VLOOKUP($A32,subQ,MATCH(L$1,SUBQH,0),0),"")</f>
        <v/>
      </c>
      <c r="M32" s="13">
        <f>IFERROR(VLOOKUP($A32,subQ,MATCH(M$1,SUBQH,0),0),"")</f>
        <v/>
      </c>
      <c r="N32" s="13">
        <f>IFERROR(VLOOKUP($A32,subQ,MATCH(N$1,SUBQH,0),0),"")</f>
        <v/>
      </c>
      <c r="O32" s="13">
        <f>IFERROR(VLOOKUP($A32,subQ,MATCH(O$1,SUBQH,0),0),"")</f>
        <v/>
      </c>
      <c r="P32" s="13">
        <f>IFERROR(VLOOKUP($A32,subQ,MATCH(P$1,SUBQH,0),0),"")</f>
        <v/>
      </c>
      <c r="Q32" s="13">
        <f>IFERROR(VLOOKUP($A32,subQ,MATCH(Q$1,SUBQH,0),0),"")</f>
        <v/>
      </c>
      <c r="R32" s="13">
        <f>IFERROR(VLOOKUP($A32,subQ,MATCH(R$1,SUBQH,0),0),"")</f>
        <v/>
      </c>
      <c r="S32" s="13">
        <f>IFERROR(VLOOKUP($A32,subQ,MATCH(S$1,SUBQH,0),0),"")</f>
        <v/>
      </c>
      <c r="T32" s="13">
        <f>IFERROR(VLOOKUP($A32,subQ,MATCH(T$1,SUBQH,0),0),"")</f>
        <v/>
      </c>
      <c r="U32" s="13">
        <f>IFERROR(VLOOKUP($A32,subQ,MATCH(U$1,SUBQH,0),0),"")</f>
        <v/>
      </c>
      <c r="V32" s="13">
        <f>IFERROR(VLOOKUP($A32,subQ,MATCH(V$1,SUBQH,0),0),"")</f>
        <v/>
      </c>
      <c r="W32" s="48">
        <f>IFERROR(VLOOKUP($A32,subQ,MATCH(W$1,SUBQH,0),0),"")</f>
        <v/>
      </c>
      <c r="X32" s="39">
        <f>IFERROR(VLOOKUP($A32,subQ,MATCH(X$1,SUBQH,0),0),"")</f>
        <v/>
      </c>
      <c r="Y32" s="39">
        <f>IFERROR(VLOOKUP($A32,subQ,MATCH(Y$1,SUBQH,0),0),"")</f>
        <v/>
      </c>
      <c r="Z32" s="39">
        <f>IFERROR(VLOOKUP($A32,subQ,MATCH(Z$1,SUBQH,0),0),"")</f>
        <v/>
      </c>
      <c r="AA32" s="39">
        <f>IFERROR(VLOOKUP($A32,subQ,MATCH(AA$1,SUBQH,0),0),"")</f>
        <v/>
      </c>
      <c r="AB32" s="39">
        <f>IFERROR(VLOOKUP($A32,subQ,MATCH(AB$1,SUBQH,0),0),"")</f>
        <v/>
      </c>
      <c r="AC32" s="39">
        <f>IFERROR(VLOOKUP($A32,subQ,MATCH(AC$1,SUBQH,0),0),"")</f>
        <v/>
      </c>
      <c r="AD32" s="39">
        <f>IFERROR(VLOOKUP($A32,subQ,MATCH(AD$1,SUBQH,0),0),"")</f>
        <v/>
      </c>
      <c r="AE32" s="39">
        <f>IFERROR(VLOOKUP($A32,subQ,MATCH(AE$1,SUBQH,0),0),"")</f>
        <v/>
      </c>
      <c r="AF32" s="39">
        <f>IFERROR(VLOOKUP($A32,subQ,MATCH(AF$1,SUBQH,0),0),"")</f>
        <v/>
      </c>
      <c r="AG32" s="39">
        <f>IFERROR(VLOOKUP($A32,subQ,MATCH(AG$1,SUBQH,0),0),"")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21">
        <f>IFERROR(VLOOKUP($A36,subQ,MATCH(I$1,SUBQH,0),0),"")</f>
        <v/>
      </c>
      <c r="J36" s="21">
        <f>IFERROR(VLOOKUP($A36,subQ,MATCH(J$1,SUBQH,0),0),"")</f>
        <v/>
      </c>
      <c r="K36" s="21">
        <f>IFERROR(VLOOKUP($A36,subQ,MATCH(K$1,SUBQH,0),0),"")</f>
        <v/>
      </c>
      <c r="L36" s="21">
        <f>IFERROR(VLOOKUP($A36,subQ,MATCH(L$1,SUBQH,0),0),"")</f>
        <v/>
      </c>
      <c r="M36" s="21">
        <f>IFERROR(VLOOKUP($A36,subQ,MATCH(M$1,SUBQH,0),0),"")</f>
        <v/>
      </c>
      <c r="N36" s="21">
        <f>IFERROR(VLOOKUP($A36,subQ,MATCH(N$1,SUBQH,0),0),"")</f>
        <v/>
      </c>
      <c r="O36" s="21">
        <f>IFERROR(VLOOKUP($A36,subQ,MATCH(O$1,SUBQH,0),0),"")</f>
        <v/>
      </c>
      <c r="P36" s="21">
        <f>IFERROR(VLOOKUP($A36,subQ,MATCH(P$1,SUBQH,0),0),"")</f>
        <v/>
      </c>
      <c r="Q36" s="21">
        <f>IFERROR(VLOOKUP($A36,subQ,MATCH(Q$1,SUBQH,0),0),"")</f>
        <v/>
      </c>
      <c r="R36" s="21">
        <f>IFERROR(VLOOKUP($A36,subQ,MATCH(R$1,SUBQH,0),0),"")</f>
        <v/>
      </c>
      <c r="S36" s="21">
        <f>IFERROR(VLOOKUP($A36,subQ,MATCH(S$1,SUBQH,0),0),"")</f>
        <v/>
      </c>
      <c r="T36" s="21">
        <f>IFERROR(VLOOKUP($A36,subQ,MATCH(T$1,SUBQH,0),0),"")</f>
        <v/>
      </c>
      <c r="U36" s="21">
        <f>IFERROR(VLOOKUP($A36,subQ,MATCH(U$1,SUBQH,0),0),"")</f>
        <v/>
      </c>
      <c r="V36" s="21">
        <f>IFERROR(VLOOKUP($A36,subQ,MATCH(V$1,SUBQH,0),0),"")</f>
        <v/>
      </c>
      <c r="W36" s="46">
        <f>IFERROR(VLOOKUP($A36,subQ,MATCH(W$1,SUBQH,0),0),"")</f>
        <v/>
      </c>
      <c r="X36" s="32">
        <f>IFERROR(VLOOKUP($A36,subQ,MATCH(X$1,SUBQH,0),0),"")</f>
        <v/>
      </c>
      <c r="Y36" s="32">
        <f>IFERROR(VLOOKUP($A36,subQ,MATCH(Y$1,SUBQH,0),0),"")</f>
        <v/>
      </c>
      <c r="Z36" s="32">
        <f>IFERROR(VLOOKUP($A36,subQ,MATCH(Z$1,SUBQH,0),0),"")</f>
        <v/>
      </c>
      <c r="AA36" s="32">
        <f>IFERROR(VLOOKUP($A36,subQ,MATCH(AA$1,SUBQH,0),0),"")</f>
        <v/>
      </c>
      <c r="AB36" s="32">
        <f>IFERROR(VLOOKUP($A36,subQ,MATCH(AB$1,SUBQH,0),0),"")</f>
        <v/>
      </c>
      <c r="AC36" s="32">
        <f>IFERROR(VLOOKUP($A36,subQ,MATCH(AC$1,SUBQH,0),0),"")</f>
        <v/>
      </c>
      <c r="AD36" s="32">
        <f>IFERROR(VLOOKUP($A36,subQ,MATCH(AD$1,SUBQH,0),0),"")</f>
        <v/>
      </c>
      <c r="AE36" s="32">
        <f>IFERROR(VLOOKUP($A36,subQ,MATCH(AE$1,SUBQH,0),0),"")</f>
        <v/>
      </c>
      <c r="AF36" s="32">
        <f>IFERROR(VLOOKUP($A36,subQ,MATCH(AF$1,SUBQH,0),0),"")</f>
        <v/>
      </c>
      <c r="AG36" s="32">
        <f>IFERROR(VLOOKUP($A36,subQ,MATCH(AG$1,SUBQH,0),0),"")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I37" s="21">
        <f>IFERROR(I5/E5-1,"")</f>
        <v/>
      </c>
      <c r="J37" s="21">
        <f>IFERROR(J5/F5-1,"")</f>
        <v/>
      </c>
      <c r="K37" s="21">
        <f>IFERROR(K5/G5-1,"")</f>
        <v/>
      </c>
      <c r="L37" s="21">
        <f>IFERROR(L5/H5-1,"")</f>
        <v/>
      </c>
      <c r="M37" s="21">
        <f>IFERROR(M5/I5-1,"")</f>
        <v/>
      </c>
      <c r="N37" s="21">
        <f>IFERROR(N5/J5-1,"")</f>
        <v/>
      </c>
      <c r="O37" s="21">
        <f>IFERROR(O5/K5-1,"")</f>
        <v/>
      </c>
      <c r="P37" s="21">
        <f>IFERROR(P5/L5-1,"")</f>
        <v/>
      </c>
      <c r="Q37" s="21">
        <f>IFERROR(Q5/M5-1,"")</f>
        <v/>
      </c>
      <c r="R37" s="21">
        <f>IFERROR(R5/N5-1,"")</f>
        <v/>
      </c>
      <c r="S37" s="21">
        <f>IFERROR(S5/O5-1,"")</f>
        <v/>
      </c>
      <c r="T37" s="21">
        <f>IFERROR(T5/P5-1,"")</f>
        <v/>
      </c>
      <c r="U37" s="21">
        <f>IFERROR(U5/Q5-1,"")</f>
        <v/>
      </c>
      <c r="V37" s="21">
        <f>IFERROR(V5/R5-1,"")</f>
        <v/>
      </c>
      <c r="W37" s="46">
        <f>IFERROR(W5/S5-1,"")</f>
        <v/>
      </c>
      <c r="X37" s="32">
        <f>IFERROR(X5/T5-1,"")</f>
        <v/>
      </c>
      <c r="Y37" s="32">
        <f>IFERROR(Y5/U5-1,"")</f>
        <v/>
      </c>
      <c r="Z37" s="32">
        <f>IFERROR(Z5/V5-1,"")</f>
        <v/>
      </c>
      <c r="AA37" s="32">
        <f>IFERROR(AA5/W5-1,"")</f>
        <v/>
      </c>
      <c r="AB37" s="32">
        <f>IFERROR(AB5/X5-1,"")</f>
        <v/>
      </c>
      <c r="AC37" s="32">
        <f>IFERROR(AC5/Y5-1,"")</f>
        <v/>
      </c>
      <c r="AD37" s="32">
        <f>IFERROR(AD5/Z5-1,"")</f>
        <v/>
      </c>
      <c r="AE37" s="32">
        <f>IFERROR(AE5/AA5-1,"")</f>
        <v/>
      </c>
      <c r="AF37" s="32">
        <f>IFERROR(AF5/AB5-1,"")</f>
        <v/>
      </c>
      <c r="AG37" s="32">
        <f>IFERROR(AG5/AC5-1,"")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I38" s="21">
        <f>IFERROR(I9/E9-1,"")</f>
        <v/>
      </c>
      <c r="J38" s="21">
        <f>IFERROR(J9/F9-1,"")</f>
        <v/>
      </c>
      <c r="K38" s="21">
        <f>IFERROR(K9/G9-1,"")</f>
        <v/>
      </c>
      <c r="L38" s="21">
        <f>IFERROR(L9/H9-1,"")</f>
        <v/>
      </c>
      <c r="M38" s="21">
        <f>IFERROR(M9/I9-1,"")</f>
        <v/>
      </c>
      <c r="N38" s="21">
        <f>IFERROR(N9/J9-1,"")</f>
        <v/>
      </c>
      <c r="O38" s="21">
        <f>IFERROR(O9/K9-1,"")</f>
        <v/>
      </c>
      <c r="P38" s="21">
        <f>IFERROR(P9/L9-1,"")</f>
        <v/>
      </c>
      <c r="Q38" s="21">
        <f>IFERROR(Q9/M9-1,"")</f>
        <v/>
      </c>
      <c r="R38" s="21">
        <f>IFERROR(R9/N9-1,"")</f>
        <v/>
      </c>
      <c r="S38" s="21">
        <f>IFERROR(S9/O9-1,"")</f>
        <v/>
      </c>
      <c r="T38" s="21">
        <f>IFERROR(T9/P9-1,"")</f>
        <v/>
      </c>
      <c r="U38" s="21">
        <f>IFERROR(U9/Q9-1,"")</f>
        <v/>
      </c>
      <c r="V38" s="21">
        <f>IFERROR(V9/R9-1,"")</f>
        <v/>
      </c>
      <c r="W38" s="46">
        <f>IFERROR(W9/S9-1,"")</f>
        <v/>
      </c>
      <c r="X38" s="32">
        <f>IFERROR(X9/T9-1,"")</f>
        <v/>
      </c>
      <c r="Y38" s="32">
        <f>IFERROR(Y9/U9-1,"")</f>
        <v/>
      </c>
      <c r="Z38" s="32">
        <f>IFERROR(Z9/V9-1,"")</f>
        <v/>
      </c>
      <c r="AA38" s="32">
        <f>IFERROR(AA9/W9-1,"")</f>
        <v/>
      </c>
      <c r="AB38" s="32">
        <f>IFERROR(AB9/X9-1,"")</f>
        <v/>
      </c>
      <c r="AC38" s="32">
        <f>IFERROR(AC9/Y9-1,"")</f>
        <v/>
      </c>
      <c r="AD38" s="32">
        <f>IFERROR(AD9/Z9-1,"")</f>
        <v/>
      </c>
      <c r="AE38" s="32">
        <f>IFERROR(AE9/AA9-1,"")</f>
        <v/>
      </c>
      <c r="AF38" s="32">
        <f>IFERROR(AF9/AB9-1,"")</f>
        <v/>
      </c>
      <c r="AG38" s="32">
        <f>IFERROR(AG9/AC9-1,"")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I39" s="21">
        <f>IFERROR(I17/E17-1,"")</f>
        <v/>
      </c>
      <c r="J39" s="21">
        <f>IFERROR(J17/F17-1,"")</f>
        <v/>
      </c>
      <c r="K39" s="21">
        <f>IFERROR(K17/G17-1,"")</f>
        <v/>
      </c>
      <c r="L39" s="21">
        <f>IFERROR(L17/H17-1,"")</f>
        <v/>
      </c>
      <c r="M39" s="21">
        <f>IFERROR(M17/I17-1,"")</f>
        <v/>
      </c>
      <c r="N39" s="21">
        <f>IFERROR(N17/J17-1,"")</f>
        <v/>
      </c>
      <c r="O39" s="21">
        <f>IFERROR(O17/K17-1,"")</f>
        <v/>
      </c>
      <c r="P39" s="21">
        <f>IFERROR(P17/L17-1,"")</f>
        <v/>
      </c>
      <c r="Q39" s="21">
        <f>IFERROR(Q17/M17-1,"")</f>
        <v/>
      </c>
      <c r="R39" s="21">
        <f>IFERROR(R17/N17-1,"")</f>
        <v/>
      </c>
      <c r="S39" s="21">
        <f>IFERROR(S17/O17-1,"")</f>
        <v/>
      </c>
      <c r="T39" s="21">
        <f>IFERROR(T17/P17-1,"")</f>
        <v/>
      </c>
      <c r="U39" s="21">
        <f>IFERROR(U17/Q17-1,"")</f>
        <v/>
      </c>
      <c r="V39" s="21">
        <f>IFERROR(V17/R17-1,"")</f>
        <v/>
      </c>
      <c r="W39" s="46">
        <f>IFERROR(W17/S17-1,"")</f>
        <v/>
      </c>
      <c r="X39" s="32">
        <f>IFERROR(X17/T17-1,"")</f>
        <v/>
      </c>
      <c r="Y39" s="32">
        <f>IFERROR(Y17/U17-1,"")</f>
        <v/>
      </c>
      <c r="Z39" s="32">
        <f>IFERROR(Z17/V17-1,"")</f>
        <v/>
      </c>
      <c r="AA39" s="32">
        <f>IFERROR(AA17/W17-1,"")</f>
        <v/>
      </c>
      <c r="AB39" s="32">
        <f>IFERROR(AB17/X17-1,"")</f>
        <v/>
      </c>
      <c r="AC39" s="32">
        <f>IFERROR(AC17/Y17-1,"")</f>
        <v/>
      </c>
      <c r="AD39" s="32">
        <f>IFERROR(AD17/Z17-1,"")</f>
        <v/>
      </c>
      <c r="AE39" s="32">
        <f>IFERROR(AE17/AA17-1,"")</f>
        <v/>
      </c>
      <c r="AF39" s="32">
        <f>IFERROR(AF17/AB17-1,"")</f>
        <v/>
      </c>
      <c r="AG39" s="32">
        <f>IFERROR(AG17/AC17-1,"")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변수!D40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총차입금</t>
        </is>
      </c>
      <c r="D22" t="inlineStr">
        <is>
          <t>총차입금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순차입금</t>
        </is>
      </c>
      <c r="D23" t="inlineStr">
        <is>
          <t>순차입금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47">
        <f>IFERROR(VLOOKUP($A28,subQ,MATCH(I$1,SUBQH,0),0),"")</f>
        <v/>
      </c>
      <c r="J28" s="33">
        <f>IFERROR(VLOOKUP($A28,subQ,MATCH(J$1,SUBQH,0),0),"")</f>
        <v/>
      </c>
      <c r="K28" s="33">
        <f>IFERROR(VLOOKUP($A28,subQ,MATCH(K$1,SUBQH,0),0),"")</f>
        <v/>
      </c>
      <c r="L28" s="33">
        <f>IFERROR(VLOOKUP($A28,subQ,MATCH(L$1,SUBQH,0),0),"")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48">
        <f>IFERROR(VLOOKUP($A32,subQ,MATCH(I$1,SUBQH,0),0),"")</f>
        <v/>
      </c>
      <c r="J32" s="39">
        <f>IFERROR(VLOOKUP($A32,subQ,MATCH(J$1,SUBQH,0),0),"")</f>
        <v/>
      </c>
      <c r="K32" s="39">
        <f>IFERROR(VLOOKUP($A32,subQ,MATCH(K$1,SUBQH,0),0),"")</f>
        <v/>
      </c>
      <c r="L32" s="39">
        <f>IFERROR(VLOOKUP($A32,subQ,MATCH(L$1,SUBQH,0),0),"")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46">
        <f>IFERROR(VLOOKUP($A36,subQ,MATCH(I$1,SUBQH,0),0),"")</f>
        <v/>
      </c>
      <c r="J36" s="32">
        <f>IFERROR(VLOOKUP($A36,subQ,MATCH(J$1,SUBQH,0),0),"")</f>
        <v/>
      </c>
      <c r="K36" s="32">
        <f>IFERROR(VLOOKUP($A36,subQ,MATCH(K$1,SUBQH,0),0),"")</f>
        <v/>
      </c>
      <c r="L36" s="32">
        <f>IFERROR(VLOOKUP($A36,subQ,MATCH(L$1,SUBQH,0),0),"")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F37" s="21">
        <f>IFERROR(F5/E5-1,"")</f>
        <v/>
      </c>
      <c r="G37" s="21">
        <f>IFERROR(G5/F5-1,"")</f>
        <v/>
      </c>
      <c r="H37" s="21">
        <f>IFERROR(H5/G5-1,"")</f>
        <v/>
      </c>
      <c r="I37" s="46">
        <f>IFERROR(I5/H5-1,"")</f>
        <v/>
      </c>
      <c r="J37" s="32">
        <f>IFERROR(J5/I5-1,"")</f>
        <v/>
      </c>
      <c r="K37" s="32">
        <f>IFERROR(K5/J5-1,"")</f>
        <v/>
      </c>
      <c r="L37" s="32">
        <f>IFERROR(L5/K5-1,"")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F38" s="21">
        <f>IFERROR(F9/E9-1,"")</f>
        <v/>
      </c>
      <c r="G38" s="21">
        <f>IFERROR(G9/F9-1,"")</f>
        <v/>
      </c>
      <c r="H38" s="21">
        <f>IFERROR(H9/G9-1,"")</f>
        <v/>
      </c>
      <c r="I38" s="46">
        <f>IFERROR(I9/H9-1,"")</f>
        <v/>
      </c>
      <c r="J38" s="32">
        <f>IFERROR(J9/I9-1,"")</f>
        <v/>
      </c>
      <c r="K38" s="32">
        <f>IFERROR(K9/J9-1,"")</f>
        <v/>
      </c>
      <c r="L38" s="32">
        <f>IFERROR(L9/K9-1,"")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F39" s="21">
        <f>IFERROR(F17/E17-1,"")</f>
        <v/>
      </c>
      <c r="G39" s="21">
        <f>IFERROR(G17/F17-1,"")</f>
        <v/>
      </c>
      <c r="H39" s="21">
        <f>IFERROR(H17/G17-1,"")</f>
        <v/>
      </c>
      <c r="I39" s="46">
        <f>IFERROR(I17/H17-1,"")</f>
        <v/>
      </c>
      <c r="J39" s="32">
        <f>IFERROR(J17/I17-1,"")</f>
        <v/>
      </c>
      <c r="K39" s="32">
        <f>IFERROR(K17/J17-1,"")</f>
        <v/>
      </c>
      <c r="L39" s="32">
        <f>IFERROR(L17/K17-1,"")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변수!D40</f>
        <v/>
      </c>
    </row>
    <row r="2">
      <c r="B2" s="1" t="inlineStr">
        <is>
          <t>기준일</t>
        </is>
      </c>
      <c r="C2">
        <f>변수!D41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IFERROR(E7*변수!D46+F7*(1-변수!D46),"")</f>
        <v/>
      </c>
    </row>
    <row r="15">
      <c r="C15" t="inlineStr">
        <is>
          <t>적정가치 @PER_lo</t>
        </is>
      </c>
      <c r="D15" s="27">
        <f>변수!D43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변수!D44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변수!D45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변수!D42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1451.5</v>
      </c>
    </row>
    <row r="30">
      <c r="C30" s="2" t="inlineStr">
        <is>
          <t>bps_latest</t>
        </is>
      </c>
      <c r="D30" t="n">
        <v>9994</v>
      </c>
    </row>
    <row r="31">
      <c r="C31" s="2" t="inlineStr">
        <is>
          <t>per_now</t>
        </is>
      </c>
      <c r="D31" t="n">
        <v>4.91</v>
      </c>
    </row>
    <row r="32">
      <c r="C32" s="2" t="inlineStr">
        <is>
          <t>pbr_now</t>
        </is>
      </c>
      <c r="D32" t="n">
        <v>0.71</v>
      </c>
    </row>
    <row r="33">
      <c r="C33" s="2" t="inlineStr">
        <is>
          <t>roe_fwd</t>
        </is>
      </c>
      <c r="D33" t="n">
        <v>0.1452</v>
      </c>
    </row>
    <row r="34">
      <c r="C34" s="2" t="inlineStr">
        <is>
          <t>fair_pbr</t>
        </is>
      </c>
      <c r="D34" t="n">
        <v>1.61</v>
      </c>
    </row>
    <row r="35">
      <c r="C35" s="2" t="inlineStr">
        <is>
          <t>fair_value_pbr</t>
        </is>
      </c>
      <c r="D35" t="n">
        <v>16100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변수!D53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