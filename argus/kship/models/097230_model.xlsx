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BS별도!$C$5:$AO$91</definedName>
    <definedName name="SUBQH">subQ!$A$1:$AO$1</definedName>
    <definedName name="subQ">subQ!$A$5:$AO$42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5.36%(최근 4분기 중위)</t>
      </text>
    </comment>
    <comment ref="AD22" authorId="0" shapeId="0">
      <text>
        <t>모델값 역산(implied): v / 매출액
매출액 × 판관비율 5.36%(최근 4분기 중위)</t>
      </text>
    </comment>
    <comment ref="AF22" authorId="0" shapeId="0">
      <text>
        <t>모델값 역산(implied): v / 매출액
매출액 × 판관비율 5.36%(최근 4분기 중위)</t>
      </text>
    </comment>
    <comment ref="AG22" authorId="0" shapeId="0">
      <text>
        <t>모델값 역산(implied): v / 매출액
매출액 × 판관비율 5.36%(최근 4분기 중위)</t>
      </text>
    </comment>
    <comment ref="AH22" authorId="0" shapeId="0">
      <text>
        <t>모델값 역산(implied): v / 매출액
매출액 × 판관비율 5.36%(최근 4분기 중위)</t>
      </text>
    </comment>
    <comment ref="AI22" authorId="0" shapeId="0">
      <text>
        <t>모델값 역산(implied): v / 매출액
매출액 × 판관비율 5.36%(최근 4분기 중위)</t>
      </text>
    </comment>
    <comment ref="AK22" authorId="0" shapeId="0">
      <text>
        <t>모델값 역산(implied): v / 매출액
매출액 × 판관비율 5.36%(최근 4분기 중위)</t>
      </text>
    </comment>
    <comment ref="AL22" authorId="0" shapeId="0">
      <text>
        <t>모델값 역산(implied): v / 매출액
매출액 × 판관비율 5.36%(최근 4분기 중위)</t>
      </text>
    </comment>
    <comment ref="AM22" authorId="0" shapeId="0">
      <text>
        <t>모델값 역산(implied): v / 매출액
매출액 × 판관비율 5.36%(최근 4분기 중위)</t>
      </text>
    </comment>
    <comment ref="AN22" authorId="0" shapeId="0">
      <text>
        <t>모델값 역산(implied): v / 매출액
매출액 × 판관비율 5.36%(최근 4분기 중위)</t>
      </text>
    </comment>
    <comment ref="AC23" authorId="0" shapeId="0">
      <text>
        <t>모델값 역산(implied): v / 매출액
매출액 × OPM(SLS 코호트 타겟 4.7% + 회사 캘리브레이션 +4.3%p(최근 3분기 실측−타겟 중위))</t>
      </text>
    </comment>
    <comment ref="AD23" authorId="0" shapeId="0">
      <text>
        <t>모델값 역산(implied): v / 매출액
매출액 × OPM(SLS 코호트 타겟 4.8% + 회사 캘리브레이션 +4.3%p(최근 3분기 실측−타겟 중위))</t>
      </text>
    </comment>
    <comment ref="AF23" authorId="0" shapeId="0">
      <text>
        <t>모델값 역산(implied): v / 매출액
매출액 × OPM(SLS 코호트 타겟 4.8% + 회사 캘리브레이션 +4.3%p(최근 3분기 실측−타겟 중위))</t>
      </text>
    </comment>
    <comment ref="AG23" authorId="0" shapeId="0">
      <text>
        <t>모델값 역산(implied): v / 매출액
매출액 × OPM(SLS 코호트 타겟 4.8% + 회사 캘리브레이션 +4.3%p(최근 3분기 실측−타겟 중위))</t>
      </text>
    </comment>
    <comment ref="AH23" authorId="0" shapeId="0">
      <text>
        <t>모델값 역산(implied): v / 매출액
매출액 × OPM(SLS 코호트 타겟 4.8% + 회사 캘리브레이션 +4.3%p(최근 3분기 실측−타겟 중위))</t>
      </text>
    </comment>
    <comment ref="AI23" authorId="0" shapeId="0">
      <text>
        <t>모델값 역산(implied): v / 매출액
매출액 × OPM(SLS 코호트 타겟 4.8% + 회사 캘리브레이션 +4.3%p(최근 3분기 실측−타겟 중위))</t>
      </text>
    </comment>
    <comment ref="AK23" authorId="0" shapeId="0">
      <text>
        <t>모델값 역산(implied): v / 매출액
매출액 × OPM(SLS 코호트 타겟 4.8% + 회사 캘리브레이션 +4.3%p(최근 3분기 실측−타겟 중위))</t>
      </text>
    </comment>
    <comment ref="AL23" authorId="0" shapeId="0">
      <text>
        <t>모델값 역산(implied): v / 매출액
매출액 × OPM(SLS 코호트 타겟 4.8% + 회사 캘리브레이션 +4.3%p(최근 3분기 실측−타겟 중위))</t>
      </text>
    </comment>
    <comment ref="AM23" authorId="0" shapeId="0">
      <text>
        <t>모델값 역산(implied): v / 매출액
매출액 × OPM(SLS 코호트 타겟 4.7% + 회사 캘리브레이션 +4.3%p(최근 3분기 실측−타겟 중위))</t>
      </text>
    </comment>
    <comment ref="AN23" authorId="0" shapeId="0">
      <text>
        <t>모델값 역산(implied): v / 매출액
매출액 × OPM(SLS 코호트 타겟 4.7% + 회사 캘리브레이션 +4.3%p(최근 3분기 실측−타겟 중위))</t>
      </text>
    </comment>
    <comment ref="AC24" authorId="0" shapeId="0">
      <text>
        <t>모델값 역산(implied): v / 전년동기 − 1
SLS 코호트 타겟 4.7% + 회사 캘리브레이션 +4.3%p(최근 3분기 실측−타겟 중위)</t>
      </text>
    </comment>
    <comment ref="AD24" authorId="0" shapeId="0">
      <text>
        <t>모델값 역산(implied): v / 전년동기 − 1
SLS 코호트 타겟 4.8% + 회사 캘리브레이션 +4.3%p(최근 3분기 실측−타겟 중위)</t>
      </text>
    </comment>
    <comment ref="AF24" authorId="0" shapeId="0">
      <text>
        <t>모델값 역산(implied): v / 전년동기 − 1
SLS 코호트 타겟 4.8% + 회사 캘리브레이션 +4.3%p(최근 3분기 실측−타겟 중위)</t>
      </text>
    </comment>
    <comment ref="AG24" authorId="0" shapeId="0">
      <text>
        <t>모델값 역산(implied): v / 전년동기 − 1
SLS 코호트 타겟 4.8% + 회사 캘리브레이션 +4.3%p(최근 3분기 실측−타겟 중위)</t>
      </text>
    </comment>
    <comment ref="AH24" authorId="0" shapeId="0">
      <text>
        <t>모델값 역산(implied): v / 전년동기 − 1
SLS 코호트 타겟 4.8% + 회사 캘리브레이션 +4.3%p(최근 3분기 실측−타겟 중위)</t>
      </text>
    </comment>
    <comment ref="AI24" authorId="0" shapeId="0">
      <text>
        <t>모델값 역산(implied): v / 전년동기 − 1
SLS 코호트 타겟 4.8% + 회사 캘리브레이션 +4.3%p(최근 3분기 실측−타겟 중위)</t>
      </text>
    </comment>
    <comment ref="AK24" authorId="0" shapeId="0">
      <text>
        <t>모델값 역산(implied): v / 전년동기 − 1
SLS 코호트 타겟 4.8% + 회사 캘리브레이션 +4.3%p(최근 3분기 실측−타겟 중위)</t>
      </text>
    </comment>
    <comment ref="AL24" authorId="0" shapeId="0">
      <text>
        <t>모델값 역산(implied): v / 전년동기 − 1
SLS 코호트 타겟 4.8% + 회사 캘리브레이션 +4.3%p(최근 3분기 실측−타겟 중위)</t>
      </text>
    </comment>
    <comment ref="AM24" authorId="0" shapeId="0">
      <text>
        <t>모델값 역산(implied): v / 전년동기 − 1
SLS 코호트 타겟 4.7% + 회사 캘리브레이션 +4.3%p(최근 3분기 실측−타겟 중위)</t>
      </text>
    </comment>
    <comment ref="AN24" authorId="0" shapeId="0">
      <text>
        <t>모델값 역산(implied): v / 전년동기 − 1
SLS 코호트 타겟 4.7% + 회사 캘리브레이션 +4.3%p(최근 3분기 실측−타겟 중위)</t>
      </text>
    </comment>
    <comment ref="AC25" authorId="0" shapeId="0">
      <text>
        <t>모델값 역산(implied): 모델 v 그대로
이자손익 = 이자발생자산 2815억 × 2.56% − 총차입금 4751억 × 7.96% (연율, CF 실측) ÷ 4; 환·평가손익 0 가정</t>
      </text>
    </comment>
    <comment ref="AD25" authorId="0" shapeId="0">
      <text>
        <t>모델값 역산(implied): 모델 v 그대로
이자손익 = 이자발생자산 3247억 × 2.56% − 총차입금 4751억 × 7.96% (연율, CF 실측) ÷ 4; 환·평가손익 0 가정</t>
      </text>
    </comment>
    <comment ref="AF25" authorId="0" shapeId="0">
      <text>
        <t>모델값 역산(implied): 모델 v 그대로
이자손익 = 이자발생자산 3739억 × 2.56% − 총차입금 4751억 × 7.96% (연율, CF 실측) ÷ 4; 환·평가손익 0 가정</t>
      </text>
    </comment>
    <comment ref="AG25" authorId="0" shapeId="0">
      <text>
        <t>모델값 역산(implied): 모델 v 그대로
이자손익 = 이자발생자산 4232억 × 2.56% − 총차입금 4751억 × 7.96% (연율, CF 실측) ÷ 4; 환·평가손익 0 가정</t>
      </text>
    </comment>
    <comment ref="AH25" authorId="0" shapeId="0">
      <text>
        <t>모델값 역산(implied): 모델 v 그대로
이자손익 = 이자발생자산 4728억 × 2.56% − 총차입금 4751억 × 7.96% (연율, CF 실측) ÷ 4; 환·평가손익 0 가정</t>
      </text>
    </comment>
    <comment ref="AI25" authorId="0" shapeId="0">
      <text>
        <t>모델값 역산(implied): 모델 v 그대로
이자손익 = 이자발생자산 5067억 × 2.56% − 총차입금 4751억 × 7.96% (연율, CF 실측) ÷ 4; 환·평가손익 0 가정</t>
      </text>
    </comment>
    <comment ref="AK25" authorId="0" shapeId="0">
      <text>
        <t>모델값 역산(implied): 모델 v 그대로
이자손익 = 이자발생자산 5384억 × 2.56% − 총차입금 4751억 × 7.96% (연율, CF 실측) ÷ 4; 환·평가손익 0 가정</t>
      </text>
    </comment>
    <comment ref="AL25" authorId="0" shapeId="0">
      <text>
        <t>모델값 역산(implied): 모델 v 그대로
이자손익 = 이자발생자산 5701억 × 2.56% − 총차입금 4751억 × 7.96% (연율, CF 실측) ÷ 4; 환·평가손익 0 가정</t>
      </text>
    </comment>
    <comment ref="AM25" authorId="0" shapeId="0">
      <text>
        <t>모델값 역산(implied): 모델 v 그대로
이자손익 = 이자발생자산 6020억 × 2.56% − 총차입금 4751억 × 7.96% (연율, CF 실측) ÷ 4; 환·평가손익 0 가정</t>
      </text>
    </comment>
    <comment ref="AN25" authorId="0" shapeId="0">
      <text>
        <t>모델값 역산(implied): 모델 v 그대로
이자손익 = 이자발생자산 6308억 × 2.56% − 총차입금 4751억 × 7.96%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-14.9% → 5~27% 클립)</t>
      </text>
    </comment>
    <comment ref="AD27" authorId="0" shapeId="0">
      <text>
        <t>모델값 역산(implied): v / 세전이익
max(세전, 0) × 세율 5.0%(최근 12분기 유효세율 -14.9% → 5~27% 클립)</t>
      </text>
    </comment>
    <comment ref="AF27" authorId="0" shapeId="0">
      <text>
        <t>모델값 역산(implied): v / 세전이익
max(세전, 0) × 세율 5.0%(최근 12분기 유효세율 -14.9% → 5~27% 클립)</t>
      </text>
    </comment>
    <comment ref="AG27" authorId="0" shapeId="0">
      <text>
        <t>모델값 역산(implied): v / 세전이익
max(세전, 0) × 세율 5.0%(최근 12분기 유효세율 -14.9% → 5~27% 클립)</t>
      </text>
    </comment>
    <comment ref="AH27" authorId="0" shapeId="0">
      <text>
        <t>모델값 역산(implied): v / 세전이익
max(세전, 0) × 세율 5.0%(최근 12분기 유효세율 -14.9% → 5~27% 클립)</t>
      </text>
    </comment>
    <comment ref="AI27" authorId="0" shapeId="0">
      <text>
        <t>모델값 역산(implied): v / 세전이익
max(세전, 0) × 세율 5.0%(최근 12분기 유효세율 -14.9% → 5~27% 클립)</t>
      </text>
    </comment>
    <comment ref="AK27" authorId="0" shapeId="0">
      <text>
        <t>모델값 역산(implied): v / 세전이익
max(세전, 0) × 세율 5.0%(최근 12분기 유효세율 -14.9% → 5~27% 클립)</t>
      </text>
    </comment>
    <comment ref="AL27" authorId="0" shapeId="0">
      <text>
        <t>모델값 역산(implied): v / 세전이익
max(세전, 0) × 세율 5.0%(최근 12분기 유효세율 -14.9% → 5~27% 클립)</t>
      </text>
    </comment>
    <comment ref="AM27" authorId="0" shapeId="0">
      <text>
        <t>모델값 역산(implied): v / 세전이익
max(세전, 0) × 세율 5.0%(최근 12분기 유효세율 -14.9% → 5~27% 클립)</t>
      </text>
    </comment>
    <comment ref="AN27" authorId="0" shapeId="0">
      <text>
        <t>모델값 역산(implied): v / 세전이익
max(세전, 0) × 세율 5.0%(최근 12분기 유효세율 -14.9%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1051억(sls.by_quarter.marine_hedged_krw_m(헤지 70% 적용)) + 원장 밖 잔고 소진 2153억(최근 4분기 '부문매출−SLS' 중위 2153억/분기, 잔여 6734억)</t>
      </text>
    </comment>
    <comment ref="AD43" authorId="0" shapeId="0">
      <text>
        <t>모델값 역산(implied): v / 매출액
SLS 해양 원화 1613억(sls.by_quarter.marine_hedged_krw_m(헤지 70% 적용)) + 원장 밖 잔고 소진 2153억(최근 4분기 '부문매출−SLS' 중위 2153억/분기, 잔여 4581억)</t>
      </text>
    </comment>
    <comment ref="AF43" authorId="0" shapeId="0">
      <text>
        <t>모델값 역산(implied): v / 매출액
SLS 해양 원화 1578억(sls.by_quarter.marine_hedged_krw_m(헤지 70% 적용)) + 원장 밖 잔고 소진 2153억(최근 4분기 '부문매출−SLS' 중위 2153억/분기, 잔여 2428억)</t>
      </text>
    </comment>
    <comment ref="AG43" authorId="0" shapeId="0">
      <text>
        <t>모델값 역산(implied): v / 매출액
SLS 해양 원화 1595억(sls.by_quarter.marine_hedged_krw_m(헤지 70% 적용)) + 원장 밖 잔고 소진 2153억(최근 4분기 '부문매출−SLS' 중위 2153억/분기, 잔여 275억)</t>
      </text>
    </comment>
    <comment ref="AH43" authorId="0" shapeId="0">
      <text>
        <t>모델값 역산(implied): v / 매출액
SLS 해양 원화 1613억(sls.by_quarter.marine_hedged_krw_m(헤지 70% 적용)) + 원장 밖 잔고 소진 275억(최근 4분기 '부문매출−SLS' 중위 2153억/분기, 잔여 0억)</t>
      </text>
    </comment>
    <comment ref="AI43" authorId="0" shapeId="0">
      <text>
        <t>모델값 역산(implied): v / 매출액
SLS 해양 원화 1613억(sls.by_quarter.marine_hedged_krw_m(헤지 70% 적용)) + 원장 밖 잔고 소진 0억(최근 4분기 '부문매출−SLS' 중위 2153억/분기, 잔여 0억)</t>
      </text>
    </comment>
    <comment ref="AK43" authorId="0" shapeId="0">
      <text>
        <t>모델값 역산(implied): v / 매출액
SLS 해양 원화 1595억(sls.by_quarter.marine_hedged_krw_m(헤지 70% 적용)) + 원장 밖 잔고 소진 0억(최근 4분기 '부문매출−SLS' 중위 2153억/분기, 잔여 0억)</t>
      </text>
    </comment>
    <comment ref="AL43" authorId="0" shapeId="0">
      <text>
        <t>모델값 역산(implied): v / 매출액
SLS 해양 원화 1595억(sls.by_quarter.marine_hedged_krw_m(헤지 70% 적용)) + 원장 밖 잔고 소진 0억(최근 4분기 '부문매출−SLS' 중위 2153억/분기, 잔여 0억)</t>
      </text>
    </comment>
    <comment ref="AM43" authorId="0" shapeId="0">
      <text>
        <t>모델값 역산(implied): v / 매출액
SLS 해양 원화 1249억(sls.by_quarter.marine_hedged_krw_m(헤지 70% 적용)) + 원장 밖 잔고 소진 0억(최근 4분기 '부문매출−SLS' 중위 2153억/분기, 잔여 0억)</t>
      </text>
    </comment>
    <comment ref="AN43" authorId="0" shapeId="0">
      <text>
        <t>모델값 역산(implied): v / 매출액
SLS 해양 원화 1004억(sls.by_quarter.marine_hedged_krw_m(헤지 70% 적용)) + 원장 밖 잔고 소진 0억(최근 4분기 '부문매출−SLS' 중위 2153억/분기, 잔여 0억)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2726억 유지</t>
      </text>
    </comment>
    <comment ref="AD45" authorId="0" shapeId="0">
      <text>
        <t>모델값 역산(implied): v / 매출액
기타 부문(연결 − 조선 부문) 최근 4분기 중위 2726억 유지</t>
      </text>
    </comment>
    <comment ref="AF45" authorId="0" shapeId="0">
      <text>
        <t>모델값 역산(implied): v / 매출액
기타 부문(연결 − 조선 부문) 최근 4분기 중위 2726억 유지</t>
      </text>
    </comment>
    <comment ref="AG45" authorId="0" shapeId="0">
      <text>
        <t>모델값 역산(implied): v / 매출액
기타 부문(연결 − 조선 부문) 최근 4분기 중위 2726억 유지</t>
      </text>
    </comment>
    <comment ref="AH45" authorId="0" shapeId="0">
      <text>
        <t>모델값 역산(implied): v / 매출액
기타 부문(연결 − 조선 부문) 최근 4분기 중위 2726억 유지</t>
      </text>
    </comment>
    <comment ref="AI45" authorId="0" shapeId="0">
      <text>
        <t>모델값 역산(implied): v / 매출액
기타 부문(연결 − 조선 부문) 최근 4분기 중위 2726억 유지</t>
      </text>
    </comment>
    <comment ref="AK45" authorId="0" shapeId="0">
      <text>
        <t>모델값 역산(implied): v / 매출액
기타 부문(연결 − 조선 부문) 최근 4분기 중위 2726억 유지</t>
      </text>
    </comment>
    <comment ref="AL45" authorId="0" shapeId="0">
      <text>
        <t>모델값 역산(implied): v / 매출액
기타 부문(연결 − 조선 부문) 최근 4분기 중위 2726억 유지</t>
      </text>
    </comment>
    <comment ref="AM45" authorId="0" shapeId="0">
      <text>
        <t>모델값 역산(implied): v / 매출액
기타 부문(연결 − 조선 부문) 최근 4분기 중위 2726억 유지</t>
      </text>
    </comment>
    <comment ref="AN45" authorId="0" shapeId="0">
      <text>
        <t>모델값 역산(implied): v / 매출액
기타 부문(연결 − 조선 부문) 최근 4분기 중위 2726억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4.7% + 회사 캘리브레이션 +4.3%p(최근 3분기 실측−타겟 중위))
[ratio]</t>
      </text>
    </comment>
    <comment ref="AD9" authorId="0" shapeId="0">
      <text>
        <t>추정: 매출액 × OPM(SLS 코호트 타겟 4.8% + 회사 캘리브레이션 +4.3%p(최근 3분기 실측−타겟 중위))
[ratio]</t>
      </text>
    </comment>
    <comment ref="AF9" authorId="0" shapeId="0">
      <text>
        <t>추정: 매출액 × OPM(SLS 코호트 타겟 4.8% + 회사 캘리브레이션 +4.3%p(최근 3분기 실측−타겟 중위))
[ratio]</t>
      </text>
    </comment>
    <comment ref="AG9" authorId="0" shapeId="0">
      <text>
        <t>추정: 매출액 × OPM(SLS 코호트 타겟 4.8% + 회사 캘리브레이션 +4.3%p(최근 3분기 실측−타겟 중위))
[ratio]</t>
      </text>
    </comment>
    <comment ref="AH9" authorId="0" shapeId="0">
      <text>
        <t>추정: 매출액 × OPM(SLS 코호트 타겟 4.8% + 회사 캘리브레이션 +4.3%p(최근 3분기 실측−타겟 중위))
[ratio]</t>
      </text>
    </comment>
    <comment ref="AI9" authorId="0" shapeId="0">
      <text>
        <t>추정: 매출액 × OPM(SLS 코호트 타겟 4.8% + 회사 캘리브레이션 +4.3%p(최근 3분기 실측−타겟 중위))
[ratio]</t>
      </text>
    </comment>
    <comment ref="AK9" authorId="0" shapeId="0">
      <text>
        <t>추정: 매출액 × OPM(SLS 코호트 타겟 4.8% + 회사 캘리브레이션 +4.3%p(최근 3분기 실측−타겟 중위))
[ratio]</t>
      </text>
    </comment>
    <comment ref="AL9" authorId="0" shapeId="0">
      <text>
        <t>추정: 매출액 × OPM(SLS 코호트 타겟 4.8% + 회사 캘리브레이션 +4.3%p(최근 3분기 실측−타겟 중위))
[ratio]</t>
      </text>
    </comment>
    <comment ref="AM9" authorId="0" shapeId="0">
      <text>
        <t>추정: 매출액 × OPM(SLS 코호트 타겟 4.7% + 회사 캘리브레이션 +4.3%p(최근 3분기 실측−타겟 중위))
[ratio]</t>
      </text>
    </comment>
    <comment ref="AN9" authorId="0" shapeId="0">
      <text>
        <t>추정: 매출액 × OPM(SLS 코호트 타겟 4.7% + 회사 캘리브레이션 +4.3%p(최근 3분기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4.7% + 회사 캘리브레이션 +4.3%p(최근 3분기 실측−타겟 중위)
[yoy]</t>
      </text>
    </comment>
    <comment ref="AD10" authorId="0" shapeId="0">
      <text>
        <t>추정: SLS 코호트 타겟 4.8% + 회사 캘리브레이션 +4.3%p(최근 3분기 실측−타겟 중위)
[yoy]</t>
      </text>
    </comment>
    <comment ref="AF10" authorId="0" shapeId="0">
      <text>
        <t>추정: SLS 코호트 타겟 4.8% + 회사 캘리브레이션 +4.3%p(최근 3분기 실측−타겟 중위)
[yoy]</t>
      </text>
    </comment>
    <comment ref="AG10" authorId="0" shapeId="0">
      <text>
        <t>추정: SLS 코호트 타겟 4.8% + 회사 캘리브레이션 +4.3%p(최근 3분기 실측−타겟 중위)
[yoy]</t>
      </text>
    </comment>
    <comment ref="AH10" authorId="0" shapeId="0">
      <text>
        <t>추정: SLS 코호트 타겟 4.8% + 회사 캘리브레이션 +4.3%p(최근 3분기 실측−타겟 중위)
[yoy]</t>
      </text>
    </comment>
    <comment ref="AI10" authorId="0" shapeId="0">
      <text>
        <t>추정: SLS 코호트 타겟 4.8% + 회사 캘리브레이션 +4.3%p(최근 3분기 실측−타겟 중위)
[yoy]</t>
      </text>
    </comment>
    <comment ref="AK10" authorId="0" shapeId="0">
      <text>
        <t>추정: SLS 코호트 타겟 4.8% + 회사 캘리브레이션 +4.3%p(최근 3분기 실측−타겟 중위)
[yoy]</t>
      </text>
    </comment>
    <comment ref="AL10" authorId="0" shapeId="0">
      <text>
        <t>추정: SLS 코호트 타겟 4.8% + 회사 캘리브레이션 +4.3%p(최근 3분기 실측−타겟 중위)
[yoy]</t>
      </text>
    </comment>
    <comment ref="AM10" authorId="0" shapeId="0">
      <text>
        <t>추정: SLS 코호트 타겟 4.7% + 회사 캘리브레이션 +4.3%p(최근 3분기 실측−타겟 중위)
[yoy]</t>
      </text>
    </comment>
    <comment ref="AN10" authorId="0" shapeId="0">
      <text>
        <t>추정: SLS 코호트 타겟 4.7% + 회사 캘리브레이션 +4.3%p(최근 3분기 실측−타겟 중위)
[yoy]</t>
      </text>
    </comment>
    <comment ref="AC11" authorId="0" shapeId="0">
      <text>
        <t>추정: 이자손익 = 이자발생자산 2815억 × 2.56% − 총차입금 4751억 × 7.96% (연율, CF 실측) ÷ 4; 환·평가손익 0 가정
[abs]</t>
      </text>
    </comment>
    <comment ref="AD11" authorId="0" shapeId="0">
      <text>
        <t>추정: 이자손익 = 이자발생자산 3247억 × 2.56% − 총차입금 4751억 × 7.96% (연율, CF 실측) ÷ 4; 환·평가손익 0 가정
[abs]</t>
      </text>
    </comment>
    <comment ref="AF11" authorId="0" shapeId="0">
      <text>
        <t>추정: 이자손익 = 이자발생자산 3739억 × 2.56% − 총차입금 4751억 × 7.96% (연율, CF 실측) ÷ 4; 환·평가손익 0 가정
[abs]</t>
      </text>
    </comment>
    <comment ref="AG11" authorId="0" shapeId="0">
      <text>
        <t>추정: 이자손익 = 이자발생자산 4232억 × 2.56% − 총차입금 4751억 × 7.96% (연율, CF 실측) ÷ 4; 환·평가손익 0 가정
[abs]</t>
      </text>
    </comment>
    <comment ref="AH11" authorId="0" shapeId="0">
      <text>
        <t>추정: 이자손익 = 이자발생자산 4728억 × 2.56% − 총차입금 4751억 × 7.96% (연율, CF 실측) ÷ 4; 환·평가손익 0 가정
[abs]</t>
      </text>
    </comment>
    <comment ref="AI11" authorId="0" shapeId="0">
      <text>
        <t>추정: 이자손익 = 이자발생자산 5067억 × 2.56% − 총차입금 4751억 × 7.96% (연율, CF 실측) ÷ 4; 환·평가손익 0 가정
[abs]</t>
      </text>
    </comment>
    <comment ref="AK11" authorId="0" shapeId="0">
      <text>
        <t>추정: 이자손익 = 이자발생자산 5384억 × 2.56% − 총차입금 4751억 × 7.96% (연율, CF 실측) ÷ 4; 환·평가손익 0 가정
[abs]</t>
      </text>
    </comment>
    <comment ref="AL11" authorId="0" shapeId="0">
      <text>
        <t>추정: 이자손익 = 이자발생자산 5701억 × 2.56% − 총차입금 4751억 × 7.96% (연율, CF 실측) ÷ 4; 환·평가손익 0 가정
[abs]</t>
      </text>
    </comment>
    <comment ref="AM11" authorId="0" shapeId="0">
      <text>
        <t>추정: 이자손익 = 이자발생자산 6020억 × 2.56% − 총차입금 4751억 × 7.96% (연율, CF 실측) ÷ 4; 환·평가손익 0 가정
[abs]</t>
      </text>
    </comment>
    <comment ref="AN11" authorId="0" shapeId="0">
      <text>
        <t>추정: 이자손익 = 이자발생자산 6308억 × 2.56% − 총차입금 4751억 × 7.96%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-14.9% → 5~27% 클립)
[ratio]</t>
      </text>
    </comment>
    <comment ref="AD14" authorId="0" shapeId="0">
      <text>
        <t>추정: max(세전, 0) × 세율 5.0%(최근 12분기 유효세율 -14.9% → 5~27% 클립)
[ratio]</t>
      </text>
    </comment>
    <comment ref="AF14" authorId="0" shapeId="0">
      <text>
        <t>추정: max(세전, 0) × 세율 5.0%(최근 12분기 유효세율 -14.9% → 5~27% 클립)
[ratio]</t>
      </text>
    </comment>
    <comment ref="AG14" authorId="0" shapeId="0">
      <text>
        <t>추정: max(세전, 0) × 세율 5.0%(최근 12분기 유효세율 -14.9% → 5~27% 클립)
[ratio]</t>
      </text>
    </comment>
    <comment ref="AH14" authorId="0" shapeId="0">
      <text>
        <t>추정: max(세전, 0) × 세율 5.0%(최근 12분기 유효세율 -14.9% → 5~27% 클립)
[ratio]</t>
      </text>
    </comment>
    <comment ref="AI14" authorId="0" shapeId="0">
      <text>
        <t>추정: max(세전, 0) × 세율 5.0%(최근 12분기 유효세율 -14.9% → 5~27% 클립)
[ratio]</t>
      </text>
    </comment>
    <comment ref="AK14" authorId="0" shapeId="0">
      <text>
        <t>추정: max(세전, 0) × 세율 5.0%(최근 12분기 유효세율 -14.9% → 5~27% 클립)
[ratio]</t>
      </text>
    </comment>
    <comment ref="AL14" authorId="0" shapeId="0">
      <text>
        <t>추정: max(세전, 0) × 세율 5.0%(최근 12분기 유효세율 -14.9% → 5~27% 클립)
[ratio]</t>
      </text>
    </comment>
    <comment ref="AM14" authorId="0" shapeId="0">
      <text>
        <t>추정: max(세전, 0) × 세율 5.0%(최근 12분기 유효세율 -14.9% → 5~27% 클립)
[ratio]</t>
      </text>
    </comment>
    <comment ref="AN14" authorId="0" shapeId="0">
      <text>
        <t>추정: max(세전, 0) × 세율 5.0%(최근 12분기 유효세율 -14.9%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E17" authorId="0" shapeId="0">
      <text>
        <t>실측(계정 매핑 없음 — 모델값 직접) — fin.cons.is.중단사업이익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추정(가정 셀 참조 불가 — 기준값 없음, 모델값 직접): 현재 종가 ÷ TTM EPS(추정 포함)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1051억(sls.by_quarter.marine_hedged_krw_m(헤지 70% 적용)) + 원장 밖 잔고 소진 2153억(최근 4분기 '부문매출−SLS' 중위 2153억/분기, 잔여 6734억)
[ratio]</t>
      </text>
    </comment>
    <comment ref="AD34" authorId="0" shapeId="0">
      <text>
        <t>추정: SLS 해양 원화 1613억(sls.by_quarter.marine_hedged_krw_m(헤지 70% 적용)) + 원장 밖 잔고 소진 2153억(최근 4분기 '부문매출−SLS' 중위 2153억/분기, 잔여 4581억)
[ratio]</t>
      </text>
    </comment>
    <comment ref="AF34" authorId="0" shapeId="0">
      <text>
        <t>추정: SLS 해양 원화 1578억(sls.by_quarter.marine_hedged_krw_m(헤지 70% 적용)) + 원장 밖 잔고 소진 2153억(최근 4분기 '부문매출−SLS' 중위 2153억/분기, 잔여 2428억)
[ratio]</t>
      </text>
    </comment>
    <comment ref="AG34" authorId="0" shapeId="0">
      <text>
        <t>추정: SLS 해양 원화 1595억(sls.by_quarter.marine_hedged_krw_m(헤지 70% 적용)) + 원장 밖 잔고 소진 2153억(최근 4분기 '부문매출−SLS' 중위 2153억/분기, 잔여 275억)
[ratio]</t>
      </text>
    </comment>
    <comment ref="AH34" authorId="0" shapeId="0">
      <text>
        <t>추정: SLS 해양 원화 1613억(sls.by_quarter.marine_hedged_krw_m(헤지 70% 적용)) + 원장 밖 잔고 소진 275억(최근 4분기 '부문매출−SLS' 중위 2153억/분기, 잔여 0억)
[ratio]</t>
      </text>
    </comment>
    <comment ref="AI34" authorId="0" shapeId="0">
      <text>
        <t>추정: SLS 해양 원화 1613억(sls.by_quarter.marine_hedged_krw_m(헤지 70% 적용)) + 원장 밖 잔고 소진 0억(최근 4분기 '부문매출−SLS' 중위 2153억/분기, 잔여 0억)
[ratio]</t>
      </text>
    </comment>
    <comment ref="AK34" authorId="0" shapeId="0">
      <text>
        <t>추정: SLS 해양 원화 1595억(sls.by_quarter.marine_hedged_krw_m(헤지 70% 적용)) + 원장 밖 잔고 소진 0억(최근 4분기 '부문매출−SLS' 중위 2153억/분기, 잔여 0억)
[ratio]</t>
      </text>
    </comment>
    <comment ref="AL34" authorId="0" shapeId="0">
      <text>
        <t>추정: SLS 해양 원화 1595억(sls.by_quarter.marine_hedged_krw_m(헤지 70% 적용)) + 원장 밖 잔고 소진 0억(최근 4분기 '부문매출−SLS' 중위 2153억/분기, 잔여 0억)
[ratio]</t>
      </text>
    </comment>
    <comment ref="AM34" authorId="0" shapeId="0">
      <text>
        <t>추정: SLS 해양 원화 1249억(sls.by_quarter.marine_hedged_krw_m(헤지 70% 적용)) + 원장 밖 잔고 소진 0억(최근 4분기 '부문매출−SLS' 중위 2153억/분기, 잔여 0억)
[ratio]</t>
      </text>
    </comment>
    <comment ref="AN34" authorId="0" shapeId="0">
      <text>
        <t>추정: SLS 해양 원화 1004억(sls.by_quarter.marine_hedged_krw_m(헤지 70% 적용)) + 원장 밖 잔고 소진 0억(최근 4분기 '부문매출−SLS' 중위 2153억/분기, 잔여 0억)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2726억 유지
[ratio]</t>
      </text>
    </comment>
    <comment ref="AD36" authorId="0" shapeId="0">
      <text>
        <t>추정: 기타 부문(연결 − 조선 부문) 최근 4분기 중위 2726억 유지
[ratio]</t>
      </text>
    </comment>
    <comment ref="AF36" authorId="0" shapeId="0">
      <text>
        <t>추정: 기타 부문(연결 − 조선 부문) 최근 4분기 중위 2726억 유지
[ratio]</t>
      </text>
    </comment>
    <comment ref="AG36" authorId="0" shapeId="0">
      <text>
        <t>추정: 기타 부문(연결 − 조선 부문) 최근 4분기 중위 2726억 유지
[ratio]</t>
      </text>
    </comment>
    <comment ref="AH36" authorId="0" shapeId="0">
      <text>
        <t>추정: 기타 부문(연결 − 조선 부문) 최근 4분기 중위 2726억 유지
[ratio]</t>
      </text>
    </comment>
    <comment ref="AI36" authorId="0" shapeId="0">
      <text>
        <t>추정: 기타 부문(연결 − 조선 부문) 최근 4분기 중위 2726억 유지
[ratio]</t>
      </text>
    </comment>
    <comment ref="AK36" authorId="0" shapeId="0">
      <text>
        <t>추정: 기타 부문(연결 − 조선 부문) 최근 4분기 중위 2726억 유지
[ratio]</t>
      </text>
    </comment>
    <comment ref="AL36" authorId="0" shapeId="0">
      <text>
        <t>추정: 기타 부문(연결 − 조선 부문) 최근 4분기 중위 2726억 유지
[ratio]</t>
      </text>
    </comment>
    <comment ref="AM36" authorId="0" shapeId="0">
      <text>
        <t>추정: 기타 부문(연결 − 조선 부문) 최근 4분기 중위 2726억 유지
[ratio]</t>
      </text>
    </comment>
    <comment ref="AN36" authorId="0" shapeId="0">
      <text>
        <t>추정: 기타 부문(연결 − 조선 부문) 최근 4분기 중위 2726억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assets/models/097230.json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2023Q2 조선 부문 매출(6762억) &gt; 연결 매출(5014억) — 부문표/파서 문제(yards 레인 확인) /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19.4, "op_wape_pct": 100.0,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0.311335</v>
      </c>
      <c r="AD21" s="24" t="n">
        <v>0.030979</v>
      </c>
      <c r="AE21" s="25" t="n"/>
      <c r="AF21" s="24" t="n">
        <v>0.192564</v>
      </c>
      <c r="AG21" s="24" t="n">
        <v>-0.113029</v>
      </c>
      <c r="AH21" s="24" t="n">
        <v>-0.222013</v>
      </c>
      <c r="AI21" s="24" t="n">
        <v>-0.331659</v>
      </c>
      <c r="AJ21" s="25" t="n"/>
      <c r="AK21" s="24" t="n">
        <v>-0.330745</v>
      </c>
      <c r="AL21" s="24" t="n">
        <v>-0.332557</v>
      </c>
      <c r="AM21" s="24" t="n">
        <v>-0.138496</v>
      </c>
      <c r="AN21" s="24" t="n">
        <v>-0.140234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0.053597</v>
      </c>
      <c r="AD22" s="24" t="n">
        <v>0.053597</v>
      </c>
      <c r="AE22" s="25">
        <f>IFERROR(subQ!AE8/subQ!AE5,"")</f>
        <v/>
      </c>
      <c r="AF22" s="24" t="n">
        <v>0.053597</v>
      </c>
      <c r="AG22" s="24" t="n">
        <v>0.053597</v>
      </c>
      <c r="AH22" s="24" t="n">
        <v>0.053598</v>
      </c>
      <c r="AI22" s="24" t="n">
        <v>0.053598</v>
      </c>
      <c r="AJ22" s="25">
        <f>IFERROR(subQ!AJ8/subQ!AJ5,"")</f>
        <v/>
      </c>
      <c r="AK22" s="24" t="n">
        <v>0.053598</v>
      </c>
      <c r="AL22" s="24" t="n">
        <v>0.053598</v>
      </c>
      <c r="AM22" s="24" t="n">
        <v>0.053597</v>
      </c>
      <c r="AN22" s="24" t="n">
        <v>0.053598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0.089652</v>
      </c>
      <c r="AD23" s="24" t="n">
        <v>0.091152</v>
      </c>
      <c r="AE23" s="25">
        <f>IFERROR(subQ!AE9/subQ!AE5,"")</f>
        <v/>
      </c>
      <c r="AF23" s="24" t="n">
        <v>0.091151</v>
      </c>
      <c r="AG23" s="24" t="n">
        <v>0.091151</v>
      </c>
      <c r="AH23" s="24" t="n">
        <v>0.091151</v>
      </c>
      <c r="AI23" s="24" t="n">
        <v>0.091152</v>
      </c>
      <c r="AJ23" s="25">
        <f>IFERROR(subQ!AJ9/subQ!AJ5,"")</f>
        <v/>
      </c>
      <c r="AK23" s="24" t="n">
        <v>0.091151</v>
      </c>
      <c r="AL23" s="24" t="n">
        <v>0.091151</v>
      </c>
      <c r="AM23" s="24" t="n">
        <v>0.090452</v>
      </c>
      <c r="AN23" s="24" t="n">
        <v>0.09055100000000001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6.007812</v>
      </c>
      <c r="AD24" s="24" t="n">
        <v>0.137157</v>
      </c>
      <c r="AE24" s="25" t="n"/>
      <c r="AF24" s="24" t="n">
        <v>1.008811</v>
      </c>
      <c r="AG24" s="24" t="n">
        <v>0.025872</v>
      </c>
      <c r="AH24" s="24" t="n">
        <v>0.016722</v>
      </c>
      <c r="AI24" s="24" t="n">
        <v>0</v>
      </c>
      <c r="AJ24" s="25" t="n"/>
      <c r="AK24" s="24" t="n">
        <v>0</v>
      </c>
      <c r="AL24" s="24" t="n">
        <v>0</v>
      </c>
      <c r="AM24" s="24" t="n">
        <v>-0.007675</v>
      </c>
      <c r="AN24" s="24" t="n">
        <v>-0.006579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-76.43000000000001</v>
      </c>
      <c r="AD25" s="29" t="n">
        <v>-73.66</v>
      </c>
      <c r="AE25" s="30">
        <f>subQ!AE11</f>
        <v/>
      </c>
      <c r="AF25" s="29" t="n">
        <v>-70.51000000000001</v>
      </c>
      <c r="AG25" s="29" t="n">
        <v>-67.34999999999999</v>
      </c>
      <c r="AH25" s="29" t="n">
        <v>-64.17</v>
      </c>
      <c r="AI25" s="29" t="n">
        <v>-61.99</v>
      </c>
      <c r="AJ25" s="30">
        <f>subQ!AJ11</f>
        <v/>
      </c>
      <c r="AK25" s="29" t="n">
        <v>-59.96</v>
      </c>
      <c r="AL25" s="29" t="n">
        <v>-57.93</v>
      </c>
      <c r="AM25" s="29" t="n">
        <v>-55.88</v>
      </c>
      <c r="AN25" s="29" t="n">
        <v>-54.03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0.050001</v>
      </c>
      <c r="AD27" s="24" t="n">
        <v>0.049995</v>
      </c>
      <c r="AE27" s="25">
        <f>IFERROR(subQ!AE14/subQ!AE13,"")</f>
        <v/>
      </c>
      <c r="AF27" s="24" t="n">
        <v>0.049999</v>
      </c>
      <c r="AG27" s="24" t="n">
        <v>0.050003</v>
      </c>
      <c r="AH27" s="24" t="n">
        <v>0.050007</v>
      </c>
      <c r="AI27" s="24" t="n">
        <v>0.04999</v>
      </c>
      <c r="AJ27" s="25">
        <f>IFERROR(subQ!AJ14/subQ!AJ13,"")</f>
        <v/>
      </c>
      <c r="AK27" s="24" t="n">
        <v>0.050013</v>
      </c>
      <c r="AL27" s="24" t="n">
        <v>0.050009</v>
      </c>
      <c r="AM27" s="24" t="n">
        <v>0.049998</v>
      </c>
      <c r="AN27" s="24" t="n">
        <v>0.050011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IFERROR(subQ!E20+subQ!G15-subQ!G20,"")</f>
        <v/>
      </c>
      <c r="H31" s="26">
        <f>IFERROR(subQ!G20+subQ!H15-subQ!H20,"")</f>
        <v/>
      </c>
      <c r="I31" s="26">
        <f>IFERROR(subQ!H20+subQ!I15-subQ!I20,"")</f>
        <v/>
      </c>
      <c r="J31" s="26">
        <f>IFERROR(subQ!I20+subQ!J15-subQ!J20,"")</f>
        <v/>
      </c>
      <c r="K31" s="27" t="n"/>
      <c r="L31" s="26">
        <f>IFERROR(subQ!J20+subQ!L15-subQ!L20,"")</f>
        <v/>
      </c>
      <c r="M31" s="26">
        <f>IFERROR(subQ!L20+subQ!M15-subQ!M20,"")</f>
        <v/>
      </c>
      <c r="N31" s="26">
        <f>IFERROR(subQ!M20+subQ!N15-subQ!N20,"")</f>
        <v/>
      </c>
      <c r="O31" s="26">
        <f>IFERROR(subQ!N20+subQ!O15-subQ!O20,"")</f>
        <v/>
      </c>
      <c r="P31" s="27" t="n"/>
      <c r="Q31" s="26">
        <f>IFERROR(subQ!O20+subQ!Q15-subQ!Q20,"")</f>
        <v/>
      </c>
      <c r="R31" s="26">
        <f>IFERROR(subQ!Q20+subQ!R15-subQ!R20,"")</f>
        <v/>
      </c>
      <c r="S31" s="26">
        <f>IFERROR(subQ!R20+subQ!S15-subQ!S20,"")</f>
        <v/>
      </c>
      <c r="T31" s="26">
        <f>IFERROR(subQ!S20+subQ!T15-subQ!T20,"")</f>
        <v/>
      </c>
      <c r="U31" s="27" t="n"/>
      <c r="V31" s="26">
        <f>IFERROR(subQ!T20+subQ!V15-subQ!V20,"")</f>
        <v/>
      </c>
      <c r="W31" s="26">
        <f>IFERROR(subQ!V20+subQ!W15-subQ!W20,"")</f>
        <v/>
      </c>
      <c r="X31" s="26">
        <f>IFERROR(subQ!W20+subQ!X15-subQ!X20,"")</f>
        <v/>
      </c>
      <c r="Y31" s="26">
        <f>IFERROR(subQ!X20+subQ!Y15-subQ!Y20,"")</f>
        <v/>
      </c>
      <c r="Z31" s="27" t="n"/>
      <c r="AA31" s="26">
        <f>IFERROR(subQ!Y20+subQ!AA15-subQ!AA20,"")</f>
        <v/>
      </c>
      <c r="AB31" s="28">
        <f>IFERROR(subQ!AA20+subQ!AB15-subQ!AB20,"")</f>
        <v/>
      </c>
      <c r="AC31" s="29" t="n">
        <v>0</v>
      </c>
      <c r="AD31" s="29" t="n">
        <v>-0.01</v>
      </c>
      <c r="AE31" s="30" t="n"/>
      <c r="AF31" s="29" t="n">
        <v>0</v>
      </c>
      <c r="AG31" s="29" t="n">
        <v>-0</v>
      </c>
      <c r="AH31" s="29" t="n">
        <v>0.01</v>
      </c>
      <c r="AI31" s="29" t="n">
        <v>-0</v>
      </c>
      <c r="AJ31" s="30" t="n"/>
      <c r="AK31" s="29" t="n">
        <v>0</v>
      </c>
      <c r="AL31" s="29" t="n">
        <v>-0</v>
      </c>
      <c r="AM31" s="29" t="n">
        <v>-0.01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</v>
      </c>
      <c r="AD32" s="29" t="n">
        <v>-0.01</v>
      </c>
      <c r="AE32" s="30" t="n"/>
      <c r="AF32" s="29" t="n">
        <v>0</v>
      </c>
      <c r="AG32" s="29" t="n">
        <v>0</v>
      </c>
      <c r="AH32" s="29" t="n">
        <v>0.01</v>
      </c>
      <c r="AI32" s="29" t="n">
        <v>-0</v>
      </c>
      <c r="AJ32" s="30" t="n"/>
      <c r="AK32" s="29" t="n">
        <v>0</v>
      </c>
      <c r="AL32" s="29" t="n">
        <v>0</v>
      </c>
      <c r="AM32" s="29" t="n">
        <v>-0.01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-0.216554</v>
      </c>
      <c r="AD34" s="24" t="n">
        <v>-0.314592</v>
      </c>
      <c r="AE34" s="25" t="n"/>
      <c r="AF34" s="24" t="n">
        <v>-0.458938</v>
      </c>
      <c r="AG34" s="24" t="n">
        <v>-0.856008</v>
      </c>
      <c r="AH34" s="24" t="n">
        <v>-4.05231</v>
      </c>
      <c r="AI34" s="24" t="n">
        <v>1.242402</v>
      </c>
      <c r="AJ34" s="25" t="n"/>
      <c r="AK34" s="24" t="n">
        <v>0.554767</v>
      </c>
      <c r="AL34" s="24" t="n">
        <v>0.358988</v>
      </c>
      <c r="AM34" s="24" t="n">
        <v>0.238747</v>
      </c>
      <c r="AN34" s="24" t="n">
        <v>0.180111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0.153624</v>
      </c>
      <c r="AD35" s="24" t="n">
        <v>0.15156</v>
      </c>
      <c r="AE35" s="25" t="n"/>
      <c r="AF35" s="24" t="n">
        <v>0.1316</v>
      </c>
      <c r="AG35" s="24" t="n">
        <v>0.117363</v>
      </c>
      <c r="AH35" s="24" t="n">
        <v>0.07159799999999999</v>
      </c>
      <c r="AI35" s="24" t="n">
        <v>0.062526</v>
      </c>
      <c r="AJ35" s="25" t="n"/>
      <c r="AK35" s="24" t="n">
        <v>0.058922</v>
      </c>
      <c r="AL35" s="24" t="n">
        <v>0.055982</v>
      </c>
      <c r="AM35" s="24" t="n">
        <v>0.047915</v>
      </c>
      <c r="AN35" s="24" t="n">
        <v>0.042729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-0.825</v>
      </c>
      <c r="AE41" s="25" t="n"/>
      <c r="AF41" s="24" t="n">
        <v>-0.796067</v>
      </c>
      <c r="AG41" s="24" t="n">
        <v>-0.560461</v>
      </c>
      <c r="AH41" s="24" t="n">
        <v>-0.010959</v>
      </c>
      <c r="AI41" s="24" t="n">
        <v>0.097527</v>
      </c>
      <c r="AJ41" s="25" t="n"/>
      <c r="AK41" s="24" t="n">
        <v>0.390358</v>
      </c>
      <c r="AL41" s="24" t="n">
        <v>0.480349</v>
      </c>
      <c r="AM41" s="24" t="n">
        <v>0.465374</v>
      </c>
      <c r="AN41" s="24" t="n">
        <v>0.376721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-0.584383</v>
      </c>
      <c r="AD42" s="24" t="n">
        <v>-0.517134</v>
      </c>
      <c r="AE42" s="25" t="n"/>
      <c r="AF42" s="24" t="n">
        <v>-0.544892</v>
      </c>
      <c r="AG42" s="24" t="n">
        <v>-0.525597</v>
      </c>
      <c r="AH42" s="24" t="n">
        <v>-0.187879</v>
      </c>
      <c r="AI42" s="24" t="n">
        <v>-0.16129</v>
      </c>
      <c r="AJ42" s="25" t="n"/>
      <c r="AK42" s="24" t="n">
        <v>-0.142857</v>
      </c>
      <c r="AL42" s="24" t="n">
        <v>-0.122302</v>
      </c>
      <c r="AM42" s="24" t="n">
        <v>-0.11194</v>
      </c>
      <c r="AN42" s="24" t="n">
        <v>-0.107692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0.5403480000000001</v>
      </c>
      <c r="AD43" s="24" t="n">
        <v>0.580114</v>
      </c>
      <c r="AE43" s="25">
        <f>IFERROR(subQ!AE34/subQ!AE5,"")</f>
        <v/>
      </c>
      <c r="AF43" s="24" t="n">
        <v>0.577834</v>
      </c>
      <c r="AG43" s="24" t="n">
        <v>0.578977</v>
      </c>
      <c r="AH43" s="24" t="n">
        <v>0.409175</v>
      </c>
      <c r="AI43" s="24" t="n">
        <v>0.371749</v>
      </c>
      <c r="AJ43" s="25">
        <f>IFERROR(subQ!AJ34/subQ!AJ5,"")</f>
        <v/>
      </c>
      <c r="AK43" s="24" t="n">
        <v>0.3692</v>
      </c>
      <c r="AL43" s="24" t="n">
        <v>0.3692</v>
      </c>
      <c r="AM43" s="24" t="n">
        <v>0.314194</v>
      </c>
      <c r="AN43" s="24" t="n">
        <v>0.269279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0.08964999999999999</v>
      </c>
      <c r="AD44" s="24" t="n">
        <v>0.09114999999999999</v>
      </c>
      <c r="AE44" s="25">
        <f>IFERROR(subQ!AE35/subQ!AE34,"")</f>
        <v/>
      </c>
      <c r="AF44" s="24" t="n">
        <v>0.091152</v>
      </c>
      <c r="AG44" s="24" t="n">
        <v>0.09114999999999999</v>
      </c>
      <c r="AH44" s="24" t="n">
        <v>0.091153</v>
      </c>
      <c r="AI44" s="24" t="n">
        <v>0.09114800000000001</v>
      </c>
      <c r="AJ44" s="25">
        <f>IFERROR(subQ!AJ35/subQ!AJ34,"")</f>
        <v/>
      </c>
      <c r="AK44" s="24" t="n">
        <v>0.091153</v>
      </c>
      <c r="AL44" s="24" t="n">
        <v>0.091153</v>
      </c>
      <c r="AM44" s="24" t="n">
        <v>0.09045</v>
      </c>
      <c r="AN44" s="24" t="n">
        <v>0.090546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0.459654</v>
      </c>
      <c r="AD45" s="24" t="n">
        <v>0.419886</v>
      </c>
      <c r="AE45" s="25">
        <f>IFERROR(subQ!AE36/subQ!AE5,"")</f>
        <v/>
      </c>
      <c r="AF45" s="24" t="n">
        <v>0.422166</v>
      </c>
      <c r="AG45" s="24" t="n">
        <v>0.421023</v>
      </c>
      <c r="AH45" s="24" t="n">
        <v>0.590825</v>
      </c>
      <c r="AI45" s="24" t="n">
        <v>0.628251</v>
      </c>
      <c r="AJ45" s="25">
        <f>IFERROR(subQ!AJ36/subQ!AJ5,"")</f>
        <v/>
      </c>
      <c r="AK45" s="24" t="n">
        <v>0.6308</v>
      </c>
      <c r="AL45" s="24" t="n">
        <v>0.6308</v>
      </c>
      <c r="AM45" s="24" t="n">
        <v>0.685806</v>
      </c>
      <c r="AN45" s="24" t="n">
        <v>0.730723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0.08964900000000001</v>
      </c>
      <c r="AD46" s="24" t="n">
        <v>0.09114999999999999</v>
      </c>
      <c r="AE46" s="25">
        <f>IFERROR(subQ!AE37/subQ!AE36,"")</f>
        <v/>
      </c>
      <c r="AF46" s="24" t="n">
        <v>0.09114999999999999</v>
      </c>
      <c r="AG46" s="24" t="n">
        <v>0.09114999999999999</v>
      </c>
      <c r="AH46" s="24" t="n">
        <v>0.09114999999999999</v>
      </c>
      <c r="AI46" s="24" t="n">
        <v>0.09114999999999999</v>
      </c>
      <c r="AJ46" s="25">
        <f>IFERROR(subQ!AJ37/subQ!AJ36,"")</f>
        <v/>
      </c>
      <c r="AK46" s="24" t="n">
        <v>0.09114999999999999</v>
      </c>
      <c r="AL46" s="24" t="n">
        <v>0.09114999999999999</v>
      </c>
      <c r="AM46" s="24" t="n">
        <v>0.090449</v>
      </c>
      <c r="AN46" s="24" t="n">
        <v>0.09055199999999999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14550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15.6</v>
      </c>
      <c r="E52" s="2" t="inlineStr">
        <is>
          <t>PER 밴드 하단(배) — hist_quarterly(분기 평균가 ÷ TTM EPS, 6분기, 25/50/75 백분위) · 캡 5~30배 적용(원값 15.6/25.6/41.6)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25.6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30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0.0536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4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4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4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4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4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4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4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4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4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4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4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4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4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4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4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4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4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4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4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4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4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4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4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4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4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4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4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4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4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4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4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4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4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4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4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4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4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4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4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4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4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4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4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4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4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4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4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4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4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4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4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4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4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4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4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4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4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4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4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4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4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4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4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4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Y26" s="18" t="n">
        <v>0</v>
      </c>
      <c r="Z26" s="34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4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4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4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4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4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4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4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4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4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4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4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4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4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4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4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4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4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4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4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4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4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4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4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4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4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4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4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4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4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4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4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4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4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4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4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4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4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4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4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4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4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4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4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4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4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4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4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4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4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4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4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4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4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4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4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4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4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4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4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4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4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4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4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4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4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4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4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4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4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4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4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4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4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4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4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4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4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4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4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4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4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4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4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4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4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4" t="n">
        <v>682305</v>
      </c>
      <c r="Q55" s="18" t="n">
        <v>688420</v>
      </c>
      <c r="R55" s="18" t="n">
        <v>649555</v>
      </c>
      <c r="S55" s="18" t="n">
        <v>477151</v>
      </c>
      <c r="T55" s="18" t="n">
        <v>454425</v>
      </c>
      <c r="U55" s="34" t="n">
        <v>454425</v>
      </c>
      <c r="V55" s="18" t="n">
        <v>444849</v>
      </c>
      <c r="W55" s="18" t="n">
        <v>396281</v>
      </c>
      <c r="X55" s="18" t="n">
        <v>387349</v>
      </c>
      <c r="Y55" s="18" t="n">
        <v>381964</v>
      </c>
      <c r="Z55" s="34" t="n">
        <v>381964</v>
      </c>
      <c r="AA55" s="18" t="n">
        <v>379076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4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4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4" t="n">
        <v>319486</v>
      </c>
      <c r="Q56" s="18" t="n">
        <v>389269</v>
      </c>
      <c r="R56" s="18" t="n">
        <v>381183</v>
      </c>
      <c r="S56" s="18" t="n">
        <v>249711</v>
      </c>
      <c r="T56" s="18" t="n">
        <v>223053</v>
      </c>
      <c r="U56" s="34" t="n">
        <v>223053</v>
      </c>
      <c r="V56" s="18" t="n">
        <v>331542</v>
      </c>
      <c r="W56" s="18" t="n">
        <v>183068</v>
      </c>
      <c r="X56" s="18" t="n">
        <v>152713</v>
      </c>
      <c r="Y56" s="18" t="n">
        <v>49758</v>
      </c>
      <c r="Z56" s="34" t="n">
        <v>49758</v>
      </c>
      <c r="AA56" s="18" t="n">
        <v>193131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4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4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4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4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4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4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4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4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4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4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4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4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4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4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4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4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4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4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4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4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4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4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4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4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4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4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4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4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4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4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4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4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4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4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4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4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4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4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4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4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4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4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4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4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4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4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4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4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4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4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4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4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4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4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4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4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4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4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4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4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4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4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4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4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4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4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4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4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4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4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4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K77" s="9" t="n"/>
      <c r="P77" s="9" t="n"/>
      <c r="Q77" s="18" t="n">
        <v>13839</v>
      </c>
      <c r="R77" s="18" t="n">
        <v>-41499</v>
      </c>
      <c r="S77" s="18" t="n">
        <v>52404</v>
      </c>
      <c r="U77" s="9" t="n"/>
      <c r="V77" s="18" t="n">
        <v>5338</v>
      </c>
      <c r="W77" s="18" t="n">
        <v>-5091</v>
      </c>
      <c r="X77" s="18" t="n">
        <v>3662</v>
      </c>
      <c r="Z77" s="9" t="n"/>
      <c r="AA77" s="18" t="n">
        <v>24363</v>
      </c>
      <c r="AB77" s="19" t="n">
        <v>58977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41500</v>
      </c>
      <c r="F78" s="9" t="n"/>
      <c r="G78" s="18" t="n">
        <v>7785</v>
      </c>
      <c r="H78" s="18" t="n">
        <v>70019</v>
      </c>
      <c r="I78" s="18" t="n">
        <v>-111398</v>
      </c>
      <c r="J78" s="18" t="n">
        <v>118169</v>
      </c>
      <c r="K78" s="34" t="n">
        <v>84575</v>
      </c>
      <c r="L78" s="18" t="n">
        <v>39948</v>
      </c>
      <c r="M78" s="18" t="n">
        <v>-77319</v>
      </c>
      <c r="N78" s="18" t="n">
        <v>243178</v>
      </c>
      <c r="O78" s="18" t="n">
        <v>-51019</v>
      </c>
      <c r="P78" s="34" t="n">
        <v>154788</v>
      </c>
      <c r="Q78" s="18" t="n">
        <v>-50504</v>
      </c>
      <c r="R78" s="18" t="n">
        <v>19866</v>
      </c>
      <c r="S78" s="18" t="n">
        <v>-77385</v>
      </c>
      <c r="T78" s="18" t="n">
        <v>21658</v>
      </c>
      <c r="U78" s="34" t="n">
        <v>-86365</v>
      </c>
      <c r="V78" s="18" t="n">
        <v>-102684</v>
      </c>
      <c r="W78" s="18" t="n">
        <v>146868</v>
      </c>
      <c r="X78" s="18" t="n">
        <v>38921</v>
      </c>
      <c r="Y78" s="18" t="n">
        <v>-76775</v>
      </c>
      <c r="Z78" s="34" t="n">
        <v>6330</v>
      </c>
      <c r="AA78" s="18" t="n">
        <v>-163853</v>
      </c>
      <c r="AB78" s="19" t="n">
        <v>21461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136</v>
      </c>
      <c r="F79" s="9" t="n"/>
      <c r="G79" s="18" t="n">
        <v>277</v>
      </c>
      <c r="H79" s="18" t="n">
        <v>424</v>
      </c>
      <c r="I79" s="18" t="n">
        <v>429</v>
      </c>
      <c r="J79" s="18" t="n">
        <v>761</v>
      </c>
      <c r="K79" s="34" t="n">
        <v>1891</v>
      </c>
      <c r="L79" s="18" t="n">
        <v>873</v>
      </c>
      <c r="M79" s="18" t="n">
        <v>1117</v>
      </c>
      <c r="N79" s="18" t="n">
        <v>1917</v>
      </c>
      <c r="O79" s="18" t="n">
        <v>3064</v>
      </c>
      <c r="P79" s="34" t="n">
        <v>6971</v>
      </c>
      <c r="Q79" s="18" t="n">
        <v>2569</v>
      </c>
      <c r="R79" s="18" t="n">
        <v>2160</v>
      </c>
      <c r="S79" s="18" t="n">
        <v>2186</v>
      </c>
      <c r="T79" s="18" t="n">
        <v>1595</v>
      </c>
      <c r="U79" s="34" t="n">
        <v>8510</v>
      </c>
      <c r="V79" s="18" t="n">
        <v>748</v>
      </c>
      <c r="W79" s="18" t="n">
        <v>1033</v>
      </c>
      <c r="X79" s="18" t="n">
        <v>1431</v>
      </c>
      <c r="Y79" s="18" t="n">
        <v>2076</v>
      </c>
      <c r="Z79" s="34" t="n">
        <v>5288</v>
      </c>
      <c r="AA79" s="18" t="n">
        <v>1613</v>
      </c>
      <c r="AB79" s="19" t="n">
        <v>1610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10</v>
      </c>
      <c r="H80" s="18" t="n">
        <v>1014</v>
      </c>
      <c r="I80" s="18" t="n">
        <v>0</v>
      </c>
      <c r="J80" s="18" t="n">
        <v>1</v>
      </c>
      <c r="K80" s="34" t="n">
        <v>1025</v>
      </c>
      <c r="L80" s="18" t="n">
        <v>0</v>
      </c>
      <c r="M80" s="18" t="n">
        <v>501</v>
      </c>
      <c r="N80" s="18" t="n">
        <v>7</v>
      </c>
      <c r="O80" s="18" t="n">
        <v>0</v>
      </c>
      <c r="P80" s="34" t="n">
        <v>508</v>
      </c>
      <c r="Q80" s="18" t="n">
        <v>3</v>
      </c>
      <c r="R80" s="18" t="n">
        <v>418</v>
      </c>
      <c r="S80" s="18" t="n">
        <v>0</v>
      </c>
      <c r="T80" s="18" t="n">
        <v>20</v>
      </c>
      <c r="U80" s="34" t="n">
        <v>441</v>
      </c>
      <c r="V80" s="18" t="n">
        <v>0</v>
      </c>
      <c r="W80" s="18" t="n">
        <v>60</v>
      </c>
      <c r="X80" s="18" t="n">
        <v>9</v>
      </c>
      <c r="Y80" s="18" t="n">
        <v>0</v>
      </c>
      <c r="Z80" s="34" t="n">
        <v>69</v>
      </c>
      <c r="AA80" s="18" t="n">
        <v>709</v>
      </c>
      <c r="AB80" s="19" t="n">
        <v>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-6939</v>
      </c>
      <c r="F81" s="9" t="n"/>
      <c r="G81" s="18" t="n">
        <v>-6772</v>
      </c>
      <c r="H81" s="18" t="n">
        <v>-7054</v>
      </c>
      <c r="I81" s="18" t="n">
        <v>-5770</v>
      </c>
      <c r="J81" s="18" t="n">
        <v>-5149</v>
      </c>
      <c r="K81" s="34" t="n">
        <v>-24745</v>
      </c>
      <c r="L81" s="18" t="n">
        <v>-6529</v>
      </c>
      <c r="M81" s="18" t="n">
        <v>-4305</v>
      </c>
      <c r="N81" s="18" t="n">
        <v>-11778</v>
      </c>
      <c r="O81" s="18" t="n">
        <v>-7418</v>
      </c>
      <c r="P81" s="34" t="n">
        <v>-30030</v>
      </c>
      <c r="Q81" s="18" t="n">
        <v>-7739</v>
      </c>
      <c r="R81" s="18" t="n">
        <v>-7297</v>
      </c>
      <c r="S81" s="18" t="n">
        <v>-14500</v>
      </c>
      <c r="T81" s="18" t="n">
        <v>-9827</v>
      </c>
      <c r="U81" s="34" t="n">
        <v>-39363</v>
      </c>
      <c r="V81" s="18" t="n">
        <v>-9664</v>
      </c>
      <c r="W81" s="18" t="n">
        <v>-9041</v>
      </c>
      <c r="X81" s="18" t="n">
        <v>-8510</v>
      </c>
      <c r="Y81" s="18" t="n">
        <v>-8595</v>
      </c>
      <c r="Z81" s="34" t="n">
        <v>-35810</v>
      </c>
      <c r="AA81" s="18" t="n">
        <v>-7001</v>
      </c>
      <c r="AB81" s="19" t="n">
        <v>-8181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7771</v>
      </c>
      <c r="F82" s="9" t="n"/>
      <c r="G82" s="18" t="n">
        <v>-5896</v>
      </c>
      <c r="H82" s="18" t="n">
        <v>32203</v>
      </c>
      <c r="I82" s="18" t="n">
        <v>8139</v>
      </c>
      <c r="J82" s="18" t="n">
        <v>-71061</v>
      </c>
      <c r="K82" s="34" t="n">
        <v>-36615</v>
      </c>
      <c r="L82" s="18" t="n">
        <v>11920</v>
      </c>
      <c r="M82" s="18" t="n">
        <v>60153</v>
      </c>
      <c r="N82" s="18" t="n">
        <v>-19725</v>
      </c>
      <c r="O82" s="18" t="n">
        <v>34535</v>
      </c>
      <c r="P82" s="34" t="n">
        <v>86883</v>
      </c>
      <c r="Q82" s="18" t="n">
        <v>-12273</v>
      </c>
      <c r="R82" s="18" t="n">
        <v>4515</v>
      </c>
      <c r="S82" s="18" t="n">
        <v>192327</v>
      </c>
      <c r="T82" s="18" t="n">
        <v>2965</v>
      </c>
      <c r="U82" s="34" t="n">
        <v>187534</v>
      </c>
      <c r="V82" s="18" t="n">
        <v>-10995</v>
      </c>
      <c r="W82" s="18" t="n">
        <v>-4995</v>
      </c>
      <c r="X82" s="18" t="n">
        <v>5853</v>
      </c>
      <c r="Y82" s="18" t="n">
        <v>7114</v>
      </c>
      <c r="Z82" s="34" t="n">
        <v>-3023</v>
      </c>
      <c r="AA82" s="18" t="n">
        <v>1182</v>
      </c>
      <c r="AB82" s="19" t="n">
        <v>-3243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1369</v>
      </c>
      <c r="F83" s="9" t="n"/>
      <c r="G83" s="18" t="n">
        <v>5163</v>
      </c>
      <c r="H83" s="18" t="n">
        <v>46236</v>
      </c>
      <c r="I83" s="18" t="n">
        <v>7436</v>
      </c>
      <c r="J83" s="18" t="n">
        <v>5440</v>
      </c>
      <c r="K83" s="34" t="n">
        <v>64275</v>
      </c>
      <c r="L83" s="18" t="n">
        <v>1559</v>
      </c>
      <c r="M83" s="18" t="n">
        <v>2198</v>
      </c>
      <c r="N83" s="18" t="n">
        <v>2727</v>
      </c>
      <c r="O83" s="18" t="n">
        <v>2997</v>
      </c>
      <c r="P83" s="34" t="n">
        <v>9481</v>
      </c>
      <c r="Q83" s="18" t="n">
        <v>1981</v>
      </c>
      <c r="R83" s="18" t="n">
        <v>1593</v>
      </c>
      <c r="S83" s="18" t="n">
        <v>932</v>
      </c>
      <c r="T83" s="18" t="n">
        <v>888</v>
      </c>
      <c r="U83" s="34" t="n">
        <v>5394</v>
      </c>
      <c r="V83" s="18" t="n">
        <v>1204</v>
      </c>
      <c r="W83" s="18" t="n">
        <v>1766</v>
      </c>
      <c r="X83" s="18" t="n">
        <v>4627</v>
      </c>
      <c r="Y83" s="18" t="n">
        <v>3064</v>
      </c>
      <c r="Z83" s="34" t="n">
        <v>10661</v>
      </c>
      <c r="AA83" s="18" t="n">
        <v>2984</v>
      </c>
      <c r="AB83" s="19" t="n">
        <v>2589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1605</v>
      </c>
      <c r="F84" s="9" t="n"/>
      <c r="G84" s="18" t="n">
        <v>5362</v>
      </c>
      <c r="H84" s="18" t="n">
        <v>46436</v>
      </c>
      <c r="I84" s="18" t="n">
        <v>7635</v>
      </c>
      <c r="J84" s="18" t="n">
        <v>5640</v>
      </c>
      <c r="K84" s="34" t="n">
        <v>65073</v>
      </c>
      <c r="L84" s="18" t="n">
        <v>1559</v>
      </c>
      <c r="M84" s="18" t="n">
        <v>2902</v>
      </c>
      <c r="N84" s="18" t="n">
        <v>2727</v>
      </c>
      <c r="O84" s="18" t="n">
        <v>2964</v>
      </c>
      <c r="P84" s="34" t="n">
        <v>10152</v>
      </c>
      <c r="Q84" s="18" t="n">
        <v>2167</v>
      </c>
      <c r="R84" s="18" t="n">
        <v>1780</v>
      </c>
      <c r="S84" s="18" t="n">
        <v>1119</v>
      </c>
      <c r="T84" s="18" t="n">
        <v>1075</v>
      </c>
      <c r="U84" s="34" t="n">
        <v>6141</v>
      </c>
      <c r="V84" s="18" t="n">
        <v>1391</v>
      </c>
      <c r="W84" s="18" t="n">
        <v>1952</v>
      </c>
      <c r="X84" s="18" t="n">
        <v>4814</v>
      </c>
      <c r="Y84" s="18" t="n">
        <v>3251</v>
      </c>
      <c r="Z84" s="34" t="n">
        <v>11408</v>
      </c>
      <c r="AA84" s="18" t="n">
        <v>3171</v>
      </c>
      <c r="AB84" s="19" t="n">
        <v>2775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4</v>
      </c>
      <c r="F85" s="9" t="n"/>
      <c r="G85" s="18" t="n">
        <v>3</v>
      </c>
      <c r="H85" s="18" t="n">
        <v>160</v>
      </c>
      <c r="I85" s="18" t="n">
        <v>77</v>
      </c>
      <c r="K85" s="9" t="n"/>
      <c r="L85" s="18" t="n">
        <v>22</v>
      </c>
      <c r="M85" s="18" t="n">
        <v>181</v>
      </c>
      <c r="N85" s="18" t="n">
        <v>48</v>
      </c>
      <c r="O85" s="18" t="n">
        <v>453</v>
      </c>
      <c r="P85" s="34" t="n">
        <v>704</v>
      </c>
      <c r="Q85" s="18" t="n">
        <v>148</v>
      </c>
      <c r="R85" s="18" t="n">
        <v>383</v>
      </c>
      <c r="S85" s="18" t="n">
        <v>281</v>
      </c>
      <c r="T85" s="18" t="n">
        <v>26</v>
      </c>
      <c r="U85" s="34" t="n">
        <v>838</v>
      </c>
      <c r="V85" s="18" t="n">
        <v>340</v>
      </c>
      <c r="W85" s="18" t="n">
        <v>17</v>
      </c>
      <c r="X85" s="18" t="n">
        <v>16</v>
      </c>
      <c r="Y85" s="18" t="n">
        <v>2141</v>
      </c>
      <c r="Z85" s="34" t="n">
        <v>2514</v>
      </c>
      <c r="AA85" s="18" t="n">
        <v>16</v>
      </c>
      <c r="AB85" s="19" t="n">
        <v>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236</v>
      </c>
      <c r="F86" s="9" t="n"/>
      <c r="G86" s="18" t="n">
        <v>199</v>
      </c>
      <c r="H86" s="18" t="n">
        <v>200</v>
      </c>
      <c r="I86" s="18" t="n">
        <v>199</v>
      </c>
      <c r="J86" s="18" t="n">
        <v>200</v>
      </c>
      <c r="K86" s="34" t="n">
        <v>798</v>
      </c>
      <c r="L86" s="18" t="n">
        <v>0</v>
      </c>
      <c r="M86" s="18" t="n">
        <v>704</v>
      </c>
      <c r="N86" s="18" t="n">
        <v>0</v>
      </c>
      <c r="P86" s="9" t="n"/>
      <c r="Q86" s="18" t="n">
        <v>186</v>
      </c>
      <c r="R86" s="18" t="n">
        <v>187</v>
      </c>
      <c r="S86" s="18" t="n">
        <v>187</v>
      </c>
      <c r="T86" s="18" t="n">
        <v>187</v>
      </c>
      <c r="U86" s="34" t="n">
        <v>747</v>
      </c>
      <c r="V86" s="18" t="n">
        <v>187</v>
      </c>
      <c r="W86" s="18" t="n">
        <v>186</v>
      </c>
      <c r="X86" s="18" t="n">
        <v>187</v>
      </c>
      <c r="Y86" s="18" t="n">
        <v>187</v>
      </c>
      <c r="Z86" s="34" t="n">
        <v>747</v>
      </c>
      <c r="AA86" s="18" t="n">
        <v>187</v>
      </c>
      <c r="AB86" s="19" t="n">
        <v>186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13</v>
      </c>
      <c r="F87" s="9" t="n"/>
      <c r="G87" s="18" t="n">
        <v>52</v>
      </c>
      <c r="I87" s="18" t="n">
        <v>13</v>
      </c>
      <c r="J87" s="18" t="n">
        <v>13</v>
      </c>
      <c r="K87" s="9" t="n"/>
      <c r="L87" s="18" t="n">
        <v>13</v>
      </c>
      <c r="M87" s="18" t="n">
        <v>13</v>
      </c>
      <c r="N87" s="18" t="n">
        <v>13</v>
      </c>
      <c r="O87" s="18" t="n">
        <v>13</v>
      </c>
      <c r="P87" s="34" t="n">
        <v>52</v>
      </c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-5966</v>
      </c>
      <c r="F88" s="9" t="n"/>
      <c r="G88" s="18" t="n">
        <v>-3067</v>
      </c>
      <c r="H88" s="18" t="n">
        <v>-83474</v>
      </c>
      <c r="I88" s="18" t="n">
        <v>48025</v>
      </c>
      <c r="J88" s="18" t="n">
        <v>-18835</v>
      </c>
      <c r="K88" s="34" t="n">
        <v>-57351</v>
      </c>
      <c r="L88" s="18" t="n">
        <v>-3374</v>
      </c>
      <c r="M88" s="18" t="n">
        <v>-3866</v>
      </c>
      <c r="N88" s="18" t="n">
        <v>-4223</v>
      </c>
      <c r="O88" s="18" t="n">
        <v>20657</v>
      </c>
      <c r="P88" s="34" t="n">
        <v>9194</v>
      </c>
      <c r="Q88" s="18" t="n">
        <v>-4568</v>
      </c>
      <c r="R88" s="18" t="n">
        <v>-53406</v>
      </c>
      <c r="S88" s="18" t="n">
        <v>-173571</v>
      </c>
      <c r="T88" s="18" t="n">
        <v>-13289</v>
      </c>
      <c r="U88" s="34" t="n">
        <v>-244834</v>
      </c>
      <c r="V88" s="18" t="n">
        <v>-13314</v>
      </c>
      <c r="W88" s="18" t="n">
        <v>-48115</v>
      </c>
      <c r="X88" s="18" t="n">
        <v>-17163</v>
      </c>
      <c r="Y88" s="18" t="n">
        <v>199224</v>
      </c>
      <c r="Z88" s="34" t="n">
        <v>120632</v>
      </c>
      <c r="AA88" s="18" t="n">
        <v>-11116</v>
      </c>
      <c r="AB88" s="19" t="n">
        <v>69489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43305</v>
      </c>
      <c r="F89" s="9" t="n"/>
      <c r="G89" s="18" t="n">
        <v>-1178</v>
      </c>
      <c r="H89" s="18" t="n">
        <v>18748</v>
      </c>
      <c r="I89" s="18" t="n">
        <v>-55234</v>
      </c>
      <c r="J89" s="18" t="n">
        <v>28273</v>
      </c>
      <c r="K89" s="34" t="n">
        <v>-9391</v>
      </c>
      <c r="L89" s="18" t="n">
        <v>48494</v>
      </c>
      <c r="M89" s="18" t="n">
        <v>-21032</v>
      </c>
      <c r="N89" s="18" t="n">
        <v>219230</v>
      </c>
      <c r="O89" s="18" t="n">
        <v>4173</v>
      </c>
      <c r="P89" s="34" t="n">
        <v>250865</v>
      </c>
      <c r="Q89" s="18" t="n">
        <v>-67345</v>
      </c>
      <c r="R89" s="18" t="n">
        <v>-29025</v>
      </c>
      <c r="S89" s="18" t="n">
        <v>-58629</v>
      </c>
      <c r="T89" s="18" t="n">
        <v>11334</v>
      </c>
      <c r="U89" s="34" t="n">
        <v>-143665</v>
      </c>
      <c r="V89" s="18" t="n">
        <v>-126993</v>
      </c>
      <c r="W89" s="18" t="n">
        <v>93758</v>
      </c>
      <c r="X89" s="18" t="n">
        <v>27611</v>
      </c>
      <c r="Y89" s="18" t="n">
        <v>129563</v>
      </c>
      <c r="Z89" s="34" t="n">
        <v>123939</v>
      </c>
      <c r="AA89" s="18" t="n">
        <v>-173787</v>
      </c>
      <c r="AB89" s="19" t="n">
        <v>87707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42932</v>
      </c>
      <c r="F90" s="9" t="n"/>
      <c r="G90" s="18" t="n">
        <v>117115</v>
      </c>
      <c r="H90" s="18" t="n">
        <v>19045</v>
      </c>
      <c r="I90" s="18" t="n">
        <v>-53426</v>
      </c>
      <c r="J90" s="18" t="n">
        <v>19499</v>
      </c>
      <c r="K90" s="34" t="n">
        <v>102233</v>
      </c>
      <c r="L90" s="18" t="n">
        <v>151777</v>
      </c>
      <c r="M90" s="18" t="n">
        <v>-22214</v>
      </c>
      <c r="N90" s="18" t="n">
        <v>224614</v>
      </c>
      <c r="O90" s="18" t="n">
        <v>-3920</v>
      </c>
      <c r="P90" s="34" t="n">
        <v>350257</v>
      </c>
      <c r="Q90" s="18" t="n">
        <v>286569</v>
      </c>
      <c r="R90" s="18" t="n">
        <v>-29563</v>
      </c>
      <c r="S90" s="18" t="n">
        <v>-61798</v>
      </c>
      <c r="T90" s="18" t="n">
        <v>11920</v>
      </c>
      <c r="U90" s="34" t="n">
        <v>207128</v>
      </c>
      <c r="V90" s="18" t="n">
        <v>80370</v>
      </c>
      <c r="W90" s="18" t="n">
        <v>89820</v>
      </c>
      <c r="X90" s="18" t="n">
        <v>31957</v>
      </c>
      <c r="Y90" s="18" t="n">
        <v>130059</v>
      </c>
      <c r="Z90" s="34" t="n">
        <v>332206</v>
      </c>
      <c r="AA90" s="18" t="n">
        <v>163666</v>
      </c>
      <c r="AB90" s="19" t="n">
        <v>86081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F91" s="9" t="n"/>
      <c r="I91" s="18" t="n">
        <v>785</v>
      </c>
      <c r="K91" s="9" t="n"/>
      <c r="N91" s="18" t="n">
        <v>0</v>
      </c>
      <c r="O91" s="18" t="n">
        <v>4285</v>
      </c>
      <c r="P91" s="9" t="n"/>
      <c r="S91" s="18" t="n">
        <v>664966</v>
      </c>
      <c r="U91" s="9" t="n"/>
      <c r="V91" s="18" t="n">
        <v>2002</v>
      </c>
      <c r="W91" s="18" t="n">
        <v>0</v>
      </c>
      <c r="X91" s="18" t="n">
        <v>3030</v>
      </c>
      <c r="Y91" s="18" t="n">
        <v>1</v>
      </c>
      <c r="Z91" s="34" t="n">
        <v>5033</v>
      </c>
      <c r="AA91" s="18" t="n">
        <v>0</v>
      </c>
      <c r="AB91" s="19" t="n">
        <v>25000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J92" s="18" t="n">
        <v>0</v>
      </c>
      <c r="K92" s="9" t="n"/>
      <c r="O92" s="18" t="n">
        <v>25000</v>
      </c>
      <c r="P92" s="9" t="n"/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K93" s="9" t="n"/>
      <c r="P93" s="9" t="n"/>
      <c r="U93" s="9" t="n"/>
      <c r="V93" s="18" t="n">
        <v>7361</v>
      </c>
      <c r="W93" s="18" t="n">
        <v>374386</v>
      </c>
      <c r="X93" s="18" t="n">
        <v>8588</v>
      </c>
      <c r="Y93" s="18" t="n">
        <v>7361</v>
      </c>
      <c r="Z93" s="34" t="n">
        <v>397696</v>
      </c>
      <c r="AA93" s="18" t="n">
        <v>7369</v>
      </c>
      <c r="AB93" s="19" t="n">
        <v>269100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F94" s="9" t="n"/>
      <c r="K94" s="9" t="n"/>
      <c r="P94" s="9" t="n"/>
      <c r="U94" s="9" t="n"/>
      <c r="X94" s="18" t="n">
        <v>0</v>
      </c>
      <c r="Y94" s="18" t="n">
        <v>-1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4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4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4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4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4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4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4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4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4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4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4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4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4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4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4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4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4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4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4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4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4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4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4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4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4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4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4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4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4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4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4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4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4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4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4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4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4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4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4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4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4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4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4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4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4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4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4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4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4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4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4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4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4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4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4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4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4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4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4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4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4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4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4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4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4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4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4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4" t="n">
        <v>1598</v>
      </c>
      <c r="Q26" s="18" t="n">
        <v>1585</v>
      </c>
      <c r="R26" s="18" t="n">
        <v>1572</v>
      </c>
      <c r="T26" s="18" t="n">
        <v>0</v>
      </c>
      <c r="U26" s="34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4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4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4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4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4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4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4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4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4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4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4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4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4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4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4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4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4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4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4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4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4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4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4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4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4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4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4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4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4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4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4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4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4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4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4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4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4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4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4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4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4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4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4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4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4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4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4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4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4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4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4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4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4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4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4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4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4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4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4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4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4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4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4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4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4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4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4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4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4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4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4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4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4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4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4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4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4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4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4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4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4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4" t="n">
        <v>682305</v>
      </c>
      <c r="Q54" s="18" t="n">
        <v>688420</v>
      </c>
      <c r="R54" s="18" t="n">
        <v>649555</v>
      </c>
      <c r="S54" s="18" t="n">
        <v>477151</v>
      </c>
      <c r="T54" s="18" t="n">
        <v>454425</v>
      </c>
      <c r="U54" s="34" t="n">
        <v>454425</v>
      </c>
      <c r="V54" s="18" t="n">
        <v>444849</v>
      </c>
      <c r="W54" s="18" t="n">
        <v>396281</v>
      </c>
      <c r="X54" s="18" t="n">
        <v>387349</v>
      </c>
      <c r="Y54" s="18" t="n">
        <v>381964</v>
      </c>
      <c r="Z54" s="34" t="n">
        <v>381964</v>
      </c>
      <c r="AA54" s="18" t="n">
        <v>379076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4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4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4" t="n">
        <v>322328</v>
      </c>
      <c r="Q55" s="18" t="n">
        <v>391563</v>
      </c>
      <c r="R55" s="18" t="n">
        <v>383137</v>
      </c>
      <c r="S55" s="18" t="n">
        <v>251500</v>
      </c>
      <c r="T55" s="18" t="n">
        <v>223154</v>
      </c>
      <c r="U55" s="34" t="n">
        <v>223154</v>
      </c>
      <c r="V55" s="18" t="n">
        <v>331642</v>
      </c>
      <c r="W55" s="18" t="n">
        <v>183447</v>
      </c>
      <c r="X55" s="18" t="n">
        <v>153006</v>
      </c>
      <c r="Y55" s="18" t="n">
        <v>23810</v>
      </c>
      <c r="Z55" s="34" t="n">
        <v>23810</v>
      </c>
      <c r="AA55" s="18" t="n">
        <v>193302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4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4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4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4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4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4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4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4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4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4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4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4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4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4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4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4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4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4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4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4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4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4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4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4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4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4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4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4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4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4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4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4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4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4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4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4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4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4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4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4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4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4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4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4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4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4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4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4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4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4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4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4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4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4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4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4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4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4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4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4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4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4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4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4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4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4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4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4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4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4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4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4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4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4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4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4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4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4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4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4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4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4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4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4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4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4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4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4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4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4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4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4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4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4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4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4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4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4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4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4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4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4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4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4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4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4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4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4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4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4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4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4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4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4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4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4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-0.1812</v>
      </c>
      <c r="F10" s="34" t="n"/>
      <c r="G10" s="18" t="n">
        <v>0.0074</v>
      </c>
      <c r="H10" s="18" t="n">
        <v>0.0052</v>
      </c>
      <c r="I10" s="18" t="n">
        <v>-0.0001</v>
      </c>
      <c r="J10" s="18" t="n">
        <v>0.003</v>
      </c>
      <c r="K10" s="34">
        <f>SUM(G10:J10)</f>
        <v/>
      </c>
      <c r="L10" s="18" t="n">
        <v>-0.0274</v>
      </c>
      <c r="M10" s="18" t="n">
        <v>-0.1499</v>
      </c>
      <c r="N10" s="18" t="n">
        <v>-0.0834</v>
      </c>
      <c r="O10" s="18" t="n">
        <v>0.024</v>
      </c>
      <c r="P10" s="34">
        <f>SUM(L10:O10)</f>
        <v/>
      </c>
      <c r="Q10" s="18" t="n">
        <v>0.0254</v>
      </c>
      <c r="R10" s="18" t="n">
        <v>-0.08160000000000001</v>
      </c>
      <c r="S10" s="18" t="n">
        <v>0.0725</v>
      </c>
      <c r="T10" s="18" t="n">
        <v>0.0041</v>
      </c>
      <c r="U10" s="34">
        <f>SUM(Q10:T10)</f>
        <v/>
      </c>
      <c r="V10" s="18" t="n">
        <v>0.0133</v>
      </c>
      <c r="W10" s="18" t="n">
        <v>0.0105</v>
      </c>
      <c r="X10" s="18" t="n">
        <v>0.0128</v>
      </c>
      <c r="Y10" s="18" t="n">
        <v>0.08019999999999999</v>
      </c>
      <c r="Z10" s="34">
        <f>SUM(V10:Y10)</f>
        <v/>
      </c>
      <c r="AA10" s="18" t="n">
        <v>0.0454</v>
      </c>
      <c r="AB10" s="19" t="n">
        <v>0.08890000000000001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 t="n"/>
      <c r="H15" s="18" t="n"/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SUM(G15:J15)</f>
        <v/>
      </c>
      <c r="L15" s="18" t="n"/>
      <c r="M15" s="18" t="n"/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>
        <v>0</v>
      </c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/>
      <c r="AD17" s="20" t="n"/>
      <c r="AE17" s="35">
        <f>SUM(AA17:AD17)</f>
        <v/>
      </c>
      <c r="AF17" s="20" t="n"/>
      <c r="AG17" s="20" t="n"/>
      <c r="AH17" s="20" t="n"/>
      <c r="AI17" s="20" t="n"/>
      <c r="AJ17" s="35">
        <f>SUM(AF17:AI17)</f>
        <v/>
      </c>
      <c r="AK17" s="20" t="n"/>
      <c r="AL17" s="20" t="n"/>
      <c r="AM17" s="20" t="n"/>
      <c r="AN17" s="20" t="n"/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IFERROR(AB20+AC15-변수!AC31,"")</f>
        <v/>
      </c>
      <c r="AD20" s="20">
        <f>IFERROR(AC20+AD15-변수!AD31,"")</f>
        <v/>
      </c>
      <c r="AE20" s="35">
        <f>AD20</f>
        <v/>
      </c>
      <c r="AF20" s="20">
        <f>IFERROR(AD20+AF15-변수!AF31,"")</f>
        <v/>
      </c>
      <c r="AG20" s="20">
        <f>IFERROR(AF20+AG15-변수!AG31,"")</f>
        <v/>
      </c>
      <c r="AH20" s="20">
        <f>IFERROR(AG20+AH15-변수!AH31,"")</f>
        <v/>
      </c>
      <c r="AI20" s="20">
        <f>IFERROR(AH20+AI15-변수!AI31,"")</f>
        <v/>
      </c>
      <c r="AJ20" s="35">
        <f>AI20</f>
        <v/>
      </c>
      <c r="AK20" s="20">
        <f>IFERROR(AI20+AK15-변수!AK31,"")</f>
        <v/>
      </c>
      <c r="AL20" s="20">
        <f>IFERROR(AK20+AL15-변수!AL31,"")</f>
        <v/>
      </c>
      <c r="AM20" s="20">
        <f>IFERROR(AL20+AM15-변수!AM31,"")</f>
        <v/>
      </c>
      <c r="AN20" s="20">
        <f>IFERROR(AM20+AN15-변수!AN31,"")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415</v>
      </c>
      <c r="F27" s="34" t="n"/>
      <c r="G27" s="18" t="n">
        <v>77.84999999999999</v>
      </c>
      <c r="H27" s="18" t="n">
        <v>700.1900000000001</v>
      </c>
      <c r="I27" s="18" t="n">
        <v>-1113.98</v>
      </c>
      <c r="J27" s="18" t="n">
        <v>1181.69</v>
      </c>
      <c r="K27" s="34">
        <f>SUM(G27:J27)</f>
        <v/>
      </c>
      <c r="L27" s="18" t="n">
        <v>399.48</v>
      </c>
      <c r="M27" s="18" t="n">
        <v>-773.1900000000001</v>
      </c>
      <c r="N27" s="18" t="n">
        <v>2431.78</v>
      </c>
      <c r="O27" s="18" t="n">
        <v>-510.19</v>
      </c>
      <c r="P27" s="34">
        <f>SUM(L27:O27)</f>
        <v/>
      </c>
      <c r="Q27" s="18" t="n">
        <v>-505.04</v>
      </c>
      <c r="R27" s="18" t="n">
        <v>198.66</v>
      </c>
      <c r="S27" s="18" t="n">
        <v>-773.85</v>
      </c>
      <c r="T27" s="18" t="n">
        <v>216.58</v>
      </c>
      <c r="U27" s="34">
        <f>SUM(Q27:T27)</f>
        <v/>
      </c>
      <c r="V27" s="18" t="n">
        <v>-1026.84</v>
      </c>
      <c r="W27" s="18" t="n">
        <v>1468.68</v>
      </c>
      <c r="X27" s="18" t="n">
        <v>389.21</v>
      </c>
      <c r="Y27" s="18" t="n">
        <v>-767.75</v>
      </c>
      <c r="Z27" s="34">
        <f>SUM(V27:Y27)</f>
        <v/>
      </c>
      <c r="AA27" s="18" t="n">
        <v>-1638.53</v>
      </c>
      <c r="AB27" s="19" t="n">
        <v>214.61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83.268</v>
      </c>
      <c r="F28" s="27">
        <f>E28</f>
        <v/>
      </c>
      <c r="G28" s="26" t="n">
        <v>83.268</v>
      </c>
      <c r="H28" s="26" t="n">
        <v>83.268</v>
      </c>
      <c r="I28" s="26" t="n">
        <v>83.268</v>
      </c>
      <c r="J28" s="26" t="n">
        <v>83.268</v>
      </c>
      <c r="K28" s="27">
        <f>J28</f>
        <v/>
      </c>
      <c r="L28" s="26" t="n">
        <v>83.268</v>
      </c>
      <c r="M28" s="26" t="n">
        <v>83.268</v>
      </c>
      <c r="N28" s="26" t="n">
        <v>83.268</v>
      </c>
      <c r="O28" s="26" t="n">
        <v>83.268</v>
      </c>
      <c r="P28" s="27">
        <f>O28</f>
        <v/>
      </c>
      <c r="Q28" s="26" t="n">
        <v>83.268</v>
      </c>
      <c r="R28" s="26" t="n">
        <v>83.268</v>
      </c>
      <c r="S28" s="26" t="n">
        <v>83.268</v>
      </c>
      <c r="T28" s="26" t="n">
        <v>83.268</v>
      </c>
      <c r="U28" s="27">
        <f>T28</f>
        <v/>
      </c>
      <c r="V28" s="26" t="n">
        <v>83.268</v>
      </c>
      <c r="W28" s="26" t="n">
        <v>83.268</v>
      </c>
      <c r="X28" s="26" t="n">
        <v>83.268</v>
      </c>
      <c r="Y28" s="26" t="n">
        <v>90.289</v>
      </c>
      <c r="Z28" s="27">
        <f>Y28</f>
        <v/>
      </c>
      <c r="AA28" s="26" t="n">
        <v>90.289</v>
      </c>
      <c r="AB28" s="28" t="n">
        <v>90.289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34" t="n"/>
      <c r="G29" s="18">
        <f>IFERROR(G16*100/G28,"")</f>
        <v/>
      </c>
      <c r="H29" s="18">
        <f>IFERROR(H16*100/H28,"")</f>
        <v/>
      </c>
      <c r="I29" s="18">
        <f>IFERROR(I16*100/I28,"")</f>
        <v/>
      </c>
      <c r="J29" s="18">
        <f>IFERROR(J16*100/J28,"")</f>
        <v/>
      </c>
      <c r="K29" s="34">
        <f>SUM(G29:J29)</f>
        <v/>
      </c>
      <c r="L29" s="18">
        <f>IFERROR(L16*100/L28,"")</f>
        <v/>
      </c>
      <c r="M29" s="18">
        <f>IFERROR(M16*100/M28,"")</f>
        <v/>
      </c>
      <c r="N29" s="18">
        <f>IFERROR(N16*100/N28,"")</f>
        <v/>
      </c>
      <c r="O29" s="18">
        <f>IFERROR(O16*100/O28,"")</f>
        <v/>
      </c>
      <c r="P29" s="34">
        <f>SUM(L29:O29)</f>
        <v/>
      </c>
      <c r="Q29" s="18">
        <f>IFERROR(Q16*100/Q28,"")</f>
        <v/>
      </c>
      <c r="R29" s="18">
        <f>IFERROR(R16*100/R28,"")</f>
        <v/>
      </c>
      <c r="S29" s="18">
        <f>IFERROR(S16*100/S28,"")</f>
        <v/>
      </c>
      <c r="T29" s="18">
        <f>IFERROR(T16*100/T28,"")</f>
        <v/>
      </c>
      <c r="U29" s="34">
        <f>SUM(Q29:T29)</f>
        <v/>
      </c>
      <c r="V29" s="18">
        <f>IFERROR(V16*100/V28,"")</f>
        <v/>
      </c>
      <c r="W29" s="18">
        <f>IFERROR(W16*100/W28,"")</f>
        <v/>
      </c>
      <c r="X29" s="18">
        <f>IFERROR(X16*100/X28,"")</f>
        <v/>
      </c>
      <c r="Y29" s="18">
        <f>IFERROR(Y16*100/Y28,"")</f>
        <v/>
      </c>
      <c r="Z29" s="34">
        <f>SUM(V29:Y29)</f>
        <v/>
      </c>
      <c r="AA29" s="18">
        <f>IFERROR(AA16*100/AA28,"")</f>
        <v/>
      </c>
      <c r="AB29" s="19">
        <f>IFERROR(AB16*100/AB28,"")</f>
        <v/>
      </c>
      <c r="AC29" s="20">
        <f>IFERROR(AC16*100/AC28,"")</f>
        <v/>
      </c>
      <c r="AD29" s="20">
        <f>IFERROR(AD16*100/AD28,"")</f>
        <v/>
      </c>
      <c r="AE29" s="35">
        <f>SUM(AA29:AD29)</f>
        <v/>
      </c>
      <c r="AF29" s="20">
        <f>IFERROR(AF16*100/AF28,"")</f>
        <v/>
      </c>
      <c r="AG29" s="20">
        <f>IFERROR(AG16*100/AG28,"")</f>
        <v/>
      </c>
      <c r="AH29" s="20">
        <f>IFERROR(AH16*100/AH28,"")</f>
        <v/>
      </c>
      <c r="AI29" s="20">
        <f>IFERROR(AI16*100/AI28,"")</f>
        <v/>
      </c>
      <c r="AJ29" s="35">
        <f>SUM(AF29:AI29)</f>
        <v/>
      </c>
      <c r="AK29" s="20">
        <f>IFERROR(AK16*100/AK28,"")</f>
        <v/>
      </c>
      <c r="AL29" s="20">
        <f>IFERROR(AL16*100/AL28,"")</f>
        <v/>
      </c>
      <c r="AM29" s="20">
        <f>IFERROR(AM16*100/AM28,"")</f>
        <v/>
      </c>
      <c r="AN29" s="20">
        <f>IFERROR(AN16*100/AN28,"")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>
        <v>13.23</v>
      </c>
      <c r="T32" s="18" t="n">
        <v>53.81</v>
      </c>
      <c r="U32" s="34">
        <f>SUM(Q32:T32)</f>
        <v/>
      </c>
      <c r="V32" s="18" t="n"/>
      <c r="W32" s="18" t="n">
        <v>19.6</v>
      </c>
      <c r="X32" s="18" t="n"/>
      <c r="Y32" s="18" t="n">
        <v>41.6</v>
      </c>
      <c r="Z32" s="34">
        <f>SUM(V32:Y32)</f>
        <v/>
      </c>
      <c r="AA32" s="18" t="n">
        <v>31.53</v>
      </c>
      <c r="AB32" s="19" t="n">
        <v>15.63</v>
      </c>
      <c r="AC32" s="20" t="n">
        <v>7.3</v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1.68</v>
      </c>
      <c r="F33" s="34" t="n">
        <v>1.55</v>
      </c>
      <c r="G33" s="18" t="n">
        <v>1.5</v>
      </c>
      <c r="H33" s="18" t="n">
        <v>1.57</v>
      </c>
      <c r="I33" s="18" t="n">
        <v>1.36</v>
      </c>
      <c r="J33" s="18" t="n">
        <v>0.87</v>
      </c>
      <c r="K33" s="34">
        <f>SUM(G33:J33)</f>
        <v/>
      </c>
      <c r="L33" s="18" t="n">
        <v>0.89</v>
      </c>
      <c r="M33" s="18" t="n">
        <v>1.13</v>
      </c>
      <c r="N33" s="18" t="n">
        <v>1.22</v>
      </c>
      <c r="O33" s="18" t="n">
        <v>0.91</v>
      </c>
      <c r="P33" s="34">
        <f>SUM(L33:O33)</f>
        <v/>
      </c>
      <c r="Q33" s="18" t="n">
        <v>0.84</v>
      </c>
      <c r="R33" s="18" t="n">
        <v>0.85</v>
      </c>
      <c r="S33" s="18" t="n">
        <v>0.7</v>
      </c>
      <c r="T33" s="18" t="n">
        <v>0.84</v>
      </c>
      <c r="U33" s="34">
        <f>SUM(Q33:T33)</f>
        <v/>
      </c>
      <c r="V33" s="18" t="n">
        <v>1.66</v>
      </c>
      <c r="W33" s="18" t="n">
        <v>1.79</v>
      </c>
      <c r="X33" s="18" t="n">
        <v>3.97</v>
      </c>
      <c r="Y33" s="18" t="n">
        <v>3.21</v>
      </c>
      <c r="Z33" s="34">
        <f>SUM(V33:Y33)</f>
        <v/>
      </c>
      <c r="AA33" s="18" t="n">
        <v>3.23</v>
      </c>
      <c r="AB33" s="19" t="n">
        <v>2.93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조선·해양(방산·신조선·상선·특수선)</t>
        </is>
      </c>
      <c r="E34" s="18" t="n"/>
      <c r="F34" s="34" t="n"/>
      <c r="G34" s="18" t="n"/>
      <c r="H34" s="18" t="n">
        <v>902</v>
      </c>
      <c r="I34" s="18" t="n">
        <v>2402</v>
      </c>
      <c r="J34" s="18" t="n">
        <v>-8411</v>
      </c>
      <c r="K34" s="34">
        <f>SUM(G34:J34)</f>
        <v/>
      </c>
      <c r="L34" s="18" t="n"/>
      <c r="M34" s="18" t="n">
        <v>6762</v>
      </c>
      <c r="N34" s="18" t="n">
        <v>1683</v>
      </c>
      <c r="O34" s="18" t="n">
        <v>2951</v>
      </c>
      <c r="P34" s="34">
        <f>SUM(L34:O34)</f>
        <v/>
      </c>
      <c r="Q34" s="18" t="n"/>
      <c r="R34" s="18" t="n">
        <v>2034</v>
      </c>
      <c r="S34" s="18" t="n">
        <v>1884</v>
      </c>
      <c r="T34" s="18" t="n"/>
      <c r="U34" s="34">
        <f>SUM(Q34:T34)</f>
        <v/>
      </c>
      <c r="V34" s="18" t="n"/>
      <c r="W34" s="18" t="n">
        <v>2280</v>
      </c>
      <c r="X34" s="18" t="n">
        <v>2026</v>
      </c>
      <c r="Y34" s="18" t="n"/>
      <c r="Z34" s="34">
        <f>SUM(V34:Y34)</f>
        <v/>
      </c>
      <c r="AA34" s="18" t="n"/>
      <c r="AB34" s="19" t="n">
        <v>3951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조선·해양(방산·신조선·상선·특수선)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/>
      <c r="H36" s="18" t="n">
        <v>3552.57</v>
      </c>
      <c r="I36" s="18" t="n">
        <v>1576.49</v>
      </c>
      <c r="J36" s="18" t="n">
        <v>14379.63</v>
      </c>
      <c r="K36" s="34">
        <f>SUM(G36:J36)</f>
        <v/>
      </c>
      <c r="L36" s="18" t="n"/>
      <c r="M36" s="18" t="n">
        <v>0</v>
      </c>
      <c r="N36" s="18" t="n">
        <v>3222.17</v>
      </c>
      <c r="O36" s="18" t="n">
        <v>4700.57</v>
      </c>
      <c r="P36" s="34">
        <f>SUM(L36:O36)</f>
        <v/>
      </c>
      <c r="Q36" s="18" t="n"/>
      <c r="R36" s="18" t="n">
        <v>2814</v>
      </c>
      <c r="S36" s="18" t="n">
        <v>2653.68</v>
      </c>
      <c r="T36" s="18" t="n"/>
      <c r="U36" s="34">
        <f>SUM(Q36:T36)</f>
        <v/>
      </c>
      <c r="V36" s="18" t="n"/>
      <c r="W36" s="18" t="n">
        <v>2797.77</v>
      </c>
      <c r="X36" s="18" t="n">
        <v>2496.08</v>
      </c>
      <c r="Y36" s="18" t="n"/>
      <c r="Z36" s="34">
        <f>SUM(V36:Y36)</f>
        <v/>
      </c>
      <c r="AA36" s="18" t="n"/>
      <c r="AB36" s="19" t="n">
        <v>3348.08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IFERROR(E16/E5,"")</f>
        <v/>
      </c>
      <c r="F40" s="22">
        <f>IFERROR(F16/F5,"")</f>
        <v/>
      </c>
      <c r="G40" s="21">
        <f>IFERROR(G16/G5,"")</f>
        <v/>
      </c>
      <c r="H40" s="21">
        <f>IFERROR(H16/H5,"")</f>
        <v/>
      </c>
      <c r="I40" s="21">
        <f>IFERROR(I16/I5,"")</f>
        <v/>
      </c>
      <c r="J40" s="21">
        <f>IFERROR(J16/J5,"")</f>
        <v/>
      </c>
      <c r="K40" s="22">
        <f>IFERROR(K16/K5,"")</f>
        <v/>
      </c>
      <c r="L40" s="21">
        <f>IFERROR(L16/L5,"")</f>
        <v/>
      </c>
      <c r="M40" s="21">
        <f>IFERROR(M16/M5,"")</f>
        <v/>
      </c>
      <c r="N40" s="21">
        <f>IFERROR(N16/N5,"")</f>
        <v/>
      </c>
      <c r="O40" s="21">
        <f>IFERROR(O16/O5,"")</f>
        <v/>
      </c>
      <c r="P40" s="22">
        <f>IFERROR(P16/P5,"")</f>
        <v/>
      </c>
      <c r="Q40" s="21">
        <f>IFERROR(Q16/Q5,"")</f>
        <v/>
      </c>
      <c r="R40" s="21">
        <f>IFERROR(R16/R5,"")</f>
        <v/>
      </c>
      <c r="S40" s="21">
        <f>IFERROR(S16/S5,"")</f>
        <v/>
      </c>
      <c r="T40" s="21">
        <f>IFERROR(T16/T5,"")</f>
        <v/>
      </c>
      <c r="U40" s="22">
        <f>IFERROR(U16/U5,"")</f>
        <v/>
      </c>
      <c r="V40" s="21">
        <f>IFERROR(V16/V5,"")</f>
        <v/>
      </c>
      <c r="W40" s="21">
        <f>IFERROR(W16/W5,"")</f>
        <v/>
      </c>
      <c r="X40" s="21">
        <f>IFERROR(X16/X5,"")</f>
        <v/>
      </c>
      <c r="Y40" s="21">
        <f>IFERROR(Y16/Y5,"")</f>
        <v/>
      </c>
      <c r="Z40" s="22">
        <f>IFERROR(Z16/Z5,"")</f>
        <v/>
      </c>
      <c r="AA40" s="21">
        <f>IFERROR(AA16/AA5,"")</f>
        <v/>
      </c>
      <c r="AB40" s="23">
        <f>IFERROR(AB16/AB5,"")</f>
        <v/>
      </c>
      <c r="AC40" s="31">
        <f>IFERROR(AC16/AC5,"")</f>
        <v/>
      </c>
      <c r="AD40" s="31">
        <f>IFERROR(AD16/AD5,"")</f>
        <v/>
      </c>
      <c r="AE40" s="25">
        <f>IFERROR(AE16/AE5,"")</f>
        <v/>
      </c>
      <c r="AF40" s="31">
        <f>IFERROR(AF16/AF5,"")</f>
        <v/>
      </c>
      <c r="AG40" s="31">
        <f>IFERROR(AG16/AG5,"")</f>
        <v/>
      </c>
      <c r="AH40" s="31">
        <f>IFERROR(AH16/AH5,"")</f>
        <v/>
      </c>
      <c r="AI40" s="31">
        <f>IFERROR(AI16/AI5,"")</f>
        <v/>
      </c>
      <c r="AJ40" s="25">
        <f>IFERROR(AJ16/AJ5,"")</f>
        <v/>
      </c>
      <c r="AK40" s="31">
        <f>IFERROR(AK16/AK5,"")</f>
        <v/>
      </c>
      <c r="AL40" s="31">
        <f>IFERROR(AL16/AL5,"")</f>
        <v/>
      </c>
      <c r="AM40" s="31">
        <f>IFERROR(AM16/AM5,"")</f>
        <v/>
      </c>
      <c r="AN40" s="31">
        <f>IFERROR(AN16/AN5,"")</f>
        <v/>
      </c>
      <c r="AO40" s="25">
        <f>IFERROR(AO16/AO5,"")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E7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100.202</v>
      </c>
      <c r="AA5" s="26" t="n">
        <v>114.806</v>
      </c>
      <c r="AB5" s="26" t="n">
        <v>114.978</v>
      </c>
      <c r="AC5" s="26" t="n">
        <v>121.882</v>
      </c>
      <c r="AD5" s="26" t="n">
        <v>123.332</v>
      </c>
      <c r="AE5" s="26" t="n">
        <v>123.829</v>
      </c>
      <c r="AF5" s="26" t="n">
        <v>124.716</v>
      </c>
      <c r="AG5" s="26" t="n">
        <v>124.427</v>
      </c>
      <c r="AH5" s="26" t="n">
        <v>125.009</v>
      </c>
      <c r="AI5" s="26" t="n">
        <v>134.536</v>
      </c>
      <c r="AJ5" s="26" t="n">
        <v>185.293</v>
      </c>
      <c r="AK5" s="26" t="n">
        <v>220.263</v>
      </c>
      <c r="AL5" s="26" t="n">
        <v>241.711</v>
      </c>
      <c r="AM5" s="26" t="n">
        <v>284.118</v>
      </c>
      <c r="AN5" s="26" t="n">
        <v>261.673</v>
      </c>
      <c r="AO5" s="26" t="n">
        <v>237.986</v>
      </c>
      <c r="AP5" s="26" t="n">
        <v>230.415</v>
      </c>
      <c r="AQ5" s="26" t="n">
        <v>220.82</v>
      </c>
      <c r="AR5" s="26" t="n">
        <v>205.301</v>
      </c>
      <c r="AS5" s="26" t="n">
        <v>198.969</v>
      </c>
      <c r="AT5" s="26" t="n">
        <v>167.965</v>
      </c>
      <c r="AU5" s="26" t="n">
        <v>143.642</v>
      </c>
      <c r="AV5" s="26" t="n">
        <v>129.772</v>
      </c>
      <c r="AW5" s="26" t="n">
        <v>91.565</v>
      </c>
      <c r="AX5" s="26" t="n">
        <v>73.017</v>
      </c>
      <c r="AY5" s="26" t="n">
        <v>59.308</v>
      </c>
      <c r="AZ5" s="26" t="n">
        <v>37.303</v>
      </c>
      <c r="BA5" s="26" t="n">
        <v>35.271</v>
      </c>
      <c r="BB5" s="26" t="n">
        <v>30.116</v>
      </c>
      <c r="BC5" s="26" t="n">
        <v>15.251</v>
      </c>
      <c r="BD5" s="26" t="n">
        <v>12.996</v>
      </c>
      <c r="BE5" s="26" t="n">
        <v>12.048</v>
      </c>
      <c r="BF5" s="26" t="n">
        <v>11.179</v>
      </c>
      <c r="BG5" s="26" t="n">
        <v>11.179</v>
      </c>
      <c r="BH5" s="26" t="n">
        <v>11.058</v>
      </c>
      <c r="BI5" s="26" t="n">
        <v>7.646</v>
      </c>
      <c r="BJ5" s="26" t="n">
        <v>6.88</v>
      </c>
      <c r="BK5" s="26" t="n">
        <v>6.88</v>
      </c>
      <c r="BL5" s="26" t="n">
        <v>6.73</v>
      </c>
      <c r="BM5" s="26" t="n">
        <v>6.805</v>
      </c>
      <c r="BN5" s="26" t="n">
        <v>5.965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369.854</v>
      </c>
      <c r="EF5" s="26" t="n">
        <v>484.021</v>
      </c>
      <c r="EG5" s="26" t="n">
        <v>508.688</v>
      </c>
      <c r="EH5" s="26" t="n">
        <v>931.385</v>
      </c>
      <c r="EI5" s="26" t="n">
        <v>950.894</v>
      </c>
      <c r="EJ5" s="26" t="n">
        <v>715.877</v>
      </c>
      <c r="EK5" s="26" t="n">
        <v>353.662</v>
      </c>
      <c r="EL5" s="26" t="n">
        <v>117.941</v>
      </c>
      <c r="EM5" s="26" t="n">
        <v>47.402</v>
      </c>
      <c r="EN5" s="26" t="n">
        <v>32.464</v>
      </c>
      <c r="EO5" s="26" t="n">
        <v>23.75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2.933</v>
      </c>
      <c r="F6" s="26" t="n">
        <v>6.133</v>
      </c>
      <c r="G6" s="26" t="n">
        <v>6.133</v>
      </c>
      <c r="H6" s="26" t="n">
        <v>6.7</v>
      </c>
      <c r="I6" s="26" t="n">
        <v>12.374</v>
      </c>
      <c r="J6" s="26" t="n">
        <v>14.461</v>
      </c>
      <c r="K6" s="26" t="n">
        <v>14.729</v>
      </c>
      <c r="L6" s="26" t="n">
        <v>19.188</v>
      </c>
      <c r="M6" s="26" t="n">
        <v>19.188</v>
      </c>
      <c r="N6" s="26" t="n">
        <v>19.399</v>
      </c>
      <c r="O6" s="26" t="n">
        <v>30.827</v>
      </c>
      <c r="P6" s="26" t="n">
        <v>45.288</v>
      </c>
      <c r="Q6" s="26" t="n">
        <v>50.661</v>
      </c>
      <c r="R6" s="26" t="n">
        <v>56.415</v>
      </c>
      <c r="S6" s="26" t="n">
        <v>59.244</v>
      </c>
      <c r="T6" s="26" t="n">
        <v>58.81</v>
      </c>
      <c r="U6" s="26" t="n">
        <v>59.464</v>
      </c>
      <c r="V6" s="26" t="n">
        <v>61.318</v>
      </c>
      <c r="W6" s="26" t="n">
        <v>65.621</v>
      </c>
      <c r="X6" s="26" t="n">
        <v>73.087</v>
      </c>
      <c r="Y6" s="26" t="n">
        <v>81.759</v>
      </c>
      <c r="Z6" s="26" t="n">
        <v>100.202</v>
      </c>
      <c r="AA6" s="26" t="n">
        <v>114.806</v>
      </c>
      <c r="AB6" s="26" t="n">
        <v>114.978</v>
      </c>
      <c r="AC6" s="26" t="n">
        <v>121.882</v>
      </c>
      <c r="AD6" s="26" t="n">
        <v>123.332</v>
      </c>
      <c r="AE6" s="26" t="n">
        <v>123.829</v>
      </c>
      <c r="AF6" s="26" t="n">
        <v>124.716</v>
      </c>
      <c r="AG6" s="26" t="n">
        <v>124.427</v>
      </c>
      <c r="AH6" s="26" t="n">
        <v>125.009</v>
      </c>
      <c r="AI6" s="26" t="n">
        <v>131.854</v>
      </c>
      <c r="AJ6" s="26" t="n">
        <v>153.802</v>
      </c>
      <c r="AK6" s="26" t="n">
        <v>159.705</v>
      </c>
      <c r="AL6" s="26" t="n">
        <v>169.47</v>
      </c>
      <c r="AM6" s="26" t="n">
        <v>170.727</v>
      </c>
      <c r="AN6" s="26" t="n">
        <v>150.747</v>
      </c>
      <c r="AO6" s="26" t="n">
        <v>125.827</v>
      </c>
      <c r="AP6" s="26" t="n">
        <v>117.024</v>
      </c>
      <c r="AQ6" s="26" t="n">
        <v>107.429</v>
      </c>
      <c r="AR6" s="26" t="n">
        <v>93.143</v>
      </c>
      <c r="AS6" s="26" t="n">
        <v>86.81100000000001</v>
      </c>
      <c r="AT6" s="26" t="n">
        <v>79.996</v>
      </c>
      <c r="AU6" s="26" t="n">
        <v>72.465</v>
      </c>
      <c r="AV6" s="26" t="n">
        <v>70.889</v>
      </c>
      <c r="AW6" s="26" t="n">
        <v>62.639</v>
      </c>
      <c r="AX6" s="26" t="n">
        <v>58.993</v>
      </c>
      <c r="AY6" s="26" t="n">
        <v>54.583</v>
      </c>
      <c r="AZ6" s="26" t="n">
        <v>37.303</v>
      </c>
      <c r="BA6" s="26" t="n">
        <v>35.271</v>
      </c>
      <c r="BB6" s="26" t="n">
        <v>30.116</v>
      </c>
      <c r="BC6" s="26" t="n">
        <v>15.251</v>
      </c>
      <c r="BD6" s="26" t="n">
        <v>12.996</v>
      </c>
      <c r="BE6" s="26" t="n">
        <v>12.048</v>
      </c>
      <c r="BF6" s="26" t="n">
        <v>11.179</v>
      </c>
      <c r="BG6" s="26" t="n">
        <v>11.179</v>
      </c>
      <c r="BH6" s="26" t="n">
        <v>11.058</v>
      </c>
      <c r="BI6" s="26" t="n">
        <v>7.646</v>
      </c>
      <c r="BJ6" s="26" t="n">
        <v>6.88</v>
      </c>
      <c r="BK6" s="26" t="n">
        <v>6.88</v>
      </c>
      <c r="BL6" s="26" t="n">
        <v>6.73</v>
      </c>
      <c r="BM6" s="26" t="n">
        <v>6.805</v>
      </c>
      <c r="BN6" s="26" t="n">
        <v>5.965</v>
      </c>
      <c r="BO6" s="26" t="n">
        <v>4.25</v>
      </c>
      <c r="BP6" s="26" t="n">
        <v>4.158</v>
      </c>
      <c r="BQ6" s="26" t="n">
        <v>1.785</v>
      </c>
      <c r="BR6" s="26" t="n">
        <v>0.602</v>
      </c>
      <c r="BS6" s="26" t="n">
        <v>0.602</v>
      </c>
      <c r="BT6" s="26" t="n">
        <v>0.589</v>
      </c>
      <c r="BU6" s="26" t="n">
        <v>0.596</v>
      </c>
      <c r="BV6" s="26" t="n">
        <v>0.602</v>
      </c>
      <c r="BW6" s="26" t="n">
        <v>0.602</v>
      </c>
      <c r="BX6" s="26" t="n">
        <v>0.596</v>
      </c>
      <c r="BY6" s="26" t="n">
        <v>0.596</v>
      </c>
      <c r="BZ6" s="26" t="n">
        <v>0.602</v>
      </c>
      <c r="CA6" s="26" t="n">
        <v>0.602</v>
      </c>
      <c r="CB6" s="26" t="n">
        <v>0.589</v>
      </c>
      <c r="CC6" s="26" t="n">
        <v>0.596</v>
      </c>
      <c r="CD6" s="26" t="n">
        <v>0.602</v>
      </c>
      <c r="CE6" s="26" t="n">
        <v>0.602</v>
      </c>
      <c r="CF6" s="26" t="n">
        <v>0.589</v>
      </c>
      <c r="CG6" s="26" t="n">
        <v>0.596</v>
      </c>
      <c r="CH6" s="26" t="n">
        <v>0.602</v>
      </c>
      <c r="CI6" s="26" t="n">
        <v>0.602</v>
      </c>
      <c r="CJ6" s="26" t="n">
        <v>0.589</v>
      </c>
      <c r="CK6" s="26" t="n">
        <v>0.596</v>
      </c>
      <c r="CL6" s="26" t="n">
        <v>0.602</v>
      </c>
      <c r="CM6" s="26" t="n">
        <v>0.602</v>
      </c>
      <c r="CN6" s="26" t="n">
        <v>0.596</v>
      </c>
      <c r="CO6" s="26" t="n">
        <v>0.596</v>
      </c>
      <c r="CP6" s="26" t="n">
        <v>0.602</v>
      </c>
      <c r="CQ6" s="26" t="n">
        <v>0.602</v>
      </c>
      <c r="CR6" s="26" t="n">
        <v>0.589</v>
      </c>
      <c r="CS6" s="26" t="n">
        <v>0.596</v>
      </c>
      <c r="CT6" s="26" t="n">
        <v>0.602</v>
      </c>
      <c r="CU6" s="26" t="n">
        <v>0.602</v>
      </c>
      <c r="CV6" s="26" t="n">
        <v>0.589</v>
      </c>
      <c r="CW6" s="26" t="n">
        <v>0.596</v>
      </c>
      <c r="CX6" s="26" t="n">
        <v>0.602</v>
      </c>
      <c r="CY6" s="26" t="n">
        <v>0.602</v>
      </c>
      <c r="CZ6" s="26" t="n">
        <v>0.589</v>
      </c>
      <c r="DA6" s="26" t="n">
        <v>0.596</v>
      </c>
      <c r="DB6" s="26" t="n">
        <v>0.602</v>
      </c>
      <c r="DC6" s="26" t="n">
        <v>0.602</v>
      </c>
      <c r="DD6" s="26" t="n">
        <v>0.596</v>
      </c>
      <c r="DE6" s="26" t="n">
        <v>0.596</v>
      </c>
      <c r="DF6" s="26" t="n">
        <v>0.602</v>
      </c>
      <c r="DG6" s="26" t="n">
        <v>0.602</v>
      </c>
      <c r="DH6" s="26" t="n">
        <v>0.589</v>
      </c>
      <c r="DI6" s="26" t="n">
        <v>0.596</v>
      </c>
      <c r="DJ6" s="26" t="n">
        <v>0.602</v>
      </c>
      <c r="DK6" s="26" t="n">
        <v>0.602</v>
      </c>
      <c r="DL6" s="26" t="n">
        <v>0.589</v>
      </c>
      <c r="DM6" s="26" t="n">
        <v>0.596</v>
      </c>
      <c r="DN6" s="26" t="n">
        <v>0.602</v>
      </c>
      <c r="DO6" s="26" t="n">
        <v>0.602</v>
      </c>
      <c r="DP6" s="26" t="n">
        <v>0.589</v>
      </c>
      <c r="DQ6" s="26" t="n">
        <v>0.596</v>
      </c>
      <c r="DR6" s="26" t="n">
        <v>0.602</v>
      </c>
      <c r="DS6" s="26" t="n">
        <v>0.602</v>
      </c>
      <c r="DT6" s="26" t="n">
        <v>0.596</v>
      </c>
      <c r="DU6" s="26" t="n">
        <v>0.596</v>
      </c>
      <c r="DV6" s="26" t="n">
        <v>0.602</v>
      </c>
      <c r="DW6" s="26" t="n">
        <v>0.602</v>
      </c>
      <c r="DX6" s="26" t="n">
        <v>0.589</v>
      </c>
      <c r="DY6" s="26" t="n">
        <v>0.399</v>
      </c>
      <c r="DZ6" s="26" t="n">
        <v>15.199</v>
      </c>
      <c r="EA6" s="26" t="n">
        <v>48.264</v>
      </c>
      <c r="EB6" s="26" t="n">
        <v>88.602</v>
      </c>
      <c r="EC6" s="26" t="n">
        <v>211.608</v>
      </c>
      <c r="ED6" s="26" t="n">
        <v>245.213</v>
      </c>
      <c r="EE6" s="26" t="n">
        <v>369.854</v>
      </c>
      <c r="EF6" s="26" t="n">
        <v>484.021</v>
      </c>
      <c r="EG6" s="26" t="n">
        <v>506.006</v>
      </c>
      <c r="EH6" s="26" t="n">
        <v>653.704</v>
      </c>
      <c r="EI6" s="26" t="n">
        <v>501.027</v>
      </c>
      <c r="EJ6" s="26" t="n">
        <v>332.415</v>
      </c>
      <c r="EK6" s="26" t="n">
        <v>247.104</v>
      </c>
      <c r="EL6" s="26" t="n">
        <v>117.941</v>
      </c>
      <c r="EM6" s="26" t="n">
        <v>47.402</v>
      </c>
      <c r="EN6" s="26" t="n">
        <v>32.464</v>
      </c>
      <c r="EO6" s="26" t="n">
        <v>23.75</v>
      </c>
      <c r="EP6" s="26" t="n">
        <v>7.147</v>
      </c>
      <c r="EQ6" s="26" t="n">
        <v>2.389</v>
      </c>
      <c r="ER6" s="26" t="n">
        <v>2.396</v>
      </c>
      <c r="ES6" s="26" t="n">
        <v>2.389</v>
      </c>
      <c r="ET6" s="26" t="n">
        <v>2.389</v>
      </c>
      <c r="EU6" s="26" t="n">
        <v>2.389</v>
      </c>
      <c r="EV6" s="26" t="n">
        <v>2.396</v>
      </c>
      <c r="EW6" s="26" t="n">
        <v>2.389</v>
      </c>
      <c r="EX6" s="26" t="n">
        <v>2.389</v>
      </c>
      <c r="EY6" s="26" t="n">
        <v>2.389</v>
      </c>
      <c r="EZ6" s="26" t="n">
        <v>2.396</v>
      </c>
      <c r="FA6" s="26" t="n">
        <v>2.389</v>
      </c>
      <c r="FB6" s="26" t="n">
        <v>2.389</v>
      </c>
      <c r="FC6" s="26" t="n">
        <v>2.389</v>
      </c>
      <c r="FD6" s="26" t="n">
        <v>2.396</v>
      </c>
      <c r="FE6" s="26" t="n">
        <v>0.988</v>
      </c>
    </row>
    <row r="7">
      <c r="A7" s="12" t="inlineStr">
        <is>
          <t>type:NAVAL</t>
        </is>
      </c>
      <c r="D7" t="inlineStr">
        <is>
          <t>선종 NAVAL</t>
        </is>
      </c>
      <c r="AI7" s="26" t="n">
        <v>2.682</v>
      </c>
      <c r="AJ7" s="26" t="n">
        <v>17.675</v>
      </c>
      <c r="AK7" s="26" t="n">
        <v>17.871</v>
      </c>
      <c r="AL7" s="26" t="n">
        <v>18.067</v>
      </c>
      <c r="AM7" s="26" t="n">
        <v>18.067</v>
      </c>
      <c r="AN7" s="26" t="n">
        <v>17.675</v>
      </c>
      <c r="AO7" s="26" t="n">
        <v>17.871</v>
      </c>
      <c r="AP7" s="26" t="n">
        <v>18.067</v>
      </c>
      <c r="AQ7" s="26" t="n">
        <v>18.067</v>
      </c>
      <c r="AR7" s="26" t="n">
        <v>17.871</v>
      </c>
      <c r="AS7" s="26" t="n">
        <v>17.871</v>
      </c>
      <c r="AT7" s="26" t="n">
        <v>18.067</v>
      </c>
      <c r="AU7" s="26" t="n">
        <v>17.013</v>
      </c>
      <c r="AV7" s="26" t="n">
        <v>13.719</v>
      </c>
      <c r="AW7" s="26" t="n">
        <v>13.871</v>
      </c>
      <c r="AX7" s="26" t="n">
        <v>14.024</v>
      </c>
      <c r="AY7" s="26" t="n">
        <v>4.725</v>
      </c>
      <c r="EG7" s="26" t="n">
        <v>2.682</v>
      </c>
      <c r="EH7" s="26" t="n">
        <v>71.68000000000001</v>
      </c>
      <c r="EI7" s="26" t="n">
        <v>71.68000000000001</v>
      </c>
      <c r="EJ7" s="26" t="n">
        <v>70.822</v>
      </c>
      <c r="EK7" s="26" t="n">
        <v>46.339</v>
      </c>
    </row>
    <row r="8">
      <c r="A8" s="12" t="inlineStr">
        <is>
          <t>type:CONT</t>
        </is>
      </c>
      <c r="D8" t="inlineStr">
        <is>
          <t>선종 CONT</t>
        </is>
      </c>
      <c r="AJ8" s="26" t="n">
        <v>13.816</v>
      </c>
      <c r="AK8" s="26" t="n">
        <v>42.688</v>
      </c>
      <c r="AL8" s="26" t="n">
        <v>54.174</v>
      </c>
      <c r="AM8" s="26" t="n">
        <v>95.324</v>
      </c>
      <c r="AN8" s="26" t="n">
        <v>93.251</v>
      </c>
      <c r="AO8" s="26" t="n">
        <v>94.28700000000001</v>
      </c>
      <c r="AP8" s="26" t="n">
        <v>95.324</v>
      </c>
      <c r="AQ8" s="26" t="n">
        <v>95.324</v>
      </c>
      <c r="AR8" s="26" t="n">
        <v>94.28700000000001</v>
      </c>
      <c r="AS8" s="26" t="n">
        <v>94.28700000000001</v>
      </c>
      <c r="AT8" s="26" t="n">
        <v>69.902</v>
      </c>
      <c r="AU8" s="26" t="n">
        <v>54.165</v>
      </c>
      <c r="AV8" s="26" t="n">
        <v>45.164</v>
      </c>
      <c r="AW8" s="26" t="n">
        <v>15.055</v>
      </c>
      <c r="EH8" s="26" t="n">
        <v>206.002</v>
      </c>
      <c r="EI8" s="26" t="n">
        <v>378.186</v>
      </c>
      <c r="EJ8" s="26" t="n">
        <v>312.641</v>
      </c>
      <c r="EK8" s="26" t="n">
        <v>60.219</v>
      </c>
    </row>
    <row r="9">
      <c r="A9" s="12" t="inlineStr">
        <is>
          <t>cohort:등급없음</t>
        </is>
      </c>
      <c r="D9" t="inlineStr">
        <is>
          <t>코호트 등급없음</t>
        </is>
      </c>
      <c r="E9" s="26" t="n">
        <v>2.933</v>
      </c>
      <c r="F9" s="26" t="n">
        <v>6.133</v>
      </c>
      <c r="G9" s="26" t="n">
        <v>6.133</v>
      </c>
      <c r="H9" s="26" t="n">
        <v>6.7</v>
      </c>
      <c r="I9" s="26" t="n">
        <v>12.374</v>
      </c>
      <c r="J9" s="26" t="n">
        <v>14.461</v>
      </c>
      <c r="K9" s="26" t="n">
        <v>14.729</v>
      </c>
      <c r="L9" s="26" t="n">
        <v>19.188</v>
      </c>
      <c r="M9" s="26" t="n">
        <v>19.188</v>
      </c>
      <c r="N9" s="26" t="n">
        <v>19.399</v>
      </c>
      <c r="O9" s="26" t="n">
        <v>30.827</v>
      </c>
      <c r="P9" s="26" t="n">
        <v>45.288</v>
      </c>
      <c r="Q9" s="26" t="n">
        <v>50.661</v>
      </c>
      <c r="R9" s="26" t="n">
        <v>56.415</v>
      </c>
      <c r="S9" s="26" t="n">
        <v>59.244</v>
      </c>
      <c r="T9" s="26" t="n">
        <v>58.81</v>
      </c>
      <c r="U9" s="26" t="n">
        <v>59.464</v>
      </c>
      <c r="V9" s="26" t="n">
        <v>61.318</v>
      </c>
      <c r="W9" s="26" t="n">
        <v>65.621</v>
      </c>
      <c r="X9" s="26" t="n">
        <v>73.087</v>
      </c>
      <c r="Y9" s="26" t="n">
        <v>81.759</v>
      </c>
      <c r="Z9" s="26" t="n">
        <v>100.202</v>
      </c>
      <c r="AA9" s="26" t="n">
        <v>114.806</v>
      </c>
      <c r="AB9" s="26" t="n">
        <v>114.978</v>
      </c>
      <c r="AC9" s="26" t="n">
        <v>121.882</v>
      </c>
      <c r="AD9" s="26" t="n">
        <v>123.332</v>
      </c>
      <c r="AE9" s="26" t="n">
        <v>123.829</v>
      </c>
      <c r="AF9" s="26" t="n">
        <v>124.716</v>
      </c>
      <c r="AG9" s="26" t="n">
        <v>124.427</v>
      </c>
      <c r="AH9" s="26" t="n">
        <v>125.009</v>
      </c>
      <c r="AI9" s="26" t="n">
        <v>134.141</v>
      </c>
      <c r="AJ9" s="26" t="n">
        <v>167.521</v>
      </c>
      <c r="AK9" s="26" t="n">
        <v>173.576</v>
      </c>
      <c r="AL9" s="26" t="n">
        <v>183.493</v>
      </c>
      <c r="AM9" s="26" t="n">
        <v>184.751</v>
      </c>
      <c r="AN9" s="26" t="n">
        <v>164.466</v>
      </c>
      <c r="AO9" s="26" t="n">
        <v>139.698</v>
      </c>
      <c r="AP9" s="26" t="n">
        <v>131.048</v>
      </c>
      <c r="AQ9" s="26" t="n">
        <v>121.453</v>
      </c>
      <c r="AR9" s="26" t="n">
        <v>107.014</v>
      </c>
      <c r="AS9" s="26" t="n">
        <v>100.682</v>
      </c>
      <c r="AT9" s="26" t="n">
        <v>94.02</v>
      </c>
      <c r="AU9" s="26" t="n">
        <v>86.488</v>
      </c>
      <c r="AV9" s="26" t="n">
        <v>84.608</v>
      </c>
      <c r="AW9" s="26" t="n">
        <v>76.511</v>
      </c>
      <c r="AX9" s="26" t="n">
        <v>73.017</v>
      </c>
      <c r="AY9" s="26" t="n">
        <v>59.308</v>
      </c>
      <c r="AZ9" s="26" t="n">
        <v>37.303</v>
      </c>
      <c r="BA9" s="26" t="n">
        <v>35.271</v>
      </c>
      <c r="BB9" s="26" t="n">
        <v>30.116</v>
      </c>
      <c r="BC9" s="26" t="n">
        <v>15.251</v>
      </c>
      <c r="BD9" s="26" t="n">
        <v>12.996</v>
      </c>
      <c r="BE9" s="26" t="n">
        <v>12.048</v>
      </c>
      <c r="BF9" s="26" t="n">
        <v>11.179</v>
      </c>
      <c r="BG9" s="26" t="n">
        <v>11.179</v>
      </c>
      <c r="BH9" s="26" t="n">
        <v>11.058</v>
      </c>
      <c r="BI9" s="26" t="n">
        <v>7.646</v>
      </c>
      <c r="BJ9" s="26" t="n">
        <v>6.88</v>
      </c>
      <c r="BK9" s="26" t="n">
        <v>6.88</v>
      </c>
      <c r="BL9" s="26" t="n">
        <v>6.73</v>
      </c>
      <c r="BM9" s="26" t="n">
        <v>6.805</v>
      </c>
      <c r="BN9" s="26" t="n">
        <v>5.965</v>
      </c>
      <c r="BO9" s="26" t="n">
        <v>4.25</v>
      </c>
      <c r="BP9" s="26" t="n">
        <v>4.158</v>
      </c>
      <c r="BQ9" s="26" t="n">
        <v>1.785</v>
      </c>
      <c r="BR9" s="26" t="n">
        <v>0.602</v>
      </c>
      <c r="BS9" s="26" t="n">
        <v>0.602</v>
      </c>
      <c r="BT9" s="26" t="n">
        <v>0.589</v>
      </c>
      <c r="BU9" s="26" t="n">
        <v>0.596</v>
      </c>
      <c r="BV9" s="26" t="n">
        <v>0.602</v>
      </c>
      <c r="BW9" s="26" t="n">
        <v>0.602</v>
      </c>
      <c r="BX9" s="26" t="n">
        <v>0.596</v>
      </c>
      <c r="BY9" s="26" t="n">
        <v>0.596</v>
      </c>
      <c r="BZ9" s="26" t="n">
        <v>0.602</v>
      </c>
      <c r="CA9" s="26" t="n">
        <v>0.602</v>
      </c>
      <c r="CB9" s="26" t="n">
        <v>0.589</v>
      </c>
      <c r="CC9" s="26" t="n">
        <v>0.596</v>
      </c>
      <c r="CD9" s="26" t="n">
        <v>0.602</v>
      </c>
      <c r="CE9" s="26" t="n">
        <v>0.602</v>
      </c>
      <c r="CF9" s="26" t="n">
        <v>0.589</v>
      </c>
      <c r="CG9" s="26" t="n">
        <v>0.596</v>
      </c>
      <c r="CH9" s="26" t="n">
        <v>0.602</v>
      </c>
      <c r="CI9" s="26" t="n">
        <v>0.602</v>
      </c>
      <c r="CJ9" s="26" t="n">
        <v>0.589</v>
      </c>
      <c r="CK9" s="26" t="n">
        <v>0.596</v>
      </c>
      <c r="CL9" s="26" t="n">
        <v>0.602</v>
      </c>
      <c r="CM9" s="26" t="n">
        <v>0.602</v>
      </c>
      <c r="CN9" s="26" t="n">
        <v>0.596</v>
      </c>
      <c r="CO9" s="26" t="n">
        <v>0.596</v>
      </c>
      <c r="CP9" s="26" t="n">
        <v>0.602</v>
      </c>
      <c r="CQ9" s="26" t="n">
        <v>0.602</v>
      </c>
      <c r="CR9" s="26" t="n">
        <v>0.589</v>
      </c>
      <c r="CS9" s="26" t="n">
        <v>0.596</v>
      </c>
      <c r="CT9" s="26" t="n">
        <v>0.602</v>
      </c>
      <c r="CU9" s="26" t="n">
        <v>0.602</v>
      </c>
      <c r="CV9" s="26" t="n">
        <v>0.589</v>
      </c>
      <c r="CW9" s="26" t="n">
        <v>0.596</v>
      </c>
      <c r="CX9" s="26" t="n">
        <v>0.602</v>
      </c>
      <c r="CY9" s="26" t="n">
        <v>0.602</v>
      </c>
      <c r="CZ9" s="26" t="n">
        <v>0.589</v>
      </c>
      <c r="DA9" s="26" t="n">
        <v>0.596</v>
      </c>
      <c r="DB9" s="26" t="n">
        <v>0.602</v>
      </c>
      <c r="DC9" s="26" t="n">
        <v>0.602</v>
      </c>
      <c r="DD9" s="26" t="n">
        <v>0.596</v>
      </c>
      <c r="DE9" s="26" t="n">
        <v>0.596</v>
      </c>
      <c r="DF9" s="26" t="n">
        <v>0.602</v>
      </c>
      <c r="DG9" s="26" t="n">
        <v>0.602</v>
      </c>
      <c r="DH9" s="26" t="n">
        <v>0.589</v>
      </c>
      <c r="DI9" s="26" t="n">
        <v>0.596</v>
      </c>
      <c r="DJ9" s="26" t="n">
        <v>0.602</v>
      </c>
      <c r="DK9" s="26" t="n">
        <v>0.602</v>
      </c>
      <c r="DL9" s="26" t="n">
        <v>0.589</v>
      </c>
      <c r="DM9" s="26" t="n">
        <v>0.596</v>
      </c>
      <c r="DN9" s="26" t="n">
        <v>0.602</v>
      </c>
      <c r="DO9" s="26" t="n">
        <v>0.602</v>
      </c>
      <c r="DP9" s="26" t="n">
        <v>0.589</v>
      </c>
      <c r="DQ9" s="26" t="n">
        <v>0.596</v>
      </c>
      <c r="DR9" s="26" t="n">
        <v>0.602</v>
      </c>
      <c r="DS9" s="26" t="n">
        <v>0.602</v>
      </c>
      <c r="DT9" s="26" t="n">
        <v>0.596</v>
      </c>
      <c r="DU9" s="26" t="n">
        <v>0.596</v>
      </c>
      <c r="DV9" s="26" t="n">
        <v>0.602</v>
      </c>
      <c r="DW9" s="26" t="n">
        <v>0.602</v>
      </c>
      <c r="DX9" s="26" t="n">
        <v>0.589</v>
      </c>
      <c r="DY9" s="26" t="n">
        <v>0.399</v>
      </c>
      <c r="DZ9" s="26" t="n">
        <v>15.199</v>
      </c>
      <c r="EA9" s="26" t="n">
        <v>48.264</v>
      </c>
      <c r="EB9" s="26" t="n">
        <v>88.602</v>
      </c>
      <c r="EC9" s="26" t="n">
        <v>211.608</v>
      </c>
      <c r="ED9" s="26" t="n">
        <v>245.213</v>
      </c>
      <c r="EE9" s="26" t="n">
        <v>369.854</v>
      </c>
      <c r="EF9" s="26" t="n">
        <v>484.021</v>
      </c>
      <c r="EG9" s="26" t="n">
        <v>508.293</v>
      </c>
      <c r="EH9" s="26" t="n">
        <v>709.341</v>
      </c>
      <c r="EI9" s="26" t="n">
        <v>556.665</v>
      </c>
      <c r="EJ9" s="26" t="n">
        <v>388.204</v>
      </c>
      <c r="EK9" s="26" t="n">
        <v>293.444</v>
      </c>
      <c r="EL9" s="26" t="n">
        <v>117.941</v>
      </c>
      <c r="EM9" s="26" t="n">
        <v>47.402</v>
      </c>
      <c r="EN9" s="26" t="n">
        <v>32.464</v>
      </c>
      <c r="EO9" s="26" t="n">
        <v>23.75</v>
      </c>
      <c r="EP9" s="26" t="n">
        <v>7.147</v>
      </c>
      <c r="EQ9" s="26" t="n">
        <v>2.389</v>
      </c>
      <c r="ER9" s="26" t="n">
        <v>2.396</v>
      </c>
      <c r="ES9" s="26" t="n">
        <v>2.389</v>
      </c>
      <c r="ET9" s="26" t="n">
        <v>2.389</v>
      </c>
      <c r="EU9" s="26" t="n">
        <v>2.389</v>
      </c>
      <c r="EV9" s="26" t="n">
        <v>2.396</v>
      </c>
      <c r="EW9" s="26" t="n">
        <v>2.389</v>
      </c>
      <c r="EX9" s="26" t="n">
        <v>2.389</v>
      </c>
      <c r="EY9" s="26" t="n">
        <v>2.389</v>
      </c>
      <c r="EZ9" s="26" t="n">
        <v>2.396</v>
      </c>
      <c r="FA9" s="26" t="n">
        <v>2.389</v>
      </c>
      <c r="FB9" s="26" t="n">
        <v>2.389</v>
      </c>
      <c r="FC9" s="26" t="n">
        <v>2.389</v>
      </c>
      <c r="FD9" s="26" t="n">
        <v>2.396</v>
      </c>
      <c r="FE9" s="26" t="n">
        <v>0.988</v>
      </c>
    </row>
    <row r="10">
      <c r="A10" s="12" t="inlineStr">
        <is>
          <t>cohort:②BEP</t>
        </is>
      </c>
      <c r="D10" t="inlineStr">
        <is>
          <t>코호트 ②BEP</t>
        </is>
      </c>
      <c r="AI10" s="26" t="n">
        <v>0.396</v>
      </c>
      <c r="AJ10" s="26" t="n">
        <v>3.956</v>
      </c>
      <c r="AK10" s="26" t="n">
        <v>4</v>
      </c>
      <c r="AL10" s="26" t="n">
        <v>4.044</v>
      </c>
      <c r="AM10" s="26" t="n">
        <v>4.044</v>
      </c>
      <c r="AN10" s="26" t="n">
        <v>3.956</v>
      </c>
      <c r="AO10" s="26" t="n">
        <v>4</v>
      </c>
      <c r="AP10" s="26" t="n">
        <v>4.044</v>
      </c>
      <c r="AQ10" s="26" t="n">
        <v>4.044</v>
      </c>
      <c r="AR10" s="26" t="n">
        <v>4</v>
      </c>
      <c r="AS10" s="26" t="n">
        <v>4</v>
      </c>
      <c r="AT10" s="26" t="n">
        <v>4.044</v>
      </c>
      <c r="AU10" s="26" t="n">
        <v>2.989</v>
      </c>
      <c r="EG10" s="26" t="n">
        <v>0.396</v>
      </c>
      <c r="EH10" s="26" t="n">
        <v>16.044</v>
      </c>
      <c r="EI10" s="26" t="n">
        <v>16.044</v>
      </c>
      <c r="EJ10" s="26" t="n">
        <v>15.033</v>
      </c>
    </row>
    <row r="11">
      <c r="A11" s="12" t="inlineStr">
        <is>
          <t>cohort:③중마진</t>
        </is>
      </c>
      <c r="D11" t="inlineStr">
        <is>
          <t>코호트 ③중마진</t>
        </is>
      </c>
      <c r="AJ11" s="26" t="n">
        <v>13.816</v>
      </c>
      <c r="AK11" s="26" t="n">
        <v>42.688</v>
      </c>
      <c r="AL11" s="26" t="n">
        <v>54.174</v>
      </c>
      <c r="AM11" s="26" t="n">
        <v>95.324</v>
      </c>
      <c r="AN11" s="26" t="n">
        <v>93.251</v>
      </c>
      <c r="AO11" s="26" t="n">
        <v>94.28700000000001</v>
      </c>
      <c r="AP11" s="26" t="n">
        <v>95.324</v>
      </c>
      <c r="AQ11" s="26" t="n">
        <v>95.324</v>
      </c>
      <c r="AR11" s="26" t="n">
        <v>94.28700000000001</v>
      </c>
      <c r="AS11" s="26" t="n">
        <v>94.28700000000001</v>
      </c>
      <c r="AT11" s="26" t="n">
        <v>69.902</v>
      </c>
      <c r="AU11" s="26" t="n">
        <v>54.165</v>
      </c>
      <c r="AV11" s="26" t="n">
        <v>45.164</v>
      </c>
      <c r="AW11" s="26" t="n">
        <v>15.055</v>
      </c>
      <c r="EH11" s="26" t="n">
        <v>206.002</v>
      </c>
      <c r="EI11" s="26" t="n">
        <v>378.186</v>
      </c>
      <c r="EJ11" s="26" t="n">
        <v>312.641</v>
      </c>
      <c r="EK11" s="26" t="n">
        <v>60.219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1206.38</v>
      </c>
      <c r="AA13" s="13" t="n">
        <v>1220.03</v>
      </c>
      <c r="AB13" s="13" t="n">
        <v>1221.39</v>
      </c>
      <c r="AC13" s="13" t="n">
        <v>1227.55</v>
      </c>
      <c r="AD13" s="13" t="n">
        <v>1227.64</v>
      </c>
      <c r="AE13" s="13" t="n">
        <v>1228.32</v>
      </c>
      <c r="AF13" s="13" t="n">
        <v>1233.51</v>
      </c>
      <c r="AG13" s="13" t="n">
        <v>1248.95</v>
      </c>
      <c r="AH13" s="13" t="n">
        <v>1253.99</v>
      </c>
      <c r="AI13" s="13" t="n">
        <v>1267.81</v>
      </c>
      <c r="AJ13" s="13" t="n">
        <v>1322.96</v>
      </c>
      <c r="AK13" s="13" t="n">
        <v>1377.84</v>
      </c>
      <c r="AL13" s="13" t="n">
        <v>1386.37</v>
      </c>
      <c r="AM13" s="13" t="n">
        <v>1391.35</v>
      </c>
      <c r="AN13" s="13" t="n">
        <v>1404.49</v>
      </c>
      <c r="AO13" s="13" t="n">
        <v>1421.93</v>
      </c>
      <c r="AP13" s="13" t="n">
        <v>1427.26</v>
      </c>
      <c r="AQ13" s="13" t="n">
        <v>1432.54</v>
      </c>
      <c r="AR13" s="13" t="n">
        <v>1439.9</v>
      </c>
      <c r="AS13" s="13" t="n">
        <v>1446.89</v>
      </c>
      <c r="AT13" s="13" t="n">
        <v>1448.2</v>
      </c>
      <c r="AU13" s="13" t="n">
        <v>1445.63</v>
      </c>
      <c r="AV13" s="13" t="n">
        <v>1442.16</v>
      </c>
      <c r="AW13" s="13" t="n">
        <v>1446.33</v>
      </c>
      <c r="AX13" s="13" t="n">
        <v>1450.09</v>
      </c>
      <c r="AY13" s="13" t="n">
        <v>1455.1</v>
      </c>
      <c r="AZ13" s="13" t="n">
        <v>1461.49</v>
      </c>
      <c r="BA13" s="13" t="n">
        <v>1462.34</v>
      </c>
      <c r="BB13" s="13" t="n">
        <v>1461.64</v>
      </c>
      <c r="BC13" s="13" t="n">
        <v>1427.72</v>
      </c>
      <c r="BD13" s="13" t="n">
        <v>1461.27</v>
      </c>
      <c r="BE13" s="13" t="n">
        <v>1466.54</v>
      </c>
      <c r="BF13" s="13" t="n">
        <v>1463.38</v>
      </c>
      <c r="BG13" s="13" t="n">
        <v>1463.38</v>
      </c>
      <c r="BH13" s="13" t="n">
        <v>1463.38</v>
      </c>
      <c r="BI13" s="13" t="n">
        <v>1446.27</v>
      </c>
      <c r="BJ13" s="13" t="n">
        <v>1439.41</v>
      </c>
      <c r="BK13" s="13" t="n">
        <v>1439.41</v>
      </c>
      <c r="BL13" s="13" t="n">
        <v>1439.41</v>
      </c>
      <c r="BM13" s="13" t="n">
        <v>1439.41</v>
      </c>
      <c r="BN13" s="13" t="n">
        <v>1442.43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1419.72</v>
      </c>
      <c r="AM14" s="13" t="n">
        <v>1353.36</v>
      </c>
      <c r="AN14" s="13" t="n">
        <v>1353.36</v>
      </c>
      <c r="AO14" s="13" t="n">
        <v>1353.36</v>
      </c>
      <c r="AP14" s="13" t="n">
        <v>1353.36</v>
      </c>
      <c r="AQ14" s="13" t="n">
        <v>1353.36</v>
      </c>
      <c r="AR14" s="13" t="n">
        <v>1353.36</v>
      </c>
      <c r="AS14" s="13" t="n">
        <v>1353.36</v>
      </c>
      <c r="AT14" s="13" t="n">
        <v>1353.36</v>
      </c>
      <c r="AU14" s="13" t="n">
        <v>1353.36</v>
      </c>
      <c r="AV14" s="13" t="n">
        <v>1353.36</v>
      </c>
      <c r="AW14" s="13" t="n">
        <v>1353.36</v>
      </c>
      <c r="AX14" s="13" t="n">
        <v>1353.36</v>
      </c>
      <c r="AY14" s="13" t="n">
        <v>1353.36</v>
      </c>
      <c r="AZ14" s="13" t="n">
        <v>1353.36</v>
      </c>
      <c r="BA14" s="13" t="n">
        <v>1353.36</v>
      </c>
      <c r="BB14" s="13" t="n">
        <v>1353.36</v>
      </c>
      <c r="BC14" s="13" t="n">
        <v>1353.36</v>
      </c>
      <c r="BD14" s="13" t="n">
        <v>1353.36</v>
      </c>
      <c r="BE14" s="13" t="n">
        <v>1353.36</v>
      </c>
      <c r="BF14" s="13" t="n">
        <v>1353.36</v>
      </c>
      <c r="BG14" s="13" t="n">
        <v>1353.36</v>
      </c>
      <c r="BH14" s="13" t="n">
        <v>1353.36</v>
      </c>
      <c r="BI14" s="13" t="n">
        <v>1353.36</v>
      </c>
      <c r="BJ14" s="13" t="n">
        <v>1353.36</v>
      </c>
      <c r="BK14" s="13" t="n">
        <v>1353.36</v>
      </c>
      <c r="BL14" s="13" t="n">
        <v>1353.36</v>
      </c>
      <c r="BM14" s="13" t="n">
        <v>1353.36</v>
      </c>
      <c r="BN14" s="13" t="n">
        <v>1353.36</v>
      </c>
      <c r="BO14" s="13" t="n">
        <v>1353.36</v>
      </c>
      <c r="BP14" s="13" t="n">
        <v>1353.36</v>
      </c>
      <c r="BQ14" s="13" t="n">
        <v>1353.36</v>
      </c>
      <c r="BR14" s="13" t="n">
        <v>1353.36</v>
      </c>
      <c r="BS14" s="13" t="n">
        <v>1353.36</v>
      </c>
      <c r="BT14" s="13" t="n">
        <v>1353.36</v>
      </c>
      <c r="BU14" s="13" t="n">
        <v>1353.36</v>
      </c>
      <c r="BV14" s="13" t="n">
        <v>1353.36</v>
      </c>
      <c r="BW14" s="13" t="n">
        <v>1353.36</v>
      </c>
      <c r="BX14" s="13" t="n">
        <v>1353.36</v>
      </c>
      <c r="BY14" s="13" t="n">
        <v>1353.36</v>
      </c>
      <c r="BZ14" s="13" t="n">
        <v>1353.36</v>
      </c>
      <c r="CA14" s="13" t="n">
        <v>1353.36</v>
      </c>
      <c r="CB14" s="13" t="n">
        <v>1353.36</v>
      </c>
      <c r="CC14" s="13" t="n">
        <v>1353.36</v>
      </c>
      <c r="CD14" s="13" t="n">
        <v>1353.36</v>
      </c>
      <c r="CE14" s="13" t="n">
        <v>1353.36</v>
      </c>
      <c r="CF14" s="13" t="n">
        <v>1353.36</v>
      </c>
      <c r="CG14" s="13" t="n">
        <v>1353.36</v>
      </c>
      <c r="CH14" s="13" t="n">
        <v>1353.36</v>
      </c>
      <c r="CI14" s="13" t="n">
        <v>1353.36</v>
      </c>
      <c r="CJ14" s="13" t="n">
        <v>1353.36</v>
      </c>
      <c r="CK14" s="13" t="n">
        <v>1353.36</v>
      </c>
      <c r="CL14" s="13" t="n">
        <v>1353.36</v>
      </c>
      <c r="CM14" s="13" t="n">
        <v>1353.36</v>
      </c>
      <c r="CN14" s="13" t="n">
        <v>1353.36</v>
      </c>
      <c r="CO14" s="13" t="n">
        <v>1353.36</v>
      </c>
      <c r="CP14" s="13" t="n">
        <v>1353.36</v>
      </c>
      <c r="CQ14" s="13" t="n">
        <v>1353.36</v>
      </c>
      <c r="CR14" s="13" t="n">
        <v>1353.36</v>
      </c>
      <c r="CS14" s="13" t="n">
        <v>1353.36</v>
      </c>
      <c r="CT14" s="13" t="n">
        <v>1353.36</v>
      </c>
      <c r="CU14" s="13" t="n">
        <v>1353.36</v>
      </c>
      <c r="CV14" s="13" t="n">
        <v>1353.36</v>
      </c>
      <c r="CW14" s="13" t="n">
        <v>1353.36</v>
      </c>
      <c r="CX14" s="13" t="n">
        <v>1353.36</v>
      </c>
      <c r="CY14" s="13" t="n">
        <v>1353.36</v>
      </c>
      <c r="CZ14" s="13" t="n">
        <v>1353.36</v>
      </c>
      <c r="DA14" s="13" t="n">
        <v>1353.36</v>
      </c>
      <c r="DB14" s="13" t="n">
        <v>1353.36</v>
      </c>
      <c r="DC14" s="13" t="n">
        <v>1353.36</v>
      </c>
      <c r="DD14" s="13" t="n">
        <v>1353.36</v>
      </c>
      <c r="DE14" s="13" t="n">
        <v>1353.36</v>
      </c>
      <c r="DF14" s="13" t="n">
        <v>1353.36</v>
      </c>
      <c r="DG14" s="13" t="n">
        <v>1353.36</v>
      </c>
      <c r="DH14" s="13" t="n">
        <v>1353.36</v>
      </c>
      <c r="DI14" s="13" t="n">
        <v>1353.36</v>
      </c>
      <c r="DJ14" s="13" t="n">
        <v>1353.36</v>
      </c>
      <c r="DK14" s="13" t="n">
        <v>1353.36</v>
      </c>
      <c r="DL14" s="13" t="n">
        <v>1353.36</v>
      </c>
      <c r="DM14" s="13" t="n">
        <v>1353.36</v>
      </c>
      <c r="DN14" s="13" t="n">
        <v>1353.36</v>
      </c>
      <c r="DO14" s="13" t="n">
        <v>1353.36</v>
      </c>
      <c r="DP14" s="13" t="n">
        <v>1353.36</v>
      </c>
      <c r="DQ14" s="13" t="n">
        <v>1353.36</v>
      </c>
      <c r="DR14" s="13" t="n">
        <v>1353.36</v>
      </c>
      <c r="DS14" s="13" t="n">
        <v>1353.36</v>
      </c>
      <c r="DT14" s="13" t="n">
        <v>1353.36</v>
      </c>
      <c r="DU14" s="13" t="n">
        <v>1353.36</v>
      </c>
      <c r="DV14" s="13" t="n">
        <v>1353.36</v>
      </c>
      <c r="DW14" s="13" t="n">
        <v>1353.36</v>
      </c>
      <c r="DX14" s="13" t="n">
        <v>1353.36</v>
      </c>
      <c r="DY14" s="13" t="n">
        <v>1353.36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1238.56</v>
      </c>
      <c r="AA15" s="13" t="n">
        <v>1250.63</v>
      </c>
      <c r="AB15" s="13" t="n">
        <v>1254.02</v>
      </c>
      <c r="AC15" s="13" t="n">
        <v>1270.67</v>
      </c>
      <c r="AD15" s="13" t="n">
        <v>1266.22</v>
      </c>
      <c r="AE15" s="13" t="n">
        <v>1278.72</v>
      </c>
      <c r="AF15" s="13" t="n">
        <v>1299.14</v>
      </c>
      <c r="AG15" s="13" t="n">
        <v>1293.82</v>
      </c>
      <c r="AH15" s="13" t="n">
        <v>1293.88</v>
      </c>
      <c r="AI15" s="13" t="n">
        <v>1322.22</v>
      </c>
      <c r="AJ15" s="13" t="n">
        <v>1365.91</v>
      </c>
      <c r="AK15" s="13" t="n">
        <v>1415.01</v>
      </c>
      <c r="AL15" s="13" t="n">
        <v>1396.38</v>
      </c>
      <c r="AM15" s="13" t="n">
        <v>1379.95</v>
      </c>
      <c r="AN15" s="13" t="n">
        <v>1389.15</v>
      </c>
      <c r="AO15" s="13" t="n">
        <v>1401.36</v>
      </c>
      <c r="AP15" s="13" t="n">
        <v>1405.09</v>
      </c>
      <c r="AQ15" s="13" t="n">
        <v>1408.79</v>
      </c>
      <c r="AR15" s="13" t="n">
        <v>1413.94</v>
      </c>
      <c r="AS15" s="13" t="n">
        <v>1418.83</v>
      </c>
      <c r="AT15" s="13" t="n">
        <v>1419.75</v>
      </c>
      <c r="AU15" s="13" t="n">
        <v>1417.95</v>
      </c>
      <c r="AV15" s="13" t="n">
        <v>1415.52</v>
      </c>
      <c r="AW15" s="13" t="n">
        <v>1418.44</v>
      </c>
      <c r="AX15" s="13" t="n">
        <v>1421.07</v>
      </c>
      <c r="AY15" s="13" t="n">
        <v>1424.58</v>
      </c>
      <c r="AZ15" s="13" t="n">
        <v>1429.05</v>
      </c>
      <c r="BA15" s="13" t="n">
        <v>1429.64</v>
      </c>
      <c r="BB15" s="13" t="n">
        <v>1429.16</v>
      </c>
      <c r="BC15" s="13" t="n">
        <v>1405.41</v>
      </c>
      <c r="BD15" s="13" t="n">
        <v>1428.89</v>
      </c>
      <c r="BE15" s="13" t="n">
        <v>1432.58</v>
      </c>
      <c r="BF15" s="13" t="n">
        <v>1430.38</v>
      </c>
      <c r="BG15" s="13" t="n">
        <v>1430.38</v>
      </c>
      <c r="BH15" s="13" t="n">
        <v>1430.38</v>
      </c>
      <c r="BI15" s="13" t="n">
        <v>1418.39</v>
      </c>
      <c r="BJ15" s="13" t="n">
        <v>1413.59</v>
      </c>
      <c r="BK15" s="13" t="n">
        <v>1413.59</v>
      </c>
      <c r="BL15" s="13" t="n">
        <v>1413.59</v>
      </c>
      <c r="BM15" s="13" t="n">
        <v>1413.59</v>
      </c>
      <c r="BN15" s="13" t="n">
        <v>1415.71</v>
      </c>
      <c r="BO15" s="13" t="n">
        <v>1422.12</v>
      </c>
      <c r="BP15" s="13" t="n">
        <v>1422.12</v>
      </c>
      <c r="BQ15" s="13" t="n">
        <v>1424.4</v>
      </c>
      <c r="BR15" s="13" t="n">
        <v>1432.29</v>
      </c>
      <c r="BS15" s="13" t="n">
        <v>1432.29</v>
      </c>
      <c r="BT15" s="13" t="n">
        <v>1432.29</v>
      </c>
      <c r="BU15" s="13" t="n">
        <v>1432.29</v>
      </c>
      <c r="BV15" s="13" t="n">
        <v>1432.29</v>
      </c>
      <c r="BW15" s="13" t="n">
        <v>1432.29</v>
      </c>
      <c r="BX15" s="13" t="n">
        <v>1432.29</v>
      </c>
      <c r="BY15" s="13" t="n">
        <v>1432.29</v>
      </c>
      <c r="BZ15" s="13" t="n">
        <v>1432.29</v>
      </c>
      <c r="CA15" s="13" t="n">
        <v>1432.29</v>
      </c>
      <c r="CB15" s="13" t="n">
        <v>1432.29</v>
      </c>
      <c r="CC15" s="13" t="n">
        <v>1432.29</v>
      </c>
      <c r="CD15" s="13" t="n">
        <v>1432.29</v>
      </c>
      <c r="CE15" s="13" t="n">
        <v>1432.29</v>
      </c>
      <c r="CF15" s="13" t="n">
        <v>1432.29</v>
      </c>
      <c r="CG15" s="13" t="n">
        <v>1432.29</v>
      </c>
      <c r="CH15" s="13" t="n">
        <v>1432.29</v>
      </c>
      <c r="CI15" s="13" t="n">
        <v>1432.29</v>
      </c>
      <c r="CJ15" s="13" t="n">
        <v>1432.29</v>
      </c>
      <c r="CK15" s="13" t="n">
        <v>1432.29</v>
      </c>
      <c r="CL15" s="13" t="n">
        <v>1432.29</v>
      </c>
      <c r="CM15" s="13" t="n">
        <v>1432.29</v>
      </c>
      <c r="CN15" s="13" t="n">
        <v>1432.29</v>
      </c>
      <c r="CO15" s="13" t="n">
        <v>1432.29</v>
      </c>
      <c r="CP15" s="13" t="n">
        <v>1432.29</v>
      </c>
      <c r="CQ15" s="13" t="n">
        <v>1432.29</v>
      </c>
      <c r="CR15" s="13" t="n">
        <v>1432.29</v>
      </c>
      <c r="CS15" s="13" t="n">
        <v>1432.29</v>
      </c>
      <c r="CT15" s="13" t="n">
        <v>1432.29</v>
      </c>
      <c r="CU15" s="13" t="n">
        <v>1432.29</v>
      </c>
      <c r="CV15" s="13" t="n">
        <v>1432.29</v>
      </c>
      <c r="CW15" s="13" t="n">
        <v>1432.29</v>
      </c>
      <c r="CX15" s="13" t="n">
        <v>1432.29</v>
      </c>
      <c r="CY15" s="13" t="n">
        <v>1432.29</v>
      </c>
      <c r="CZ15" s="13" t="n">
        <v>1432.29</v>
      </c>
      <c r="DA15" s="13" t="n">
        <v>1432.29</v>
      </c>
      <c r="DB15" s="13" t="n">
        <v>1432.29</v>
      </c>
      <c r="DC15" s="13" t="n">
        <v>1432.29</v>
      </c>
      <c r="DD15" s="13" t="n">
        <v>1432.29</v>
      </c>
      <c r="DE15" s="13" t="n">
        <v>1432.29</v>
      </c>
      <c r="DF15" s="13" t="n">
        <v>1432.29</v>
      </c>
      <c r="DG15" s="13" t="n">
        <v>1432.29</v>
      </c>
      <c r="DH15" s="13" t="n">
        <v>1432.29</v>
      </c>
      <c r="DI15" s="13" t="n">
        <v>1432.29</v>
      </c>
      <c r="DJ15" s="13" t="n">
        <v>1432.29</v>
      </c>
      <c r="DK15" s="13" t="n">
        <v>1432.29</v>
      </c>
      <c r="DL15" s="13" t="n">
        <v>1432.29</v>
      </c>
      <c r="DM15" s="13" t="n">
        <v>1432.29</v>
      </c>
      <c r="DN15" s="13" t="n">
        <v>1432.29</v>
      </c>
      <c r="DO15" s="13" t="n">
        <v>1432.29</v>
      </c>
      <c r="DP15" s="13" t="n">
        <v>1432.29</v>
      </c>
      <c r="DQ15" s="13" t="n">
        <v>1432.29</v>
      </c>
      <c r="DR15" s="13" t="n">
        <v>1432.29</v>
      </c>
      <c r="DS15" s="13" t="n">
        <v>1432.29</v>
      </c>
      <c r="DT15" s="13" t="n">
        <v>1432.29</v>
      </c>
      <c r="DU15" s="13" t="n">
        <v>1432.29</v>
      </c>
      <c r="DV15" s="13" t="n">
        <v>1432.29</v>
      </c>
      <c r="DW15" s="13" t="n">
        <v>1432.29</v>
      </c>
      <c r="DX15" s="13" t="n">
        <v>1432.29</v>
      </c>
      <c r="DY15" s="13" t="n">
        <v>1432.29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124106.1</v>
      </c>
      <c r="AA16" s="18" t="n">
        <v>143579.8</v>
      </c>
      <c r="AB16" s="18" t="n">
        <v>144184.6</v>
      </c>
      <c r="AC16" s="18" t="n">
        <v>154872.1</v>
      </c>
      <c r="AD16" s="18" t="n">
        <v>156164.6</v>
      </c>
      <c r="AE16" s="18" t="n">
        <v>158341.9</v>
      </c>
      <c r="AF16" s="18" t="n">
        <v>162023.4</v>
      </c>
      <c r="AG16" s="18" t="n">
        <v>160985.6</v>
      </c>
      <c r="AH16" s="18" t="n">
        <v>161746.7</v>
      </c>
      <c r="AI16" s="18" t="n">
        <v>177887</v>
      </c>
      <c r="AJ16" s="18" t="n">
        <v>253093.4</v>
      </c>
      <c r="AK16" s="18" t="n">
        <v>311675.7</v>
      </c>
      <c r="AL16" s="18" t="n">
        <v>337519.5</v>
      </c>
      <c r="AM16" s="18" t="n">
        <v>392070</v>
      </c>
      <c r="AN16" s="18" t="n">
        <v>363503.2</v>
      </c>
      <c r="AO16" s="18" t="n">
        <v>333504.1</v>
      </c>
      <c r="AP16" s="18" t="n">
        <v>323753.6</v>
      </c>
      <c r="AQ16" s="18" t="n">
        <v>311087.9</v>
      </c>
      <c r="AR16" s="18" t="n">
        <v>290283.1</v>
      </c>
      <c r="AS16" s="18" t="n">
        <v>282303.2</v>
      </c>
      <c r="AT16" s="18" t="n">
        <v>238468.2</v>
      </c>
      <c r="AU16" s="18" t="n">
        <v>203677.3</v>
      </c>
      <c r="AV16" s="18" t="n">
        <v>183695.6</v>
      </c>
      <c r="AW16" s="18" t="n">
        <v>129879.5</v>
      </c>
      <c r="AX16" s="18" t="n">
        <v>103761.7</v>
      </c>
      <c r="AY16" s="18" t="n">
        <v>84488.8</v>
      </c>
      <c r="AZ16" s="18" t="n">
        <v>53307.4</v>
      </c>
      <c r="BA16" s="18" t="n">
        <v>50425.1</v>
      </c>
      <c r="BB16" s="18" t="n">
        <v>43041</v>
      </c>
      <c r="BC16" s="18" t="n">
        <v>21434.6</v>
      </c>
      <c r="BD16" s="18" t="n">
        <v>18569.4</v>
      </c>
      <c r="BE16" s="18" t="n">
        <v>17259.3</v>
      </c>
      <c r="BF16" s="18" t="n">
        <v>15990.8</v>
      </c>
      <c r="BG16" s="18" t="n">
        <v>15990.8</v>
      </c>
      <c r="BH16" s="18" t="n">
        <v>15816.9</v>
      </c>
      <c r="BI16" s="18" t="n">
        <v>10845.4</v>
      </c>
      <c r="BJ16" s="18" t="n">
        <v>9725.200000000001</v>
      </c>
      <c r="BK16" s="18" t="n">
        <v>9725.200000000001</v>
      </c>
      <c r="BL16" s="18" t="n">
        <v>9513.799999999999</v>
      </c>
      <c r="BM16" s="18" t="n">
        <v>9619.5</v>
      </c>
      <c r="BN16" s="18" t="n">
        <v>8444.799999999999</v>
      </c>
      <c r="BO16" s="18" t="n">
        <v>6044</v>
      </c>
      <c r="BP16" s="18" t="n">
        <v>5912.6</v>
      </c>
      <c r="BQ16" s="18" t="n">
        <v>2543</v>
      </c>
      <c r="BR16" s="18" t="n">
        <v>862.9</v>
      </c>
      <c r="BS16" s="18" t="n">
        <v>862.9</v>
      </c>
      <c r="BT16" s="18" t="n">
        <v>844.2</v>
      </c>
      <c r="BU16" s="18" t="n">
        <v>853.5</v>
      </c>
      <c r="BV16" s="18" t="n">
        <v>862.9</v>
      </c>
      <c r="BW16" s="18" t="n">
        <v>862.9</v>
      </c>
      <c r="BX16" s="18" t="n">
        <v>853.5</v>
      </c>
      <c r="BY16" s="18" t="n">
        <v>853.5</v>
      </c>
      <c r="BZ16" s="18" t="n">
        <v>862.9</v>
      </c>
      <c r="CA16" s="18" t="n">
        <v>862.9</v>
      </c>
      <c r="CB16" s="18" t="n">
        <v>844.2</v>
      </c>
      <c r="CC16" s="18" t="n">
        <v>853.5</v>
      </c>
      <c r="CD16" s="18" t="n">
        <v>862.9</v>
      </c>
      <c r="CE16" s="18" t="n">
        <v>862.9</v>
      </c>
      <c r="CF16" s="18" t="n">
        <v>844.2</v>
      </c>
      <c r="CG16" s="18" t="n">
        <v>853.5</v>
      </c>
      <c r="CH16" s="18" t="n">
        <v>862.9</v>
      </c>
      <c r="CI16" s="18" t="n">
        <v>862.9</v>
      </c>
      <c r="CJ16" s="18" t="n">
        <v>844.2</v>
      </c>
      <c r="CK16" s="18" t="n">
        <v>853.5</v>
      </c>
      <c r="CL16" s="18" t="n">
        <v>862.9</v>
      </c>
      <c r="CM16" s="18" t="n">
        <v>862.9</v>
      </c>
      <c r="CN16" s="18" t="n">
        <v>853.5</v>
      </c>
      <c r="CO16" s="18" t="n">
        <v>853.5</v>
      </c>
      <c r="CP16" s="18" t="n">
        <v>862.9</v>
      </c>
      <c r="CQ16" s="18" t="n">
        <v>862.9</v>
      </c>
      <c r="CR16" s="18" t="n">
        <v>844.2</v>
      </c>
      <c r="CS16" s="18" t="n">
        <v>853.5</v>
      </c>
      <c r="CT16" s="18" t="n">
        <v>862.9</v>
      </c>
      <c r="CU16" s="18" t="n">
        <v>862.9</v>
      </c>
      <c r="CV16" s="18" t="n">
        <v>844.2</v>
      </c>
      <c r="CW16" s="18" t="n">
        <v>853.5</v>
      </c>
      <c r="CX16" s="18" t="n">
        <v>862.9</v>
      </c>
      <c r="CY16" s="18" t="n">
        <v>862.9</v>
      </c>
      <c r="CZ16" s="18" t="n">
        <v>844.2</v>
      </c>
      <c r="DA16" s="18" t="n">
        <v>853.5</v>
      </c>
      <c r="DB16" s="18" t="n">
        <v>862.9</v>
      </c>
      <c r="DC16" s="18" t="n">
        <v>862.9</v>
      </c>
      <c r="DD16" s="18" t="n">
        <v>853.5</v>
      </c>
      <c r="DE16" s="18" t="n">
        <v>853.5</v>
      </c>
      <c r="DF16" s="18" t="n">
        <v>862.9</v>
      </c>
      <c r="DG16" s="18" t="n">
        <v>862.9</v>
      </c>
      <c r="DH16" s="18" t="n">
        <v>844.2</v>
      </c>
      <c r="DI16" s="18" t="n">
        <v>853.5</v>
      </c>
      <c r="DJ16" s="18" t="n">
        <v>862.9</v>
      </c>
      <c r="DK16" s="18" t="n">
        <v>862.9</v>
      </c>
      <c r="DL16" s="18" t="n">
        <v>844.2</v>
      </c>
      <c r="DM16" s="18" t="n">
        <v>853.5</v>
      </c>
      <c r="DN16" s="18" t="n">
        <v>862.9</v>
      </c>
      <c r="DO16" s="18" t="n">
        <v>862.9</v>
      </c>
      <c r="DP16" s="18" t="n">
        <v>844.2</v>
      </c>
      <c r="DQ16" s="18" t="n">
        <v>853.5</v>
      </c>
      <c r="DR16" s="18" t="n">
        <v>862.9</v>
      </c>
      <c r="DS16" s="18" t="n">
        <v>862.9</v>
      </c>
      <c r="DT16" s="18" t="n">
        <v>853.5</v>
      </c>
      <c r="DU16" s="18" t="n">
        <v>853.5</v>
      </c>
      <c r="DV16" s="18" t="n">
        <v>862.9</v>
      </c>
      <c r="DW16" s="18" t="n">
        <v>862.9</v>
      </c>
      <c r="DX16" s="18" t="n">
        <v>844.2</v>
      </c>
      <c r="DY16" s="18" t="n">
        <v>572.1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455588.7</v>
      </c>
      <c r="EF16" s="18" t="n">
        <v>613563.2</v>
      </c>
      <c r="EG16" s="18" t="n">
        <v>662642.7</v>
      </c>
      <c r="EH16" s="18" t="n">
        <v>1294358.6</v>
      </c>
      <c r="EI16" s="18" t="n">
        <v>1331848.8</v>
      </c>
      <c r="EJ16" s="18" t="n">
        <v>1014731.8</v>
      </c>
      <c r="EK16" s="18" t="n">
        <v>501825.6</v>
      </c>
      <c r="EL16" s="18" t="n">
        <v>168208.1</v>
      </c>
      <c r="EM16" s="18" t="n">
        <v>67810.3</v>
      </c>
      <c r="EN16" s="18" t="n">
        <v>46112.7</v>
      </c>
      <c r="EO16" s="18" t="n">
        <v>33622.1</v>
      </c>
      <c r="EP16" s="18" t="n">
        <v>10181.4</v>
      </c>
      <c r="EQ16" s="18" t="n">
        <v>3423.5</v>
      </c>
      <c r="ER16" s="18" t="n">
        <v>3432.8</v>
      </c>
      <c r="ES16" s="18" t="n">
        <v>3423.5</v>
      </c>
      <c r="ET16" s="18" t="n">
        <v>3423.5</v>
      </c>
      <c r="EU16" s="18" t="n">
        <v>3423.5</v>
      </c>
      <c r="EV16" s="18" t="n">
        <v>3432.8</v>
      </c>
      <c r="EW16" s="18" t="n">
        <v>3423.5</v>
      </c>
      <c r="EX16" s="18" t="n">
        <v>3423.5</v>
      </c>
      <c r="EY16" s="18" t="n">
        <v>3423.5</v>
      </c>
      <c r="EZ16" s="18" t="n">
        <v>3432.8</v>
      </c>
      <c r="FA16" s="18" t="n">
        <v>3423.5</v>
      </c>
      <c r="FB16" s="18" t="n">
        <v>3423.5</v>
      </c>
      <c r="FC16" s="18" t="n">
        <v>3423.5</v>
      </c>
      <c r="FD16" s="18" t="n">
        <v>3432.8</v>
      </c>
      <c r="FE16" s="18" t="n">
        <v>1416.3</v>
      </c>
    </row>
    <row r="17">
      <c r="A17" s="12" t="inlineStr">
        <is>
          <t>target_opm</t>
        </is>
      </c>
      <c r="D17" t="inlineStr">
        <is>
          <t>타겟 OPM(코호트)</t>
        </is>
      </c>
      <c r="AI17" s="21" t="n">
        <v>0</v>
      </c>
      <c r="AJ17" s="21" t="n">
        <v>0.0389</v>
      </c>
      <c r="AK17" s="21" t="n">
        <v>0.0457</v>
      </c>
      <c r="AL17" s="21" t="n">
        <v>0.0465</v>
      </c>
      <c r="AM17" s="21" t="n">
        <v>0.048</v>
      </c>
      <c r="AN17" s="21" t="n">
        <v>0.048</v>
      </c>
      <c r="AO17" s="21" t="n">
        <v>0.048</v>
      </c>
      <c r="AP17" s="21" t="n">
        <v>0.048</v>
      </c>
      <c r="AQ17" s="21" t="n">
        <v>0.048</v>
      </c>
      <c r="AR17" s="21" t="n">
        <v>0.048</v>
      </c>
      <c r="AS17" s="21" t="n">
        <v>0.048</v>
      </c>
      <c r="AT17" s="21" t="n">
        <v>0.0473</v>
      </c>
      <c r="AU17" s="21" t="n">
        <v>0.0474</v>
      </c>
      <c r="AV17" s="21" t="n">
        <v>0.05</v>
      </c>
      <c r="AW17" s="21" t="n">
        <v>0.05</v>
      </c>
    </row>
    <row r="19">
      <c r="A19" s="1" t="inlineStr">
        <is>
          <t>계약 원장(contracts.json 기반)</t>
        </is>
      </c>
    </row>
    <row r="20">
      <c r="A20" s="1" t="inlineStr">
        <is>
          <t>rcp</t>
        </is>
      </c>
      <c r="B20" s="1" t="inlineStr">
        <is>
          <t>type</t>
        </is>
      </c>
      <c r="C20" s="1" t="inlineStr">
        <is>
          <t>ships</t>
        </is>
      </c>
      <c r="D20" s="1" t="inlineStr">
        <is>
          <t>amt_krw_m</t>
        </is>
      </c>
      <c r="E20" s="1" t="inlineStr">
        <is>
          <t>amt_usd_m</t>
        </is>
      </c>
      <c r="F20" s="1" t="inlineStr">
        <is>
          <t>fx_at_sign</t>
        </is>
      </c>
      <c r="G20" s="1" t="inlineStr">
        <is>
          <t>signed</t>
        </is>
      </c>
      <c r="H20" s="1" t="inlineStr">
        <is>
          <t>start</t>
        </is>
      </c>
      <c r="I20" s="1" t="inlineStr">
        <is>
          <t>end</t>
        </is>
      </c>
      <c r="J20" s="1" t="inlineStr">
        <is>
          <t>cohort</t>
        </is>
      </c>
      <c r="K20" s="1" t="inlineStr">
        <is>
          <t>curve</t>
        </is>
      </c>
      <c r="L20" s="1" t="inlineStr">
        <is>
          <t>estimated_series</t>
        </is>
      </c>
    </row>
    <row r="21">
      <c r="A21" t="inlineStr">
        <is>
          <t>20250930800101</t>
        </is>
      </c>
      <c r="B21" t="inlineStr">
        <is>
          <t>OTHER</t>
        </is>
      </c>
      <c r="D21" t="n">
        <v>96678.522</v>
      </c>
      <c r="E21" t="n">
        <v>83.34999999999999</v>
      </c>
      <c r="F21" t="n">
        <v>1159.91</v>
      </c>
      <c r="G21" t="inlineStr">
        <is>
          <t>2021-07-19</t>
        </is>
      </c>
      <c r="H21" t="inlineStr">
        <is>
          <t>2021-07-19</t>
        </is>
      </c>
      <c r="I21" t="inlineStr">
        <is>
          <t>2027-03-13</t>
        </is>
      </c>
      <c r="K21" t="inlineStr">
        <is>
          <t>linear_progress</t>
        </is>
      </c>
      <c r="L21" t="b">
        <v>0</v>
      </c>
    </row>
    <row r="22">
      <c r="A22" t="inlineStr">
        <is>
          <t>20251103800145</t>
        </is>
      </c>
      <c r="B22" t="inlineStr">
        <is>
          <t>OTHER</t>
        </is>
      </c>
      <c r="D22" t="n">
        <v>72796.84699999999</v>
      </c>
      <c r="E22" t="n">
        <v>55.33</v>
      </c>
      <c r="F22" t="n">
        <v>1315.69</v>
      </c>
      <c r="G22" t="inlineStr">
        <is>
          <t>2023-04-28</t>
        </is>
      </c>
      <c r="H22" t="inlineStr">
        <is>
          <t>2023-04-28</t>
        </is>
      </c>
      <c r="I22" t="inlineStr">
        <is>
          <t>2027-10-21</t>
        </is>
      </c>
      <c r="K22" t="inlineStr">
        <is>
          <t>linear_progress</t>
        </is>
      </c>
      <c r="L22" t="b">
        <v>0</v>
      </c>
    </row>
    <row r="23">
      <c r="A23" t="inlineStr">
        <is>
          <t>20251110800052</t>
        </is>
      </c>
      <c r="B23" t="inlineStr">
        <is>
          <t>OTHER</t>
        </is>
      </c>
      <c r="D23" t="n">
        <v>74855</v>
      </c>
      <c r="E23" t="n">
        <v>51.653</v>
      </c>
      <c r="F23" t="n">
        <v>1449.19</v>
      </c>
      <c r="G23" t="inlineStr">
        <is>
          <t>2025-11-09</t>
        </is>
      </c>
      <c r="H23" t="inlineStr">
        <is>
          <t>2025-11-09</t>
        </is>
      </c>
      <c r="I23" t="inlineStr">
        <is>
          <t>2029-11-17</t>
        </is>
      </c>
      <c r="K23" t="inlineStr">
        <is>
          <t>linear_progress</t>
        </is>
      </c>
      <c r="L23" t="b">
        <v>0</v>
      </c>
    </row>
    <row r="24">
      <c r="A24" t="inlineStr">
        <is>
          <t>20251126800540</t>
        </is>
      </c>
      <c r="B24" t="inlineStr">
        <is>
          <t>OTHER</t>
        </is>
      </c>
      <c r="D24" t="n">
        <v>164168.4</v>
      </c>
      <c r="E24" t="n">
        <v>120.701</v>
      </c>
      <c r="F24" t="n">
        <v>1360.12</v>
      </c>
      <c r="G24" t="inlineStr">
        <is>
          <t>2022-12-22</t>
        </is>
      </c>
      <c r="H24" t="inlineStr">
        <is>
          <t>2022-12-22</t>
        </is>
      </c>
      <c r="I24" t="inlineStr">
        <is>
          <t>2027-05-31</t>
        </is>
      </c>
      <c r="K24" t="inlineStr">
        <is>
          <t>linear_progress</t>
        </is>
      </c>
      <c r="L24" t="b">
        <v>0</v>
      </c>
    </row>
    <row r="25">
      <c r="A25" t="inlineStr">
        <is>
          <t>20251127800440</t>
        </is>
      </c>
      <c r="B25" t="inlineStr">
        <is>
          <t>OTHER</t>
        </is>
      </c>
      <c r="D25" t="n">
        <v>176849.588</v>
      </c>
      <c r="E25" t="n">
        <v>122.033</v>
      </c>
      <c r="F25" t="n">
        <v>1449.19</v>
      </c>
      <c r="G25" t="inlineStr">
        <is>
          <t>2025-11-26</t>
        </is>
      </c>
      <c r="H25" t="inlineStr">
        <is>
          <t>2025-11-26</t>
        </is>
      </c>
      <c r="I25" t="inlineStr">
        <is>
          <t>2034-04-30</t>
        </is>
      </c>
      <c r="K25" t="inlineStr">
        <is>
          <t>linear_progress</t>
        </is>
      </c>
      <c r="L25" t="b">
        <v>0</v>
      </c>
    </row>
    <row r="26">
      <c r="A26" t="inlineStr">
        <is>
          <t>20251127800601</t>
        </is>
      </c>
      <c r="B26" t="inlineStr">
        <is>
          <t>OTHER</t>
        </is>
      </c>
      <c r="D26" t="n">
        <v>168916.01</v>
      </c>
      <c r="E26" t="n">
        <v>116.559</v>
      </c>
      <c r="F26" t="n">
        <v>1449.19</v>
      </c>
      <c r="G26" t="inlineStr">
        <is>
          <t>2025-11-27</t>
        </is>
      </c>
      <c r="H26" t="inlineStr">
        <is>
          <t>2025-11-27</t>
        </is>
      </c>
      <c r="I26" t="inlineStr">
        <is>
          <t>2029-12-25</t>
        </is>
      </c>
      <c r="K26" t="inlineStr">
        <is>
          <t>linear_progress</t>
        </is>
      </c>
      <c r="L26" t="b">
        <v>0</v>
      </c>
    </row>
    <row r="27">
      <c r="A27" t="inlineStr">
        <is>
          <t>20251205800202</t>
        </is>
      </c>
      <c r="B27" t="inlineStr">
        <is>
          <t>OTHER</t>
        </is>
      </c>
      <c r="D27" t="n">
        <v>92057.856</v>
      </c>
      <c r="E27" t="n">
        <v>65.93000000000001</v>
      </c>
      <c r="F27" t="n">
        <v>1396.3</v>
      </c>
      <c r="G27" t="inlineStr">
        <is>
          <t>2024-12-18</t>
        </is>
      </c>
      <c r="H27" t="inlineStr">
        <is>
          <t>2024-12-18</t>
        </is>
      </c>
      <c r="I27" t="inlineStr">
        <is>
          <t>2030-01-16</t>
        </is>
      </c>
      <c r="K27" t="inlineStr">
        <is>
          <t>linear_progress</t>
        </is>
      </c>
      <c r="L27" t="b">
        <v>0</v>
      </c>
    </row>
    <row r="28">
      <c r="A28" t="inlineStr">
        <is>
          <t>20251217800479</t>
        </is>
      </c>
      <c r="B28" t="inlineStr">
        <is>
          <t>NAVAL</t>
        </is>
      </c>
      <c r="D28" t="n">
        <v>312576</v>
      </c>
      <c r="E28" t="n">
        <v>215.69</v>
      </c>
      <c r="F28" t="n">
        <v>1449.19</v>
      </c>
      <c r="G28" t="inlineStr">
        <is>
          <t>2025-12-17</t>
        </is>
      </c>
      <c r="H28" t="inlineStr">
        <is>
          <t>2025-12-17</t>
        </is>
      </c>
      <c r="I28" t="inlineStr">
        <is>
          <t>2029-10-31</t>
        </is>
      </c>
      <c r="K28" t="inlineStr">
        <is>
          <t>linear_progress</t>
        </is>
      </c>
      <c r="L28" t="b">
        <v>0</v>
      </c>
    </row>
    <row r="29">
      <c r="A29" t="inlineStr">
        <is>
          <t>20251222800631</t>
        </is>
      </c>
      <c r="B29" t="inlineStr">
        <is>
          <t>OTHER</t>
        </is>
      </c>
      <c r="D29" t="n">
        <v>161753.283</v>
      </c>
      <c r="E29" t="n">
        <v>137.518</v>
      </c>
      <c r="F29" t="n">
        <v>1176.23</v>
      </c>
      <c r="G29" t="inlineStr">
        <is>
          <t>2019-12-27</t>
        </is>
      </c>
      <c r="H29" t="inlineStr">
        <is>
          <t>2019-12-27</t>
        </is>
      </c>
      <c r="I29" t="inlineStr">
        <is>
          <t>2026-12-31</t>
        </is>
      </c>
      <c r="K29" t="inlineStr">
        <is>
          <t>linear_progress</t>
        </is>
      </c>
      <c r="L29" t="b">
        <v>0</v>
      </c>
    </row>
    <row r="30">
      <c r="A30" t="inlineStr">
        <is>
          <t>20251224800003</t>
        </is>
      </c>
      <c r="B30" t="inlineStr">
        <is>
          <t>NAVAL</t>
        </is>
      </c>
      <c r="C30" t="n">
        <v>1</v>
      </c>
      <c r="D30" t="n">
        <v>68858</v>
      </c>
      <c r="E30" t="n">
        <v>47.515</v>
      </c>
      <c r="F30" t="n">
        <v>1449.19</v>
      </c>
      <c r="G30" t="inlineStr">
        <is>
          <t>2025-12-23</t>
        </is>
      </c>
      <c r="H30" t="inlineStr">
        <is>
          <t>2025-12-23</t>
        </is>
      </c>
      <c r="I30" t="inlineStr">
        <is>
          <t>2028-12-07</t>
        </is>
      </c>
      <c r="J30" t="inlineStr">
        <is>
          <t>②BEP</t>
        </is>
      </c>
      <c r="K30" t="inlineStr">
        <is>
          <t>linear_progress</t>
        </is>
      </c>
      <c r="L30" t="b">
        <v>0</v>
      </c>
    </row>
    <row r="31">
      <c r="A31" t="inlineStr">
        <is>
          <t>20251224800596</t>
        </is>
      </c>
      <c r="B31" t="inlineStr">
        <is>
          <t>OTHER</t>
        </is>
      </c>
      <c r="D31" t="n">
        <v>181818.331</v>
      </c>
      <c r="E31" t="n">
        <v>163.067</v>
      </c>
      <c r="F31" t="n">
        <v>1114.99</v>
      </c>
      <c r="G31" t="inlineStr">
        <is>
          <t>2021-02-18</t>
        </is>
      </c>
      <c r="H31" t="inlineStr">
        <is>
          <t>2021-04-30</t>
        </is>
      </c>
      <c r="I31" t="inlineStr">
        <is>
          <t>2027-04-03</t>
        </is>
      </c>
      <c r="K31" t="inlineStr">
        <is>
          <t>linear_progress</t>
        </is>
      </c>
      <c r="L31" t="b">
        <v>0</v>
      </c>
    </row>
    <row r="32">
      <c r="A32" t="inlineStr">
        <is>
          <t>20251231800507</t>
        </is>
      </c>
      <c r="B32" t="inlineStr">
        <is>
          <t>OTHER</t>
        </is>
      </c>
      <c r="D32" t="n">
        <v>382299.462</v>
      </c>
      <c r="E32" t="n">
        <v>341.959</v>
      </c>
      <c r="F32" t="n">
        <v>1117.97</v>
      </c>
      <c r="G32" t="inlineStr">
        <is>
          <t>2020-12-03</t>
        </is>
      </c>
      <c r="H32" t="inlineStr">
        <is>
          <t>2020-12-03</t>
        </is>
      </c>
      <c r="I32" t="inlineStr">
        <is>
          <t>2026-03-31</t>
        </is>
      </c>
      <c r="K32" t="inlineStr">
        <is>
          <t>linear_progress</t>
        </is>
      </c>
      <c r="L32" t="b">
        <v>0</v>
      </c>
    </row>
    <row r="33">
      <c r="A33" t="inlineStr">
        <is>
          <t>20251231800547</t>
        </is>
      </c>
      <c r="B33" t="inlineStr">
        <is>
          <t>OTHER</t>
        </is>
      </c>
      <c r="D33" t="n">
        <v>55930.484</v>
      </c>
      <c r="E33" t="n">
        <v>38.594</v>
      </c>
      <c r="F33" t="n">
        <v>1449.19</v>
      </c>
      <c r="G33" t="inlineStr">
        <is>
          <t>2025-12-31</t>
        </is>
      </c>
      <c r="H33" t="inlineStr">
        <is>
          <t>2025-03-03</t>
        </is>
      </c>
      <c r="I33" t="inlineStr">
        <is>
          <t>2028-09-11</t>
        </is>
      </c>
      <c r="K33" t="inlineStr">
        <is>
          <t>linear_progress</t>
        </is>
      </c>
      <c r="L33" t="b">
        <v>0</v>
      </c>
    </row>
    <row r="34">
      <c r="A34" t="inlineStr">
        <is>
          <t>20260107800221</t>
        </is>
      </c>
      <c r="B34" t="inlineStr">
        <is>
          <t>OTHER</t>
        </is>
      </c>
      <c r="D34" t="n">
        <v>117781.019</v>
      </c>
      <c r="E34" t="n">
        <v>80.33499999999999</v>
      </c>
      <c r="F34" t="n">
        <v>1466.12</v>
      </c>
      <c r="G34" t="inlineStr">
        <is>
          <t>2026-01-07</t>
        </is>
      </c>
      <c r="H34" t="inlineStr">
        <is>
          <t>2026-01-07</t>
        </is>
      </c>
      <c r="I34" t="inlineStr">
        <is>
          <t>2030-07-02</t>
        </is>
      </c>
      <c r="K34" t="inlineStr">
        <is>
          <t>linear_progress</t>
        </is>
      </c>
      <c r="L34" t="b">
        <v>0</v>
      </c>
    </row>
    <row r="35">
      <c r="A35" t="inlineStr">
        <is>
          <t>20260116800164</t>
        </is>
      </c>
      <c r="B35" t="inlineStr">
        <is>
          <t>OTHER</t>
        </is>
      </c>
      <c r="D35" t="n">
        <v>185327.231</v>
      </c>
      <c r="E35" t="n">
        <v>126.407</v>
      </c>
      <c r="F35" t="n">
        <v>1466.12</v>
      </c>
      <c r="G35" t="inlineStr">
        <is>
          <t>2026-01-16</t>
        </is>
      </c>
      <c r="H35" t="inlineStr">
        <is>
          <t>2026-01-16</t>
        </is>
      </c>
      <c r="I35" t="inlineStr">
        <is>
          <t>2029-04-29</t>
        </is>
      </c>
      <c r="K35" t="inlineStr">
        <is>
          <t>linear_progress</t>
        </is>
      </c>
      <c r="L35" t="b">
        <v>0</v>
      </c>
    </row>
    <row r="36">
      <c r="A36" t="inlineStr">
        <is>
          <t>20260120800250</t>
        </is>
      </c>
      <c r="B36" t="inlineStr">
        <is>
          <t>OTHER</t>
        </is>
      </c>
      <c r="D36" t="n">
        <v>84068.62699999999</v>
      </c>
      <c r="E36" t="n">
        <v>65.83499999999999</v>
      </c>
      <c r="F36" t="n">
        <v>1276.95</v>
      </c>
      <c r="G36" t="inlineStr">
        <is>
          <t>2023-03-07</t>
        </is>
      </c>
      <c r="H36" t="inlineStr">
        <is>
          <t>2023-03-07</t>
        </is>
      </c>
      <c r="I36" t="inlineStr">
        <is>
          <t>2027-08-30</t>
        </is>
      </c>
      <c r="K36" t="inlineStr">
        <is>
          <t>linear_progress</t>
        </is>
      </c>
      <c r="L36" t="b">
        <v>0</v>
      </c>
    </row>
    <row r="37">
      <c r="A37" t="inlineStr">
        <is>
          <t>20260211800125</t>
        </is>
      </c>
      <c r="B37" t="inlineStr">
        <is>
          <t>CONT</t>
        </is>
      </c>
      <c r="C37" t="n">
        <v>2</v>
      </c>
      <c r="D37" t="n">
        <v>353265.889</v>
      </c>
      <c r="E37" t="n">
        <v>240.953</v>
      </c>
      <c r="F37" t="n">
        <v>1466.12</v>
      </c>
      <c r="G37" t="inlineStr">
        <is>
          <t>2026-02-10</t>
        </is>
      </c>
      <c r="H37" t="inlineStr">
        <is>
          <t>2026-02-10</t>
        </is>
      </c>
      <c r="I37" t="inlineStr">
        <is>
          <t>2028-06-30</t>
        </is>
      </c>
      <c r="J37" t="inlineStr">
        <is>
          <t>③중마진</t>
        </is>
      </c>
      <c r="K37" t="inlineStr">
        <is>
          <t>linear_progress</t>
        </is>
      </c>
      <c r="L37" t="b">
        <v>1</v>
      </c>
    </row>
    <row r="38">
      <c r="A38" t="inlineStr">
        <is>
          <t>20260227801603</t>
        </is>
      </c>
      <c r="B38" t="inlineStr">
        <is>
          <t>OTHER</t>
        </is>
      </c>
      <c r="D38" t="n">
        <v>218819.48</v>
      </c>
      <c r="E38" t="n">
        <v>194.371</v>
      </c>
      <c r="F38" t="n">
        <v>1125.78</v>
      </c>
      <c r="G38" t="inlineStr">
        <is>
          <t>2019-03-20</t>
        </is>
      </c>
      <c r="H38" t="inlineStr">
        <is>
          <t>2019-03-20</t>
        </is>
      </c>
      <c r="I38" t="inlineStr">
        <is>
          <t>2028-04-30</t>
        </is>
      </c>
      <c r="K38" t="inlineStr">
        <is>
          <t>linear_progress</t>
        </is>
      </c>
      <c r="L38" t="b">
        <v>0</v>
      </c>
    </row>
    <row r="39">
      <c r="A39" t="inlineStr">
        <is>
          <t>20260227801809</t>
        </is>
      </c>
      <c r="B39" t="inlineStr">
        <is>
          <t>OTHER</t>
        </is>
      </c>
      <c r="D39" t="n">
        <v>81559.656</v>
      </c>
      <c r="E39" t="n">
        <v>55.63</v>
      </c>
      <c r="F39" t="n">
        <v>1466.12</v>
      </c>
      <c r="G39" t="inlineStr">
        <is>
          <t>2026-02-27</t>
        </is>
      </c>
      <c r="H39" t="inlineStr">
        <is>
          <t>2026-02-27</t>
        </is>
      </c>
      <c r="I39" t="inlineStr">
        <is>
          <t>2049-05-31</t>
        </is>
      </c>
      <c r="K39" t="inlineStr">
        <is>
          <t>linear_progress</t>
        </is>
      </c>
      <c r="L39" t="b">
        <v>0</v>
      </c>
    </row>
    <row r="40">
      <c r="A40" t="inlineStr">
        <is>
          <t>20260304800353</t>
        </is>
      </c>
      <c r="B40" t="inlineStr">
        <is>
          <t>OTHER</t>
        </is>
      </c>
      <c r="D40" t="n">
        <v>92241.75599999999</v>
      </c>
      <c r="E40" t="n">
        <v>62.916</v>
      </c>
      <c r="F40" t="n">
        <v>1466.12</v>
      </c>
      <c r="G40" t="inlineStr">
        <is>
          <t>2026-02-25</t>
        </is>
      </c>
      <c r="H40" t="inlineStr">
        <is>
          <t>2026-02-25</t>
        </is>
      </c>
      <c r="I40" t="inlineStr">
        <is>
          <t>2030-02-10</t>
        </is>
      </c>
      <c r="K40" t="inlineStr">
        <is>
          <t>linear_progress</t>
        </is>
      </c>
      <c r="L40" t="b">
        <v>0</v>
      </c>
    </row>
    <row r="41">
      <c r="A41" t="inlineStr">
        <is>
          <t>20260306800575</t>
        </is>
      </c>
      <c r="B41" t="inlineStr">
        <is>
          <t>OTHER</t>
        </is>
      </c>
      <c r="D41" t="n">
        <v>84679.82000000001</v>
      </c>
      <c r="E41" t="n">
        <v>57.758</v>
      </c>
      <c r="F41" t="n">
        <v>1466.12</v>
      </c>
      <c r="G41" t="inlineStr">
        <is>
          <t>2026-03-06</t>
        </is>
      </c>
      <c r="H41" t="inlineStr">
        <is>
          <t>2026-03-06</t>
        </is>
      </c>
      <c r="I41" t="inlineStr">
        <is>
          <t>2030-08-29</t>
        </is>
      </c>
      <c r="K41" t="inlineStr">
        <is>
          <t>linear_progress</t>
        </is>
      </c>
      <c r="L41" t="b">
        <v>0</v>
      </c>
    </row>
    <row r="42">
      <c r="A42" t="inlineStr">
        <is>
          <t>20260313800208</t>
        </is>
      </c>
      <c r="B42" t="inlineStr">
        <is>
          <t>OTHER</t>
        </is>
      </c>
      <c r="D42" t="n">
        <v>89392.5</v>
      </c>
      <c r="E42" t="n">
        <v>60.972</v>
      </c>
      <c r="F42" t="n">
        <v>1466.12</v>
      </c>
      <c r="G42" t="inlineStr">
        <is>
          <t>2026-03-13</t>
        </is>
      </c>
      <c r="H42" t="inlineStr">
        <is>
          <t>2025-04-30</t>
        </is>
      </c>
      <c r="I42" t="inlineStr">
        <is>
          <t>2028-07-22</t>
        </is>
      </c>
      <c r="K42" t="inlineStr">
        <is>
          <t>linear_progress</t>
        </is>
      </c>
      <c r="L42" t="b">
        <v>0</v>
      </c>
    </row>
    <row r="43">
      <c r="A43" t="inlineStr">
        <is>
          <t>20260401800508</t>
        </is>
      </c>
      <c r="B43" t="inlineStr">
        <is>
          <t>OTHER</t>
        </is>
      </c>
      <c r="D43" t="n">
        <v>181103.297</v>
      </c>
      <c r="E43" t="n">
        <v>161.993</v>
      </c>
      <c r="F43" t="n">
        <v>1117.97</v>
      </c>
      <c r="G43" t="inlineStr">
        <is>
          <t>2020-10-29</t>
        </is>
      </c>
      <c r="H43" t="inlineStr">
        <is>
          <t>2020-10-29</t>
        </is>
      </c>
      <c r="I43" t="inlineStr">
        <is>
          <t>2025-04-23</t>
        </is>
      </c>
      <c r="K43" t="inlineStr">
        <is>
          <t>linear_progress</t>
        </is>
      </c>
      <c r="L43" t="b">
        <v>0</v>
      </c>
    </row>
    <row r="44">
      <c r="A44" t="inlineStr">
        <is>
          <t>20260410800253</t>
        </is>
      </c>
      <c r="B44" t="inlineStr">
        <is>
          <t>OTHER</t>
        </is>
      </c>
      <c r="D44" t="n">
        <v>349662.915</v>
      </c>
      <c r="E44" t="n">
        <v>232.837</v>
      </c>
      <c r="F44" t="n">
        <v>1501.75</v>
      </c>
      <c r="G44" t="inlineStr">
        <is>
          <t>2026-04-10</t>
        </is>
      </c>
      <c r="H44" t="inlineStr">
        <is>
          <t>2026-04-10</t>
        </is>
      </c>
      <c r="I44" t="inlineStr">
        <is>
          <t>2030-10-03</t>
        </is>
      </c>
      <c r="K44" t="inlineStr">
        <is>
          <t>linear_progress</t>
        </is>
      </c>
      <c r="L44" t="b">
        <v>0</v>
      </c>
    </row>
    <row r="45">
      <c r="A45" t="inlineStr">
        <is>
          <t>20260422800059</t>
        </is>
      </c>
      <c r="B45" t="inlineStr">
        <is>
          <t>OTHER</t>
        </is>
      </c>
      <c r="D45" t="n">
        <v>68249.882</v>
      </c>
      <c r="E45" t="n">
        <v>45.447</v>
      </c>
      <c r="F45" t="n">
        <v>1501.75</v>
      </c>
      <c r="G45" t="inlineStr">
        <is>
          <t>2026-04-21</t>
        </is>
      </c>
      <c r="H45" t="inlineStr">
        <is>
          <t>2026-04-21</t>
        </is>
      </c>
      <c r="I45" t="inlineStr">
        <is>
          <t>2029-04-30</t>
        </is>
      </c>
      <c r="K45" t="inlineStr">
        <is>
          <t>linear_progress</t>
        </is>
      </c>
      <c r="L45" t="b">
        <v>0</v>
      </c>
    </row>
    <row r="46">
      <c r="A46" t="inlineStr">
        <is>
          <t>20260423800218</t>
        </is>
      </c>
      <c r="B46" t="inlineStr">
        <is>
          <t>OTHER</t>
        </is>
      </c>
      <c r="D46" t="n">
        <v>101348.33</v>
      </c>
      <c r="E46" t="n">
        <v>77.03100000000001</v>
      </c>
      <c r="F46" t="n">
        <v>1315.69</v>
      </c>
      <c r="G46" t="inlineStr">
        <is>
          <t>2023-04-27</t>
        </is>
      </c>
      <c r="H46" t="inlineStr">
        <is>
          <t>2023-04-27</t>
        </is>
      </c>
      <c r="I46" t="inlineStr">
        <is>
          <t>2027-10-20</t>
        </is>
      </c>
      <c r="K46" t="inlineStr">
        <is>
          <t>linear_progress</t>
        </is>
      </c>
      <c r="L46" t="b">
        <v>0</v>
      </c>
    </row>
    <row r="47">
      <c r="A47" t="inlineStr">
        <is>
          <t>20260423800721</t>
        </is>
      </c>
      <c r="B47" t="inlineStr">
        <is>
          <t>OTHER</t>
        </is>
      </c>
      <c r="D47" t="n">
        <v>82529.905</v>
      </c>
      <c r="E47" t="n">
        <v>62.046</v>
      </c>
      <c r="F47" t="n">
        <v>1330.14</v>
      </c>
      <c r="G47" t="inlineStr">
        <is>
          <t>2024-03-28</t>
        </is>
      </c>
      <c r="H47" t="inlineStr">
        <is>
          <t>2024-03-28</t>
        </is>
      </c>
      <c r="I47" t="inlineStr">
        <is>
          <t>2028-09-20</t>
        </is>
      </c>
      <c r="K47" t="inlineStr">
        <is>
          <t>linear_progress</t>
        </is>
      </c>
      <c r="L47" t="b">
        <v>0</v>
      </c>
    </row>
    <row r="48">
      <c r="A48" t="inlineStr">
        <is>
          <t>20260427800078</t>
        </is>
      </c>
      <c r="B48" t="inlineStr">
        <is>
          <t>CONT</t>
        </is>
      </c>
      <c r="C48" t="n">
        <v>2</v>
      </c>
      <c r="D48" t="n">
        <v>357198.303</v>
      </c>
      <c r="E48" t="n">
        <v>237.855</v>
      </c>
      <c r="F48" t="n">
        <v>1501.75</v>
      </c>
      <c r="G48" t="inlineStr">
        <is>
          <t>2026-04-24</t>
        </is>
      </c>
      <c r="H48" t="inlineStr">
        <is>
          <t>2026-04-24</t>
        </is>
      </c>
      <c r="I48" t="inlineStr">
        <is>
          <t>2028-10-31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20260506800906</t>
        </is>
      </c>
      <c r="B49" t="inlineStr">
        <is>
          <t>OTHER</t>
        </is>
      </c>
      <c r="D49" t="n">
        <v>80559.458</v>
      </c>
      <c r="E49" t="n">
        <v>61.23</v>
      </c>
      <c r="F49" t="n">
        <v>1315.69</v>
      </c>
      <c r="G49" t="inlineStr">
        <is>
          <t>2023-06-23</t>
        </is>
      </c>
      <c r="H49" t="inlineStr">
        <is>
          <t>2023-07-13</t>
        </is>
      </c>
      <c r="I49" t="inlineStr">
        <is>
          <t>2027-11-30</t>
        </is>
      </c>
      <c r="K49" t="inlineStr">
        <is>
          <t>linear_progress</t>
        </is>
      </c>
      <c r="L49" t="b">
        <v>0</v>
      </c>
    </row>
    <row r="50">
      <c r="A50" t="inlineStr">
        <is>
          <t>20260518800840</t>
        </is>
      </c>
      <c r="B50" t="inlineStr">
        <is>
          <t>OTHER</t>
        </is>
      </c>
      <c r="D50" t="n">
        <v>73371.98299999999</v>
      </c>
      <c r="E50" t="n">
        <v>50.63</v>
      </c>
      <c r="F50" t="n">
        <v>1449.19</v>
      </c>
      <c r="G50" t="inlineStr">
        <is>
          <t>2025-12-08</t>
        </is>
      </c>
      <c r="H50" t="inlineStr">
        <is>
          <t>2025-12-08</t>
        </is>
      </c>
      <c r="I50" t="inlineStr">
        <is>
          <t>2030-01-02</t>
        </is>
      </c>
      <c r="K50" t="inlineStr">
        <is>
          <t>linear_progress</t>
        </is>
      </c>
      <c r="L50" t="b">
        <v>0</v>
      </c>
    </row>
    <row r="51">
      <c r="A51" t="inlineStr">
        <is>
          <t>20260520800639</t>
        </is>
      </c>
      <c r="B51" t="inlineStr">
        <is>
          <t>OTHER</t>
        </is>
      </c>
      <c r="D51" t="n">
        <v>54315.409</v>
      </c>
      <c r="E51" t="n">
        <v>36.168</v>
      </c>
      <c r="F51" t="n">
        <v>1501.75</v>
      </c>
      <c r="G51" t="inlineStr">
        <is>
          <t>2026-05-20</t>
        </is>
      </c>
      <c r="H51" t="inlineStr">
        <is>
          <t>2026-05-20</t>
        </is>
      </c>
      <c r="I51" t="inlineStr">
        <is>
          <t>2031-05-20</t>
        </is>
      </c>
      <c r="K51" t="inlineStr">
        <is>
          <t>linear_progress</t>
        </is>
      </c>
      <c r="L51" t="b">
        <v>0</v>
      </c>
    </row>
    <row r="52">
      <c r="A52" t="inlineStr">
        <is>
          <t>20260529800492</t>
        </is>
      </c>
      <c r="B52" t="inlineStr">
        <is>
          <t>OTHER</t>
        </is>
      </c>
      <c r="D52" t="n">
        <v>62695.656</v>
      </c>
      <c r="E52" t="n">
        <v>52.975</v>
      </c>
      <c r="F52" t="n">
        <v>1183.5</v>
      </c>
      <c r="G52" t="inlineStr">
        <is>
          <t>2021-10-28</t>
        </is>
      </c>
      <c r="H52" t="inlineStr">
        <is>
          <t>2021-10-28</t>
        </is>
      </c>
      <c r="I52" t="inlineStr">
        <is>
          <t>2026-04-22</t>
        </is>
      </c>
      <c r="K52" t="inlineStr">
        <is>
          <t>linear_progress</t>
        </is>
      </c>
      <c r="L52" t="b">
        <v>0</v>
      </c>
    </row>
    <row r="53">
      <c r="A53" t="inlineStr">
        <is>
          <t>20260601800841</t>
        </is>
      </c>
      <c r="B53" t="inlineStr">
        <is>
          <t>OTHER</t>
        </is>
      </c>
      <c r="D53" t="n">
        <v>59851.831</v>
      </c>
      <c r="E53" t="n">
        <v>44.005</v>
      </c>
      <c r="F53" t="n">
        <v>1360.12</v>
      </c>
      <c r="G53" t="inlineStr">
        <is>
          <t>2022-12-13</t>
        </is>
      </c>
      <c r="H53" t="inlineStr">
        <is>
          <t>2022-12-13</t>
        </is>
      </c>
      <c r="I53" t="inlineStr">
        <is>
          <t>2027-06-07</t>
        </is>
      </c>
      <c r="K53" t="inlineStr">
        <is>
          <t>linear_progress</t>
        </is>
      </c>
      <c r="L53" t="b">
        <v>0</v>
      </c>
    </row>
    <row r="54">
      <c r="A54" t="inlineStr">
        <is>
          <t>20260618800458</t>
        </is>
      </c>
      <c r="B54" t="inlineStr">
        <is>
          <t>OTHER</t>
        </is>
      </c>
      <c r="D54" t="n">
        <v>226877.219</v>
      </c>
      <c r="E54" t="n">
        <v>209.978</v>
      </c>
      <c r="F54" t="n">
        <v>1080.48</v>
      </c>
      <c r="G54" t="inlineStr">
        <is>
          <t>2018-05-18</t>
        </is>
      </c>
      <c r="H54" t="inlineStr">
        <is>
          <t>2018-05-18</t>
        </is>
      </c>
      <c r="I54" t="inlineStr">
        <is>
          <t>2026-12-31</t>
        </is>
      </c>
      <c r="K54" t="inlineStr">
        <is>
          <t>linear_progress</t>
        </is>
      </c>
      <c r="L54" t="b">
        <v>0</v>
      </c>
    </row>
    <row r="55">
      <c r="A55" t="inlineStr">
        <is>
          <t>20260629801171</t>
        </is>
      </c>
      <c r="B55" t="inlineStr">
        <is>
          <t>OTHER</t>
        </is>
      </c>
      <c r="D55" t="n">
        <v>81052.209</v>
      </c>
      <c r="E55" t="n">
        <v>72.499</v>
      </c>
      <c r="F55" t="n">
        <v>1117.97</v>
      </c>
      <c r="G55" t="inlineStr">
        <is>
          <t>2020-12-30</t>
        </is>
      </c>
      <c r="H55" t="inlineStr">
        <is>
          <t>2021-01-11</t>
        </is>
      </c>
      <c r="I55" t="inlineStr">
        <is>
          <t>2031-01-14</t>
        </is>
      </c>
      <c r="K55" t="inlineStr">
        <is>
          <t>linear_progress</t>
        </is>
      </c>
      <c r="L55" t="b">
        <v>0</v>
      </c>
    </row>
    <row r="56">
      <c r="A56" t="inlineStr">
        <is>
          <t>20260630800457</t>
        </is>
      </c>
      <c r="B56" t="inlineStr">
        <is>
          <t>OTHER</t>
        </is>
      </c>
      <c r="D56" t="n">
        <v>124213.19</v>
      </c>
      <c r="E56" t="n">
        <v>92.563</v>
      </c>
      <c r="F56" t="n">
        <v>1341.93</v>
      </c>
      <c r="G56" t="inlineStr">
        <is>
          <t>2022-09-05</t>
        </is>
      </c>
      <c r="H56" t="inlineStr">
        <is>
          <t>2022-09-05</t>
        </is>
      </c>
      <c r="I56" t="inlineStr">
        <is>
          <t>2028-02-29</t>
        </is>
      </c>
      <c r="K56" t="inlineStr">
        <is>
          <t>linear_progress</t>
        </is>
      </c>
      <c r="L56" t="b">
        <v>0</v>
      </c>
    </row>
    <row r="57">
      <c r="A57" t="inlineStr">
        <is>
          <t>20260630800913</t>
        </is>
      </c>
      <c r="B57" t="inlineStr">
        <is>
          <t>OTHER</t>
        </is>
      </c>
      <c r="D57" t="n">
        <v>148791.105</v>
      </c>
      <c r="E57" t="n">
        <v>99.078</v>
      </c>
      <c r="F57" t="n">
        <v>1501.75</v>
      </c>
      <c r="G57" t="inlineStr">
        <is>
          <t>2026-06-30</t>
        </is>
      </c>
      <c r="H57" t="inlineStr">
        <is>
          <t>2026-06-30</t>
        </is>
      </c>
      <c r="I57" t="inlineStr">
        <is>
          <t>2032-04-18</t>
        </is>
      </c>
      <c r="K57" t="inlineStr">
        <is>
          <t>linear_progress</t>
        </is>
      </c>
      <c r="L57" t="b">
        <v>0</v>
      </c>
    </row>
    <row r="58">
      <c r="A58" t="inlineStr">
        <is>
          <t>20260721800175</t>
        </is>
      </c>
      <c r="B58" t="inlineStr">
        <is>
          <t>OTHER</t>
        </is>
      </c>
      <c r="D58" t="n">
        <v>187291.109</v>
      </c>
      <c r="E58" t="n">
        <v>142.576</v>
      </c>
      <c r="F58" t="n">
        <v>1313.62</v>
      </c>
      <c r="G58" t="inlineStr">
        <is>
          <t>2023-07-06</t>
        </is>
      </c>
      <c r="H58" t="inlineStr">
        <is>
          <t>2023-07-06</t>
        </is>
      </c>
      <c r="I58" t="inlineStr">
        <is>
          <t>2027-12-29</t>
        </is>
      </c>
      <c r="K58" t="inlineStr">
        <is>
          <t>linear_progress</t>
        </is>
      </c>
      <c r="L58" t="b">
        <v>0</v>
      </c>
    </row>
    <row r="59">
      <c r="A59" t="inlineStr">
        <is>
          <t>20260805800532</t>
        </is>
      </c>
      <c r="B59" t="inlineStr">
        <is>
          <t>OTHER</t>
        </is>
      </c>
      <c r="D59" t="n">
        <v>110087.34</v>
      </c>
      <c r="E59" t="n">
        <v>94.27800000000001</v>
      </c>
      <c r="F59" t="n">
        <v>1167.69</v>
      </c>
      <c r="G59" t="inlineStr">
        <is>
          <t>2019-05-31</t>
        </is>
      </c>
      <c r="H59" t="inlineStr">
        <is>
          <t>2019-05-31</t>
        </is>
      </c>
      <c r="I59" t="inlineStr">
        <is>
          <t>2027-06-09</t>
        </is>
      </c>
      <c r="K59" t="inlineStr">
        <is>
          <t>linear_progress</t>
        </is>
      </c>
      <c r="L59" t="b">
        <v>0</v>
      </c>
    </row>
    <row r="60">
      <c r="A60" t="inlineStr">
        <is>
          <t>20260811800408</t>
        </is>
      </c>
      <c r="B60" t="inlineStr">
        <is>
          <t>OTHER</t>
        </is>
      </c>
      <c r="D60" t="n">
        <v>72728</v>
      </c>
      <c r="E60" t="n">
        <v>54.677</v>
      </c>
      <c r="F60" t="n">
        <v>1330.14</v>
      </c>
      <c r="G60" t="inlineStr">
        <is>
          <t>2024-03-08</t>
        </is>
      </c>
      <c r="H60" t="inlineStr">
        <is>
          <t>2024-04-05</t>
        </is>
      </c>
      <c r="I60" t="inlineStr">
        <is>
          <t>2029-10-04</t>
        </is>
      </c>
      <c r="K60" t="inlineStr">
        <is>
          <t>linear_progress</t>
        </is>
      </c>
      <c r="L60" t="b">
        <v>0</v>
      </c>
    </row>
    <row r="61">
      <c r="A61" t="inlineStr">
        <is>
          <t>20260818800047</t>
        </is>
      </c>
      <c r="B61" t="inlineStr">
        <is>
          <t>OTHER</t>
        </is>
      </c>
      <c r="D61" t="n">
        <v>104419.289</v>
      </c>
      <c r="E61" t="n">
        <v>73.54900000000001</v>
      </c>
      <c r="F61" t="n">
        <v>1419.72</v>
      </c>
      <c r="G61" t="inlineStr">
        <is>
          <t>2026-08-14</t>
        </is>
      </c>
      <c r="H61" t="inlineStr">
        <is>
          <t>2026-08-14</t>
        </is>
      </c>
      <c r="I61" t="inlineStr">
        <is>
          <t>2033-08-29</t>
        </is>
      </c>
      <c r="K61" t="inlineStr">
        <is>
          <t>linear_progress</t>
        </is>
      </c>
      <c r="L61" t="b">
        <v>0</v>
      </c>
    </row>
    <row r="62">
      <c r="A62" t="inlineStr">
        <is>
          <t>20260820800160</t>
        </is>
      </c>
      <c r="B62" t="inlineStr">
        <is>
          <t>OTHER</t>
        </is>
      </c>
      <c r="D62" t="n">
        <v>85419.25999999999</v>
      </c>
      <c r="E62" t="n">
        <v>65.026</v>
      </c>
      <c r="F62" t="n">
        <v>1313.62</v>
      </c>
      <c r="G62" t="inlineStr">
        <is>
          <t>2023-08-08</t>
        </is>
      </c>
      <c r="H62" t="inlineStr">
        <is>
          <t>2023-08-08</t>
        </is>
      </c>
      <c r="I62" t="inlineStr">
        <is>
          <t>2026-12-31</t>
        </is>
      </c>
      <c r="K62" t="inlineStr">
        <is>
          <t>linear_progress</t>
        </is>
      </c>
      <c r="L62" t="b">
        <v>0</v>
      </c>
    </row>
    <row r="63">
      <c r="A63" t="inlineStr">
        <is>
          <t>20260911800204</t>
        </is>
      </c>
      <c r="B63" t="inlineStr">
        <is>
          <t>OTHER</t>
        </is>
      </c>
      <c r="D63" t="n">
        <v>251603.814</v>
      </c>
      <c r="E63" t="n">
        <v>191.535</v>
      </c>
      <c r="F63" t="n">
        <v>1313.62</v>
      </c>
      <c r="G63" t="inlineStr">
        <is>
          <t>2023-09-18</t>
        </is>
      </c>
      <c r="H63" t="inlineStr">
        <is>
          <t>2023-09-18</t>
        </is>
      </c>
      <c r="I63" t="inlineStr">
        <is>
          <t>2027-03-31</t>
        </is>
      </c>
      <c r="K63" t="inlineStr">
        <is>
          <t>linear_progress</t>
        </is>
      </c>
      <c r="L63" t="b">
        <v>0</v>
      </c>
    </row>
    <row r="64">
      <c r="A64" t="inlineStr">
        <is>
          <t>20260918800109</t>
        </is>
      </c>
      <c r="B64" t="inlineStr">
        <is>
          <t>OTHER</t>
        </is>
      </c>
      <c r="D64" t="n">
        <v>60071.111</v>
      </c>
      <c r="E64" t="n">
        <v>45.161</v>
      </c>
      <c r="F64" t="n">
        <v>1330.14</v>
      </c>
      <c r="G64" t="inlineStr">
        <is>
          <t>2024-01-10</t>
        </is>
      </c>
      <c r="H64" t="inlineStr">
        <is>
          <t>2024-02-15</t>
        </is>
      </c>
      <c r="I64" t="inlineStr">
        <is>
          <t>2028-08-09</t>
        </is>
      </c>
      <c r="K64" t="inlineStr">
        <is>
          <t>linear_progress</t>
        </is>
      </c>
      <c r="L64" t="b">
        <v>0</v>
      </c>
    </row>
    <row r="65">
      <c r="A65" t="inlineStr">
        <is>
          <t>20260922800008</t>
        </is>
      </c>
      <c r="B65" t="inlineStr">
        <is>
          <t>CONT</t>
        </is>
      </c>
      <c r="C65" t="n">
        <v>4</v>
      </c>
      <c r="D65" t="n">
        <v>678967.559</v>
      </c>
      <c r="E65" t="n">
        <v>478.24</v>
      </c>
      <c r="F65" t="n">
        <v>1419.72</v>
      </c>
      <c r="G65" t="inlineStr">
        <is>
          <t>2026-09-21</t>
        </is>
      </c>
      <c r="H65" t="inlineStr">
        <is>
          <t>2026-09-21</t>
        </is>
      </c>
      <c r="I65" t="inlineStr">
        <is>
          <t>2029-04-30</t>
        </is>
      </c>
      <c r="J65" t="inlineStr">
        <is>
          <t>③중마진</t>
        </is>
      </c>
      <c r="K65" t="inlineStr">
        <is>
          <t>linear_progress</t>
        </is>
      </c>
      <c r="L65" t="b">
        <v>1</v>
      </c>
    </row>
    <row r="66">
      <c r="A66" s="2" t="inlineStr">
        <is>
          <t>⚠ 종료일 = 마지막 호선 인도 예정; 진행률 매출 분기는 계약기간 안에 선형 배분(가정)</t>
        </is>
      </c>
    </row>
    <row r="67">
      <c r="A67" s="2" t="inlineStr">
        <is>
          <t>⚠ 헤지비율 0.7 은 가정(통화선도 공시 없음 → 레퍼런스 SLS 시트의 HEDGE 70% 가정. hedge_rate 는 계약별 수주시점 환율로 대체)</t>
        </is>
      </c>
    </row>
    <row r="68">
      <c r="A68" s="2" t="inlineStr">
        <is>
          <t>⚠ 코호트는 원장 내부 상대 등급(신조선가 지수 없음): 2025~ 수주 물량(백만$) 판정 ②BEP 5%, ③중마진 95%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69">
      <c r="A69" s="2" t="inlineStr">
        <is>
          <t>⚠ 종료일 '-' 12건은 같은 선종 계약기간 중위로 종료 추정(end_estimated)</t>
        </is>
      </c>
    </row>
    <row r="70">
      <c r="A70" s="2" t="inlineStr">
        <is>
          <t>⚠ 비해양(OTHER: 공사·플랜트 등) 포함 원장 잔여 32277억 &gt; 정기보고서 수주표 기말잔고 19043억(전부문 커버리지 1.69) — 수주표는 조선 부문 범위(특수선·상선·수리)만 담아 비교 범위가 다르다. backlog_coverage_all_segments 는 배율로 쓰지 말 것</t>
        </is>
      </c>
    </row>
    <row r="71">
      <c r="A71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조선·해양(방산·신조선·상선·특수선)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조선·해양(방산·신조선·상선·특수선)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IFERROR(I16/E16-1,"")</f>
        <v/>
      </c>
      <c r="J42" s="21">
        <f>IFERROR(J16/F16-1,"")</f>
        <v/>
      </c>
      <c r="K42" s="21">
        <f>IFERROR(K16/G16-1,"")</f>
        <v/>
      </c>
      <c r="L42" s="21">
        <f>IFERROR(L16/H16-1,"")</f>
        <v/>
      </c>
      <c r="M42" s="21">
        <f>IFERROR(M16/I16-1,"")</f>
        <v/>
      </c>
      <c r="N42" s="21">
        <f>IFERROR(N16/J16-1,"")</f>
        <v/>
      </c>
      <c r="O42" s="21">
        <f>IFERROR(O16/K16-1,"")</f>
        <v/>
      </c>
      <c r="P42" s="21">
        <f>IFERROR(P16/L16-1,"")</f>
        <v/>
      </c>
      <c r="Q42" s="21">
        <f>IFERROR(Q16/M16-1,"")</f>
        <v/>
      </c>
      <c r="R42" s="21">
        <f>IFERROR(R16/N16-1,"")</f>
        <v/>
      </c>
      <c r="S42" s="21">
        <f>IFERROR(S16/O16-1,"")</f>
        <v/>
      </c>
      <c r="T42" s="21">
        <f>IFERROR(T16/P16-1,"")</f>
        <v/>
      </c>
      <c r="U42" s="21">
        <f>IFERROR(U16/Q16-1,"")</f>
        <v/>
      </c>
      <c r="V42" s="21">
        <f>IFERROR(V16/R16-1,"")</f>
        <v/>
      </c>
      <c r="W42" s="42">
        <f>IFERROR(W16/S16-1,"")</f>
        <v/>
      </c>
      <c r="X42" s="31">
        <f>IFERROR(X16/T16-1,"")</f>
        <v/>
      </c>
      <c r="Y42" s="31">
        <f>IFERROR(Y16/U16-1,"")</f>
        <v/>
      </c>
      <c r="Z42" s="31">
        <f>IFERROR(Z16/V16-1,"")</f>
        <v/>
      </c>
      <c r="AA42" s="31">
        <f>IFERROR(AA16/W16-1,"")</f>
        <v/>
      </c>
      <c r="AB42" s="31">
        <f>IFERROR(AB16/X16-1,"")</f>
        <v/>
      </c>
      <c r="AC42" s="31">
        <f>IFERROR(AC16/Y16-1,"")</f>
        <v/>
      </c>
      <c r="AD42" s="31">
        <f>IFERROR(AD16/Z16-1,"")</f>
        <v/>
      </c>
      <c r="AE42" s="31">
        <f>IFERROR(AE16/AA16-1,"")</f>
        <v/>
      </c>
      <c r="AF42" s="31">
        <f>IFERROR(AF16/AB16-1,"")</f>
        <v/>
      </c>
      <c r="AG42" s="31">
        <f>IFERROR(AG16/AC16-1,"")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조선·해양(방산·신조선·상선·특수선)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조선·해양(방산·신조선·상선·특수선)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IFERROR(F16/E16-1,"")</f>
        <v/>
      </c>
      <c r="G42" s="21">
        <f>IFERROR(G16/F16-1,"")</f>
        <v/>
      </c>
      <c r="H42" s="21">
        <f>IFERROR(H16/G16-1,"")</f>
        <v/>
      </c>
      <c r="I42" s="42">
        <f>IFERROR(I16/H16-1,"")</f>
        <v/>
      </c>
      <c r="J42" s="31">
        <f>IFERROR(J16/I16-1,"")</f>
        <v/>
      </c>
      <c r="K42" s="31">
        <f>IFERROR(K16/J16-1,"")</f>
        <v/>
      </c>
      <c r="L42" s="31">
        <f>IFERROR(L16/K16-1,"")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2119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6.87</v>
      </c>
    </row>
    <row r="32">
      <c r="C32" s="2" t="inlineStr">
        <is>
          <t>pbr_now</t>
        </is>
      </c>
      <c r="D32" t="n">
        <v>1.74</v>
      </c>
    </row>
    <row r="33">
      <c r="C33" s="2" t="inlineStr">
        <is>
          <t>roe_fwd</t>
        </is>
      </c>
      <c r="D33" t="n">
        <v>0.2541</v>
      </c>
    </row>
    <row r="34">
      <c r="C34" s="2" t="inlineStr">
        <is>
          <t>fair_pbr</t>
        </is>
      </c>
      <c r="D34" t="n">
        <v>2.82</v>
      </c>
    </row>
    <row r="35">
      <c r="C35" s="2" t="inlineStr">
        <is>
          <t>fair_value_pbr</t>
        </is>
      </c>
      <c r="D35" t="n">
        <v>23500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